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ehwan/Desktop/"/>
    </mc:Choice>
  </mc:AlternateContent>
  <xr:revisionPtr revIDLastSave="0" documentId="13_ncr:1_{7ACA0091-36C8-4B4D-B974-33A8D271330A}" xr6:coauthVersionLast="47" xr6:coauthVersionMax="47" xr10:uidLastSave="{00000000-0000-0000-0000-000000000000}"/>
  <bookViews>
    <workbookView xWindow="0" yWindow="600" windowWidth="28800" windowHeight="16480" xr2:uid="{7588DC1E-5104-1F43-BD6C-7B26D73ACE6E}"/>
  </bookViews>
  <sheets>
    <sheet name="A&amp;R" sheetId="1" r:id="rId1"/>
    <sheet name="Rentroll" sheetId="2" r:id="rId2"/>
    <sheet name="Index" sheetId="4" r:id="rId3"/>
    <sheet name="운영수입" sheetId="5" r:id="rId4"/>
    <sheet name="운영비용" sheetId="7" r:id="rId5"/>
    <sheet name="펀드비용" sheetId="9" r:id="rId6"/>
    <sheet name="현금흐름" sheetId="8" r:id="rId7"/>
    <sheet name="배당" sheetId="10" r:id="rId8"/>
    <sheet name="민감도분석" sheetId="11" state="hidden" r:id="rId9"/>
    <sheet name="Index (7)" sheetId="12" state="hidden" r:id="rId10"/>
  </sheets>
  <definedNames>
    <definedName name="acq">'A&amp;R'!$D$13</definedName>
    <definedName name="Cir">'A&amp;R'!$I$9</definedName>
    <definedName name="exit">'A&amp;R'!$D$16</definedName>
    <definedName name="period">'A&amp;R'!$D$17</definedName>
    <definedName name="py">'A&amp;R'!$D$11</definedName>
    <definedName name="start">'A&amp;R'!$D$14</definedName>
    <definedName name="unit">'A&amp;R'!$D$10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0" l="1"/>
  <c r="J15" i="10"/>
  <c r="F26" i="8" l="1"/>
  <c r="I59" i="1"/>
  <c r="I58" i="1"/>
  <c r="X55" i="2" l="1"/>
  <c r="X29" i="2" l="1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W57" i="2"/>
  <c r="W56" i="2"/>
  <c r="W55" i="2"/>
  <c r="W54" i="2"/>
  <c r="W53" i="2"/>
  <c r="W52" i="2"/>
  <c r="X60" i="2"/>
  <c r="X57" i="2"/>
  <c r="X56" i="2"/>
  <c r="X54" i="2"/>
  <c r="X53" i="2"/>
  <c r="X52" i="2"/>
  <c r="O59" i="2"/>
  <c r="W59" i="2" s="1"/>
  <c r="O58" i="2"/>
  <c r="W58" i="2" s="1"/>
  <c r="DB101" i="7"/>
  <c r="DA101" i="7"/>
  <c r="CZ101" i="7"/>
  <c r="CY101" i="7"/>
  <c r="CX101" i="7"/>
  <c r="CW101" i="7"/>
  <c r="CV101" i="7"/>
  <c r="CU101" i="7"/>
  <c r="CT101" i="7"/>
  <c r="CS101" i="7"/>
  <c r="CR101" i="7"/>
  <c r="CQ101" i="7"/>
  <c r="CP101" i="7"/>
  <c r="CO101" i="7"/>
  <c r="CN101" i="7"/>
  <c r="CM101" i="7"/>
  <c r="CL101" i="7"/>
  <c r="CK101" i="7"/>
  <c r="CJ101" i="7"/>
  <c r="CI101" i="7"/>
  <c r="CH101" i="7"/>
  <c r="CG101" i="7"/>
  <c r="CF101" i="7"/>
  <c r="CE101" i="7"/>
  <c r="CD101" i="7"/>
  <c r="CC101" i="7"/>
  <c r="CB101" i="7"/>
  <c r="CA101" i="7"/>
  <c r="BZ101" i="7"/>
  <c r="BY101" i="7"/>
  <c r="BX101" i="7"/>
  <c r="BW101" i="7"/>
  <c r="BV101" i="7"/>
  <c r="BU101" i="7"/>
  <c r="BT101" i="7"/>
  <c r="BS101" i="7"/>
  <c r="BR101" i="7"/>
  <c r="BQ101" i="7"/>
  <c r="BP101" i="7"/>
  <c r="BO101" i="7"/>
  <c r="BN101" i="7"/>
  <c r="BM101" i="7"/>
  <c r="BL101" i="7"/>
  <c r="BK101" i="7"/>
  <c r="BJ101" i="7"/>
  <c r="BI101" i="7"/>
  <c r="BH101" i="7"/>
  <c r="BG101" i="7"/>
  <c r="BF101" i="7"/>
  <c r="BE101" i="7"/>
  <c r="BD101" i="7"/>
  <c r="BC101" i="7"/>
  <c r="BB101" i="7"/>
  <c r="BA101" i="7"/>
  <c r="AZ101" i="7"/>
  <c r="AY101" i="7"/>
  <c r="AX101" i="7"/>
  <c r="AW101" i="7"/>
  <c r="AV101" i="7"/>
  <c r="AU101" i="7"/>
  <c r="AT101" i="7"/>
  <c r="AS101" i="7"/>
  <c r="AR101" i="7"/>
  <c r="AQ101" i="7"/>
  <c r="AP101" i="7"/>
  <c r="AO101" i="7"/>
  <c r="AN101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N101" i="7"/>
  <c r="M101" i="7"/>
  <c r="L101" i="7"/>
  <c r="K101" i="7"/>
  <c r="J101" i="7"/>
  <c r="I101" i="7"/>
  <c r="H101" i="7"/>
  <c r="U79" i="1"/>
  <c r="U78" i="1"/>
  <c r="U77" i="1"/>
  <c r="W79" i="1"/>
  <c r="L53" i="1"/>
  <c r="D24" i="1"/>
  <c r="W92" i="1" l="1"/>
  <c r="AE19" i="2"/>
  <c r="Q48" i="2"/>
  <c r="Q47" i="2"/>
  <c r="Q46" i="2"/>
  <c r="Q45" i="2"/>
  <c r="Q44" i="2"/>
  <c r="Q43" i="2"/>
  <c r="Q42" i="2"/>
  <c r="Q41" i="2"/>
  <c r="Q40" i="2"/>
  <c r="Q39" i="2"/>
  <c r="Q38" i="2"/>
  <c r="Q37" i="2"/>
  <c r="O45" i="2" l="1"/>
  <c r="O51" i="2"/>
  <c r="O50" i="2"/>
  <c r="O49" i="2"/>
  <c r="O47" i="2"/>
  <c r="O48" i="2"/>
  <c r="W48" i="2" s="1"/>
  <c r="O46" i="2"/>
  <c r="O38" i="2"/>
  <c r="W38" i="2" s="1"/>
  <c r="O39" i="2"/>
  <c r="W39" i="2" s="1"/>
  <c r="O40" i="2"/>
  <c r="W40" i="2" s="1"/>
  <c r="O43" i="2"/>
  <c r="W43" i="2" s="1"/>
  <c r="O41" i="2"/>
  <c r="W41" i="2" s="1"/>
  <c r="O42" i="2"/>
  <c r="W42" i="2" s="1"/>
  <c r="O44" i="2"/>
  <c r="W44" i="2" s="1"/>
  <c r="O37" i="2"/>
  <c r="W37" i="2" s="1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D27" i="10"/>
  <c r="X46" i="2" l="1"/>
  <c r="W46" i="2"/>
  <c r="X47" i="2"/>
  <c r="W47" i="2"/>
  <c r="X45" i="2"/>
  <c r="W45" i="2"/>
  <c r="AE28" i="2"/>
  <c r="AE25" i="2"/>
  <c r="AE31" i="2"/>
  <c r="S143" i="1"/>
  <c r="R143" i="1"/>
  <c r="Q143" i="1"/>
  <c r="P143" i="1"/>
  <c r="N143" i="1"/>
  <c r="M143" i="1"/>
  <c r="L143" i="1"/>
  <c r="K143" i="1"/>
  <c r="J143" i="1"/>
  <c r="I143" i="1"/>
  <c r="H143" i="1"/>
  <c r="G143" i="1"/>
  <c r="F143" i="1"/>
  <c r="P179" i="5" l="1"/>
  <c r="P178" i="5"/>
  <c r="N177" i="5"/>
  <c r="C100" i="7"/>
  <c r="E100" i="7" s="1"/>
  <c r="C99" i="7"/>
  <c r="C98" i="7"/>
  <c r="E98" i="7" s="1"/>
  <c r="C97" i="7"/>
  <c r="C96" i="7"/>
  <c r="C95" i="7"/>
  <c r="C94" i="7"/>
  <c r="E94" i="7" s="1"/>
  <c r="C93" i="7"/>
  <c r="C92" i="7"/>
  <c r="C91" i="7"/>
  <c r="E91" i="7" s="1"/>
  <c r="C90" i="7"/>
  <c r="E90" i="7" s="1"/>
  <c r="C89" i="7"/>
  <c r="C88" i="7"/>
  <c r="C87" i="7"/>
  <c r="C86" i="7"/>
  <c r="E86" i="7" s="1"/>
  <c r="C85" i="7"/>
  <c r="E85" i="7" s="1"/>
  <c r="C84" i="7"/>
  <c r="C83" i="7"/>
  <c r="C82" i="7"/>
  <c r="C81" i="7"/>
  <c r="C80" i="7"/>
  <c r="E80" i="7" s="1"/>
  <c r="C79" i="7"/>
  <c r="E79" i="7" s="1"/>
  <c r="C78" i="7"/>
  <c r="C77" i="7"/>
  <c r="E29" i="1"/>
  <c r="E83" i="7" l="1"/>
  <c r="E95" i="7"/>
  <c r="E93" i="7"/>
  <c r="E99" i="7"/>
  <c r="E92" i="7"/>
  <c r="E96" i="7"/>
  <c r="E97" i="7"/>
  <c r="E77" i="7"/>
  <c r="E82" i="7"/>
  <c r="E78" i="7"/>
  <c r="E87" i="7"/>
  <c r="E88" i="7"/>
  <c r="E89" i="7"/>
  <c r="E84" i="7"/>
  <c r="E81" i="7"/>
  <c r="D100" i="7"/>
  <c r="U70" i="1"/>
  <c r="Z70" i="1" s="1"/>
  <c r="C70" i="7"/>
  <c r="B155" i="5"/>
  <c r="O155" i="5" s="1"/>
  <c r="B108" i="5"/>
  <c r="O108" i="5" s="1"/>
  <c r="B61" i="5"/>
  <c r="G61" i="5" s="1"/>
  <c r="B201" i="4"/>
  <c r="M201" i="4" s="1"/>
  <c r="B154" i="4"/>
  <c r="I154" i="4" s="1"/>
  <c r="B155" i="4"/>
  <c r="B107" i="4"/>
  <c r="M107" i="4" s="1"/>
  <c r="B60" i="4"/>
  <c r="I60" i="4" s="1"/>
  <c r="P58" i="2"/>
  <c r="N58" i="2"/>
  <c r="X58" i="2" s="1"/>
  <c r="K58" i="2"/>
  <c r="L58" i="2" s="1"/>
  <c r="J58" i="2"/>
  <c r="I58" i="2"/>
  <c r="H58" i="2"/>
  <c r="AD58" i="2" s="1"/>
  <c r="D98" i="7" l="1"/>
  <c r="K107" i="4"/>
  <c r="D70" i="7"/>
  <c r="E107" i="4"/>
  <c r="I107" i="4"/>
  <c r="C107" i="4"/>
  <c r="D107" i="4"/>
  <c r="I201" i="4"/>
  <c r="C201" i="4"/>
  <c r="D201" i="4"/>
  <c r="E201" i="4"/>
  <c r="F201" i="4"/>
  <c r="K201" i="4"/>
  <c r="F155" i="5"/>
  <c r="G155" i="5"/>
  <c r="I155" i="5"/>
  <c r="J155" i="5"/>
  <c r="I61" i="5"/>
  <c r="H61" i="5"/>
  <c r="K155" i="5"/>
  <c r="C155" i="5"/>
  <c r="L155" i="5"/>
  <c r="D155" i="5"/>
  <c r="M155" i="5"/>
  <c r="E155" i="5"/>
  <c r="E70" i="7"/>
  <c r="H155" i="5"/>
  <c r="AA70" i="1"/>
  <c r="AB70" i="1"/>
  <c r="X70" i="1"/>
  <c r="V70" i="1"/>
  <c r="Y70" i="1"/>
  <c r="W70" i="1"/>
  <c r="H108" i="5"/>
  <c r="I108" i="5"/>
  <c r="J108" i="5"/>
  <c r="K108" i="5"/>
  <c r="L108" i="5"/>
  <c r="C108" i="5"/>
  <c r="D108" i="5"/>
  <c r="E108" i="5"/>
  <c r="M108" i="5"/>
  <c r="G108" i="5"/>
  <c r="F108" i="5"/>
  <c r="J61" i="5"/>
  <c r="C61" i="5"/>
  <c r="K61" i="5"/>
  <c r="D61" i="5"/>
  <c r="L61" i="5"/>
  <c r="E61" i="5"/>
  <c r="M61" i="5"/>
  <c r="F61" i="5"/>
  <c r="O61" i="5"/>
  <c r="L201" i="4"/>
  <c r="J201" i="4"/>
  <c r="O201" i="4"/>
  <c r="G201" i="4"/>
  <c r="H201" i="4"/>
  <c r="C154" i="4"/>
  <c r="K154" i="4"/>
  <c r="D154" i="4"/>
  <c r="L154" i="4"/>
  <c r="M154" i="4"/>
  <c r="F154" i="4"/>
  <c r="G154" i="4"/>
  <c r="H154" i="4"/>
  <c r="J154" i="4"/>
  <c r="E154" i="4"/>
  <c r="O154" i="4"/>
  <c r="L107" i="4"/>
  <c r="J107" i="4"/>
  <c r="F107" i="4"/>
  <c r="G107" i="4"/>
  <c r="O107" i="4"/>
  <c r="H107" i="4"/>
  <c r="J60" i="4"/>
  <c r="C60" i="4"/>
  <c r="K60" i="4"/>
  <c r="D60" i="4"/>
  <c r="M60" i="4"/>
  <c r="F60" i="4"/>
  <c r="L60" i="4"/>
  <c r="H60" i="4"/>
  <c r="E60" i="4"/>
  <c r="O60" i="4"/>
  <c r="G60" i="4"/>
  <c r="Y58" i="2"/>
  <c r="AC58" i="2"/>
  <c r="K51" i="2" l="1"/>
  <c r="I53" i="2"/>
  <c r="C114" i="1"/>
  <c r="C113" i="1"/>
  <c r="B112" i="1"/>
  <c r="B110" i="1"/>
  <c r="B107" i="1"/>
  <c r="B104" i="1"/>
  <c r="B103" i="1"/>
  <c r="B97" i="1"/>
  <c r="B94" i="1"/>
  <c r="B88" i="1"/>
  <c r="B85" i="1"/>
  <c r="B84" i="1"/>
  <c r="B82" i="1"/>
  <c r="B81" i="1"/>
  <c r="B80" i="1"/>
  <c r="B79" i="1"/>
  <c r="B78" i="1"/>
  <c r="B76" i="1"/>
  <c r="B75" i="1"/>
  <c r="B74" i="1"/>
  <c r="B73" i="1"/>
  <c r="B72" i="1"/>
  <c r="B71" i="1"/>
  <c r="D91" i="7" l="1"/>
  <c r="Q51" i="2"/>
  <c r="W51" i="2" s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70" i="1"/>
  <c r="E121" i="1" s="1"/>
  <c r="E136" i="8"/>
  <c r="H129" i="8"/>
  <c r="G64" i="10"/>
  <c r="H41" i="10"/>
  <c r="G41" i="10"/>
  <c r="E34" i="1" l="1"/>
  <c r="E121" i="8"/>
  <c r="F112" i="8"/>
  <c r="D48" i="8"/>
  <c r="C102" i="1" s="1"/>
  <c r="D39" i="8"/>
  <c r="C93" i="1" s="1"/>
  <c r="E91" i="8" l="1"/>
  <c r="L52" i="1"/>
  <c r="E141" i="8" s="1"/>
  <c r="F53" i="1"/>
  <c r="F151" i="8"/>
  <c r="F149" i="8"/>
  <c r="E145" i="8"/>
  <c r="E106" i="8"/>
  <c r="H106" i="8" s="1"/>
  <c r="F97" i="8"/>
  <c r="F82" i="8"/>
  <c r="E76" i="8"/>
  <c r="H76" i="8" s="1"/>
  <c r="F80" i="8" l="1"/>
  <c r="G53" i="1"/>
  <c r="F59" i="1" s="1"/>
  <c r="F110" i="8" l="1"/>
  <c r="F67" i="8"/>
  <c r="D47" i="8"/>
  <c r="C101" i="1" s="1"/>
  <c r="D46" i="8"/>
  <c r="C100" i="1" s="1"/>
  <c r="D45" i="8"/>
  <c r="C99" i="1" s="1"/>
  <c r="D44" i="8"/>
  <c r="C98" i="1" s="1"/>
  <c r="D42" i="8"/>
  <c r="C96" i="1" s="1"/>
  <c r="D41" i="8"/>
  <c r="C95" i="1" s="1"/>
  <c r="D38" i="8"/>
  <c r="C92" i="1" s="1"/>
  <c r="D37" i="8"/>
  <c r="C91" i="1" s="1"/>
  <c r="D36" i="8"/>
  <c r="C90" i="1" s="1"/>
  <c r="D35" i="8"/>
  <c r="C89" i="1" s="1"/>
  <c r="D33" i="8"/>
  <c r="D32" i="8"/>
  <c r="D51" i="8" l="1"/>
  <c r="C105" i="1" s="1"/>
  <c r="C86" i="1"/>
  <c r="D52" i="8"/>
  <c r="C106" i="1" s="1"/>
  <c r="C87" i="1"/>
  <c r="D54" i="8"/>
  <c r="C108" i="1" s="1"/>
  <c r="D55" i="8"/>
  <c r="C109" i="1" s="1"/>
  <c r="AF103" i="1" l="1"/>
  <c r="D32" i="10" l="1"/>
  <c r="D31" i="10"/>
  <c r="D30" i="10"/>
  <c r="D29" i="10"/>
  <c r="D28" i="10"/>
  <c r="D26" i="10"/>
  <c r="D25" i="10"/>
  <c r="D24" i="10"/>
  <c r="D23" i="10"/>
  <c r="D22" i="10"/>
  <c r="D2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Y45" i="1"/>
  <c r="U71" i="1"/>
  <c r="X71" i="1" s="1"/>
  <c r="U69" i="1"/>
  <c r="AB69" i="1" s="1"/>
  <c r="U68" i="1"/>
  <c r="AB68" i="1" s="1"/>
  <c r="U67" i="1"/>
  <c r="Z67" i="1" s="1"/>
  <c r="U66" i="1"/>
  <c r="U65" i="1"/>
  <c r="AA65" i="1" s="1"/>
  <c r="U64" i="1"/>
  <c r="AB64" i="1" s="1"/>
  <c r="U63" i="1"/>
  <c r="Z63" i="1" s="1"/>
  <c r="U62" i="1"/>
  <c r="U61" i="1"/>
  <c r="AB61" i="1" s="1"/>
  <c r="U60" i="1"/>
  <c r="AB60" i="1" s="1"/>
  <c r="U59" i="1"/>
  <c r="Z59" i="1" s="1"/>
  <c r="U58" i="1"/>
  <c r="X58" i="1" s="1"/>
  <c r="U57" i="1"/>
  <c r="AA57" i="1" s="1"/>
  <c r="U56" i="1"/>
  <c r="AB56" i="1" s="1"/>
  <c r="U55" i="1"/>
  <c r="Z55" i="1" s="1"/>
  <c r="U54" i="1"/>
  <c r="X54" i="1" s="1"/>
  <c r="U53" i="1"/>
  <c r="AB53" i="1" s="1"/>
  <c r="U52" i="1"/>
  <c r="AB52" i="1" s="1"/>
  <c r="U51" i="1"/>
  <c r="Z51" i="1" s="1"/>
  <c r="U50" i="1"/>
  <c r="X50" i="1" s="1"/>
  <c r="U49" i="1"/>
  <c r="AB49" i="1" s="1"/>
  <c r="V83" i="1" l="1"/>
  <c r="V76" i="1"/>
  <c r="Y58" i="1"/>
  <c r="AB59" i="1"/>
  <c r="X69" i="1"/>
  <c r="Y53" i="1"/>
  <c r="AA59" i="1"/>
  <c r="Y69" i="1"/>
  <c r="X53" i="1"/>
  <c r="AA69" i="1"/>
  <c r="AA53" i="1"/>
  <c r="Y50" i="1"/>
  <c r="Z58" i="1"/>
  <c r="AB67" i="1"/>
  <c r="AA61" i="1"/>
  <c r="Y63" i="1"/>
  <c r="AB51" i="1"/>
  <c r="AA71" i="1"/>
  <c r="AB71" i="1"/>
  <c r="X55" i="1"/>
  <c r="Z62" i="1"/>
  <c r="AA54" i="1"/>
  <c r="AB54" i="1"/>
  <c r="Z50" i="1"/>
  <c r="Y55" i="1"/>
  <c r="X51" i="1"/>
  <c r="Y54" i="1"/>
  <c r="AB55" i="1"/>
  <c r="Y71" i="1"/>
  <c r="AA63" i="1"/>
  <c r="AB63" i="1"/>
  <c r="AA62" i="1"/>
  <c r="Y66" i="1"/>
  <c r="AA55" i="1"/>
  <c r="AB62" i="1"/>
  <c r="Z66" i="1"/>
  <c r="AA51" i="1"/>
  <c r="Z54" i="1"/>
  <c r="X63" i="1"/>
  <c r="AA67" i="1"/>
  <c r="Z71" i="1"/>
  <c r="X49" i="1"/>
  <c r="Y49" i="1"/>
  <c r="AA50" i="1"/>
  <c r="Y57" i="1"/>
  <c r="AA58" i="1"/>
  <c r="Y65" i="1"/>
  <c r="AA66" i="1"/>
  <c r="Z49" i="1"/>
  <c r="AB50" i="1"/>
  <c r="X52" i="1"/>
  <c r="Z53" i="1"/>
  <c r="X56" i="1"/>
  <c r="Z57" i="1"/>
  <c r="AB58" i="1"/>
  <c r="X60" i="1"/>
  <c r="Z61" i="1"/>
  <c r="Z65" i="1"/>
  <c r="AB66" i="1"/>
  <c r="X68" i="1"/>
  <c r="Z69" i="1"/>
  <c r="Y60" i="1"/>
  <c r="Z52" i="1"/>
  <c r="Z56" i="1"/>
  <c r="AB57" i="1"/>
  <c r="X59" i="1"/>
  <c r="Z60" i="1"/>
  <c r="Z64" i="1"/>
  <c r="AB65" i="1"/>
  <c r="Z68" i="1"/>
  <c r="X57" i="1"/>
  <c r="AA49" i="1"/>
  <c r="Y52" i="1"/>
  <c r="Y51" i="1"/>
  <c r="AA52" i="1"/>
  <c r="AA56" i="1"/>
  <c r="Y59" i="1"/>
  <c r="AA60" i="1"/>
  <c r="Y56" i="1"/>
  <c r="Y64" i="1"/>
  <c r="Y68" i="1"/>
  <c r="AA64" i="1"/>
  <c r="Y67" i="1"/>
  <c r="AA68" i="1"/>
  <c r="V40" i="1" l="1"/>
  <c r="U89" i="1" s="1"/>
  <c r="V39" i="1"/>
  <c r="U88" i="1" s="1"/>
  <c r="V38" i="1"/>
  <c r="U87" i="1" s="1"/>
  <c r="V37" i="1"/>
  <c r="U86" i="1" s="1"/>
  <c r="V36" i="1"/>
  <c r="U85" i="1" s="1"/>
  <c r="V35" i="1"/>
  <c r="U84" i="1" s="1"/>
  <c r="C72" i="7" l="1"/>
  <c r="E72" i="7" s="1"/>
  <c r="C71" i="7"/>
  <c r="E71" i="7" s="1"/>
  <c r="C69" i="7"/>
  <c r="E69" i="7" s="1"/>
  <c r="C68" i="7"/>
  <c r="C67" i="7"/>
  <c r="E67" i="7" s="1"/>
  <c r="C66" i="7"/>
  <c r="C65" i="7"/>
  <c r="E65" i="7" s="1"/>
  <c r="C64" i="7"/>
  <c r="E64" i="7" s="1"/>
  <c r="C63" i="7"/>
  <c r="E63" i="7" s="1"/>
  <c r="C62" i="7"/>
  <c r="E62" i="7" s="1"/>
  <c r="C61" i="7"/>
  <c r="C60" i="7"/>
  <c r="C59" i="7"/>
  <c r="E59" i="7" s="1"/>
  <c r="C58" i="7"/>
  <c r="C57" i="7"/>
  <c r="E57" i="7" s="1"/>
  <c r="C56" i="7"/>
  <c r="C55" i="7"/>
  <c r="E55" i="7" s="1"/>
  <c r="C54" i="7"/>
  <c r="E54" i="7" s="1"/>
  <c r="C53" i="7"/>
  <c r="E53" i="7" s="1"/>
  <c r="C52" i="7"/>
  <c r="C51" i="7"/>
  <c r="E51" i="7" s="1"/>
  <c r="C50" i="7"/>
  <c r="E50" i="7" s="1"/>
  <c r="C49" i="7"/>
  <c r="E49" i="7" s="1"/>
  <c r="K59" i="2"/>
  <c r="D99" i="7" s="1"/>
  <c r="K57" i="2"/>
  <c r="K56" i="2"/>
  <c r="K50" i="2"/>
  <c r="K49" i="2"/>
  <c r="K48" i="2"/>
  <c r="D88" i="7" s="1"/>
  <c r="K47" i="2"/>
  <c r="D87" i="7" s="1"/>
  <c r="K46" i="2"/>
  <c r="D86" i="7" s="1"/>
  <c r="K45" i="2"/>
  <c r="D85" i="7" s="1"/>
  <c r="K44" i="2"/>
  <c r="D84" i="7" s="1"/>
  <c r="K43" i="2"/>
  <c r="D83" i="7" s="1"/>
  <c r="K42" i="2"/>
  <c r="D82" i="7" s="1"/>
  <c r="K41" i="2"/>
  <c r="D81" i="7" s="1"/>
  <c r="K40" i="2"/>
  <c r="D80" i="7" s="1"/>
  <c r="K39" i="2"/>
  <c r="D79" i="7" s="1"/>
  <c r="K38" i="2"/>
  <c r="D78" i="7" s="1"/>
  <c r="K37" i="2"/>
  <c r="D90" i="7" l="1"/>
  <c r="Q50" i="2"/>
  <c r="W50" i="2" s="1"/>
  <c r="X62" i="1"/>
  <c r="D89" i="7"/>
  <c r="X61" i="1"/>
  <c r="Q49" i="2"/>
  <c r="W49" i="1"/>
  <c r="D77" i="7"/>
  <c r="L56" i="2"/>
  <c r="D96" i="7"/>
  <c r="L57" i="2"/>
  <c r="D97" i="7"/>
  <c r="D56" i="7"/>
  <c r="D53" i="7"/>
  <c r="D54" i="7"/>
  <c r="L46" i="2"/>
  <c r="W58" i="1"/>
  <c r="D58" i="7"/>
  <c r="L47" i="2"/>
  <c r="W59" i="1"/>
  <c r="L40" i="2"/>
  <c r="W52" i="1"/>
  <c r="L48" i="2"/>
  <c r="W60" i="1"/>
  <c r="L41" i="2"/>
  <c r="W53" i="1"/>
  <c r="L49" i="2"/>
  <c r="W61" i="1"/>
  <c r="L44" i="2"/>
  <c r="W56" i="1"/>
  <c r="L37" i="2"/>
  <c r="L38" i="2"/>
  <c r="W50" i="1"/>
  <c r="W69" i="1"/>
  <c r="D61" i="7"/>
  <c r="L42" i="2"/>
  <c r="W54" i="1"/>
  <c r="L50" i="2"/>
  <c r="W62" i="1"/>
  <c r="L59" i="2"/>
  <c r="W71" i="1"/>
  <c r="L43" i="2"/>
  <c r="W55" i="1"/>
  <c r="E56" i="7"/>
  <c r="L45" i="2"/>
  <c r="W57" i="1"/>
  <c r="L39" i="2"/>
  <c r="W51" i="1"/>
  <c r="W68" i="1"/>
  <c r="D52" i="7"/>
  <c r="D60" i="7"/>
  <c r="D68" i="7"/>
  <c r="E61" i="7"/>
  <c r="D62" i="7"/>
  <c r="E52" i="7"/>
  <c r="E68" i="7"/>
  <c r="L51" i="2"/>
  <c r="W63" i="1"/>
  <c r="D57" i="7"/>
  <c r="D69" i="7"/>
  <c r="E60" i="7"/>
  <c r="D49" i="7"/>
  <c r="D71" i="7"/>
  <c r="D50" i="7"/>
  <c r="E58" i="7"/>
  <c r="E66" i="7"/>
  <c r="D51" i="7"/>
  <c r="D55" i="7"/>
  <c r="D59" i="7"/>
  <c r="D63" i="7"/>
  <c r="D72" i="7"/>
  <c r="B157" i="5"/>
  <c r="M157" i="5" s="1"/>
  <c r="B156" i="5"/>
  <c r="I156" i="5" s="1"/>
  <c r="B154" i="5"/>
  <c r="M154" i="5" s="1"/>
  <c r="B153" i="5"/>
  <c r="I153" i="5" s="1"/>
  <c r="B152" i="5"/>
  <c r="M152" i="5" s="1"/>
  <c r="B151" i="5"/>
  <c r="I151" i="5" s="1"/>
  <c r="B150" i="5"/>
  <c r="M150" i="5" s="1"/>
  <c r="B149" i="5"/>
  <c r="I149" i="5" s="1"/>
  <c r="B148" i="5"/>
  <c r="M148" i="5" s="1"/>
  <c r="B147" i="5"/>
  <c r="B146" i="5"/>
  <c r="M146" i="5" s="1"/>
  <c r="B145" i="5"/>
  <c r="I145" i="5" s="1"/>
  <c r="B144" i="5"/>
  <c r="M144" i="5" s="1"/>
  <c r="B143" i="5"/>
  <c r="I143" i="5" s="1"/>
  <c r="B142" i="5"/>
  <c r="M142" i="5" s="1"/>
  <c r="B141" i="5"/>
  <c r="I141" i="5" s="1"/>
  <c r="B140" i="5"/>
  <c r="M140" i="5" s="1"/>
  <c r="B139" i="5"/>
  <c r="B138" i="5"/>
  <c r="M138" i="5" s="1"/>
  <c r="B137" i="5"/>
  <c r="I137" i="5" s="1"/>
  <c r="B136" i="5"/>
  <c r="M136" i="5" s="1"/>
  <c r="B135" i="5"/>
  <c r="I135" i="5" s="1"/>
  <c r="B134" i="5"/>
  <c r="M134" i="5" s="1"/>
  <c r="B110" i="5"/>
  <c r="O110" i="5" s="1"/>
  <c r="B109" i="5"/>
  <c r="B107" i="5"/>
  <c r="M107" i="5" s="1"/>
  <c r="B106" i="5"/>
  <c r="I106" i="5" s="1"/>
  <c r="B105" i="5"/>
  <c r="F105" i="5" s="1"/>
  <c r="B104" i="5"/>
  <c r="I104" i="5" s="1"/>
  <c r="B103" i="5"/>
  <c r="M103" i="5" s="1"/>
  <c r="B102" i="5"/>
  <c r="I102" i="5" s="1"/>
  <c r="B101" i="5"/>
  <c r="F101" i="5" s="1"/>
  <c r="B100" i="5"/>
  <c r="B99" i="5"/>
  <c r="M99" i="5" s="1"/>
  <c r="B98" i="5"/>
  <c r="I98" i="5" s="1"/>
  <c r="B97" i="5"/>
  <c r="B96" i="5"/>
  <c r="I96" i="5" s="1"/>
  <c r="B95" i="5"/>
  <c r="M95" i="5" s="1"/>
  <c r="B94" i="5"/>
  <c r="I94" i="5" s="1"/>
  <c r="B93" i="5"/>
  <c r="B92" i="5"/>
  <c r="I92" i="5" s="1"/>
  <c r="B91" i="5"/>
  <c r="M91" i="5" s="1"/>
  <c r="B90" i="5"/>
  <c r="I90" i="5" s="1"/>
  <c r="B89" i="5"/>
  <c r="M89" i="5" s="1"/>
  <c r="B88" i="5"/>
  <c r="I88" i="5" s="1"/>
  <c r="B87" i="5"/>
  <c r="M87" i="5" s="1"/>
  <c r="B63" i="5"/>
  <c r="M63" i="5" s="1"/>
  <c r="B62" i="5"/>
  <c r="I62" i="5" s="1"/>
  <c r="B60" i="5"/>
  <c r="M60" i="5" s="1"/>
  <c r="B59" i="5"/>
  <c r="I59" i="5" s="1"/>
  <c r="B58" i="5"/>
  <c r="B57" i="5"/>
  <c r="I57" i="5" s="1"/>
  <c r="B56" i="5"/>
  <c r="B55" i="5"/>
  <c r="I55" i="5" s="1"/>
  <c r="B54" i="5"/>
  <c r="M54" i="5" s="1"/>
  <c r="B53" i="5"/>
  <c r="B52" i="5"/>
  <c r="B51" i="5"/>
  <c r="I51" i="5" s="1"/>
  <c r="B50" i="5"/>
  <c r="F50" i="5" s="1"/>
  <c r="B49" i="5"/>
  <c r="I49" i="5" s="1"/>
  <c r="B48" i="5"/>
  <c r="C48" i="5" s="1"/>
  <c r="B47" i="5"/>
  <c r="I47" i="5" s="1"/>
  <c r="B46" i="5"/>
  <c r="M46" i="5" s="1"/>
  <c r="B45" i="5"/>
  <c r="B44" i="5"/>
  <c r="B43" i="5"/>
  <c r="I43" i="5" s="1"/>
  <c r="B42" i="5"/>
  <c r="M42" i="5" s="1"/>
  <c r="B41" i="5"/>
  <c r="I41" i="5" s="1"/>
  <c r="B40" i="5"/>
  <c r="B203" i="4"/>
  <c r="M203" i="4" s="1"/>
  <c r="B202" i="4"/>
  <c r="I202" i="4" s="1"/>
  <c r="B200" i="4"/>
  <c r="M200" i="4" s="1"/>
  <c r="B199" i="4"/>
  <c r="I199" i="4" s="1"/>
  <c r="B198" i="4"/>
  <c r="M198" i="4" s="1"/>
  <c r="B197" i="4"/>
  <c r="I197" i="4" s="1"/>
  <c r="B196" i="4"/>
  <c r="M196" i="4" s="1"/>
  <c r="B195" i="4"/>
  <c r="I195" i="4" s="1"/>
  <c r="B194" i="4"/>
  <c r="M194" i="4" s="1"/>
  <c r="B193" i="4"/>
  <c r="I193" i="4" s="1"/>
  <c r="B192" i="4"/>
  <c r="M192" i="4" s="1"/>
  <c r="B191" i="4"/>
  <c r="I191" i="4" s="1"/>
  <c r="B190" i="4"/>
  <c r="M190" i="4" s="1"/>
  <c r="B189" i="4"/>
  <c r="I189" i="4" s="1"/>
  <c r="B188" i="4"/>
  <c r="M188" i="4" s="1"/>
  <c r="B187" i="4"/>
  <c r="I187" i="4" s="1"/>
  <c r="B186" i="4"/>
  <c r="M186" i="4" s="1"/>
  <c r="B185" i="4"/>
  <c r="I185" i="4" s="1"/>
  <c r="B184" i="4"/>
  <c r="M184" i="4" s="1"/>
  <c r="B183" i="4"/>
  <c r="I183" i="4" s="1"/>
  <c r="B182" i="4"/>
  <c r="M182" i="4" s="1"/>
  <c r="B181" i="4"/>
  <c r="I181" i="4" s="1"/>
  <c r="B180" i="4"/>
  <c r="M180" i="4" s="1"/>
  <c r="B156" i="4"/>
  <c r="M156" i="4" s="1"/>
  <c r="I155" i="4"/>
  <c r="B153" i="4"/>
  <c r="M153" i="4" s="1"/>
  <c r="B152" i="4"/>
  <c r="I152" i="4" s="1"/>
  <c r="B151" i="4"/>
  <c r="M151" i="4" s="1"/>
  <c r="B150" i="4"/>
  <c r="I150" i="4" s="1"/>
  <c r="B149" i="4"/>
  <c r="M149" i="4" s="1"/>
  <c r="B148" i="4"/>
  <c r="I148" i="4" s="1"/>
  <c r="B147" i="4"/>
  <c r="M147" i="4" s="1"/>
  <c r="B146" i="4"/>
  <c r="I146" i="4" s="1"/>
  <c r="B145" i="4"/>
  <c r="M145" i="4" s="1"/>
  <c r="B144" i="4"/>
  <c r="I144" i="4" s="1"/>
  <c r="B143" i="4"/>
  <c r="M143" i="4" s="1"/>
  <c r="B142" i="4"/>
  <c r="I142" i="4" s="1"/>
  <c r="B141" i="4"/>
  <c r="M141" i="4" s="1"/>
  <c r="B140" i="4"/>
  <c r="I140" i="4" s="1"/>
  <c r="B139" i="4"/>
  <c r="M139" i="4" s="1"/>
  <c r="B138" i="4"/>
  <c r="I138" i="4" s="1"/>
  <c r="B137" i="4"/>
  <c r="M137" i="4" s="1"/>
  <c r="B136" i="4"/>
  <c r="I136" i="4" s="1"/>
  <c r="B135" i="4"/>
  <c r="M135" i="4" s="1"/>
  <c r="B134" i="4"/>
  <c r="I134" i="4" s="1"/>
  <c r="B133" i="4"/>
  <c r="M133" i="4" s="1"/>
  <c r="B109" i="4"/>
  <c r="M109" i="4" s="1"/>
  <c r="B108" i="4"/>
  <c r="I108" i="4" s="1"/>
  <c r="B106" i="4"/>
  <c r="M106" i="4" s="1"/>
  <c r="B105" i="4"/>
  <c r="I105" i="4" s="1"/>
  <c r="B104" i="4"/>
  <c r="M104" i="4" s="1"/>
  <c r="B103" i="4"/>
  <c r="I103" i="4" s="1"/>
  <c r="B102" i="4"/>
  <c r="M102" i="4" s="1"/>
  <c r="B101" i="4"/>
  <c r="I101" i="4" s="1"/>
  <c r="B100" i="4"/>
  <c r="M100" i="4" s="1"/>
  <c r="B99" i="4"/>
  <c r="I99" i="4" s="1"/>
  <c r="B98" i="4"/>
  <c r="M98" i="4" s="1"/>
  <c r="B97" i="4"/>
  <c r="I97" i="4" s="1"/>
  <c r="B96" i="4"/>
  <c r="M96" i="4" s="1"/>
  <c r="B95" i="4"/>
  <c r="I95" i="4" s="1"/>
  <c r="B94" i="4"/>
  <c r="M94" i="4" s="1"/>
  <c r="B93" i="4"/>
  <c r="I93" i="4" s="1"/>
  <c r="B92" i="4"/>
  <c r="M92" i="4" s="1"/>
  <c r="B91" i="4"/>
  <c r="I91" i="4" s="1"/>
  <c r="B90" i="4"/>
  <c r="M90" i="4" s="1"/>
  <c r="B89" i="4"/>
  <c r="I89" i="4" s="1"/>
  <c r="B88" i="4"/>
  <c r="M88" i="4" s="1"/>
  <c r="B87" i="4"/>
  <c r="I87" i="4" s="1"/>
  <c r="B86" i="4"/>
  <c r="M86" i="4" s="1"/>
  <c r="B62" i="4"/>
  <c r="O62" i="4" s="1"/>
  <c r="B61" i="4"/>
  <c r="O61" i="4" s="1"/>
  <c r="B59" i="4"/>
  <c r="I59" i="4" s="1"/>
  <c r="B58" i="4"/>
  <c r="B57" i="4"/>
  <c r="M57" i="4" s="1"/>
  <c r="B56" i="4"/>
  <c r="L56" i="4" s="1"/>
  <c r="B55" i="4"/>
  <c r="F55" i="4" s="1"/>
  <c r="B54" i="4"/>
  <c r="F54" i="4" s="1"/>
  <c r="B53" i="4"/>
  <c r="G53" i="4" s="1"/>
  <c r="B52" i="4"/>
  <c r="B51" i="4"/>
  <c r="B50" i="4"/>
  <c r="G50" i="4" s="1"/>
  <c r="B49" i="4"/>
  <c r="I49" i="4" s="1"/>
  <c r="B48" i="4"/>
  <c r="J48" i="4" s="1"/>
  <c r="B47" i="4"/>
  <c r="M47" i="4" s="1"/>
  <c r="B46" i="4"/>
  <c r="B45" i="4"/>
  <c r="M45" i="4" s="1"/>
  <c r="B44" i="4"/>
  <c r="I44" i="4" s="1"/>
  <c r="B43" i="4"/>
  <c r="I43" i="4" s="1"/>
  <c r="B42" i="4"/>
  <c r="F42" i="4" s="1"/>
  <c r="B41" i="4"/>
  <c r="M41" i="4" s="1"/>
  <c r="B40" i="4"/>
  <c r="J40" i="4" s="1"/>
  <c r="B39" i="4"/>
  <c r="D39" i="4" s="1"/>
  <c r="G62" i="2"/>
  <c r="F62" i="2"/>
  <c r="G61" i="2"/>
  <c r="F61" i="2"/>
  <c r="Y61" i="1" l="1"/>
  <c r="W49" i="2"/>
  <c r="I53" i="5"/>
  <c r="Y62" i="1"/>
  <c r="E46" i="4"/>
  <c r="I147" i="5"/>
  <c r="I51" i="4"/>
  <c r="G52" i="4"/>
  <c r="I100" i="5"/>
  <c r="E191" i="4"/>
  <c r="D191" i="4"/>
  <c r="O152" i="4"/>
  <c r="C55" i="4"/>
  <c r="K191" i="4"/>
  <c r="J61" i="2"/>
  <c r="C191" i="4"/>
  <c r="L191" i="4"/>
  <c r="D47" i="4"/>
  <c r="F47" i="4"/>
  <c r="I57" i="4"/>
  <c r="I200" i="4"/>
  <c r="L187" i="4"/>
  <c r="F183" i="4"/>
  <c r="G61" i="4"/>
  <c r="M62" i="4"/>
  <c r="L193" i="4"/>
  <c r="G200" i="4"/>
  <c r="F151" i="4"/>
  <c r="I48" i="4"/>
  <c r="I151" i="4"/>
  <c r="I47" i="4"/>
  <c r="K55" i="4"/>
  <c r="K151" i="4"/>
  <c r="F191" i="4"/>
  <c r="G62" i="4"/>
  <c r="I141" i="4"/>
  <c r="M42" i="4"/>
  <c r="K156" i="4"/>
  <c r="D183" i="4"/>
  <c r="M185" i="4"/>
  <c r="K143" i="4"/>
  <c r="F149" i="4"/>
  <c r="O106" i="4"/>
  <c r="G184" i="4"/>
  <c r="D187" i="4"/>
  <c r="M189" i="4"/>
  <c r="I180" i="4"/>
  <c r="F50" i="4"/>
  <c r="K139" i="4"/>
  <c r="K39" i="4"/>
  <c r="I145" i="4"/>
  <c r="I149" i="4"/>
  <c r="M181" i="4"/>
  <c r="E187" i="4"/>
  <c r="M197" i="4"/>
  <c r="O200" i="4"/>
  <c r="K183" i="4"/>
  <c r="O58" i="4"/>
  <c r="C187" i="4"/>
  <c r="C189" i="4"/>
  <c r="L40" i="4"/>
  <c r="I88" i="4"/>
  <c r="K149" i="4"/>
  <c r="I184" i="4"/>
  <c r="F187" i="4"/>
  <c r="O109" i="4"/>
  <c r="C199" i="4"/>
  <c r="G41" i="4"/>
  <c r="L97" i="4"/>
  <c r="I139" i="4"/>
  <c r="I143" i="4"/>
  <c r="F147" i="4"/>
  <c r="I156" i="4"/>
  <c r="L181" i="4"/>
  <c r="G188" i="4"/>
  <c r="G192" i="4"/>
  <c r="C195" i="4"/>
  <c r="D199" i="4"/>
  <c r="I196" i="4"/>
  <c r="C49" i="4"/>
  <c r="I147" i="4"/>
  <c r="F153" i="4"/>
  <c r="I188" i="4"/>
  <c r="I192" i="4"/>
  <c r="F199" i="4"/>
  <c r="O199" i="4"/>
  <c r="D93" i="4"/>
  <c r="C54" i="4"/>
  <c r="M46" i="4"/>
  <c r="L93" i="4"/>
  <c r="K147" i="4"/>
  <c r="G153" i="4"/>
  <c r="O153" i="4"/>
  <c r="F195" i="4"/>
  <c r="L197" i="4"/>
  <c r="K199" i="4"/>
  <c r="K195" i="4"/>
  <c r="L199" i="4"/>
  <c r="E199" i="4"/>
  <c r="I153" i="4"/>
  <c r="K46" i="4"/>
  <c r="E39" i="4"/>
  <c r="E47" i="4"/>
  <c r="L55" i="4"/>
  <c r="I109" i="4"/>
  <c r="K137" i="4"/>
  <c r="K141" i="4"/>
  <c r="K145" i="4"/>
  <c r="K153" i="4"/>
  <c r="E183" i="4"/>
  <c r="L185" i="4"/>
  <c r="K187" i="4"/>
  <c r="L189" i="4"/>
  <c r="M193" i="4"/>
  <c r="L195" i="4"/>
  <c r="F102" i="4"/>
  <c r="F106" i="4"/>
  <c r="C135" i="4"/>
  <c r="G45" i="4"/>
  <c r="G182" i="4"/>
  <c r="C185" i="4"/>
  <c r="G190" i="4"/>
  <c r="C193" i="4"/>
  <c r="G194" i="4"/>
  <c r="C197" i="4"/>
  <c r="K54" i="4"/>
  <c r="C46" i="4"/>
  <c r="F46" i="4"/>
  <c r="I39" i="4"/>
  <c r="I55" i="4"/>
  <c r="G46" i="4"/>
  <c r="E50" i="4"/>
  <c r="M54" i="4"/>
  <c r="I61" i="4"/>
  <c r="I100" i="4"/>
  <c r="I104" i="4"/>
  <c r="O105" i="4"/>
  <c r="K133" i="4"/>
  <c r="K135" i="4"/>
  <c r="I137" i="4"/>
  <c r="G147" i="4"/>
  <c r="G180" i="4"/>
  <c r="K181" i="4"/>
  <c r="C183" i="4"/>
  <c r="K185" i="4"/>
  <c r="K189" i="4"/>
  <c r="K193" i="4"/>
  <c r="K197" i="4"/>
  <c r="L202" i="4"/>
  <c r="M202" i="4"/>
  <c r="J136" i="4"/>
  <c r="G44" i="4"/>
  <c r="I52" i="4"/>
  <c r="C202" i="4"/>
  <c r="G203" i="4"/>
  <c r="C133" i="4"/>
  <c r="C181" i="4"/>
  <c r="D202" i="4"/>
  <c r="L39" i="4"/>
  <c r="I86" i="4"/>
  <c r="I90" i="4"/>
  <c r="D95" i="4"/>
  <c r="I102" i="4"/>
  <c r="G133" i="4"/>
  <c r="G135" i="4"/>
  <c r="F137" i="4"/>
  <c r="C139" i="4"/>
  <c r="C141" i="4"/>
  <c r="C143" i="4"/>
  <c r="C145" i="4"/>
  <c r="C156" i="4"/>
  <c r="O155" i="4"/>
  <c r="D181" i="4"/>
  <c r="L183" i="4"/>
  <c r="D185" i="4"/>
  <c r="D189" i="4"/>
  <c r="D193" i="4"/>
  <c r="E202" i="4"/>
  <c r="K157" i="5"/>
  <c r="I62" i="4"/>
  <c r="J138" i="4"/>
  <c r="K47" i="4"/>
  <c r="M55" i="4"/>
  <c r="M53" i="4"/>
  <c r="C39" i="4"/>
  <c r="M39" i="4"/>
  <c r="L47" i="4"/>
  <c r="L95" i="4"/>
  <c r="F100" i="4"/>
  <c r="G137" i="4"/>
  <c r="F139" i="4"/>
  <c r="F141" i="4"/>
  <c r="F143" i="4"/>
  <c r="F145" i="4"/>
  <c r="C147" i="4"/>
  <c r="C149" i="4"/>
  <c r="C151" i="4"/>
  <c r="C153" i="4"/>
  <c r="F156" i="4"/>
  <c r="O156" i="4"/>
  <c r="E181" i="4"/>
  <c r="I182" i="4"/>
  <c r="M183" i="4"/>
  <c r="E185" i="4"/>
  <c r="I186" i="4"/>
  <c r="M187" i="4"/>
  <c r="E189" i="4"/>
  <c r="I190" i="4"/>
  <c r="M191" i="4"/>
  <c r="E193" i="4"/>
  <c r="I194" i="4"/>
  <c r="M195" i="4"/>
  <c r="I198" i="4"/>
  <c r="M199" i="4"/>
  <c r="F202" i="4"/>
  <c r="O202" i="4"/>
  <c r="O157" i="5"/>
  <c r="F90" i="4"/>
  <c r="D99" i="4"/>
  <c r="I106" i="4"/>
  <c r="F135" i="4"/>
  <c r="C137" i="4"/>
  <c r="J146" i="4"/>
  <c r="G186" i="4"/>
  <c r="I133" i="4"/>
  <c r="I135" i="4"/>
  <c r="G139" i="4"/>
  <c r="G141" i="4"/>
  <c r="G143" i="4"/>
  <c r="G145" i="4"/>
  <c r="G156" i="4"/>
  <c r="F181" i="4"/>
  <c r="F185" i="4"/>
  <c r="F189" i="4"/>
  <c r="F193" i="4"/>
  <c r="F197" i="4"/>
  <c r="K202" i="4"/>
  <c r="O203" i="4"/>
  <c r="K146" i="5"/>
  <c r="I152" i="5"/>
  <c r="K152" i="5"/>
  <c r="K134" i="5"/>
  <c r="K138" i="5"/>
  <c r="I144" i="5"/>
  <c r="K154" i="5"/>
  <c r="K144" i="5"/>
  <c r="G144" i="5"/>
  <c r="C142" i="5"/>
  <c r="F95" i="5"/>
  <c r="G142" i="5"/>
  <c r="F60" i="5"/>
  <c r="I150" i="5"/>
  <c r="F42" i="5"/>
  <c r="I140" i="5"/>
  <c r="C146" i="5"/>
  <c r="G157" i="5"/>
  <c r="O60" i="5"/>
  <c r="F150" i="5"/>
  <c r="F107" i="5"/>
  <c r="G60" i="5"/>
  <c r="G140" i="5"/>
  <c r="K150" i="5"/>
  <c r="F157" i="5"/>
  <c r="K42" i="5"/>
  <c r="K60" i="5"/>
  <c r="I148" i="5"/>
  <c r="C50" i="5"/>
  <c r="I87" i="5"/>
  <c r="F99" i="5"/>
  <c r="K140" i="5"/>
  <c r="G146" i="5"/>
  <c r="K148" i="5"/>
  <c r="C60" i="5"/>
  <c r="I91" i="5"/>
  <c r="C140" i="5"/>
  <c r="I142" i="5"/>
  <c r="F148" i="5"/>
  <c r="C157" i="5"/>
  <c r="F103" i="5"/>
  <c r="K136" i="5"/>
  <c r="K142" i="5"/>
  <c r="J92" i="5"/>
  <c r="F154" i="5"/>
  <c r="G50" i="5"/>
  <c r="C144" i="5"/>
  <c r="I146" i="5"/>
  <c r="F152" i="5"/>
  <c r="I154" i="5"/>
  <c r="I157" i="5"/>
  <c r="M44" i="5"/>
  <c r="K44" i="5"/>
  <c r="G44" i="5"/>
  <c r="F44" i="5"/>
  <c r="I45" i="5"/>
  <c r="J45" i="5"/>
  <c r="M101" i="5"/>
  <c r="I101" i="5"/>
  <c r="I139" i="5"/>
  <c r="J139" i="5"/>
  <c r="M52" i="5"/>
  <c r="G52" i="5"/>
  <c r="F52" i="5"/>
  <c r="C52" i="5"/>
  <c r="M97" i="5"/>
  <c r="I97" i="5"/>
  <c r="K52" i="5"/>
  <c r="O59" i="5"/>
  <c r="F97" i="5"/>
  <c r="M93" i="5"/>
  <c r="I93" i="5"/>
  <c r="M110" i="5"/>
  <c r="I110" i="5"/>
  <c r="I109" i="5"/>
  <c r="O109" i="5"/>
  <c r="F89" i="5"/>
  <c r="F93" i="5"/>
  <c r="F110" i="5"/>
  <c r="K46" i="5"/>
  <c r="K54" i="5"/>
  <c r="I89" i="5"/>
  <c r="M105" i="5"/>
  <c r="I105" i="5"/>
  <c r="G42" i="5"/>
  <c r="I95" i="5"/>
  <c r="I99" i="5"/>
  <c r="I103" i="5"/>
  <c r="I107" i="5"/>
  <c r="O107" i="5"/>
  <c r="I134" i="5"/>
  <c r="I136" i="5"/>
  <c r="I138" i="5"/>
  <c r="G148" i="5"/>
  <c r="G154" i="5"/>
  <c r="C134" i="5"/>
  <c r="C136" i="5"/>
  <c r="C138" i="5"/>
  <c r="J147" i="5"/>
  <c r="O153" i="5"/>
  <c r="O106" i="5"/>
  <c r="F136" i="5"/>
  <c r="F138" i="5"/>
  <c r="O154" i="5"/>
  <c r="C42" i="5"/>
  <c r="F91" i="5"/>
  <c r="G134" i="5"/>
  <c r="G136" i="5"/>
  <c r="G138" i="5"/>
  <c r="F140" i="5"/>
  <c r="F142" i="5"/>
  <c r="F144" i="5"/>
  <c r="F146" i="5"/>
  <c r="C148" i="5"/>
  <c r="C150" i="5"/>
  <c r="C152" i="5"/>
  <c r="C154" i="5"/>
  <c r="O156" i="5"/>
  <c r="C135" i="5"/>
  <c r="K135" i="5"/>
  <c r="C137" i="5"/>
  <c r="K137" i="5"/>
  <c r="C139" i="5"/>
  <c r="K139" i="5"/>
  <c r="C141" i="5"/>
  <c r="K141" i="5"/>
  <c r="C143" i="5"/>
  <c r="K143" i="5"/>
  <c r="C145" i="5"/>
  <c r="K145" i="5"/>
  <c r="C147" i="5"/>
  <c r="K147" i="5"/>
  <c r="C149" i="5"/>
  <c r="K149" i="5"/>
  <c r="C151" i="5"/>
  <c r="K151" i="5"/>
  <c r="C153" i="5"/>
  <c r="K153" i="5"/>
  <c r="C156" i="5"/>
  <c r="K156" i="5"/>
  <c r="D139" i="5"/>
  <c r="D141" i="5"/>
  <c r="L141" i="5"/>
  <c r="D143" i="5"/>
  <c r="L143" i="5"/>
  <c r="D145" i="5"/>
  <c r="L145" i="5"/>
  <c r="D147" i="5"/>
  <c r="L147" i="5"/>
  <c r="L149" i="5"/>
  <c r="L151" i="5"/>
  <c r="D153" i="5"/>
  <c r="L153" i="5"/>
  <c r="D156" i="5"/>
  <c r="L156" i="5"/>
  <c r="J141" i="5"/>
  <c r="L137" i="5"/>
  <c r="E135" i="5"/>
  <c r="M135" i="5"/>
  <c r="E137" i="5"/>
  <c r="M137" i="5"/>
  <c r="E139" i="5"/>
  <c r="M139" i="5"/>
  <c r="E141" i="5"/>
  <c r="M141" i="5"/>
  <c r="E143" i="5"/>
  <c r="M143" i="5"/>
  <c r="E145" i="5"/>
  <c r="M145" i="5"/>
  <c r="E147" i="5"/>
  <c r="M147" i="5"/>
  <c r="M149" i="5"/>
  <c r="M151" i="5"/>
  <c r="E153" i="5"/>
  <c r="M153" i="5"/>
  <c r="E156" i="5"/>
  <c r="M156" i="5"/>
  <c r="J134" i="5"/>
  <c r="F135" i="5"/>
  <c r="J136" i="5"/>
  <c r="F137" i="5"/>
  <c r="J138" i="5"/>
  <c r="F139" i="5"/>
  <c r="J140" i="5"/>
  <c r="F141" i="5"/>
  <c r="J142" i="5"/>
  <c r="F143" i="5"/>
  <c r="J144" i="5"/>
  <c r="F145" i="5"/>
  <c r="J146" i="5"/>
  <c r="F147" i="5"/>
  <c r="J148" i="5"/>
  <c r="F149" i="5"/>
  <c r="J150" i="5"/>
  <c r="F151" i="5"/>
  <c r="J152" i="5"/>
  <c r="F153" i="5"/>
  <c r="J154" i="5"/>
  <c r="F156" i="5"/>
  <c r="J157" i="5"/>
  <c r="G141" i="5"/>
  <c r="G143" i="5"/>
  <c r="J143" i="5"/>
  <c r="J151" i="5"/>
  <c r="J153" i="5"/>
  <c r="D135" i="5"/>
  <c r="L135" i="5"/>
  <c r="L139" i="5"/>
  <c r="G137" i="5"/>
  <c r="G145" i="5"/>
  <c r="G147" i="5"/>
  <c r="G153" i="5"/>
  <c r="G156" i="5"/>
  <c r="D134" i="5"/>
  <c r="L134" i="5"/>
  <c r="D136" i="5"/>
  <c r="L136" i="5"/>
  <c r="D138" i="5"/>
  <c r="L138" i="5"/>
  <c r="D140" i="5"/>
  <c r="L140" i="5"/>
  <c r="D142" i="5"/>
  <c r="L142" i="5"/>
  <c r="D144" i="5"/>
  <c r="L144" i="5"/>
  <c r="D146" i="5"/>
  <c r="L146" i="5"/>
  <c r="D148" i="5"/>
  <c r="L148" i="5"/>
  <c r="L150" i="5"/>
  <c r="L152" i="5"/>
  <c r="D154" i="5"/>
  <c r="L154" i="5"/>
  <c r="D157" i="5"/>
  <c r="L157" i="5"/>
  <c r="J135" i="5"/>
  <c r="J137" i="5"/>
  <c r="J145" i="5"/>
  <c r="J149" i="5"/>
  <c r="J156" i="5"/>
  <c r="D137" i="5"/>
  <c r="G135" i="5"/>
  <c r="G139" i="5"/>
  <c r="E134" i="5"/>
  <c r="E136" i="5"/>
  <c r="E138" i="5"/>
  <c r="E140" i="5"/>
  <c r="E142" i="5"/>
  <c r="E144" i="5"/>
  <c r="E146" i="5"/>
  <c r="E148" i="5"/>
  <c r="E154" i="5"/>
  <c r="E157" i="5"/>
  <c r="J94" i="5"/>
  <c r="J96" i="5"/>
  <c r="J98" i="5"/>
  <c r="J100" i="5"/>
  <c r="J102" i="5"/>
  <c r="J104" i="5"/>
  <c r="J106" i="5"/>
  <c r="J109" i="5"/>
  <c r="G87" i="5"/>
  <c r="C88" i="5"/>
  <c r="K88" i="5"/>
  <c r="G89" i="5"/>
  <c r="C90" i="5"/>
  <c r="K90" i="5"/>
  <c r="G91" i="5"/>
  <c r="C92" i="5"/>
  <c r="K92" i="5"/>
  <c r="G93" i="5"/>
  <c r="C94" i="5"/>
  <c r="K94" i="5"/>
  <c r="G95" i="5"/>
  <c r="C96" i="5"/>
  <c r="K96" i="5"/>
  <c r="G97" i="5"/>
  <c r="C98" i="5"/>
  <c r="K98" i="5"/>
  <c r="G99" i="5"/>
  <c r="C100" i="5"/>
  <c r="K100" i="5"/>
  <c r="G101" i="5"/>
  <c r="C102" i="5"/>
  <c r="K102" i="5"/>
  <c r="C104" i="5"/>
  <c r="K104" i="5"/>
  <c r="C106" i="5"/>
  <c r="K106" i="5"/>
  <c r="G107" i="5"/>
  <c r="C109" i="5"/>
  <c r="K109" i="5"/>
  <c r="G110" i="5"/>
  <c r="D88" i="5"/>
  <c r="L88" i="5"/>
  <c r="D90" i="5"/>
  <c r="L90" i="5"/>
  <c r="D92" i="5"/>
  <c r="L92" i="5"/>
  <c r="D94" i="5"/>
  <c r="L94" i="5"/>
  <c r="D96" i="5"/>
  <c r="L96" i="5"/>
  <c r="D98" i="5"/>
  <c r="L98" i="5"/>
  <c r="D100" i="5"/>
  <c r="L100" i="5"/>
  <c r="L102" i="5"/>
  <c r="L104" i="5"/>
  <c r="D106" i="5"/>
  <c r="L106" i="5"/>
  <c r="D109" i="5"/>
  <c r="L109" i="5"/>
  <c r="M106" i="5"/>
  <c r="K89" i="5"/>
  <c r="C91" i="5"/>
  <c r="G92" i="5"/>
  <c r="C93" i="5"/>
  <c r="K93" i="5"/>
  <c r="G94" i="5"/>
  <c r="C95" i="5"/>
  <c r="K95" i="5"/>
  <c r="G96" i="5"/>
  <c r="C97" i="5"/>
  <c r="K97" i="5"/>
  <c r="G98" i="5"/>
  <c r="C99" i="5"/>
  <c r="K99" i="5"/>
  <c r="G100" i="5"/>
  <c r="C101" i="5"/>
  <c r="K101" i="5"/>
  <c r="C103" i="5"/>
  <c r="K103" i="5"/>
  <c r="C105" i="5"/>
  <c r="K105" i="5"/>
  <c r="G106" i="5"/>
  <c r="C107" i="5"/>
  <c r="K107" i="5"/>
  <c r="G109" i="5"/>
  <c r="C110" i="5"/>
  <c r="K110" i="5"/>
  <c r="J90" i="5"/>
  <c r="M96" i="5"/>
  <c r="E100" i="5"/>
  <c r="M100" i="5"/>
  <c r="M104" i="5"/>
  <c r="E106" i="5"/>
  <c r="E109" i="5"/>
  <c r="M109" i="5"/>
  <c r="J89" i="5"/>
  <c r="F90" i="5"/>
  <c r="J91" i="5"/>
  <c r="F94" i="5"/>
  <c r="F98" i="5"/>
  <c r="J99" i="5"/>
  <c r="F100" i="5"/>
  <c r="J101" i="5"/>
  <c r="F102" i="5"/>
  <c r="J103" i="5"/>
  <c r="F104" i="5"/>
  <c r="J105" i="5"/>
  <c r="K87" i="5"/>
  <c r="G88" i="5"/>
  <c r="C89" i="5"/>
  <c r="K91" i="5"/>
  <c r="D87" i="5"/>
  <c r="L87" i="5"/>
  <c r="D89" i="5"/>
  <c r="L89" i="5"/>
  <c r="D91" i="5"/>
  <c r="L91" i="5"/>
  <c r="D93" i="5"/>
  <c r="L93" i="5"/>
  <c r="D95" i="5"/>
  <c r="L95" i="5"/>
  <c r="D97" i="5"/>
  <c r="L97" i="5"/>
  <c r="D99" i="5"/>
  <c r="L99" i="5"/>
  <c r="D101" i="5"/>
  <c r="L101" i="5"/>
  <c r="L103" i="5"/>
  <c r="L105" i="5"/>
  <c r="D107" i="5"/>
  <c r="L107" i="5"/>
  <c r="D110" i="5"/>
  <c r="L110" i="5"/>
  <c r="J88" i="5"/>
  <c r="E88" i="5"/>
  <c r="M88" i="5"/>
  <c r="E90" i="5"/>
  <c r="M90" i="5"/>
  <c r="E92" i="5"/>
  <c r="M92" i="5"/>
  <c r="E94" i="5"/>
  <c r="M94" i="5"/>
  <c r="E96" i="5"/>
  <c r="E98" i="5"/>
  <c r="M98" i="5"/>
  <c r="M102" i="5"/>
  <c r="J87" i="5"/>
  <c r="F88" i="5"/>
  <c r="F92" i="5"/>
  <c r="J93" i="5"/>
  <c r="J95" i="5"/>
  <c r="F96" i="5"/>
  <c r="J97" i="5"/>
  <c r="F106" i="5"/>
  <c r="J107" i="5"/>
  <c r="F109" i="5"/>
  <c r="J110" i="5"/>
  <c r="C87" i="5"/>
  <c r="G90" i="5"/>
  <c r="E87" i="5"/>
  <c r="E89" i="5"/>
  <c r="E91" i="5"/>
  <c r="E93" i="5"/>
  <c r="E95" i="5"/>
  <c r="E97" i="5"/>
  <c r="E99" i="5"/>
  <c r="E101" i="5"/>
  <c r="E107" i="5"/>
  <c r="E110" i="5"/>
  <c r="M50" i="5"/>
  <c r="K50" i="5"/>
  <c r="M58" i="5"/>
  <c r="K58" i="5"/>
  <c r="M40" i="5"/>
  <c r="K40" i="5"/>
  <c r="G40" i="5"/>
  <c r="M56" i="5"/>
  <c r="K56" i="5"/>
  <c r="F56" i="5"/>
  <c r="C58" i="5"/>
  <c r="C40" i="5"/>
  <c r="F58" i="5"/>
  <c r="O62" i="5"/>
  <c r="M48" i="5"/>
  <c r="K48" i="5"/>
  <c r="G48" i="5"/>
  <c r="F48" i="5"/>
  <c r="C56" i="5"/>
  <c r="G46" i="5"/>
  <c r="G54" i="5"/>
  <c r="G63" i="5"/>
  <c r="O63" i="5"/>
  <c r="C46" i="5"/>
  <c r="C54" i="5"/>
  <c r="C63" i="5"/>
  <c r="C44" i="5"/>
  <c r="F46" i="5"/>
  <c r="F54" i="5"/>
  <c r="F63" i="5"/>
  <c r="L41" i="5"/>
  <c r="D43" i="5"/>
  <c r="L43" i="5"/>
  <c r="D45" i="5"/>
  <c r="D47" i="5"/>
  <c r="L49" i="5"/>
  <c r="D51" i="5"/>
  <c r="D53" i="5"/>
  <c r="L53" i="5"/>
  <c r="L55" i="5"/>
  <c r="L57" i="5"/>
  <c r="D59" i="5"/>
  <c r="L59" i="5"/>
  <c r="D62" i="5"/>
  <c r="L62" i="5"/>
  <c r="J41" i="5"/>
  <c r="J47" i="5"/>
  <c r="J51" i="5"/>
  <c r="J55" i="5"/>
  <c r="J57" i="5"/>
  <c r="C41" i="5"/>
  <c r="K41" i="5"/>
  <c r="C43" i="5"/>
  <c r="K43" i="5"/>
  <c r="C45" i="5"/>
  <c r="K45" i="5"/>
  <c r="C47" i="5"/>
  <c r="K47" i="5"/>
  <c r="C49" i="5"/>
  <c r="K49" i="5"/>
  <c r="C51" i="5"/>
  <c r="K51" i="5"/>
  <c r="C53" i="5"/>
  <c r="K53" i="5"/>
  <c r="C55" i="5"/>
  <c r="K55" i="5"/>
  <c r="C57" i="5"/>
  <c r="K57" i="5"/>
  <c r="C59" i="5"/>
  <c r="K59" i="5"/>
  <c r="C62" i="5"/>
  <c r="K62" i="5"/>
  <c r="D41" i="5"/>
  <c r="L45" i="5"/>
  <c r="L47" i="5"/>
  <c r="D49" i="5"/>
  <c r="L51" i="5"/>
  <c r="I40" i="5"/>
  <c r="E41" i="5"/>
  <c r="M41" i="5"/>
  <c r="I42" i="5"/>
  <c r="E43" i="5"/>
  <c r="M43" i="5"/>
  <c r="I44" i="5"/>
  <c r="E45" i="5"/>
  <c r="M45" i="5"/>
  <c r="I46" i="5"/>
  <c r="E47" i="5"/>
  <c r="M47" i="5"/>
  <c r="I48" i="5"/>
  <c r="E49" i="5"/>
  <c r="M49" i="5"/>
  <c r="I50" i="5"/>
  <c r="E51" i="5"/>
  <c r="M51" i="5"/>
  <c r="I52" i="5"/>
  <c r="E53" i="5"/>
  <c r="M53" i="5"/>
  <c r="I54" i="5"/>
  <c r="M55" i="5"/>
  <c r="I56" i="5"/>
  <c r="M57" i="5"/>
  <c r="I58" i="5"/>
  <c r="E59" i="5"/>
  <c r="M59" i="5"/>
  <c r="I60" i="5"/>
  <c r="E62" i="5"/>
  <c r="M62" i="5"/>
  <c r="I63" i="5"/>
  <c r="J59" i="5"/>
  <c r="J40" i="5"/>
  <c r="F41" i="5"/>
  <c r="J42" i="5"/>
  <c r="F43" i="5"/>
  <c r="J44" i="5"/>
  <c r="F45" i="5"/>
  <c r="J46" i="5"/>
  <c r="F47" i="5"/>
  <c r="J48" i="5"/>
  <c r="F49" i="5"/>
  <c r="J50" i="5"/>
  <c r="F51" i="5"/>
  <c r="J52" i="5"/>
  <c r="F53" i="5"/>
  <c r="J54" i="5"/>
  <c r="F55" i="5"/>
  <c r="J56" i="5"/>
  <c r="F57" i="5"/>
  <c r="J58" i="5"/>
  <c r="F59" i="5"/>
  <c r="J60" i="5"/>
  <c r="F62" i="5"/>
  <c r="J63" i="5"/>
  <c r="G43" i="5"/>
  <c r="K63" i="5"/>
  <c r="J49" i="5"/>
  <c r="J53" i="5"/>
  <c r="J62" i="5"/>
  <c r="G45" i="5"/>
  <c r="G49" i="5"/>
  <c r="G51" i="5"/>
  <c r="G53" i="5"/>
  <c r="G62" i="5"/>
  <c r="D40" i="5"/>
  <c r="L40" i="5"/>
  <c r="D42" i="5"/>
  <c r="L42" i="5"/>
  <c r="D44" i="5"/>
  <c r="L44" i="5"/>
  <c r="D46" i="5"/>
  <c r="L46" i="5"/>
  <c r="D48" i="5"/>
  <c r="L48" i="5"/>
  <c r="D50" i="5"/>
  <c r="L50" i="5"/>
  <c r="D52" i="5"/>
  <c r="L52" i="5"/>
  <c r="D54" i="5"/>
  <c r="L54" i="5"/>
  <c r="L56" i="5"/>
  <c r="L58" i="5"/>
  <c r="D60" i="5"/>
  <c r="L60" i="5"/>
  <c r="D63" i="5"/>
  <c r="L63" i="5"/>
  <c r="J43" i="5"/>
  <c r="G41" i="5"/>
  <c r="G47" i="5"/>
  <c r="G59" i="5"/>
  <c r="E40" i="5"/>
  <c r="E42" i="5"/>
  <c r="E44" i="5"/>
  <c r="E46" i="5"/>
  <c r="E48" i="5"/>
  <c r="E50" i="5"/>
  <c r="E52" i="5"/>
  <c r="E54" i="5"/>
  <c r="E60" i="5"/>
  <c r="E63" i="5"/>
  <c r="J184" i="4"/>
  <c r="J198" i="4"/>
  <c r="J181" i="4"/>
  <c r="F182" i="4"/>
  <c r="J183" i="4"/>
  <c r="F184" i="4"/>
  <c r="J185" i="4"/>
  <c r="F186" i="4"/>
  <c r="J187" i="4"/>
  <c r="F188" i="4"/>
  <c r="J189" i="4"/>
  <c r="F190" i="4"/>
  <c r="J191" i="4"/>
  <c r="F192" i="4"/>
  <c r="J193" i="4"/>
  <c r="F194" i="4"/>
  <c r="J195" i="4"/>
  <c r="F196" i="4"/>
  <c r="J197" i="4"/>
  <c r="F198" i="4"/>
  <c r="J199" i="4"/>
  <c r="F200" i="4"/>
  <c r="J202" i="4"/>
  <c r="F203" i="4"/>
  <c r="I203" i="4"/>
  <c r="J203" i="4"/>
  <c r="J180" i="4"/>
  <c r="J182" i="4"/>
  <c r="J186" i="4"/>
  <c r="C180" i="4"/>
  <c r="K180" i="4"/>
  <c r="G181" i="4"/>
  <c r="C182" i="4"/>
  <c r="K182" i="4"/>
  <c r="G183" i="4"/>
  <c r="C184" i="4"/>
  <c r="K184" i="4"/>
  <c r="G185" i="4"/>
  <c r="C186" i="4"/>
  <c r="K186" i="4"/>
  <c r="G187" i="4"/>
  <c r="C188" i="4"/>
  <c r="K188" i="4"/>
  <c r="G189" i="4"/>
  <c r="C190" i="4"/>
  <c r="K190" i="4"/>
  <c r="G191" i="4"/>
  <c r="C192" i="4"/>
  <c r="K192" i="4"/>
  <c r="G193" i="4"/>
  <c r="C194" i="4"/>
  <c r="K194" i="4"/>
  <c r="C196" i="4"/>
  <c r="K196" i="4"/>
  <c r="C198" i="4"/>
  <c r="K198" i="4"/>
  <c r="G199" i="4"/>
  <c r="C200" i="4"/>
  <c r="K200" i="4"/>
  <c r="G202" i="4"/>
  <c r="C203" i="4"/>
  <c r="K203" i="4"/>
  <c r="D180" i="4"/>
  <c r="L180" i="4"/>
  <c r="D182" i="4"/>
  <c r="L182" i="4"/>
  <c r="D184" i="4"/>
  <c r="L184" i="4"/>
  <c r="D186" i="4"/>
  <c r="L186" i="4"/>
  <c r="D188" i="4"/>
  <c r="L188" i="4"/>
  <c r="D190" i="4"/>
  <c r="L190" i="4"/>
  <c r="D192" i="4"/>
  <c r="L192" i="4"/>
  <c r="D194" i="4"/>
  <c r="L194" i="4"/>
  <c r="L196" i="4"/>
  <c r="L198" i="4"/>
  <c r="D200" i="4"/>
  <c r="L200" i="4"/>
  <c r="D203" i="4"/>
  <c r="L203" i="4"/>
  <c r="J188" i="4"/>
  <c r="J190" i="4"/>
  <c r="J192" i="4"/>
  <c r="J194" i="4"/>
  <c r="J196" i="4"/>
  <c r="J200" i="4"/>
  <c r="E180" i="4"/>
  <c r="E182" i="4"/>
  <c r="E184" i="4"/>
  <c r="E186" i="4"/>
  <c r="E188" i="4"/>
  <c r="E190" i="4"/>
  <c r="E192" i="4"/>
  <c r="E194" i="4"/>
  <c r="E200" i="4"/>
  <c r="E203" i="4"/>
  <c r="K134" i="4"/>
  <c r="C146" i="4"/>
  <c r="K146" i="4"/>
  <c r="C150" i="4"/>
  <c r="K150" i="4"/>
  <c r="C152" i="4"/>
  <c r="K152" i="4"/>
  <c r="C155" i="4"/>
  <c r="K155" i="4"/>
  <c r="D138" i="4"/>
  <c r="D155" i="4"/>
  <c r="L155" i="4"/>
  <c r="J134" i="4"/>
  <c r="J144" i="4"/>
  <c r="J148" i="4"/>
  <c r="J150" i="4"/>
  <c r="J152" i="4"/>
  <c r="K136" i="4"/>
  <c r="C138" i="4"/>
  <c r="L138" i="4"/>
  <c r="D140" i="4"/>
  <c r="L140" i="4"/>
  <c r="D142" i="4"/>
  <c r="L142" i="4"/>
  <c r="D144" i="4"/>
  <c r="D146" i="4"/>
  <c r="L146" i="4"/>
  <c r="L150" i="4"/>
  <c r="D152" i="4"/>
  <c r="L152" i="4"/>
  <c r="E134" i="4"/>
  <c r="M134" i="4"/>
  <c r="E136" i="4"/>
  <c r="M136" i="4"/>
  <c r="E138" i="4"/>
  <c r="M138" i="4"/>
  <c r="E140" i="4"/>
  <c r="M140" i="4"/>
  <c r="E142" i="4"/>
  <c r="M142" i="4"/>
  <c r="E144" i="4"/>
  <c r="M144" i="4"/>
  <c r="E146" i="4"/>
  <c r="M146" i="4"/>
  <c r="M148" i="4"/>
  <c r="M150" i="4"/>
  <c r="E152" i="4"/>
  <c r="M152" i="4"/>
  <c r="E155" i="4"/>
  <c r="M155" i="4"/>
  <c r="J133" i="4"/>
  <c r="F134" i="4"/>
  <c r="J135" i="4"/>
  <c r="F136" i="4"/>
  <c r="J137" i="4"/>
  <c r="F138" i="4"/>
  <c r="J139" i="4"/>
  <c r="F140" i="4"/>
  <c r="J141" i="4"/>
  <c r="F142" i="4"/>
  <c r="J143" i="4"/>
  <c r="F144" i="4"/>
  <c r="J145" i="4"/>
  <c r="F146" i="4"/>
  <c r="J147" i="4"/>
  <c r="F148" i="4"/>
  <c r="J149" i="4"/>
  <c r="F150" i="4"/>
  <c r="J151" i="4"/>
  <c r="F152" i="4"/>
  <c r="J153" i="4"/>
  <c r="F155" i="4"/>
  <c r="J156" i="4"/>
  <c r="J140" i="4"/>
  <c r="J142" i="4"/>
  <c r="C134" i="4"/>
  <c r="C136" i="4"/>
  <c r="K140" i="4"/>
  <c r="K142" i="4"/>
  <c r="K144" i="4"/>
  <c r="C148" i="4"/>
  <c r="L136" i="4"/>
  <c r="L148" i="4"/>
  <c r="G134" i="4"/>
  <c r="G138" i="4"/>
  <c r="G144" i="4"/>
  <c r="G155" i="4"/>
  <c r="D133" i="4"/>
  <c r="L133" i="4"/>
  <c r="D135" i="4"/>
  <c r="L135" i="4"/>
  <c r="D137" i="4"/>
  <c r="L137" i="4"/>
  <c r="D139" i="4"/>
  <c r="L139" i="4"/>
  <c r="D141" i="4"/>
  <c r="L141" i="4"/>
  <c r="D143" i="4"/>
  <c r="L143" i="4"/>
  <c r="D145" i="4"/>
  <c r="L145" i="4"/>
  <c r="D147" i="4"/>
  <c r="L147" i="4"/>
  <c r="L149" i="4"/>
  <c r="L151" i="4"/>
  <c r="D153" i="4"/>
  <c r="L153" i="4"/>
  <c r="D156" i="4"/>
  <c r="L156" i="4"/>
  <c r="J155" i="4"/>
  <c r="K138" i="4"/>
  <c r="C140" i="4"/>
  <c r="C142" i="4"/>
  <c r="C144" i="4"/>
  <c r="K148" i="4"/>
  <c r="D134" i="4"/>
  <c r="L134" i="4"/>
  <c r="D136" i="4"/>
  <c r="L144" i="4"/>
  <c r="G136" i="4"/>
  <c r="G140" i="4"/>
  <c r="G142" i="4"/>
  <c r="G146" i="4"/>
  <c r="G152" i="4"/>
  <c r="E133" i="4"/>
  <c r="E135" i="4"/>
  <c r="E137" i="4"/>
  <c r="E139" i="4"/>
  <c r="E141" i="4"/>
  <c r="E143" i="4"/>
  <c r="E145" i="4"/>
  <c r="E147" i="4"/>
  <c r="E153" i="4"/>
  <c r="E156" i="4"/>
  <c r="G48" i="4"/>
  <c r="D89" i="4"/>
  <c r="I41" i="4"/>
  <c r="F94" i="4"/>
  <c r="C48" i="4"/>
  <c r="K40" i="4"/>
  <c r="G42" i="4"/>
  <c r="D48" i="4"/>
  <c r="J49" i="4"/>
  <c r="M58" i="4"/>
  <c r="K48" i="4"/>
  <c r="O108" i="4"/>
  <c r="J57" i="4"/>
  <c r="L91" i="4"/>
  <c r="F96" i="4"/>
  <c r="D105" i="4"/>
  <c r="M49" i="4"/>
  <c r="C56" i="4"/>
  <c r="L48" i="4"/>
  <c r="E58" i="4"/>
  <c r="D87" i="4"/>
  <c r="L105" i="4"/>
  <c r="K42" i="4"/>
  <c r="K50" i="4"/>
  <c r="K58" i="4"/>
  <c r="C41" i="4"/>
  <c r="C57" i="4"/>
  <c r="D40" i="4"/>
  <c r="J41" i="4"/>
  <c r="G49" i="4"/>
  <c r="M50" i="4"/>
  <c r="J56" i="4"/>
  <c r="F58" i="4"/>
  <c r="L87" i="4"/>
  <c r="AW87" i="4" s="1"/>
  <c r="F92" i="4"/>
  <c r="I96" i="4"/>
  <c r="L103" i="4"/>
  <c r="M108" i="4"/>
  <c r="F98" i="4"/>
  <c r="D108" i="4"/>
  <c r="G40" i="4"/>
  <c r="E108" i="4"/>
  <c r="I56" i="4"/>
  <c r="L89" i="4"/>
  <c r="C40" i="4"/>
  <c r="I40" i="4"/>
  <c r="E42" i="4"/>
  <c r="K56" i="4"/>
  <c r="G58" i="4"/>
  <c r="I94" i="4"/>
  <c r="L101" i="4"/>
  <c r="D91" i="4"/>
  <c r="I98" i="4"/>
  <c r="L108" i="4"/>
  <c r="C47" i="4"/>
  <c r="F88" i="4"/>
  <c r="I92" i="4"/>
  <c r="D97" i="4"/>
  <c r="L99" i="4"/>
  <c r="F104" i="4"/>
  <c r="J87" i="4"/>
  <c r="J89" i="4"/>
  <c r="J91" i="4"/>
  <c r="J93" i="4"/>
  <c r="J95" i="4"/>
  <c r="J97" i="4"/>
  <c r="J99" i="4"/>
  <c r="J101" i="4"/>
  <c r="J103" i="4"/>
  <c r="J105" i="4"/>
  <c r="J108" i="4"/>
  <c r="F109" i="4"/>
  <c r="O86" i="4"/>
  <c r="G86" i="4"/>
  <c r="C87" i="4"/>
  <c r="K87" i="4"/>
  <c r="G88" i="4"/>
  <c r="C89" i="4"/>
  <c r="K89" i="4"/>
  <c r="G90" i="4"/>
  <c r="C91" i="4"/>
  <c r="K91" i="4"/>
  <c r="G92" i="4"/>
  <c r="C93" i="4"/>
  <c r="K93" i="4"/>
  <c r="G94" i="4"/>
  <c r="C95" i="4"/>
  <c r="K95" i="4"/>
  <c r="G96" i="4"/>
  <c r="C97" i="4"/>
  <c r="K97" i="4"/>
  <c r="G98" i="4"/>
  <c r="C99" i="4"/>
  <c r="K99" i="4"/>
  <c r="G100" i="4"/>
  <c r="C101" i="4"/>
  <c r="K101" i="4"/>
  <c r="C103" i="4"/>
  <c r="K103" i="4"/>
  <c r="C105" i="4"/>
  <c r="K105" i="4"/>
  <c r="G106" i="4"/>
  <c r="C108" i="4"/>
  <c r="K108" i="4"/>
  <c r="G109" i="4"/>
  <c r="E87" i="4"/>
  <c r="M87" i="4"/>
  <c r="E89" i="4"/>
  <c r="M89" i="4"/>
  <c r="E91" i="4"/>
  <c r="M91" i="4"/>
  <c r="E93" i="4"/>
  <c r="M93" i="4"/>
  <c r="M97" i="4"/>
  <c r="E99" i="4"/>
  <c r="M99" i="4"/>
  <c r="M103" i="4"/>
  <c r="E105" i="4"/>
  <c r="M105" i="4"/>
  <c r="F99" i="4"/>
  <c r="J100" i="4"/>
  <c r="J102" i="4"/>
  <c r="F103" i="4"/>
  <c r="J104" i="4"/>
  <c r="F105" i="4"/>
  <c r="F108" i="4"/>
  <c r="C86" i="4"/>
  <c r="K86" i="4"/>
  <c r="G87" i="4"/>
  <c r="C88" i="4"/>
  <c r="K88" i="4"/>
  <c r="G89" i="4"/>
  <c r="C90" i="4"/>
  <c r="K90" i="4"/>
  <c r="G91" i="4"/>
  <c r="C92" i="4"/>
  <c r="K92" i="4"/>
  <c r="G93" i="4"/>
  <c r="C94" i="4"/>
  <c r="K94" i="4"/>
  <c r="G95" i="4"/>
  <c r="C96" i="4"/>
  <c r="K96" i="4"/>
  <c r="G97" i="4"/>
  <c r="C98" i="4"/>
  <c r="K98" i="4"/>
  <c r="G99" i="4"/>
  <c r="C100" i="4"/>
  <c r="K100" i="4"/>
  <c r="C102" i="4"/>
  <c r="K102" i="4"/>
  <c r="C104" i="4"/>
  <c r="K104" i="4"/>
  <c r="G105" i="4"/>
  <c r="C106" i="4"/>
  <c r="K106" i="4"/>
  <c r="G108" i="4"/>
  <c r="C109" i="4"/>
  <c r="K109" i="4"/>
  <c r="F89" i="4"/>
  <c r="F91" i="4"/>
  <c r="J92" i="4"/>
  <c r="F93" i="4"/>
  <c r="J94" i="4"/>
  <c r="J96" i="4"/>
  <c r="J106" i="4"/>
  <c r="J109" i="4"/>
  <c r="D86" i="4"/>
  <c r="L86" i="4"/>
  <c r="R86" i="4" s="1"/>
  <c r="D88" i="4"/>
  <c r="L88" i="4"/>
  <c r="D90" i="4"/>
  <c r="L90" i="4"/>
  <c r="D92" i="4"/>
  <c r="L92" i="4"/>
  <c r="D94" i="4"/>
  <c r="L94" i="4"/>
  <c r="D96" i="4"/>
  <c r="L96" i="4"/>
  <c r="D98" i="4"/>
  <c r="L98" i="4"/>
  <c r="D100" i="4"/>
  <c r="L100" i="4"/>
  <c r="L102" i="4"/>
  <c r="L104" i="4"/>
  <c r="D106" i="4"/>
  <c r="L106" i="4"/>
  <c r="D109" i="4"/>
  <c r="L109" i="4"/>
  <c r="E95" i="4"/>
  <c r="M95" i="4"/>
  <c r="E97" i="4"/>
  <c r="M101" i="4"/>
  <c r="J86" i="4"/>
  <c r="F87" i="4"/>
  <c r="J88" i="4"/>
  <c r="J90" i="4"/>
  <c r="F95" i="4"/>
  <c r="F97" i="4"/>
  <c r="J98" i="4"/>
  <c r="F101" i="4"/>
  <c r="E86" i="4"/>
  <c r="E88" i="4"/>
  <c r="E90" i="4"/>
  <c r="E92" i="4"/>
  <c r="E94" i="4"/>
  <c r="E96" i="4"/>
  <c r="E98" i="4"/>
  <c r="E100" i="4"/>
  <c r="E106" i="4"/>
  <c r="E109" i="4"/>
  <c r="K59" i="4"/>
  <c r="L43" i="4"/>
  <c r="D51" i="4"/>
  <c r="L59" i="4"/>
  <c r="F43" i="4"/>
  <c r="F51" i="4"/>
  <c r="J53" i="4"/>
  <c r="O59" i="4"/>
  <c r="C45" i="4"/>
  <c r="C53" i="4"/>
  <c r="C62" i="4"/>
  <c r="J39" i="4"/>
  <c r="F41" i="4"/>
  <c r="D42" i="4"/>
  <c r="L42" i="4"/>
  <c r="J43" i="4"/>
  <c r="F45" i="4"/>
  <c r="D46" i="4"/>
  <c r="L46" i="4"/>
  <c r="J47" i="4"/>
  <c r="F49" i="4"/>
  <c r="D50" i="4"/>
  <c r="L50" i="4"/>
  <c r="J51" i="4"/>
  <c r="F53" i="4"/>
  <c r="L54" i="4"/>
  <c r="J55" i="4"/>
  <c r="F57" i="4"/>
  <c r="D58" i="4"/>
  <c r="L58" i="4"/>
  <c r="J59" i="4"/>
  <c r="F62" i="4"/>
  <c r="J61" i="4"/>
  <c r="E43" i="4"/>
  <c r="K44" i="4"/>
  <c r="E51" i="4"/>
  <c r="I53" i="4"/>
  <c r="M59" i="4"/>
  <c r="F59" i="4"/>
  <c r="D61" i="4"/>
  <c r="L61" i="4"/>
  <c r="J62" i="4"/>
  <c r="C42" i="4"/>
  <c r="C50" i="4"/>
  <c r="C58" i="4"/>
  <c r="G39" i="4"/>
  <c r="E40" i="4"/>
  <c r="M40" i="4"/>
  <c r="K41" i="4"/>
  <c r="I42" i="4"/>
  <c r="G43" i="4"/>
  <c r="E44" i="4"/>
  <c r="M44" i="4"/>
  <c r="K45" i="4"/>
  <c r="I46" i="4"/>
  <c r="G47" i="4"/>
  <c r="E48" i="4"/>
  <c r="M48" i="4"/>
  <c r="K49" i="4"/>
  <c r="I50" i="4"/>
  <c r="G51" i="4"/>
  <c r="E52" i="4"/>
  <c r="M52" i="4"/>
  <c r="K53" i="4"/>
  <c r="I54" i="4"/>
  <c r="M56" i="4"/>
  <c r="K57" i="4"/>
  <c r="I58" i="4"/>
  <c r="G59" i="4"/>
  <c r="E61" i="4"/>
  <c r="M61" i="4"/>
  <c r="K62" i="4"/>
  <c r="K43" i="4"/>
  <c r="K51" i="4"/>
  <c r="I45" i="4"/>
  <c r="K52" i="4"/>
  <c r="K61" i="4"/>
  <c r="D44" i="4"/>
  <c r="J45" i="4"/>
  <c r="C43" i="4"/>
  <c r="C51" i="4"/>
  <c r="C59" i="4"/>
  <c r="F40" i="4"/>
  <c r="D41" i="4"/>
  <c r="L41" i="4"/>
  <c r="J42" i="4"/>
  <c r="F44" i="4"/>
  <c r="D45" i="4"/>
  <c r="L45" i="4"/>
  <c r="J46" i="4"/>
  <c r="F48" i="4"/>
  <c r="D49" i="4"/>
  <c r="L49" i="4"/>
  <c r="J50" i="4"/>
  <c r="F52" i="4"/>
  <c r="D53" i="4"/>
  <c r="L53" i="4"/>
  <c r="J54" i="4"/>
  <c r="F56" i="4"/>
  <c r="L57" i="4"/>
  <c r="J58" i="4"/>
  <c r="F61" i="4"/>
  <c r="D62" i="4"/>
  <c r="L62" i="4"/>
  <c r="D43" i="4"/>
  <c r="J44" i="4"/>
  <c r="L51" i="4"/>
  <c r="J52" i="4"/>
  <c r="D59" i="4"/>
  <c r="M43" i="4"/>
  <c r="M51" i="4"/>
  <c r="E59" i="4"/>
  <c r="L44" i="4"/>
  <c r="D52" i="4"/>
  <c r="L52" i="4"/>
  <c r="C44" i="4"/>
  <c r="C52" i="4"/>
  <c r="C61" i="4"/>
  <c r="E41" i="4"/>
  <c r="E45" i="4"/>
  <c r="E49" i="4"/>
  <c r="E53" i="4"/>
  <c r="E62" i="4"/>
  <c r="J62" i="2"/>
  <c r="P41" i="2"/>
  <c r="H184" i="4" s="1"/>
  <c r="N41" i="2"/>
  <c r="X41" i="2" s="1"/>
  <c r="J41" i="2"/>
  <c r="I41" i="2"/>
  <c r="H41" i="2"/>
  <c r="AD41" i="2" s="1"/>
  <c r="P40" i="2"/>
  <c r="H42" i="4" s="1"/>
  <c r="N40" i="2"/>
  <c r="X40" i="2" s="1"/>
  <c r="J40" i="2"/>
  <c r="I40" i="2"/>
  <c r="H40" i="2"/>
  <c r="AD40" i="2" s="1"/>
  <c r="P60" i="2"/>
  <c r="H203" i="4" s="1"/>
  <c r="N60" i="2"/>
  <c r="P59" i="2"/>
  <c r="H202" i="4" s="1"/>
  <c r="N59" i="2"/>
  <c r="X59" i="2" s="1"/>
  <c r="J59" i="2"/>
  <c r="I60" i="2"/>
  <c r="H60" i="2"/>
  <c r="AD60" i="2" s="1"/>
  <c r="I59" i="2"/>
  <c r="H59" i="2"/>
  <c r="AD59" i="2" s="1"/>
  <c r="H61" i="4" l="1"/>
  <c r="H109" i="5"/>
  <c r="H62" i="5"/>
  <c r="H89" i="4"/>
  <c r="H155" i="4"/>
  <c r="H63" i="5"/>
  <c r="H156" i="5"/>
  <c r="H109" i="4"/>
  <c r="H91" i="5"/>
  <c r="H43" i="5"/>
  <c r="H136" i="4"/>
  <c r="H108" i="4"/>
  <c r="H183" i="4"/>
  <c r="H110" i="5"/>
  <c r="H138" i="5"/>
  <c r="H157" i="5"/>
  <c r="H90" i="5"/>
  <c r="H137" i="5"/>
  <c r="H137" i="4"/>
  <c r="H44" i="5"/>
  <c r="H156" i="4"/>
  <c r="H62" i="4"/>
  <c r="H43" i="4"/>
  <c r="H90" i="4"/>
  <c r="AC41" i="2"/>
  <c r="V53" i="1"/>
  <c r="AC59" i="2"/>
  <c r="V71" i="1"/>
  <c r="AC60" i="2"/>
  <c r="AC40" i="2"/>
  <c r="V52" i="1"/>
  <c r="Y41" i="2"/>
  <c r="BB87" i="4"/>
  <c r="AH87" i="4"/>
  <c r="CN87" i="4"/>
  <c r="CR87" i="4"/>
  <c r="BQ87" i="4"/>
  <c r="CY87" i="4"/>
  <c r="AX87" i="4"/>
  <c r="BG87" i="4"/>
  <c r="CJ87" i="4"/>
  <c r="W87" i="4"/>
  <c r="BE87" i="4"/>
  <c r="BC87" i="4"/>
  <c r="AO87" i="4"/>
  <c r="BN87" i="4"/>
  <c r="CS87" i="4"/>
  <c r="V87" i="4"/>
  <c r="CB87" i="4"/>
  <c r="BO87" i="4"/>
  <c r="AB87" i="4"/>
  <c r="AL87" i="4"/>
  <c r="CC87" i="4"/>
  <c r="DJ87" i="4"/>
  <c r="CE87" i="4"/>
  <c r="U87" i="4"/>
  <c r="X87" i="4"/>
  <c r="AU87" i="4"/>
  <c r="CO87" i="4"/>
  <c r="BF87" i="4"/>
  <c r="CT87" i="4"/>
  <c r="DB87" i="4"/>
  <c r="AF87" i="4"/>
  <c r="CU87" i="4"/>
  <c r="BX87" i="4"/>
  <c r="DC87" i="4"/>
  <c r="CF87" i="4"/>
  <c r="BL87" i="4"/>
  <c r="BZ87" i="4"/>
  <c r="DG87" i="4"/>
  <c r="CX87" i="4"/>
  <c r="AP87" i="4"/>
  <c r="BA87" i="4"/>
  <c r="CQ87" i="4"/>
  <c r="CL87" i="4"/>
  <c r="BI87" i="4"/>
  <c r="CI87" i="4"/>
  <c r="DK87" i="4"/>
  <c r="T87" i="4"/>
  <c r="AR87" i="4"/>
  <c r="AQ87" i="4"/>
  <c r="AE87" i="4"/>
  <c r="DA87" i="4"/>
  <c r="BT87" i="4"/>
  <c r="CA87" i="4"/>
  <c r="CK87" i="4"/>
  <c r="BR87" i="4"/>
  <c r="AM87" i="4"/>
  <c r="AS87" i="4"/>
  <c r="BU87" i="4"/>
  <c r="CG87" i="4"/>
  <c r="DL87" i="4"/>
  <c r="BK87" i="4"/>
  <c r="BP87" i="4"/>
  <c r="AN87" i="4"/>
  <c r="CZ87" i="4"/>
  <c r="AK87" i="4"/>
  <c r="AT87" i="4"/>
  <c r="DI87" i="4"/>
  <c r="S87" i="4"/>
  <c r="AI87" i="4"/>
  <c r="BJ87" i="4"/>
  <c r="BW87" i="4"/>
  <c r="CP87" i="4"/>
  <c r="AG87" i="4"/>
  <c r="BY87" i="4"/>
  <c r="AV87" i="4"/>
  <c r="DH87" i="4"/>
  <c r="AA87" i="4"/>
  <c r="AJ87" i="4"/>
  <c r="BS87" i="4"/>
  <c r="CM87" i="4"/>
  <c r="DD87" i="4"/>
  <c r="Y87" i="4"/>
  <c r="AZ87" i="4"/>
  <c r="BM87" i="4"/>
  <c r="BV87" i="4"/>
  <c r="AD87" i="4"/>
  <c r="CH87" i="4"/>
  <c r="BD87" i="4"/>
  <c r="CV87" i="4"/>
  <c r="DE87" i="4"/>
  <c r="Z87" i="4"/>
  <c r="AC87" i="4"/>
  <c r="DF87" i="4"/>
  <c r="CD87" i="4"/>
  <c r="BH87" i="4"/>
  <c r="AY87" i="4"/>
  <c r="CW87" i="4"/>
  <c r="DJ86" i="4"/>
  <c r="DB86" i="4"/>
  <c r="CT86" i="4"/>
  <c r="CL86" i="4"/>
  <c r="CD86" i="4"/>
  <c r="BV86" i="4"/>
  <c r="BN86" i="4"/>
  <c r="BF86" i="4"/>
  <c r="AX86" i="4"/>
  <c r="AP86" i="4"/>
  <c r="AH86" i="4"/>
  <c r="Z86" i="4"/>
  <c r="DG86" i="4"/>
  <c r="CX86" i="4"/>
  <c r="CO86" i="4"/>
  <c r="CF86" i="4"/>
  <c r="BW86" i="4"/>
  <c r="BM86" i="4"/>
  <c r="BD86" i="4"/>
  <c r="AU86" i="4"/>
  <c r="AL86" i="4"/>
  <c r="AC86" i="4"/>
  <c r="T86" i="4"/>
  <c r="DH86" i="4"/>
  <c r="CW86" i="4"/>
  <c r="CM86" i="4"/>
  <c r="CB86" i="4"/>
  <c r="BR86" i="4"/>
  <c r="BH86" i="4"/>
  <c r="AW86" i="4"/>
  <c r="AM86" i="4"/>
  <c r="AB86" i="4"/>
  <c r="DD86" i="4"/>
  <c r="CS86" i="4"/>
  <c r="CI86" i="4"/>
  <c r="BY86" i="4"/>
  <c r="BO86" i="4"/>
  <c r="BC86" i="4"/>
  <c r="AS86" i="4"/>
  <c r="AI86" i="4"/>
  <c r="X86" i="4"/>
  <c r="CR86" i="4"/>
  <c r="BB86" i="4"/>
  <c r="DL86" i="4"/>
  <c r="CG86" i="4"/>
  <c r="AQ86" i="4"/>
  <c r="DF86" i="4"/>
  <c r="CV86" i="4"/>
  <c r="CK86" i="4"/>
  <c r="CA86" i="4"/>
  <c r="BQ86" i="4"/>
  <c r="BG86" i="4"/>
  <c r="AV86" i="4"/>
  <c r="AK86" i="4"/>
  <c r="AA86" i="4"/>
  <c r="DE86" i="4"/>
  <c r="CJ86" i="4"/>
  <c r="BZ86" i="4"/>
  <c r="BE86" i="4"/>
  <c r="AJ86" i="4"/>
  <c r="DC86" i="4"/>
  <c r="BX86" i="4"/>
  <c r="AR86" i="4"/>
  <c r="W86" i="4"/>
  <c r="BU86" i="4"/>
  <c r="AF86" i="4"/>
  <c r="CU86" i="4"/>
  <c r="BP86" i="4"/>
  <c r="AT86" i="4"/>
  <c r="Y86" i="4"/>
  <c r="CH86" i="4"/>
  <c r="BL86" i="4"/>
  <c r="AG86" i="4"/>
  <c r="DA86" i="4"/>
  <c r="BA86" i="4"/>
  <c r="V86" i="4"/>
  <c r="DK86" i="4"/>
  <c r="CZ86" i="4"/>
  <c r="CP86" i="4"/>
  <c r="CE86" i="4"/>
  <c r="BT86" i="4"/>
  <c r="BJ86" i="4"/>
  <c r="AZ86" i="4"/>
  <c r="AO86" i="4"/>
  <c r="AE86" i="4"/>
  <c r="U86" i="4"/>
  <c r="DI86" i="4"/>
  <c r="CY86" i="4"/>
  <c r="CN86" i="4"/>
  <c r="CC86" i="4"/>
  <c r="BS86" i="4"/>
  <c r="BI86" i="4"/>
  <c r="AY86" i="4"/>
  <c r="AN86" i="4"/>
  <c r="AD86" i="4"/>
  <c r="S86" i="4"/>
  <c r="CQ86" i="4"/>
  <c r="BK86" i="4"/>
  <c r="DH94" i="4"/>
  <c r="CZ94" i="4"/>
  <c r="CR94" i="4"/>
  <c r="CJ94" i="4"/>
  <c r="CB94" i="4"/>
  <c r="BT94" i="4"/>
  <c r="BL94" i="4"/>
  <c r="BD94" i="4"/>
  <c r="AV94" i="4"/>
  <c r="AN94" i="4"/>
  <c r="AF94" i="4"/>
  <c r="X94" i="4"/>
  <c r="DI94" i="4"/>
  <c r="CY94" i="4"/>
  <c r="CP94" i="4"/>
  <c r="CG94" i="4"/>
  <c r="BX94" i="4"/>
  <c r="BO94" i="4"/>
  <c r="BF94" i="4"/>
  <c r="AW94" i="4"/>
  <c r="AM94" i="4"/>
  <c r="AD94" i="4"/>
  <c r="U94" i="4"/>
  <c r="DF94" i="4"/>
  <c r="CV94" i="4"/>
  <c r="CL94" i="4"/>
  <c r="CA94" i="4"/>
  <c r="BQ94" i="4"/>
  <c r="BG94" i="4"/>
  <c r="AU94" i="4"/>
  <c r="AK94" i="4"/>
  <c r="AA94" i="4"/>
  <c r="DE94" i="4"/>
  <c r="CU94" i="4"/>
  <c r="CK94" i="4"/>
  <c r="BZ94" i="4"/>
  <c r="BP94" i="4"/>
  <c r="BE94" i="4"/>
  <c r="AT94" i="4"/>
  <c r="AJ94" i="4"/>
  <c r="Z94" i="4"/>
  <c r="DB94" i="4"/>
  <c r="CN94" i="4"/>
  <c r="BY94" i="4"/>
  <c r="BK94" i="4"/>
  <c r="AY94" i="4"/>
  <c r="AI94" i="4"/>
  <c r="V94" i="4"/>
  <c r="DA94" i="4"/>
  <c r="CM94" i="4"/>
  <c r="BW94" i="4"/>
  <c r="BJ94" i="4"/>
  <c r="AX94" i="4"/>
  <c r="AH94" i="4"/>
  <c r="T94" i="4"/>
  <c r="DJ94" i="4"/>
  <c r="CQ94" i="4"/>
  <c r="BV94" i="4"/>
  <c r="BC94" i="4"/>
  <c r="AO94" i="4"/>
  <c r="S94" i="4"/>
  <c r="DG94" i="4"/>
  <c r="CO94" i="4"/>
  <c r="BU94" i="4"/>
  <c r="BB94" i="4"/>
  <c r="AL94" i="4"/>
  <c r="DD94" i="4"/>
  <c r="CI94" i="4"/>
  <c r="BS94" i="4"/>
  <c r="BA94" i="4"/>
  <c r="AG94" i="4"/>
  <c r="DC94" i="4"/>
  <c r="CH94" i="4"/>
  <c r="BR94" i="4"/>
  <c r="AZ94" i="4"/>
  <c r="AE94" i="4"/>
  <c r="CX94" i="4"/>
  <c r="CF94" i="4"/>
  <c r="BN94" i="4"/>
  <c r="AS94" i="4"/>
  <c r="AC94" i="4"/>
  <c r="CW94" i="4"/>
  <c r="CE94" i="4"/>
  <c r="BM94" i="4"/>
  <c r="AR94" i="4"/>
  <c r="AB94" i="4"/>
  <c r="DL94" i="4"/>
  <c r="CT94" i="4"/>
  <c r="CD94" i="4"/>
  <c r="BI94" i="4"/>
  <c r="AQ94" i="4"/>
  <c r="Y94" i="4"/>
  <c r="CC94" i="4"/>
  <c r="W94" i="4"/>
  <c r="BH94" i="4"/>
  <c r="AP94" i="4"/>
  <c r="DK94" i="4"/>
  <c r="CS94" i="4"/>
  <c r="Y40" i="2"/>
  <c r="Y60" i="2"/>
  <c r="Y59" i="2"/>
  <c r="H14" i="8"/>
  <c r="B34" i="9"/>
  <c r="B30" i="9"/>
  <c r="B26" i="9"/>
  <c r="B22" i="9"/>
  <c r="B18" i="9"/>
  <c r="H15" i="9"/>
  <c r="I15" i="9" s="1"/>
  <c r="I14" i="8" l="1"/>
  <c r="J15" i="9"/>
  <c r="K15" i="9" s="1"/>
  <c r="J14" i="8" l="1"/>
  <c r="L15" i="9"/>
  <c r="K14" i="8" l="1"/>
  <c r="M15" i="9"/>
  <c r="L14" i="8" l="1"/>
  <c r="M14" i="8" s="1"/>
  <c r="N15" i="9"/>
  <c r="N14" i="8" l="1"/>
  <c r="O15" i="9"/>
  <c r="O14" i="8" l="1"/>
  <c r="P15" i="9"/>
  <c r="P14" i="8" l="1"/>
  <c r="Q15" i="9"/>
  <c r="Q14" i="8" l="1"/>
  <c r="R15" i="9"/>
  <c r="R14" i="8" l="1"/>
  <c r="S15" i="9"/>
  <c r="S14" i="8" l="1"/>
  <c r="T15" i="9"/>
  <c r="T14" i="8" l="1"/>
  <c r="U15" i="9"/>
  <c r="U14" i="8" l="1"/>
  <c r="V15" i="9"/>
  <c r="V14" i="8" l="1"/>
  <c r="W15" i="9"/>
  <c r="W14" i="8" l="1"/>
  <c r="X15" i="9"/>
  <c r="X14" i="8" l="1"/>
  <c r="Y15" i="9"/>
  <c r="Y14" i="8" l="1"/>
  <c r="Z15" i="9"/>
  <c r="Z14" i="8" l="1"/>
  <c r="AA15" i="9"/>
  <c r="AA14" i="8" l="1"/>
  <c r="AB15" i="9"/>
  <c r="AB14" i="8" l="1"/>
  <c r="AC15" i="9"/>
  <c r="AC14" i="8" l="1"/>
  <c r="AD15" i="9"/>
  <c r="AD14" i="8" l="1"/>
  <c r="AE15" i="9"/>
  <c r="AE14" i="8" l="1"/>
  <c r="AF15" i="9"/>
  <c r="AF14" i="8" l="1"/>
  <c r="AG15" i="9"/>
  <c r="AG14" i="8" l="1"/>
  <c r="AH15" i="9"/>
  <c r="AH14" i="8" l="1"/>
  <c r="AI15" i="9"/>
  <c r="AI14" i="8" l="1"/>
  <c r="AJ15" i="9"/>
  <c r="AJ14" i="8" l="1"/>
  <c r="AK15" i="9"/>
  <c r="AK14" i="8" l="1"/>
  <c r="AL15" i="9"/>
  <c r="AL14" i="8" l="1"/>
  <c r="AM15" i="9"/>
  <c r="AM14" i="8" l="1"/>
  <c r="AN15" i="9"/>
  <c r="AN14" i="8" l="1"/>
  <c r="AO15" i="9"/>
  <c r="AO14" i="8" l="1"/>
  <c r="AP15" i="9"/>
  <c r="AP14" i="8" l="1"/>
  <c r="AQ15" i="9"/>
  <c r="AQ14" i="8" l="1"/>
  <c r="AR15" i="9"/>
  <c r="AR14" i="8" l="1"/>
  <c r="AS15" i="9"/>
  <c r="AS14" i="8" l="1"/>
  <c r="AT15" i="9"/>
  <c r="AT14" i="8" l="1"/>
  <c r="AU15" i="9"/>
  <c r="AU14" i="8" l="1"/>
  <c r="AV15" i="9"/>
  <c r="AV14" i="8" l="1"/>
  <c r="AW15" i="9"/>
  <c r="AW14" i="8" l="1"/>
  <c r="AX15" i="9"/>
  <c r="AX14" i="8" l="1"/>
  <c r="AY15" i="9"/>
  <c r="AY14" i="8" l="1"/>
  <c r="AZ15" i="9"/>
  <c r="AZ14" i="8" l="1"/>
  <c r="BA15" i="9"/>
  <c r="BA14" i="8" l="1"/>
  <c r="BB15" i="9"/>
  <c r="BB14" i="8" l="1"/>
  <c r="BC15" i="9"/>
  <c r="BC14" i="8" l="1"/>
  <c r="BD15" i="9"/>
  <c r="BD14" i="8" l="1"/>
  <c r="BE15" i="9"/>
  <c r="BE14" i="8" l="1"/>
  <c r="BF15" i="9"/>
  <c r="BF14" i="8" l="1"/>
  <c r="BG15" i="9"/>
  <c r="BG14" i="8" l="1"/>
  <c r="BH15" i="9"/>
  <c r="BH14" i="8" l="1"/>
  <c r="BI15" i="9"/>
  <c r="BI14" i="8" l="1"/>
  <c r="BJ15" i="9"/>
  <c r="BJ14" i="8" l="1"/>
  <c r="BK15" i="9"/>
  <c r="BK14" i="8" l="1"/>
  <c r="BL15" i="9"/>
  <c r="BL14" i="8" l="1"/>
  <c r="BM15" i="9"/>
  <c r="BM14" i="8" l="1"/>
  <c r="BN15" i="9"/>
  <c r="BN14" i="8" l="1"/>
  <c r="BO15" i="9"/>
  <c r="BO14" i="8" l="1"/>
  <c r="BP15" i="9"/>
  <c r="BP14" i="8" l="1"/>
  <c r="BQ15" i="9"/>
  <c r="BQ14" i="8" l="1"/>
  <c r="BR15" i="9"/>
  <c r="BR14" i="8" l="1"/>
  <c r="BS15" i="9"/>
  <c r="BS14" i="8" l="1"/>
  <c r="BT15" i="9"/>
  <c r="BT14" i="8" l="1"/>
  <c r="BU15" i="9"/>
  <c r="BU14" i="8" l="1"/>
  <c r="BV15" i="9"/>
  <c r="BV14" i="8" l="1"/>
  <c r="BW15" i="9"/>
  <c r="BW14" i="8" l="1"/>
  <c r="BX15" i="9"/>
  <c r="BX14" i="8" l="1"/>
  <c r="BY15" i="9"/>
  <c r="BY14" i="8" l="1"/>
  <c r="BZ15" i="9"/>
  <c r="BZ14" i="8" l="1"/>
  <c r="CA15" i="9"/>
  <c r="CA14" i="8" l="1"/>
  <c r="CB15" i="9"/>
  <c r="CB14" i="8" l="1"/>
  <c r="CC15" i="9"/>
  <c r="CC14" i="8" l="1"/>
  <c r="CD15" i="9"/>
  <c r="CD14" i="8" l="1"/>
  <c r="CE15" i="9"/>
  <c r="CE14" i="8" l="1"/>
  <c r="CF15" i="9"/>
  <c r="CF14" i="8" l="1"/>
  <c r="CG15" i="9"/>
  <c r="CG14" i="8" l="1"/>
  <c r="CH15" i="9"/>
  <c r="CH14" i="8" l="1"/>
  <c r="CI15" i="9"/>
  <c r="CI14" i="8" l="1"/>
  <c r="CJ15" i="9"/>
  <c r="CJ14" i="8" l="1"/>
  <c r="CK15" i="9"/>
  <c r="CK14" i="8" l="1"/>
  <c r="CL15" i="9"/>
  <c r="CL14" i="8" l="1"/>
  <c r="CM15" i="9"/>
  <c r="CM14" i="8" l="1"/>
  <c r="CN15" i="9"/>
  <c r="CN14" i="8" l="1"/>
  <c r="CO15" i="9"/>
  <c r="CO14" i="8" l="1"/>
  <c r="CP15" i="9"/>
  <c r="CP14" i="8" l="1"/>
  <c r="CQ15" i="9"/>
  <c r="CQ14" i="8" l="1"/>
  <c r="CR15" i="9"/>
  <c r="S165" i="5"/>
  <c r="H46" i="8" s="1"/>
  <c r="B132" i="5"/>
  <c r="M132" i="5" s="1"/>
  <c r="B131" i="5"/>
  <c r="K131" i="5" s="1"/>
  <c r="B130" i="5"/>
  <c r="J130" i="5" s="1"/>
  <c r="B129" i="5"/>
  <c r="C129" i="5" s="1"/>
  <c r="B128" i="5"/>
  <c r="B127" i="5"/>
  <c r="L127" i="5" s="1"/>
  <c r="B126" i="5"/>
  <c r="M126" i="5" s="1"/>
  <c r="B125" i="5"/>
  <c r="B124" i="5"/>
  <c r="D124" i="5" s="1"/>
  <c r="B123" i="5"/>
  <c r="B122" i="5"/>
  <c r="O122" i="5" s="1"/>
  <c r="B121" i="5"/>
  <c r="B120" i="5"/>
  <c r="M120" i="5" s="1"/>
  <c r="B119" i="5"/>
  <c r="O119" i="5" s="1"/>
  <c r="B118" i="5"/>
  <c r="J118" i="5" s="1"/>
  <c r="B117" i="5"/>
  <c r="G117" i="5" s="1"/>
  <c r="B116" i="5"/>
  <c r="K116" i="5" s="1"/>
  <c r="B115" i="5"/>
  <c r="I115" i="5" s="1"/>
  <c r="B114" i="5"/>
  <c r="L114" i="5" s="1"/>
  <c r="CR14" i="8" l="1"/>
  <c r="CS15" i="9"/>
  <c r="O125" i="5"/>
  <c r="M125" i="5"/>
  <c r="G119" i="5"/>
  <c r="I119" i="5"/>
  <c r="J119" i="5"/>
  <c r="G125" i="5"/>
  <c r="O128" i="5"/>
  <c r="L119" i="5"/>
  <c r="O129" i="5"/>
  <c r="D125" i="5"/>
  <c r="D120" i="5"/>
  <c r="E125" i="5"/>
  <c r="I128" i="5"/>
  <c r="E119" i="5"/>
  <c r="J128" i="5"/>
  <c r="J115" i="5"/>
  <c r="L129" i="5"/>
  <c r="C125" i="5"/>
  <c r="K115" i="5"/>
  <c r="L125" i="5"/>
  <c r="K129" i="5"/>
  <c r="M130" i="5"/>
  <c r="G124" i="5"/>
  <c r="E130" i="5"/>
  <c r="G122" i="5"/>
  <c r="G130" i="5"/>
  <c r="G132" i="5"/>
  <c r="E124" i="5"/>
  <c r="G118" i="5"/>
  <c r="K122" i="5"/>
  <c r="J124" i="5"/>
  <c r="I129" i="5"/>
  <c r="D122" i="5"/>
  <c r="E132" i="5"/>
  <c r="C120" i="5"/>
  <c r="L124" i="5"/>
  <c r="I125" i="5"/>
  <c r="G128" i="5"/>
  <c r="J129" i="5"/>
  <c r="I130" i="5"/>
  <c r="M116" i="5"/>
  <c r="O126" i="5"/>
  <c r="K127" i="5"/>
  <c r="O131" i="5"/>
  <c r="M127" i="5"/>
  <c r="D117" i="5"/>
  <c r="E121" i="5"/>
  <c r="O127" i="5"/>
  <c r="C116" i="5"/>
  <c r="K114" i="5"/>
  <c r="C114" i="5"/>
  <c r="I120" i="5"/>
  <c r="G121" i="5"/>
  <c r="D116" i="5"/>
  <c r="G126" i="5"/>
  <c r="E116" i="5"/>
  <c r="J117" i="5"/>
  <c r="K120" i="5"/>
  <c r="I121" i="5"/>
  <c r="M119" i="5"/>
  <c r="L120" i="5"/>
  <c r="J121" i="5"/>
  <c r="O124" i="5"/>
  <c r="L126" i="5"/>
  <c r="I127" i="5"/>
  <c r="J131" i="5"/>
  <c r="C127" i="5"/>
  <c r="I117" i="5"/>
  <c r="J120" i="5"/>
  <c r="G127" i="5"/>
  <c r="K117" i="5"/>
  <c r="C119" i="5"/>
  <c r="D119" i="5"/>
  <c r="K125" i="5"/>
  <c r="J127" i="5"/>
  <c r="D130" i="5"/>
  <c r="I114" i="5"/>
  <c r="G114" i="5"/>
  <c r="D114" i="5"/>
  <c r="O114" i="5"/>
  <c r="E114" i="5"/>
  <c r="M114" i="5"/>
  <c r="J114" i="5"/>
  <c r="L123" i="5"/>
  <c r="D123" i="5"/>
  <c r="G123" i="5"/>
  <c r="O123" i="5"/>
  <c r="E123" i="5"/>
  <c r="I123" i="5"/>
  <c r="K123" i="5"/>
  <c r="J123" i="5"/>
  <c r="C123" i="5"/>
  <c r="M123" i="5"/>
  <c r="G116" i="5"/>
  <c r="O116" i="5"/>
  <c r="L116" i="5"/>
  <c r="I118" i="5"/>
  <c r="O118" i="5"/>
  <c r="E118" i="5"/>
  <c r="D118" i="5"/>
  <c r="M118" i="5"/>
  <c r="L118" i="5"/>
  <c r="C118" i="5"/>
  <c r="M122" i="5"/>
  <c r="E122" i="5"/>
  <c r="J122" i="5"/>
  <c r="I122" i="5"/>
  <c r="L122" i="5"/>
  <c r="C122" i="5"/>
  <c r="G115" i="5"/>
  <c r="C115" i="5"/>
  <c r="M115" i="5"/>
  <c r="L115" i="5"/>
  <c r="D115" i="5"/>
  <c r="O115" i="5"/>
  <c r="I116" i="5"/>
  <c r="O117" i="5"/>
  <c r="M117" i="5"/>
  <c r="E117" i="5"/>
  <c r="L117" i="5"/>
  <c r="K118" i="5"/>
  <c r="O141" i="5"/>
  <c r="E115" i="5"/>
  <c r="J116" i="5"/>
  <c r="C117" i="5"/>
  <c r="G120" i="5"/>
  <c r="O120" i="5"/>
  <c r="E120" i="5"/>
  <c r="O121" i="5"/>
  <c r="K121" i="5"/>
  <c r="K126" i="5"/>
  <c r="J126" i="5"/>
  <c r="I126" i="5"/>
  <c r="C121" i="5"/>
  <c r="L121" i="5"/>
  <c r="C126" i="5"/>
  <c r="M131" i="5"/>
  <c r="E131" i="5"/>
  <c r="L131" i="5"/>
  <c r="D131" i="5"/>
  <c r="G131" i="5"/>
  <c r="C131" i="5"/>
  <c r="I131" i="5"/>
  <c r="K119" i="5"/>
  <c r="D121" i="5"/>
  <c r="M121" i="5"/>
  <c r="K124" i="5"/>
  <c r="C124" i="5"/>
  <c r="I124" i="5"/>
  <c r="M124" i="5"/>
  <c r="L132" i="5"/>
  <c r="D132" i="5"/>
  <c r="K132" i="5"/>
  <c r="C132" i="5"/>
  <c r="O132" i="5"/>
  <c r="K128" i="5"/>
  <c r="G129" i="5"/>
  <c r="M129" i="5"/>
  <c r="O148" i="5"/>
  <c r="L128" i="5"/>
  <c r="O130" i="5"/>
  <c r="K130" i="5"/>
  <c r="I132" i="5"/>
  <c r="O145" i="5"/>
  <c r="J125" i="5"/>
  <c r="C128" i="5"/>
  <c r="M128" i="5"/>
  <c r="C130" i="5"/>
  <c r="L130" i="5"/>
  <c r="J132" i="5"/>
  <c r="CS14" i="8" l="1"/>
  <c r="CT15" i="9"/>
  <c r="O149" i="5"/>
  <c r="O144" i="5"/>
  <c r="O139" i="5"/>
  <c r="O136" i="5"/>
  <c r="O137" i="5"/>
  <c r="O134" i="5"/>
  <c r="O151" i="5"/>
  <c r="O143" i="5"/>
  <c r="O135" i="5"/>
  <c r="O147" i="5"/>
  <c r="O140" i="5"/>
  <c r="O142" i="5"/>
  <c r="O138" i="5"/>
  <c r="O146" i="5"/>
  <c r="O150" i="5"/>
  <c r="O152" i="5"/>
  <c r="CT14" i="8" l="1"/>
  <c r="CU15" i="9"/>
  <c r="P169" i="5"/>
  <c r="P168" i="5"/>
  <c r="P174" i="5"/>
  <c r="N172" i="5"/>
  <c r="N167" i="5"/>
  <c r="CU14" i="8" l="1"/>
  <c r="CV15" i="9"/>
  <c r="P11" i="2"/>
  <c r="H114" i="5" s="1"/>
  <c r="CV14" i="8" l="1"/>
  <c r="CW15" i="9"/>
  <c r="H14" i="7"/>
  <c r="S14" i="5"/>
  <c r="R14" i="4"/>
  <c r="D43" i="7"/>
  <c r="E44" i="7"/>
  <c r="E43" i="7"/>
  <c r="B42" i="7"/>
  <c r="E39" i="7"/>
  <c r="B37" i="7"/>
  <c r="E34" i="7"/>
  <c r="B32" i="7"/>
  <c r="E29" i="7"/>
  <c r="B27" i="7"/>
  <c r="B22" i="7"/>
  <c r="B17" i="7"/>
  <c r="E24" i="7"/>
  <c r="E19" i="7"/>
  <c r="F54" i="1"/>
  <c r="F52" i="1"/>
  <c r="F65" i="8" s="1"/>
  <c r="E50" i="1"/>
  <c r="F49" i="1"/>
  <c r="CU33" i="8" s="1"/>
  <c r="F48" i="1"/>
  <c r="H49" i="1"/>
  <c r="E30" i="1"/>
  <c r="M49" i="1" l="1"/>
  <c r="M48" i="1"/>
  <c r="E143" i="1"/>
  <c r="R107" i="4"/>
  <c r="R96" i="4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BJ32" i="8"/>
  <c r="BK32" i="8"/>
  <c r="BL32" i="8"/>
  <c r="BM32" i="8"/>
  <c r="BN32" i="8"/>
  <c r="BO32" i="8"/>
  <c r="BP32" i="8"/>
  <c r="BQ32" i="8"/>
  <c r="BR32" i="8"/>
  <c r="BS32" i="8"/>
  <c r="BT32" i="8"/>
  <c r="BU32" i="8"/>
  <c r="BV32" i="8"/>
  <c r="BW32" i="8"/>
  <c r="BX32" i="8"/>
  <c r="BY32" i="8"/>
  <c r="BZ32" i="8"/>
  <c r="CA32" i="8"/>
  <c r="CB32" i="8"/>
  <c r="CC32" i="8"/>
  <c r="CD32" i="8"/>
  <c r="CE32" i="8"/>
  <c r="CF32" i="8"/>
  <c r="CG32" i="8"/>
  <c r="CH32" i="8"/>
  <c r="CI32" i="8"/>
  <c r="CJ32" i="8"/>
  <c r="CK32" i="8"/>
  <c r="CL32" i="8"/>
  <c r="CM32" i="8"/>
  <c r="CN32" i="8"/>
  <c r="CO32" i="8"/>
  <c r="CP32" i="8"/>
  <c r="CQ32" i="8"/>
  <c r="CR32" i="8"/>
  <c r="CS32" i="8"/>
  <c r="CT32" i="8"/>
  <c r="H33" i="8"/>
  <c r="J33" i="8"/>
  <c r="I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BH33" i="8"/>
  <c r="BI33" i="8"/>
  <c r="BJ33" i="8"/>
  <c r="BK33" i="8"/>
  <c r="BL33" i="8"/>
  <c r="BM33" i="8"/>
  <c r="BN33" i="8"/>
  <c r="BO33" i="8"/>
  <c r="BP33" i="8"/>
  <c r="BQ33" i="8"/>
  <c r="BR33" i="8"/>
  <c r="BS33" i="8"/>
  <c r="BT33" i="8"/>
  <c r="BU33" i="8"/>
  <c r="BV33" i="8"/>
  <c r="BW33" i="8"/>
  <c r="BX33" i="8"/>
  <c r="BY33" i="8"/>
  <c r="BZ33" i="8"/>
  <c r="CA33" i="8"/>
  <c r="CB33" i="8"/>
  <c r="CC33" i="8"/>
  <c r="CD33" i="8"/>
  <c r="CE33" i="8"/>
  <c r="CF33" i="8"/>
  <c r="CG33" i="8"/>
  <c r="CH33" i="8"/>
  <c r="CI33" i="8"/>
  <c r="CJ33" i="8"/>
  <c r="CK33" i="8"/>
  <c r="CL33" i="8"/>
  <c r="CM33" i="8"/>
  <c r="CN33" i="8"/>
  <c r="CO33" i="8"/>
  <c r="CP33" i="8"/>
  <c r="CQ33" i="8"/>
  <c r="CR33" i="8"/>
  <c r="CS33" i="8"/>
  <c r="CT33" i="8"/>
  <c r="CU32" i="8"/>
  <c r="CV32" i="8"/>
  <c r="CV33" i="8"/>
  <c r="G52" i="1"/>
  <c r="F58" i="1" s="1"/>
  <c r="R108" i="4"/>
  <c r="R105" i="4"/>
  <c r="R106" i="4"/>
  <c r="R109" i="4"/>
  <c r="I14" i="7"/>
  <c r="CW14" i="8"/>
  <c r="CX15" i="9"/>
  <c r="E28" i="1"/>
  <c r="F66" i="8" l="1"/>
  <c r="CW68" i="8" s="1"/>
  <c r="CW33" i="8"/>
  <c r="CW32" i="8"/>
  <c r="J14" i="7"/>
  <c r="CX14" i="8"/>
  <c r="CY15" i="9"/>
  <c r="K14" i="7" l="1"/>
  <c r="H68" i="8"/>
  <c r="H69" i="8" s="1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L68" i="8"/>
  <c r="BM68" i="8"/>
  <c r="BN68" i="8"/>
  <c r="BO68" i="8"/>
  <c r="BP68" i="8"/>
  <c r="BQ68" i="8"/>
  <c r="BR68" i="8"/>
  <c r="BS68" i="8"/>
  <c r="BT68" i="8"/>
  <c r="BU68" i="8"/>
  <c r="BV68" i="8"/>
  <c r="BW68" i="8"/>
  <c r="BX68" i="8"/>
  <c r="BY68" i="8"/>
  <c r="BZ68" i="8"/>
  <c r="CA68" i="8"/>
  <c r="CB68" i="8"/>
  <c r="CC68" i="8"/>
  <c r="CD68" i="8"/>
  <c r="CE68" i="8"/>
  <c r="CF68" i="8"/>
  <c r="CG68" i="8"/>
  <c r="CH68" i="8"/>
  <c r="CI68" i="8"/>
  <c r="CJ68" i="8"/>
  <c r="CK68" i="8"/>
  <c r="CL68" i="8"/>
  <c r="CM68" i="8"/>
  <c r="CN68" i="8"/>
  <c r="CO68" i="8"/>
  <c r="CP68" i="8"/>
  <c r="CQ68" i="8"/>
  <c r="CR68" i="8"/>
  <c r="CS68" i="8"/>
  <c r="CT68" i="8"/>
  <c r="CU68" i="8"/>
  <c r="CV68" i="8"/>
  <c r="F95" i="8"/>
  <c r="CX68" i="8"/>
  <c r="CX33" i="8"/>
  <c r="CX32" i="8"/>
  <c r="CY14" i="8"/>
  <c r="CZ15" i="9"/>
  <c r="L14" i="7" l="1"/>
  <c r="I69" i="8"/>
  <c r="J70" i="8" s="1"/>
  <c r="J69" i="8"/>
  <c r="K70" i="8" s="1"/>
  <c r="N69" i="8"/>
  <c r="O70" i="8" s="1"/>
  <c r="CP69" i="8"/>
  <c r="CQ70" i="8" s="1"/>
  <c r="BZ69" i="8"/>
  <c r="CA70" i="8" s="1"/>
  <c r="BJ69" i="8"/>
  <c r="BK70" i="8" s="1"/>
  <c r="AT69" i="8"/>
  <c r="AU70" i="8" s="1"/>
  <c r="AD69" i="8"/>
  <c r="AE70" i="8" s="1"/>
  <c r="V69" i="8"/>
  <c r="W70" i="8" s="1"/>
  <c r="CH69" i="8"/>
  <c r="CI70" i="8" s="1"/>
  <c r="BR69" i="8"/>
  <c r="BS70" i="8" s="1"/>
  <c r="BB69" i="8"/>
  <c r="BC70" i="8" s="1"/>
  <c r="AL69" i="8"/>
  <c r="AM70" i="8" s="1"/>
  <c r="CO69" i="8"/>
  <c r="CP70" i="8" s="1"/>
  <c r="BY69" i="8"/>
  <c r="BZ70" i="8" s="1"/>
  <c r="BI69" i="8"/>
  <c r="BJ70" i="8" s="1"/>
  <c r="AS69" i="8"/>
  <c r="AT70" i="8" s="1"/>
  <c r="U69" i="8"/>
  <c r="V70" i="8" s="1"/>
  <c r="CX69" i="8"/>
  <c r="CV69" i="8"/>
  <c r="CW70" i="8" s="1"/>
  <c r="CN69" i="8"/>
  <c r="CO70" i="8" s="1"/>
  <c r="CF69" i="8"/>
  <c r="CG70" i="8" s="1"/>
  <c r="BX69" i="8"/>
  <c r="BY70" i="8" s="1"/>
  <c r="BP69" i="8"/>
  <c r="BQ70" i="8" s="1"/>
  <c r="BH69" i="8"/>
  <c r="BI70" i="8" s="1"/>
  <c r="AZ69" i="8"/>
  <c r="BA70" i="8" s="1"/>
  <c r="AR69" i="8"/>
  <c r="AS70" i="8" s="1"/>
  <c r="AJ69" i="8"/>
  <c r="AK70" i="8" s="1"/>
  <c r="AB69" i="8"/>
  <c r="AC70" i="8" s="1"/>
  <c r="T69" i="8"/>
  <c r="U70" i="8" s="1"/>
  <c r="L69" i="8"/>
  <c r="M70" i="8" s="1"/>
  <c r="CG69" i="8"/>
  <c r="CH70" i="8" s="1"/>
  <c r="BQ69" i="8"/>
  <c r="BR70" i="8" s="1"/>
  <c r="BA69" i="8"/>
  <c r="BB70" i="8" s="1"/>
  <c r="AK69" i="8"/>
  <c r="AL70" i="8" s="1"/>
  <c r="AC69" i="8"/>
  <c r="AD70" i="8" s="1"/>
  <c r="M69" i="8"/>
  <c r="N70" i="8" s="1"/>
  <c r="CU69" i="8"/>
  <c r="CV70" i="8" s="1"/>
  <c r="CM69" i="8"/>
  <c r="CN70" i="8" s="1"/>
  <c r="CE69" i="8"/>
  <c r="CF70" i="8" s="1"/>
  <c r="BW69" i="8"/>
  <c r="BX70" i="8" s="1"/>
  <c r="BO69" i="8"/>
  <c r="BP70" i="8" s="1"/>
  <c r="BG69" i="8"/>
  <c r="BH70" i="8" s="1"/>
  <c r="AY69" i="8"/>
  <c r="AZ70" i="8" s="1"/>
  <c r="AQ69" i="8"/>
  <c r="AR70" i="8" s="1"/>
  <c r="AI69" i="8"/>
  <c r="AJ70" i="8" s="1"/>
  <c r="AA69" i="8"/>
  <c r="AB70" i="8" s="1"/>
  <c r="S69" i="8"/>
  <c r="T70" i="8" s="1"/>
  <c r="K69" i="8"/>
  <c r="L70" i="8" s="1"/>
  <c r="CD69" i="8"/>
  <c r="CE70" i="8" s="1"/>
  <c r="AH69" i="8"/>
  <c r="AI70" i="8" s="1"/>
  <c r="BU69" i="8"/>
  <c r="BV70" i="8" s="1"/>
  <c r="AG69" i="8"/>
  <c r="AH70" i="8" s="1"/>
  <c r="CL69" i="8"/>
  <c r="CM70" i="8" s="1"/>
  <c r="BN69" i="8"/>
  <c r="BO70" i="8" s="1"/>
  <c r="AX69" i="8"/>
  <c r="AY70" i="8" s="1"/>
  <c r="CK69" i="8"/>
  <c r="CL70" i="8" s="1"/>
  <c r="BM69" i="8"/>
  <c r="BN70" i="8" s="1"/>
  <c r="AW69" i="8"/>
  <c r="AX70" i="8" s="1"/>
  <c r="Y69" i="8"/>
  <c r="Z70" i="8" s="1"/>
  <c r="CR69" i="8"/>
  <c r="CS70" i="8" s="1"/>
  <c r="CB69" i="8"/>
  <c r="CC70" i="8" s="1"/>
  <c r="BL69" i="8"/>
  <c r="BM70" i="8" s="1"/>
  <c r="AV69" i="8"/>
  <c r="AW70" i="8" s="1"/>
  <c r="AN69" i="8"/>
  <c r="AO70" i="8" s="1"/>
  <c r="AF69" i="8"/>
  <c r="AG70" i="8" s="1"/>
  <c r="X69" i="8"/>
  <c r="Y70" i="8" s="1"/>
  <c r="P69" i="8"/>
  <c r="Q70" i="8" s="1"/>
  <c r="I70" i="8"/>
  <c r="CT69" i="8"/>
  <c r="CU70" i="8" s="1"/>
  <c r="BV69" i="8"/>
  <c r="BW70" i="8" s="1"/>
  <c r="BF69" i="8"/>
  <c r="BG70" i="8" s="1"/>
  <c r="AP69" i="8"/>
  <c r="AQ70" i="8" s="1"/>
  <c r="Z69" i="8"/>
  <c r="AA70" i="8" s="1"/>
  <c r="R69" i="8"/>
  <c r="S70" i="8" s="1"/>
  <c r="CS69" i="8"/>
  <c r="CT70" i="8" s="1"/>
  <c r="CC69" i="8"/>
  <c r="CD70" i="8" s="1"/>
  <c r="BE69" i="8"/>
  <c r="BF70" i="8" s="1"/>
  <c r="AO69" i="8"/>
  <c r="AP70" i="8" s="1"/>
  <c r="Q69" i="8"/>
  <c r="R70" i="8" s="1"/>
  <c r="CJ69" i="8"/>
  <c r="CK70" i="8" s="1"/>
  <c r="BT69" i="8"/>
  <c r="BU70" i="8" s="1"/>
  <c r="BD69" i="8"/>
  <c r="BE70" i="8" s="1"/>
  <c r="CQ69" i="8"/>
  <c r="CR70" i="8" s="1"/>
  <c r="CI69" i="8"/>
  <c r="CJ70" i="8" s="1"/>
  <c r="CA69" i="8"/>
  <c r="CB70" i="8" s="1"/>
  <c r="BS69" i="8"/>
  <c r="BT70" i="8" s="1"/>
  <c r="BK69" i="8"/>
  <c r="BL70" i="8" s="1"/>
  <c r="BC69" i="8"/>
  <c r="BD70" i="8" s="1"/>
  <c r="AU69" i="8"/>
  <c r="AV70" i="8" s="1"/>
  <c r="AM69" i="8"/>
  <c r="AN70" i="8" s="1"/>
  <c r="AE69" i="8"/>
  <c r="AF70" i="8" s="1"/>
  <c r="W69" i="8"/>
  <c r="X70" i="8" s="1"/>
  <c r="O69" i="8"/>
  <c r="P70" i="8" s="1"/>
  <c r="CW69" i="8"/>
  <c r="CX70" i="8" s="1"/>
  <c r="CY68" i="8"/>
  <c r="CY69" i="8" s="1"/>
  <c r="CY33" i="8"/>
  <c r="CY32" i="8"/>
  <c r="CZ14" i="8"/>
  <c r="DA15" i="9"/>
  <c r="M14" i="7"/>
  <c r="CY70" i="8" l="1"/>
  <c r="CZ68" i="8"/>
  <c r="CZ69" i="8" s="1"/>
  <c r="CZ33" i="8"/>
  <c r="CZ32" i="8"/>
  <c r="DA14" i="8"/>
  <c r="DB15" i="9"/>
  <c r="N14" i="7"/>
  <c r="DA68" i="8" l="1"/>
  <c r="DA69" i="8" s="1"/>
  <c r="CZ70" i="8"/>
  <c r="DA33" i="8"/>
  <c r="DA32" i="8"/>
  <c r="DB14" i="8"/>
  <c r="O14" i="7"/>
  <c r="DB68" i="8" l="1"/>
  <c r="DB69" i="8" s="1"/>
  <c r="DA70" i="8"/>
  <c r="DB32" i="8"/>
  <c r="DB33" i="8"/>
  <c r="F33" i="8" s="1"/>
  <c r="P14" i="7"/>
  <c r="F32" i="8" l="1"/>
  <c r="DB70" i="8"/>
  <c r="Q14" i="7"/>
  <c r="R14" i="7" l="1"/>
  <c r="S14" i="7" l="1"/>
  <c r="T14" i="7" l="1"/>
  <c r="U14" i="7" l="1"/>
  <c r="V14" i="7" l="1"/>
  <c r="W14" i="7" l="1"/>
  <c r="X14" i="7" l="1"/>
  <c r="Y14" i="7" l="1"/>
  <c r="Z14" i="7" l="1"/>
  <c r="AA14" i="7" l="1"/>
  <c r="AB14" i="7" l="1"/>
  <c r="AC14" i="7" l="1"/>
  <c r="AD14" i="7" l="1"/>
  <c r="AE14" i="7" l="1"/>
  <c r="AF14" i="7" l="1"/>
  <c r="AG14" i="7" l="1"/>
  <c r="AH14" i="7" l="1"/>
  <c r="AI14" i="7" l="1"/>
  <c r="AJ14" i="7" l="1"/>
  <c r="AK14" i="7" l="1"/>
  <c r="AL14" i="7" l="1"/>
  <c r="AM14" i="7" l="1"/>
  <c r="AN14" i="7" l="1"/>
  <c r="AO14" i="7" l="1"/>
  <c r="AP14" i="7" l="1"/>
  <c r="AQ14" i="7" l="1"/>
  <c r="AR14" i="7" l="1"/>
  <c r="AS14" i="7" l="1"/>
  <c r="AT14" i="7" l="1"/>
  <c r="AU14" i="7" l="1"/>
  <c r="AV14" i="7" l="1"/>
  <c r="AW14" i="7" l="1"/>
  <c r="AX14" i="7" l="1"/>
  <c r="AY14" i="7" l="1"/>
  <c r="AZ14" i="7" l="1"/>
  <c r="BA14" i="7" l="1"/>
  <c r="BB14" i="7" l="1"/>
  <c r="BC14" i="7" l="1"/>
  <c r="BD14" i="7" l="1"/>
  <c r="BE14" i="7" l="1"/>
  <c r="BF14" i="7" l="1"/>
  <c r="BG14" i="7" l="1"/>
  <c r="BH14" i="7" l="1"/>
  <c r="BI14" i="7" l="1"/>
  <c r="BJ14" i="7" l="1"/>
  <c r="BK14" i="7" l="1"/>
  <c r="BL14" i="7" l="1"/>
  <c r="BM14" i="7" l="1"/>
  <c r="BN14" i="7" l="1"/>
  <c r="BO14" i="7" l="1"/>
  <c r="BP14" i="7" l="1"/>
  <c r="BQ14" i="7" l="1"/>
  <c r="BR14" i="7" l="1"/>
  <c r="BS14" i="7" l="1"/>
  <c r="BT14" i="7" l="1"/>
  <c r="BU14" i="7" l="1"/>
  <c r="BV14" i="7" l="1"/>
  <c r="BW14" i="7" l="1"/>
  <c r="BX14" i="7" l="1"/>
  <c r="BY14" i="7" l="1"/>
  <c r="BZ14" i="7" l="1"/>
  <c r="CA14" i="7" l="1"/>
  <c r="CB14" i="7" l="1"/>
  <c r="CC14" i="7" l="1"/>
  <c r="CD14" i="7" l="1"/>
  <c r="CE14" i="7" l="1"/>
  <c r="CF14" i="7" l="1"/>
  <c r="CG14" i="7" l="1"/>
  <c r="CH14" i="7" l="1"/>
  <c r="CI14" i="7" l="1"/>
  <c r="CJ14" i="7" l="1"/>
  <c r="CK14" i="7" l="1"/>
  <c r="CL14" i="7" l="1"/>
  <c r="CM14" i="7" l="1"/>
  <c r="CN14" i="7" l="1"/>
  <c r="CO14" i="7" l="1"/>
  <c r="CP14" i="7" l="1"/>
  <c r="CQ14" i="7" l="1"/>
  <c r="CR14" i="7" l="1"/>
  <c r="CS14" i="7" l="1"/>
  <c r="CT14" i="7" l="1"/>
  <c r="CU14" i="7" l="1"/>
  <c r="CV14" i="7" l="1"/>
  <c r="CW14" i="7" l="1"/>
  <c r="CX14" i="7" l="1"/>
  <c r="CY14" i="7" l="1"/>
  <c r="CZ14" i="7" l="1"/>
  <c r="DA14" i="7" l="1"/>
  <c r="DB14" i="7" l="1"/>
  <c r="B85" i="5" l="1"/>
  <c r="B84" i="5"/>
  <c r="C84" i="5" s="1"/>
  <c r="B83" i="5"/>
  <c r="I83" i="5" s="1"/>
  <c r="B82" i="5"/>
  <c r="G82" i="5" s="1"/>
  <c r="B81" i="5"/>
  <c r="B80" i="5"/>
  <c r="B79" i="5"/>
  <c r="L79" i="5" s="1"/>
  <c r="B78" i="5"/>
  <c r="B77" i="5"/>
  <c r="B76" i="5"/>
  <c r="I76" i="5" s="1"/>
  <c r="B75" i="5"/>
  <c r="B74" i="5"/>
  <c r="B73" i="5"/>
  <c r="B72" i="5"/>
  <c r="B71" i="5"/>
  <c r="E71" i="5" s="1"/>
  <c r="B70" i="5"/>
  <c r="B69" i="5"/>
  <c r="G69" i="5" s="1"/>
  <c r="B68" i="5"/>
  <c r="L68" i="5" s="1"/>
  <c r="B67" i="5"/>
  <c r="L67" i="5" s="1"/>
  <c r="B38" i="5"/>
  <c r="K38" i="5" s="1"/>
  <c r="B37" i="5"/>
  <c r="M37" i="5" s="1"/>
  <c r="B36" i="5"/>
  <c r="B35" i="5"/>
  <c r="I35" i="5" s="1"/>
  <c r="B34" i="5"/>
  <c r="L34" i="5" s="1"/>
  <c r="B33" i="5"/>
  <c r="B32" i="5"/>
  <c r="B31" i="5"/>
  <c r="K31" i="5" s="1"/>
  <c r="B30" i="5"/>
  <c r="B29" i="5"/>
  <c r="B28" i="5"/>
  <c r="B27" i="5"/>
  <c r="B26" i="5"/>
  <c r="E26" i="5" s="1"/>
  <c r="B25" i="5"/>
  <c r="D25" i="5" s="1"/>
  <c r="B24" i="5"/>
  <c r="B23" i="5"/>
  <c r="G23" i="5" s="1"/>
  <c r="B22" i="5"/>
  <c r="I22" i="5" s="1"/>
  <c r="B21" i="5"/>
  <c r="L21" i="5" s="1"/>
  <c r="B20" i="5"/>
  <c r="D20" i="5" s="1"/>
  <c r="B178" i="4"/>
  <c r="O178" i="4" s="1"/>
  <c r="B177" i="4"/>
  <c r="K177" i="4" s="1"/>
  <c r="B176" i="4"/>
  <c r="J176" i="4" s="1"/>
  <c r="B175" i="4"/>
  <c r="B174" i="4"/>
  <c r="M174" i="4" s="1"/>
  <c r="B173" i="4"/>
  <c r="B172" i="4"/>
  <c r="B171" i="4"/>
  <c r="B170" i="4"/>
  <c r="B169" i="4"/>
  <c r="G169" i="4" s="1"/>
  <c r="B168" i="4"/>
  <c r="K168" i="4" s="1"/>
  <c r="B167" i="4"/>
  <c r="M167" i="4" s="1"/>
  <c r="B166" i="4"/>
  <c r="L166" i="4" s="1"/>
  <c r="B165" i="4"/>
  <c r="B164" i="4"/>
  <c r="B163" i="4"/>
  <c r="J163" i="4" s="1"/>
  <c r="B162" i="4"/>
  <c r="J162" i="4" s="1"/>
  <c r="B161" i="4"/>
  <c r="B160" i="4"/>
  <c r="B131" i="4"/>
  <c r="J131" i="4" s="1"/>
  <c r="B130" i="4"/>
  <c r="J130" i="4" s="1"/>
  <c r="B129" i="4"/>
  <c r="J129" i="4" s="1"/>
  <c r="B128" i="4"/>
  <c r="B127" i="4"/>
  <c r="B126" i="4"/>
  <c r="O126" i="4" s="1"/>
  <c r="B125" i="4"/>
  <c r="B124" i="4"/>
  <c r="K124" i="4" s="1"/>
  <c r="B123" i="4"/>
  <c r="K123" i="4" s="1"/>
  <c r="B122" i="4"/>
  <c r="L122" i="4" s="1"/>
  <c r="B121" i="4"/>
  <c r="K121" i="4" s="1"/>
  <c r="B120" i="4"/>
  <c r="I120" i="4" s="1"/>
  <c r="B119" i="4"/>
  <c r="B118" i="4"/>
  <c r="L118" i="4" s="1"/>
  <c r="B117" i="4"/>
  <c r="L117" i="4" s="1"/>
  <c r="B116" i="4"/>
  <c r="B115" i="4"/>
  <c r="L115" i="4" s="1"/>
  <c r="B114" i="4"/>
  <c r="I114" i="4" s="1"/>
  <c r="B113" i="4"/>
  <c r="I113" i="4" s="1"/>
  <c r="M165" i="4" l="1"/>
  <c r="I171" i="4"/>
  <c r="M71" i="5"/>
  <c r="O71" i="5"/>
  <c r="L171" i="4"/>
  <c r="K118" i="4"/>
  <c r="O84" i="5"/>
  <c r="D163" i="4"/>
  <c r="C163" i="4"/>
  <c r="M163" i="4"/>
  <c r="O163" i="4"/>
  <c r="G32" i="5"/>
  <c r="G170" i="4"/>
  <c r="I38" i="5"/>
  <c r="L169" i="4"/>
  <c r="O169" i="4"/>
  <c r="I84" i="5"/>
  <c r="J38" i="5"/>
  <c r="I162" i="4"/>
  <c r="M170" i="4"/>
  <c r="I178" i="4"/>
  <c r="K128" i="4"/>
  <c r="K162" i="4"/>
  <c r="I169" i="4"/>
  <c r="O170" i="4"/>
  <c r="J173" i="4"/>
  <c r="I170" i="4"/>
  <c r="G173" i="4"/>
  <c r="G178" i="4"/>
  <c r="I164" i="4"/>
  <c r="C169" i="4"/>
  <c r="I173" i="4"/>
  <c r="K165" i="4"/>
  <c r="J169" i="4"/>
  <c r="C177" i="4"/>
  <c r="E161" i="4"/>
  <c r="I172" i="4"/>
  <c r="L119" i="4"/>
  <c r="J118" i="4"/>
  <c r="O160" i="4"/>
  <c r="K163" i="4"/>
  <c r="I165" i="4"/>
  <c r="E169" i="4"/>
  <c r="E170" i="4"/>
  <c r="K176" i="4"/>
  <c r="C161" i="4"/>
  <c r="C172" i="4"/>
  <c r="I119" i="4"/>
  <c r="D161" i="4"/>
  <c r="K170" i="4"/>
  <c r="G172" i="4"/>
  <c r="O29" i="5"/>
  <c r="I82" i="5"/>
  <c r="M82" i="5"/>
  <c r="O34" i="5"/>
  <c r="D118" i="4"/>
  <c r="E160" i="4"/>
  <c r="M161" i="4"/>
  <c r="E163" i="4"/>
  <c r="C165" i="4"/>
  <c r="C170" i="4"/>
  <c r="M172" i="4"/>
  <c r="G176" i="4"/>
  <c r="J178" i="4"/>
  <c r="L71" i="5"/>
  <c r="O82" i="5"/>
  <c r="K119" i="4"/>
  <c r="D160" i="4"/>
  <c r="K161" i="4"/>
  <c r="K172" i="4"/>
  <c r="I118" i="4"/>
  <c r="I160" i="4"/>
  <c r="O161" i="4"/>
  <c r="I163" i="4"/>
  <c r="E165" i="4"/>
  <c r="D170" i="4"/>
  <c r="I176" i="4"/>
  <c r="L161" i="4"/>
  <c r="K164" i="4"/>
  <c r="C166" i="4"/>
  <c r="D167" i="4"/>
  <c r="K171" i="4"/>
  <c r="C174" i="4"/>
  <c r="M34" i="5"/>
  <c r="L164" i="4"/>
  <c r="I167" i="4"/>
  <c r="L28" i="5"/>
  <c r="M171" i="4"/>
  <c r="J174" i="4"/>
  <c r="K120" i="4"/>
  <c r="I127" i="4"/>
  <c r="L162" i="4"/>
  <c r="I23" i="5"/>
  <c r="L120" i="4"/>
  <c r="L123" i="4"/>
  <c r="J127" i="4"/>
  <c r="K160" i="4"/>
  <c r="C162" i="4"/>
  <c r="M162" i="4"/>
  <c r="E164" i="4"/>
  <c r="L165" i="4"/>
  <c r="J166" i="4"/>
  <c r="M169" i="4"/>
  <c r="E171" i="4"/>
  <c r="O172" i="4"/>
  <c r="K173" i="4"/>
  <c r="J23" i="5"/>
  <c r="I32" i="5"/>
  <c r="I79" i="5"/>
  <c r="J113" i="4"/>
  <c r="I123" i="4"/>
  <c r="D166" i="4"/>
  <c r="I174" i="4"/>
  <c r="J123" i="4"/>
  <c r="C164" i="4"/>
  <c r="M164" i="4"/>
  <c r="C171" i="4"/>
  <c r="D171" i="4"/>
  <c r="O171" i="4"/>
  <c r="L174" i="4"/>
  <c r="O127" i="4"/>
  <c r="L160" i="4"/>
  <c r="D162" i="4"/>
  <c r="O162" i="4"/>
  <c r="K166" i="4"/>
  <c r="M173" i="4"/>
  <c r="L23" i="5"/>
  <c r="J32" i="5"/>
  <c r="M79" i="5"/>
  <c r="D164" i="4"/>
  <c r="O164" i="4"/>
  <c r="G166" i="4"/>
  <c r="C160" i="4"/>
  <c r="M160" i="4"/>
  <c r="I161" i="4"/>
  <c r="E162" i="4"/>
  <c r="L163" i="4"/>
  <c r="D165" i="4"/>
  <c r="O165" i="4"/>
  <c r="D169" i="4"/>
  <c r="L170" i="4"/>
  <c r="G171" i="4"/>
  <c r="C173" i="4"/>
  <c r="O173" i="4"/>
  <c r="C176" i="4"/>
  <c r="G38" i="5"/>
  <c r="M74" i="5"/>
  <c r="G84" i="5"/>
  <c r="O21" i="5"/>
  <c r="D28" i="5"/>
  <c r="G78" i="5"/>
  <c r="I28" i="5"/>
  <c r="L29" i="5"/>
  <c r="M21" i="5"/>
  <c r="O28" i="5"/>
  <c r="I25" i="5"/>
  <c r="E28" i="5"/>
  <c r="D29" i="5"/>
  <c r="M35" i="5"/>
  <c r="G76" i="5"/>
  <c r="I78" i="5"/>
  <c r="L25" i="5"/>
  <c r="E29" i="5"/>
  <c r="I31" i="5"/>
  <c r="K32" i="5"/>
  <c r="J78" i="5"/>
  <c r="C82" i="5"/>
  <c r="C83" i="5"/>
  <c r="M25" i="5"/>
  <c r="G28" i="5"/>
  <c r="L31" i="5"/>
  <c r="O32" i="5"/>
  <c r="J76" i="5"/>
  <c r="K78" i="5"/>
  <c r="O25" i="5"/>
  <c r="G29" i="5"/>
  <c r="L76" i="5"/>
  <c r="O36" i="5"/>
  <c r="G36" i="5"/>
  <c r="E36" i="5"/>
  <c r="D36" i="5"/>
  <c r="I36" i="5"/>
  <c r="G30" i="5"/>
  <c r="O30" i="5"/>
  <c r="D30" i="5"/>
  <c r="I30" i="5"/>
  <c r="E30" i="5"/>
  <c r="K20" i="5"/>
  <c r="J20" i="5"/>
  <c r="I20" i="5"/>
  <c r="G20" i="5"/>
  <c r="M36" i="5"/>
  <c r="L30" i="5"/>
  <c r="L36" i="5"/>
  <c r="M30" i="5"/>
  <c r="M29" i="5"/>
  <c r="G31" i="5"/>
  <c r="L35" i="5"/>
  <c r="L75" i="5"/>
  <c r="M75" i="5"/>
  <c r="D75" i="5"/>
  <c r="D31" i="5"/>
  <c r="O31" i="5"/>
  <c r="G35" i="5"/>
  <c r="K37" i="5"/>
  <c r="M31" i="5"/>
  <c r="M28" i="5"/>
  <c r="I29" i="5"/>
  <c r="E31" i="5"/>
  <c r="L37" i="5"/>
  <c r="J70" i="5"/>
  <c r="I70" i="5"/>
  <c r="L70" i="5"/>
  <c r="C70" i="5"/>
  <c r="G67" i="5"/>
  <c r="G70" i="5"/>
  <c r="J67" i="5"/>
  <c r="M81" i="5"/>
  <c r="L81" i="5"/>
  <c r="I81" i="5"/>
  <c r="G81" i="5"/>
  <c r="G85" i="5"/>
  <c r="K85" i="5"/>
  <c r="I85" i="5"/>
  <c r="I71" i="5"/>
  <c r="G71" i="5"/>
  <c r="J71" i="5"/>
  <c r="I72" i="5"/>
  <c r="E72" i="5"/>
  <c r="C72" i="5"/>
  <c r="J72" i="5"/>
  <c r="J85" i="5"/>
  <c r="C71" i="5"/>
  <c r="L72" i="5"/>
  <c r="D71" i="5"/>
  <c r="O72" i="5"/>
  <c r="L74" i="5"/>
  <c r="D76" i="5"/>
  <c r="K82" i="5"/>
  <c r="J82" i="5"/>
  <c r="D74" i="5"/>
  <c r="O76" i="5"/>
  <c r="J68" i="5"/>
  <c r="C76" i="5"/>
  <c r="C79" i="5"/>
  <c r="O69" i="5"/>
  <c r="M69" i="5"/>
  <c r="E69" i="5"/>
  <c r="K69" i="5"/>
  <c r="C69" i="5"/>
  <c r="I69" i="5"/>
  <c r="M73" i="5"/>
  <c r="D73" i="5"/>
  <c r="L73" i="5"/>
  <c r="C73" i="5"/>
  <c r="J73" i="5"/>
  <c r="I73" i="5"/>
  <c r="G73" i="5"/>
  <c r="M77" i="5"/>
  <c r="E77" i="5"/>
  <c r="L77" i="5"/>
  <c r="I77" i="5"/>
  <c r="O77" i="5"/>
  <c r="C77" i="5"/>
  <c r="K77" i="5"/>
  <c r="G77" i="5"/>
  <c r="D77" i="5"/>
  <c r="D69" i="5"/>
  <c r="E73" i="5"/>
  <c r="J77" i="5"/>
  <c r="O68" i="5"/>
  <c r="M68" i="5"/>
  <c r="E68" i="5"/>
  <c r="K68" i="5"/>
  <c r="C68" i="5"/>
  <c r="I68" i="5"/>
  <c r="D68" i="5"/>
  <c r="K73" i="5"/>
  <c r="O67" i="5"/>
  <c r="M67" i="5"/>
  <c r="E67" i="5"/>
  <c r="K67" i="5"/>
  <c r="C67" i="5"/>
  <c r="I67" i="5"/>
  <c r="G68" i="5"/>
  <c r="J69" i="5"/>
  <c r="O73" i="5"/>
  <c r="D67" i="5"/>
  <c r="L69" i="5"/>
  <c r="I80" i="5"/>
  <c r="G80" i="5"/>
  <c r="L80" i="5"/>
  <c r="O80" i="5"/>
  <c r="M80" i="5"/>
  <c r="K80" i="5"/>
  <c r="J80" i="5"/>
  <c r="C80" i="5"/>
  <c r="K72" i="5"/>
  <c r="G74" i="5"/>
  <c r="K74" i="5"/>
  <c r="C74" i="5"/>
  <c r="O74" i="5"/>
  <c r="G75" i="5"/>
  <c r="K75" i="5"/>
  <c r="C75" i="5"/>
  <c r="O75" i="5"/>
  <c r="K70" i="5"/>
  <c r="D72" i="5"/>
  <c r="M72" i="5"/>
  <c r="E74" i="5"/>
  <c r="E75" i="5"/>
  <c r="D70" i="5"/>
  <c r="M70" i="5"/>
  <c r="I74" i="5"/>
  <c r="I75" i="5"/>
  <c r="E70" i="5"/>
  <c r="O70" i="5"/>
  <c r="K71" i="5"/>
  <c r="G72" i="5"/>
  <c r="J74" i="5"/>
  <c r="J75" i="5"/>
  <c r="G79" i="5"/>
  <c r="O79" i="5"/>
  <c r="M83" i="5"/>
  <c r="E83" i="5"/>
  <c r="L83" i="5"/>
  <c r="D83" i="5"/>
  <c r="G83" i="5"/>
  <c r="J83" i="5"/>
  <c r="M78" i="5"/>
  <c r="E78" i="5"/>
  <c r="L78" i="5"/>
  <c r="D78" i="5"/>
  <c r="O78" i="5"/>
  <c r="J79" i="5"/>
  <c r="K81" i="5"/>
  <c r="J81" i="5"/>
  <c r="O81" i="5"/>
  <c r="K83" i="5"/>
  <c r="M76" i="5"/>
  <c r="E76" i="5"/>
  <c r="K76" i="5"/>
  <c r="C78" i="5"/>
  <c r="K79" i="5"/>
  <c r="C81" i="5"/>
  <c r="O83" i="5"/>
  <c r="M84" i="5"/>
  <c r="E84" i="5"/>
  <c r="L84" i="5"/>
  <c r="D84" i="5"/>
  <c r="K84" i="5"/>
  <c r="J84" i="5"/>
  <c r="M85" i="5"/>
  <c r="E85" i="5"/>
  <c r="L85" i="5"/>
  <c r="D85" i="5"/>
  <c r="O85" i="5"/>
  <c r="C85" i="5"/>
  <c r="L82" i="5"/>
  <c r="G33" i="5"/>
  <c r="O33" i="5"/>
  <c r="K33" i="5"/>
  <c r="J33" i="5"/>
  <c r="I33" i="5"/>
  <c r="M33" i="5"/>
  <c r="L33" i="5"/>
  <c r="C33" i="5"/>
  <c r="K24" i="5"/>
  <c r="C24" i="5"/>
  <c r="M24" i="5"/>
  <c r="D24" i="5"/>
  <c r="E24" i="5"/>
  <c r="O24" i="5"/>
  <c r="L24" i="5"/>
  <c r="I24" i="5"/>
  <c r="K27" i="5"/>
  <c r="C27" i="5"/>
  <c r="O27" i="5"/>
  <c r="E27" i="5"/>
  <c r="M27" i="5"/>
  <c r="D27" i="5"/>
  <c r="L27" i="5"/>
  <c r="J27" i="5"/>
  <c r="I27" i="5"/>
  <c r="T14" i="5"/>
  <c r="K22" i="5"/>
  <c r="C22" i="5"/>
  <c r="G22" i="5"/>
  <c r="E22" i="5"/>
  <c r="D22" i="5"/>
  <c r="M22" i="5"/>
  <c r="G24" i="5"/>
  <c r="K26" i="5"/>
  <c r="C26" i="5"/>
  <c r="L26" i="5"/>
  <c r="J26" i="5"/>
  <c r="I26" i="5"/>
  <c r="M26" i="5"/>
  <c r="G26" i="5"/>
  <c r="D26" i="5"/>
  <c r="G27" i="5"/>
  <c r="J22" i="5"/>
  <c r="J24" i="5"/>
  <c r="O26" i="5"/>
  <c r="K21" i="5"/>
  <c r="C21" i="5"/>
  <c r="I21" i="5"/>
  <c r="J21" i="5"/>
  <c r="G21" i="5"/>
  <c r="D21" i="5"/>
  <c r="L22" i="5"/>
  <c r="E21" i="5"/>
  <c r="O22" i="5"/>
  <c r="K25" i="5"/>
  <c r="C25" i="5"/>
  <c r="J25" i="5"/>
  <c r="G25" i="5"/>
  <c r="O20" i="5"/>
  <c r="M20" i="5"/>
  <c r="E20" i="5"/>
  <c r="L20" i="5"/>
  <c r="K23" i="5"/>
  <c r="C23" i="5"/>
  <c r="O23" i="5"/>
  <c r="E23" i="5"/>
  <c r="M23" i="5"/>
  <c r="D23" i="5"/>
  <c r="C20" i="5"/>
  <c r="E25" i="5"/>
  <c r="I34" i="5"/>
  <c r="G34" i="5"/>
  <c r="C34" i="5"/>
  <c r="O37" i="5"/>
  <c r="G37" i="5"/>
  <c r="E37" i="5"/>
  <c r="D37" i="5"/>
  <c r="C37" i="5"/>
  <c r="J34" i="5"/>
  <c r="I37" i="5"/>
  <c r="K34" i="5"/>
  <c r="J37" i="5"/>
  <c r="K35" i="5"/>
  <c r="J35" i="5"/>
  <c r="O35" i="5"/>
  <c r="O38" i="5"/>
  <c r="M38" i="5"/>
  <c r="D38" i="5"/>
  <c r="L38" i="5"/>
  <c r="C38" i="5"/>
  <c r="C35" i="5"/>
  <c r="E38" i="5"/>
  <c r="O48" i="5"/>
  <c r="J28" i="5"/>
  <c r="O49" i="5"/>
  <c r="J29" i="5"/>
  <c r="J30" i="5"/>
  <c r="J31" i="5"/>
  <c r="O52" i="5"/>
  <c r="L32" i="5"/>
  <c r="J36" i="5"/>
  <c r="C28" i="5"/>
  <c r="K28" i="5"/>
  <c r="C29" i="5"/>
  <c r="K29" i="5"/>
  <c r="C30" i="5"/>
  <c r="K30" i="5"/>
  <c r="C31" i="5"/>
  <c r="C32" i="5"/>
  <c r="M32" i="5"/>
  <c r="C36" i="5"/>
  <c r="K36" i="5"/>
  <c r="G167" i="4"/>
  <c r="O167" i="4"/>
  <c r="E167" i="4"/>
  <c r="L167" i="4"/>
  <c r="C167" i="4"/>
  <c r="J175" i="4"/>
  <c r="I175" i="4"/>
  <c r="M175" i="4"/>
  <c r="C175" i="4"/>
  <c r="O175" i="4"/>
  <c r="L175" i="4"/>
  <c r="K175" i="4"/>
  <c r="G175" i="4"/>
  <c r="O168" i="4"/>
  <c r="E168" i="4"/>
  <c r="M168" i="4"/>
  <c r="D168" i="4"/>
  <c r="L168" i="4"/>
  <c r="C168" i="4"/>
  <c r="J168" i="4"/>
  <c r="J167" i="4"/>
  <c r="G168" i="4"/>
  <c r="I166" i="4"/>
  <c r="O166" i="4"/>
  <c r="E166" i="4"/>
  <c r="M166" i="4"/>
  <c r="K167" i="4"/>
  <c r="I168" i="4"/>
  <c r="G160" i="4"/>
  <c r="G161" i="4"/>
  <c r="G162" i="4"/>
  <c r="G163" i="4"/>
  <c r="G164" i="4"/>
  <c r="G165" i="4"/>
  <c r="O180" i="4"/>
  <c r="J160" i="4"/>
  <c r="O181" i="4"/>
  <c r="J161" i="4"/>
  <c r="O184" i="4"/>
  <c r="J164" i="4"/>
  <c r="O185" i="4"/>
  <c r="J165" i="4"/>
  <c r="K169" i="4"/>
  <c r="G174" i="4"/>
  <c r="O174" i="4"/>
  <c r="K174" i="4"/>
  <c r="I177" i="4"/>
  <c r="J177" i="4"/>
  <c r="M177" i="4"/>
  <c r="E177" i="4"/>
  <c r="L177" i="4"/>
  <c r="D177" i="4"/>
  <c r="O177" i="4"/>
  <c r="J172" i="4"/>
  <c r="O193" i="4"/>
  <c r="L173" i="4"/>
  <c r="G177" i="4"/>
  <c r="M178" i="4"/>
  <c r="E178" i="4"/>
  <c r="L178" i="4"/>
  <c r="D178" i="4"/>
  <c r="K178" i="4"/>
  <c r="C178" i="4"/>
  <c r="O190" i="4"/>
  <c r="J170" i="4"/>
  <c r="O191" i="4"/>
  <c r="J171" i="4"/>
  <c r="O192" i="4"/>
  <c r="L172" i="4"/>
  <c r="M176" i="4"/>
  <c r="E176" i="4"/>
  <c r="L176" i="4"/>
  <c r="D176" i="4"/>
  <c r="O176" i="4"/>
  <c r="C117" i="4"/>
  <c r="C122" i="4"/>
  <c r="D131" i="4"/>
  <c r="L113" i="4"/>
  <c r="D117" i="4"/>
  <c r="E131" i="4"/>
  <c r="C113" i="4"/>
  <c r="L126" i="4"/>
  <c r="I122" i="4"/>
  <c r="G131" i="4"/>
  <c r="E113" i="4"/>
  <c r="J117" i="4"/>
  <c r="C120" i="4"/>
  <c r="I121" i="4"/>
  <c r="J122" i="4"/>
  <c r="G130" i="4"/>
  <c r="I131" i="4"/>
  <c r="D122" i="4"/>
  <c r="D113" i="4"/>
  <c r="I117" i="4"/>
  <c r="G113" i="4"/>
  <c r="K115" i="4"/>
  <c r="C119" i="4"/>
  <c r="J121" i="4"/>
  <c r="K122" i="4"/>
  <c r="J124" i="4"/>
  <c r="I128" i="4"/>
  <c r="I130" i="4"/>
  <c r="M131" i="4"/>
  <c r="M113" i="4"/>
  <c r="D119" i="4"/>
  <c r="G127" i="4"/>
  <c r="J128" i="4"/>
  <c r="O131" i="4"/>
  <c r="G116" i="4"/>
  <c r="O116" i="4"/>
  <c r="M116" i="4"/>
  <c r="E116" i="4"/>
  <c r="I125" i="4"/>
  <c r="G125" i="4"/>
  <c r="M125" i="4"/>
  <c r="L125" i="4"/>
  <c r="K125" i="4"/>
  <c r="C125" i="4"/>
  <c r="C114" i="4"/>
  <c r="L114" i="4"/>
  <c r="G115" i="4"/>
  <c r="O115" i="4"/>
  <c r="C116" i="4"/>
  <c r="D114" i="4"/>
  <c r="M114" i="4"/>
  <c r="C115" i="4"/>
  <c r="M115" i="4"/>
  <c r="D116" i="4"/>
  <c r="J125" i="4"/>
  <c r="G114" i="4"/>
  <c r="J116" i="4"/>
  <c r="K117" i="4"/>
  <c r="G118" i="4"/>
  <c r="O118" i="4"/>
  <c r="M118" i="4"/>
  <c r="E118" i="4"/>
  <c r="G124" i="4"/>
  <c r="O124" i="4"/>
  <c r="M124" i="4"/>
  <c r="E124" i="4"/>
  <c r="I124" i="4"/>
  <c r="D124" i="4"/>
  <c r="L124" i="4"/>
  <c r="K114" i="4"/>
  <c r="E114" i="4"/>
  <c r="O125" i="4"/>
  <c r="E115" i="4"/>
  <c r="I116" i="4"/>
  <c r="O113" i="4"/>
  <c r="K113" i="4"/>
  <c r="I115" i="4"/>
  <c r="K116" i="4"/>
  <c r="C118" i="4"/>
  <c r="G120" i="4"/>
  <c r="O120" i="4"/>
  <c r="E120" i="4"/>
  <c r="M120" i="4"/>
  <c r="D120" i="4"/>
  <c r="J120" i="4"/>
  <c r="C124" i="4"/>
  <c r="O114" i="4"/>
  <c r="D115" i="4"/>
  <c r="J114" i="4"/>
  <c r="J115" i="4"/>
  <c r="L116" i="4"/>
  <c r="G117" i="4"/>
  <c r="O117" i="4"/>
  <c r="M117" i="4"/>
  <c r="E117" i="4"/>
  <c r="K126" i="4"/>
  <c r="J126" i="4"/>
  <c r="I126" i="4"/>
  <c r="G126" i="4"/>
  <c r="C126" i="4"/>
  <c r="M126" i="4"/>
  <c r="G129" i="4"/>
  <c r="O129" i="4"/>
  <c r="E129" i="4"/>
  <c r="M129" i="4"/>
  <c r="D129" i="4"/>
  <c r="O139" i="4"/>
  <c r="J119" i="4"/>
  <c r="C129" i="4"/>
  <c r="I129" i="4"/>
  <c r="E119" i="4"/>
  <c r="M119" i="4"/>
  <c r="G121" i="4"/>
  <c r="M121" i="4"/>
  <c r="E121" i="4"/>
  <c r="L121" i="4"/>
  <c r="G123" i="4"/>
  <c r="O123" i="4"/>
  <c r="M123" i="4"/>
  <c r="E123" i="4"/>
  <c r="K129" i="4"/>
  <c r="O119" i="4"/>
  <c r="C121" i="4"/>
  <c r="O121" i="4"/>
  <c r="C123" i="4"/>
  <c r="L129" i="4"/>
  <c r="G119" i="4"/>
  <c r="D121" i="4"/>
  <c r="G122" i="4"/>
  <c r="O122" i="4"/>
  <c r="M122" i="4"/>
  <c r="E122" i="4"/>
  <c r="D123" i="4"/>
  <c r="O148" i="4"/>
  <c r="L128" i="4"/>
  <c r="K130" i="4"/>
  <c r="K127" i="4"/>
  <c r="C128" i="4"/>
  <c r="M128" i="4"/>
  <c r="C130" i="4"/>
  <c r="L130" i="4"/>
  <c r="O147" i="4"/>
  <c r="L127" i="4"/>
  <c r="O128" i="4"/>
  <c r="D130" i="4"/>
  <c r="M130" i="4"/>
  <c r="K131" i="4"/>
  <c r="C127" i="4"/>
  <c r="M127" i="4"/>
  <c r="G128" i="4"/>
  <c r="E130" i="4"/>
  <c r="O130" i="4"/>
  <c r="C131" i="4"/>
  <c r="L131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37" i="4"/>
  <c r="B36" i="4"/>
  <c r="B35" i="4"/>
  <c r="K35" i="4" s="1"/>
  <c r="B34" i="4"/>
  <c r="L34" i="4" s="1"/>
  <c r="B33" i="4"/>
  <c r="B32" i="4"/>
  <c r="B31" i="4"/>
  <c r="B30" i="4"/>
  <c r="B29" i="4"/>
  <c r="B28" i="4"/>
  <c r="B27" i="4"/>
  <c r="G27" i="4" s="1"/>
  <c r="B26" i="4"/>
  <c r="G26" i="4" s="1"/>
  <c r="B25" i="4"/>
  <c r="M25" i="4" s="1"/>
  <c r="B23" i="4"/>
  <c r="M23" i="4" s="1"/>
  <c r="B22" i="4"/>
  <c r="B24" i="4"/>
  <c r="B21" i="4"/>
  <c r="B20" i="4"/>
  <c r="B19" i="4"/>
  <c r="G31" i="2"/>
  <c r="F31" i="2"/>
  <c r="G30" i="2"/>
  <c r="F30" i="2"/>
  <c r="M26" i="2"/>
  <c r="M25" i="2"/>
  <c r="M24" i="2"/>
  <c r="M23" i="2"/>
  <c r="I52" i="2"/>
  <c r="M27" i="2"/>
  <c r="M29" i="2"/>
  <c r="M28" i="2"/>
  <c r="M22" i="2"/>
  <c r="M21" i="2"/>
  <c r="M20" i="2"/>
  <c r="M19" i="2"/>
  <c r="M18" i="2"/>
  <c r="M17" i="2"/>
  <c r="F120" i="5" s="1"/>
  <c r="M16" i="2"/>
  <c r="F119" i="5" s="1"/>
  <c r="M15" i="2"/>
  <c r="M14" i="2"/>
  <c r="M13" i="2"/>
  <c r="M12" i="2"/>
  <c r="M11" i="2"/>
  <c r="P57" i="2"/>
  <c r="N57" i="2"/>
  <c r="J57" i="2"/>
  <c r="I57" i="2"/>
  <c r="H57" i="2"/>
  <c r="AD57" i="2" s="1"/>
  <c r="P56" i="2"/>
  <c r="N56" i="2"/>
  <c r="J56" i="2"/>
  <c r="I56" i="2"/>
  <c r="H56" i="2"/>
  <c r="AD56" i="2" s="1"/>
  <c r="J55" i="2"/>
  <c r="I55" i="2"/>
  <c r="H55" i="2"/>
  <c r="J54" i="2"/>
  <c r="I54" i="2"/>
  <c r="H54" i="2"/>
  <c r="J53" i="2"/>
  <c r="H53" i="2"/>
  <c r="J52" i="2"/>
  <c r="H52" i="2"/>
  <c r="P51" i="2"/>
  <c r="N51" i="2"/>
  <c r="X51" i="2" s="1"/>
  <c r="J51" i="2"/>
  <c r="I51" i="2"/>
  <c r="H51" i="2"/>
  <c r="AD51" i="2" s="1"/>
  <c r="P50" i="2"/>
  <c r="N50" i="2"/>
  <c r="X50" i="2" s="1"/>
  <c r="J50" i="2"/>
  <c r="I50" i="2"/>
  <c r="H50" i="2"/>
  <c r="AD50" i="2" s="1"/>
  <c r="P49" i="2"/>
  <c r="N49" i="2"/>
  <c r="X49" i="2" s="1"/>
  <c r="J49" i="2"/>
  <c r="I49" i="2"/>
  <c r="H49" i="2"/>
  <c r="AD49" i="2" s="1"/>
  <c r="P48" i="2"/>
  <c r="N48" i="2"/>
  <c r="X48" i="2" s="1"/>
  <c r="J48" i="2"/>
  <c r="I48" i="2"/>
  <c r="H48" i="2"/>
  <c r="AD48" i="2" s="1"/>
  <c r="P47" i="2"/>
  <c r="J47" i="2"/>
  <c r="I47" i="2"/>
  <c r="H47" i="2"/>
  <c r="AD47" i="2" s="1"/>
  <c r="P46" i="2"/>
  <c r="J46" i="2"/>
  <c r="I46" i="2"/>
  <c r="H46" i="2"/>
  <c r="AD46" i="2" s="1"/>
  <c r="P45" i="2"/>
  <c r="J45" i="2"/>
  <c r="I45" i="2"/>
  <c r="H45" i="2"/>
  <c r="AD45" i="2" s="1"/>
  <c r="P44" i="2"/>
  <c r="N44" i="2"/>
  <c r="X44" i="2" s="1"/>
  <c r="J44" i="2"/>
  <c r="I44" i="2"/>
  <c r="H44" i="2"/>
  <c r="AD44" i="2" s="1"/>
  <c r="P43" i="2"/>
  <c r="N43" i="2"/>
  <c r="X43" i="2" s="1"/>
  <c r="J43" i="2"/>
  <c r="I43" i="2"/>
  <c r="H43" i="2"/>
  <c r="AD43" i="2" s="1"/>
  <c r="P42" i="2"/>
  <c r="N42" i="2"/>
  <c r="X42" i="2" s="1"/>
  <c r="J42" i="2"/>
  <c r="I42" i="2"/>
  <c r="H42" i="2"/>
  <c r="P39" i="2"/>
  <c r="N39" i="2"/>
  <c r="X39" i="2" s="1"/>
  <c r="J39" i="2"/>
  <c r="I39" i="2"/>
  <c r="H39" i="2"/>
  <c r="AD39" i="2" s="1"/>
  <c r="P38" i="2"/>
  <c r="N38" i="2"/>
  <c r="X38" i="2" s="1"/>
  <c r="J38" i="2"/>
  <c r="I38" i="2"/>
  <c r="H38" i="2"/>
  <c r="AD38" i="2" s="1"/>
  <c r="P37" i="2"/>
  <c r="N37" i="2"/>
  <c r="X37" i="2" s="1"/>
  <c r="J37" i="2"/>
  <c r="I37" i="2"/>
  <c r="H37" i="2"/>
  <c r="AD37" i="2" s="1"/>
  <c r="H160" i="4"/>
  <c r="T179" i="5" l="1"/>
  <c r="T178" i="5"/>
  <c r="I34" i="4"/>
  <c r="AD42" i="2"/>
  <c r="Y42" i="2"/>
  <c r="H92" i="4"/>
  <c r="H186" i="4"/>
  <c r="H93" i="5"/>
  <c r="H46" i="5"/>
  <c r="H45" i="4"/>
  <c r="H139" i="4"/>
  <c r="H140" i="5"/>
  <c r="H181" i="4"/>
  <c r="H41" i="5"/>
  <c r="H134" i="4"/>
  <c r="H40" i="4"/>
  <c r="H135" i="5"/>
  <c r="H88" i="5"/>
  <c r="H87" i="4"/>
  <c r="H188" i="4"/>
  <c r="H94" i="4"/>
  <c r="H95" i="5"/>
  <c r="H48" i="5"/>
  <c r="H141" i="4"/>
  <c r="H142" i="5"/>
  <c r="H47" i="4"/>
  <c r="H143" i="4"/>
  <c r="H144" i="5"/>
  <c r="H50" i="5"/>
  <c r="H96" i="4"/>
  <c r="H49" i="4"/>
  <c r="H190" i="4"/>
  <c r="H97" i="5"/>
  <c r="H46" i="4"/>
  <c r="H94" i="5"/>
  <c r="H187" i="4"/>
  <c r="H47" i="5"/>
  <c r="H140" i="4"/>
  <c r="H141" i="5"/>
  <c r="H93" i="4"/>
  <c r="H189" i="4"/>
  <c r="H48" i="4"/>
  <c r="H96" i="5"/>
  <c r="H142" i="4"/>
  <c r="H49" i="5"/>
  <c r="H143" i="5"/>
  <c r="H95" i="4"/>
  <c r="H148" i="5"/>
  <c r="H54" i="5"/>
  <c r="H53" i="4"/>
  <c r="H101" i="5"/>
  <c r="H147" i="4"/>
  <c r="H194" i="4"/>
  <c r="H100" i="4"/>
  <c r="H42" i="5"/>
  <c r="H41" i="4"/>
  <c r="H136" i="5"/>
  <c r="H89" i="5"/>
  <c r="H182" i="4"/>
  <c r="H135" i="4"/>
  <c r="H88" i="4"/>
  <c r="H139" i="5"/>
  <c r="H92" i="5"/>
  <c r="H44" i="4"/>
  <c r="H91" i="4"/>
  <c r="H185" i="4"/>
  <c r="H45" i="5"/>
  <c r="H138" i="4"/>
  <c r="H87" i="5"/>
  <c r="H180" i="4"/>
  <c r="H40" i="5"/>
  <c r="H86" i="4"/>
  <c r="H133" i="4"/>
  <c r="H134" i="5"/>
  <c r="H39" i="4"/>
  <c r="H106" i="5"/>
  <c r="H199" i="4"/>
  <c r="H58" i="4"/>
  <c r="H59" i="5"/>
  <c r="H152" i="4"/>
  <c r="H153" i="5"/>
  <c r="H105" i="4"/>
  <c r="H193" i="4"/>
  <c r="H99" i="4"/>
  <c r="H52" i="4"/>
  <c r="H147" i="5"/>
  <c r="H100" i="5"/>
  <c r="H53" i="5"/>
  <c r="H146" i="4"/>
  <c r="H192" i="4"/>
  <c r="H145" i="4"/>
  <c r="H146" i="5"/>
  <c r="H51" i="4"/>
  <c r="H99" i="5"/>
  <c r="H52" i="5"/>
  <c r="H98" i="4"/>
  <c r="H50" i="4"/>
  <c r="H51" i="5"/>
  <c r="H97" i="4"/>
  <c r="H145" i="5"/>
  <c r="H144" i="4"/>
  <c r="H191" i="4"/>
  <c r="H98" i="5"/>
  <c r="AC38" i="2"/>
  <c r="V50" i="1"/>
  <c r="AC57" i="2"/>
  <c r="V69" i="1"/>
  <c r="AC47" i="2"/>
  <c r="V59" i="1"/>
  <c r="AC52" i="2"/>
  <c r="V64" i="1"/>
  <c r="AC54" i="2"/>
  <c r="V66" i="1"/>
  <c r="AC45" i="2"/>
  <c r="V57" i="1"/>
  <c r="AC49" i="2"/>
  <c r="V61" i="1"/>
  <c r="AC37" i="2"/>
  <c r="V49" i="1"/>
  <c r="AC44" i="2"/>
  <c r="V56" i="1"/>
  <c r="AC51" i="2"/>
  <c r="V63" i="1"/>
  <c r="AC53" i="2"/>
  <c r="V65" i="1"/>
  <c r="AC42" i="2"/>
  <c r="V54" i="1"/>
  <c r="AC39" i="2"/>
  <c r="V51" i="1"/>
  <c r="AC46" i="2"/>
  <c r="V58" i="1"/>
  <c r="AC48" i="2"/>
  <c r="V60" i="1"/>
  <c r="AC55" i="2"/>
  <c r="V67" i="1"/>
  <c r="AC56" i="2"/>
  <c r="V68" i="1"/>
  <c r="AC43" i="2"/>
  <c r="V55" i="1"/>
  <c r="AC50" i="2"/>
  <c r="V62" i="1"/>
  <c r="Y46" i="2"/>
  <c r="H62" i="2"/>
  <c r="Y45" i="2"/>
  <c r="Y47" i="2"/>
  <c r="Y51" i="2"/>
  <c r="I61" i="2"/>
  <c r="Y44" i="2"/>
  <c r="H200" i="4"/>
  <c r="H153" i="4"/>
  <c r="H106" i="4"/>
  <c r="H107" i="5"/>
  <c r="H154" i="5"/>
  <c r="H60" i="5"/>
  <c r="H59" i="4"/>
  <c r="M67" i="4"/>
  <c r="F67" i="4"/>
  <c r="O67" i="4"/>
  <c r="G67" i="4"/>
  <c r="I67" i="4"/>
  <c r="J67" i="4"/>
  <c r="L67" i="4"/>
  <c r="K67" i="4"/>
  <c r="L76" i="4"/>
  <c r="M76" i="4"/>
  <c r="I76" i="4"/>
  <c r="J76" i="4"/>
  <c r="F76" i="4"/>
  <c r="O76" i="4"/>
  <c r="K76" i="4"/>
  <c r="G76" i="4"/>
  <c r="G73" i="4"/>
  <c r="J73" i="4"/>
  <c r="M73" i="4"/>
  <c r="I73" i="4"/>
  <c r="L73" i="4"/>
  <c r="F73" i="4"/>
  <c r="O73" i="4"/>
  <c r="K73" i="4"/>
  <c r="G81" i="4"/>
  <c r="K81" i="4"/>
  <c r="J81" i="4"/>
  <c r="I81" i="4"/>
  <c r="L81" i="4"/>
  <c r="M81" i="4"/>
  <c r="F81" i="4"/>
  <c r="O81" i="4"/>
  <c r="F66" i="4"/>
  <c r="O66" i="4"/>
  <c r="G66" i="4"/>
  <c r="K66" i="4"/>
  <c r="L66" i="4"/>
  <c r="H66" i="4"/>
  <c r="I66" i="4"/>
  <c r="M66" i="4"/>
  <c r="J66" i="4"/>
  <c r="F74" i="4"/>
  <c r="O74" i="4"/>
  <c r="G74" i="4"/>
  <c r="J74" i="4"/>
  <c r="I74" i="4"/>
  <c r="M74" i="4"/>
  <c r="K74" i="4"/>
  <c r="L74" i="4"/>
  <c r="F82" i="4"/>
  <c r="O82" i="4"/>
  <c r="K82" i="4"/>
  <c r="G82" i="4"/>
  <c r="J82" i="4"/>
  <c r="L82" i="4"/>
  <c r="M82" i="4"/>
  <c r="I82" i="4"/>
  <c r="L68" i="4"/>
  <c r="M68" i="4"/>
  <c r="I68" i="4"/>
  <c r="F68" i="4"/>
  <c r="O68" i="4"/>
  <c r="G68" i="4"/>
  <c r="J68" i="4"/>
  <c r="K68" i="4"/>
  <c r="C69" i="4"/>
  <c r="K69" i="4"/>
  <c r="L69" i="4"/>
  <c r="F69" i="4"/>
  <c r="M69" i="4"/>
  <c r="O69" i="4"/>
  <c r="G69" i="4"/>
  <c r="J69" i="4"/>
  <c r="I69" i="4"/>
  <c r="K77" i="4"/>
  <c r="O77" i="4"/>
  <c r="L77" i="4"/>
  <c r="M77" i="4"/>
  <c r="F77" i="4"/>
  <c r="J77" i="4"/>
  <c r="G77" i="4"/>
  <c r="I77" i="4"/>
  <c r="J70" i="4"/>
  <c r="O70" i="4"/>
  <c r="K70" i="4"/>
  <c r="M70" i="4"/>
  <c r="G70" i="4"/>
  <c r="L70" i="4"/>
  <c r="I70" i="4"/>
  <c r="F70" i="4"/>
  <c r="J78" i="4"/>
  <c r="F78" i="4"/>
  <c r="G78" i="4"/>
  <c r="K78" i="4"/>
  <c r="M78" i="4"/>
  <c r="O78" i="4"/>
  <c r="L78" i="4"/>
  <c r="I78" i="4"/>
  <c r="M83" i="4"/>
  <c r="F83" i="4"/>
  <c r="O83" i="4"/>
  <c r="G83" i="4"/>
  <c r="I83" i="4"/>
  <c r="J83" i="4"/>
  <c r="L83" i="4"/>
  <c r="K83" i="4"/>
  <c r="L84" i="4"/>
  <c r="J84" i="4"/>
  <c r="M84" i="4"/>
  <c r="G84" i="4"/>
  <c r="I84" i="4"/>
  <c r="F84" i="4"/>
  <c r="O84" i="4"/>
  <c r="K84" i="4"/>
  <c r="I71" i="4"/>
  <c r="G71" i="4"/>
  <c r="J71" i="4"/>
  <c r="M71" i="4"/>
  <c r="O71" i="4"/>
  <c r="K71" i="4"/>
  <c r="L71" i="4"/>
  <c r="F71" i="4"/>
  <c r="I79" i="4"/>
  <c r="J79" i="4"/>
  <c r="G79" i="4"/>
  <c r="K79" i="4"/>
  <c r="L79" i="4"/>
  <c r="M79" i="4"/>
  <c r="F79" i="4"/>
  <c r="O79" i="4"/>
  <c r="M75" i="4"/>
  <c r="J75" i="4"/>
  <c r="F75" i="4"/>
  <c r="O75" i="4"/>
  <c r="G75" i="4"/>
  <c r="I75" i="4"/>
  <c r="K75" i="4"/>
  <c r="L75" i="4"/>
  <c r="M72" i="4"/>
  <c r="I72" i="4"/>
  <c r="K72" i="4"/>
  <c r="J72" i="4"/>
  <c r="L72" i="4"/>
  <c r="F72" i="4"/>
  <c r="G72" i="4"/>
  <c r="O72" i="4"/>
  <c r="K80" i="4"/>
  <c r="M80" i="4"/>
  <c r="F80" i="4"/>
  <c r="I80" i="4"/>
  <c r="J80" i="4"/>
  <c r="G80" i="4"/>
  <c r="L80" i="4"/>
  <c r="O80" i="4"/>
  <c r="Y49" i="2"/>
  <c r="Y37" i="2"/>
  <c r="H61" i="2"/>
  <c r="Y56" i="2"/>
  <c r="I62" i="2"/>
  <c r="Y38" i="2"/>
  <c r="Y57" i="2"/>
  <c r="F37" i="5"/>
  <c r="F131" i="5"/>
  <c r="F173" i="4"/>
  <c r="F127" i="5"/>
  <c r="J30" i="2"/>
  <c r="F163" i="4"/>
  <c r="F117" i="5"/>
  <c r="F38" i="5"/>
  <c r="F132" i="5"/>
  <c r="F174" i="4"/>
  <c r="F128" i="5"/>
  <c r="F117" i="4"/>
  <c r="F118" i="5"/>
  <c r="Y39" i="2"/>
  <c r="F176" i="4"/>
  <c r="F130" i="5"/>
  <c r="F120" i="4"/>
  <c r="F121" i="5"/>
  <c r="Y48" i="2"/>
  <c r="F67" i="5"/>
  <c r="F114" i="5"/>
  <c r="F168" i="4"/>
  <c r="F122" i="5"/>
  <c r="F68" i="5"/>
  <c r="F115" i="5"/>
  <c r="F169" i="4"/>
  <c r="F123" i="5"/>
  <c r="F124" i="4"/>
  <c r="F125" i="5"/>
  <c r="F128" i="4"/>
  <c r="F129" i="5"/>
  <c r="Y43" i="2"/>
  <c r="Y50" i="2"/>
  <c r="F162" i="4"/>
  <c r="F116" i="5"/>
  <c r="F170" i="4"/>
  <c r="F124" i="5"/>
  <c r="F32" i="5"/>
  <c r="F126" i="5"/>
  <c r="F22" i="5"/>
  <c r="F123" i="4"/>
  <c r="O56" i="5"/>
  <c r="F31" i="5"/>
  <c r="F125" i="4"/>
  <c r="F35" i="4"/>
  <c r="O50" i="5"/>
  <c r="I27" i="4"/>
  <c r="F119" i="4"/>
  <c r="F126" i="4"/>
  <c r="F114" i="4"/>
  <c r="F113" i="4"/>
  <c r="F167" i="4"/>
  <c r="F34" i="5"/>
  <c r="F21" i="5"/>
  <c r="F33" i="5"/>
  <c r="F83" i="5"/>
  <c r="F82" i="5"/>
  <c r="F28" i="5"/>
  <c r="F73" i="5"/>
  <c r="F71" i="5"/>
  <c r="F165" i="4"/>
  <c r="F175" i="4"/>
  <c r="F171" i="4"/>
  <c r="F130" i="4"/>
  <c r="F129" i="4"/>
  <c r="F177" i="4"/>
  <c r="F20" i="5"/>
  <c r="F27" i="5"/>
  <c r="F24" i="5"/>
  <c r="F84" i="5"/>
  <c r="F85" i="5"/>
  <c r="F76" i="5"/>
  <c r="F81" i="5"/>
  <c r="F35" i="5"/>
  <c r="F75" i="5"/>
  <c r="F78" i="5"/>
  <c r="F172" i="4"/>
  <c r="F164" i="4"/>
  <c r="F118" i="4"/>
  <c r="F80" i="5"/>
  <c r="F161" i="4"/>
  <c r="F160" i="4"/>
  <c r="F122" i="4"/>
  <c r="F115" i="4"/>
  <c r="F178" i="4"/>
  <c r="F25" i="5"/>
  <c r="F26" i="5"/>
  <c r="F72" i="5"/>
  <c r="H67" i="5"/>
  <c r="F36" i="5"/>
  <c r="F29" i="5"/>
  <c r="F74" i="5"/>
  <c r="F166" i="4"/>
  <c r="F127" i="4"/>
  <c r="D26" i="4"/>
  <c r="F116" i="4"/>
  <c r="F23" i="5"/>
  <c r="F77" i="5"/>
  <c r="F70" i="5"/>
  <c r="H20" i="5"/>
  <c r="F30" i="5"/>
  <c r="H113" i="4"/>
  <c r="F131" i="4"/>
  <c r="F121" i="4"/>
  <c r="F79" i="5"/>
  <c r="F69" i="5"/>
  <c r="O102" i="5"/>
  <c r="O90" i="5"/>
  <c r="O88" i="5"/>
  <c r="O87" i="5"/>
  <c r="O91" i="5"/>
  <c r="O100" i="5"/>
  <c r="O97" i="5"/>
  <c r="O99" i="5"/>
  <c r="O92" i="5"/>
  <c r="O94" i="5"/>
  <c r="O93" i="5"/>
  <c r="O89" i="5"/>
  <c r="O96" i="5"/>
  <c r="O103" i="5"/>
  <c r="O105" i="5"/>
  <c r="O104" i="5"/>
  <c r="O101" i="5"/>
  <c r="O98" i="5"/>
  <c r="O95" i="5"/>
  <c r="O47" i="5"/>
  <c r="O54" i="5"/>
  <c r="O43" i="5"/>
  <c r="O41" i="5"/>
  <c r="O46" i="5"/>
  <c r="O44" i="5"/>
  <c r="O53" i="5"/>
  <c r="O40" i="5"/>
  <c r="O57" i="5"/>
  <c r="O51" i="5"/>
  <c r="O55" i="5"/>
  <c r="U14" i="5"/>
  <c r="O45" i="5"/>
  <c r="O58" i="5"/>
  <c r="O42" i="5"/>
  <c r="O195" i="4"/>
  <c r="O187" i="4"/>
  <c r="O194" i="4"/>
  <c r="O182" i="4"/>
  <c r="O188" i="4"/>
  <c r="O197" i="4"/>
  <c r="O183" i="4"/>
  <c r="O198" i="4"/>
  <c r="O189" i="4"/>
  <c r="O196" i="4"/>
  <c r="O186" i="4"/>
  <c r="E19" i="4"/>
  <c r="J35" i="4"/>
  <c r="I29" i="4"/>
  <c r="C29" i="4"/>
  <c r="G19" i="4"/>
  <c r="D27" i="4"/>
  <c r="M27" i="4"/>
  <c r="D24" i="4"/>
  <c r="C24" i="4"/>
  <c r="C30" i="4"/>
  <c r="C35" i="4"/>
  <c r="O56" i="4"/>
  <c r="C36" i="4"/>
  <c r="L37" i="4"/>
  <c r="C37" i="4"/>
  <c r="H19" i="4"/>
  <c r="L35" i="4"/>
  <c r="M35" i="4"/>
  <c r="C32" i="4"/>
  <c r="M28" i="4"/>
  <c r="C28" i="4"/>
  <c r="E27" i="4"/>
  <c r="C22" i="4"/>
  <c r="D35" i="4"/>
  <c r="O19" i="4"/>
  <c r="C25" i="4"/>
  <c r="C33" i="4"/>
  <c r="J27" i="4"/>
  <c r="C27" i="4"/>
  <c r="I19" i="4"/>
  <c r="K27" i="4"/>
  <c r="K20" i="4"/>
  <c r="C20" i="4"/>
  <c r="L27" i="4"/>
  <c r="D21" i="4"/>
  <c r="C21" i="4"/>
  <c r="O51" i="4"/>
  <c r="C31" i="4"/>
  <c r="J19" i="4"/>
  <c r="F27" i="4"/>
  <c r="O43" i="4"/>
  <c r="C23" i="4"/>
  <c r="I25" i="4"/>
  <c r="E35" i="4"/>
  <c r="O35" i="4"/>
  <c r="F26" i="4"/>
  <c r="C26" i="4"/>
  <c r="F34" i="4"/>
  <c r="C34" i="4"/>
  <c r="O137" i="4"/>
  <c r="O141" i="4"/>
  <c r="O149" i="4"/>
  <c r="O145" i="4"/>
  <c r="O146" i="4"/>
  <c r="O134" i="4"/>
  <c r="O140" i="4"/>
  <c r="O143" i="4"/>
  <c r="O135" i="4"/>
  <c r="O151" i="4"/>
  <c r="O150" i="4"/>
  <c r="O138" i="4"/>
  <c r="O133" i="4"/>
  <c r="O142" i="4"/>
  <c r="O144" i="4"/>
  <c r="O136" i="4"/>
  <c r="G36" i="4"/>
  <c r="K34" i="4"/>
  <c r="J26" i="4"/>
  <c r="O34" i="4"/>
  <c r="L26" i="4"/>
  <c r="L20" i="4"/>
  <c r="G33" i="4"/>
  <c r="E23" i="4"/>
  <c r="K33" i="4"/>
  <c r="O26" i="4"/>
  <c r="F23" i="4"/>
  <c r="I26" i="4"/>
  <c r="I35" i="4"/>
  <c r="O27" i="4"/>
  <c r="L32" i="4"/>
  <c r="I20" i="4"/>
  <c r="E26" i="4"/>
  <c r="M32" i="4"/>
  <c r="F36" i="4"/>
  <c r="F24" i="4"/>
  <c r="K21" i="4"/>
  <c r="F28" i="4"/>
  <c r="I28" i="4"/>
  <c r="J28" i="4"/>
  <c r="K36" i="4"/>
  <c r="D20" i="4"/>
  <c r="K28" i="4"/>
  <c r="C68" i="4"/>
  <c r="G20" i="4"/>
  <c r="E24" i="4"/>
  <c r="K31" i="4"/>
  <c r="O25" i="4"/>
  <c r="L31" i="4"/>
  <c r="G23" i="4"/>
  <c r="K22" i="4"/>
  <c r="J23" i="4"/>
  <c r="I32" i="4"/>
  <c r="E22" i="4"/>
  <c r="F22" i="4"/>
  <c r="F32" i="4"/>
  <c r="G31" i="4"/>
  <c r="E20" i="4"/>
  <c r="M20" i="4"/>
  <c r="M22" i="4"/>
  <c r="K23" i="4"/>
  <c r="J25" i="4"/>
  <c r="G28" i="4"/>
  <c r="J32" i="4"/>
  <c r="L33" i="4"/>
  <c r="D36" i="4"/>
  <c r="L36" i="4"/>
  <c r="O20" i="4"/>
  <c r="F20" i="4"/>
  <c r="J21" i="4"/>
  <c r="D23" i="4"/>
  <c r="L23" i="4"/>
  <c r="K25" i="4"/>
  <c r="K26" i="4"/>
  <c r="I31" i="4"/>
  <c r="K32" i="4"/>
  <c r="G34" i="4"/>
  <c r="G35" i="4"/>
  <c r="E36" i="4"/>
  <c r="M36" i="4"/>
  <c r="O23" i="4"/>
  <c r="O36" i="4"/>
  <c r="J20" i="4"/>
  <c r="I22" i="4"/>
  <c r="E25" i="4"/>
  <c r="D28" i="4"/>
  <c r="L28" i="4"/>
  <c r="G32" i="4"/>
  <c r="I36" i="4"/>
  <c r="O28" i="4"/>
  <c r="E72" i="4"/>
  <c r="C70" i="4"/>
  <c r="J22" i="4"/>
  <c r="I23" i="4"/>
  <c r="F25" i="4"/>
  <c r="E28" i="4"/>
  <c r="I33" i="4"/>
  <c r="J36" i="4"/>
  <c r="O33" i="4"/>
  <c r="E71" i="4"/>
  <c r="L21" i="4"/>
  <c r="K24" i="4"/>
  <c r="D22" i="4"/>
  <c r="L22" i="4"/>
  <c r="D25" i="4"/>
  <c r="L25" i="4"/>
  <c r="J29" i="4"/>
  <c r="J31" i="4"/>
  <c r="J33" i="4"/>
  <c r="J34" i="4"/>
  <c r="L29" i="4"/>
  <c r="O30" i="4"/>
  <c r="C76" i="4"/>
  <c r="G22" i="4"/>
  <c r="G25" i="4"/>
  <c r="M26" i="4"/>
  <c r="G30" i="4"/>
  <c r="M31" i="4"/>
  <c r="M33" i="4"/>
  <c r="M34" i="4"/>
  <c r="O31" i="4"/>
  <c r="C77" i="4"/>
  <c r="K29" i="4"/>
  <c r="I21" i="4"/>
  <c r="F31" i="4"/>
  <c r="F33" i="4"/>
  <c r="O22" i="4"/>
  <c r="O32" i="4"/>
  <c r="C79" i="4"/>
  <c r="D72" i="4"/>
  <c r="G21" i="4"/>
  <c r="F21" i="4"/>
  <c r="M21" i="4"/>
  <c r="E21" i="4"/>
  <c r="O21" i="4"/>
  <c r="G29" i="4"/>
  <c r="F29" i="4"/>
  <c r="M29" i="4"/>
  <c r="E29" i="4"/>
  <c r="O29" i="4"/>
  <c r="G37" i="4"/>
  <c r="F37" i="4"/>
  <c r="M37" i="4"/>
  <c r="E37" i="4"/>
  <c r="O37" i="4"/>
  <c r="I24" i="4"/>
  <c r="G24" i="4"/>
  <c r="J24" i="4"/>
  <c r="M30" i="4"/>
  <c r="E30" i="4"/>
  <c r="L30" i="4"/>
  <c r="D30" i="4"/>
  <c r="K30" i="4"/>
  <c r="F30" i="4"/>
  <c r="C73" i="4"/>
  <c r="D73" i="4"/>
  <c r="E73" i="4"/>
  <c r="O24" i="4"/>
  <c r="L24" i="4"/>
  <c r="I37" i="4"/>
  <c r="C82" i="4"/>
  <c r="M24" i="4"/>
  <c r="I30" i="4"/>
  <c r="J37" i="4"/>
  <c r="D69" i="4"/>
  <c r="D37" i="4"/>
  <c r="D29" i="4"/>
  <c r="J30" i="4"/>
  <c r="K37" i="4"/>
  <c r="E69" i="4"/>
  <c r="E66" i="4"/>
  <c r="D66" i="4"/>
  <c r="O100" i="4"/>
  <c r="C80" i="4"/>
  <c r="C78" i="4"/>
  <c r="E70" i="4"/>
  <c r="D70" i="4"/>
  <c r="O94" i="4"/>
  <c r="E74" i="4"/>
  <c r="D74" i="4"/>
  <c r="C74" i="4"/>
  <c r="C81" i="4"/>
  <c r="C67" i="4"/>
  <c r="C71" i="4"/>
  <c r="C75" i="4"/>
  <c r="C83" i="4"/>
  <c r="C72" i="4"/>
  <c r="D71" i="4"/>
  <c r="E75" i="4"/>
  <c r="E76" i="4"/>
  <c r="C84" i="4"/>
  <c r="D67" i="4"/>
  <c r="E68" i="4"/>
  <c r="E67" i="4"/>
  <c r="E77" i="4"/>
  <c r="D77" i="4"/>
  <c r="D68" i="4"/>
  <c r="C66" i="4"/>
  <c r="O91" i="4"/>
  <c r="O92" i="4"/>
  <c r="O96" i="4"/>
  <c r="D75" i="4"/>
  <c r="D76" i="4"/>
  <c r="E82" i="4"/>
  <c r="D82" i="4"/>
  <c r="O104" i="4"/>
  <c r="D83" i="4"/>
  <c r="D84" i="4"/>
  <c r="E83" i="4"/>
  <c r="E84" i="4"/>
  <c r="O39" i="4"/>
  <c r="D19" i="4"/>
  <c r="K19" i="4"/>
  <c r="L19" i="4"/>
  <c r="C19" i="4"/>
  <c r="M19" i="4"/>
  <c r="F19" i="4"/>
  <c r="S14" i="4"/>
  <c r="G63" i="2"/>
  <c r="F63" i="2"/>
  <c r="N11" i="2"/>
  <c r="N12" i="2"/>
  <c r="J11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Z11" i="2" s="1"/>
  <c r="P29" i="2"/>
  <c r="H84" i="4" s="1"/>
  <c r="J29" i="2"/>
  <c r="P28" i="2"/>
  <c r="H83" i="4" s="1"/>
  <c r="J28" i="2"/>
  <c r="P27" i="2"/>
  <c r="H82" i="4" s="1"/>
  <c r="J27" i="2"/>
  <c r="P26" i="2"/>
  <c r="H81" i="4" s="1"/>
  <c r="N26" i="2"/>
  <c r="J26" i="2"/>
  <c r="P25" i="2"/>
  <c r="H80" i="4" s="1"/>
  <c r="N25" i="2"/>
  <c r="J25" i="2"/>
  <c r="P24" i="2"/>
  <c r="H127" i="5" s="1"/>
  <c r="N24" i="2"/>
  <c r="J24" i="2"/>
  <c r="P23" i="2"/>
  <c r="H126" i="5" s="1"/>
  <c r="N23" i="2"/>
  <c r="J23" i="2"/>
  <c r="P22" i="2"/>
  <c r="H30" i="4" s="1"/>
  <c r="J22" i="2"/>
  <c r="P21" i="2"/>
  <c r="H76" i="4" s="1"/>
  <c r="J21" i="2"/>
  <c r="P20" i="2"/>
  <c r="H75" i="4" s="1"/>
  <c r="J20" i="2"/>
  <c r="P19" i="2"/>
  <c r="H74" i="4" s="1"/>
  <c r="J19" i="2"/>
  <c r="P18" i="2"/>
  <c r="H73" i="4" s="1"/>
  <c r="J18" i="2"/>
  <c r="P17" i="2"/>
  <c r="H120" i="5" s="1"/>
  <c r="J17" i="2"/>
  <c r="P16" i="2"/>
  <c r="H119" i="5" s="1"/>
  <c r="J16" i="2"/>
  <c r="P15" i="2"/>
  <c r="H70" i="4" s="1"/>
  <c r="J15" i="2"/>
  <c r="P14" i="2"/>
  <c r="H69" i="4" s="1"/>
  <c r="J14" i="2"/>
  <c r="P13" i="2"/>
  <c r="H68" i="4" s="1"/>
  <c r="J13" i="2"/>
  <c r="P12" i="2"/>
  <c r="H67" i="4" s="1"/>
  <c r="J12" i="2"/>
  <c r="W61" i="2" l="1"/>
  <c r="X61" i="2"/>
  <c r="V73" i="1"/>
  <c r="S107" i="4"/>
  <c r="S95" i="4"/>
  <c r="S96" i="4"/>
  <c r="Z26" i="2"/>
  <c r="Z12" i="2"/>
  <c r="Z24" i="2"/>
  <c r="H71" i="4"/>
  <c r="H78" i="4"/>
  <c r="Z23" i="2"/>
  <c r="H72" i="4"/>
  <c r="Z25" i="2"/>
  <c r="H79" i="4"/>
  <c r="H77" i="4"/>
  <c r="AC63" i="2"/>
  <c r="E41" i="1" s="1"/>
  <c r="E40" i="1" s="1"/>
  <c r="Y20" i="2"/>
  <c r="Z20" i="2"/>
  <c r="Y14" i="2"/>
  <c r="Z14" i="2"/>
  <c r="Y18" i="2"/>
  <c r="Z18" i="2"/>
  <c r="Y22" i="2"/>
  <c r="Z22" i="2"/>
  <c r="Y19" i="2"/>
  <c r="Z19" i="2"/>
  <c r="Y16" i="2"/>
  <c r="Z16" i="2"/>
  <c r="Y28" i="2"/>
  <c r="Z28" i="2"/>
  <c r="Y15" i="2"/>
  <c r="Z15" i="2"/>
  <c r="Y27" i="2"/>
  <c r="Z27" i="2"/>
  <c r="Y13" i="2"/>
  <c r="Z13" i="2"/>
  <c r="Y17" i="2"/>
  <c r="Z17" i="2"/>
  <c r="Y21" i="2"/>
  <c r="Z21" i="2"/>
  <c r="Y29" i="2"/>
  <c r="Z29" i="2"/>
  <c r="S93" i="4"/>
  <c r="S108" i="4"/>
  <c r="S91" i="4"/>
  <c r="S97" i="4"/>
  <c r="S99" i="4"/>
  <c r="S89" i="4"/>
  <c r="S88" i="4"/>
  <c r="S105" i="4"/>
  <c r="S98" i="4"/>
  <c r="S90" i="4"/>
  <c r="S109" i="4"/>
  <c r="S106" i="4"/>
  <c r="S92" i="4"/>
  <c r="S100" i="4"/>
  <c r="Y11" i="2"/>
  <c r="Y23" i="2"/>
  <c r="Y61" i="2"/>
  <c r="Y12" i="2"/>
  <c r="Y25" i="2"/>
  <c r="H31" i="4"/>
  <c r="H20" i="4"/>
  <c r="H115" i="5"/>
  <c r="H123" i="5"/>
  <c r="H129" i="5"/>
  <c r="Y24" i="2"/>
  <c r="H21" i="4"/>
  <c r="H116" i="5"/>
  <c r="H29" i="4"/>
  <c r="H124" i="5"/>
  <c r="H130" i="5"/>
  <c r="H117" i="5"/>
  <c r="H26" i="4"/>
  <c r="H121" i="5"/>
  <c r="H125" i="5"/>
  <c r="H131" i="5"/>
  <c r="H33" i="4"/>
  <c r="H128" i="5"/>
  <c r="Y26" i="2"/>
  <c r="H23" i="4"/>
  <c r="H118" i="5"/>
  <c r="H122" i="5"/>
  <c r="H132" i="5"/>
  <c r="O53" i="4"/>
  <c r="H22" i="4"/>
  <c r="O55" i="4"/>
  <c r="H27" i="4"/>
  <c r="H30" i="2"/>
  <c r="O50" i="4"/>
  <c r="O45" i="4"/>
  <c r="O52" i="4"/>
  <c r="H165" i="4"/>
  <c r="H118" i="4"/>
  <c r="H25" i="5"/>
  <c r="H72" i="5"/>
  <c r="H26" i="5"/>
  <c r="H166" i="4"/>
  <c r="H119" i="4"/>
  <c r="H73" i="5"/>
  <c r="H81" i="5"/>
  <c r="H174" i="4"/>
  <c r="H34" i="5"/>
  <c r="H127" i="4"/>
  <c r="H24" i="4"/>
  <c r="H162" i="4"/>
  <c r="H22" i="5"/>
  <c r="H115" i="4"/>
  <c r="H69" i="5"/>
  <c r="H173" i="4"/>
  <c r="H80" i="5"/>
  <c r="H126" i="4"/>
  <c r="H33" i="5"/>
  <c r="H24" i="5"/>
  <c r="H71" i="5"/>
  <c r="H117" i="4"/>
  <c r="H164" i="4"/>
  <c r="H121" i="4"/>
  <c r="H28" i="5"/>
  <c r="H75" i="5"/>
  <c r="H168" i="4"/>
  <c r="H84" i="5"/>
  <c r="H130" i="4"/>
  <c r="H177" i="4"/>
  <c r="H37" i="5"/>
  <c r="H161" i="4"/>
  <c r="H114" i="4"/>
  <c r="H21" i="5"/>
  <c r="H68" i="5"/>
  <c r="H32" i="5"/>
  <c r="H172" i="4"/>
  <c r="H79" i="5"/>
  <c r="H125" i="4"/>
  <c r="H25" i="4"/>
  <c r="H36" i="4"/>
  <c r="H178" i="4"/>
  <c r="H38" i="5"/>
  <c r="H85" i="5"/>
  <c r="H131" i="4"/>
  <c r="H37" i="4"/>
  <c r="H34" i="4"/>
  <c r="X30" i="2"/>
  <c r="H122" i="4"/>
  <c r="H76" i="5"/>
  <c r="H169" i="4"/>
  <c r="H29" i="5"/>
  <c r="H35" i="5"/>
  <c r="H82" i="5"/>
  <c r="H128" i="4"/>
  <c r="H175" i="4"/>
  <c r="H176" i="4"/>
  <c r="H83" i="5"/>
  <c r="H129" i="4"/>
  <c r="H36" i="5"/>
  <c r="H123" i="4"/>
  <c r="H77" i="5"/>
  <c r="H30" i="5"/>
  <c r="H170" i="4"/>
  <c r="H32" i="4"/>
  <c r="H28" i="4"/>
  <c r="H163" i="4"/>
  <c r="H70" i="5"/>
  <c r="H116" i="4"/>
  <c r="H23" i="5"/>
  <c r="H27" i="5"/>
  <c r="H167" i="4"/>
  <c r="H74" i="5"/>
  <c r="H120" i="4"/>
  <c r="H31" i="5"/>
  <c r="H124" i="4"/>
  <c r="H78" i="5"/>
  <c r="H171" i="4"/>
  <c r="O42" i="4"/>
  <c r="H35" i="4"/>
  <c r="V14" i="5"/>
  <c r="O48" i="4"/>
  <c r="O47" i="4"/>
  <c r="O93" i="4"/>
  <c r="R92" i="4"/>
  <c r="R91" i="4"/>
  <c r="O40" i="4"/>
  <c r="O101" i="4"/>
  <c r="O44" i="4"/>
  <c r="O103" i="4"/>
  <c r="O89" i="4"/>
  <c r="O54" i="4"/>
  <c r="O46" i="4"/>
  <c r="O57" i="4"/>
  <c r="O49" i="4"/>
  <c r="O41" i="4"/>
  <c r="O95" i="4"/>
  <c r="O90" i="4"/>
  <c r="O87" i="4"/>
  <c r="O98" i="4"/>
  <c r="O97" i="4"/>
  <c r="O102" i="4"/>
  <c r="O99" i="4"/>
  <c r="O88" i="4"/>
  <c r="T14" i="4"/>
  <c r="H31" i="2"/>
  <c r="I30" i="2"/>
  <c r="I31" i="2"/>
  <c r="J63" i="2"/>
  <c r="F32" i="2"/>
  <c r="G32" i="2"/>
  <c r="J31" i="2"/>
  <c r="W30" i="2" l="1"/>
  <c r="T107" i="4"/>
  <c r="T96" i="4"/>
  <c r="T95" i="4"/>
  <c r="Y31" i="2"/>
  <c r="Z30" i="2"/>
  <c r="Z31" i="2"/>
  <c r="Y30" i="2"/>
  <c r="T93" i="4"/>
  <c r="T105" i="4"/>
  <c r="T108" i="4"/>
  <c r="T99" i="4"/>
  <c r="T91" i="4"/>
  <c r="T97" i="4"/>
  <c r="T109" i="4"/>
  <c r="T92" i="4"/>
  <c r="T88" i="4"/>
  <c r="T100" i="4"/>
  <c r="T98" i="4"/>
  <c r="T90" i="4"/>
  <c r="T89" i="4"/>
  <c r="T106" i="4"/>
  <c r="I32" i="2"/>
  <c r="W14" i="5"/>
  <c r="R99" i="4"/>
  <c r="R98" i="4"/>
  <c r="R100" i="4"/>
  <c r="R95" i="4"/>
  <c r="R93" i="4"/>
  <c r="R94" i="4"/>
  <c r="R90" i="4"/>
  <c r="R89" i="4"/>
  <c r="R97" i="4"/>
  <c r="R88" i="4"/>
  <c r="R87" i="4"/>
  <c r="U14" i="4"/>
  <c r="H32" i="2"/>
  <c r="H63" i="2"/>
  <c r="I63" i="2"/>
  <c r="J32" i="2"/>
  <c r="U107" i="4" l="1"/>
  <c r="U95" i="4"/>
  <c r="U96" i="4"/>
  <c r="Y32" i="2"/>
  <c r="S160" i="5" s="1"/>
  <c r="Z32" i="2"/>
  <c r="U108" i="4"/>
  <c r="U93" i="4"/>
  <c r="U89" i="4"/>
  <c r="U97" i="4"/>
  <c r="U99" i="4"/>
  <c r="U98" i="4"/>
  <c r="U91" i="4"/>
  <c r="U106" i="4"/>
  <c r="U109" i="4"/>
  <c r="U92" i="4"/>
  <c r="U88" i="4"/>
  <c r="U100" i="4"/>
  <c r="U105" i="4"/>
  <c r="U90" i="4"/>
  <c r="X14" i="5"/>
  <c r="V14" i="4"/>
  <c r="E54" i="1" l="1"/>
  <c r="H37" i="8" s="1"/>
  <c r="V107" i="4"/>
  <c r="V95" i="4"/>
  <c r="V96" i="4"/>
  <c r="CU37" i="8"/>
  <c r="I37" i="8"/>
  <c r="BU37" i="8"/>
  <c r="AX37" i="8"/>
  <c r="AI37" i="8"/>
  <c r="BG37" i="8"/>
  <c r="BW37" i="8"/>
  <c r="M37" i="8"/>
  <c r="AK37" i="8"/>
  <c r="BQ37" i="8"/>
  <c r="Z37" i="8"/>
  <c r="AP37" i="8"/>
  <c r="AB37" i="8"/>
  <c r="BP37" i="8"/>
  <c r="AC37" i="8"/>
  <c r="CO37" i="8"/>
  <c r="AD37" i="8"/>
  <c r="AS37" i="8"/>
  <c r="N37" i="8"/>
  <c r="BR37" i="8"/>
  <c r="AR37" i="8"/>
  <c r="BI37" i="8"/>
  <c r="V37" i="8"/>
  <c r="BJ37" i="8"/>
  <c r="AL37" i="8"/>
  <c r="O37" i="8"/>
  <c r="W37" i="8"/>
  <c r="AE37" i="8"/>
  <c r="AM37" i="8"/>
  <c r="BK37" i="8"/>
  <c r="BS37" i="8"/>
  <c r="CA37" i="8"/>
  <c r="CI37" i="8"/>
  <c r="CQ37" i="8"/>
  <c r="P37" i="8"/>
  <c r="AN37" i="8"/>
  <c r="AV37" i="8"/>
  <c r="BD37" i="8"/>
  <c r="BL37" i="8"/>
  <c r="BT37" i="8"/>
  <c r="CB37" i="8"/>
  <c r="CV37" i="8"/>
  <c r="Q37" i="8"/>
  <c r="Y37" i="8"/>
  <c r="AO37" i="8"/>
  <c r="AW37" i="8"/>
  <c r="BM37" i="8"/>
  <c r="AH37" i="8"/>
  <c r="BF37" i="8"/>
  <c r="CD37" i="8"/>
  <c r="CT37" i="8"/>
  <c r="S37" i="8"/>
  <c r="AY37" i="8"/>
  <c r="BX37" i="8"/>
  <c r="CG37" i="8"/>
  <c r="BB37" i="8"/>
  <c r="CP37" i="8"/>
  <c r="R37" i="8"/>
  <c r="BN37" i="8"/>
  <c r="AQ37" i="8"/>
  <c r="BO37" i="8"/>
  <c r="L37" i="8"/>
  <c r="BH37" i="8"/>
  <c r="CN37" i="8"/>
  <c r="U37" i="8"/>
  <c r="CW37" i="8"/>
  <c r="CX37" i="8"/>
  <c r="CY37" i="8"/>
  <c r="CZ37" i="8"/>
  <c r="DA37" i="8"/>
  <c r="DB37" i="8"/>
  <c r="V93" i="4"/>
  <c r="V108" i="4"/>
  <c r="V105" i="4"/>
  <c r="V99" i="4"/>
  <c r="V97" i="4"/>
  <c r="V89" i="4"/>
  <c r="V88" i="4"/>
  <c r="V92" i="4"/>
  <c r="V98" i="4"/>
  <c r="V109" i="4"/>
  <c r="V91" i="4"/>
  <c r="V106" i="4"/>
  <c r="V90" i="4"/>
  <c r="V100" i="4"/>
  <c r="S163" i="5"/>
  <c r="T160" i="5" s="1"/>
  <c r="Y14" i="5"/>
  <c r="W14" i="4"/>
  <c r="CH37" i="8" l="1"/>
  <c r="J37" i="8"/>
  <c r="CK37" i="8"/>
  <c r="AT37" i="8"/>
  <c r="K37" i="8"/>
  <c r="AJ37" i="8"/>
  <c r="CS37" i="8"/>
  <c r="CR37" i="8"/>
  <c r="AF37" i="8"/>
  <c r="BC37" i="8"/>
  <c r="BA37" i="8"/>
  <c r="CF37" i="8"/>
  <c r="CM37" i="8"/>
  <c r="AZ37" i="8"/>
  <c r="BE37" i="8"/>
  <c r="BY37" i="8"/>
  <c r="CL37" i="8"/>
  <c r="CE37" i="8"/>
  <c r="CC37" i="8"/>
  <c r="CJ37" i="8"/>
  <c r="X37" i="8"/>
  <c r="AU37" i="8"/>
  <c r="BZ37" i="8"/>
  <c r="AA37" i="8"/>
  <c r="BV37" i="8"/>
  <c r="T37" i="8"/>
  <c r="AG37" i="8"/>
  <c r="W107" i="4"/>
  <c r="W96" i="4"/>
  <c r="W95" i="4"/>
  <c r="S164" i="5"/>
  <c r="W93" i="4"/>
  <c r="W108" i="4"/>
  <c r="W97" i="4"/>
  <c r="W91" i="4"/>
  <c r="W99" i="4"/>
  <c r="W105" i="4"/>
  <c r="W109" i="4"/>
  <c r="W98" i="4"/>
  <c r="W89" i="4"/>
  <c r="W90" i="4"/>
  <c r="W88" i="4"/>
  <c r="W100" i="4"/>
  <c r="W106" i="4"/>
  <c r="W92" i="4"/>
  <c r="Z14" i="5"/>
  <c r="X14" i="4"/>
  <c r="F37" i="8" l="1"/>
  <c r="X107" i="4"/>
  <c r="X96" i="4"/>
  <c r="X95" i="4"/>
  <c r="X105" i="4"/>
  <c r="X91" i="4"/>
  <c r="X89" i="4"/>
  <c r="X99" i="4"/>
  <c r="X97" i="4"/>
  <c r="X108" i="4"/>
  <c r="X93" i="4"/>
  <c r="X109" i="4"/>
  <c r="X106" i="4"/>
  <c r="X92" i="4"/>
  <c r="X90" i="4"/>
  <c r="X98" i="4"/>
  <c r="X88" i="4"/>
  <c r="X100" i="4"/>
  <c r="AA14" i="5"/>
  <c r="Y14" i="4"/>
  <c r="Y107" i="4" l="1"/>
  <c r="Y96" i="4"/>
  <c r="Y95" i="4"/>
  <c r="Y108" i="4"/>
  <c r="Y105" i="4"/>
  <c r="Y99" i="4"/>
  <c r="Y97" i="4"/>
  <c r="Y93" i="4"/>
  <c r="Y109" i="4"/>
  <c r="Y92" i="4"/>
  <c r="Y88" i="4"/>
  <c r="Y91" i="4"/>
  <c r="Y90" i="4"/>
  <c r="Y98" i="4"/>
  <c r="Y106" i="4"/>
  <c r="Y89" i="4"/>
  <c r="Y100" i="4"/>
  <c r="AB14" i="5"/>
  <c r="Z14" i="4"/>
  <c r="Z107" i="4" l="1"/>
  <c r="Z96" i="4"/>
  <c r="Z95" i="4"/>
  <c r="Z108" i="4"/>
  <c r="Z105" i="4"/>
  <c r="Z97" i="4"/>
  <c r="Z93" i="4"/>
  <c r="Z99" i="4"/>
  <c r="Z89" i="4"/>
  <c r="Z92" i="4"/>
  <c r="Z91" i="4"/>
  <c r="Z88" i="4"/>
  <c r="Z109" i="4"/>
  <c r="Z100" i="4"/>
  <c r="Z106" i="4"/>
  <c r="Z98" i="4"/>
  <c r="Z90" i="4"/>
  <c r="AC14" i="5"/>
  <c r="AA14" i="4"/>
  <c r="AA107" i="4" l="1"/>
  <c r="AA95" i="4"/>
  <c r="AA96" i="4"/>
  <c r="AA93" i="4"/>
  <c r="AA97" i="4"/>
  <c r="AA108" i="4"/>
  <c r="AA99" i="4"/>
  <c r="AA105" i="4"/>
  <c r="AA91" i="4"/>
  <c r="AA98" i="4"/>
  <c r="AA89" i="4"/>
  <c r="AA88" i="4"/>
  <c r="AA90" i="4"/>
  <c r="AA106" i="4"/>
  <c r="AA100" i="4"/>
  <c r="AA109" i="4"/>
  <c r="AA92" i="4"/>
  <c r="AD14" i="5"/>
  <c r="AB14" i="4"/>
  <c r="AB107" i="4" l="1"/>
  <c r="AB96" i="4"/>
  <c r="AB95" i="4"/>
  <c r="AB108" i="4"/>
  <c r="AB93" i="4"/>
  <c r="AB99" i="4"/>
  <c r="AB105" i="4"/>
  <c r="AB109" i="4"/>
  <c r="AB88" i="4"/>
  <c r="AB97" i="4"/>
  <c r="AB98" i="4"/>
  <c r="AB106" i="4"/>
  <c r="AB91" i="4"/>
  <c r="AB90" i="4"/>
  <c r="AB92" i="4"/>
  <c r="AB100" i="4"/>
  <c r="AB89" i="4"/>
  <c r="AE14" i="5"/>
  <c r="AC14" i="4"/>
  <c r="AC107" i="4" l="1"/>
  <c r="AC95" i="4"/>
  <c r="AC96" i="4"/>
  <c r="AC108" i="4"/>
  <c r="AC99" i="4"/>
  <c r="AC97" i="4"/>
  <c r="AC93" i="4"/>
  <c r="AC105" i="4"/>
  <c r="AC98" i="4"/>
  <c r="AC88" i="4"/>
  <c r="AC109" i="4"/>
  <c r="AC100" i="4"/>
  <c r="AC91" i="4"/>
  <c r="AC89" i="4"/>
  <c r="AC90" i="4"/>
  <c r="AC106" i="4"/>
  <c r="AC92" i="4"/>
  <c r="AF14" i="5"/>
  <c r="AD14" i="4"/>
  <c r="AD107" i="4" l="1"/>
  <c r="AD95" i="4"/>
  <c r="AD96" i="4"/>
  <c r="AD108" i="4"/>
  <c r="AD105" i="4"/>
  <c r="AD93" i="4"/>
  <c r="AD89" i="4"/>
  <c r="AD97" i="4"/>
  <c r="AD99" i="4"/>
  <c r="AD88" i="4"/>
  <c r="AD98" i="4"/>
  <c r="AD91" i="4"/>
  <c r="AD109" i="4"/>
  <c r="AD92" i="4"/>
  <c r="AD106" i="4"/>
  <c r="AD90" i="4"/>
  <c r="AD100" i="4"/>
  <c r="AG14" i="5"/>
  <c r="AE14" i="4"/>
  <c r="AE107" i="4" l="1"/>
  <c r="AE95" i="4"/>
  <c r="AE96" i="4"/>
  <c r="AE108" i="4"/>
  <c r="AE93" i="4"/>
  <c r="AE99" i="4"/>
  <c r="AE97" i="4"/>
  <c r="AE105" i="4"/>
  <c r="AE89" i="4"/>
  <c r="AE91" i="4"/>
  <c r="AE100" i="4"/>
  <c r="AE88" i="4"/>
  <c r="AE98" i="4"/>
  <c r="AE109" i="4"/>
  <c r="AE106" i="4"/>
  <c r="AE92" i="4"/>
  <c r="AE90" i="4"/>
  <c r="AH14" i="5"/>
  <c r="AF14" i="4"/>
  <c r="AF107" i="4" l="1"/>
  <c r="AF96" i="4"/>
  <c r="AF95" i="4"/>
  <c r="AF105" i="4"/>
  <c r="AF91" i="4"/>
  <c r="AF108" i="4"/>
  <c r="AF97" i="4"/>
  <c r="AF99" i="4"/>
  <c r="AF93" i="4"/>
  <c r="AF109" i="4"/>
  <c r="AF89" i="4"/>
  <c r="AF92" i="4"/>
  <c r="AF88" i="4"/>
  <c r="AF106" i="4"/>
  <c r="AF90" i="4"/>
  <c r="AF100" i="4"/>
  <c r="AF98" i="4"/>
  <c r="AI14" i="5"/>
  <c r="AG14" i="4"/>
  <c r="AG107" i="4" l="1"/>
  <c r="AG96" i="4"/>
  <c r="AG95" i="4"/>
  <c r="AG108" i="4"/>
  <c r="AG93" i="4"/>
  <c r="AG105" i="4"/>
  <c r="AG97" i="4"/>
  <c r="AG99" i="4"/>
  <c r="AG98" i="4"/>
  <c r="AG106" i="4"/>
  <c r="AG109" i="4"/>
  <c r="AG92" i="4"/>
  <c r="AG89" i="4"/>
  <c r="AG88" i="4"/>
  <c r="AG100" i="4"/>
  <c r="AG91" i="4"/>
  <c r="AG90" i="4"/>
  <c r="AJ14" i="5"/>
  <c r="AH14" i="4"/>
  <c r="AH107" i="4" l="1"/>
  <c r="AH96" i="4"/>
  <c r="AH95" i="4"/>
  <c r="AH108" i="4"/>
  <c r="AH93" i="4"/>
  <c r="AH105" i="4"/>
  <c r="AH97" i="4"/>
  <c r="AH99" i="4"/>
  <c r="AH98" i="4"/>
  <c r="AH91" i="4"/>
  <c r="AH92" i="4"/>
  <c r="AH88" i="4"/>
  <c r="AH89" i="4"/>
  <c r="AH90" i="4"/>
  <c r="AH109" i="4"/>
  <c r="AH106" i="4"/>
  <c r="AH100" i="4"/>
  <c r="AK14" i="5"/>
  <c r="AI14" i="4"/>
  <c r="AI107" i="4" l="1"/>
  <c r="AI96" i="4"/>
  <c r="AI95" i="4"/>
  <c r="AI99" i="4"/>
  <c r="AI108" i="4"/>
  <c r="AI97" i="4"/>
  <c r="AI89" i="4"/>
  <c r="AI105" i="4"/>
  <c r="AI93" i="4"/>
  <c r="AI91" i="4"/>
  <c r="AI92" i="4"/>
  <c r="AI109" i="4"/>
  <c r="AI88" i="4"/>
  <c r="AI106" i="4"/>
  <c r="AI100" i="4"/>
  <c r="AI98" i="4"/>
  <c r="AI90" i="4"/>
  <c r="AL14" i="5"/>
  <c r="AJ14" i="4"/>
  <c r="AJ107" i="4" l="1"/>
  <c r="AJ95" i="4"/>
  <c r="AJ96" i="4"/>
  <c r="AJ93" i="4"/>
  <c r="AJ105" i="4"/>
  <c r="AJ99" i="4"/>
  <c r="AJ91" i="4"/>
  <c r="AJ97" i="4"/>
  <c r="AJ108" i="4"/>
  <c r="AJ109" i="4"/>
  <c r="AJ98" i="4"/>
  <c r="AJ92" i="4"/>
  <c r="AJ106" i="4"/>
  <c r="AJ89" i="4"/>
  <c r="AJ88" i="4"/>
  <c r="AJ90" i="4"/>
  <c r="AJ100" i="4"/>
  <c r="AM14" i="5"/>
  <c r="AK14" i="4"/>
  <c r="AK107" i="4" l="1"/>
  <c r="AK95" i="4"/>
  <c r="AK96" i="4"/>
  <c r="AK108" i="4"/>
  <c r="AK91" i="4"/>
  <c r="AK93" i="4"/>
  <c r="AK105" i="4"/>
  <c r="AK99" i="4"/>
  <c r="AK97" i="4"/>
  <c r="AK90" i="4"/>
  <c r="AK100" i="4"/>
  <c r="AK92" i="4"/>
  <c r="AK109" i="4"/>
  <c r="AK89" i="4"/>
  <c r="AK98" i="4"/>
  <c r="AK106" i="4"/>
  <c r="AK88" i="4"/>
  <c r="AN14" i="5"/>
  <c r="AL14" i="4"/>
  <c r="AL107" i="4" l="1"/>
  <c r="AL95" i="4"/>
  <c r="AL96" i="4"/>
  <c r="AL99" i="4"/>
  <c r="AL93" i="4"/>
  <c r="AL91" i="4"/>
  <c r="AL108" i="4"/>
  <c r="AL97" i="4"/>
  <c r="AL105" i="4"/>
  <c r="AL88" i="4"/>
  <c r="AL109" i="4"/>
  <c r="AL92" i="4"/>
  <c r="AL106" i="4"/>
  <c r="AL89" i="4"/>
  <c r="AL98" i="4"/>
  <c r="AL90" i="4"/>
  <c r="AL100" i="4"/>
  <c r="AO14" i="5"/>
  <c r="AM14" i="4"/>
  <c r="AM107" i="4" l="1"/>
  <c r="AM95" i="4"/>
  <c r="AM96" i="4"/>
  <c r="AM93" i="4"/>
  <c r="AM91" i="4"/>
  <c r="AM105" i="4"/>
  <c r="AM108" i="4"/>
  <c r="AM99" i="4"/>
  <c r="AM97" i="4"/>
  <c r="AM109" i="4"/>
  <c r="AM98" i="4"/>
  <c r="AM89" i="4"/>
  <c r="AM92" i="4"/>
  <c r="AM106" i="4"/>
  <c r="AM100" i="4"/>
  <c r="AM88" i="4"/>
  <c r="AM90" i="4"/>
  <c r="AP14" i="5"/>
  <c r="AN14" i="4"/>
  <c r="AN107" i="4" l="1"/>
  <c r="AN95" i="4"/>
  <c r="AN96" i="4"/>
  <c r="AN105" i="4"/>
  <c r="AN99" i="4"/>
  <c r="AN108" i="4"/>
  <c r="AN97" i="4"/>
  <c r="AN93" i="4"/>
  <c r="AN91" i="4"/>
  <c r="AN89" i="4"/>
  <c r="AN98" i="4"/>
  <c r="AN100" i="4"/>
  <c r="AN92" i="4"/>
  <c r="AN88" i="4"/>
  <c r="AN109" i="4"/>
  <c r="AN106" i="4"/>
  <c r="AN90" i="4"/>
  <c r="AQ14" i="5"/>
  <c r="AO14" i="4"/>
  <c r="AO107" i="4" l="1"/>
  <c r="AO95" i="4"/>
  <c r="AO96" i="4"/>
  <c r="AO108" i="4"/>
  <c r="AO93" i="4"/>
  <c r="AO105" i="4"/>
  <c r="AO99" i="4"/>
  <c r="AO97" i="4"/>
  <c r="AO88" i="4"/>
  <c r="AO92" i="4"/>
  <c r="AO89" i="4"/>
  <c r="AO109" i="4"/>
  <c r="AO98" i="4"/>
  <c r="AO91" i="4"/>
  <c r="AO100" i="4"/>
  <c r="AO106" i="4"/>
  <c r="AO90" i="4"/>
  <c r="AR14" i="5"/>
  <c r="AP14" i="4"/>
  <c r="AP107" i="4" l="1"/>
  <c r="AP96" i="4"/>
  <c r="AP95" i="4"/>
  <c r="AP93" i="4"/>
  <c r="AP108" i="4"/>
  <c r="AP105" i="4"/>
  <c r="AP97" i="4"/>
  <c r="AP99" i="4"/>
  <c r="AP91" i="4"/>
  <c r="AP98" i="4"/>
  <c r="AP89" i="4"/>
  <c r="AP88" i="4"/>
  <c r="AP92" i="4"/>
  <c r="AP106" i="4"/>
  <c r="AP90" i="4"/>
  <c r="AP100" i="4"/>
  <c r="AP109" i="4"/>
  <c r="AS14" i="5"/>
  <c r="AQ14" i="4"/>
  <c r="AQ107" i="4" l="1"/>
  <c r="AQ96" i="4"/>
  <c r="AQ95" i="4"/>
  <c r="AQ108" i="4"/>
  <c r="AQ105" i="4"/>
  <c r="AQ93" i="4"/>
  <c r="AQ99" i="4"/>
  <c r="AQ97" i="4"/>
  <c r="AQ98" i="4"/>
  <c r="AQ91" i="4"/>
  <c r="AQ89" i="4"/>
  <c r="AQ92" i="4"/>
  <c r="AQ100" i="4"/>
  <c r="AQ109" i="4"/>
  <c r="AQ90" i="4"/>
  <c r="AQ106" i="4"/>
  <c r="AQ88" i="4"/>
  <c r="AT14" i="5"/>
  <c r="AR14" i="4"/>
  <c r="AR107" i="4" l="1"/>
  <c r="AR95" i="4"/>
  <c r="AR96" i="4"/>
  <c r="AR108" i="4"/>
  <c r="AR97" i="4"/>
  <c r="AR93" i="4"/>
  <c r="AR91" i="4"/>
  <c r="AR105" i="4"/>
  <c r="AR99" i="4"/>
  <c r="AR89" i="4"/>
  <c r="AR92" i="4"/>
  <c r="AR109" i="4"/>
  <c r="AR98" i="4"/>
  <c r="AR106" i="4"/>
  <c r="AR100" i="4"/>
  <c r="AR88" i="4"/>
  <c r="AR90" i="4"/>
  <c r="AU14" i="5"/>
  <c r="AS14" i="4"/>
  <c r="AS107" i="4" l="1"/>
  <c r="AS95" i="4"/>
  <c r="AS96" i="4"/>
  <c r="AS99" i="4"/>
  <c r="AS93" i="4"/>
  <c r="AS108" i="4"/>
  <c r="AS97" i="4"/>
  <c r="AS105" i="4"/>
  <c r="AS89" i="4"/>
  <c r="AS109" i="4"/>
  <c r="AS92" i="4"/>
  <c r="AS98" i="4"/>
  <c r="AS88" i="4"/>
  <c r="AS100" i="4"/>
  <c r="AS91" i="4"/>
  <c r="AS106" i="4"/>
  <c r="AS90" i="4"/>
  <c r="AV14" i="5"/>
  <c r="AT14" i="4"/>
  <c r="AT107" i="4" l="1"/>
  <c r="AT96" i="4"/>
  <c r="AT95" i="4"/>
  <c r="AT93" i="4"/>
  <c r="AT97" i="4"/>
  <c r="AT108" i="4"/>
  <c r="AT99" i="4"/>
  <c r="AT105" i="4"/>
  <c r="AT92" i="4"/>
  <c r="AT89" i="4"/>
  <c r="AT91" i="4"/>
  <c r="AT88" i="4"/>
  <c r="AT100" i="4"/>
  <c r="AT109" i="4"/>
  <c r="AT90" i="4"/>
  <c r="AT98" i="4"/>
  <c r="AT106" i="4"/>
  <c r="AW14" i="5"/>
  <c r="AU14" i="4"/>
  <c r="AU107" i="4" l="1"/>
  <c r="AU96" i="4"/>
  <c r="AU95" i="4"/>
  <c r="AU108" i="4"/>
  <c r="AU93" i="4"/>
  <c r="AU99" i="4"/>
  <c r="AU97" i="4"/>
  <c r="AU105" i="4"/>
  <c r="AU109" i="4"/>
  <c r="AU98" i="4"/>
  <c r="AU88" i="4"/>
  <c r="AU91" i="4"/>
  <c r="AU106" i="4"/>
  <c r="AU92" i="4"/>
  <c r="AU90" i="4"/>
  <c r="AU89" i="4"/>
  <c r="AU100" i="4"/>
  <c r="AX14" i="5"/>
  <c r="AV14" i="4"/>
  <c r="AV107" i="4" l="1"/>
  <c r="AV96" i="4"/>
  <c r="AV95" i="4"/>
  <c r="AV105" i="4"/>
  <c r="AV108" i="4"/>
  <c r="AV99" i="4"/>
  <c r="AV93" i="4"/>
  <c r="AV97" i="4"/>
  <c r="AV89" i="4"/>
  <c r="AV88" i="4"/>
  <c r="AV109" i="4"/>
  <c r="AV98" i="4"/>
  <c r="AV91" i="4"/>
  <c r="AV92" i="4"/>
  <c r="AV90" i="4"/>
  <c r="AV106" i="4"/>
  <c r="AV100" i="4"/>
  <c r="AY14" i="5"/>
  <c r="AW14" i="4"/>
  <c r="AW107" i="4" l="1"/>
  <c r="AW96" i="4"/>
  <c r="AW95" i="4"/>
  <c r="AW97" i="4"/>
  <c r="AW108" i="4"/>
  <c r="AW93" i="4"/>
  <c r="AW99" i="4"/>
  <c r="AW105" i="4"/>
  <c r="AW89" i="4"/>
  <c r="AW88" i="4"/>
  <c r="AW109" i="4"/>
  <c r="AW92" i="4"/>
  <c r="AW106" i="4"/>
  <c r="AW90" i="4"/>
  <c r="AW91" i="4"/>
  <c r="AW100" i="4"/>
  <c r="AW98" i="4"/>
  <c r="AZ14" i="5"/>
  <c r="AX14" i="4"/>
  <c r="AX107" i="4" l="1"/>
  <c r="AX96" i="4"/>
  <c r="AX95" i="4"/>
  <c r="AX108" i="4"/>
  <c r="AX105" i="4"/>
  <c r="AX93" i="4"/>
  <c r="AX99" i="4"/>
  <c r="AX91" i="4"/>
  <c r="AX97" i="4"/>
  <c r="AX89" i="4"/>
  <c r="AX109" i="4"/>
  <c r="AX98" i="4"/>
  <c r="AX92" i="4"/>
  <c r="AX88" i="4"/>
  <c r="AX106" i="4"/>
  <c r="AX90" i="4"/>
  <c r="AX100" i="4"/>
  <c r="BA14" i="5"/>
  <c r="AY14" i="4"/>
  <c r="AY107" i="4" l="1"/>
  <c r="AY95" i="4"/>
  <c r="AY96" i="4"/>
  <c r="AY108" i="4"/>
  <c r="AY105" i="4"/>
  <c r="AY97" i="4"/>
  <c r="AY93" i="4"/>
  <c r="AY99" i="4"/>
  <c r="AY89" i="4"/>
  <c r="AY92" i="4"/>
  <c r="AY88" i="4"/>
  <c r="AY109" i="4"/>
  <c r="AY98" i="4"/>
  <c r="AY100" i="4"/>
  <c r="AY90" i="4"/>
  <c r="AY91" i="4"/>
  <c r="AY106" i="4"/>
  <c r="BB14" i="5"/>
  <c r="AZ14" i="4"/>
  <c r="AZ107" i="4" l="1"/>
  <c r="AZ95" i="4"/>
  <c r="AZ96" i="4"/>
  <c r="AZ93" i="4"/>
  <c r="AZ108" i="4"/>
  <c r="AZ97" i="4"/>
  <c r="AZ89" i="4"/>
  <c r="AZ105" i="4"/>
  <c r="AZ99" i="4"/>
  <c r="AZ98" i="4"/>
  <c r="AZ88" i="4"/>
  <c r="AZ92" i="4"/>
  <c r="AZ90" i="4"/>
  <c r="AZ106" i="4"/>
  <c r="AZ100" i="4"/>
  <c r="AZ109" i="4"/>
  <c r="AZ91" i="4"/>
  <c r="BC14" i="5"/>
  <c r="BA14" i="4"/>
  <c r="BA107" i="4" l="1"/>
  <c r="BA95" i="4"/>
  <c r="BA96" i="4"/>
  <c r="BA93" i="4"/>
  <c r="BA91" i="4"/>
  <c r="BA108" i="4"/>
  <c r="BA105" i="4"/>
  <c r="BA99" i="4"/>
  <c r="BA97" i="4"/>
  <c r="BA109" i="4"/>
  <c r="BA92" i="4"/>
  <c r="BA89" i="4"/>
  <c r="BA88" i="4"/>
  <c r="BA106" i="4"/>
  <c r="BA98" i="4"/>
  <c r="BA90" i="4"/>
  <c r="BA100" i="4"/>
  <c r="BD14" i="5"/>
  <c r="BB14" i="4"/>
  <c r="BB107" i="4" l="1"/>
  <c r="BB96" i="4"/>
  <c r="BB95" i="4"/>
  <c r="BB93" i="4"/>
  <c r="BB108" i="4"/>
  <c r="BB105" i="4"/>
  <c r="BB97" i="4"/>
  <c r="BB99" i="4"/>
  <c r="BB89" i="4"/>
  <c r="BB91" i="4"/>
  <c r="BB109" i="4"/>
  <c r="BB100" i="4"/>
  <c r="BB88" i="4"/>
  <c r="BB98" i="4"/>
  <c r="BB90" i="4"/>
  <c r="BB106" i="4"/>
  <c r="BB92" i="4"/>
  <c r="BE14" i="5"/>
  <c r="BC14" i="4"/>
  <c r="BC107" i="4" l="1"/>
  <c r="BC95" i="4"/>
  <c r="BC96" i="4"/>
  <c r="BC108" i="4"/>
  <c r="BC105" i="4"/>
  <c r="BC99" i="4"/>
  <c r="BC97" i="4"/>
  <c r="BC89" i="4"/>
  <c r="BC93" i="4"/>
  <c r="BC91" i="4"/>
  <c r="BC109" i="4"/>
  <c r="BC98" i="4"/>
  <c r="BC90" i="4"/>
  <c r="BC88" i="4"/>
  <c r="BC100" i="4"/>
  <c r="BC92" i="4"/>
  <c r="BC106" i="4"/>
  <c r="BF14" i="5"/>
  <c r="BD14" i="4"/>
  <c r="BD107" i="4" l="1"/>
  <c r="BD95" i="4"/>
  <c r="BD96" i="4"/>
  <c r="BD108" i="4"/>
  <c r="BD97" i="4"/>
  <c r="BD93" i="4"/>
  <c r="BD91" i="4"/>
  <c r="BD99" i="4"/>
  <c r="BD105" i="4"/>
  <c r="BD98" i="4"/>
  <c r="BD89" i="4"/>
  <c r="BD88" i="4"/>
  <c r="BD92" i="4"/>
  <c r="BD90" i="4"/>
  <c r="BD100" i="4"/>
  <c r="BD109" i="4"/>
  <c r="BD106" i="4"/>
  <c r="BG14" i="5"/>
  <c r="BE14" i="4"/>
  <c r="BE107" i="4" l="1"/>
  <c r="BE95" i="4"/>
  <c r="BE96" i="4"/>
  <c r="BE105" i="4"/>
  <c r="BE93" i="4"/>
  <c r="BE99" i="4"/>
  <c r="BE97" i="4"/>
  <c r="BE108" i="4"/>
  <c r="BE109" i="4"/>
  <c r="BE92" i="4"/>
  <c r="BE106" i="4"/>
  <c r="BE90" i="4"/>
  <c r="BE100" i="4"/>
  <c r="BE88" i="4"/>
  <c r="BE98" i="4"/>
  <c r="BE91" i="4"/>
  <c r="BE89" i="4"/>
  <c r="BH14" i="5"/>
  <c r="BF14" i="4"/>
  <c r="BF107" i="4" l="1"/>
  <c r="BF96" i="4"/>
  <c r="BF95" i="4"/>
  <c r="BF93" i="4"/>
  <c r="BF108" i="4"/>
  <c r="BF99" i="4"/>
  <c r="BF91" i="4"/>
  <c r="BF97" i="4"/>
  <c r="BF89" i="4"/>
  <c r="BF109" i="4"/>
  <c r="BF92" i="4"/>
  <c r="BF106" i="4"/>
  <c r="BF100" i="4"/>
  <c r="BF105" i="4"/>
  <c r="BF98" i="4"/>
  <c r="BF90" i="4"/>
  <c r="BF88" i="4"/>
  <c r="BI14" i="5"/>
  <c r="BG14" i="4"/>
  <c r="BG107" i="4" l="1"/>
  <c r="BG96" i="4"/>
  <c r="BG95" i="4"/>
  <c r="BG108" i="4"/>
  <c r="BG93" i="4"/>
  <c r="BG105" i="4"/>
  <c r="BG99" i="4"/>
  <c r="BG97" i="4"/>
  <c r="BG89" i="4"/>
  <c r="BG92" i="4"/>
  <c r="BG100" i="4"/>
  <c r="BG88" i="4"/>
  <c r="BG91" i="4"/>
  <c r="BG109" i="4"/>
  <c r="BG90" i="4"/>
  <c r="BG106" i="4"/>
  <c r="BG98" i="4"/>
  <c r="BJ14" i="5"/>
  <c r="BH14" i="4"/>
  <c r="BH107" i="4" l="1"/>
  <c r="BH95" i="4"/>
  <c r="BH96" i="4"/>
  <c r="BH108" i="4"/>
  <c r="BH105" i="4"/>
  <c r="BH97" i="4"/>
  <c r="BH93" i="4"/>
  <c r="BH99" i="4"/>
  <c r="BH91" i="4"/>
  <c r="BH92" i="4"/>
  <c r="BH98" i="4"/>
  <c r="BH109" i="4"/>
  <c r="BH100" i="4"/>
  <c r="BH88" i="4"/>
  <c r="BH89" i="4"/>
  <c r="BH90" i="4"/>
  <c r="BH106" i="4"/>
  <c r="BK14" i="5"/>
  <c r="BI14" i="4"/>
  <c r="BI107" i="4" l="1"/>
  <c r="BI96" i="4"/>
  <c r="BI95" i="4"/>
  <c r="BI108" i="4"/>
  <c r="BI97" i="4"/>
  <c r="BI105" i="4"/>
  <c r="BI99" i="4"/>
  <c r="BI93" i="4"/>
  <c r="BI109" i="4"/>
  <c r="BI91" i="4"/>
  <c r="BI89" i="4"/>
  <c r="BI88" i="4"/>
  <c r="BI98" i="4"/>
  <c r="BI100" i="4"/>
  <c r="BI92" i="4"/>
  <c r="BI106" i="4"/>
  <c r="BI90" i="4"/>
  <c r="BL14" i="5"/>
  <c r="BJ14" i="4"/>
  <c r="BJ107" i="4" l="1"/>
  <c r="BJ96" i="4"/>
  <c r="BJ95" i="4"/>
  <c r="BJ97" i="4"/>
  <c r="BJ99" i="4"/>
  <c r="BJ93" i="4"/>
  <c r="BJ89" i="4"/>
  <c r="BJ108" i="4"/>
  <c r="BJ105" i="4"/>
  <c r="BJ91" i="4"/>
  <c r="BJ98" i="4"/>
  <c r="BJ106" i="4"/>
  <c r="BJ90" i="4"/>
  <c r="BJ88" i="4"/>
  <c r="BJ109" i="4"/>
  <c r="BJ92" i="4"/>
  <c r="BJ100" i="4"/>
  <c r="BM14" i="5"/>
  <c r="BK14" i="4"/>
  <c r="BK107" i="4" l="1"/>
  <c r="BK95" i="4"/>
  <c r="BK96" i="4"/>
  <c r="BK108" i="4"/>
  <c r="BK93" i="4"/>
  <c r="BK91" i="4"/>
  <c r="BK99" i="4"/>
  <c r="BK97" i="4"/>
  <c r="BK89" i="4"/>
  <c r="BK109" i="4"/>
  <c r="BK105" i="4"/>
  <c r="BK92" i="4"/>
  <c r="BK100" i="4"/>
  <c r="BK98" i="4"/>
  <c r="BK106" i="4"/>
  <c r="BK88" i="4"/>
  <c r="BK90" i="4"/>
  <c r="BN14" i="5"/>
  <c r="BL14" i="4"/>
  <c r="BL107" i="4" l="1"/>
  <c r="BL96" i="4"/>
  <c r="BL95" i="4"/>
  <c r="BL105" i="4"/>
  <c r="BL93" i="4"/>
  <c r="BL91" i="4"/>
  <c r="BL108" i="4"/>
  <c r="BL99" i="4"/>
  <c r="BL97" i="4"/>
  <c r="BL109" i="4"/>
  <c r="BL106" i="4"/>
  <c r="BL98" i="4"/>
  <c r="BL89" i="4"/>
  <c r="BL92" i="4"/>
  <c r="BL90" i="4"/>
  <c r="BL88" i="4"/>
  <c r="BL100" i="4"/>
  <c r="BO14" i="5"/>
  <c r="BM14" i="4"/>
  <c r="BM107" i="4" l="1"/>
  <c r="BM96" i="4"/>
  <c r="BM95" i="4"/>
  <c r="BM97" i="4"/>
  <c r="BM108" i="4"/>
  <c r="BM91" i="4"/>
  <c r="BM105" i="4"/>
  <c r="BM99" i="4"/>
  <c r="BM89" i="4"/>
  <c r="BM93" i="4"/>
  <c r="BM109" i="4"/>
  <c r="BM92" i="4"/>
  <c r="BM98" i="4"/>
  <c r="BM88" i="4"/>
  <c r="BM90" i="4"/>
  <c r="BM106" i="4"/>
  <c r="BM100" i="4"/>
  <c r="BP14" i="5"/>
  <c r="BN14" i="4"/>
  <c r="BN107" i="4" l="1"/>
  <c r="BN95" i="4"/>
  <c r="BN96" i="4"/>
  <c r="BN99" i="4"/>
  <c r="BN105" i="4"/>
  <c r="BN108" i="4"/>
  <c r="BN93" i="4"/>
  <c r="BN97" i="4"/>
  <c r="BN109" i="4"/>
  <c r="BN90" i="4"/>
  <c r="BN88" i="4"/>
  <c r="BN89" i="4"/>
  <c r="BN98" i="4"/>
  <c r="BN100" i="4"/>
  <c r="BN92" i="4"/>
  <c r="BN106" i="4"/>
  <c r="BN91" i="4"/>
  <c r="BQ14" i="5"/>
  <c r="BO14" i="4"/>
  <c r="BO107" i="4" l="1"/>
  <c r="BO96" i="4"/>
  <c r="BO95" i="4"/>
  <c r="BO105" i="4"/>
  <c r="BO99" i="4"/>
  <c r="BO93" i="4"/>
  <c r="BO91" i="4"/>
  <c r="BO108" i="4"/>
  <c r="BO97" i="4"/>
  <c r="BO89" i="4"/>
  <c r="BO109" i="4"/>
  <c r="BO92" i="4"/>
  <c r="BO98" i="4"/>
  <c r="BO90" i="4"/>
  <c r="BO100" i="4"/>
  <c r="BO106" i="4"/>
  <c r="BO88" i="4"/>
  <c r="BR14" i="5"/>
  <c r="BP14" i="4"/>
  <c r="BP107" i="4" l="1"/>
  <c r="BP95" i="4"/>
  <c r="BP96" i="4"/>
  <c r="BP93" i="4"/>
  <c r="BP108" i="4"/>
  <c r="BP99" i="4"/>
  <c r="BP105" i="4"/>
  <c r="BP97" i="4"/>
  <c r="BP88" i="4"/>
  <c r="BP98" i="4"/>
  <c r="BP89" i="4"/>
  <c r="BP100" i="4"/>
  <c r="BP106" i="4"/>
  <c r="BP91" i="4"/>
  <c r="BP92" i="4"/>
  <c r="BP90" i="4"/>
  <c r="BP109" i="4"/>
  <c r="BS14" i="5"/>
  <c r="BQ14" i="4"/>
  <c r="BQ107" i="4" l="1"/>
  <c r="BQ95" i="4"/>
  <c r="BQ96" i="4"/>
  <c r="BQ93" i="4"/>
  <c r="BQ108" i="4"/>
  <c r="BQ105" i="4"/>
  <c r="BQ97" i="4"/>
  <c r="BQ99" i="4"/>
  <c r="BQ89" i="4"/>
  <c r="BQ88" i="4"/>
  <c r="BQ109" i="4"/>
  <c r="BQ100" i="4"/>
  <c r="BQ91" i="4"/>
  <c r="BQ98" i="4"/>
  <c r="BQ90" i="4"/>
  <c r="BQ106" i="4"/>
  <c r="BQ92" i="4"/>
  <c r="BT14" i="5"/>
  <c r="BR14" i="4"/>
  <c r="BR107" i="4" l="1"/>
  <c r="BR96" i="4"/>
  <c r="BR95" i="4"/>
  <c r="BR93" i="4"/>
  <c r="BR99" i="4"/>
  <c r="BR97" i="4"/>
  <c r="BR108" i="4"/>
  <c r="BR91" i="4"/>
  <c r="BR105" i="4"/>
  <c r="BR92" i="4"/>
  <c r="BR98" i="4"/>
  <c r="BR88" i="4"/>
  <c r="BR90" i="4"/>
  <c r="BR100" i="4"/>
  <c r="BR106" i="4"/>
  <c r="BR89" i="4"/>
  <c r="BR109" i="4"/>
  <c r="BU14" i="5"/>
  <c r="BS14" i="4"/>
  <c r="BS107" i="4" l="1"/>
  <c r="BS95" i="4"/>
  <c r="BS96" i="4"/>
  <c r="BS99" i="4"/>
  <c r="BS93" i="4"/>
  <c r="BS91" i="4"/>
  <c r="BS108" i="4"/>
  <c r="BS97" i="4"/>
  <c r="BS89" i="4"/>
  <c r="BS92" i="4"/>
  <c r="BS88" i="4"/>
  <c r="BS98" i="4"/>
  <c r="BS100" i="4"/>
  <c r="BS105" i="4"/>
  <c r="BS109" i="4"/>
  <c r="BS90" i="4"/>
  <c r="BS106" i="4"/>
  <c r="BV14" i="5"/>
  <c r="BT14" i="4"/>
  <c r="BT107" i="4" l="1"/>
  <c r="BT96" i="4"/>
  <c r="BT95" i="4"/>
  <c r="BT99" i="4"/>
  <c r="BT108" i="4"/>
  <c r="BT97" i="4"/>
  <c r="BT91" i="4"/>
  <c r="BT93" i="4"/>
  <c r="BT89" i="4"/>
  <c r="BT105" i="4"/>
  <c r="BT92" i="4"/>
  <c r="BT109" i="4"/>
  <c r="BT88" i="4"/>
  <c r="BT106" i="4"/>
  <c r="BT98" i="4"/>
  <c r="BT100" i="4"/>
  <c r="BT90" i="4"/>
  <c r="BW14" i="5"/>
  <c r="BU14" i="4"/>
  <c r="BU107" i="4" l="1"/>
  <c r="BU96" i="4"/>
  <c r="BU95" i="4"/>
  <c r="BU99" i="4"/>
  <c r="BU108" i="4"/>
  <c r="BU97" i="4"/>
  <c r="BU89" i="4"/>
  <c r="BU105" i="4"/>
  <c r="BU93" i="4"/>
  <c r="BU91" i="4"/>
  <c r="BU92" i="4"/>
  <c r="BU88" i="4"/>
  <c r="BU109" i="4"/>
  <c r="BU98" i="4"/>
  <c r="BU100" i="4"/>
  <c r="BU106" i="4"/>
  <c r="BU90" i="4"/>
  <c r="BX14" i="5"/>
  <c r="BV14" i="4"/>
  <c r="BV107" i="4" l="1"/>
  <c r="BV96" i="4"/>
  <c r="BV95" i="4"/>
  <c r="BV99" i="4"/>
  <c r="BV93" i="4"/>
  <c r="BV108" i="4"/>
  <c r="BV105" i="4"/>
  <c r="BV89" i="4"/>
  <c r="BV97" i="4"/>
  <c r="BV88" i="4"/>
  <c r="BV109" i="4"/>
  <c r="BV92" i="4"/>
  <c r="BV91" i="4"/>
  <c r="BV90" i="4"/>
  <c r="BV100" i="4"/>
  <c r="BV106" i="4"/>
  <c r="BV98" i="4"/>
  <c r="BY14" i="5"/>
  <c r="BW14" i="4"/>
  <c r="BW107" i="4" l="1"/>
  <c r="BW96" i="4"/>
  <c r="BW95" i="4"/>
  <c r="BW105" i="4"/>
  <c r="BW108" i="4"/>
  <c r="BW93" i="4"/>
  <c r="BW99" i="4"/>
  <c r="BW91" i="4"/>
  <c r="BW97" i="4"/>
  <c r="BW89" i="4"/>
  <c r="BW92" i="4"/>
  <c r="BW98" i="4"/>
  <c r="BW100" i="4"/>
  <c r="BW109" i="4"/>
  <c r="BW90" i="4"/>
  <c r="BW88" i="4"/>
  <c r="BW106" i="4"/>
  <c r="BZ14" i="5"/>
  <c r="BX14" i="4"/>
  <c r="BX107" i="4" l="1"/>
  <c r="BX96" i="4"/>
  <c r="BX95" i="4"/>
  <c r="BX108" i="4"/>
  <c r="BX93" i="4"/>
  <c r="BX91" i="4"/>
  <c r="BX105" i="4"/>
  <c r="BX99" i="4"/>
  <c r="BX97" i="4"/>
  <c r="BX89" i="4"/>
  <c r="BX88" i="4"/>
  <c r="BX100" i="4"/>
  <c r="BX106" i="4"/>
  <c r="BX98" i="4"/>
  <c r="BX90" i="4"/>
  <c r="BX109" i="4"/>
  <c r="BX92" i="4"/>
  <c r="CA14" i="5"/>
  <c r="BY14" i="4"/>
  <c r="BY107" i="4" l="1"/>
  <c r="BY96" i="4"/>
  <c r="BY95" i="4"/>
  <c r="BY93" i="4"/>
  <c r="BY105" i="4"/>
  <c r="BY108" i="4"/>
  <c r="BY97" i="4"/>
  <c r="BY99" i="4"/>
  <c r="BY89" i="4"/>
  <c r="BY98" i="4"/>
  <c r="BY92" i="4"/>
  <c r="BY88" i="4"/>
  <c r="BY106" i="4"/>
  <c r="BY91" i="4"/>
  <c r="BY109" i="4"/>
  <c r="BY100" i="4"/>
  <c r="BY90" i="4"/>
  <c r="CB14" i="5"/>
  <c r="BZ14" i="4"/>
  <c r="BZ107" i="4" l="1"/>
  <c r="BZ95" i="4"/>
  <c r="BZ96" i="4"/>
  <c r="BZ93" i="4"/>
  <c r="BZ105" i="4"/>
  <c r="BZ108" i="4"/>
  <c r="BZ99" i="4"/>
  <c r="BZ97" i="4"/>
  <c r="BZ89" i="4"/>
  <c r="BZ109" i="4"/>
  <c r="BZ98" i="4"/>
  <c r="BZ91" i="4"/>
  <c r="BZ92" i="4"/>
  <c r="BZ88" i="4"/>
  <c r="BZ100" i="4"/>
  <c r="BZ90" i="4"/>
  <c r="BZ106" i="4"/>
  <c r="CC14" i="5"/>
  <c r="CA14" i="4"/>
  <c r="CA107" i="4" l="1"/>
  <c r="CA95" i="4"/>
  <c r="CA96" i="4"/>
  <c r="CA93" i="4"/>
  <c r="CA97" i="4"/>
  <c r="CA108" i="4"/>
  <c r="CA99" i="4"/>
  <c r="CA91" i="4"/>
  <c r="CA109" i="4"/>
  <c r="CA92" i="4"/>
  <c r="CA88" i="4"/>
  <c r="CA89" i="4"/>
  <c r="CA105" i="4"/>
  <c r="CA106" i="4"/>
  <c r="CA90" i="4"/>
  <c r="CA100" i="4"/>
  <c r="CA98" i="4"/>
  <c r="CD14" i="5"/>
  <c r="CB14" i="4"/>
  <c r="CB107" i="4" l="1"/>
  <c r="CB95" i="4"/>
  <c r="CB96" i="4"/>
  <c r="CB93" i="4"/>
  <c r="CB97" i="4"/>
  <c r="CB89" i="4"/>
  <c r="CB91" i="4"/>
  <c r="CB99" i="4"/>
  <c r="CB108" i="4"/>
  <c r="CB92" i="4"/>
  <c r="CB88" i="4"/>
  <c r="CB106" i="4"/>
  <c r="CB109" i="4"/>
  <c r="CB98" i="4"/>
  <c r="CB90" i="4"/>
  <c r="CB100" i="4"/>
  <c r="CB105" i="4"/>
  <c r="CE14" i="5"/>
  <c r="CC14" i="4"/>
  <c r="CC107" i="4" l="1"/>
  <c r="CC96" i="4"/>
  <c r="CC95" i="4"/>
  <c r="CC93" i="4"/>
  <c r="CC108" i="4"/>
  <c r="CC99" i="4"/>
  <c r="CC97" i="4"/>
  <c r="CC105" i="4"/>
  <c r="CC88" i="4"/>
  <c r="CC91" i="4"/>
  <c r="CC89" i="4"/>
  <c r="CC92" i="4"/>
  <c r="CC98" i="4"/>
  <c r="CC109" i="4"/>
  <c r="CC106" i="4"/>
  <c r="CC90" i="4"/>
  <c r="CC100" i="4"/>
  <c r="CF14" i="5"/>
  <c r="CD14" i="4"/>
  <c r="CD107" i="4" l="1"/>
  <c r="CD95" i="4"/>
  <c r="CD96" i="4"/>
  <c r="CD108" i="4"/>
  <c r="CD105" i="4"/>
  <c r="CD93" i="4"/>
  <c r="CD89" i="4"/>
  <c r="CD91" i="4"/>
  <c r="CD99" i="4"/>
  <c r="CD97" i="4"/>
  <c r="CD109" i="4"/>
  <c r="CD92" i="4"/>
  <c r="CD88" i="4"/>
  <c r="CD98" i="4"/>
  <c r="CD100" i="4"/>
  <c r="CD90" i="4"/>
  <c r="CD106" i="4"/>
  <c r="CG14" i="5"/>
  <c r="CE14" i="4"/>
  <c r="CE107" i="4" l="1"/>
  <c r="CE96" i="4"/>
  <c r="CE95" i="4"/>
  <c r="CE99" i="4"/>
  <c r="CE97" i="4"/>
  <c r="CE108" i="4"/>
  <c r="CE91" i="4"/>
  <c r="CE93" i="4"/>
  <c r="CE92" i="4"/>
  <c r="CE88" i="4"/>
  <c r="CE98" i="4"/>
  <c r="CE106" i="4"/>
  <c r="CE109" i="4"/>
  <c r="CE90" i="4"/>
  <c r="CE89" i="4"/>
  <c r="CE105" i="4"/>
  <c r="CE100" i="4"/>
  <c r="CH14" i="5"/>
  <c r="CF14" i="4"/>
  <c r="CF107" i="4" l="1"/>
  <c r="CF96" i="4"/>
  <c r="CF95" i="4"/>
  <c r="CF108" i="4"/>
  <c r="CF99" i="4"/>
  <c r="CF97" i="4"/>
  <c r="CF93" i="4"/>
  <c r="CF91" i="4"/>
  <c r="CF89" i="4"/>
  <c r="CF88" i="4"/>
  <c r="CF105" i="4"/>
  <c r="CF109" i="4"/>
  <c r="CF92" i="4"/>
  <c r="CF100" i="4"/>
  <c r="CF98" i="4"/>
  <c r="CF90" i="4"/>
  <c r="CF106" i="4"/>
  <c r="CI14" i="5"/>
  <c r="CG14" i="4"/>
  <c r="CG107" i="4" l="1"/>
  <c r="CG96" i="4"/>
  <c r="CG95" i="4"/>
  <c r="CG108" i="4"/>
  <c r="CG97" i="4"/>
  <c r="CG93" i="4"/>
  <c r="CG99" i="4"/>
  <c r="CG105" i="4"/>
  <c r="CG88" i="4"/>
  <c r="CG91" i="4"/>
  <c r="CG89" i="4"/>
  <c r="CG109" i="4"/>
  <c r="CG90" i="4"/>
  <c r="CG92" i="4"/>
  <c r="CG106" i="4"/>
  <c r="CG100" i="4"/>
  <c r="CG98" i="4"/>
  <c r="CJ14" i="5"/>
  <c r="CH14" i="4"/>
  <c r="CH107" i="4" l="1"/>
  <c r="CH95" i="4"/>
  <c r="CH96" i="4"/>
  <c r="CH108" i="4"/>
  <c r="CH105" i="4"/>
  <c r="CH97" i="4"/>
  <c r="CH93" i="4"/>
  <c r="CH99" i="4"/>
  <c r="CH98" i="4"/>
  <c r="CH91" i="4"/>
  <c r="CH109" i="4"/>
  <c r="CH88" i="4"/>
  <c r="CH92" i="4"/>
  <c r="CH89" i="4"/>
  <c r="CH90" i="4"/>
  <c r="CH100" i="4"/>
  <c r="CH106" i="4"/>
  <c r="CK14" i="5"/>
  <c r="CI14" i="4"/>
  <c r="CI107" i="4" l="1"/>
  <c r="CI95" i="4"/>
  <c r="CI96" i="4"/>
  <c r="CI93" i="4"/>
  <c r="CI108" i="4"/>
  <c r="CI97" i="4"/>
  <c r="CI99" i="4"/>
  <c r="CI105" i="4"/>
  <c r="CI91" i="4"/>
  <c r="CI106" i="4"/>
  <c r="CI88" i="4"/>
  <c r="CI98" i="4"/>
  <c r="CI89" i="4"/>
  <c r="CI90" i="4"/>
  <c r="CI100" i="4"/>
  <c r="CI109" i="4"/>
  <c r="CI92" i="4"/>
  <c r="CL14" i="5"/>
  <c r="CJ14" i="4"/>
  <c r="CJ107" i="4" l="1"/>
  <c r="CJ95" i="4"/>
  <c r="CJ96" i="4"/>
  <c r="CJ108" i="4"/>
  <c r="CJ97" i="4"/>
  <c r="CJ91" i="4"/>
  <c r="CJ105" i="4"/>
  <c r="CJ93" i="4"/>
  <c r="CJ99" i="4"/>
  <c r="CJ89" i="4"/>
  <c r="CJ92" i="4"/>
  <c r="CJ98" i="4"/>
  <c r="CJ109" i="4"/>
  <c r="CJ90" i="4"/>
  <c r="CJ88" i="4"/>
  <c r="CJ100" i="4"/>
  <c r="CJ106" i="4"/>
  <c r="CM14" i="5"/>
  <c r="CK14" i="4"/>
  <c r="CK107" i="4" l="1"/>
  <c r="CK96" i="4"/>
  <c r="CK95" i="4"/>
  <c r="CK108" i="4"/>
  <c r="CK99" i="4"/>
  <c r="CK97" i="4"/>
  <c r="CK91" i="4"/>
  <c r="CK89" i="4"/>
  <c r="CK93" i="4"/>
  <c r="CK105" i="4"/>
  <c r="CK98" i="4"/>
  <c r="CK92" i="4"/>
  <c r="CK109" i="4"/>
  <c r="CK90" i="4"/>
  <c r="CK100" i="4"/>
  <c r="CK88" i="4"/>
  <c r="CK106" i="4"/>
  <c r="CN14" i="5"/>
  <c r="CL14" i="4"/>
  <c r="CL107" i="4" l="1"/>
  <c r="CL96" i="4"/>
  <c r="CL95" i="4"/>
  <c r="CL108" i="4"/>
  <c r="CL91" i="4"/>
  <c r="CL97" i="4"/>
  <c r="CL105" i="4"/>
  <c r="CL99" i="4"/>
  <c r="CL93" i="4"/>
  <c r="CL92" i="4"/>
  <c r="CL89" i="4"/>
  <c r="CL109" i="4"/>
  <c r="CL88" i="4"/>
  <c r="CL106" i="4"/>
  <c r="CL98" i="4"/>
  <c r="CL100" i="4"/>
  <c r="CL90" i="4"/>
  <c r="CO14" i="5"/>
  <c r="CM14" i="4"/>
  <c r="CM107" i="4" l="1"/>
  <c r="CM95" i="4"/>
  <c r="CM96" i="4"/>
  <c r="CM99" i="4"/>
  <c r="CM108" i="4"/>
  <c r="CM105" i="4"/>
  <c r="CM97" i="4"/>
  <c r="CM93" i="4"/>
  <c r="CM91" i="4"/>
  <c r="CM109" i="4"/>
  <c r="CM88" i="4"/>
  <c r="CM98" i="4"/>
  <c r="CM106" i="4"/>
  <c r="CM89" i="4"/>
  <c r="CM100" i="4"/>
  <c r="CM90" i="4"/>
  <c r="CM92" i="4"/>
  <c r="CP14" i="5"/>
  <c r="CN14" i="4"/>
  <c r="CN107" i="4" l="1"/>
  <c r="CN95" i="4"/>
  <c r="CN96" i="4"/>
  <c r="CN99" i="4"/>
  <c r="CN97" i="4"/>
  <c r="CN93" i="4"/>
  <c r="CN89" i="4"/>
  <c r="CN108" i="4"/>
  <c r="CN109" i="4"/>
  <c r="CN88" i="4"/>
  <c r="CN92" i="4"/>
  <c r="CN106" i="4"/>
  <c r="CN90" i="4"/>
  <c r="CN91" i="4"/>
  <c r="CN100" i="4"/>
  <c r="CN105" i="4"/>
  <c r="CN98" i="4"/>
  <c r="CQ14" i="5"/>
  <c r="CO14" i="4"/>
  <c r="CO107" i="4" l="1"/>
  <c r="CO96" i="4"/>
  <c r="CO95" i="4"/>
  <c r="CO108" i="4"/>
  <c r="CO105" i="4"/>
  <c r="CO93" i="4"/>
  <c r="CO89" i="4"/>
  <c r="CO99" i="4"/>
  <c r="CO97" i="4"/>
  <c r="CO92" i="4"/>
  <c r="CO88" i="4"/>
  <c r="CO91" i="4"/>
  <c r="CO98" i="4"/>
  <c r="CO100" i="4"/>
  <c r="CO109" i="4"/>
  <c r="CO90" i="4"/>
  <c r="CO106" i="4"/>
  <c r="CR14" i="5"/>
  <c r="CP14" i="4"/>
  <c r="CP107" i="4" l="1"/>
  <c r="CP95" i="4"/>
  <c r="CP96" i="4"/>
  <c r="CP108" i="4"/>
  <c r="CP105" i="4"/>
  <c r="CP99" i="4"/>
  <c r="CP97" i="4"/>
  <c r="CP93" i="4"/>
  <c r="CP91" i="4"/>
  <c r="CP89" i="4"/>
  <c r="CP88" i="4"/>
  <c r="CP109" i="4"/>
  <c r="CP98" i="4"/>
  <c r="CP92" i="4"/>
  <c r="CP106" i="4"/>
  <c r="CP90" i="4"/>
  <c r="CP100" i="4"/>
  <c r="CS14" i="5"/>
  <c r="CQ14" i="4"/>
  <c r="CQ107" i="4" l="1"/>
  <c r="CQ96" i="4"/>
  <c r="CQ95" i="4"/>
  <c r="CQ97" i="4"/>
  <c r="CQ105" i="4"/>
  <c r="CQ93" i="4"/>
  <c r="CQ108" i="4"/>
  <c r="CQ99" i="4"/>
  <c r="CQ92" i="4"/>
  <c r="CQ88" i="4"/>
  <c r="CQ89" i="4"/>
  <c r="CQ98" i="4"/>
  <c r="CQ90" i="4"/>
  <c r="CQ109" i="4"/>
  <c r="CQ100" i="4"/>
  <c r="CQ91" i="4"/>
  <c r="CQ106" i="4"/>
  <c r="CT14" i="5"/>
  <c r="CR14" i="4"/>
  <c r="CR107" i="4" l="1"/>
  <c r="CR96" i="4"/>
  <c r="CR95" i="4"/>
  <c r="CR108" i="4"/>
  <c r="CR99" i="4"/>
  <c r="CR93" i="4"/>
  <c r="CR105" i="4"/>
  <c r="CR97" i="4"/>
  <c r="CR91" i="4"/>
  <c r="CR89" i="4"/>
  <c r="CR88" i="4"/>
  <c r="CR109" i="4"/>
  <c r="CR90" i="4"/>
  <c r="CR92" i="4"/>
  <c r="CR98" i="4"/>
  <c r="CR100" i="4"/>
  <c r="CR106" i="4"/>
  <c r="CU14" i="5"/>
  <c r="CS14" i="4"/>
  <c r="CS107" i="4" l="1"/>
  <c r="CS95" i="4"/>
  <c r="CS96" i="4"/>
  <c r="CS99" i="4"/>
  <c r="CS97" i="4"/>
  <c r="CS105" i="4"/>
  <c r="CS93" i="4"/>
  <c r="CS108" i="4"/>
  <c r="CS88" i="4"/>
  <c r="CS106" i="4"/>
  <c r="CS89" i="4"/>
  <c r="CS92" i="4"/>
  <c r="CS98" i="4"/>
  <c r="CS91" i="4"/>
  <c r="CS90" i="4"/>
  <c r="CS100" i="4"/>
  <c r="CS109" i="4"/>
  <c r="CV14" i="5"/>
  <c r="CT14" i="4"/>
  <c r="CT107" i="4" l="1"/>
  <c r="CT96" i="4"/>
  <c r="CT95" i="4"/>
  <c r="CT99" i="4"/>
  <c r="CT97" i="4"/>
  <c r="CT91" i="4"/>
  <c r="CT93" i="4"/>
  <c r="CT105" i="4"/>
  <c r="CT108" i="4"/>
  <c r="CT98" i="4"/>
  <c r="CT109" i="4"/>
  <c r="CT92" i="4"/>
  <c r="CT106" i="4"/>
  <c r="CT90" i="4"/>
  <c r="CT100" i="4"/>
  <c r="CT88" i="4"/>
  <c r="CT89" i="4"/>
  <c r="CW14" i="5"/>
  <c r="CU14" i="4"/>
  <c r="CU107" i="4" l="1"/>
  <c r="CU95" i="4"/>
  <c r="CU96" i="4"/>
  <c r="CU93" i="4"/>
  <c r="CU108" i="4"/>
  <c r="CU99" i="4"/>
  <c r="CU97" i="4"/>
  <c r="CU105" i="4"/>
  <c r="CU89" i="4"/>
  <c r="CU92" i="4"/>
  <c r="CU109" i="4"/>
  <c r="CU88" i="4"/>
  <c r="CU98" i="4"/>
  <c r="CU106" i="4"/>
  <c r="CU91" i="4"/>
  <c r="CU90" i="4"/>
  <c r="CU100" i="4"/>
  <c r="CX14" i="5"/>
  <c r="CV14" i="4"/>
  <c r="CV107" i="4" l="1"/>
  <c r="CV95" i="4"/>
  <c r="CV96" i="4"/>
  <c r="CV97" i="4"/>
  <c r="CV108" i="4"/>
  <c r="CV93" i="4"/>
  <c r="CV105" i="4"/>
  <c r="CV99" i="4"/>
  <c r="CV109" i="4"/>
  <c r="CV89" i="4"/>
  <c r="CV91" i="4"/>
  <c r="CV88" i="4"/>
  <c r="CV98" i="4"/>
  <c r="CV106" i="4"/>
  <c r="CV90" i="4"/>
  <c r="CV100" i="4"/>
  <c r="CV92" i="4"/>
  <c r="CY14" i="5"/>
  <c r="CW14" i="4"/>
  <c r="CW107" i="4" l="1"/>
  <c r="CW96" i="4"/>
  <c r="CW95" i="4"/>
  <c r="CW108" i="4"/>
  <c r="CW93" i="4"/>
  <c r="CW105" i="4"/>
  <c r="CW99" i="4"/>
  <c r="CW97" i="4"/>
  <c r="CW98" i="4"/>
  <c r="CW92" i="4"/>
  <c r="CW91" i="4"/>
  <c r="CW89" i="4"/>
  <c r="CW88" i="4"/>
  <c r="CW109" i="4"/>
  <c r="CW106" i="4"/>
  <c r="CW90" i="4"/>
  <c r="CW100" i="4"/>
  <c r="CZ14" i="5"/>
  <c r="CX14" i="4"/>
  <c r="CX107" i="4" l="1"/>
  <c r="CX95" i="4"/>
  <c r="CX96" i="4"/>
  <c r="CX99" i="4"/>
  <c r="CX105" i="4"/>
  <c r="CX108" i="4"/>
  <c r="CX91" i="4"/>
  <c r="CX93" i="4"/>
  <c r="CX97" i="4"/>
  <c r="CX88" i="4"/>
  <c r="CX89" i="4"/>
  <c r="CX106" i="4"/>
  <c r="CX90" i="4"/>
  <c r="CX109" i="4"/>
  <c r="CX98" i="4"/>
  <c r="CX92" i="4"/>
  <c r="CX100" i="4"/>
  <c r="DA14" i="5"/>
  <c r="CY14" i="4"/>
  <c r="CY107" i="4" l="1"/>
  <c r="CY96" i="4"/>
  <c r="CY95" i="4"/>
  <c r="CY93" i="4"/>
  <c r="CY99" i="4"/>
  <c r="CY108" i="4"/>
  <c r="CY89" i="4"/>
  <c r="CY105" i="4"/>
  <c r="CY97" i="4"/>
  <c r="CY106" i="4"/>
  <c r="CY92" i="4"/>
  <c r="CY90" i="4"/>
  <c r="CY91" i="4"/>
  <c r="CY98" i="4"/>
  <c r="CY100" i="4"/>
  <c r="CY109" i="4"/>
  <c r="CY88" i="4"/>
  <c r="DB14" i="5"/>
  <c r="CZ14" i="4"/>
  <c r="CZ107" i="4" l="1"/>
  <c r="CZ95" i="4"/>
  <c r="CZ96" i="4"/>
  <c r="CZ97" i="4"/>
  <c r="CZ91" i="4"/>
  <c r="CZ99" i="4"/>
  <c r="CZ93" i="4"/>
  <c r="CZ89" i="4"/>
  <c r="CZ108" i="4"/>
  <c r="CZ105" i="4"/>
  <c r="CZ88" i="4"/>
  <c r="CZ98" i="4"/>
  <c r="CZ90" i="4"/>
  <c r="CZ92" i="4"/>
  <c r="CZ106" i="4"/>
  <c r="CZ109" i="4"/>
  <c r="CZ100" i="4"/>
  <c r="DC14" i="5"/>
  <c r="DA14" i="4"/>
  <c r="DA107" i="4" l="1"/>
  <c r="DA96" i="4"/>
  <c r="DA95" i="4"/>
  <c r="DA108" i="4"/>
  <c r="DA93" i="4"/>
  <c r="DA97" i="4"/>
  <c r="DA91" i="4"/>
  <c r="DA99" i="4"/>
  <c r="DA92" i="4"/>
  <c r="DA105" i="4"/>
  <c r="DA88" i="4"/>
  <c r="DA109" i="4"/>
  <c r="DA89" i="4"/>
  <c r="DA100" i="4"/>
  <c r="DA90" i="4"/>
  <c r="DA98" i="4"/>
  <c r="DA106" i="4"/>
  <c r="DD14" i="5"/>
  <c r="DB14" i="4"/>
  <c r="DB107" i="4" l="1"/>
  <c r="DB96" i="4"/>
  <c r="DB95" i="4"/>
  <c r="DB105" i="4"/>
  <c r="DB97" i="4"/>
  <c r="DB89" i="4"/>
  <c r="DB99" i="4"/>
  <c r="DB93" i="4"/>
  <c r="DB108" i="4"/>
  <c r="DB98" i="4"/>
  <c r="DB88" i="4"/>
  <c r="DB109" i="4"/>
  <c r="DB106" i="4"/>
  <c r="DB100" i="4"/>
  <c r="DB92" i="4"/>
  <c r="DB91" i="4"/>
  <c r="DB90" i="4"/>
  <c r="DE14" i="5"/>
  <c r="DC14" i="4"/>
  <c r="DC107" i="4" l="1"/>
  <c r="DC96" i="4"/>
  <c r="DC95" i="4"/>
  <c r="DC108" i="4"/>
  <c r="DC105" i="4"/>
  <c r="DC99" i="4"/>
  <c r="DC91" i="4"/>
  <c r="DC97" i="4"/>
  <c r="DC93" i="4"/>
  <c r="DC98" i="4"/>
  <c r="DC109" i="4"/>
  <c r="DC89" i="4"/>
  <c r="DC92" i="4"/>
  <c r="DC100" i="4"/>
  <c r="DC106" i="4"/>
  <c r="DC90" i="4"/>
  <c r="DC88" i="4"/>
  <c r="DF14" i="5"/>
  <c r="DD14" i="4"/>
  <c r="DD107" i="4" l="1"/>
  <c r="DD95" i="4"/>
  <c r="DD96" i="4"/>
  <c r="DD108" i="4"/>
  <c r="DD89" i="4"/>
  <c r="DD99" i="4"/>
  <c r="DD93" i="4"/>
  <c r="DD91" i="4"/>
  <c r="DD105" i="4"/>
  <c r="DD97" i="4"/>
  <c r="DD109" i="4"/>
  <c r="DD106" i="4"/>
  <c r="DD92" i="4"/>
  <c r="DD98" i="4"/>
  <c r="DD90" i="4"/>
  <c r="DD100" i="4"/>
  <c r="DD88" i="4"/>
  <c r="DG14" i="5"/>
  <c r="DE14" i="4"/>
  <c r="DE107" i="4" l="1"/>
  <c r="DE96" i="4"/>
  <c r="DE95" i="4"/>
  <c r="DE105" i="4"/>
  <c r="DE93" i="4"/>
  <c r="DE108" i="4"/>
  <c r="DE97" i="4"/>
  <c r="DE99" i="4"/>
  <c r="DE98" i="4"/>
  <c r="DE109" i="4"/>
  <c r="DE92" i="4"/>
  <c r="DE91" i="4"/>
  <c r="DE88" i="4"/>
  <c r="DE106" i="4"/>
  <c r="DE90" i="4"/>
  <c r="DE100" i="4"/>
  <c r="DE89" i="4"/>
  <c r="DH14" i="5"/>
  <c r="DF14" i="4"/>
  <c r="DF107" i="4" l="1"/>
  <c r="DF96" i="4"/>
  <c r="DF95" i="4"/>
  <c r="DF97" i="4"/>
  <c r="DF108" i="4"/>
  <c r="DF105" i="4"/>
  <c r="DF91" i="4"/>
  <c r="DF93" i="4"/>
  <c r="DF99" i="4"/>
  <c r="DF92" i="4"/>
  <c r="DF109" i="4"/>
  <c r="DF89" i="4"/>
  <c r="DF88" i="4"/>
  <c r="DF90" i="4"/>
  <c r="DF98" i="4"/>
  <c r="DF100" i="4"/>
  <c r="DF106" i="4"/>
  <c r="DI14" i="5"/>
  <c r="DG14" i="4"/>
  <c r="DG107" i="4" l="1"/>
  <c r="DG96" i="4"/>
  <c r="DG95" i="4"/>
  <c r="DG93" i="4"/>
  <c r="DG108" i="4"/>
  <c r="DG105" i="4"/>
  <c r="DG91" i="4"/>
  <c r="DG97" i="4"/>
  <c r="DG99" i="4"/>
  <c r="DG89" i="4"/>
  <c r="DG88" i="4"/>
  <c r="DG98" i="4"/>
  <c r="DG106" i="4"/>
  <c r="DG100" i="4"/>
  <c r="DG92" i="4"/>
  <c r="DG90" i="4"/>
  <c r="DG109" i="4"/>
  <c r="DJ14" i="5"/>
  <c r="DH14" i="4"/>
  <c r="DH107" i="4" l="1"/>
  <c r="DH95" i="4"/>
  <c r="DH96" i="4"/>
  <c r="DH99" i="4"/>
  <c r="DH108" i="4"/>
  <c r="DH105" i="4"/>
  <c r="DH97" i="4"/>
  <c r="DH93" i="4"/>
  <c r="DH91" i="4"/>
  <c r="DH88" i="4"/>
  <c r="DH98" i="4"/>
  <c r="DH100" i="4"/>
  <c r="DH90" i="4"/>
  <c r="DH109" i="4"/>
  <c r="DH92" i="4"/>
  <c r="DH89" i="4"/>
  <c r="DH106" i="4"/>
  <c r="DK14" i="5"/>
  <c r="DI14" i="4"/>
  <c r="DI107" i="4" l="1"/>
  <c r="DI95" i="4"/>
  <c r="DI96" i="4"/>
  <c r="DI93" i="4"/>
  <c r="DI108" i="4"/>
  <c r="DI105" i="4"/>
  <c r="DI97" i="4"/>
  <c r="DI91" i="4"/>
  <c r="DI99" i="4"/>
  <c r="DI89" i="4"/>
  <c r="DI109" i="4"/>
  <c r="DI88" i="4"/>
  <c r="DI100" i="4"/>
  <c r="DI90" i="4"/>
  <c r="DI92" i="4"/>
  <c r="DI98" i="4"/>
  <c r="DI106" i="4"/>
  <c r="DL14" i="5"/>
  <c r="DJ14" i="4"/>
  <c r="DJ107" i="4" l="1"/>
  <c r="DJ95" i="4"/>
  <c r="DJ96" i="4"/>
  <c r="DJ105" i="4"/>
  <c r="DJ108" i="4"/>
  <c r="DJ89" i="4"/>
  <c r="DJ99" i="4"/>
  <c r="DJ93" i="4"/>
  <c r="DJ97" i="4"/>
  <c r="DJ88" i="4"/>
  <c r="DJ91" i="4"/>
  <c r="DJ90" i="4"/>
  <c r="DJ100" i="4"/>
  <c r="DJ109" i="4"/>
  <c r="DJ92" i="4"/>
  <c r="DJ98" i="4"/>
  <c r="DJ106" i="4"/>
  <c r="DM14" i="5"/>
  <c r="DK14" i="4"/>
  <c r="DK107" i="4" l="1"/>
  <c r="DK96" i="4"/>
  <c r="DK95" i="4"/>
  <c r="DK91" i="4"/>
  <c r="DK99" i="4"/>
  <c r="DK108" i="4"/>
  <c r="DK97" i="4"/>
  <c r="DK105" i="4"/>
  <c r="DK89" i="4"/>
  <c r="DK93" i="4"/>
  <c r="DK92" i="4"/>
  <c r="DK98" i="4"/>
  <c r="DK88" i="4"/>
  <c r="DK90" i="4"/>
  <c r="DK100" i="4"/>
  <c r="DK106" i="4"/>
  <c r="DK109" i="4"/>
  <c r="DL14" i="4"/>
  <c r="DL107" i="4" l="1"/>
  <c r="DL96" i="4"/>
  <c r="DL95" i="4"/>
  <c r="DL108" i="4"/>
  <c r="DL93" i="4"/>
  <c r="DL89" i="4"/>
  <c r="DL99" i="4"/>
  <c r="DL97" i="4"/>
  <c r="DL105" i="4"/>
  <c r="DL98" i="4"/>
  <c r="DL91" i="4"/>
  <c r="DL92" i="4"/>
  <c r="DL90" i="4"/>
  <c r="DL109" i="4"/>
  <c r="DL106" i="4"/>
  <c r="DL100" i="4"/>
  <c r="DL88" i="4"/>
  <c r="M20" i="1"/>
  <c r="M24" i="1" s="1"/>
  <c r="P173" i="5" l="1"/>
  <c r="E23" i="7"/>
  <c r="E33" i="7"/>
  <c r="E18" i="7"/>
  <c r="E38" i="7"/>
  <c r="E28" i="7"/>
  <c r="F23" i="1"/>
  <c r="F22" i="1"/>
  <c r="D16" i="1"/>
  <c r="D14" i="1"/>
  <c r="K55" i="2" l="1"/>
  <c r="K54" i="2"/>
  <c r="K53" i="2"/>
  <c r="K52" i="2"/>
  <c r="AE60" i="2"/>
  <c r="AE44" i="2"/>
  <c r="AE58" i="2"/>
  <c r="AE56" i="2"/>
  <c r="AE45" i="2"/>
  <c r="AE59" i="2"/>
  <c r="AE43" i="2"/>
  <c r="AE57" i="2"/>
  <c r="AE49" i="2"/>
  <c r="AE48" i="2"/>
  <c r="AE51" i="2"/>
  <c r="AE39" i="2"/>
  <c r="AE46" i="2"/>
  <c r="AE50" i="2"/>
  <c r="AE42" i="2"/>
  <c r="AE38" i="2"/>
  <c r="AE41" i="2"/>
  <c r="AE40" i="2"/>
  <c r="AE47" i="2"/>
  <c r="AE37" i="2"/>
  <c r="G59" i="1"/>
  <c r="F111" i="8" s="1"/>
  <c r="F150" i="8"/>
  <c r="G58" i="1"/>
  <c r="X45" i="1"/>
  <c r="F133" i="4"/>
  <c r="F86" i="4"/>
  <c r="F39" i="4"/>
  <c r="F134" i="5"/>
  <c r="F40" i="5"/>
  <c r="F180" i="4"/>
  <c r="F87" i="5"/>
  <c r="I9" i="8"/>
  <c r="I9" i="9"/>
  <c r="H11" i="8"/>
  <c r="H11" i="9"/>
  <c r="I11" i="9"/>
  <c r="I19" i="9" s="1"/>
  <c r="I11" i="8"/>
  <c r="J11" i="9"/>
  <c r="J11" i="8"/>
  <c r="K11" i="9"/>
  <c r="K11" i="8"/>
  <c r="L11" i="9"/>
  <c r="L11" i="8"/>
  <c r="M11" i="9"/>
  <c r="N11" i="9"/>
  <c r="M11" i="8"/>
  <c r="O11" i="9"/>
  <c r="N11" i="8"/>
  <c r="P11" i="9"/>
  <c r="O11" i="8"/>
  <c r="P11" i="8"/>
  <c r="Q11" i="9"/>
  <c r="R11" i="9"/>
  <c r="Q11" i="8"/>
  <c r="S11" i="9"/>
  <c r="R11" i="8"/>
  <c r="T11" i="9"/>
  <c r="S11" i="8"/>
  <c r="T11" i="8"/>
  <c r="U11" i="9"/>
  <c r="V11" i="9"/>
  <c r="U11" i="8"/>
  <c r="V11" i="8"/>
  <c r="W11" i="9"/>
  <c r="X11" i="9"/>
  <c r="W11" i="8"/>
  <c r="X11" i="8"/>
  <c r="Y11" i="9"/>
  <c r="Y11" i="8"/>
  <c r="Z11" i="9"/>
  <c r="AA11" i="9"/>
  <c r="Z11" i="8"/>
  <c r="AA11" i="8"/>
  <c r="AB11" i="9"/>
  <c r="AB11" i="8"/>
  <c r="AC11" i="9"/>
  <c r="AC11" i="8"/>
  <c r="AD11" i="9"/>
  <c r="AD11" i="8"/>
  <c r="AE11" i="9"/>
  <c r="AF11" i="9"/>
  <c r="AE11" i="8"/>
  <c r="AG11" i="9"/>
  <c r="AF11" i="8"/>
  <c r="AH11" i="9"/>
  <c r="AG11" i="8"/>
  <c r="AH11" i="8"/>
  <c r="AI11" i="9"/>
  <c r="AJ11" i="9"/>
  <c r="AI11" i="8"/>
  <c r="AJ11" i="8"/>
  <c r="AK11" i="9"/>
  <c r="AK11" i="8"/>
  <c r="AL11" i="9"/>
  <c r="AL11" i="8"/>
  <c r="AM11" i="9"/>
  <c r="AM11" i="8"/>
  <c r="AN11" i="9"/>
  <c r="AO11" i="9"/>
  <c r="AN11" i="8"/>
  <c r="AO11" i="8"/>
  <c r="AP11" i="9"/>
  <c r="AP11" i="8"/>
  <c r="AQ11" i="9"/>
  <c r="AR11" i="9"/>
  <c r="AQ11" i="8"/>
  <c r="AS11" i="9"/>
  <c r="AR11" i="8"/>
  <c r="AS11" i="8"/>
  <c r="AT11" i="9"/>
  <c r="AU11" i="9"/>
  <c r="AT11" i="8"/>
  <c r="AV11" i="9"/>
  <c r="AU11" i="8"/>
  <c r="AV11" i="8"/>
  <c r="AW11" i="9"/>
  <c r="AW11" i="8"/>
  <c r="AX11" i="9"/>
  <c r="AY11" i="9"/>
  <c r="AX11" i="8"/>
  <c r="AY11" i="8"/>
  <c r="AZ11" i="9"/>
  <c r="AZ11" i="8"/>
  <c r="BA11" i="9"/>
  <c r="BA11" i="8"/>
  <c r="BB11" i="9"/>
  <c r="BB11" i="8"/>
  <c r="BC11" i="9"/>
  <c r="BD11" i="9"/>
  <c r="BC11" i="8"/>
  <c r="BD11" i="8"/>
  <c r="BE11" i="9"/>
  <c r="BE11" i="8"/>
  <c r="BF11" i="9"/>
  <c r="BF11" i="8"/>
  <c r="BG11" i="9"/>
  <c r="BG11" i="8"/>
  <c r="BH11" i="9"/>
  <c r="BH11" i="8"/>
  <c r="BI11" i="9"/>
  <c r="BI11" i="8"/>
  <c r="BJ11" i="9"/>
  <c r="BJ11" i="8"/>
  <c r="BK11" i="9"/>
  <c r="BL11" i="9"/>
  <c r="BK11" i="8"/>
  <c r="BL11" i="8"/>
  <c r="BM11" i="9"/>
  <c r="BN11" i="9"/>
  <c r="BM11" i="8"/>
  <c r="BN11" i="8"/>
  <c r="BO11" i="9"/>
  <c r="BP11" i="9"/>
  <c r="BO11" i="8"/>
  <c r="BP11" i="8"/>
  <c r="BQ11" i="9"/>
  <c r="BQ11" i="8"/>
  <c r="BR11" i="9"/>
  <c r="BR11" i="8"/>
  <c r="BS11" i="9"/>
  <c r="BT11" i="9"/>
  <c r="BS11" i="8"/>
  <c r="BT11" i="8"/>
  <c r="BU11" i="9"/>
  <c r="BU11" i="8"/>
  <c r="BV11" i="9"/>
  <c r="BW11" i="9"/>
  <c r="BV11" i="8"/>
  <c r="BX11" i="9"/>
  <c r="BW11" i="8"/>
  <c r="BX11" i="8"/>
  <c r="BY11" i="9"/>
  <c r="BY11" i="8"/>
  <c r="BZ11" i="9"/>
  <c r="CA11" i="9"/>
  <c r="BZ11" i="8"/>
  <c r="CB11" i="9"/>
  <c r="CA11" i="8"/>
  <c r="CB11" i="8"/>
  <c r="CC11" i="9"/>
  <c r="CC11" i="8"/>
  <c r="CD11" i="9"/>
  <c r="CE11" i="9"/>
  <c r="CD11" i="8"/>
  <c r="CE11" i="8"/>
  <c r="CF11" i="9"/>
  <c r="CF11" i="8"/>
  <c r="CG11" i="9"/>
  <c r="CG11" i="8"/>
  <c r="CH11" i="9"/>
  <c r="CI11" i="9"/>
  <c r="CH11" i="8"/>
  <c r="CI11" i="8"/>
  <c r="CJ11" i="9"/>
  <c r="CJ11" i="8"/>
  <c r="CK11" i="9"/>
  <c r="CK11" i="8"/>
  <c r="CL11" i="9"/>
  <c r="CL11" i="8"/>
  <c r="CM11" i="9"/>
  <c r="CM11" i="8"/>
  <c r="CN11" i="9"/>
  <c r="CN11" i="8"/>
  <c r="CO11" i="9"/>
  <c r="CO11" i="8"/>
  <c r="CP11" i="9"/>
  <c r="CQ11" i="9"/>
  <c r="CP11" i="8"/>
  <c r="CR11" i="9"/>
  <c r="CQ11" i="8"/>
  <c r="CR11" i="8"/>
  <c r="CS11" i="9"/>
  <c r="CS11" i="8"/>
  <c r="CT11" i="9"/>
  <c r="CU11" i="9"/>
  <c r="CT11" i="8"/>
  <c r="CV11" i="9"/>
  <c r="CU11" i="8"/>
  <c r="CW11" i="9"/>
  <c r="CV11" i="8"/>
  <c r="CW11" i="8"/>
  <c r="CX11" i="9"/>
  <c r="CX11" i="8"/>
  <c r="CY11" i="9"/>
  <c r="CZ11" i="9"/>
  <c r="CY11" i="8"/>
  <c r="DA11" i="9"/>
  <c r="CZ11" i="8"/>
  <c r="DB11" i="9"/>
  <c r="DA11" i="8"/>
  <c r="DB11" i="8"/>
  <c r="T9" i="5"/>
  <c r="S9" i="4"/>
  <c r="I9" i="7"/>
  <c r="G54" i="1"/>
  <c r="I11" i="7"/>
  <c r="I55" i="7" s="1"/>
  <c r="O83" i="7" s="1"/>
  <c r="H11" i="7"/>
  <c r="H49" i="7" s="1"/>
  <c r="J11" i="7"/>
  <c r="J49" i="7" s="1"/>
  <c r="K11" i="7"/>
  <c r="K49" i="7" s="1"/>
  <c r="L11" i="7"/>
  <c r="L49" i="7" s="1"/>
  <c r="M11" i="7"/>
  <c r="M49" i="7" s="1"/>
  <c r="N11" i="7"/>
  <c r="O11" i="7"/>
  <c r="O50" i="7" s="1"/>
  <c r="P11" i="7"/>
  <c r="P49" i="7" s="1"/>
  <c r="Q11" i="7"/>
  <c r="Q57" i="7" s="1"/>
  <c r="R11" i="7"/>
  <c r="R56" i="7" s="1"/>
  <c r="S11" i="7"/>
  <c r="T11" i="7"/>
  <c r="T50" i="7" s="1"/>
  <c r="U11" i="7"/>
  <c r="V11" i="7"/>
  <c r="W11" i="7"/>
  <c r="W56" i="7" s="1"/>
  <c r="X11" i="7"/>
  <c r="Y11" i="7"/>
  <c r="Y56" i="7" s="1"/>
  <c r="Z11" i="7"/>
  <c r="Z49" i="7" s="1"/>
  <c r="AA11" i="7"/>
  <c r="AA57" i="7" s="1"/>
  <c r="AB11" i="7"/>
  <c r="AC11" i="7"/>
  <c r="AC55" i="7" s="1"/>
  <c r="AD11" i="7"/>
  <c r="AE11" i="7"/>
  <c r="AE49" i="7" s="1"/>
  <c r="AF11" i="7"/>
  <c r="AF50" i="7" s="1"/>
  <c r="AG11" i="7"/>
  <c r="AG50" i="7" s="1"/>
  <c r="AH11" i="7"/>
  <c r="AI11" i="7"/>
  <c r="AI57" i="7" s="1"/>
  <c r="AJ11" i="7"/>
  <c r="AJ55" i="7" s="1"/>
  <c r="AK11" i="7"/>
  <c r="AL11" i="7"/>
  <c r="AM11" i="7"/>
  <c r="AM56" i="7" s="1"/>
  <c r="AN11" i="7"/>
  <c r="AN56" i="7" s="1"/>
  <c r="AO11" i="7"/>
  <c r="AO50" i="7" s="1"/>
  <c r="AP11" i="7"/>
  <c r="AP57" i="7" s="1"/>
  <c r="AQ11" i="7"/>
  <c r="AQ57" i="7" s="1"/>
  <c r="AR11" i="7"/>
  <c r="AR56" i="7" s="1"/>
  <c r="AS11" i="7"/>
  <c r="AT11" i="7"/>
  <c r="AU11" i="7"/>
  <c r="AU49" i="7" s="1"/>
  <c r="AV11" i="7"/>
  <c r="AV50" i="7" s="1"/>
  <c r="AW11" i="7"/>
  <c r="AW56" i="7" s="1"/>
  <c r="AX11" i="7"/>
  <c r="AY11" i="7"/>
  <c r="AY50" i="7" s="1"/>
  <c r="AZ11" i="7"/>
  <c r="BA11" i="7"/>
  <c r="BB11" i="7"/>
  <c r="BC11" i="7"/>
  <c r="BC55" i="7" s="1"/>
  <c r="BD11" i="7"/>
  <c r="BD50" i="7" s="1"/>
  <c r="BE11" i="7"/>
  <c r="BE69" i="7" s="1"/>
  <c r="BF11" i="7"/>
  <c r="BG11" i="7"/>
  <c r="BG55" i="7" s="1"/>
  <c r="BH11" i="7"/>
  <c r="BH56" i="7" s="1"/>
  <c r="BI11" i="7"/>
  <c r="BJ11" i="7"/>
  <c r="BK11" i="7"/>
  <c r="BK49" i="7" s="1"/>
  <c r="BL11" i="7"/>
  <c r="BL57" i="7" s="1"/>
  <c r="BM11" i="7"/>
  <c r="BM58" i="7" s="1"/>
  <c r="BN11" i="7"/>
  <c r="BO11" i="7"/>
  <c r="BO57" i="7" s="1"/>
  <c r="BP11" i="7"/>
  <c r="BQ11" i="7"/>
  <c r="BQ55" i="7" s="1"/>
  <c r="BR11" i="7"/>
  <c r="BS11" i="7"/>
  <c r="BT11" i="7"/>
  <c r="BT55" i="7" s="1"/>
  <c r="BU11" i="7"/>
  <c r="BU51" i="7" s="1"/>
  <c r="BV11" i="7"/>
  <c r="BV49" i="7" s="1"/>
  <c r="BW11" i="7"/>
  <c r="BX11" i="7"/>
  <c r="BX49" i="7" s="1"/>
  <c r="BY11" i="7"/>
  <c r="BY55" i="7" s="1"/>
  <c r="BZ11" i="7"/>
  <c r="CA11" i="7"/>
  <c r="CA57" i="7" s="1"/>
  <c r="CB11" i="7"/>
  <c r="CB57" i="7" s="1"/>
  <c r="CC11" i="7"/>
  <c r="CD11" i="7"/>
  <c r="CD57" i="7" s="1"/>
  <c r="CE11" i="7"/>
  <c r="CE56" i="7" s="1"/>
  <c r="CF11" i="7"/>
  <c r="CG11" i="7"/>
  <c r="CH11" i="7"/>
  <c r="CI11" i="7"/>
  <c r="CI57" i="7" s="1"/>
  <c r="CJ11" i="7"/>
  <c r="CK11" i="7"/>
  <c r="CL11" i="7"/>
  <c r="CL56" i="7" s="1"/>
  <c r="CM11" i="7"/>
  <c r="CN11" i="7"/>
  <c r="CO11" i="7"/>
  <c r="CP11" i="7"/>
  <c r="CQ11" i="7"/>
  <c r="CQ49" i="7" s="1"/>
  <c r="CR11" i="7"/>
  <c r="CR56" i="7" s="1"/>
  <c r="CS11" i="7"/>
  <c r="CS61" i="7" s="1"/>
  <c r="CT11" i="7"/>
  <c r="CT55" i="7" s="1"/>
  <c r="CU11" i="7"/>
  <c r="CV11" i="7"/>
  <c r="CW11" i="7"/>
  <c r="CX11" i="7"/>
  <c r="CY11" i="7"/>
  <c r="CY49" i="7" s="1"/>
  <c r="CZ11" i="7"/>
  <c r="DA11" i="7"/>
  <c r="DA62" i="7" s="1"/>
  <c r="DB11" i="7"/>
  <c r="AI33" i="7"/>
  <c r="S11" i="5"/>
  <c r="R11" i="4"/>
  <c r="R60" i="4" s="1"/>
  <c r="T11" i="5"/>
  <c r="U11" i="5"/>
  <c r="U178" i="5" s="1"/>
  <c r="S11" i="4"/>
  <c r="S60" i="4" s="1"/>
  <c r="T11" i="4"/>
  <c r="T60" i="4" s="1"/>
  <c r="V11" i="5"/>
  <c r="V178" i="5" s="1"/>
  <c r="U11" i="4"/>
  <c r="U60" i="4" s="1"/>
  <c r="W11" i="5"/>
  <c r="W178" i="5" s="1"/>
  <c r="X11" i="5"/>
  <c r="X178" i="5" s="1"/>
  <c r="V11" i="4"/>
  <c r="V60" i="4" s="1"/>
  <c r="Y11" i="5"/>
  <c r="Y178" i="5" s="1"/>
  <c r="W11" i="4"/>
  <c r="W60" i="4" s="1"/>
  <c r="X11" i="4"/>
  <c r="X60" i="4" s="1"/>
  <c r="Z11" i="5"/>
  <c r="Z178" i="5" s="1"/>
  <c r="Y11" i="4"/>
  <c r="Y60" i="4" s="1"/>
  <c r="AA11" i="5"/>
  <c r="AA178" i="5" s="1"/>
  <c r="Z11" i="4"/>
  <c r="Z60" i="4" s="1"/>
  <c r="AB11" i="5"/>
  <c r="AB178" i="5" s="1"/>
  <c r="AC11" i="5"/>
  <c r="AC178" i="5" s="1"/>
  <c r="AA11" i="4"/>
  <c r="AA60" i="4" s="1"/>
  <c r="AD11" i="5"/>
  <c r="AD178" i="5" s="1"/>
  <c r="AB11" i="4"/>
  <c r="AB60" i="4" s="1"/>
  <c r="AE11" i="5"/>
  <c r="AE178" i="5" s="1"/>
  <c r="AC11" i="4"/>
  <c r="AC60" i="4" s="1"/>
  <c r="AD11" i="4"/>
  <c r="AD60" i="4" s="1"/>
  <c r="AF11" i="5"/>
  <c r="AF178" i="5" s="1"/>
  <c r="AG11" i="5"/>
  <c r="AG178" i="5" s="1"/>
  <c r="AE11" i="4"/>
  <c r="AE60" i="4" s="1"/>
  <c r="AF11" i="4"/>
  <c r="AF60" i="4" s="1"/>
  <c r="AH11" i="5"/>
  <c r="AH178" i="5" s="1"/>
  <c r="AI11" i="5"/>
  <c r="AI178" i="5" s="1"/>
  <c r="AG11" i="4"/>
  <c r="AG60" i="4" s="1"/>
  <c r="AH11" i="4"/>
  <c r="AH60" i="4" s="1"/>
  <c r="AJ11" i="5"/>
  <c r="AJ178" i="5" s="1"/>
  <c r="AK11" i="5"/>
  <c r="AK178" i="5" s="1"/>
  <c r="AI11" i="4"/>
  <c r="AI60" i="4" s="1"/>
  <c r="AL11" i="5"/>
  <c r="AL178" i="5" s="1"/>
  <c r="AJ11" i="4"/>
  <c r="AJ60" i="4" s="1"/>
  <c r="AK11" i="4"/>
  <c r="AK60" i="4" s="1"/>
  <c r="AM11" i="5"/>
  <c r="AM178" i="5" s="1"/>
  <c r="AN11" i="5"/>
  <c r="AN178" i="5" s="1"/>
  <c r="AL11" i="4"/>
  <c r="AL60" i="4" s="1"/>
  <c r="AO11" i="5"/>
  <c r="AO178" i="5" s="1"/>
  <c r="AM11" i="4"/>
  <c r="AM60" i="4" s="1"/>
  <c r="AN11" i="4"/>
  <c r="AN60" i="4" s="1"/>
  <c r="AP11" i="5"/>
  <c r="AP178" i="5" s="1"/>
  <c r="AQ11" i="5"/>
  <c r="AQ178" i="5" s="1"/>
  <c r="AO11" i="4"/>
  <c r="AO60" i="4" s="1"/>
  <c r="AP11" i="4"/>
  <c r="AP60" i="4" s="1"/>
  <c r="AR11" i="5"/>
  <c r="AR178" i="5" s="1"/>
  <c r="AS11" i="5"/>
  <c r="AS178" i="5" s="1"/>
  <c r="AQ11" i="4"/>
  <c r="AQ60" i="4" s="1"/>
  <c r="AR11" i="4"/>
  <c r="AR60" i="4" s="1"/>
  <c r="AT11" i="5"/>
  <c r="AT178" i="5" s="1"/>
  <c r="AS11" i="4"/>
  <c r="AS60" i="4" s="1"/>
  <c r="AU11" i="5"/>
  <c r="AU178" i="5" s="1"/>
  <c r="AT11" i="4"/>
  <c r="AT60" i="4" s="1"/>
  <c r="AV11" i="5"/>
  <c r="AV178" i="5" s="1"/>
  <c r="AU11" i="4"/>
  <c r="AU60" i="4" s="1"/>
  <c r="AW11" i="5"/>
  <c r="AW178" i="5" s="1"/>
  <c r="AX11" i="5"/>
  <c r="AX178" i="5" s="1"/>
  <c r="AV11" i="4"/>
  <c r="AV60" i="4" s="1"/>
  <c r="AW11" i="4"/>
  <c r="AW60" i="4" s="1"/>
  <c r="AY11" i="5"/>
  <c r="AY178" i="5" s="1"/>
  <c r="AX11" i="4"/>
  <c r="AX60" i="4" s="1"/>
  <c r="AZ11" i="5"/>
  <c r="AZ178" i="5" s="1"/>
  <c r="BA11" i="5"/>
  <c r="BA178" i="5" s="1"/>
  <c r="AY11" i="4"/>
  <c r="AY60" i="4" s="1"/>
  <c r="BB11" i="5"/>
  <c r="BB178" i="5" s="1"/>
  <c r="AZ11" i="4"/>
  <c r="AZ60" i="4" s="1"/>
  <c r="BC11" i="5"/>
  <c r="BC178" i="5" s="1"/>
  <c r="BA11" i="4"/>
  <c r="BA60" i="4" s="1"/>
  <c r="BB11" i="4"/>
  <c r="BB60" i="4" s="1"/>
  <c r="BD11" i="5"/>
  <c r="BD178" i="5" s="1"/>
  <c r="BE11" i="5"/>
  <c r="BE178" i="5" s="1"/>
  <c r="BC11" i="4"/>
  <c r="BC60" i="4" s="1"/>
  <c r="BD11" i="4"/>
  <c r="BD60" i="4" s="1"/>
  <c r="BF11" i="5"/>
  <c r="BF178" i="5" s="1"/>
  <c r="BE11" i="4"/>
  <c r="BE60" i="4" s="1"/>
  <c r="BG11" i="5"/>
  <c r="BG178" i="5" s="1"/>
  <c r="BF11" i="4"/>
  <c r="BF60" i="4" s="1"/>
  <c r="BH11" i="5"/>
  <c r="BH178" i="5" s="1"/>
  <c r="BG11" i="4"/>
  <c r="BG60" i="4" s="1"/>
  <c r="BI11" i="5"/>
  <c r="BI178" i="5" s="1"/>
  <c r="BJ11" i="5"/>
  <c r="BJ178" i="5" s="1"/>
  <c r="BH11" i="4"/>
  <c r="BH60" i="4" s="1"/>
  <c r="BI11" i="4"/>
  <c r="BI60" i="4" s="1"/>
  <c r="BK11" i="5"/>
  <c r="BK178" i="5" s="1"/>
  <c r="BJ11" i="4"/>
  <c r="BJ60" i="4" s="1"/>
  <c r="BL11" i="5"/>
  <c r="BL178" i="5" s="1"/>
  <c r="BM11" i="5"/>
  <c r="BM178" i="5" s="1"/>
  <c r="BK11" i="4"/>
  <c r="BK60" i="4" s="1"/>
  <c r="BN11" i="5"/>
  <c r="BN178" i="5" s="1"/>
  <c r="BL11" i="4"/>
  <c r="BL60" i="4" s="1"/>
  <c r="BM11" i="4"/>
  <c r="BM60" i="4" s="1"/>
  <c r="BO11" i="5"/>
  <c r="BO178" i="5" s="1"/>
  <c r="BP11" i="5"/>
  <c r="BP178" i="5" s="1"/>
  <c r="BN11" i="4"/>
  <c r="BN60" i="4" s="1"/>
  <c r="BO11" i="4"/>
  <c r="BO60" i="4" s="1"/>
  <c r="BQ11" i="5"/>
  <c r="BQ178" i="5" s="1"/>
  <c r="BP11" i="4"/>
  <c r="BP60" i="4" s="1"/>
  <c r="BR11" i="5"/>
  <c r="BR178" i="5" s="1"/>
  <c r="BS11" i="5"/>
  <c r="BS178" i="5" s="1"/>
  <c r="BQ11" i="4"/>
  <c r="BQ60" i="4" s="1"/>
  <c r="BR11" i="4"/>
  <c r="BR60" i="4" s="1"/>
  <c r="BT11" i="5"/>
  <c r="BT178" i="5" s="1"/>
  <c r="BU11" i="5"/>
  <c r="BU178" i="5" s="1"/>
  <c r="BS11" i="4"/>
  <c r="BS60" i="4" s="1"/>
  <c r="BV11" i="5"/>
  <c r="BV178" i="5" s="1"/>
  <c r="BT11" i="4"/>
  <c r="BT60" i="4" s="1"/>
  <c r="BW11" i="5"/>
  <c r="BW178" i="5" s="1"/>
  <c r="BU11" i="4"/>
  <c r="BU60" i="4" s="1"/>
  <c r="BV11" i="4"/>
  <c r="BV60" i="4" s="1"/>
  <c r="BX11" i="5"/>
  <c r="BX178" i="5" s="1"/>
  <c r="BY11" i="5"/>
  <c r="BY178" i="5" s="1"/>
  <c r="BW11" i="4"/>
  <c r="BW60" i="4" s="1"/>
  <c r="BX11" i="4"/>
  <c r="BX60" i="4" s="1"/>
  <c r="BZ11" i="5"/>
  <c r="BZ178" i="5" s="1"/>
  <c r="CA11" i="5"/>
  <c r="CA178" i="5" s="1"/>
  <c r="BY11" i="4"/>
  <c r="BY60" i="4" s="1"/>
  <c r="BZ11" i="4"/>
  <c r="BZ60" i="4" s="1"/>
  <c r="CB11" i="5"/>
  <c r="CB178" i="5" s="1"/>
  <c r="CC11" i="5"/>
  <c r="CC178" i="5" s="1"/>
  <c r="CA11" i="4"/>
  <c r="CA60" i="4" s="1"/>
  <c r="CD11" i="5"/>
  <c r="CD178" i="5" s="1"/>
  <c r="CB11" i="4"/>
  <c r="CB60" i="4" s="1"/>
  <c r="CE11" i="5"/>
  <c r="CE178" i="5" s="1"/>
  <c r="CC11" i="4"/>
  <c r="CC60" i="4" s="1"/>
  <c r="CD11" i="4"/>
  <c r="CD60" i="4" s="1"/>
  <c r="CF11" i="5"/>
  <c r="CF178" i="5" s="1"/>
  <c r="CE11" i="4"/>
  <c r="CE60" i="4" s="1"/>
  <c r="CG11" i="5"/>
  <c r="CG178" i="5" s="1"/>
  <c r="CF11" i="4"/>
  <c r="CF60" i="4" s="1"/>
  <c r="CH11" i="5"/>
  <c r="CH178" i="5" s="1"/>
  <c r="CI11" i="5"/>
  <c r="CI178" i="5" s="1"/>
  <c r="CG11" i="4"/>
  <c r="CG60" i="4" s="1"/>
  <c r="CJ11" i="5"/>
  <c r="CJ178" i="5" s="1"/>
  <c r="CH11" i="4"/>
  <c r="CH60" i="4" s="1"/>
  <c r="CK11" i="5"/>
  <c r="CK178" i="5" s="1"/>
  <c r="CI11" i="4"/>
  <c r="CI60" i="4" s="1"/>
  <c r="CL11" i="5"/>
  <c r="CL178" i="5" s="1"/>
  <c r="CJ11" i="4"/>
  <c r="CJ60" i="4" s="1"/>
  <c r="CK11" i="4"/>
  <c r="CK60" i="4" s="1"/>
  <c r="CM11" i="5"/>
  <c r="CM178" i="5" s="1"/>
  <c r="CN11" i="5"/>
  <c r="CN178" i="5" s="1"/>
  <c r="CL11" i="4"/>
  <c r="CL60" i="4" s="1"/>
  <c r="CM11" i="4"/>
  <c r="CM60" i="4" s="1"/>
  <c r="CO11" i="5"/>
  <c r="CO178" i="5" s="1"/>
  <c r="CN11" i="4"/>
  <c r="CN60" i="4" s="1"/>
  <c r="CP11" i="5"/>
  <c r="CP178" i="5" s="1"/>
  <c r="CQ11" i="5"/>
  <c r="CQ178" i="5" s="1"/>
  <c r="CO11" i="4"/>
  <c r="CO60" i="4" s="1"/>
  <c r="CR11" i="5"/>
  <c r="CR178" i="5" s="1"/>
  <c r="CP11" i="4"/>
  <c r="CP60" i="4" s="1"/>
  <c r="CS11" i="5"/>
  <c r="CS178" i="5" s="1"/>
  <c r="CQ11" i="4"/>
  <c r="CQ60" i="4" s="1"/>
  <c r="CT11" i="5"/>
  <c r="CT178" i="5" s="1"/>
  <c r="CR11" i="4"/>
  <c r="CR60" i="4" s="1"/>
  <c r="CS11" i="4"/>
  <c r="CS60" i="4" s="1"/>
  <c r="CU11" i="5"/>
  <c r="CU178" i="5" s="1"/>
  <c r="CV11" i="5"/>
  <c r="CV178" i="5" s="1"/>
  <c r="CT11" i="4"/>
  <c r="CT60" i="4" s="1"/>
  <c r="CU11" i="4"/>
  <c r="CU60" i="4" s="1"/>
  <c r="CW11" i="5"/>
  <c r="CW178" i="5" s="1"/>
  <c r="CX11" i="5"/>
  <c r="CX178" i="5" s="1"/>
  <c r="CV11" i="4"/>
  <c r="CV60" i="4" s="1"/>
  <c r="CW11" i="4"/>
  <c r="CW60" i="4" s="1"/>
  <c r="CY11" i="5"/>
  <c r="CY178" i="5" s="1"/>
  <c r="CZ11" i="5"/>
  <c r="CZ178" i="5" s="1"/>
  <c r="CX11" i="4"/>
  <c r="CX60" i="4" s="1"/>
  <c r="DA11" i="5"/>
  <c r="DA178" i="5" s="1"/>
  <c r="CY11" i="4"/>
  <c r="CY60" i="4" s="1"/>
  <c r="CZ11" i="4"/>
  <c r="CZ60" i="4" s="1"/>
  <c r="DB11" i="5"/>
  <c r="DB178" i="5" s="1"/>
  <c r="DA11" i="4"/>
  <c r="DA60" i="4" s="1"/>
  <c r="DC11" i="5"/>
  <c r="DC178" i="5" s="1"/>
  <c r="DB11" i="4"/>
  <c r="DB60" i="4" s="1"/>
  <c r="DD11" i="5"/>
  <c r="DD178" i="5" s="1"/>
  <c r="DE11" i="5"/>
  <c r="DE178" i="5" s="1"/>
  <c r="DC11" i="4"/>
  <c r="DC60" i="4" s="1"/>
  <c r="DD11" i="4"/>
  <c r="DD60" i="4" s="1"/>
  <c r="DF11" i="5"/>
  <c r="DF178" i="5" s="1"/>
  <c r="DE11" i="4"/>
  <c r="DE60" i="4" s="1"/>
  <c r="DG11" i="5"/>
  <c r="DG178" i="5" s="1"/>
  <c r="DH11" i="5"/>
  <c r="DH178" i="5" s="1"/>
  <c r="DF11" i="4"/>
  <c r="DF60" i="4" s="1"/>
  <c r="DI11" i="5"/>
  <c r="DI178" i="5" s="1"/>
  <c r="DG11" i="4"/>
  <c r="DG60" i="4" s="1"/>
  <c r="DJ11" i="5"/>
  <c r="DJ178" i="5" s="1"/>
  <c r="DH11" i="4"/>
  <c r="DH60" i="4" s="1"/>
  <c r="DK11" i="5"/>
  <c r="DK178" i="5" s="1"/>
  <c r="DI11" i="4"/>
  <c r="DI60" i="4" s="1"/>
  <c r="DL11" i="5"/>
  <c r="DL178" i="5" s="1"/>
  <c r="DJ11" i="4"/>
  <c r="DJ60" i="4" s="1"/>
  <c r="DK11" i="4"/>
  <c r="DK60" i="4" s="1"/>
  <c r="DM11" i="5"/>
  <c r="DM178" i="5" s="1"/>
  <c r="DL11" i="4"/>
  <c r="DL60" i="4" s="1"/>
  <c r="S179" i="5" l="1"/>
  <c r="S178" i="5"/>
  <c r="S77" i="7"/>
  <c r="R77" i="7"/>
  <c r="Q77" i="7"/>
  <c r="P77" i="7"/>
  <c r="X64" i="1"/>
  <c r="G55" i="5"/>
  <c r="G148" i="4"/>
  <c r="G101" i="4"/>
  <c r="G102" i="5"/>
  <c r="G195" i="4"/>
  <c r="G54" i="4"/>
  <c r="G149" i="5"/>
  <c r="N52" i="2"/>
  <c r="P52" i="2"/>
  <c r="AD52" i="2"/>
  <c r="X65" i="1"/>
  <c r="G196" i="4"/>
  <c r="G102" i="4"/>
  <c r="G103" i="5"/>
  <c r="G56" i="5"/>
  <c r="G149" i="4"/>
  <c r="G150" i="5"/>
  <c r="G55" i="4"/>
  <c r="P53" i="2"/>
  <c r="N53" i="2"/>
  <c r="AD53" i="2"/>
  <c r="X66" i="1"/>
  <c r="G150" i="4"/>
  <c r="G103" i="4"/>
  <c r="G197" i="4"/>
  <c r="G57" i="5"/>
  <c r="G104" i="5"/>
  <c r="G151" i="5"/>
  <c r="G56" i="4"/>
  <c r="P54" i="2"/>
  <c r="N54" i="2"/>
  <c r="AD54" i="2"/>
  <c r="X67" i="1"/>
  <c r="G152" i="5"/>
  <c r="G57" i="4"/>
  <c r="G198" i="4"/>
  <c r="G104" i="4"/>
  <c r="G105" i="5"/>
  <c r="G151" i="4"/>
  <c r="G58" i="5"/>
  <c r="P55" i="2"/>
  <c r="N55" i="2"/>
  <c r="AD55" i="2"/>
  <c r="H59" i="1"/>
  <c r="D92" i="7"/>
  <c r="W64" i="1"/>
  <c r="AC64" i="1" s="1"/>
  <c r="D64" i="7"/>
  <c r="L52" i="2"/>
  <c r="D195" i="4"/>
  <c r="D149" i="5"/>
  <c r="D55" i="5"/>
  <c r="D102" i="5"/>
  <c r="D54" i="4"/>
  <c r="D148" i="4"/>
  <c r="D101" i="4"/>
  <c r="D93" i="7"/>
  <c r="L53" i="2"/>
  <c r="W65" i="1"/>
  <c r="AC65" i="1" s="1"/>
  <c r="D65" i="7"/>
  <c r="BR65" i="7" s="1"/>
  <c r="D103" i="5"/>
  <c r="D149" i="4"/>
  <c r="D102" i="4"/>
  <c r="D196" i="4"/>
  <c r="D55" i="4"/>
  <c r="D150" i="5"/>
  <c r="D56" i="5"/>
  <c r="D94" i="7"/>
  <c r="L54" i="2"/>
  <c r="W66" i="1"/>
  <c r="AC66" i="1" s="1"/>
  <c r="D66" i="7"/>
  <c r="D197" i="4"/>
  <c r="D103" i="4"/>
  <c r="D151" i="5"/>
  <c r="D150" i="4"/>
  <c r="D56" i="4"/>
  <c r="D57" i="5"/>
  <c r="D104" i="5"/>
  <c r="D95" i="7"/>
  <c r="D67" i="7"/>
  <c r="W67" i="1"/>
  <c r="AC67" i="1" s="1"/>
  <c r="L55" i="2"/>
  <c r="D58" i="5"/>
  <c r="D198" i="4"/>
  <c r="D57" i="4"/>
  <c r="D151" i="4"/>
  <c r="D104" i="4"/>
  <c r="D105" i="5"/>
  <c r="D152" i="5"/>
  <c r="AE26" i="2"/>
  <c r="AO49" i="7"/>
  <c r="Y55" i="7"/>
  <c r="AW57" i="7"/>
  <c r="BM55" i="7"/>
  <c r="DA72" i="7"/>
  <c r="AV49" i="7"/>
  <c r="Q55" i="7"/>
  <c r="BU56" i="7"/>
  <c r="BU49" i="7"/>
  <c r="BU55" i="7"/>
  <c r="DA58" i="7"/>
  <c r="CK49" i="7"/>
  <c r="AW55" i="7"/>
  <c r="BM49" i="7"/>
  <c r="BM50" i="7"/>
  <c r="CC57" i="7"/>
  <c r="AO55" i="7"/>
  <c r="DA56" i="7"/>
  <c r="DA50" i="7"/>
  <c r="AO57" i="7"/>
  <c r="DA60" i="7"/>
  <c r="AG55" i="7"/>
  <c r="AO56" i="7"/>
  <c r="CK57" i="7"/>
  <c r="BE50" i="7"/>
  <c r="AW50" i="7"/>
  <c r="DA52" i="7"/>
  <c r="P55" i="7"/>
  <c r="AG57" i="7"/>
  <c r="CK56" i="7"/>
  <c r="CK50" i="7"/>
  <c r="DA70" i="7"/>
  <c r="BM57" i="7"/>
  <c r="BE49" i="7"/>
  <c r="BM56" i="7"/>
  <c r="BE56" i="7"/>
  <c r="CS55" i="7"/>
  <c r="AW49" i="7"/>
  <c r="H50" i="7"/>
  <c r="H56" i="7"/>
  <c r="CX51" i="7"/>
  <c r="CX54" i="7"/>
  <c r="CX53" i="7"/>
  <c r="CX52" i="7"/>
  <c r="CX62" i="7"/>
  <c r="CX49" i="7"/>
  <c r="CX68" i="7"/>
  <c r="CX70" i="7"/>
  <c r="CX71" i="7"/>
  <c r="CX69" i="7"/>
  <c r="CX55" i="7"/>
  <c r="CX63" i="7"/>
  <c r="CX58" i="7"/>
  <c r="CX59" i="7"/>
  <c r="CX61" i="7"/>
  <c r="CX60" i="7"/>
  <c r="CP60" i="7"/>
  <c r="CP62" i="7"/>
  <c r="CP63" i="7"/>
  <c r="CP58" i="7"/>
  <c r="CP70" i="7"/>
  <c r="CP52" i="7"/>
  <c r="CP51" i="7"/>
  <c r="CP53" i="7"/>
  <c r="CP61" i="7"/>
  <c r="CP69" i="7"/>
  <c r="CP71" i="7"/>
  <c r="CP55" i="7"/>
  <c r="CP68" i="7"/>
  <c r="CP54" i="7"/>
  <c r="CP72" i="7"/>
  <c r="CP59" i="7"/>
  <c r="CP50" i="7"/>
  <c r="CH69" i="7"/>
  <c r="CH62" i="7"/>
  <c r="CH52" i="7"/>
  <c r="CH72" i="7"/>
  <c r="CH68" i="7"/>
  <c r="CH58" i="7"/>
  <c r="CH60" i="7"/>
  <c r="CH61" i="7"/>
  <c r="CH71" i="7"/>
  <c r="CH53" i="7"/>
  <c r="CH57" i="7"/>
  <c r="CH63" i="7"/>
  <c r="CH56" i="7"/>
  <c r="CH59" i="7"/>
  <c r="CH49" i="7"/>
  <c r="CH54" i="7"/>
  <c r="CH70" i="7"/>
  <c r="CH51" i="7"/>
  <c r="BZ54" i="7"/>
  <c r="BZ51" i="7"/>
  <c r="BZ56" i="7"/>
  <c r="BZ62" i="7"/>
  <c r="BZ59" i="7"/>
  <c r="BZ60" i="7"/>
  <c r="BZ61" i="7"/>
  <c r="BZ68" i="7"/>
  <c r="BZ72" i="7"/>
  <c r="BZ57" i="7"/>
  <c r="BZ50" i="7"/>
  <c r="BZ55" i="7"/>
  <c r="BZ70" i="7"/>
  <c r="BZ63" i="7"/>
  <c r="BZ52" i="7"/>
  <c r="BZ49" i="7"/>
  <c r="BZ53" i="7"/>
  <c r="BZ58" i="7"/>
  <c r="BZ69" i="7"/>
  <c r="BZ71" i="7"/>
  <c r="BR52" i="7"/>
  <c r="BR59" i="7"/>
  <c r="BR71" i="7"/>
  <c r="BR51" i="7"/>
  <c r="BR58" i="7"/>
  <c r="BR72" i="7"/>
  <c r="BR61" i="7"/>
  <c r="BR68" i="7"/>
  <c r="BR54" i="7"/>
  <c r="BR62" i="7"/>
  <c r="BR50" i="7"/>
  <c r="BR55" i="7"/>
  <c r="BR56" i="7"/>
  <c r="BR57" i="7"/>
  <c r="BR63" i="7"/>
  <c r="BR70" i="7"/>
  <c r="BR69" i="7"/>
  <c r="BR53" i="7"/>
  <c r="BR60" i="7"/>
  <c r="BJ52" i="7"/>
  <c r="BJ59" i="7"/>
  <c r="BJ57" i="7"/>
  <c r="BJ72" i="7"/>
  <c r="BJ63" i="7"/>
  <c r="BJ69" i="7"/>
  <c r="BJ60" i="7"/>
  <c r="BJ51" i="7"/>
  <c r="BJ54" i="7"/>
  <c r="BJ62" i="7"/>
  <c r="BJ49" i="7"/>
  <c r="BJ70" i="7"/>
  <c r="BJ58" i="7"/>
  <c r="BJ68" i="7"/>
  <c r="BJ71" i="7"/>
  <c r="BJ53" i="7"/>
  <c r="BJ61" i="7"/>
  <c r="BB62" i="7"/>
  <c r="BB51" i="7"/>
  <c r="BB58" i="7"/>
  <c r="BB68" i="7"/>
  <c r="BB61" i="7"/>
  <c r="BB52" i="7"/>
  <c r="BB69" i="7"/>
  <c r="BB59" i="7"/>
  <c r="BB60" i="7"/>
  <c r="BB54" i="7"/>
  <c r="BB72" i="7"/>
  <c r="BB71" i="7"/>
  <c r="BB70" i="7"/>
  <c r="BB53" i="7"/>
  <c r="BB63" i="7"/>
  <c r="BB57" i="7"/>
  <c r="BB55" i="7"/>
  <c r="BB49" i="7"/>
  <c r="AT62" i="7"/>
  <c r="AT60" i="7"/>
  <c r="AT71" i="7"/>
  <c r="AT57" i="7"/>
  <c r="AT63" i="7"/>
  <c r="AT68" i="7"/>
  <c r="AT53" i="7"/>
  <c r="AT59" i="7"/>
  <c r="AT72" i="7"/>
  <c r="AT58" i="7"/>
  <c r="AT61" i="7"/>
  <c r="AT70" i="7"/>
  <c r="AT69" i="7"/>
  <c r="AT54" i="7"/>
  <c r="AT51" i="7"/>
  <c r="AT52" i="7"/>
  <c r="AT50" i="7"/>
  <c r="AT55" i="7"/>
  <c r="AT56" i="7"/>
  <c r="AT49" i="7"/>
  <c r="AL54" i="7"/>
  <c r="AL60" i="7"/>
  <c r="AL72" i="7"/>
  <c r="AL51" i="7"/>
  <c r="AL53" i="7"/>
  <c r="AL70" i="7"/>
  <c r="AL71" i="7"/>
  <c r="AL52" i="7"/>
  <c r="AL61" i="7"/>
  <c r="AL63" i="7"/>
  <c r="AL62" i="7"/>
  <c r="AL68" i="7"/>
  <c r="AL59" i="7"/>
  <c r="AL69" i="7"/>
  <c r="AL58" i="7"/>
  <c r="AL49" i="7"/>
  <c r="AL57" i="7"/>
  <c r="AD52" i="7"/>
  <c r="AD54" i="7"/>
  <c r="AD53" i="7"/>
  <c r="AD68" i="7"/>
  <c r="AD58" i="7"/>
  <c r="AD61" i="7"/>
  <c r="AD60" i="7"/>
  <c r="AD70" i="7"/>
  <c r="AD71" i="7"/>
  <c r="AD63" i="7"/>
  <c r="AD51" i="7"/>
  <c r="AD62" i="7"/>
  <c r="AD72" i="7"/>
  <c r="AD69" i="7"/>
  <c r="AD59" i="7"/>
  <c r="AD57" i="7"/>
  <c r="AD55" i="7"/>
  <c r="AD49" i="7"/>
  <c r="AD50" i="7"/>
  <c r="AD56" i="7"/>
  <c r="V63" i="7"/>
  <c r="V51" i="7"/>
  <c r="V72" i="7"/>
  <c r="V60" i="7"/>
  <c r="V53" i="7"/>
  <c r="V70" i="7"/>
  <c r="V62" i="7"/>
  <c r="V69" i="7"/>
  <c r="V52" i="7"/>
  <c r="V68" i="7"/>
  <c r="V71" i="7"/>
  <c r="V59" i="7"/>
  <c r="V54" i="7"/>
  <c r="V61" i="7"/>
  <c r="V58" i="7"/>
  <c r="V55" i="7"/>
  <c r="V49" i="7"/>
  <c r="V56" i="7"/>
  <c r="N68" i="7"/>
  <c r="T96" i="7" s="1"/>
  <c r="N63" i="7"/>
  <c r="T91" i="7" s="1"/>
  <c r="N54" i="7"/>
  <c r="T82" i="7" s="1"/>
  <c r="N70" i="7"/>
  <c r="T98" i="7" s="1"/>
  <c r="N52" i="7"/>
  <c r="T80" i="7" s="1"/>
  <c r="N53" i="7"/>
  <c r="T81" i="7" s="1"/>
  <c r="N69" i="7"/>
  <c r="T97" i="7" s="1"/>
  <c r="N62" i="7"/>
  <c r="T90" i="7" s="1"/>
  <c r="N58" i="7"/>
  <c r="T86" i="7" s="1"/>
  <c r="N51" i="7"/>
  <c r="T79" i="7" s="1"/>
  <c r="N71" i="7"/>
  <c r="T99" i="7" s="1"/>
  <c r="N72" i="7"/>
  <c r="T100" i="7" s="1"/>
  <c r="N61" i="7"/>
  <c r="T89" i="7" s="1"/>
  <c r="N60" i="7"/>
  <c r="T88" i="7" s="1"/>
  <c r="N59" i="7"/>
  <c r="T87" i="7" s="1"/>
  <c r="N56" i="7"/>
  <c r="T84" i="7" s="1"/>
  <c r="N57" i="7"/>
  <c r="T85" i="7" s="1"/>
  <c r="CH50" i="7"/>
  <c r="BT57" i="7"/>
  <c r="CZ49" i="7"/>
  <c r="AE50" i="7"/>
  <c r="AY49" i="7"/>
  <c r="K56" i="7"/>
  <c r="Q84" i="7" s="1"/>
  <c r="BX56" i="7"/>
  <c r="AR55" i="7"/>
  <c r="AR57" i="7"/>
  <c r="CE57" i="7"/>
  <c r="CP56" i="7"/>
  <c r="CW71" i="7"/>
  <c r="CW63" i="7"/>
  <c r="CW54" i="7"/>
  <c r="CW61" i="7"/>
  <c r="CW60" i="7"/>
  <c r="CW55" i="7"/>
  <c r="CW50" i="7"/>
  <c r="CW56" i="7"/>
  <c r="CW69" i="7"/>
  <c r="CW72" i="7"/>
  <c r="CW49" i="7"/>
  <c r="CW70" i="7"/>
  <c r="CW59" i="7"/>
  <c r="CW52" i="7"/>
  <c r="CW68" i="7"/>
  <c r="CW58" i="7"/>
  <c r="CW51" i="7"/>
  <c r="CO51" i="7"/>
  <c r="CO69" i="7"/>
  <c r="CO61" i="7"/>
  <c r="CO62" i="7"/>
  <c r="CO70" i="7"/>
  <c r="CO59" i="7"/>
  <c r="CO53" i="7"/>
  <c r="CO63" i="7"/>
  <c r="CO56" i="7"/>
  <c r="CO71" i="7"/>
  <c r="CO57" i="7"/>
  <c r="CO49" i="7"/>
  <c r="CO58" i="7"/>
  <c r="CO72" i="7"/>
  <c r="CO68" i="7"/>
  <c r="CO60" i="7"/>
  <c r="CO54" i="7"/>
  <c r="CO52" i="7"/>
  <c r="CO50" i="7"/>
  <c r="CG62" i="7"/>
  <c r="CG54" i="7"/>
  <c r="CG58" i="7"/>
  <c r="CG71" i="7"/>
  <c r="CG51" i="7"/>
  <c r="CG69" i="7"/>
  <c r="CG61" i="7"/>
  <c r="CG55" i="7"/>
  <c r="CG56" i="7"/>
  <c r="CG70" i="7"/>
  <c r="CG50" i="7"/>
  <c r="CG60" i="7"/>
  <c r="CG68" i="7"/>
  <c r="CG57" i="7"/>
  <c r="CG59" i="7"/>
  <c r="CG52" i="7"/>
  <c r="CG72" i="7"/>
  <c r="CG49" i="7"/>
  <c r="CG53" i="7"/>
  <c r="CG63" i="7"/>
  <c r="BY60" i="7"/>
  <c r="BY72" i="7"/>
  <c r="BY54" i="7"/>
  <c r="BY62" i="7"/>
  <c r="BY68" i="7"/>
  <c r="BY70" i="7"/>
  <c r="BY51" i="7"/>
  <c r="BY69" i="7"/>
  <c r="BY71" i="7"/>
  <c r="BY57" i="7"/>
  <c r="BY58" i="7"/>
  <c r="BY61" i="7"/>
  <c r="BY63" i="7"/>
  <c r="BY50" i="7"/>
  <c r="BY53" i="7"/>
  <c r="BY52" i="7"/>
  <c r="BY59" i="7"/>
  <c r="BY49" i="7"/>
  <c r="BQ61" i="7"/>
  <c r="BQ72" i="7"/>
  <c r="BQ68" i="7"/>
  <c r="BQ63" i="7"/>
  <c r="BQ71" i="7"/>
  <c r="BQ51" i="7"/>
  <c r="BQ53" i="7"/>
  <c r="BQ50" i="7"/>
  <c r="BQ70" i="7"/>
  <c r="BQ57" i="7"/>
  <c r="BQ56" i="7"/>
  <c r="BQ54" i="7"/>
  <c r="BQ52" i="7"/>
  <c r="BQ62" i="7"/>
  <c r="BQ60" i="7"/>
  <c r="BQ69" i="7"/>
  <c r="BQ58" i="7"/>
  <c r="BQ59" i="7"/>
  <c r="BQ49" i="7"/>
  <c r="BI63" i="7"/>
  <c r="BI59" i="7"/>
  <c r="BI68" i="7"/>
  <c r="BI69" i="7"/>
  <c r="BI60" i="7"/>
  <c r="BI54" i="7"/>
  <c r="BI72" i="7"/>
  <c r="BI71" i="7"/>
  <c r="BI51" i="7"/>
  <c r="BI49" i="7"/>
  <c r="BI53" i="7"/>
  <c r="BI61" i="7"/>
  <c r="BI62" i="7"/>
  <c r="BI70" i="7"/>
  <c r="BI58" i="7"/>
  <c r="BI52" i="7"/>
  <c r="BI57" i="7"/>
  <c r="BA70" i="7"/>
  <c r="BA69" i="7"/>
  <c r="BA54" i="7"/>
  <c r="BA62" i="7"/>
  <c r="BA60" i="7"/>
  <c r="BA61" i="7"/>
  <c r="BA52" i="7"/>
  <c r="BA58" i="7"/>
  <c r="BA51" i="7"/>
  <c r="BA59" i="7"/>
  <c r="BA68" i="7"/>
  <c r="BA71" i="7"/>
  <c r="BA53" i="7"/>
  <c r="BA72" i="7"/>
  <c r="BA63" i="7"/>
  <c r="BA49" i="7"/>
  <c r="BA55" i="7"/>
  <c r="AS70" i="7"/>
  <c r="AS63" i="7"/>
  <c r="AS52" i="7"/>
  <c r="AS62" i="7"/>
  <c r="AS68" i="7"/>
  <c r="AS53" i="7"/>
  <c r="AS69" i="7"/>
  <c r="AS71" i="7"/>
  <c r="AS72" i="7"/>
  <c r="AS61" i="7"/>
  <c r="AS60" i="7"/>
  <c r="AS59" i="7"/>
  <c r="AS58" i="7"/>
  <c r="AS54" i="7"/>
  <c r="AS51" i="7"/>
  <c r="AS49" i="7"/>
  <c r="AS57" i="7"/>
  <c r="AS56" i="7"/>
  <c r="AS55" i="7"/>
  <c r="AK70" i="7"/>
  <c r="AK69" i="7"/>
  <c r="AK59" i="7"/>
  <c r="AK60" i="7"/>
  <c r="AK68" i="7"/>
  <c r="AK52" i="7"/>
  <c r="AK61" i="7"/>
  <c r="AK51" i="7"/>
  <c r="AK58" i="7"/>
  <c r="AK71" i="7"/>
  <c r="AK54" i="7"/>
  <c r="AK63" i="7"/>
  <c r="AK72" i="7"/>
  <c r="AK53" i="7"/>
  <c r="AK62" i="7"/>
  <c r="AK49" i="7"/>
  <c r="AK56" i="7"/>
  <c r="AC61" i="7"/>
  <c r="AC62" i="7"/>
  <c r="AC71" i="7"/>
  <c r="AC69" i="7"/>
  <c r="AC51" i="7"/>
  <c r="AC68" i="7"/>
  <c r="AC72" i="7"/>
  <c r="AC63" i="7"/>
  <c r="AC54" i="7"/>
  <c r="AC60" i="7"/>
  <c r="AC49" i="7"/>
  <c r="AC53" i="7"/>
  <c r="AC70" i="7"/>
  <c r="AC52" i="7"/>
  <c r="AC58" i="7"/>
  <c r="AC59" i="7"/>
  <c r="U70" i="7"/>
  <c r="U58" i="7"/>
  <c r="U53" i="7"/>
  <c r="U62" i="7"/>
  <c r="U72" i="7"/>
  <c r="U63" i="7"/>
  <c r="U68" i="7"/>
  <c r="U61" i="7"/>
  <c r="U52" i="7"/>
  <c r="U59" i="7"/>
  <c r="U71" i="7"/>
  <c r="U69" i="7"/>
  <c r="U60" i="7"/>
  <c r="U51" i="7"/>
  <c r="U54" i="7"/>
  <c r="U55" i="7"/>
  <c r="U56" i="7"/>
  <c r="M70" i="7"/>
  <c r="S98" i="7" s="1"/>
  <c r="M63" i="7"/>
  <c r="S91" i="7" s="1"/>
  <c r="M61" i="7"/>
  <c r="S89" i="7" s="1"/>
  <c r="M62" i="7"/>
  <c r="S90" i="7" s="1"/>
  <c r="M59" i="7"/>
  <c r="S87" i="7" s="1"/>
  <c r="M58" i="7"/>
  <c r="S86" i="7" s="1"/>
  <c r="M51" i="7"/>
  <c r="S79" i="7" s="1"/>
  <c r="M69" i="7"/>
  <c r="S97" i="7" s="1"/>
  <c r="M68" i="7"/>
  <c r="S96" i="7" s="1"/>
  <c r="M72" i="7"/>
  <c r="S100" i="7" s="1"/>
  <c r="M71" i="7"/>
  <c r="S99" i="7" s="1"/>
  <c r="M54" i="7"/>
  <c r="S82" i="7" s="1"/>
  <c r="M52" i="7"/>
  <c r="S80" i="7" s="1"/>
  <c r="M53" i="7"/>
  <c r="S81" i="7" s="1"/>
  <c r="M60" i="7"/>
  <c r="S88" i="7" s="1"/>
  <c r="M57" i="7"/>
  <c r="S85" i="7" s="1"/>
  <c r="M50" i="7"/>
  <c r="S78" i="7" s="1"/>
  <c r="M56" i="7"/>
  <c r="S84" i="7" s="1"/>
  <c r="AJ50" i="7"/>
  <c r="CL57" i="7"/>
  <c r="CP49" i="7"/>
  <c r="CX50" i="7"/>
  <c r="CQ57" i="7"/>
  <c r="BG49" i="7"/>
  <c r="BV50" i="7"/>
  <c r="CW57" i="7"/>
  <c r="BR49" i="7"/>
  <c r="J55" i="7"/>
  <c r="P83" i="7" s="1"/>
  <c r="AQ56" i="7"/>
  <c r="AE55" i="7"/>
  <c r="CX72" i="7"/>
  <c r="CV60" i="7"/>
  <c r="CV62" i="7"/>
  <c r="CV63" i="7"/>
  <c r="CV52" i="7"/>
  <c r="CV70" i="7"/>
  <c r="CV58" i="7"/>
  <c r="CV71" i="7"/>
  <c r="CV51" i="7"/>
  <c r="CV57" i="7"/>
  <c r="CV59" i="7"/>
  <c r="CV68" i="7"/>
  <c r="CV53" i="7"/>
  <c r="CV61" i="7"/>
  <c r="CV69" i="7"/>
  <c r="CV55" i="7"/>
  <c r="CV50" i="7"/>
  <c r="AZ68" i="7"/>
  <c r="AZ72" i="7"/>
  <c r="AZ58" i="7"/>
  <c r="AZ60" i="7"/>
  <c r="AZ55" i="7"/>
  <c r="AZ70" i="7"/>
  <c r="AZ63" i="7"/>
  <c r="AZ51" i="7"/>
  <c r="AZ71" i="7"/>
  <c r="AZ61" i="7"/>
  <c r="AZ53" i="7"/>
  <c r="AZ69" i="7"/>
  <c r="AZ52" i="7"/>
  <c r="AZ62" i="7"/>
  <c r="AZ59" i="7"/>
  <c r="AZ54" i="7"/>
  <c r="AZ50" i="7"/>
  <c r="AZ56" i="7"/>
  <c r="AC70" i="1"/>
  <c r="AC49" i="1"/>
  <c r="AC50" i="1"/>
  <c r="AC55" i="1"/>
  <c r="V50" i="7"/>
  <c r="BA50" i="7"/>
  <c r="U57" i="7"/>
  <c r="CL49" i="7"/>
  <c r="L56" i="7"/>
  <c r="R84" i="7" s="1"/>
  <c r="AZ49" i="7"/>
  <c r="AL55" i="7"/>
  <c r="BC56" i="7"/>
  <c r="CZ55" i="7"/>
  <c r="BY56" i="7"/>
  <c r="CY50" i="7"/>
  <c r="N50" i="7"/>
  <c r="T78" i="7" s="1"/>
  <c r="CW53" i="7"/>
  <c r="CN54" i="7"/>
  <c r="CN69" i="7"/>
  <c r="CN63" i="7"/>
  <c r="CN58" i="7"/>
  <c r="CN71" i="7"/>
  <c r="CN68" i="7"/>
  <c r="CN53" i="7"/>
  <c r="CN51" i="7"/>
  <c r="CN59" i="7"/>
  <c r="CN55" i="7"/>
  <c r="CN57" i="7"/>
  <c r="CN61" i="7"/>
  <c r="CN56" i="7"/>
  <c r="CN60" i="7"/>
  <c r="CN72" i="7"/>
  <c r="CN49" i="7"/>
  <c r="CN52" i="7"/>
  <c r="CN62" i="7"/>
  <c r="CN70" i="7"/>
  <c r="CF54" i="7"/>
  <c r="CF60" i="7"/>
  <c r="CF56" i="7"/>
  <c r="CF49" i="7"/>
  <c r="CF63" i="7"/>
  <c r="CF62" i="7"/>
  <c r="CF58" i="7"/>
  <c r="CF52" i="7"/>
  <c r="CF71" i="7"/>
  <c r="CF51" i="7"/>
  <c r="CF72" i="7"/>
  <c r="CF50" i="7"/>
  <c r="CF53" i="7"/>
  <c r="CF69" i="7"/>
  <c r="CF70" i="7"/>
  <c r="CF61" i="7"/>
  <c r="CF57" i="7"/>
  <c r="CF59" i="7"/>
  <c r="CF68" i="7"/>
  <c r="BX72" i="7"/>
  <c r="BX51" i="7"/>
  <c r="BX54" i="7"/>
  <c r="BX69" i="7"/>
  <c r="BX71" i="7"/>
  <c r="BX52" i="7"/>
  <c r="BX68" i="7"/>
  <c r="BX58" i="7"/>
  <c r="BX63" i="7"/>
  <c r="BX62" i="7"/>
  <c r="BX53" i="7"/>
  <c r="BX59" i="7"/>
  <c r="BX60" i="7"/>
  <c r="BX61" i="7"/>
  <c r="BX70" i="7"/>
  <c r="BX57" i="7"/>
  <c r="BX55" i="7"/>
  <c r="BP61" i="7"/>
  <c r="BP60" i="7"/>
  <c r="BP58" i="7"/>
  <c r="BP51" i="7"/>
  <c r="BP59" i="7"/>
  <c r="BP72" i="7"/>
  <c r="BP53" i="7"/>
  <c r="BP71" i="7"/>
  <c r="BP63" i="7"/>
  <c r="BP54" i="7"/>
  <c r="BP57" i="7"/>
  <c r="BP52" i="7"/>
  <c r="BP55" i="7"/>
  <c r="BP56" i="7"/>
  <c r="BP70" i="7"/>
  <c r="BP49" i="7"/>
  <c r="BP68" i="7"/>
  <c r="BP69" i="7"/>
  <c r="BP62" i="7"/>
  <c r="BH70" i="7"/>
  <c r="BH52" i="7"/>
  <c r="BH69" i="7"/>
  <c r="BH60" i="7"/>
  <c r="BH58" i="7"/>
  <c r="BH72" i="7"/>
  <c r="BH59" i="7"/>
  <c r="BH68" i="7"/>
  <c r="BH51" i="7"/>
  <c r="BH53" i="7"/>
  <c r="BH71" i="7"/>
  <c r="BH63" i="7"/>
  <c r="BH61" i="7"/>
  <c r="BH62" i="7"/>
  <c r="BH54" i="7"/>
  <c r="BH49" i="7"/>
  <c r="CO55" i="7"/>
  <c r="V57" i="7"/>
  <c r="K50" i="7"/>
  <c r="Q78" i="7" s="1"/>
  <c r="O55" i="7"/>
  <c r="CX56" i="7"/>
  <c r="BJ50" i="7"/>
  <c r="AK57" i="7"/>
  <c r="CV56" i="7"/>
  <c r="CW62" i="7"/>
  <c r="AB72" i="7"/>
  <c r="AB63" i="7"/>
  <c r="AB60" i="7"/>
  <c r="AB53" i="7"/>
  <c r="AB62" i="7"/>
  <c r="AB58" i="7"/>
  <c r="AB68" i="7"/>
  <c r="AB61" i="7"/>
  <c r="AB70" i="7"/>
  <c r="AB54" i="7"/>
  <c r="AB52" i="7"/>
  <c r="AB51" i="7"/>
  <c r="AB69" i="7"/>
  <c r="AB59" i="7"/>
  <c r="AB71" i="7"/>
  <c r="AB56" i="7"/>
  <c r="AB50" i="7"/>
  <c r="AB55" i="7"/>
  <c r="AB49" i="7"/>
  <c r="AA51" i="7"/>
  <c r="AA54" i="7"/>
  <c r="AA72" i="7"/>
  <c r="AA70" i="7"/>
  <c r="AA58" i="7"/>
  <c r="AA63" i="7"/>
  <c r="AA69" i="7"/>
  <c r="AA62" i="7"/>
  <c r="AA52" i="7"/>
  <c r="AA50" i="7"/>
  <c r="AA68" i="7"/>
  <c r="AA61" i="7"/>
  <c r="AA59" i="7"/>
  <c r="AA71" i="7"/>
  <c r="AA53" i="7"/>
  <c r="AA60" i="7"/>
  <c r="AA56" i="7"/>
  <c r="AA49" i="7"/>
  <c r="AA55" i="7"/>
  <c r="S62" i="7"/>
  <c r="S54" i="7"/>
  <c r="S59" i="7"/>
  <c r="S70" i="7"/>
  <c r="S69" i="7"/>
  <c r="S51" i="7"/>
  <c r="S60" i="7"/>
  <c r="S58" i="7"/>
  <c r="S53" i="7"/>
  <c r="S61" i="7"/>
  <c r="S72" i="7"/>
  <c r="S52" i="7"/>
  <c r="S71" i="7"/>
  <c r="S63" i="7"/>
  <c r="S68" i="7"/>
  <c r="S50" i="7"/>
  <c r="S57" i="7"/>
  <c r="S56" i="7"/>
  <c r="S49" i="7"/>
  <c r="S55" i="7"/>
  <c r="BV58" i="7"/>
  <c r="BV63" i="7"/>
  <c r="BV72" i="7"/>
  <c r="BV70" i="7"/>
  <c r="BV53" i="7"/>
  <c r="BV69" i="7"/>
  <c r="BV54" i="7"/>
  <c r="BV71" i="7"/>
  <c r="BV61" i="7"/>
  <c r="BV52" i="7"/>
  <c r="BV57" i="7"/>
  <c r="BV51" i="7"/>
  <c r="BV60" i="7"/>
  <c r="BV56" i="7"/>
  <c r="BV59" i="7"/>
  <c r="BV62" i="7"/>
  <c r="BV68" i="7"/>
  <c r="BV55" i="7"/>
  <c r="BA57" i="7"/>
  <c r="CV54" i="7"/>
  <c r="AJ51" i="7"/>
  <c r="AJ61" i="7"/>
  <c r="AJ70" i="7"/>
  <c r="AJ54" i="7"/>
  <c r="AJ71" i="7"/>
  <c r="AJ53" i="7"/>
  <c r="AJ59" i="7"/>
  <c r="AJ58" i="7"/>
  <c r="AJ63" i="7"/>
  <c r="AJ72" i="7"/>
  <c r="AJ52" i="7"/>
  <c r="AJ69" i="7"/>
  <c r="AJ60" i="7"/>
  <c r="AJ68" i="7"/>
  <c r="AJ62" i="7"/>
  <c r="AJ49" i="7"/>
  <c r="AJ56" i="7"/>
  <c r="L71" i="7"/>
  <c r="R99" i="7" s="1"/>
  <c r="L53" i="7"/>
  <c r="R81" i="7" s="1"/>
  <c r="L52" i="7"/>
  <c r="R80" i="7" s="1"/>
  <c r="L70" i="7"/>
  <c r="R98" i="7" s="1"/>
  <c r="L51" i="7"/>
  <c r="R79" i="7" s="1"/>
  <c r="L60" i="7"/>
  <c r="R88" i="7" s="1"/>
  <c r="L61" i="7"/>
  <c r="R89" i="7" s="1"/>
  <c r="L69" i="7"/>
  <c r="R97" i="7" s="1"/>
  <c r="L68" i="7"/>
  <c r="R96" i="7" s="1"/>
  <c r="L58" i="7"/>
  <c r="R86" i="7" s="1"/>
  <c r="L54" i="7"/>
  <c r="R82" i="7" s="1"/>
  <c r="L59" i="7"/>
  <c r="R87" i="7" s="1"/>
  <c r="L62" i="7"/>
  <c r="R90" i="7" s="1"/>
  <c r="L72" i="7"/>
  <c r="R100" i="7" s="1"/>
  <c r="L63" i="7"/>
  <c r="R91" i="7" s="1"/>
  <c r="L57" i="7"/>
  <c r="R85" i="7" s="1"/>
  <c r="L55" i="7"/>
  <c r="R83" i="7" s="1"/>
  <c r="CE51" i="7"/>
  <c r="CE70" i="7"/>
  <c r="CE58" i="7"/>
  <c r="CE52" i="7"/>
  <c r="CE59" i="7"/>
  <c r="CE71" i="7"/>
  <c r="CE68" i="7"/>
  <c r="CE72" i="7"/>
  <c r="CE62" i="7"/>
  <c r="CE50" i="7"/>
  <c r="CE61" i="7"/>
  <c r="CE55" i="7"/>
  <c r="CE69" i="7"/>
  <c r="CE60" i="7"/>
  <c r="CE53" i="7"/>
  <c r="CE54" i="7"/>
  <c r="CE63" i="7"/>
  <c r="CE49" i="7"/>
  <c r="K70" i="7"/>
  <c r="Q98" i="7" s="1"/>
  <c r="K51" i="7"/>
  <c r="Q79" i="7" s="1"/>
  <c r="K60" i="7"/>
  <c r="Q88" i="7" s="1"/>
  <c r="K68" i="7"/>
  <c r="Q96" i="7" s="1"/>
  <c r="K62" i="7"/>
  <c r="Q90" i="7" s="1"/>
  <c r="K58" i="7"/>
  <c r="Q86" i="7" s="1"/>
  <c r="K71" i="7"/>
  <c r="Q99" i="7" s="1"/>
  <c r="K63" i="7"/>
  <c r="Q91" i="7" s="1"/>
  <c r="K53" i="7"/>
  <c r="Q81" i="7" s="1"/>
  <c r="K61" i="7"/>
  <c r="Q89" i="7" s="1"/>
  <c r="K69" i="7"/>
  <c r="Q97" i="7" s="1"/>
  <c r="K54" i="7"/>
  <c r="Q82" i="7" s="1"/>
  <c r="K52" i="7"/>
  <c r="Q80" i="7" s="1"/>
  <c r="K59" i="7"/>
  <c r="Q87" i="7" s="1"/>
  <c r="K72" i="7"/>
  <c r="Q100" i="7" s="1"/>
  <c r="K55" i="7"/>
  <c r="Q83" i="7" s="1"/>
  <c r="K57" i="7"/>
  <c r="Q85" i="7" s="1"/>
  <c r="DB68" i="7"/>
  <c r="DB58" i="7"/>
  <c r="DB52" i="7"/>
  <c r="DB62" i="7"/>
  <c r="DB63" i="7"/>
  <c r="DB70" i="7"/>
  <c r="DB61" i="7"/>
  <c r="DB55" i="7"/>
  <c r="DB50" i="7"/>
  <c r="DB49" i="7"/>
  <c r="DB53" i="7"/>
  <c r="DB54" i="7"/>
  <c r="DB71" i="7"/>
  <c r="DB69" i="7"/>
  <c r="DB56" i="7"/>
  <c r="DB60" i="7"/>
  <c r="DB59" i="7"/>
  <c r="CT72" i="7"/>
  <c r="CT52" i="7"/>
  <c r="CT63" i="7"/>
  <c r="CT70" i="7"/>
  <c r="CT62" i="7"/>
  <c r="CT68" i="7"/>
  <c r="CT54" i="7"/>
  <c r="CT53" i="7"/>
  <c r="CT61" i="7"/>
  <c r="CT49" i="7"/>
  <c r="CT56" i="7"/>
  <c r="CT58" i="7"/>
  <c r="CT69" i="7"/>
  <c r="CT60" i="7"/>
  <c r="CT71" i="7"/>
  <c r="CT59" i="7"/>
  <c r="CT51" i="7"/>
  <c r="CT57" i="7"/>
  <c r="CL59" i="7"/>
  <c r="CL62" i="7"/>
  <c r="CL69" i="7"/>
  <c r="CL72" i="7"/>
  <c r="CL71" i="7"/>
  <c r="CL60" i="7"/>
  <c r="CL53" i="7"/>
  <c r="CL63" i="7"/>
  <c r="CL50" i="7"/>
  <c r="CL68" i="7"/>
  <c r="CL61" i="7"/>
  <c r="CL58" i="7"/>
  <c r="CL51" i="7"/>
  <c r="CL70" i="7"/>
  <c r="CL55" i="7"/>
  <c r="CL52" i="7"/>
  <c r="CL54" i="7"/>
  <c r="CD71" i="7"/>
  <c r="CD68" i="7"/>
  <c r="CD60" i="7"/>
  <c r="CD51" i="7"/>
  <c r="CD70" i="7"/>
  <c r="CD58" i="7"/>
  <c r="CD72" i="7"/>
  <c r="CD63" i="7"/>
  <c r="CD61" i="7"/>
  <c r="CD59" i="7"/>
  <c r="CD55" i="7"/>
  <c r="CD56" i="7"/>
  <c r="CD69" i="7"/>
  <c r="CD50" i="7"/>
  <c r="CD54" i="7"/>
  <c r="CD52" i="7"/>
  <c r="CD62" i="7"/>
  <c r="CD53" i="7"/>
  <c r="CD49" i="7"/>
  <c r="BN52" i="7"/>
  <c r="BN58" i="7"/>
  <c r="BN53" i="7"/>
  <c r="BN70" i="7"/>
  <c r="BN71" i="7"/>
  <c r="BN68" i="7"/>
  <c r="BN61" i="7"/>
  <c r="BN63" i="7"/>
  <c r="BN54" i="7"/>
  <c r="BN60" i="7"/>
  <c r="BN56" i="7"/>
  <c r="BN55" i="7"/>
  <c r="BN50" i="7"/>
  <c r="BN51" i="7"/>
  <c r="BN72" i="7"/>
  <c r="BN49" i="7"/>
  <c r="BN57" i="7"/>
  <c r="BN62" i="7"/>
  <c r="BN69" i="7"/>
  <c r="BN59" i="7"/>
  <c r="BF69" i="7"/>
  <c r="BF63" i="7"/>
  <c r="BF71" i="7"/>
  <c r="BF70" i="7"/>
  <c r="BF54" i="7"/>
  <c r="BF51" i="7"/>
  <c r="BF52" i="7"/>
  <c r="BF62" i="7"/>
  <c r="BF68" i="7"/>
  <c r="BF60" i="7"/>
  <c r="BF53" i="7"/>
  <c r="BF59" i="7"/>
  <c r="BF50" i="7"/>
  <c r="BF58" i="7"/>
  <c r="BF57" i="7"/>
  <c r="BF49" i="7"/>
  <c r="BF61" i="7"/>
  <c r="BF72" i="7"/>
  <c r="BF55" i="7"/>
  <c r="BF56" i="7"/>
  <c r="AX59" i="7"/>
  <c r="AX52" i="7"/>
  <c r="AX70" i="7"/>
  <c r="AX54" i="7"/>
  <c r="AX61" i="7"/>
  <c r="AX62" i="7"/>
  <c r="AX72" i="7"/>
  <c r="AX58" i="7"/>
  <c r="AX63" i="7"/>
  <c r="AX71" i="7"/>
  <c r="AX68" i="7"/>
  <c r="AX53" i="7"/>
  <c r="AX69" i="7"/>
  <c r="AX60" i="7"/>
  <c r="AX51" i="7"/>
  <c r="AX49" i="7"/>
  <c r="AX57" i="7"/>
  <c r="AX50" i="7"/>
  <c r="AP54" i="7"/>
  <c r="AP63" i="7"/>
  <c r="AP52" i="7"/>
  <c r="AP72" i="7"/>
  <c r="AP68" i="7"/>
  <c r="AP71" i="7"/>
  <c r="AP70" i="7"/>
  <c r="AP62" i="7"/>
  <c r="AP69" i="7"/>
  <c r="AP58" i="7"/>
  <c r="AP60" i="7"/>
  <c r="AP51" i="7"/>
  <c r="AP61" i="7"/>
  <c r="AP53" i="7"/>
  <c r="AP59" i="7"/>
  <c r="AP49" i="7"/>
  <c r="AP50" i="7"/>
  <c r="AP56" i="7"/>
  <c r="AP55" i="7"/>
  <c r="AH58" i="7"/>
  <c r="AH72" i="7"/>
  <c r="AH60" i="7"/>
  <c r="AH71" i="7"/>
  <c r="AH69" i="7"/>
  <c r="AH63" i="7"/>
  <c r="AH53" i="7"/>
  <c r="AH54" i="7"/>
  <c r="AH62" i="7"/>
  <c r="AH52" i="7"/>
  <c r="AH70" i="7"/>
  <c r="AH61" i="7"/>
  <c r="AH51" i="7"/>
  <c r="AH59" i="7"/>
  <c r="AH68" i="7"/>
  <c r="AH50" i="7"/>
  <c r="AH55" i="7"/>
  <c r="AH57" i="7"/>
  <c r="AH49" i="7"/>
  <c r="AH56" i="7"/>
  <c r="Z53" i="7"/>
  <c r="Z54" i="7"/>
  <c r="Z71" i="7"/>
  <c r="Z62" i="7"/>
  <c r="Z51" i="7"/>
  <c r="Z61" i="7"/>
  <c r="Z68" i="7"/>
  <c r="Z70" i="7"/>
  <c r="Z72" i="7"/>
  <c r="Z63" i="7"/>
  <c r="Z52" i="7"/>
  <c r="Z58" i="7"/>
  <c r="Z60" i="7"/>
  <c r="Z59" i="7"/>
  <c r="Z69" i="7"/>
  <c r="Z57" i="7"/>
  <c r="Z50" i="7"/>
  <c r="Z56" i="7"/>
  <c r="R62" i="7"/>
  <c r="R60" i="7"/>
  <c r="R52" i="7"/>
  <c r="R61" i="7"/>
  <c r="R72" i="7"/>
  <c r="R51" i="7"/>
  <c r="R63" i="7"/>
  <c r="R58" i="7"/>
  <c r="R69" i="7"/>
  <c r="R71" i="7"/>
  <c r="R68" i="7"/>
  <c r="R53" i="7"/>
  <c r="R54" i="7"/>
  <c r="R70" i="7"/>
  <c r="R59" i="7"/>
  <c r="R49" i="7"/>
  <c r="R50" i="7"/>
  <c r="R57" i="7"/>
  <c r="J62" i="7"/>
  <c r="P90" i="7" s="1"/>
  <c r="J60" i="7"/>
  <c r="P88" i="7" s="1"/>
  <c r="J63" i="7"/>
  <c r="P91" i="7" s="1"/>
  <c r="J59" i="7"/>
  <c r="P87" i="7" s="1"/>
  <c r="J71" i="7"/>
  <c r="P99" i="7" s="1"/>
  <c r="J68" i="7"/>
  <c r="P96" i="7" s="1"/>
  <c r="J69" i="7"/>
  <c r="P97" i="7" s="1"/>
  <c r="J52" i="7"/>
  <c r="P80" i="7" s="1"/>
  <c r="J51" i="7"/>
  <c r="P79" i="7" s="1"/>
  <c r="J61" i="7"/>
  <c r="P89" i="7" s="1"/>
  <c r="J53" i="7"/>
  <c r="P81" i="7" s="1"/>
  <c r="J72" i="7"/>
  <c r="P100" i="7" s="1"/>
  <c r="J54" i="7"/>
  <c r="P82" i="7" s="1"/>
  <c r="J70" i="7"/>
  <c r="P98" i="7" s="1"/>
  <c r="J58" i="7"/>
  <c r="P86" i="7" s="1"/>
  <c r="J56" i="7"/>
  <c r="P84" i="7" s="1"/>
  <c r="J50" i="7"/>
  <c r="P78" i="7" s="1"/>
  <c r="J57" i="7"/>
  <c r="P85" i="7" s="1"/>
  <c r="CI49" i="7"/>
  <c r="BA56" i="7"/>
  <c r="U50" i="7"/>
  <c r="BH57" i="7"/>
  <c r="BH50" i="7"/>
  <c r="N55" i="7"/>
  <c r="T83" i="7" s="1"/>
  <c r="AZ57" i="7"/>
  <c r="BH55" i="7"/>
  <c r="BB50" i="7"/>
  <c r="BI55" i="7"/>
  <c r="CP57" i="7"/>
  <c r="Z55" i="7"/>
  <c r="AL56" i="7"/>
  <c r="CV49" i="7"/>
  <c r="BI50" i="7"/>
  <c r="AX55" i="7"/>
  <c r="AS50" i="7"/>
  <c r="AC57" i="7"/>
  <c r="AL50" i="7"/>
  <c r="BJ56" i="7"/>
  <c r="CN50" i="7"/>
  <c r="DB72" i="7"/>
  <c r="CV72" i="7"/>
  <c r="AR63" i="7"/>
  <c r="AR69" i="7"/>
  <c r="AR51" i="7"/>
  <c r="AR71" i="7"/>
  <c r="AR61" i="7"/>
  <c r="AR70" i="7"/>
  <c r="AR62" i="7"/>
  <c r="AR59" i="7"/>
  <c r="AR53" i="7"/>
  <c r="AR72" i="7"/>
  <c r="AR54" i="7"/>
  <c r="AR52" i="7"/>
  <c r="AR60" i="7"/>
  <c r="AR68" i="7"/>
  <c r="AR58" i="7"/>
  <c r="AR50" i="7"/>
  <c r="AR49" i="7"/>
  <c r="T63" i="7"/>
  <c r="T68" i="7"/>
  <c r="T71" i="7"/>
  <c r="T60" i="7"/>
  <c r="T61" i="7"/>
  <c r="T54" i="7"/>
  <c r="T53" i="7"/>
  <c r="T51" i="7"/>
  <c r="T70" i="7"/>
  <c r="T58" i="7"/>
  <c r="T62" i="7"/>
  <c r="T69" i="7"/>
  <c r="T72" i="7"/>
  <c r="T59" i="7"/>
  <c r="T52" i="7"/>
  <c r="T56" i="7"/>
  <c r="T49" i="7"/>
  <c r="T57" i="7"/>
  <c r="T55" i="7"/>
  <c r="CU61" i="7"/>
  <c r="CU71" i="7"/>
  <c r="CU54" i="7"/>
  <c r="CU63" i="7"/>
  <c r="CU59" i="7"/>
  <c r="CU51" i="7"/>
  <c r="CU70" i="7"/>
  <c r="CU68" i="7"/>
  <c r="CU50" i="7"/>
  <c r="CU55" i="7"/>
  <c r="CU52" i="7"/>
  <c r="CU60" i="7"/>
  <c r="CU72" i="7"/>
  <c r="CU53" i="7"/>
  <c r="CU62" i="7"/>
  <c r="CU58" i="7"/>
  <c r="CU69" i="7"/>
  <c r="CU56" i="7"/>
  <c r="CU49" i="7"/>
  <c r="CM53" i="7"/>
  <c r="CM71" i="7"/>
  <c r="CM69" i="7"/>
  <c r="CM52" i="7"/>
  <c r="CM68" i="7"/>
  <c r="CM59" i="7"/>
  <c r="CM72" i="7"/>
  <c r="CM63" i="7"/>
  <c r="CM55" i="7"/>
  <c r="CM49" i="7"/>
  <c r="CM62" i="7"/>
  <c r="CM61" i="7"/>
  <c r="CM57" i="7"/>
  <c r="CM70" i="7"/>
  <c r="CM58" i="7"/>
  <c r="CM60" i="7"/>
  <c r="CM56" i="7"/>
  <c r="CM54" i="7"/>
  <c r="CM51" i="7"/>
  <c r="BW70" i="7"/>
  <c r="BW54" i="7"/>
  <c r="BW60" i="7"/>
  <c r="BW68" i="7"/>
  <c r="BW71" i="7"/>
  <c r="BW61" i="7"/>
  <c r="BW55" i="7"/>
  <c r="BW57" i="7"/>
  <c r="BW59" i="7"/>
  <c r="BW56" i="7"/>
  <c r="BW49" i="7"/>
  <c r="BW51" i="7"/>
  <c r="BW72" i="7"/>
  <c r="BW52" i="7"/>
  <c r="BW69" i="7"/>
  <c r="BW58" i="7"/>
  <c r="BW53" i="7"/>
  <c r="BW62" i="7"/>
  <c r="BW63" i="7"/>
  <c r="BW50" i="7"/>
  <c r="BO52" i="7"/>
  <c r="BO54" i="7"/>
  <c r="BO62" i="7"/>
  <c r="BO71" i="7"/>
  <c r="BO63" i="7"/>
  <c r="BO59" i="7"/>
  <c r="BO61" i="7"/>
  <c r="BO53" i="7"/>
  <c r="BO58" i="7"/>
  <c r="BO51" i="7"/>
  <c r="BO60" i="7"/>
  <c r="BO49" i="7"/>
  <c r="BO56" i="7"/>
  <c r="BO50" i="7"/>
  <c r="BO68" i="7"/>
  <c r="BO70" i="7"/>
  <c r="BO55" i="7"/>
  <c r="BO72" i="7"/>
  <c r="BO69" i="7"/>
  <c r="BG68" i="7"/>
  <c r="BG60" i="7"/>
  <c r="BG59" i="7"/>
  <c r="BG63" i="7"/>
  <c r="BG53" i="7"/>
  <c r="BG58" i="7"/>
  <c r="BG52" i="7"/>
  <c r="BG51" i="7"/>
  <c r="BG72" i="7"/>
  <c r="BG56" i="7"/>
  <c r="BG62" i="7"/>
  <c r="BG50" i="7"/>
  <c r="BG70" i="7"/>
  <c r="BG69" i="7"/>
  <c r="BG61" i="7"/>
  <c r="BG71" i="7"/>
  <c r="BG54" i="7"/>
  <c r="BG57" i="7"/>
  <c r="AY51" i="7"/>
  <c r="AY58" i="7"/>
  <c r="AY71" i="7"/>
  <c r="AY68" i="7"/>
  <c r="AY52" i="7"/>
  <c r="AY60" i="7"/>
  <c r="AY59" i="7"/>
  <c r="AY54" i="7"/>
  <c r="AY70" i="7"/>
  <c r="AY61" i="7"/>
  <c r="AY63" i="7"/>
  <c r="AY72" i="7"/>
  <c r="AY53" i="7"/>
  <c r="AY69" i="7"/>
  <c r="AY62" i="7"/>
  <c r="AY55" i="7"/>
  <c r="AY57" i="7"/>
  <c r="AY56" i="7"/>
  <c r="AQ58" i="7"/>
  <c r="AQ62" i="7"/>
  <c r="AQ72" i="7"/>
  <c r="AQ53" i="7"/>
  <c r="AQ71" i="7"/>
  <c r="AQ52" i="7"/>
  <c r="AQ59" i="7"/>
  <c r="AQ60" i="7"/>
  <c r="AQ69" i="7"/>
  <c r="AQ54" i="7"/>
  <c r="AQ70" i="7"/>
  <c r="AQ51" i="7"/>
  <c r="AQ68" i="7"/>
  <c r="AQ63" i="7"/>
  <c r="AQ61" i="7"/>
  <c r="AQ55" i="7"/>
  <c r="AQ50" i="7"/>
  <c r="AQ49" i="7"/>
  <c r="AI53" i="7"/>
  <c r="AI59" i="7"/>
  <c r="AI68" i="7"/>
  <c r="AI52" i="7"/>
  <c r="AI62" i="7"/>
  <c r="AI72" i="7"/>
  <c r="AI71" i="7"/>
  <c r="AI69" i="7"/>
  <c r="AI60" i="7"/>
  <c r="AI58" i="7"/>
  <c r="AI51" i="7"/>
  <c r="AI63" i="7"/>
  <c r="AI70" i="7"/>
  <c r="AI61" i="7"/>
  <c r="AI54" i="7"/>
  <c r="AI55" i="7"/>
  <c r="AI50" i="7"/>
  <c r="AI49" i="7"/>
  <c r="AI56" i="7"/>
  <c r="CZ70" i="7"/>
  <c r="CZ71" i="7"/>
  <c r="CZ54" i="7"/>
  <c r="CZ59" i="7"/>
  <c r="CZ60" i="7"/>
  <c r="CZ62" i="7"/>
  <c r="CZ53" i="7"/>
  <c r="CZ61" i="7"/>
  <c r="CZ56" i="7"/>
  <c r="CZ50" i="7"/>
  <c r="CZ69" i="7"/>
  <c r="CZ58" i="7"/>
  <c r="CZ51" i="7"/>
  <c r="CZ72" i="7"/>
  <c r="CZ52" i="7"/>
  <c r="CZ68" i="7"/>
  <c r="CZ57" i="7"/>
  <c r="CR70" i="7"/>
  <c r="CR69" i="7"/>
  <c r="CR59" i="7"/>
  <c r="CR54" i="7"/>
  <c r="CR62" i="7"/>
  <c r="CR51" i="7"/>
  <c r="CR53" i="7"/>
  <c r="CR61" i="7"/>
  <c r="CR49" i="7"/>
  <c r="CR63" i="7"/>
  <c r="CR60" i="7"/>
  <c r="CR58" i="7"/>
  <c r="CR52" i="7"/>
  <c r="CR50" i="7"/>
  <c r="CR68" i="7"/>
  <c r="CR72" i="7"/>
  <c r="CR57" i="7"/>
  <c r="CR71" i="7"/>
  <c r="CR55" i="7"/>
  <c r="CJ68" i="7"/>
  <c r="CJ63" i="7"/>
  <c r="CJ61" i="7"/>
  <c r="CJ69" i="7"/>
  <c r="CJ53" i="7"/>
  <c r="CJ52" i="7"/>
  <c r="CJ58" i="7"/>
  <c r="CJ72" i="7"/>
  <c r="CJ51" i="7"/>
  <c r="CJ56" i="7"/>
  <c r="CJ54" i="7"/>
  <c r="CJ71" i="7"/>
  <c r="CJ55" i="7"/>
  <c r="CJ60" i="7"/>
  <c r="CJ49" i="7"/>
  <c r="CJ59" i="7"/>
  <c r="CJ70" i="7"/>
  <c r="CJ62" i="7"/>
  <c r="CJ57" i="7"/>
  <c r="CJ50" i="7"/>
  <c r="CB70" i="7"/>
  <c r="CB51" i="7"/>
  <c r="CB71" i="7"/>
  <c r="CB68" i="7"/>
  <c r="CB60" i="7"/>
  <c r="CB52" i="7"/>
  <c r="CB56" i="7"/>
  <c r="CB49" i="7"/>
  <c r="CB63" i="7"/>
  <c r="CB50" i="7"/>
  <c r="CB62" i="7"/>
  <c r="CB54" i="7"/>
  <c r="CB69" i="7"/>
  <c r="CB55" i="7"/>
  <c r="CB61" i="7"/>
  <c r="CB53" i="7"/>
  <c r="CB58" i="7"/>
  <c r="CB59" i="7"/>
  <c r="CB72" i="7"/>
  <c r="BT70" i="7"/>
  <c r="BT69" i="7"/>
  <c r="BT71" i="7"/>
  <c r="BT63" i="7"/>
  <c r="BT51" i="7"/>
  <c r="BT60" i="7"/>
  <c r="BT58" i="7"/>
  <c r="BT59" i="7"/>
  <c r="BT50" i="7"/>
  <c r="BT49" i="7"/>
  <c r="BT52" i="7"/>
  <c r="BT56" i="7"/>
  <c r="BT53" i="7"/>
  <c r="BT54" i="7"/>
  <c r="BT61" i="7"/>
  <c r="BT68" i="7"/>
  <c r="BT62" i="7"/>
  <c r="BT72" i="7"/>
  <c r="BL70" i="7"/>
  <c r="BL59" i="7"/>
  <c r="BL52" i="7"/>
  <c r="BL68" i="7"/>
  <c r="BL61" i="7"/>
  <c r="BL58" i="7"/>
  <c r="BL54" i="7"/>
  <c r="BL63" i="7"/>
  <c r="BL55" i="7"/>
  <c r="BL62" i="7"/>
  <c r="BL49" i="7"/>
  <c r="BL69" i="7"/>
  <c r="BL53" i="7"/>
  <c r="BL51" i="7"/>
  <c r="BL72" i="7"/>
  <c r="BL71" i="7"/>
  <c r="BL60" i="7"/>
  <c r="BL56" i="7"/>
  <c r="BL50" i="7"/>
  <c r="BD54" i="7"/>
  <c r="BD58" i="7"/>
  <c r="BD51" i="7"/>
  <c r="BD71" i="7"/>
  <c r="BD61" i="7"/>
  <c r="BD72" i="7"/>
  <c r="BD70" i="7"/>
  <c r="BD68" i="7"/>
  <c r="BD62" i="7"/>
  <c r="BD59" i="7"/>
  <c r="BD52" i="7"/>
  <c r="BD56" i="7"/>
  <c r="BD55" i="7"/>
  <c r="BD53" i="7"/>
  <c r="BD60" i="7"/>
  <c r="BD63" i="7"/>
  <c r="BD69" i="7"/>
  <c r="BD57" i="7"/>
  <c r="AV72" i="7"/>
  <c r="AV61" i="7"/>
  <c r="AV58" i="7"/>
  <c r="AV69" i="7"/>
  <c r="AV71" i="7"/>
  <c r="AV59" i="7"/>
  <c r="AV62" i="7"/>
  <c r="AV63" i="7"/>
  <c r="AV52" i="7"/>
  <c r="AV51" i="7"/>
  <c r="AV54" i="7"/>
  <c r="AV70" i="7"/>
  <c r="AV68" i="7"/>
  <c r="AV53" i="7"/>
  <c r="AV60" i="7"/>
  <c r="AV55" i="7"/>
  <c r="AV57" i="7"/>
  <c r="AV56" i="7"/>
  <c r="AN72" i="7"/>
  <c r="AN52" i="7"/>
  <c r="AN63" i="7"/>
  <c r="AN61" i="7"/>
  <c r="AN69" i="7"/>
  <c r="AN62" i="7"/>
  <c r="AN53" i="7"/>
  <c r="AN59" i="7"/>
  <c r="AN60" i="7"/>
  <c r="AN58" i="7"/>
  <c r="AN55" i="7"/>
  <c r="AN68" i="7"/>
  <c r="AN70" i="7"/>
  <c r="AN71" i="7"/>
  <c r="AN54" i="7"/>
  <c r="AN51" i="7"/>
  <c r="AN49" i="7"/>
  <c r="AN50" i="7"/>
  <c r="AN57" i="7"/>
  <c r="AF72" i="7"/>
  <c r="AF71" i="7"/>
  <c r="AF53" i="7"/>
  <c r="AF68" i="7"/>
  <c r="AF63" i="7"/>
  <c r="AF58" i="7"/>
  <c r="AF54" i="7"/>
  <c r="AF70" i="7"/>
  <c r="AF61" i="7"/>
  <c r="AF69" i="7"/>
  <c r="AF60" i="7"/>
  <c r="AF52" i="7"/>
  <c r="AF51" i="7"/>
  <c r="AF62" i="7"/>
  <c r="AF59" i="7"/>
  <c r="AF56" i="7"/>
  <c r="AF57" i="7"/>
  <c r="AF49" i="7"/>
  <c r="X71" i="7"/>
  <c r="X60" i="7"/>
  <c r="X70" i="7"/>
  <c r="X68" i="7"/>
  <c r="X53" i="7"/>
  <c r="X59" i="7"/>
  <c r="X72" i="7"/>
  <c r="X52" i="7"/>
  <c r="X62" i="7"/>
  <c r="X61" i="7"/>
  <c r="X54" i="7"/>
  <c r="X63" i="7"/>
  <c r="X58" i="7"/>
  <c r="X51" i="7"/>
  <c r="X69" i="7"/>
  <c r="X57" i="7"/>
  <c r="X49" i="7"/>
  <c r="X55" i="7"/>
  <c r="X50" i="7"/>
  <c r="P54" i="7"/>
  <c r="P53" i="7"/>
  <c r="P70" i="7"/>
  <c r="P72" i="7"/>
  <c r="P71" i="7"/>
  <c r="P68" i="7"/>
  <c r="P59" i="7"/>
  <c r="P52" i="7"/>
  <c r="P63" i="7"/>
  <c r="P58" i="7"/>
  <c r="P61" i="7"/>
  <c r="P69" i="7"/>
  <c r="P51" i="7"/>
  <c r="P60" i="7"/>
  <c r="P62" i="7"/>
  <c r="P56" i="7"/>
  <c r="P50" i="7"/>
  <c r="P57" i="7"/>
  <c r="I61" i="7"/>
  <c r="O89" i="7" s="1"/>
  <c r="I62" i="7"/>
  <c r="O90" i="7" s="1"/>
  <c r="I53" i="7"/>
  <c r="O81" i="7" s="1"/>
  <c r="I51" i="7"/>
  <c r="O79" i="7" s="1"/>
  <c r="I71" i="7"/>
  <c r="O99" i="7" s="1"/>
  <c r="I69" i="7"/>
  <c r="O97" i="7" s="1"/>
  <c r="I70" i="7"/>
  <c r="O98" i="7" s="1"/>
  <c r="I58" i="7"/>
  <c r="O86" i="7" s="1"/>
  <c r="I68" i="7"/>
  <c r="O96" i="7" s="1"/>
  <c r="I52" i="7"/>
  <c r="O80" i="7" s="1"/>
  <c r="I59" i="7"/>
  <c r="O87" i="7" s="1"/>
  <c r="I72" i="7"/>
  <c r="O100" i="7" s="1"/>
  <c r="I60" i="7"/>
  <c r="O88" i="7" s="1"/>
  <c r="I54" i="7"/>
  <c r="O82" i="7" s="1"/>
  <c r="I63" i="7"/>
  <c r="O91" i="7" s="1"/>
  <c r="I56" i="7"/>
  <c r="O84" i="7" s="1"/>
  <c r="I50" i="7"/>
  <c r="O78" i="7" s="1"/>
  <c r="I57" i="7"/>
  <c r="O85" i="7" s="1"/>
  <c r="I49" i="7"/>
  <c r="L50" i="7"/>
  <c r="R78" i="7" s="1"/>
  <c r="R55" i="7"/>
  <c r="X56" i="7"/>
  <c r="AK50" i="7"/>
  <c r="AK55" i="7"/>
  <c r="AX56" i="7"/>
  <c r="AC50" i="7"/>
  <c r="M55" i="7"/>
  <c r="S83" i="7" s="1"/>
  <c r="BB56" i="7"/>
  <c r="U49" i="7"/>
  <c r="CM50" i="7"/>
  <c r="CH55" i="7"/>
  <c r="AJ57" i="7"/>
  <c r="BX50" i="7"/>
  <c r="AB57" i="7"/>
  <c r="DB51" i="7"/>
  <c r="CZ63" i="7"/>
  <c r="CY62" i="7"/>
  <c r="CY52" i="7"/>
  <c r="CY70" i="7"/>
  <c r="CY54" i="7"/>
  <c r="CY72" i="7"/>
  <c r="CY71" i="7"/>
  <c r="CY55" i="7"/>
  <c r="CY60" i="7"/>
  <c r="CY57" i="7"/>
  <c r="CY68" i="7"/>
  <c r="CY51" i="7"/>
  <c r="CY69" i="7"/>
  <c r="CY61" i="7"/>
  <c r="CY63" i="7"/>
  <c r="CY58" i="7"/>
  <c r="CY53" i="7"/>
  <c r="CQ72" i="7"/>
  <c r="CQ58" i="7"/>
  <c r="CQ60" i="7"/>
  <c r="CQ52" i="7"/>
  <c r="CQ59" i="7"/>
  <c r="CQ51" i="7"/>
  <c r="CQ69" i="7"/>
  <c r="CQ68" i="7"/>
  <c r="CQ62" i="7"/>
  <c r="CQ61" i="7"/>
  <c r="CQ71" i="7"/>
  <c r="CQ54" i="7"/>
  <c r="CQ56" i="7"/>
  <c r="CQ70" i="7"/>
  <c r="CQ53" i="7"/>
  <c r="CQ63" i="7"/>
  <c r="CQ50" i="7"/>
  <c r="CQ55" i="7"/>
  <c r="CI68" i="7"/>
  <c r="CI70" i="7"/>
  <c r="CI72" i="7"/>
  <c r="CI61" i="7"/>
  <c r="CI51" i="7"/>
  <c r="CI60" i="7"/>
  <c r="CI53" i="7"/>
  <c r="CI63" i="7"/>
  <c r="CI52" i="7"/>
  <c r="CI50" i="7"/>
  <c r="CI54" i="7"/>
  <c r="CI56" i="7"/>
  <c r="CI71" i="7"/>
  <c r="CI62" i="7"/>
  <c r="CI69" i="7"/>
  <c r="CI55" i="7"/>
  <c r="CI58" i="7"/>
  <c r="CI59" i="7"/>
  <c r="CA68" i="7"/>
  <c r="CA69" i="7"/>
  <c r="CA72" i="7"/>
  <c r="CA60" i="7"/>
  <c r="CA52" i="7"/>
  <c r="CA51" i="7"/>
  <c r="CA70" i="7"/>
  <c r="CA53" i="7"/>
  <c r="CA71" i="7"/>
  <c r="CA50" i="7"/>
  <c r="CA49" i="7"/>
  <c r="CA55" i="7"/>
  <c r="CA63" i="7"/>
  <c r="CA62" i="7"/>
  <c r="CA61" i="7"/>
  <c r="CA54" i="7"/>
  <c r="CA56" i="7"/>
  <c r="CA59" i="7"/>
  <c r="CA58" i="7"/>
  <c r="BS68" i="7"/>
  <c r="BS60" i="7"/>
  <c r="BS61" i="7"/>
  <c r="BS53" i="7"/>
  <c r="BS71" i="7"/>
  <c r="BS59" i="7"/>
  <c r="BS54" i="7"/>
  <c r="BS69" i="7"/>
  <c r="BS52" i="7"/>
  <c r="BS70" i="7"/>
  <c r="BS56" i="7"/>
  <c r="BS55" i="7"/>
  <c r="BS57" i="7"/>
  <c r="BS49" i="7"/>
  <c r="BS58" i="7"/>
  <c r="BS51" i="7"/>
  <c r="BS63" i="7"/>
  <c r="BS72" i="7"/>
  <c r="BS62" i="7"/>
  <c r="BK61" i="7"/>
  <c r="BK70" i="7"/>
  <c r="BK69" i="7"/>
  <c r="BK68" i="7"/>
  <c r="BK63" i="7"/>
  <c r="BK52" i="7"/>
  <c r="BK58" i="7"/>
  <c r="BK62" i="7"/>
  <c r="BK60" i="7"/>
  <c r="BK72" i="7"/>
  <c r="BK53" i="7"/>
  <c r="BK59" i="7"/>
  <c r="BK57" i="7"/>
  <c r="BK54" i="7"/>
  <c r="BK51" i="7"/>
  <c r="BK71" i="7"/>
  <c r="BK56" i="7"/>
  <c r="BK50" i="7"/>
  <c r="BK55" i="7"/>
  <c r="BC63" i="7"/>
  <c r="BC53" i="7"/>
  <c r="BC59" i="7"/>
  <c r="BC61" i="7"/>
  <c r="BC52" i="7"/>
  <c r="BC72" i="7"/>
  <c r="BC62" i="7"/>
  <c r="BC58" i="7"/>
  <c r="BC70" i="7"/>
  <c r="BC54" i="7"/>
  <c r="BC69" i="7"/>
  <c r="BC60" i="7"/>
  <c r="BC71" i="7"/>
  <c r="BC68" i="7"/>
  <c r="BC51" i="7"/>
  <c r="BC57" i="7"/>
  <c r="BC49" i="7"/>
  <c r="BC50" i="7"/>
  <c r="AU59" i="7"/>
  <c r="AU62" i="7"/>
  <c r="AU52" i="7"/>
  <c r="AU72" i="7"/>
  <c r="AU61" i="7"/>
  <c r="AU54" i="7"/>
  <c r="AU71" i="7"/>
  <c r="AU60" i="7"/>
  <c r="AU53" i="7"/>
  <c r="AU58" i="7"/>
  <c r="AU69" i="7"/>
  <c r="AU70" i="7"/>
  <c r="AU51" i="7"/>
  <c r="AU68" i="7"/>
  <c r="AU63" i="7"/>
  <c r="AU50" i="7"/>
  <c r="AU57" i="7"/>
  <c r="AU56" i="7"/>
  <c r="AM72" i="7"/>
  <c r="AM53" i="7"/>
  <c r="AM62" i="7"/>
  <c r="AM70" i="7"/>
  <c r="AM69" i="7"/>
  <c r="AM51" i="7"/>
  <c r="AM59" i="7"/>
  <c r="AM58" i="7"/>
  <c r="AM60" i="7"/>
  <c r="AM57" i="7"/>
  <c r="AM54" i="7"/>
  <c r="AM61" i="7"/>
  <c r="AM63" i="7"/>
  <c r="AM68" i="7"/>
  <c r="AM71" i="7"/>
  <c r="AM52" i="7"/>
  <c r="AM49" i="7"/>
  <c r="AM55" i="7"/>
  <c r="AM50" i="7"/>
  <c r="AE68" i="7"/>
  <c r="AE69" i="7"/>
  <c r="AE62" i="7"/>
  <c r="AE54" i="7"/>
  <c r="AE71" i="7"/>
  <c r="AE59" i="7"/>
  <c r="AE70" i="7"/>
  <c r="AE51" i="7"/>
  <c r="AE63" i="7"/>
  <c r="AE72" i="7"/>
  <c r="AE61" i="7"/>
  <c r="AE52" i="7"/>
  <c r="AE60" i="7"/>
  <c r="AE58" i="7"/>
  <c r="AE53" i="7"/>
  <c r="AE57" i="7"/>
  <c r="AE56" i="7"/>
  <c r="W58" i="7"/>
  <c r="W62" i="7"/>
  <c r="W59" i="7"/>
  <c r="W68" i="7"/>
  <c r="W53" i="7"/>
  <c r="W52" i="7"/>
  <c r="W69" i="7"/>
  <c r="W72" i="7"/>
  <c r="W60" i="7"/>
  <c r="W61" i="7"/>
  <c r="W70" i="7"/>
  <c r="W71" i="7"/>
  <c r="W51" i="7"/>
  <c r="W54" i="7"/>
  <c r="W63" i="7"/>
  <c r="W49" i="7"/>
  <c r="W55" i="7"/>
  <c r="W57" i="7"/>
  <c r="O53" i="7"/>
  <c r="O69" i="7"/>
  <c r="O59" i="7"/>
  <c r="O68" i="7"/>
  <c r="O58" i="7"/>
  <c r="O63" i="7"/>
  <c r="O62" i="7"/>
  <c r="O60" i="7"/>
  <c r="O54" i="7"/>
  <c r="O51" i="7"/>
  <c r="O70" i="7"/>
  <c r="O61" i="7"/>
  <c r="O71" i="7"/>
  <c r="O72" i="7"/>
  <c r="O52" i="7"/>
  <c r="O56" i="7"/>
  <c r="O57" i="7"/>
  <c r="W50" i="7"/>
  <c r="AF55" i="7"/>
  <c r="CX57" i="7"/>
  <c r="CT50" i="7"/>
  <c r="CF55" i="7"/>
  <c r="DB57" i="7"/>
  <c r="BD49" i="7"/>
  <c r="BP50" i="7"/>
  <c r="AC56" i="7"/>
  <c r="CU57" i="7"/>
  <c r="O49" i="7"/>
  <c r="BS50" i="7"/>
  <c r="CY56" i="7"/>
  <c r="BJ55" i="7"/>
  <c r="BI56" i="7"/>
  <c r="N49" i="7"/>
  <c r="AU55" i="7"/>
  <c r="CY59" i="7"/>
  <c r="BE55" i="7"/>
  <c r="Q50" i="7"/>
  <c r="CK55" i="7"/>
  <c r="H57" i="7"/>
  <c r="CS56" i="7"/>
  <c r="DA49" i="7"/>
  <c r="CS57" i="7"/>
  <c r="CK61" i="7"/>
  <c r="CC58" i="7"/>
  <c r="BU61" i="7"/>
  <c r="BM72" i="7"/>
  <c r="BE62" i="7"/>
  <c r="CK60" i="7"/>
  <c r="BM63" i="7"/>
  <c r="BE54" i="7"/>
  <c r="CS72" i="7"/>
  <c r="CC60" i="7"/>
  <c r="BU71" i="7"/>
  <c r="BM71" i="7"/>
  <c r="BE59" i="7"/>
  <c r="CK68" i="7"/>
  <c r="CC53" i="7"/>
  <c r="BU68" i="7"/>
  <c r="BM61" i="7"/>
  <c r="CC54" i="7"/>
  <c r="BE68" i="7"/>
  <c r="BE63" i="7"/>
  <c r="CS50" i="7"/>
  <c r="CC50" i="7"/>
  <c r="CS49" i="7"/>
  <c r="DA61" i="7"/>
  <c r="DA69" i="7"/>
  <c r="DA68" i="7"/>
  <c r="DA63" i="7"/>
  <c r="DA71" i="7"/>
  <c r="DA59" i="7"/>
  <c r="CS59" i="7"/>
  <c r="CS69" i="7"/>
  <c r="CS52" i="7"/>
  <c r="CS71" i="7"/>
  <c r="CS51" i="7"/>
  <c r="CS58" i="7"/>
  <c r="CS53" i="7"/>
  <c r="CS63" i="7"/>
  <c r="CS70" i="7"/>
  <c r="CS62" i="7"/>
  <c r="CS54" i="7"/>
  <c r="CK52" i="7"/>
  <c r="CK59" i="7"/>
  <c r="CK63" i="7"/>
  <c r="CK62" i="7"/>
  <c r="CK69" i="7"/>
  <c r="CK72" i="7"/>
  <c r="CK58" i="7"/>
  <c r="CK70" i="7"/>
  <c r="CK71" i="7"/>
  <c r="CK54" i="7"/>
  <c r="CC69" i="7"/>
  <c r="CC61" i="7"/>
  <c r="CC59" i="7"/>
  <c r="CC52" i="7"/>
  <c r="CC71" i="7"/>
  <c r="CC51" i="7"/>
  <c r="CC70" i="7"/>
  <c r="CC72" i="7"/>
  <c r="CC63" i="7"/>
  <c r="BU54" i="7"/>
  <c r="BU58" i="7"/>
  <c r="BU62" i="7"/>
  <c r="BU72" i="7"/>
  <c r="BU63" i="7"/>
  <c r="BU69" i="7"/>
  <c r="BU52" i="7"/>
  <c r="BU70" i="7"/>
  <c r="BU59" i="7"/>
  <c r="BM60" i="7"/>
  <c r="BM69" i="7"/>
  <c r="BM68" i="7"/>
  <c r="BM54" i="7"/>
  <c r="BM62" i="7"/>
  <c r="BM59" i="7"/>
  <c r="BM70" i="7"/>
  <c r="BM51" i="7"/>
  <c r="BE70" i="7"/>
  <c r="BE58" i="7"/>
  <c r="BE71" i="7"/>
  <c r="BE52" i="7"/>
  <c r="BE51" i="7"/>
  <c r="BE61" i="7"/>
  <c r="BE60" i="7"/>
  <c r="AW69" i="7"/>
  <c r="AW51" i="7"/>
  <c r="AW60" i="7"/>
  <c r="AW61" i="7"/>
  <c r="AW62" i="7"/>
  <c r="AW53" i="7"/>
  <c r="AW63" i="7"/>
  <c r="AW68" i="7"/>
  <c r="AW58" i="7"/>
  <c r="AW72" i="7"/>
  <c r="AW54" i="7"/>
  <c r="AW71" i="7"/>
  <c r="AW52" i="7"/>
  <c r="AW70" i="7"/>
  <c r="AW59" i="7"/>
  <c r="AO61" i="7"/>
  <c r="AO63" i="7"/>
  <c r="AO60" i="7"/>
  <c r="AO72" i="7"/>
  <c r="AO59" i="7"/>
  <c r="AO52" i="7"/>
  <c r="AO69" i="7"/>
  <c r="AO62" i="7"/>
  <c r="AO70" i="7"/>
  <c r="AO53" i="7"/>
  <c r="AO54" i="7"/>
  <c r="AO51" i="7"/>
  <c r="AO58" i="7"/>
  <c r="AO68" i="7"/>
  <c r="AO71" i="7"/>
  <c r="AG72" i="7"/>
  <c r="AG59" i="7"/>
  <c r="AG58" i="7"/>
  <c r="AG53" i="7"/>
  <c r="AG62" i="7"/>
  <c r="AG71" i="7"/>
  <c r="AG52" i="7"/>
  <c r="AG61" i="7"/>
  <c r="AG51" i="7"/>
  <c r="AG54" i="7"/>
  <c r="AG68" i="7"/>
  <c r="AG60" i="7"/>
  <c r="AG63" i="7"/>
  <c r="AG69" i="7"/>
  <c r="AG70" i="7"/>
  <c r="Y70" i="7"/>
  <c r="Y58" i="7"/>
  <c r="Y59" i="7"/>
  <c r="Y52" i="7"/>
  <c r="Y51" i="7"/>
  <c r="Y63" i="7"/>
  <c r="Y57" i="7"/>
  <c r="Y50" i="7"/>
  <c r="Y68" i="7"/>
  <c r="Y69" i="7"/>
  <c r="Y53" i="7"/>
  <c r="Y60" i="7"/>
  <c r="Y61" i="7"/>
  <c r="Y54" i="7"/>
  <c r="Y62" i="7"/>
  <c r="Y71" i="7"/>
  <c r="Y72" i="7"/>
  <c r="Q60" i="7"/>
  <c r="Q69" i="7"/>
  <c r="Q72" i="7"/>
  <c r="Q63" i="7"/>
  <c r="Q61" i="7"/>
  <c r="Q70" i="7"/>
  <c r="Q58" i="7"/>
  <c r="Q59" i="7"/>
  <c r="Q51" i="7"/>
  <c r="Q62" i="7"/>
  <c r="Q52" i="7"/>
  <c r="Q71" i="7"/>
  <c r="Q54" i="7"/>
  <c r="Q68" i="7"/>
  <c r="Q53" i="7"/>
  <c r="Q49" i="7"/>
  <c r="H61" i="7"/>
  <c r="H54" i="7"/>
  <c r="H70" i="7"/>
  <c r="H71" i="7"/>
  <c r="H59" i="7"/>
  <c r="H62" i="7"/>
  <c r="H63" i="7"/>
  <c r="H60" i="7"/>
  <c r="H51" i="7"/>
  <c r="H53" i="7"/>
  <c r="H52" i="7"/>
  <c r="H69" i="7"/>
  <c r="H58" i="7"/>
  <c r="H68" i="7"/>
  <c r="H72" i="7"/>
  <c r="Q56" i="7"/>
  <c r="DA57" i="7"/>
  <c r="BU50" i="7"/>
  <c r="CC56" i="7"/>
  <c r="Y49" i="7"/>
  <c r="CC55" i="7"/>
  <c r="AG56" i="7"/>
  <c r="CC49" i="7"/>
  <c r="DA53" i="7"/>
  <c r="CS60" i="7"/>
  <c r="CK51" i="7"/>
  <c r="CC62" i="7"/>
  <c r="BU53" i="7"/>
  <c r="BM53" i="7"/>
  <c r="BE72" i="7"/>
  <c r="AG49" i="7"/>
  <c r="DA55" i="7"/>
  <c r="BU57" i="7"/>
  <c r="H55" i="7"/>
  <c r="BE57" i="7"/>
  <c r="DA51" i="7"/>
  <c r="DA54" i="7"/>
  <c r="CS68" i="7"/>
  <c r="CK53" i="7"/>
  <c r="CC68" i="7"/>
  <c r="BU60" i="7"/>
  <c r="BM52" i="7"/>
  <c r="BE53" i="7"/>
  <c r="V28" i="7"/>
  <c r="CT154" i="4"/>
  <c r="CT201" i="4" s="1"/>
  <c r="CU108" i="5" s="1"/>
  <c r="CU155" i="5"/>
  <c r="BN154" i="4"/>
  <c r="BN201" i="4" s="1"/>
  <c r="BO61" i="5" s="1"/>
  <c r="BO155" i="5"/>
  <c r="CD154" i="4"/>
  <c r="CD201" i="4" s="1"/>
  <c r="CE108" i="5" s="1"/>
  <c r="CE155" i="5"/>
  <c r="BJ154" i="4"/>
  <c r="BJ201" i="4" s="1"/>
  <c r="BK108" i="5" s="1"/>
  <c r="BK155" i="5"/>
  <c r="AP154" i="4"/>
  <c r="AP201" i="4" s="1"/>
  <c r="AQ108" i="5" s="1"/>
  <c r="AQ155" i="5"/>
  <c r="R154" i="4"/>
  <c r="R201" i="4" s="1"/>
  <c r="S108" i="5" s="1"/>
  <c r="S155" i="5"/>
  <c r="CG154" i="4"/>
  <c r="CG201" i="4" s="1"/>
  <c r="CH108" i="5" s="1"/>
  <c r="CH155" i="5"/>
  <c r="BQ154" i="4"/>
  <c r="BQ201" i="4" s="1"/>
  <c r="BR108" i="5" s="1"/>
  <c r="BR155" i="5"/>
  <c r="DA154" i="4"/>
  <c r="DA201" i="4" s="1"/>
  <c r="DB108" i="5" s="1"/>
  <c r="DB155" i="5"/>
  <c r="BM154" i="4"/>
  <c r="BM201" i="4" s="1"/>
  <c r="BN108" i="5" s="1"/>
  <c r="BN155" i="5"/>
  <c r="U154" i="4"/>
  <c r="U201" i="4" s="1"/>
  <c r="V108" i="5" s="1"/>
  <c r="V155" i="5"/>
  <c r="DL154" i="4"/>
  <c r="DL201" i="4" s="1"/>
  <c r="DM108" i="5" s="1"/>
  <c r="DM155" i="5"/>
  <c r="DK154" i="4"/>
  <c r="DK201" i="4" s="1"/>
  <c r="DL108" i="5" s="1"/>
  <c r="DL155" i="5"/>
  <c r="CU154" i="4"/>
  <c r="CU201" i="4" s="1"/>
  <c r="CV108" i="5" s="1"/>
  <c r="CV155" i="5"/>
  <c r="CM154" i="4"/>
  <c r="CM201" i="4" s="1"/>
  <c r="CN108" i="5" s="1"/>
  <c r="CN155" i="5"/>
  <c r="CE154" i="4"/>
  <c r="CE201" i="4" s="1"/>
  <c r="CF108" i="5" s="1"/>
  <c r="CF155" i="5"/>
  <c r="BO154" i="4"/>
  <c r="BO201" i="4" s="1"/>
  <c r="BP108" i="5" s="1"/>
  <c r="BP155" i="5"/>
  <c r="BG154" i="4"/>
  <c r="BG201" i="4" s="1"/>
  <c r="BH108" i="5" s="1"/>
  <c r="BH155" i="5"/>
  <c r="AU154" i="4"/>
  <c r="AU201" i="4" s="1"/>
  <c r="AV108" i="5" s="1"/>
  <c r="AV155" i="5"/>
  <c r="CX154" i="4"/>
  <c r="CX201" i="4" s="1"/>
  <c r="CY108" i="5" s="1"/>
  <c r="CY155" i="5"/>
  <c r="V154" i="4"/>
  <c r="V201" i="4" s="1"/>
  <c r="W108" i="5" s="1"/>
  <c r="W155" i="5"/>
  <c r="AT154" i="4"/>
  <c r="AT201" i="4" s="1"/>
  <c r="AU108" i="5" s="1"/>
  <c r="AU155" i="5"/>
  <c r="AC154" i="4"/>
  <c r="AC201" i="4" s="1"/>
  <c r="AD108" i="5" s="1"/>
  <c r="AD155" i="5"/>
  <c r="DF154" i="4"/>
  <c r="DF201" i="4" s="1"/>
  <c r="DG108" i="5" s="1"/>
  <c r="DG155" i="5"/>
  <c r="CL154" i="4"/>
  <c r="CL201" i="4" s="1"/>
  <c r="CM108" i="5" s="1"/>
  <c r="CM155" i="5"/>
  <c r="BZ154" i="4"/>
  <c r="BZ201" i="4" s="1"/>
  <c r="CA108" i="5" s="1"/>
  <c r="CA155" i="5"/>
  <c r="BF154" i="4"/>
  <c r="BF201" i="4" s="1"/>
  <c r="BG108" i="5" s="1"/>
  <c r="BG155" i="5"/>
  <c r="AH154" i="4"/>
  <c r="AH201" i="4" s="1"/>
  <c r="AI108" i="5" s="1"/>
  <c r="AI155" i="5"/>
  <c r="BU154" i="4"/>
  <c r="BU201" i="4" s="1"/>
  <c r="BV108" i="5" s="1"/>
  <c r="BV155" i="5"/>
  <c r="AG154" i="4"/>
  <c r="AG201" i="4" s="1"/>
  <c r="AH108" i="5" s="1"/>
  <c r="AH155" i="5"/>
  <c r="DE154" i="4"/>
  <c r="DE201" i="4" s="1"/>
  <c r="DF108" i="5" s="1"/>
  <c r="DF155" i="5"/>
  <c r="CS154" i="4"/>
  <c r="CS201" i="4" s="1"/>
  <c r="CT108" i="5" s="1"/>
  <c r="CT155" i="5"/>
  <c r="AW154" i="4"/>
  <c r="AW201" i="4" s="1"/>
  <c r="AX108" i="5" s="1"/>
  <c r="AX155" i="5"/>
  <c r="AK154" i="4"/>
  <c r="AK201" i="4" s="1"/>
  <c r="AL108" i="5" s="1"/>
  <c r="AL155" i="5"/>
  <c r="DH154" i="4"/>
  <c r="DH201" i="4" s="1"/>
  <c r="DI108" i="5" s="1"/>
  <c r="DI155" i="5"/>
  <c r="CV154" i="4"/>
  <c r="CV201" i="4" s="1"/>
  <c r="CW108" i="5" s="1"/>
  <c r="CW155" i="5"/>
  <c r="CR154" i="4"/>
  <c r="CR201" i="4" s="1"/>
  <c r="CS108" i="5" s="1"/>
  <c r="CS155" i="5"/>
  <c r="CJ154" i="4"/>
  <c r="CJ201" i="4" s="1"/>
  <c r="CK108" i="5" s="1"/>
  <c r="CK155" i="5"/>
  <c r="CB154" i="4"/>
  <c r="CB201" i="4" s="1"/>
  <c r="CC108" i="5" s="1"/>
  <c r="CC155" i="5"/>
  <c r="BT154" i="4"/>
  <c r="BT201" i="4" s="1"/>
  <c r="BU108" i="5" s="1"/>
  <c r="BU155" i="5"/>
  <c r="BL154" i="4"/>
  <c r="BL201" i="4" s="1"/>
  <c r="BM108" i="5" s="1"/>
  <c r="BM155" i="5"/>
  <c r="BH154" i="4"/>
  <c r="BH201" i="4" s="1"/>
  <c r="BI108" i="5" s="1"/>
  <c r="BI155" i="5"/>
  <c r="AZ154" i="4"/>
  <c r="AZ201" i="4" s="1"/>
  <c r="BA108" i="5" s="1"/>
  <c r="BA155" i="5"/>
  <c r="AV154" i="4"/>
  <c r="AV201" i="4" s="1"/>
  <c r="AW108" i="5" s="1"/>
  <c r="AW155" i="5"/>
  <c r="AJ154" i="4"/>
  <c r="AJ201" i="4" s="1"/>
  <c r="AK108" i="5" s="1"/>
  <c r="AK155" i="5"/>
  <c r="AB154" i="4"/>
  <c r="AB201" i="4" s="1"/>
  <c r="AC108" i="5" s="1"/>
  <c r="AC155" i="5"/>
  <c r="CP154" i="4"/>
  <c r="CP201" i="4" s="1"/>
  <c r="CQ108" i="5" s="1"/>
  <c r="CQ155" i="5"/>
  <c r="AL154" i="4"/>
  <c r="AL201" i="4" s="1"/>
  <c r="AM108" i="5" s="1"/>
  <c r="AM155" i="5"/>
  <c r="DB154" i="4"/>
  <c r="DB201" i="4" s="1"/>
  <c r="DC108" i="5" s="1"/>
  <c r="DC155" i="5"/>
  <c r="BR154" i="4"/>
  <c r="BR201" i="4" s="1"/>
  <c r="BS108" i="5" s="1"/>
  <c r="BS155" i="5"/>
  <c r="BB154" i="4"/>
  <c r="BB201" i="4" s="1"/>
  <c r="BC108" i="5" s="1"/>
  <c r="BC155" i="5"/>
  <c r="AD154" i="4"/>
  <c r="AD201" i="4" s="1"/>
  <c r="AE108" i="5" s="1"/>
  <c r="AE155" i="5"/>
  <c r="DI154" i="4"/>
  <c r="DI201" i="4" s="1"/>
  <c r="DJ108" i="5" s="1"/>
  <c r="DJ155" i="5"/>
  <c r="CC154" i="4"/>
  <c r="CC201" i="4" s="1"/>
  <c r="CD108" i="5" s="1"/>
  <c r="CD155" i="5"/>
  <c r="BA154" i="4"/>
  <c r="BA201" i="4" s="1"/>
  <c r="BB108" i="5" s="1"/>
  <c r="BB155" i="5"/>
  <c r="CK154" i="4"/>
  <c r="CK201" i="4" s="1"/>
  <c r="CL108" i="5" s="1"/>
  <c r="CL155" i="5"/>
  <c r="BE154" i="4"/>
  <c r="BE201" i="4" s="1"/>
  <c r="BF108" i="5" s="1"/>
  <c r="BF155" i="5"/>
  <c r="Y154" i="4"/>
  <c r="Y201" i="4" s="1"/>
  <c r="Z108" i="5" s="1"/>
  <c r="Z155" i="5"/>
  <c r="DD154" i="4"/>
  <c r="DD201" i="4" s="1"/>
  <c r="DE108" i="5" s="1"/>
  <c r="DE155" i="5"/>
  <c r="CN154" i="4"/>
  <c r="CN201" i="4" s="1"/>
  <c r="CO108" i="5" s="1"/>
  <c r="CO155" i="5"/>
  <c r="BX154" i="4"/>
  <c r="BX201" i="4" s="1"/>
  <c r="BY108" i="5" s="1"/>
  <c r="BY155" i="5"/>
  <c r="BP154" i="4"/>
  <c r="BP201" i="4" s="1"/>
  <c r="BQ108" i="5" s="1"/>
  <c r="BQ155" i="5"/>
  <c r="BD154" i="4"/>
  <c r="BD201" i="4" s="1"/>
  <c r="BE108" i="5" s="1"/>
  <c r="BE155" i="5"/>
  <c r="AR154" i="4"/>
  <c r="AR201" i="4" s="1"/>
  <c r="AS108" i="5" s="1"/>
  <c r="AS155" i="5"/>
  <c r="AN154" i="4"/>
  <c r="AN201" i="4" s="1"/>
  <c r="AO108" i="5" s="1"/>
  <c r="AO155" i="5"/>
  <c r="AF154" i="4"/>
  <c r="AF201" i="4" s="1"/>
  <c r="AG108" i="5" s="1"/>
  <c r="AG155" i="5"/>
  <c r="X154" i="4"/>
  <c r="X201" i="4" s="1"/>
  <c r="Y108" i="5" s="1"/>
  <c r="Y155" i="5"/>
  <c r="T154" i="4"/>
  <c r="T201" i="4" s="1"/>
  <c r="U108" i="5" s="1"/>
  <c r="U155" i="5"/>
  <c r="DJ154" i="4"/>
  <c r="DJ201" i="4" s="1"/>
  <c r="DK108" i="5" s="1"/>
  <c r="DK155" i="5"/>
  <c r="CH154" i="4"/>
  <c r="CH201" i="4" s="1"/>
  <c r="CI108" i="5" s="1"/>
  <c r="CI155" i="5"/>
  <c r="BV154" i="4"/>
  <c r="BV201" i="4" s="1"/>
  <c r="BW108" i="5" s="1"/>
  <c r="BW155" i="5"/>
  <c r="AX154" i="4"/>
  <c r="AX201" i="4" s="1"/>
  <c r="AY108" i="5" s="1"/>
  <c r="AY155" i="5"/>
  <c r="Z154" i="4"/>
  <c r="Z201" i="4" s="1"/>
  <c r="AA108" i="5" s="1"/>
  <c r="AA155" i="5"/>
  <c r="CO154" i="4"/>
  <c r="CO201" i="4" s="1"/>
  <c r="CP108" i="5" s="1"/>
  <c r="CP155" i="5"/>
  <c r="BY154" i="4"/>
  <c r="BY201" i="4" s="1"/>
  <c r="BZ108" i="5" s="1"/>
  <c r="BZ155" i="5"/>
  <c r="AO154" i="4"/>
  <c r="AO201" i="4" s="1"/>
  <c r="AP108" i="5" s="1"/>
  <c r="AP155" i="5"/>
  <c r="CW154" i="4"/>
  <c r="CW201" i="4" s="1"/>
  <c r="CX108" i="5" s="1"/>
  <c r="CX155" i="5"/>
  <c r="BI154" i="4"/>
  <c r="BI201" i="4" s="1"/>
  <c r="BJ108" i="5" s="1"/>
  <c r="BJ155" i="5"/>
  <c r="AS154" i="4"/>
  <c r="AS201" i="4" s="1"/>
  <c r="AT108" i="5" s="1"/>
  <c r="AT155" i="5"/>
  <c r="CZ154" i="4"/>
  <c r="CZ201" i="4" s="1"/>
  <c r="DA108" i="5" s="1"/>
  <c r="DA155" i="5"/>
  <c r="CF154" i="4"/>
  <c r="CF201" i="4" s="1"/>
  <c r="CG108" i="5" s="1"/>
  <c r="CG155" i="5"/>
  <c r="DG154" i="4"/>
  <c r="DG201" i="4" s="1"/>
  <c r="DH108" i="5" s="1"/>
  <c r="DH155" i="5"/>
  <c r="DC154" i="4"/>
  <c r="DC201" i="4" s="1"/>
  <c r="DD108" i="5" s="1"/>
  <c r="DD155" i="5"/>
  <c r="CY154" i="4"/>
  <c r="CY201" i="4" s="1"/>
  <c r="CZ108" i="5" s="1"/>
  <c r="CZ155" i="5"/>
  <c r="CQ154" i="4"/>
  <c r="CQ201" i="4" s="1"/>
  <c r="CR108" i="5" s="1"/>
  <c r="CR155" i="5"/>
  <c r="CI154" i="4"/>
  <c r="CI201" i="4" s="1"/>
  <c r="CJ108" i="5" s="1"/>
  <c r="CJ155" i="5"/>
  <c r="CA154" i="4"/>
  <c r="CA201" i="4" s="1"/>
  <c r="CB108" i="5" s="1"/>
  <c r="CB155" i="5"/>
  <c r="BW154" i="4"/>
  <c r="BW201" i="4" s="1"/>
  <c r="BX108" i="5" s="1"/>
  <c r="BX155" i="5"/>
  <c r="BS154" i="4"/>
  <c r="BS201" i="4" s="1"/>
  <c r="BT108" i="5" s="1"/>
  <c r="BT155" i="5"/>
  <c r="BK154" i="4"/>
  <c r="BK201" i="4" s="1"/>
  <c r="BL108" i="5" s="1"/>
  <c r="BL155" i="5"/>
  <c r="BC154" i="4"/>
  <c r="BC201" i="4" s="1"/>
  <c r="BD108" i="5" s="1"/>
  <c r="BD155" i="5"/>
  <c r="AY154" i="4"/>
  <c r="AY201" i="4" s="1"/>
  <c r="AZ108" i="5" s="1"/>
  <c r="AZ155" i="5"/>
  <c r="AQ154" i="4"/>
  <c r="AQ201" i="4" s="1"/>
  <c r="AR108" i="5" s="1"/>
  <c r="AR155" i="5"/>
  <c r="AM154" i="4"/>
  <c r="AM201" i="4" s="1"/>
  <c r="AN108" i="5" s="1"/>
  <c r="AN155" i="5"/>
  <c r="AI154" i="4"/>
  <c r="AI201" i="4" s="1"/>
  <c r="AJ108" i="5" s="1"/>
  <c r="AJ155" i="5"/>
  <c r="AE154" i="4"/>
  <c r="AE201" i="4" s="1"/>
  <c r="AF108" i="5" s="1"/>
  <c r="AF155" i="5"/>
  <c r="AA154" i="4"/>
  <c r="AA201" i="4" s="1"/>
  <c r="AB108" i="5" s="1"/>
  <c r="AB155" i="5"/>
  <c r="W154" i="4"/>
  <c r="W201" i="4" s="1"/>
  <c r="X108" i="5" s="1"/>
  <c r="X155" i="5"/>
  <c r="S154" i="4"/>
  <c r="S201" i="4" s="1"/>
  <c r="T108" i="5" s="1"/>
  <c r="T155" i="5"/>
  <c r="J9" i="10"/>
  <c r="J41" i="10" s="1"/>
  <c r="F69" i="1"/>
  <c r="H113" i="8"/>
  <c r="I113" i="8"/>
  <c r="J113" i="8"/>
  <c r="L113" i="8"/>
  <c r="K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AK113" i="8"/>
  <c r="AL113" i="8"/>
  <c r="AM113" i="8"/>
  <c r="AN113" i="8"/>
  <c r="AO113" i="8"/>
  <c r="AP113" i="8"/>
  <c r="AQ113" i="8"/>
  <c r="AR113" i="8"/>
  <c r="AS113" i="8"/>
  <c r="AT113" i="8"/>
  <c r="AU113" i="8"/>
  <c r="AV113" i="8"/>
  <c r="AW113" i="8"/>
  <c r="AX113" i="8"/>
  <c r="AY113" i="8"/>
  <c r="AZ113" i="8"/>
  <c r="BA113" i="8"/>
  <c r="BB113" i="8"/>
  <c r="BC113" i="8"/>
  <c r="BD113" i="8"/>
  <c r="BE113" i="8"/>
  <c r="BF113" i="8"/>
  <c r="BG113" i="8"/>
  <c r="BH113" i="8"/>
  <c r="BI113" i="8"/>
  <c r="BJ113" i="8"/>
  <c r="BK113" i="8"/>
  <c r="BL113" i="8"/>
  <c r="BM113" i="8"/>
  <c r="BN113" i="8"/>
  <c r="BO113" i="8"/>
  <c r="BP113" i="8"/>
  <c r="BQ113" i="8"/>
  <c r="BR113" i="8"/>
  <c r="BS113" i="8"/>
  <c r="BT113" i="8"/>
  <c r="BU113" i="8"/>
  <c r="BV113" i="8"/>
  <c r="BW113" i="8"/>
  <c r="BX113" i="8"/>
  <c r="BY113" i="8"/>
  <c r="BZ113" i="8"/>
  <c r="CA113" i="8"/>
  <c r="CB113" i="8"/>
  <c r="CC113" i="8"/>
  <c r="CD113" i="8"/>
  <c r="CE113" i="8"/>
  <c r="CF113" i="8"/>
  <c r="CG113" i="8"/>
  <c r="CH113" i="8"/>
  <c r="CI113" i="8"/>
  <c r="CJ113" i="8"/>
  <c r="CK113" i="8"/>
  <c r="CL113" i="8"/>
  <c r="CM113" i="8"/>
  <c r="CN113" i="8"/>
  <c r="CO113" i="8"/>
  <c r="CP113" i="8"/>
  <c r="CQ113" i="8"/>
  <c r="CR113" i="8"/>
  <c r="CS113" i="8"/>
  <c r="CT113" i="8"/>
  <c r="CU113" i="8"/>
  <c r="CV113" i="8"/>
  <c r="CW113" i="8"/>
  <c r="CX113" i="8"/>
  <c r="CY113" i="8"/>
  <c r="CZ113" i="8"/>
  <c r="DA113" i="8"/>
  <c r="DB113" i="8"/>
  <c r="L59" i="1"/>
  <c r="E144" i="8" s="1"/>
  <c r="E59" i="1"/>
  <c r="H152" i="8"/>
  <c r="I152" i="8"/>
  <c r="K152" i="8"/>
  <c r="J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AK152" i="8"/>
  <c r="AL152" i="8"/>
  <c r="AM152" i="8"/>
  <c r="AN152" i="8"/>
  <c r="AO152" i="8"/>
  <c r="AP152" i="8"/>
  <c r="AQ152" i="8"/>
  <c r="AR152" i="8"/>
  <c r="AS152" i="8"/>
  <c r="AT152" i="8"/>
  <c r="AU152" i="8"/>
  <c r="AV152" i="8"/>
  <c r="AW152" i="8"/>
  <c r="AX152" i="8"/>
  <c r="AY152" i="8"/>
  <c r="AZ152" i="8"/>
  <c r="BA152" i="8"/>
  <c r="BB152" i="8"/>
  <c r="BC152" i="8"/>
  <c r="BD152" i="8"/>
  <c r="BE152" i="8"/>
  <c r="BF152" i="8"/>
  <c r="BG152" i="8"/>
  <c r="BH152" i="8"/>
  <c r="BI152" i="8"/>
  <c r="BJ152" i="8"/>
  <c r="BK152" i="8"/>
  <c r="BL152" i="8"/>
  <c r="BM152" i="8"/>
  <c r="BN152" i="8"/>
  <c r="BO152" i="8"/>
  <c r="BP152" i="8"/>
  <c r="BQ152" i="8"/>
  <c r="BR152" i="8"/>
  <c r="BS152" i="8"/>
  <c r="BT152" i="8"/>
  <c r="BU152" i="8"/>
  <c r="BV152" i="8"/>
  <c r="BW152" i="8"/>
  <c r="BX152" i="8"/>
  <c r="BY152" i="8"/>
  <c r="BZ152" i="8"/>
  <c r="CA152" i="8"/>
  <c r="CB152" i="8"/>
  <c r="CC152" i="8"/>
  <c r="CD152" i="8"/>
  <c r="CE152" i="8"/>
  <c r="CF152" i="8"/>
  <c r="CG152" i="8"/>
  <c r="CH152" i="8"/>
  <c r="CI152" i="8"/>
  <c r="CJ152" i="8"/>
  <c r="CK152" i="8"/>
  <c r="CL152" i="8"/>
  <c r="CM152" i="8"/>
  <c r="CN152" i="8"/>
  <c r="CO152" i="8"/>
  <c r="CP152" i="8"/>
  <c r="CQ152" i="8"/>
  <c r="CR152" i="8"/>
  <c r="CS152" i="8"/>
  <c r="CT152" i="8"/>
  <c r="CU152" i="8"/>
  <c r="CV152" i="8"/>
  <c r="CW152" i="8"/>
  <c r="CX152" i="8"/>
  <c r="CY152" i="8"/>
  <c r="CZ152" i="8"/>
  <c r="DA152" i="8"/>
  <c r="DB152" i="8"/>
  <c r="F81" i="8"/>
  <c r="E142" i="8"/>
  <c r="H58" i="1"/>
  <c r="F96" i="8"/>
  <c r="AC59" i="1"/>
  <c r="AC63" i="1"/>
  <c r="AC69" i="1"/>
  <c r="AC60" i="1"/>
  <c r="AC62" i="1"/>
  <c r="AC56" i="1"/>
  <c r="AC68" i="1"/>
  <c r="AC61" i="1"/>
  <c r="AC71" i="1"/>
  <c r="AC53" i="1"/>
  <c r="AC54" i="1"/>
  <c r="AC51" i="1"/>
  <c r="AC57" i="1"/>
  <c r="AC52" i="1"/>
  <c r="AC58" i="1"/>
  <c r="Z33" i="7"/>
  <c r="N18" i="7"/>
  <c r="M38" i="7"/>
  <c r="CS59" i="4"/>
  <c r="CS62" i="4"/>
  <c r="CS61" i="4"/>
  <c r="CS50" i="4"/>
  <c r="CT145" i="5" s="1"/>
  <c r="CS47" i="4"/>
  <c r="CT142" i="5" s="1"/>
  <c r="CS52" i="4"/>
  <c r="CT147" i="5" s="1"/>
  <c r="CS48" i="4"/>
  <c r="CT143" i="5" s="1"/>
  <c r="CS40" i="4"/>
  <c r="CT135" i="5" s="1"/>
  <c r="CS49" i="4"/>
  <c r="CT144" i="5" s="1"/>
  <c r="CS42" i="4"/>
  <c r="CT137" i="5" s="1"/>
  <c r="CS45" i="4"/>
  <c r="CT140" i="5" s="1"/>
  <c r="CS46" i="4"/>
  <c r="CT141" i="5" s="1"/>
  <c r="CS43" i="4"/>
  <c r="CT138" i="5" s="1"/>
  <c r="CS58" i="4"/>
  <c r="CS41" i="4"/>
  <c r="CT136" i="5" s="1"/>
  <c r="CS53" i="4"/>
  <c r="CT148" i="5" s="1"/>
  <c r="CS51" i="4"/>
  <c r="CT146" i="5" s="1"/>
  <c r="CS39" i="4"/>
  <c r="CS44" i="4"/>
  <c r="CT139" i="5" s="1"/>
  <c r="AJ62" i="4"/>
  <c r="AJ58" i="4"/>
  <c r="AJ59" i="4"/>
  <c r="AJ61" i="4"/>
  <c r="AJ49" i="4"/>
  <c r="AK144" i="5" s="1"/>
  <c r="AJ51" i="4"/>
  <c r="AK146" i="5" s="1"/>
  <c r="AJ47" i="4"/>
  <c r="AK142" i="5" s="1"/>
  <c r="AJ39" i="4"/>
  <c r="AJ48" i="4"/>
  <c r="AK143" i="5" s="1"/>
  <c r="AJ44" i="4"/>
  <c r="AK139" i="5" s="1"/>
  <c r="AJ53" i="4"/>
  <c r="AK148" i="5" s="1"/>
  <c r="AJ41" i="4"/>
  <c r="AK136" i="5" s="1"/>
  <c r="AJ42" i="4"/>
  <c r="AK137" i="5" s="1"/>
  <c r="AJ40" i="4"/>
  <c r="AK135" i="5" s="1"/>
  <c r="AJ52" i="4"/>
  <c r="AK147" i="5" s="1"/>
  <c r="AJ46" i="4"/>
  <c r="AK141" i="5" s="1"/>
  <c r="AJ50" i="4"/>
  <c r="AK145" i="5" s="1"/>
  <c r="AJ45" i="4"/>
  <c r="AK140" i="5" s="1"/>
  <c r="AJ43" i="4"/>
  <c r="AK138" i="5" s="1"/>
  <c r="AB62" i="4"/>
  <c r="AB58" i="4"/>
  <c r="AB59" i="4"/>
  <c r="AB49" i="4"/>
  <c r="AC144" i="5" s="1"/>
  <c r="AB51" i="4"/>
  <c r="AC146" i="5" s="1"/>
  <c r="AB47" i="4"/>
  <c r="AC142" i="5" s="1"/>
  <c r="AB52" i="4"/>
  <c r="AC147" i="5" s="1"/>
  <c r="AB39" i="4"/>
  <c r="AB44" i="4"/>
  <c r="AC139" i="5" s="1"/>
  <c r="AB45" i="4"/>
  <c r="AC140" i="5" s="1"/>
  <c r="AB41" i="4"/>
  <c r="AC136" i="5" s="1"/>
  <c r="AB61" i="4"/>
  <c r="AB53" i="4"/>
  <c r="AC148" i="5" s="1"/>
  <c r="AB43" i="4"/>
  <c r="AC138" i="5" s="1"/>
  <c r="AB50" i="4"/>
  <c r="AC145" i="5" s="1"/>
  <c r="AB46" i="4"/>
  <c r="AC141" i="5" s="1"/>
  <c r="AB48" i="4"/>
  <c r="AC143" i="5" s="1"/>
  <c r="AB40" i="4"/>
  <c r="AC135" i="5" s="1"/>
  <c r="AB42" i="4"/>
  <c r="AC137" i="5" s="1"/>
  <c r="CV62" i="4"/>
  <c r="CV58" i="4"/>
  <c r="CV59" i="4"/>
  <c r="CV61" i="4"/>
  <c r="CV49" i="4"/>
  <c r="CW144" i="5" s="1"/>
  <c r="CV46" i="4"/>
  <c r="CW141" i="5" s="1"/>
  <c r="CV51" i="4"/>
  <c r="CW146" i="5" s="1"/>
  <c r="CV47" i="4"/>
  <c r="CW142" i="5" s="1"/>
  <c r="CV39" i="4"/>
  <c r="CV48" i="4"/>
  <c r="CW143" i="5" s="1"/>
  <c r="CV53" i="4"/>
  <c r="CW148" i="5" s="1"/>
  <c r="CV44" i="4"/>
  <c r="CW139" i="5" s="1"/>
  <c r="CV41" i="4"/>
  <c r="CW136" i="5" s="1"/>
  <c r="CV42" i="4"/>
  <c r="CW137" i="5" s="1"/>
  <c r="CV45" i="4"/>
  <c r="CW140" i="5" s="1"/>
  <c r="CV52" i="4"/>
  <c r="CW147" i="5" s="1"/>
  <c r="CV40" i="4"/>
  <c r="CW135" i="5" s="1"/>
  <c r="CV50" i="4"/>
  <c r="CW145" i="5" s="1"/>
  <c r="CV43" i="4"/>
  <c r="CW138" i="5" s="1"/>
  <c r="CJ59" i="4"/>
  <c r="CJ53" i="4"/>
  <c r="CK148" i="5" s="1"/>
  <c r="CJ45" i="4"/>
  <c r="CK140" i="5" s="1"/>
  <c r="CJ62" i="4"/>
  <c r="CJ50" i="4"/>
  <c r="CK145" i="5" s="1"/>
  <c r="CJ58" i="4"/>
  <c r="CJ47" i="4"/>
  <c r="CK142" i="5" s="1"/>
  <c r="CJ51" i="4"/>
  <c r="CK146" i="5" s="1"/>
  <c r="CJ61" i="4"/>
  <c r="CJ48" i="4"/>
  <c r="CK143" i="5" s="1"/>
  <c r="CJ43" i="4"/>
  <c r="CK138" i="5" s="1"/>
  <c r="CJ52" i="4"/>
  <c r="CK147" i="5" s="1"/>
  <c r="CJ40" i="4"/>
  <c r="CK135" i="5" s="1"/>
  <c r="CJ49" i="4"/>
  <c r="CK144" i="5" s="1"/>
  <c r="CJ41" i="4"/>
  <c r="CK136" i="5" s="1"/>
  <c r="CJ46" i="4"/>
  <c r="CK141" i="5" s="1"/>
  <c r="CJ39" i="4"/>
  <c r="CJ44" i="4"/>
  <c r="CK139" i="5" s="1"/>
  <c r="CJ42" i="4"/>
  <c r="CK137" i="5" s="1"/>
  <c r="CB59" i="4"/>
  <c r="CB53" i="4"/>
  <c r="CC148" i="5" s="1"/>
  <c r="CB45" i="4"/>
  <c r="CC140" i="5" s="1"/>
  <c r="CB50" i="4"/>
  <c r="CC145" i="5" s="1"/>
  <c r="CB47" i="4"/>
  <c r="CC142" i="5" s="1"/>
  <c r="CB58" i="4"/>
  <c r="CB51" i="4"/>
  <c r="CC146" i="5" s="1"/>
  <c r="CB43" i="4"/>
  <c r="CC138" i="5" s="1"/>
  <c r="CB61" i="4"/>
  <c r="CB40" i="4"/>
  <c r="CC135" i="5" s="1"/>
  <c r="CB49" i="4"/>
  <c r="CC144" i="5" s="1"/>
  <c r="CB62" i="4"/>
  <c r="CB46" i="4"/>
  <c r="CC141" i="5" s="1"/>
  <c r="CB41" i="4"/>
  <c r="CC136" i="5" s="1"/>
  <c r="CB42" i="4"/>
  <c r="CC137" i="5" s="1"/>
  <c r="CB48" i="4"/>
  <c r="CC143" i="5" s="1"/>
  <c r="CB39" i="4"/>
  <c r="CB52" i="4"/>
  <c r="CC147" i="5" s="1"/>
  <c r="CB44" i="4"/>
  <c r="CC139" i="5" s="1"/>
  <c r="BT59" i="4"/>
  <c r="BT53" i="4"/>
  <c r="BU148" i="5" s="1"/>
  <c r="BT45" i="4"/>
  <c r="BU140" i="5" s="1"/>
  <c r="BT50" i="4"/>
  <c r="BU145" i="5" s="1"/>
  <c r="BT58" i="4"/>
  <c r="BT47" i="4"/>
  <c r="BU142" i="5" s="1"/>
  <c r="BT51" i="4"/>
  <c r="BU146" i="5" s="1"/>
  <c r="BT48" i="4"/>
  <c r="BU143" i="5" s="1"/>
  <c r="BT43" i="4"/>
  <c r="BU138" i="5" s="1"/>
  <c r="BT52" i="4"/>
  <c r="BU147" i="5" s="1"/>
  <c r="BT40" i="4"/>
  <c r="BU135" i="5" s="1"/>
  <c r="BT61" i="4"/>
  <c r="BT62" i="4"/>
  <c r="BT49" i="4"/>
  <c r="BU144" i="5" s="1"/>
  <c r="BT41" i="4"/>
  <c r="BU136" i="5" s="1"/>
  <c r="BT46" i="4"/>
  <c r="BU141" i="5" s="1"/>
  <c r="BT44" i="4"/>
  <c r="BU139" i="5" s="1"/>
  <c r="BT39" i="4"/>
  <c r="BT42" i="4"/>
  <c r="BU137" i="5" s="1"/>
  <c r="BL59" i="4"/>
  <c r="BL53" i="4"/>
  <c r="BM148" i="5" s="1"/>
  <c r="BL45" i="4"/>
  <c r="BM140" i="5" s="1"/>
  <c r="BL50" i="4"/>
  <c r="BM145" i="5" s="1"/>
  <c r="BL62" i="4"/>
  <c r="BL47" i="4"/>
  <c r="BM142" i="5" s="1"/>
  <c r="BL58" i="4"/>
  <c r="BL51" i="4"/>
  <c r="BM146" i="5" s="1"/>
  <c r="BL43" i="4"/>
  <c r="BM138" i="5" s="1"/>
  <c r="BL40" i="4"/>
  <c r="BM135" i="5" s="1"/>
  <c r="BL49" i="4"/>
  <c r="BM144" i="5" s="1"/>
  <c r="BL41" i="4"/>
  <c r="BM136" i="5" s="1"/>
  <c r="BL42" i="4"/>
  <c r="BM137" i="5" s="1"/>
  <c r="BL61" i="4"/>
  <c r="BL52" i="4"/>
  <c r="BM147" i="5" s="1"/>
  <c r="BL48" i="4"/>
  <c r="BM143" i="5" s="1"/>
  <c r="BL46" i="4"/>
  <c r="BM141" i="5" s="1"/>
  <c r="BL39" i="4"/>
  <c r="BL44" i="4"/>
  <c r="BM139" i="5" s="1"/>
  <c r="BH62" i="4"/>
  <c r="BH58" i="4"/>
  <c r="BH59" i="4"/>
  <c r="BH49" i="4"/>
  <c r="BI144" i="5" s="1"/>
  <c r="BH51" i="4"/>
  <c r="BI146" i="5" s="1"/>
  <c r="BH47" i="4"/>
  <c r="BI142" i="5" s="1"/>
  <c r="BH52" i="4"/>
  <c r="BI147" i="5" s="1"/>
  <c r="BH39" i="4"/>
  <c r="BH44" i="4"/>
  <c r="BI139" i="5" s="1"/>
  <c r="BH41" i="4"/>
  <c r="BI136" i="5" s="1"/>
  <c r="BH61" i="4"/>
  <c r="BH53" i="4"/>
  <c r="BI148" i="5" s="1"/>
  <c r="BH45" i="4"/>
  <c r="BI140" i="5" s="1"/>
  <c r="BH46" i="4"/>
  <c r="BI141" i="5" s="1"/>
  <c r="BH43" i="4"/>
  <c r="BI138" i="5" s="1"/>
  <c r="BH50" i="4"/>
  <c r="BI145" i="5" s="1"/>
  <c r="BH48" i="4"/>
  <c r="BI143" i="5" s="1"/>
  <c r="BH40" i="4"/>
  <c r="BI135" i="5" s="1"/>
  <c r="BH42" i="4"/>
  <c r="BI137" i="5" s="1"/>
  <c r="AZ62" i="4"/>
  <c r="AZ58" i="4"/>
  <c r="AZ59" i="4"/>
  <c r="AZ61" i="4"/>
  <c r="AZ49" i="4"/>
  <c r="BA144" i="5" s="1"/>
  <c r="AZ51" i="4"/>
  <c r="BA146" i="5" s="1"/>
  <c r="AZ47" i="4"/>
  <c r="BA142" i="5" s="1"/>
  <c r="AZ39" i="4"/>
  <c r="AZ48" i="4"/>
  <c r="BA143" i="5" s="1"/>
  <c r="AZ44" i="4"/>
  <c r="BA139" i="5" s="1"/>
  <c r="AZ53" i="4"/>
  <c r="BA148" i="5" s="1"/>
  <c r="AZ41" i="4"/>
  <c r="BA136" i="5" s="1"/>
  <c r="AZ46" i="4"/>
  <c r="BA141" i="5" s="1"/>
  <c r="AZ50" i="4"/>
  <c r="BA145" i="5" s="1"/>
  <c r="AZ42" i="4"/>
  <c r="BA137" i="5" s="1"/>
  <c r="AZ40" i="4"/>
  <c r="BA135" i="5" s="1"/>
  <c r="AZ52" i="4"/>
  <c r="BA147" i="5" s="1"/>
  <c r="AZ43" i="4"/>
  <c r="BA138" i="5" s="1"/>
  <c r="AZ45" i="4"/>
  <c r="BA140" i="5" s="1"/>
  <c r="AV59" i="4"/>
  <c r="AV53" i="4"/>
  <c r="AW148" i="5" s="1"/>
  <c r="AV45" i="4"/>
  <c r="AW140" i="5" s="1"/>
  <c r="AV62" i="4"/>
  <c r="AV50" i="4"/>
  <c r="AW145" i="5" s="1"/>
  <c r="AV47" i="4"/>
  <c r="AW142" i="5" s="1"/>
  <c r="AV58" i="4"/>
  <c r="AV51" i="4"/>
  <c r="AW146" i="5" s="1"/>
  <c r="AV43" i="4"/>
  <c r="AW138" i="5" s="1"/>
  <c r="AV61" i="4"/>
  <c r="AV40" i="4"/>
  <c r="AW135" i="5" s="1"/>
  <c r="AV49" i="4"/>
  <c r="AW144" i="5" s="1"/>
  <c r="AV46" i="4"/>
  <c r="AW141" i="5" s="1"/>
  <c r="AV41" i="4"/>
  <c r="AW136" i="5" s="1"/>
  <c r="AV42" i="4"/>
  <c r="AW137" i="5" s="1"/>
  <c r="AV48" i="4"/>
  <c r="AW143" i="5" s="1"/>
  <c r="AV39" i="4"/>
  <c r="AV52" i="4"/>
  <c r="AW147" i="5" s="1"/>
  <c r="AV44" i="4"/>
  <c r="AW139" i="5" s="1"/>
  <c r="DL62" i="4"/>
  <c r="DL58" i="4"/>
  <c r="DL59" i="4"/>
  <c r="DL61" i="4"/>
  <c r="DL49" i="4"/>
  <c r="DM144" i="5" s="1"/>
  <c r="DL46" i="4"/>
  <c r="DM141" i="5" s="1"/>
  <c r="DL51" i="4"/>
  <c r="DM146" i="5" s="1"/>
  <c r="DL47" i="4"/>
  <c r="DM142" i="5" s="1"/>
  <c r="DL39" i="4"/>
  <c r="DL48" i="4"/>
  <c r="DM143" i="5" s="1"/>
  <c r="DL53" i="4"/>
  <c r="DM148" i="5" s="1"/>
  <c r="DL41" i="4"/>
  <c r="DM136" i="5" s="1"/>
  <c r="DL50" i="4"/>
  <c r="DM145" i="5" s="1"/>
  <c r="DL42" i="4"/>
  <c r="DM137" i="5" s="1"/>
  <c r="DL40" i="4"/>
  <c r="DM135" i="5" s="1"/>
  <c r="DL45" i="4"/>
  <c r="DM140" i="5" s="1"/>
  <c r="DL52" i="4"/>
  <c r="DM147" i="5" s="1"/>
  <c r="DL44" i="4"/>
  <c r="DM139" i="5" s="1"/>
  <c r="DL43" i="4"/>
  <c r="DM138" i="5" s="1"/>
  <c r="DD62" i="4"/>
  <c r="DD58" i="4"/>
  <c r="DD59" i="4"/>
  <c r="DD49" i="4"/>
  <c r="DE144" i="5" s="1"/>
  <c r="DD46" i="4"/>
  <c r="DE141" i="5" s="1"/>
  <c r="DD51" i="4"/>
  <c r="DE146" i="5" s="1"/>
  <c r="DD47" i="4"/>
  <c r="DE142" i="5" s="1"/>
  <c r="DD52" i="4"/>
  <c r="DE147" i="5" s="1"/>
  <c r="DD39" i="4"/>
  <c r="DD61" i="4"/>
  <c r="DD41" i="4"/>
  <c r="DE136" i="5" s="1"/>
  <c r="DD53" i="4"/>
  <c r="DE148" i="5" s="1"/>
  <c r="DD50" i="4"/>
  <c r="DE145" i="5" s="1"/>
  <c r="DD44" i="4"/>
  <c r="DE139" i="5" s="1"/>
  <c r="DD43" i="4"/>
  <c r="DE138" i="5" s="1"/>
  <c r="DD48" i="4"/>
  <c r="DE143" i="5" s="1"/>
  <c r="DD45" i="4"/>
  <c r="DE140" i="5" s="1"/>
  <c r="DD40" i="4"/>
  <c r="DE135" i="5" s="1"/>
  <c r="DD42" i="4"/>
  <c r="DE137" i="5" s="1"/>
  <c r="CZ59" i="4"/>
  <c r="CZ53" i="4"/>
  <c r="DA148" i="5" s="1"/>
  <c r="CZ45" i="4"/>
  <c r="DA140" i="5" s="1"/>
  <c r="CZ50" i="4"/>
  <c r="DA145" i="5" s="1"/>
  <c r="CZ58" i="4"/>
  <c r="CZ47" i="4"/>
  <c r="DA142" i="5" s="1"/>
  <c r="CZ62" i="4"/>
  <c r="CZ51" i="4"/>
  <c r="DA146" i="5" s="1"/>
  <c r="CZ48" i="4"/>
  <c r="DA143" i="5" s="1"/>
  <c r="CZ43" i="4"/>
  <c r="DA138" i="5" s="1"/>
  <c r="CZ52" i="4"/>
  <c r="DA147" i="5" s="1"/>
  <c r="CZ40" i="4"/>
  <c r="DA135" i="5" s="1"/>
  <c r="CZ61" i="4"/>
  <c r="CZ49" i="4"/>
  <c r="DA144" i="5" s="1"/>
  <c r="CZ44" i="4"/>
  <c r="DA139" i="5" s="1"/>
  <c r="CZ41" i="4"/>
  <c r="DA136" i="5" s="1"/>
  <c r="CZ39" i="4"/>
  <c r="CZ46" i="4"/>
  <c r="DA141" i="5" s="1"/>
  <c r="CZ42" i="4"/>
  <c r="DA137" i="5" s="1"/>
  <c r="CN62" i="4"/>
  <c r="CN58" i="4"/>
  <c r="CN59" i="4"/>
  <c r="CN49" i="4"/>
  <c r="CO144" i="5" s="1"/>
  <c r="CN51" i="4"/>
  <c r="CO146" i="5" s="1"/>
  <c r="CN47" i="4"/>
  <c r="CO142" i="5" s="1"/>
  <c r="CN52" i="4"/>
  <c r="CO147" i="5" s="1"/>
  <c r="CN39" i="4"/>
  <c r="CN44" i="4"/>
  <c r="CO139" i="5" s="1"/>
  <c r="CN45" i="4"/>
  <c r="CO140" i="5" s="1"/>
  <c r="CN41" i="4"/>
  <c r="CO136" i="5" s="1"/>
  <c r="CN61" i="4"/>
  <c r="CN53" i="4"/>
  <c r="CO148" i="5" s="1"/>
  <c r="CN46" i="4"/>
  <c r="CO141" i="5" s="1"/>
  <c r="CN43" i="4"/>
  <c r="CO138" i="5" s="1"/>
  <c r="CN50" i="4"/>
  <c r="CO145" i="5" s="1"/>
  <c r="CN48" i="4"/>
  <c r="CO143" i="5" s="1"/>
  <c r="CN40" i="4"/>
  <c r="CO135" i="5" s="1"/>
  <c r="CN42" i="4"/>
  <c r="CO137" i="5" s="1"/>
  <c r="CF62" i="4"/>
  <c r="CF58" i="4"/>
  <c r="CF59" i="4"/>
  <c r="CF61" i="4"/>
  <c r="CF49" i="4"/>
  <c r="CG144" i="5" s="1"/>
  <c r="CF51" i="4"/>
  <c r="CG146" i="5" s="1"/>
  <c r="CF47" i="4"/>
  <c r="CG142" i="5" s="1"/>
  <c r="CF39" i="4"/>
  <c r="CF48" i="4"/>
  <c r="CG143" i="5" s="1"/>
  <c r="CF45" i="4"/>
  <c r="CG140" i="5" s="1"/>
  <c r="CF44" i="4"/>
  <c r="CG139" i="5" s="1"/>
  <c r="CF53" i="4"/>
  <c r="CG148" i="5" s="1"/>
  <c r="CF46" i="4"/>
  <c r="CG141" i="5" s="1"/>
  <c r="CF41" i="4"/>
  <c r="CG136" i="5" s="1"/>
  <c r="CF50" i="4"/>
  <c r="CG145" i="5" s="1"/>
  <c r="CF42" i="4"/>
  <c r="CG137" i="5" s="1"/>
  <c r="CF40" i="4"/>
  <c r="CG135" i="5" s="1"/>
  <c r="CF52" i="4"/>
  <c r="CG147" i="5" s="1"/>
  <c r="CF43" i="4"/>
  <c r="CG138" i="5" s="1"/>
  <c r="BX62" i="4"/>
  <c r="BX58" i="4"/>
  <c r="BX59" i="4"/>
  <c r="BX49" i="4"/>
  <c r="BY144" i="5" s="1"/>
  <c r="BX51" i="4"/>
  <c r="BY146" i="5" s="1"/>
  <c r="BX47" i="4"/>
  <c r="BY142" i="5" s="1"/>
  <c r="BX52" i="4"/>
  <c r="BY147" i="5" s="1"/>
  <c r="BX45" i="4"/>
  <c r="BY140" i="5" s="1"/>
  <c r="BX39" i="4"/>
  <c r="BX46" i="4"/>
  <c r="BY141" i="5" s="1"/>
  <c r="BX44" i="4"/>
  <c r="BY139" i="5" s="1"/>
  <c r="BX61" i="4"/>
  <c r="BX41" i="4"/>
  <c r="BY136" i="5" s="1"/>
  <c r="BX53" i="4"/>
  <c r="BY148" i="5" s="1"/>
  <c r="BX50" i="4"/>
  <c r="BY145" i="5" s="1"/>
  <c r="BX43" i="4"/>
  <c r="BY138" i="5" s="1"/>
  <c r="BX48" i="4"/>
  <c r="BY143" i="5" s="1"/>
  <c r="BX40" i="4"/>
  <c r="BY135" i="5" s="1"/>
  <c r="BX42" i="4"/>
  <c r="BY137" i="5" s="1"/>
  <c r="BP62" i="4"/>
  <c r="BP58" i="4"/>
  <c r="BP59" i="4"/>
  <c r="BP61" i="4"/>
  <c r="BP49" i="4"/>
  <c r="BQ144" i="5" s="1"/>
  <c r="BP51" i="4"/>
  <c r="BQ146" i="5" s="1"/>
  <c r="BP47" i="4"/>
  <c r="BQ142" i="5" s="1"/>
  <c r="BP46" i="4"/>
  <c r="BQ141" i="5" s="1"/>
  <c r="BP39" i="4"/>
  <c r="BP48" i="4"/>
  <c r="BQ143" i="5" s="1"/>
  <c r="BP44" i="4"/>
  <c r="BQ139" i="5" s="1"/>
  <c r="BP53" i="4"/>
  <c r="BQ148" i="5" s="1"/>
  <c r="BP41" i="4"/>
  <c r="BQ136" i="5" s="1"/>
  <c r="BP45" i="4"/>
  <c r="BQ140" i="5" s="1"/>
  <c r="BP42" i="4"/>
  <c r="BQ137" i="5" s="1"/>
  <c r="BP40" i="4"/>
  <c r="BQ135" i="5" s="1"/>
  <c r="BP52" i="4"/>
  <c r="BQ147" i="5" s="1"/>
  <c r="BP50" i="4"/>
  <c r="BQ145" i="5" s="1"/>
  <c r="BP43" i="4"/>
  <c r="BQ138" i="5" s="1"/>
  <c r="BD59" i="4"/>
  <c r="BD53" i="4"/>
  <c r="BE148" i="5" s="1"/>
  <c r="BD45" i="4"/>
  <c r="BE140" i="5" s="1"/>
  <c r="BD50" i="4"/>
  <c r="BE145" i="5" s="1"/>
  <c r="BD58" i="4"/>
  <c r="BD47" i="4"/>
  <c r="BE142" i="5" s="1"/>
  <c r="BD51" i="4"/>
  <c r="BE146" i="5" s="1"/>
  <c r="BD61" i="4"/>
  <c r="BD48" i="4"/>
  <c r="BE143" i="5" s="1"/>
  <c r="BD43" i="4"/>
  <c r="BE138" i="5" s="1"/>
  <c r="BD52" i="4"/>
  <c r="BE147" i="5" s="1"/>
  <c r="BD40" i="4"/>
  <c r="BE135" i="5" s="1"/>
  <c r="BD49" i="4"/>
  <c r="BE144" i="5" s="1"/>
  <c r="BD41" i="4"/>
  <c r="BE136" i="5" s="1"/>
  <c r="BD62" i="4"/>
  <c r="BD44" i="4"/>
  <c r="BE139" i="5" s="1"/>
  <c r="BD46" i="4"/>
  <c r="BE141" i="5" s="1"/>
  <c r="BD39" i="4"/>
  <c r="BD42" i="4"/>
  <c r="BE137" i="5" s="1"/>
  <c r="AR62" i="4"/>
  <c r="AR58" i="4"/>
  <c r="AR59" i="4"/>
  <c r="AR49" i="4"/>
  <c r="AS144" i="5" s="1"/>
  <c r="AR51" i="4"/>
  <c r="AS146" i="5" s="1"/>
  <c r="AR47" i="4"/>
  <c r="AS142" i="5" s="1"/>
  <c r="AR52" i="4"/>
  <c r="AS147" i="5" s="1"/>
  <c r="AR39" i="4"/>
  <c r="AR44" i="4"/>
  <c r="AS139" i="5" s="1"/>
  <c r="AR61" i="4"/>
  <c r="AR41" i="4"/>
  <c r="AS136" i="5" s="1"/>
  <c r="AR53" i="4"/>
  <c r="AS148" i="5" s="1"/>
  <c r="AR48" i="4"/>
  <c r="AS143" i="5" s="1"/>
  <c r="AR50" i="4"/>
  <c r="AS145" i="5" s="1"/>
  <c r="AR45" i="4"/>
  <c r="AS140" i="5" s="1"/>
  <c r="AR43" i="4"/>
  <c r="AS138" i="5" s="1"/>
  <c r="AR46" i="4"/>
  <c r="AS141" i="5" s="1"/>
  <c r="AR40" i="4"/>
  <c r="AS135" i="5" s="1"/>
  <c r="AR42" i="4"/>
  <c r="AS137" i="5" s="1"/>
  <c r="AN59" i="4"/>
  <c r="AN53" i="4"/>
  <c r="AO148" i="5" s="1"/>
  <c r="AN45" i="4"/>
  <c r="AO140" i="5" s="1"/>
  <c r="AN50" i="4"/>
  <c r="AO145" i="5" s="1"/>
  <c r="AN58" i="4"/>
  <c r="AN47" i="4"/>
  <c r="AO142" i="5" s="1"/>
  <c r="AN51" i="4"/>
  <c r="AO146" i="5" s="1"/>
  <c r="AN48" i="4"/>
  <c r="AO143" i="5" s="1"/>
  <c r="AN43" i="4"/>
  <c r="AO138" i="5" s="1"/>
  <c r="AN52" i="4"/>
  <c r="AO147" i="5" s="1"/>
  <c r="AN46" i="4"/>
  <c r="AO141" i="5" s="1"/>
  <c r="AN40" i="4"/>
  <c r="AO135" i="5" s="1"/>
  <c r="AN62" i="4"/>
  <c r="AN61" i="4"/>
  <c r="AN49" i="4"/>
  <c r="AO144" i="5" s="1"/>
  <c r="AN41" i="4"/>
  <c r="AO136" i="5" s="1"/>
  <c r="AN39" i="4"/>
  <c r="AN44" i="4"/>
  <c r="AO139" i="5" s="1"/>
  <c r="AN42" i="4"/>
  <c r="AO137" i="5" s="1"/>
  <c r="AF59" i="4"/>
  <c r="AF53" i="4"/>
  <c r="AG148" i="5" s="1"/>
  <c r="AF45" i="4"/>
  <c r="AG140" i="5" s="1"/>
  <c r="AF62" i="4"/>
  <c r="AF50" i="4"/>
  <c r="AG145" i="5" s="1"/>
  <c r="AF47" i="4"/>
  <c r="AG142" i="5" s="1"/>
  <c r="AF58" i="4"/>
  <c r="AF51" i="4"/>
  <c r="AG146" i="5" s="1"/>
  <c r="AF46" i="4"/>
  <c r="AG141" i="5" s="1"/>
  <c r="AF43" i="4"/>
  <c r="AG138" i="5" s="1"/>
  <c r="AF40" i="4"/>
  <c r="AG135" i="5" s="1"/>
  <c r="AF49" i="4"/>
  <c r="AG144" i="5" s="1"/>
  <c r="AF41" i="4"/>
  <c r="AG136" i="5" s="1"/>
  <c r="AF42" i="4"/>
  <c r="AG137" i="5" s="1"/>
  <c r="AF52" i="4"/>
  <c r="AG147" i="5" s="1"/>
  <c r="AF61" i="4"/>
  <c r="AF48" i="4"/>
  <c r="AG143" i="5" s="1"/>
  <c r="AF39" i="4"/>
  <c r="AF44" i="4"/>
  <c r="AG139" i="5" s="1"/>
  <c r="X59" i="4"/>
  <c r="X53" i="4"/>
  <c r="Y148" i="5" s="1"/>
  <c r="X45" i="4"/>
  <c r="Y140" i="5" s="1"/>
  <c r="X50" i="4"/>
  <c r="Y145" i="5" s="1"/>
  <c r="X58" i="4"/>
  <c r="X47" i="4"/>
  <c r="Y142" i="5" s="1"/>
  <c r="X51" i="4"/>
  <c r="Y146" i="5" s="1"/>
  <c r="X61" i="4"/>
  <c r="X48" i="4"/>
  <c r="Y143" i="5" s="1"/>
  <c r="X43" i="4"/>
  <c r="Y138" i="5" s="1"/>
  <c r="X52" i="4"/>
  <c r="Y147" i="5" s="1"/>
  <c r="X40" i="4"/>
  <c r="Y135" i="5" s="1"/>
  <c r="X49" i="4"/>
  <c r="Y144" i="5" s="1"/>
  <c r="X41" i="4"/>
  <c r="Y136" i="5" s="1"/>
  <c r="X46" i="4"/>
  <c r="Y141" i="5" s="1"/>
  <c r="X62" i="4"/>
  <c r="X44" i="4"/>
  <c r="Y139" i="5" s="1"/>
  <c r="X39" i="4"/>
  <c r="X42" i="4"/>
  <c r="Y137" i="5" s="1"/>
  <c r="T62" i="4"/>
  <c r="T58" i="4"/>
  <c r="T59" i="4"/>
  <c r="T61" i="4"/>
  <c r="T49" i="4"/>
  <c r="U144" i="5" s="1"/>
  <c r="T51" i="4"/>
  <c r="U146" i="5" s="1"/>
  <c r="T47" i="4"/>
  <c r="U142" i="5" s="1"/>
  <c r="T39" i="4"/>
  <c r="T48" i="4"/>
  <c r="U143" i="5" s="1"/>
  <c r="T45" i="4"/>
  <c r="U140" i="5" s="1"/>
  <c r="T44" i="4"/>
  <c r="U139" i="5" s="1"/>
  <c r="T53" i="4"/>
  <c r="U148" i="5" s="1"/>
  <c r="T46" i="4"/>
  <c r="U141" i="5" s="1"/>
  <c r="T41" i="4"/>
  <c r="U136" i="5" s="1"/>
  <c r="T50" i="4"/>
  <c r="U145" i="5" s="1"/>
  <c r="T42" i="4"/>
  <c r="U137" i="5" s="1"/>
  <c r="T40" i="4"/>
  <c r="U135" i="5" s="1"/>
  <c r="T52" i="4"/>
  <c r="U147" i="5" s="1"/>
  <c r="T43" i="4"/>
  <c r="U138" i="5" s="1"/>
  <c r="CW58" i="4"/>
  <c r="CW61" i="4"/>
  <c r="CW46" i="4"/>
  <c r="CX141" i="5" s="1"/>
  <c r="CW51" i="4"/>
  <c r="CX146" i="5" s="1"/>
  <c r="CW59" i="4"/>
  <c r="CW48" i="4"/>
  <c r="CX143" i="5" s="1"/>
  <c r="CW52" i="4"/>
  <c r="CX147" i="5" s="1"/>
  <c r="CW49" i="4"/>
  <c r="CX144" i="5" s="1"/>
  <c r="CW62" i="4"/>
  <c r="CW53" i="4"/>
  <c r="CX148" i="5" s="1"/>
  <c r="CW44" i="4"/>
  <c r="CX139" i="5" s="1"/>
  <c r="CW41" i="4"/>
  <c r="CX136" i="5" s="1"/>
  <c r="CW45" i="4"/>
  <c r="CX140" i="5" s="1"/>
  <c r="CW50" i="4"/>
  <c r="CX145" i="5" s="1"/>
  <c r="CW42" i="4"/>
  <c r="CX137" i="5" s="1"/>
  <c r="CW40" i="4"/>
  <c r="CX135" i="5" s="1"/>
  <c r="CW47" i="4"/>
  <c r="CX142" i="5" s="1"/>
  <c r="CW43" i="4"/>
  <c r="CX138" i="5" s="1"/>
  <c r="CW39" i="4"/>
  <c r="AQ62" i="4"/>
  <c r="AQ58" i="4"/>
  <c r="AQ52" i="4"/>
  <c r="AR147" i="5" s="1"/>
  <c r="AQ49" i="4"/>
  <c r="AR144" i="5" s="1"/>
  <c r="AQ50" i="4"/>
  <c r="AR145" i="5" s="1"/>
  <c r="AQ47" i="4"/>
  <c r="AR142" i="5" s="1"/>
  <c r="AQ42" i="4"/>
  <c r="AR137" i="5" s="1"/>
  <c r="AQ51" i="4"/>
  <c r="AR146" i="5" s="1"/>
  <c r="AQ39" i="4"/>
  <c r="AQ44" i="4"/>
  <c r="AR139" i="5" s="1"/>
  <c r="AQ61" i="4"/>
  <c r="AQ48" i="4"/>
  <c r="AR143" i="5" s="1"/>
  <c r="AQ46" i="4"/>
  <c r="AR141" i="5" s="1"/>
  <c r="AQ40" i="4"/>
  <c r="AR135" i="5" s="1"/>
  <c r="AQ53" i="4"/>
  <c r="AR148" i="5" s="1"/>
  <c r="AQ45" i="4"/>
  <c r="AR140" i="5" s="1"/>
  <c r="AQ43" i="4"/>
  <c r="AR138" i="5" s="1"/>
  <c r="AQ59" i="4"/>
  <c r="AQ41" i="4"/>
  <c r="AR136" i="5" s="1"/>
  <c r="AM61" i="4"/>
  <c r="AM58" i="4"/>
  <c r="AM59" i="4"/>
  <c r="AM48" i="4"/>
  <c r="AN143" i="5" s="1"/>
  <c r="AM53" i="4"/>
  <c r="AN148" i="5" s="1"/>
  <c r="AM50" i="4"/>
  <c r="AN145" i="5" s="1"/>
  <c r="AM62" i="4"/>
  <c r="AM45" i="4"/>
  <c r="AN140" i="5" s="1"/>
  <c r="AM47" i="4"/>
  <c r="AN142" i="5" s="1"/>
  <c r="AM43" i="4"/>
  <c r="AN138" i="5" s="1"/>
  <c r="AM52" i="4"/>
  <c r="AN147" i="5" s="1"/>
  <c r="AM46" i="4"/>
  <c r="AN141" i="5" s="1"/>
  <c r="AM40" i="4"/>
  <c r="AN135" i="5" s="1"/>
  <c r="AM44" i="4"/>
  <c r="AN139" i="5" s="1"/>
  <c r="AM41" i="4"/>
  <c r="AN136" i="5" s="1"/>
  <c r="AM51" i="4"/>
  <c r="AN146" i="5" s="1"/>
  <c r="AM39" i="4"/>
  <c r="AM49" i="4"/>
  <c r="AN144" i="5" s="1"/>
  <c r="AM42" i="4"/>
  <c r="AN137" i="5" s="1"/>
  <c r="AI62" i="4"/>
  <c r="AI58" i="4"/>
  <c r="AI52" i="4"/>
  <c r="AJ147" i="5" s="1"/>
  <c r="AI61" i="4"/>
  <c r="AI49" i="4"/>
  <c r="AJ144" i="5" s="1"/>
  <c r="AI50" i="4"/>
  <c r="AJ145" i="5" s="1"/>
  <c r="AI42" i="4"/>
  <c r="AJ137" i="5" s="1"/>
  <c r="AI39" i="4"/>
  <c r="AI48" i="4"/>
  <c r="AJ143" i="5" s="1"/>
  <c r="AI44" i="4"/>
  <c r="AJ139" i="5" s="1"/>
  <c r="AI40" i="4"/>
  <c r="AJ135" i="5" s="1"/>
  <c r="AI53" i="4"/>
  <c r="AJ148" i="5" s="1"/>
  <c r="AI41" i="4"/>
  <c r="AJ136" i="5" s="1"/>
  <c r="AI46" i="4"/>
  <c r="AJ141" i="5" s="1"/>
  <c r="AI51" i="4"/>
  <c r="AJ146" i="5" s="1"/>
  <c r="AI59" i="4"/>
  <c r="AI47" i="4"/>
  <c r="AJ142" i="5" s="1"/>
  <c r="AI45" i="4"/>
  <c r="AJ140" i="5" s="1"/>
  <c r="AI43" i="4"/>
  <c r="AJ138" i="5" s="1"/>
  <c r="AE61" i="4"/>
  <c r="AE58" i="4"/>
  <c r="AE48" i="4"/>
  <c r="AF143" i="5" s="1"/>
  <c r="AE53" i="4"/>
  <c r="AF148" i="5" s="1"/>
  <c r="AE62" i="4"/>
  <c r="AE50" i="4"/>
  <c r="AF145" i="5" s="1"/>
  <c r="AE51" i="4"/>
  <c r="AF146" i="5" s="1"/>
  <c r="AE46" i="4"/>
  <c r="AF141" i="5" s="1"/>
  <c r="AE43" i="4"/>
  <c r="AF138" i="5" s="1"/>
  <c r="AE40" i="4"/>
  <c r="AF135" i="5" s="1"/>
  <c r="AE59" i="4"/>
  <c r="AE52" i="4"/>
  <c r="AF147" i="5" s="1"/>
  <c r="AE44" i="4"/>
  <c r="AF139" i="5" s="1"/>
  <c r="AE45" i="4"/>
  <c r="AF140" i="5" s="1"/>
  <c r="AE42" i="4"/>
  <c r="AF137" i="5" s="1"/>
  <c r="AE49" i="4"/>
  <c r="AF144" i="5" s="1"/>
  <c r="AE47" i="4"/>
  <c r="AF142" i="5" s="1"/>
  <c r="AE39" i="4"/>
  <c r="AE41" i="4"/>
  <c r="AF136" i="5" s="1"/>
  <c r="AA62" i="4"/>
  <c r="AA58" i="4"/>
  <c r="AA52" i="4"/>
  <c r="AB147" i="5" s="1"/>
  <c r="AA49" i="4"/>
  <c r="AB144" i="5" s="1"/>
  <c r="AA50" i="4"/>
  <c r="AB145" i="5" s="1"/>
  <c r="AA59" i="4"/>
  <c r="AA47" i="4"/>
  <c r="AB142" i="5" s="1"/>
  <c r="AA42" i="4"/>
  <c r="AB137" i="5" s="1"/>
  <c r="AA51" i="4"/>
  <c r="AB146" i="5" s="1"/>
  <c r="AA39" i="4"/>
  <c r="AA44" i="4"/>
  <c r="AB139" i="5" s="1"/>
  <c r="AA48" i="4"/>
  <c r="AB143" i="5" s="1"/>
  <c r="AA40" i="4"/>
  <c r="AB135" i="5" s="1"/>
  <c r="AA45" i="4"/>
  <c r="AB140" i="5" s="1"/>
  <c r="AA43" i="4"/>
  <c r="AB138" i="5" s="1"/>
  <c r="AA53" i="4"/>
  <c r="AB148" i="5" s="1"/>
  <c r="AA41" i="4"/>
  <c r="AB136" i="5" s="1"/>
  <c r="AA61" i="4"/>
  <c r="AA46" i="4"/>
  <c r="AB141" i="5" s="1"/>
  <c r="W61" i="4"/>
  <c r="W58" i="4"/>
  <c r="W59" i="4"/>
  <c r="W48" i="4"/>
  <c r="X143" i="5" s="1"/>
  <c r="W53" i="4"/>
  <c r="X148" i="5" s="1"/>
  <c r="W50" i="4"/>
  <c r="X145" i="5" s="1"/>
  <c r="W62" i="4"/>
  <c r="W46" i="4"/>
  <c r="X141" i="5" s="1"/>
  <c r="W47" i="4"/>
  <c r="X142" i="5" s="1"/>
  <c r="W43" i="4"/>
  <c r="X138" i="5" s="1"/>
  <c r="W52" i="4"/>
  <c r="X147" i="5" s="1"/>
  <c r="W40" i="4"/>
  <c r="X135" i="5" s="1"/>
  <c r="W45" i="4"/>
  <c r="X140" i="5" s="1"/>
  <c r="W44" i="4"/>
  <c r="X139" i="5" s="1"/>
  <c r="W49" i="4"/>
  <c r="X144" i="5" s="1"/>
  <c r="W41" i="4"/>
  <c r="X136" i="5" s="1"/>
  <c r="W39" i="4"/>
  <c r="W51" i="4"/>
  <c r="X146" i="5" s="1"/>
  <c r="W42" i="4"/>
  <c r="X137" i="5" s="1"/>
  <c r="S62" i="4"/>
  <c r="S58" i="4"/>
  <c r="S52" i="4"/>
  <c r="T147" i="5" s="1"/>
  <c r="S61" i="4"/>
  <c r="S49" i="4"/>
  <c r="T144" i="5" s="1"/>
  <c r="S50" i="4"/>
  <c r="T145" i="5" s="1"/>
  <c r="S42" i="4"/>
  <c r="T137" i="5" s="1"/>
  <c r="S59" i="4"/>
  <c r="S39" i="4"/>
  <c r="S48" i="4"/>
  <c r="T143" i="5" s="1"/>
  <c r="S45" i="4"/>
  <c r="T140" i="5" s="1"/>
  <c r="S44" i="4"/>
  <c r="T139" i="5" s="1"/>
  <c r="S40" i="4"/>
  <c r="T135" i="5" s="1"/>
  <c r="S46" i="4"/>
  <c r="T141" i="5" s="1"/>
  <c r="S41" i="4"/>
  <c r="T136" i="5" s="1"/>
  <c r="S47" i="4"/>
  <c r="T142" i="5" s="1"/>
  <c r="S53" i="4"/>
  <c r="T148" i="5" s="1"/>
  <c r="S51" i="4"/>
  <c r="T146" i="5" s="1"/>
  <c r="S43" i="4"/>
  <c r="T138" i="5" s="1"/>
  <c r="BC61" i="4"/>
  <c r="BC58" i="4"/>
  <c r="BC59" i="4"/>
  <c r="BC48" i="4"/>
  <c r="BD143" i="5" s="1"/>
  <c r="BC53" i="4"/>
  <c r="BD148" i="5" s="1"/>
  <c r="BC50" i="4"/>
  <c r="BD145" i="5" s="1"/>
  <c r="BC62" i="4"/>
  <c r="BC47" i="4"/>
  <c r="BD142" i="5" s="1"/>
  <c r="BC43" i="4"/>
  <c r="BD138" i="5" s="1"/>
  <c r="BC52" i="4"/>
  <c r="BD147" i="5" s="1"/>
  <c r="BC45" i="4"/>
  <c r="BD140" i="5" s="1"/>
  <c r="BC40" i="4"/>
  <c r="BD135" i="5" s="1"/>
  <c r="BC44" i="4"/>
  <c r="BD139" i="5" s="1"/>
  <c r="BC49" i="4"/>
  <c r="BD144" i="5" s="1"/>
  <c r="BC41" i="4"/>
  <c r="BD136" i="5" s="1"/>
  <c r="BC46" i="4"/>
  <c r="BD141" i="5" s="1"/>
  <c r="BC39" i="4"/>
  <c r="BC51" i="4"/>
  <c r="BD146" i="5" s="1"/>
  <c r="BC42" i="4"/>
  <c r="BD137" i="5" s="1"/>
  <c r="DK62" i="4"/>
  <c r="DK58" i="4"/>
  <c r="DK52" i="4"/>
  <c r="DL147" i="5" s="1"/>
  <c r="DK44" i="4"/>
  <c r="DL139" i="5" s="1"/>
  <c r="DK61" i="4"/>
  <c r="DK49" i="4"/>
  <c r="DL144" i="5" s="1"/>
  <c r="DK46" i="4"/>
  <c r="DL141" i="5" s="1"/>
  <c r="DK50" i="4"/>
  <c r="DL145" i="5" s="1"/>
  <c r="DK42" i="4"/>
  <c r="DL137" i="5" s="1"/>
  <c r="DK59" i="4"/>
  <c r="DK39" i="4"/>
  <c r="DK48" i="4"/>
  <c r="DL143" i="5" s="1"/>
  <c r="DK53" i="4"/>
  <c r="DL148" i="5" s="1"/>
  <c r="DK45" i="4"/>
  <c r="DL140" i="5" s="1"/>
  <c r="DK40" i="4"/>
  <c r="DL135" i="5" s="1"/>
  <c r="DK41" i="4"/>
  <c r="DL136" i="5" s="1"/>
  <c r="DK47" i="4"/>
  <c r="DL142" i="5" s="1"/>
  <c r="DK51" i="4"/>
  <c r="DL146" i="5" s="1"/>
  <c r="DK43" i="4"/>
  <c r="DL138" i="5" s="1"/>
  <c r="CU62" i="4"/>
  <c r="CU58" i="4"/>
  <c r="CU52" i="4"/>
  <c r="CV147" i="5" s="1"/>
  <c r="CU44" i="4"/>
  <c r="CV139" i="5" s="1"/>
  <c r="CU61" i="4"/>
  <c r="CU49" i="4"/>
  <c r="CV144" i="5" s="1"/>
  <c r="CU50" i="4"/>
  <c r="CV145" i="5" s="1"/>
  <c r="CU42" i="4"/>
  <c r="CV137" i="5" s="1"/>
  <c r="CU39" i="4"/>
  <c r="CU48" i="4"/>
  <c r="CV143" i="5" s="1"/>
  <c r="CU53" i="4"/>
  <c r="CV148" i="5" s="1"/>
  <c r="CU40" i="4"/>
  <c r="CV135" i="5" s="1"/>
  <c r="CU41" i="4"/>
  <c r="CV136" i="5" s="1"/>
  <c r="CU45" i="4"/>
  <c r="CV140" i="5" s="1"/>
  <c r="CU51" i="4"/>
  <c r="CV146" i="5" s="1"/>
  <c r="CU47" i="4"/>
  <c r="CV142" i="5" s="1"/>
  <c r="CU59" i="4"/>
  <c r="CU46" i="4"/>
  <c r="CV141" i="5" s="1"/>
  <c r="CU43" i="4"/>
  <c r="CV138" i="5" s="1"/>
  <c r="CM62" i="4"/>
  <c r="CM58" i="4"/>
  <c r="CM52" i="4"/>
  <c r="CN147" i="5" s="1"/>
  <c r="CM49" i="4"/>
  <c r="CN144" i="5" s="1"/>
  <c r="CM50" i="4"/>
  <c r="CN145" i="5" s="1"/>
  <c r="CM59" i="4"/>
  <c r="CM47" i="4"/>
  <c r="CN142" i="5" s="1"/>
  <c r="CM42" i="4"/>
  <c r="CN137" i="5" s="1"/>
  <c r="CM51" i="4"/>
  <c r="CN146" i="5" s="1"/>
  <c r="CM39" i="4"/>
  <c r="CM44" i="4"/>
  <c r="CN139" i="5" s="1"/>
  <c r="CM48" i="4"/>
  <c r="CN143" i="5" s="1"/>
  <c r="CM40" i="4"/>
  <c r="CN135" i="5" s="1"/>
  <c r="CM61" i="4"/>
  <c r="CM46" i="4"/>
  <c r="CN141" i="5" s="1"/>
  <c r="CM43" i="4"/>
  <c r="CN138" i="5" s="1"/>
  <c r="CM53" i="4"/>
  <c r="CN148" i="5" s="1"/>
  <c r="CM45" i="4"/>
  <c r="CN140" i="5" s="1"/>
  <c r="CM41" i="4"/>
  <c r="CN136" i="5" s="1"/>
  <c r="CE62" i="4"/>
  <c r="CE58" i="4"/>
  <c r="CE52" i="4"/>
  <c r="CF147" i="5" s="1"/>
  <c r="CE61" i="4"/>
  <c r="CE49" i="4"/>
  <c r="CF144" i="5" s="1"/>
  <c r="CE50" i="4"/>
  <c r="CF145" i="5" s="1"/>
  <c r="CE42" i="4"/>
  <c r="CF137" i="5" s="1"/>
  <c r="CE59" i="4"/>
  <c r="CE39" i="4"/>
  <c r="CE48" i="4"/>
  <c r="CF143" i="5" s="1"/>
  <c r="CE45" i="4"/>
  <c r="CF140" i="5" s="1"/>
  <c r="CE44" i="4"/>
  <c r="CF139" i="5" s="1"/>
  <c r="CE53" i="4"/>
  <c r="CF148" i="5" s="1"/>
  <c r="CE40" i="4"/>
  <c r="CF135" i="5" s="1"/>
  <c r="CE41" i="4"/>
  <c r="CF136" i="5" s="1"/>
  <c r="CE47" i="4"/>
  <c r="CF142" i="5" s="1"/>
  <c r="CE46" i="4"/>
  <c r="CF141" i="5" s="1"/>
  <c r="CE51" i="4"/>
  <c r="CF146" i="5" s="1"/>
  <c r="CE43" i="4"/>
  <c r="CF138" i="5" s="1"/>
  <c r="BO62" i="4"/>
  <c r="BO58" i="4"/>
  <c r="BO52" i="4"/>
  <c r="BP147" i="5" s="1"/>
  <c r="BO61" i="4"/>
  <c r="BO49" i="4"/>
  <c r="BP144" i="5" s="1"/>
  <c r="BO50" i="4"/>
  <c r="BP145" i="5" s="1"/>
  <c r="BO45" i="4"/>
  <c r="BP140" i="5" s="1"/>
  <c r="BO42" i="4"/>
  <c r="BP137" i="5" s="1"/>
  <c r="BO46" i="4"/>
  <c r="BP141" i="5" s="1"/>
  <c r="BO39" i="4"/>
  <c r="BO48" i="4"/>
  <c r="BP143" i="5" s="1"/>
  <c r="BO44" i="4"/>
  <c r="BP139" i="5" s="1"/>
  <c r="BO40" i="4"/>
  <c r="BP135" i="5" s="1"/>
  <c r="BO53" i="4"/>
  <c r="BP148" i="5" s="1"/>
  <c r="BO41" i="4"/>
  <c r="BP136" i="5" s="1"/>
  <c r="BO59" i="4"/>
  <c r="BO51" i="4"/>
  <c r="BP146" i="5" s="1"/>
  <c r="BO47" i="4"/>
  <c r="BP142" i="5" s="1"/>
  <c r="BO43" i="4"/>
  <c r="BP138" i="5" s="1"/>
  <c r="BG62" i="4"/>
  <c r="BG58" i="4"/>
  <c r="BG52" i="4"/>
  <c r="BH147" i="5" s="1"/>
  <c r="BG49" i="4"/>
  <c r="BH144" i="5" s="1"/>
  <c r="BG50" i="4"/>
  <c r="BH145" i="5" s="1"/>
  <c r="BG59" i="4"/>
  <c r="BG47" i="4"/>
  <c r="BH142" i="5" s="1"/>
  <c r="BG46" i="4"/>
  <c r="BH141" i="5" s="1"/>
  <c r="BG42" i="4"/>
  <c r="BH137" i="5" s="1"/>
  <c r="BG51" i="4"/>
  <c r="BH146" i="5" s="1"/>
  <c r="BG39" i="4"/>
  <c r="BG44" i="4"/>
  <c r="BH139" i="5" s="1"/>
  <c r="BG48" i="4"/>
  <c r="BH143" i="5" s="1"/>
  <c r="BG40" i="4"/>
  <c r="BH135" i="5" s="1"/>
  <c r="BG43" i="4"/>
  <c r="BH138" i="5" s="1"/>
  <c r="BG45" i="4"/>
  <c r="BH140" i="5" s="1"/>
  <c r="BG61" i="4"/>
  <c r="BG53" i="4"/>
  <c r="BH148" i="5" s="1"/>
  <c r="BG41" i="4"/>
  <c r="BH136" i="5" s="1"/>
  <c r="AU61" i="4"/>
  <c r="AU58" i="4"/>
  <c r="AU48" i="4"/>
  <c r="AV143" i="5" s="1"/>
  <c r="AU53" i="4"/>
  <c r="AV148" i="5" s="1"/>
  <c r="AU62" i="4"/>
  <c r="AU50" i="4"/>
  <c r="AV145" i="5" s="1"/>
  <c r="AU51" i="4"/>
  <c r="AV146" i="5" s="1"/>
  <c r="AU45" i="4"/>
  <c r="AV140" i="5" s="1"/>
  <c r="AU43" i="4"/>
  <c r="AV138" i="5" s="1"/>
  <c r="AU59" i="4"/>
  <c r="AU40" i="4"/>
  <c r="AV135" i="5" s="1"/>
  <c r="AU52" i="4"/>
  <c r="AV147" i="5" s="1"/>
  <c r="AU44" i="4"/>
  <c r="AV139" i="5" s="1"/>
  <c r="AU47" i="4"/>
  <c r="AV142" i="5" s="1"/>
  <c r="AU49" i="4"/>
  <c r="AV144" i="5" s="1"/>
  <c r="AU42" i="4"/>
  <c r="AV137" i="5" s="1"/>
  <c r="AU46" i="4"/>
  <c r="AV141" i="5" s="1"/>
  <c r="AU39" i="4"/>
  <c r="AU41" i="4"/>
  <c r="AV136" i="5" s="1"/>
  <c r="CR59" i="4"/>
  <c r="CR53" i="4"/>
  <c r="CS148" i="5" s="1"/>
  <c r="CR45" i="4"/>
  <c r="CS140" i="5" s="1"/>
  <c r="CR50" i="4"/>
  <c r="CS145" i="5" s="1"/>
  <c r="CR47" i="4"/>
  <c r="CS142" i="5" s="1"/>
  <c r="CR62" i="4"/>
  <c r="CR58" i="4"/>
  <c r="CR51" i="4"/>
  <c r="CS146" i="5" s="1"/>
  <c r="CR46" i="4"/>
  <c r="CS141" i="5" s="1"/>
  <c r="CR43" i="4"/>
  <c r="CS138" i="5" s="1"/>
  <c r="CR40" i="4"/>
  <c r="CS135" i="5" s="1"/>
  <c r="CR49" i="4"/>
  <c r="CS144" i="5" s="1"/>
  <c r="CR61" i="4"/>
  <c r="CR41" i="4"/>
  <c r="CS136" i="5" s="1"/>
  <c r="CR42" i="4"/>
  <c r="CS137" i="5" s="1"/>
  <c r="CR52" i="4"/>
  <c r="CS147" i="5" s="1"/>
  <c r="CR48" i="4"/>
  <c r="CS143" i="5" s="1"/>
  <c r="CR39" i="4"/>
  <c r="CR44" i="4"/>
  <c r="CS139" i="5" s="1"/>
  <c r="CQ61" i="4"/>
  <c r="CQ58" i="4"/>
  <c r="CQ48" i="4"/>
  <c r="CR143" i="5" s="1"/>
  <c r="CQ53" i="4"/>
  <c r="CR148" i="5" s="1"/>
  <c r="CQ50" i="4"/>
  <c r="CR145" i="5" s="1"/>
  <c r="CQ51" i="4"/>
  <c r="CR146" i="5" s="1"/>
  <c r="CQ46" i="4"/>
  <c r="CR141" i="5" s="1"/>
  <c r="CQ43" i="4"/>
  <c r="CR138" i="5" s="1"/>
  <c r="CQ62" i="4"/>
  <c r="CQ40" i="4"/>
  <c r="CR135" i="5" s="1"/>
  <c r="CQ59" i="4"/>
  <c r="CQ52" i="4"/>
  <c r="CR147" i="5" s="1"/>
  <c r="CQ44" i="4"/>
  <c r="CR139" i="5" s="1"/>
  <c r="CQ42" i="4"/>
  <c r="CR137" i="5" s="1"/>
  <c r="CQ45" i="4"/>
  <c r="CR140" i="5" s="1"/>
  <c r="CQ49" i="4"/>
  <c r="CR144" i="5" s="1"/>
  <c r="CQ47" i="4"/>
  <c r="CR142" i="5" s="1"/>
  <c r="CQ39" i="4"/>
  <c r="CQ41" i="4"/>
  <c r="CR136" i="5" s="1"/>
  <c r="V61" i="4"/>
  <c r="V62" i="4"/>
  <c r="V51" i="4"/>
  <c r="W146" i="5" s="1"/>
  <c r="V59" i="4"/>
  <c r="V48" i="4"/>
  <c r="W143" i="5" s="1"/>
  <c r="V53" i="4"/>
  <c r="W148" i="5" s="1"/>
  <c r="V49" i="4"/>
  <c r="W144" i="5" s="1"/>
  <c r="V41" i="4"/>
  <c r="W136" i="5" s="1"/>
  <c r="V58" i="4"/>
  <c r="V46" i="4"/>
  <c r="W141" i="5" s="1"/>
  <c r="V47" i="4"/>
  <c r="W142" i="5" s="1"/>
  <c r="V43" i="4"/>
  <c r="W138" i="5" s="1"/>
  <c r="V39" i="4"/>
  <c r="V40" i="4"/>
  <c r="W135" i="5" s="1"/>
  <c r="V45" i="4"/>
  <c r="W140" i="5" s="1"/>
  <c r="V52" i="4"/>
  <c r="W147" i="5" s="1"/>
  <c r="V50" i="4"/>
  <c r="W145" i="5" s="1"/>
  <c r="V42" i="4"/>
  <c r="W137" i="5" s="1"/>
  <c r="V44" i="4"/>
  <c r="W139" i="5" s="1"/>
  <c r="DE58" i="4"/>
  <c r="DE61" i="4"/>
  <c r="DE46" i="4"/>
  <c r="DF141" i="5" s="1"/>
  <c r="DE51" i="4"/>
  <c r="DF146" i="5" s="1"/>
  <c r="DE62" i="4"/>
  <c r="DE48" i="4"/>
  <c r="DF143" i="5" s="1"/>
  <c r="DE59" i="4"/>
  <c r="DE52" i="4"/>
  <c r="DF147" i="5" s="1"/>
  <c r="DE41" i="4"/>
  <c r="DF136" i="5" s="1"/>
  <c r="DE50" i="4"/>
  <c r="DF145" i="5" s="1"/>
  <c r="DE44" i="4"/>
  <c r="DF139" i="5" s="1"/>
  <c r="DE42" i="4"/>
  <c r="DF137" i="5" s="1"/>
  <c r="DE39" i="4"/>
  <c r="DE53" i="4"/>
  <c r="DF148" i="5" s="1"/>
  <c r="DE43" i="4"/>
  <c r="DF138" i="5" s="1"/>
  <c r="DE49" i="4"/>
  <c r="DF144" i="5" s="1"/>
  <c r="DE47" i="4"/>
  <c r="DF142" i="5" s="1"/>
  <c r="DE45" i="4"/>
  <c r="DF140" i="5" s="1"/>
  <c r="DE40" i="4"/>
  <c r="DF135" i="5" s="1"/>
  <c r="CK59" i="4"/>
  <c r="CK62" i="4"/>
  <c r="CK61" i="4"/>
  <c r="CK50" i="4"/>
  <c r="CL145" i="5" s="1"/>
  <c r="CK58" i="4"/>
  <c r="CK47" i="4"/>
  <c r="CL142" i="5" s="1"/>
  <c r="CK52" i="4"/>
  <c r="CL147" i="5" s="1"/>
  <c r="CK48" i="4"/>
  <c r="CL143" i="5" s="1"/>
  <c r="CK53" i="4"/>
  <c r="CL148" i="5" s="1"/>
  <c r="CK40" i="4"/>
  <c r="CL135" i="5" s="1"/>
  <c r="CK42" i="4"/>
  <c r="CL137" i="5" s="1"/>
  <c r="CK46" i="4"/>
  <c r="CL141" i="5" s="1"/>
  <c r="CK39" i="4"/>
  <c r="CK44" i="4"/>
  <c r="CL139" i="5" s="1"/>
  <c r="CK51" i="4"/>
  <c r="CL146" i="5" s="1"/>
  <c r="CK49" i="4"/>
  <c r="CL144" i="5" s="1"/>
  <c r="CK45" i="4"/>
  <c r="CL140" i="5" s="1"/>
  <c r="CK41" i="4"/>
  <c r="CL136" i="5" s="1"/>
  <c r="CK43" i="4"/>
  <c r="CL138" i="5" s="1"/>
  <c r="DG61" i="4"/>
  <c r="DG58" i="4"/>
  <c r="DG48" i="4"/>
  <c r="DH143" i="5" s="1"/>
  <c r="DG62" i="4"/>
  <c r="DG53" i="4"/>
  <c r="DH148" i="5" s="1"/>
  <c r="DG50" i="4"/>
  <c r="DH145" i="5" s="1"/>
  <c r="DG46" i="4"/>
  <c r="DH141" i="5" s="1"/>
  <c r="DG51" i="4"/>
  <c r="DH146" i="5" s="1"/>
  <c r="DG44" i="4"/>
  <c r="DH139" i="5" s="1"/>
  <c r="DG45" i="4"/>
  <c r="DH140" i="5" s="1"/>
  <c r="DG43" i="4"/>
  <c r="DH138" i="5" s="1"/>
  <c r="DG59" i="4"/>
  <c r="DG40" i="4"/>
  <c r="DH135" i="5" s="1"/>
  <c r="DG52" i="4"/>
  <c r="DH147" i="5" s="1"/>
  <c r="DG49" i="4"/>
  <c r="DH144" i="5" s="1"/>
  <c r="DG42" i="4"/>
  <c r="DH137" i="5" s="1"/>
  <c r="DG47" i="4"/>
  <c r="DH142" i="5" s="1"/>
  <c r="DG39" i="4"/>
  <c r="DG41" i="4"/>
  <c r="DH136" i="5" s="1"/>
  <c r="CY61" i="4"/>
  <c r="CY58" i="4"/>
  <c r="CY59" i="4"/>
  <c r="CY48" i="4"/>
  <c r="CZ143" i="5" s="1"/>
  <c r="CY53" i="4"/>
  <c r="CZ148" i="5" s="1"/>
  <c r="CY50" i="4"/>
  <c r="CZ145" i="5" s="1"/>
  <c r="CY46" i="4"/>
  <c r="CZ141" i="5" s="1"/>
  <c r="CY62" i="4"/>
  <c r="CY45" i="4"/>
  <c r="CZ140" i="5" s="1"/>
  <c r="CY47" i="4"/>
  <c r="CZ142" i="5" s="1"/>
  <c r="CY43" i="4"/>
  <c r="CZ138" i="5" s="1"/>
  <c r="CY52" i="4"/>
  <c r="CZ147" i="5" s="1"/>
  <c r="CY40" i="4"/>
  <c r="CZ135" i="5" s="1"/>
  <c r="CY41" i="4"/>
  <c r="CZ136" i="5" s="1"/>
  <c r="CY51" i="4"/>
  <c r="CZ146" i="5" s="1"/>
  <c r="CY39" i="4"/>
  <c r="CY44" i="4"/>
  <c r="CZ139" i="5" s="1"/>
  <c r="CY49" i="4"/>
  <c r="CZ144" i="5" s="1"/>
  <c r="CY42" i="4"/>
  <c r="CZ137" i="5" s="1"/>
  <c r="CI61" i="4"/>
  <c r="CI58" i="4"/>
  <c r="CI59" i="4"/>
  <c r="CI48" i="4"/>
  <c r="CJ143" i="5" s="1"/>
  <c r="CI53" i="4"/>
  <c r="CJ148" i="5" s="1"/>
  <c r="CI62" i="4"/>
  <c r="CI50" i="4"/>
  <c r="CJ145" i="5" s="1"/>
  <c r="CI46" i="4"/>
  <c r="CJ141" i="5" s="1"/>
  <c r="CI47" i="4"/>
  <c r="CJ142" i="5" s="1"/>
  <c r="CI43" i="4"/>
  <c r="CJ138" i="5" s="1"/>
  <c r="CI52" i="4"/>
  <c r="CJ147" i="5" s="1"/>
  <c r="CI40" i="4"/>
  <c r="CJ135" i="5" s="1"/>
  <c r="CI45" i="4"/>
  <c r="CJ140" i="5" s="1"/>
  <c r="CI44" i="4"/>
  <c r="CJ139" i="5" s="1"/>
  <c r="CI49" i="4"/>
  <c r="CJ144" i="5" s="1"/>
  <c r="CI41" i="4"/>
  <c r="CJ136" i="5" s="1"/>
  <c r="CI39" i="4"/>
  <c r="CI51" i="4"/>
  <c r="CJ146" i="5" s="1"/>
  <c r="CI42" i="4"/>
  <c r="CJ137" i="5" s="1"/>
  <c r="CA61" i="4"/>
  <c r="CA58" i="4"/>
  <c r="CA48" i="4"/>
  <c r="CB143" i="5" s="1"/>
  <c r="CA53" i="4"/>
  <c r="CB148" i="5" s="1"/>
  <c r="CA50" i="4"/>
  <c r="CB145" i="5" s="1"/>
  <c r="CA51" i="4"/>
  <c r="CB146" i="5" s="1"/>
  <c r="CA43" i="4"/>
  <c r="CB138" i="5" s="1"/>
  <c r="CA59" i="4"/>
  <c r="CA40" i="4"/>
  <c r="CB135" i="5" s="1"/>
  <c r="CA62" i="4"/>
  <c r="CA52" i="4"/>
  <c r="CB147" i="5" s="1"/>
  <c r="CA44" i="4"/>
  <c r="CB139" i="5" s="1"/>
  <c r="CA46" i="4"/>
  <c r="CB141" i="5" s="1"/>
  <c r="CA47" i="4"/>
  <c r="CB142" i="5" s="1"/>
  <c r="CA45" i="4"/>
  <c r="CB140" i="5" s="1"/>
  <c r="CA49" i="4"/>
  <c r="CB144" i="5" s="1"/>
  <c r="CA42" i="4"/>
  <c r="CB137" i="5" s="1"/>
  <c r="CA39" i="4"/>
  <c r="CA41" i="4"/>
  <c r="CB136" i="5" s="1"/>
  <c r="BW62" i="4"/>
  <c r="BW58" i="4"/>
  <c r="BW52" i="4"/>
  <c r="BX147" i="5" s="1"/>
  <c r="BW49" i="4"/>
  <c r="BX144" i="5" s="1"/>
  <c r="BW50" i="4"/>
  <c r="BX145" i="5" s="1"/>
  <c r="BW47" i="4"/>
  <c r="BX142" i="5" s="1"/>
  <c r="BW42" i="4"/>
  <c r="BX137" i="5" s="1"/>
  <c r="BW51" i="4"/>
  <c r="BX146" i="5" s="1"/>
  <c r="BW45" i="4"/>
  <c r="BX140" i="5" s="1"/>
  <c r="BW39" i="4"/>
  <c r="BW46" i="4"/>
  <c r="BX141" i="5" s="1"/>
  <c r="BW44" i="4"/>
  <c r="BX139" i="5" s="1"/>
  <c r="BW61" i="4"/>
  <c r="BW48" i="4"/>
  <c r="BX143" i="5" s="1"/>
  <c r="BW40" i="4"/>
  <c r="BX135" i="5" s="1"/>
  <c r="BW53" i="4"/>
  <c r="BX148" i="5" s="1"/>
  <c r="BW59" i="4"/>
  <c r="BW43" i="4"/>
  <c r="BX138" i="5" s="1"/>
  <c r="BW41" i="4"/>
  <c r="BX136" i="5" s="1"/>
  <c r="BS61" i="4"/>
  <c r="BS58" i="4"/>
  <c r="BS62" i="4"/>
  <c r="BS59" i="4"/>
  <c r="BS48" i="4"/>
  <c r="BT143" i="5" s="1"/>
  <c r="BS53" i="4"/>
  <c r="BT148" i="5" s="1"/>
  <c r="BS50" i="4"/>
  <c r="BT145" i="5" s="1"/>
  <c r="BS47" i="4"/>
  <c r="BT142" i="5" s="1"/>
  <c r="BS43" i="4"/>
  <c r="BT138" i="5" s="1"/>
  <c r="BS52" i="4"/>
  <c r="BT147" i="5" s="1"/>
  <c r="BS40" i="4"/>
  <c r="BT135" i="5" s="1"/>
  <c r="BS46" i="4"/>
  <c r="BT141" i="5" s="1"/>
  <c r="BS44" i="4"/>
  <c r="BT139" i="5" s="1"/>
  <c r="BS41" i="4"/>
  <c r="BT136" i="5" s="1"/>
  <c r="BS39" i="4"/>
  <c r="BS51" i="4"/>
  <c r="BT146" i="5" s="1"/>
  <c r="BS49" i="4"/>
  <c r="BT144" i="5" s="1"/>
  <c r="BS45" i="4"/>
  <c r="BT140" i="5" s="1"/>
  <c r="BS42" i="4"/>
  <c r="BT137" i="5" s="1"/>
  <c r="BK61" i="4"/>
  <c r="BK58" i="4"/>
  <c r="BK48" i="4"/>
  <c r="BL143" i="5" s="1"/>
  <c r="BK53" i="4"/>
  <c r="BL148" i="5" s="1"/>
  <c r="BK50" i="4"/>
  <c r="BL145" i="5" s="1"/>
  <c r="BK62" i="4"/>
  <c r="BK51" i="4"/>
  <c r="BL146" i="5" s="1"/>
  <c r="BK43" i="4"/>
  <c r="BL138" i="5" s="1"/>
  <c r="BK40" i="4"/>
  <c r="BL135" i="5" s="1"/>
  <c r="BK59" i="4"/>
  <c r="BK52" i="4"/>
  <c r="BL147" i="5" s="1"/>
  <c r="BK44" i="4"/>
  <c r="BL139" i="5" s="1"/>
  <c r="BK45" i="4"/>
  <c r="BL140" i="5" s="1"/>
  <c r="BK42" i="4"/>
  <c r="BL137" i="5" s="1"/>
  <c r="BK49" i="4"/>
  <c r="BL144" i="5" s="1"/>
  <c r="BK47" i="4"/>
  <c r="BL142" i="5" s="1"/>
  <c r="BK46" i="4"/>
  <c r="BL141" i="5" s="1"/>
  <c r="BK39" i="4"/>
  <c r="BK41" i="4"/>
  <c r="BL136" i="5" s="1"/>
  <c r="AY62" i="4"/>
  <c r="AY58" i="4"/>
  <c r="AY52" i="4"/>
  <c r="AZ147" i="5" s="1"/>
  <c r="AY61" i="4"/>
  <c r="AY49" i="4"/>
  <c r="AZ144" i="5" s="1"/>
  <c r="AY50" i="4"/>
  <c r="AZ145" i="5" s="1"/>
  <c r="AY42" i="4"/>
  <c r="AZ137" i="5" s="1"/>
  <c r="AY59" i="4"/>
  <c r="AY39" i="4"/>
  <c r="AY48" i="4"/>
  <c r="AZ143" i="5" s="1"/>
  <c r="AY44" i="4"/>
  <c r="AZ139" i="5" s="1"/>
  <c r="AY45" i="4"/>
  <c r="AZ140" i="5" s="1"/>
  <c r="AY40" i="4"/>
  <c r="AZ135" i="5" s="1"/>
  <c r="AY41" i="4"/>
  <c r="AZ136" i="5" s="1"/>
  <c r="AY47" i="4"/>
  <c r="AZ142" i="5" s="1"/>
  <c r="AY46" i="4"/>
  <c r="AZ141" i="5" s="1"/>
  <c r="AY53" i="4"/>
  <c r="AZ148" i="5" s="1"/>
  <c r="AY51" i="4"/>
  <c r="AZ146" i="5" s="1"/>
  <c r="AY43" i="4"/>
  <c r="AZ138" i="5" s="1"/>
  <c r="DJ59" i="4"/>
  <c r="DJ62" i="4"/>
  <c r="DJ47" i="4"/>
  <c r="DK142" i="5" s="1"/>
  <c r="DJ52" i="4"/>
  <c r="DK147" i="5" s="1"/>
  <c r="DJ61" i="4"/>
  <c r="DJ49" i="4"/>
  <c r="DK144" i="5" s="1"/>
  <c r="DJ53" i="4"/>
  <c r="DK148" i="5" s="1"/>
  <c r="DJ50" i="4"/>
  <c r="DK145" i="5" s="1"/>
  <c r="DJ42" i="4"/>
  <c r="DK137" i="5" s="1"/>
  <c r="DJ58" i="4"/>
  <c r="DJ39" i="4"/>
  <c r="DJ51" i="4"/>
  <c r="DK146" i="5" s="1"/>
  <c r="DJ43" i="4"/>
  <c r="DK138" i="5" s="1"/>
  <c r="DJ48" i="4"/>
  <c r="DK143" i="5" s="1"/>
  <c r="DJ41" i="4"/>
  <c r="DK136" i="5" s="1"/>
  <c r="DJ45" i="4"/>
  <c r="DK140" i="5" s="1"/>
  <c r="DJ46" i="4"/>
  <c r="DK141" i="5" s="1"/>
  <c r="DJ44" i="4"/>
  <c r="DK139" i="5" s="1"/>
  <c r="DJ40" i="4"/>
  <c r="DK135" i="5" s="1"/>
  <c r="CP61" i="4"/>
  <c r="CP62" i="4"/>
  <c r="CP51" i="4"/>
  <c r="CQ146" i="5" s="1"/>
  <c r="CP48" i="4"/>
  <c r="CQ143" i="5" s="1"/>
  <c r="CP53" i="4"/>
  <c r="CQ148" i="5" s="1"/>
  <c r="CP49" i="4"/>
  <c r="CQ144" i="5" s="1"/>
  <c r="CP58" i="4"/>
  <c r="CP45" i="4"/>
  <c r="CQ140" i="5" s="1"/>
  <c r="CP41" i="4"/>
  <c r="CQ136" i="5" s="1"/>
  <c r="CP50" i="4"/>
  <c r="CQ145" i="5" s="1"/>
  <c r="CP46" i="4"/>
  <c r="CQ141" i="5" s="1"/>
  <c r="CP43" i="4"/>
  <c r="CQ138" i="5" s="1"/>
  <c r="CP47" i="4"/>
  <c r="CQ142" i="5" s="1"/>
  <c r="CP39" i="4"/>
  <c r="CP59" i="4"/>
  <c r="CP44" i="4"/>
  <c r="CQ139" i="5" s="1"/>
  <c r="CP42" i="4"/>
  <c r="CQ137" i="5" s="1"/>
  <c r="CP52" i="4"/>
  <c r="CQ147" i="5" s="1"/>
  <c r="CP40" i="4"/>
  <c r="CQ135" i="5" s="1"/>
  <c r="CL59" i="4"/>
  <c r="CL62" i="4"/>
  <c r="CL58" i="4"/>
  <c r="CL47" i="4"/>
  <c r="CM142" i="5" s="1"/>
  <c r="CL52" i="4"/>
  <c r="CM147" i="5" s="1"/>
  <c r="CL49" i="4"/>
  <c r="CM144" i="5" s="1"/>
  <c r="CL61" i="4"/>
  <c r="CL53" i="4"/>
  <c r="CM148" i="5" s="1"/>
  <c r="CL42" i="4"/>
  <c r="CM137" i="5" s="1"/>
  <c r="CL51" i="4"/>
  <c r="CM146" i="5" s="1"/>
  <c r="CL39" i="4"/>
  <c r="CL43" i="4"/>
  <c r="CM138" i="5" s="1"/>
  <c r="CL48" i="4"/>
  <c r="CM143" i="5" s="1"/>
  <c r="CL40" i="4"/>
  <c r="CM135" i="5" s="1"/>
  <c r="CL46" i="4"/>
  <c r="CM141" i="5" s="1"/>
  <c r="CL44" i="4"/>
  <c r="CM139" i="5" s="1"/>
  <c r="CL50" i="4"/>
  <c r="CM145" i="5" s="1"/>
  <c r="CL45" i="4"/>
  <c r="CM140" i="5" s="1"/>
  <c r="CL41" i="4"/>
  <c r="CM136" i="5" s="1"/>
  <c r="CH61" i="4"/>
  <c r="CH62" i="4"/>
  <c r="CH51" i="4"/>
  <c r="CI146" i="5" s="1"/>
  <c r="CH59" i="4"/>
  <c r="CH48" i="4"/>
  <c r="CI143" i="5" s="1"/>
  <c r="CH53" i="4"/>
  <c r="CI148" i="5" s="1"/>
  <c r="CH49" i="4"/>
  <c r="CI144" i="5" s="1"/>
  <c r="CH41" i="4"/>
  <c r="CI136" i="5" s="1"/>
  <c r="CH58" i="4"/>
  <c r="CH46" i="4"/>
  <c r="CI141" i="5" s="1"/>
  <c r="CH47" i="4"/>
  <c r="CI142" i="5" s="1"/>
  <c r="CH43" i="4"/>
  <c r="CI138" i="5" s="1"/>
  <c r="CH39" i="4"/>
  <c r="CH45" i="4"/>
  <c r="CI140" i="5" s="1"/>
  <c r="CH40" i="4"/>
  <c r="CI135" i="5" s="1"/>
  <c r="CH44" i="4"/>
  <c r="CI139" i="5" s="1"/>
  <c r="CH52" i="4"/>
  <c r="CI147" i="5" s="1"/>
  <c r="CH50" i="4"/>
  <c r="CI145" i="5" s="1"/>
  <c r="CH42" i="4"/>
  <c r="CI137" i="5" s="1"/>
  <c r="BN59" i="4"/>
  <c r="BN62" i="4"/>
  <c r="BN47" i="4"/>
  <c r="BO142" i="5" s="1"/>
  <c r="BN52" i="4"/>
  <c r="BO147" i="5" s="1"/>
  <c r="BN61" i="4"/>
  <c r="BN49" i="4"/>
  <c r="BO144" i="5" s="1"/>
  <c r="BN53" i="4"/>
  <c r="BO148" i="5" s="1"/>
  <c r="BN50" i="4"/>
  <c r="BO145" i="5" s="1"/>
  <c r="BN45" i="4"/>
  <c r="BO140" i="5" s="1"/>
  <c r="BN42" i="4"/>
  <c r="BO137" i="5" s="1"/>
  <c r="BN46" i="4"/>
  <c r="BO141" i="5" s="1"/>
  <c r="BN39" i="4"/>
  <c r="BN58" i="4"/>
  <c r="BN51" i="4"/>
  <c r="BO146" i="5" s="1"/>
  <c r="BN43" i="4"/>
  <c r="BO138" i="5" s="1"/>
  <c r="BN41" i="4"/>
  <c r="BO136" i="5" s="1"/>
  <c r="BN48" i="4"/>
  <c r="BO143" i="5" s="1"/>
  <c r="BN44" i="4"/>
  <c r="BO139" i="5" s="1"/>
  <c r="BN40" i="4"/>
  <c r="BO135" i="5" s="1"/>
  <c r="AL61" i="4"/>
  <c r="AL62" i="4"/>
  <c r="AL51" i="4"/>
  <c r="AM146" i="5" s="1"/>
  <c r="AL59" i="4"/>
  <c r="AL48" i="4"/>
  <c r="AM143" i="5" s="1"/>
  <c r="AL53" i="4"/>
  <c r="AM148" i="5" s="1"/>
  <c r="AL49" i="4"/>
  <c r="AM144" i="5" s="1"/>
  <c r="AL41" i="4"/>
  <c r="AM136" i="5" s="1"/>
  <c r="AL45" i="4"/>
  <c r="AM140" i="5" s="1"/>
  <c r="AL47" i="4"/>
  <c r="AM142" i="5" s="1"/>
  <c r="AL43" i="4"/>
  <c r="AM138" i="5" s="1"/>
  <c r="AL39" i="4"/>
  <c r="AL52" i="4"/>
  <c r="AM147" i="5" s="1"/>
  <c r="AL46" i="4"/>
  <c r="AM141" i="5" s="1"/>
  <c r="AL40" i="4"/>
  <c r="AM135" i="5" s="1"/>
  <c r="AL50" i="4"/>
  <c r="AM145" i="5" s="1"/>
  <c r="AL44" i="4"/>
  <c r="AM139" i="5" s="1"/>
  <c r="AL58" i="4"/>
  <c r="AL42" i="4"/>
  <c r="AM137" i="5" s="1"/>
  <c r="DB59" i="4"/>
  <c r="DB62" i="4"/>
  <c r="DB58" i="4"/>
  <c r="DB47" i="4"/>
  <c r="DC142" i="5" s="1"/>
  <c r="DB52" i="4"/>
  <c r="DC147" i="5" s="1"/>
  <c r="DB49" i="4"/>
  <c r="DC144" i="5" s="1"/>
  <c r="DB61" i="4"/>
  <c r="DB53" i="4"/>
  <c r="DC148" i="5" s="1"/>
  <c r="DB46" i="4"/>
  <c r="DC141" i="5" s="1"/>
  <c r="DB42" i="4"/>
  <c r="DC137" i="5" s="1"/>
  <c r="DB51" i="4"/>
  <c r="DC146" i="5" s="1"/>
  <c r="DB39" i="4"/>
  <c r="DB45" i="4"/>
  <c r="DC140" i="5" s="1"/>
  <c r="DB43" i="4"/>
  <c r="DC138" i="5" s="1"/>
  <c r="DB40" i="4"/>
  <c r="DC135" i="5" s="1"/>
  <c r="DB50" i="4"/>
  <c r="DC145" i="5" s="1"/>
  <c r="DB44" i="4"/>
  <c r="DC139" i="5" s="1"/>
  <c r="DB48" i="4"/>
  <c r="DC143" i="5" s="1"/>
  <c r="DB41" i="4"/>
  <c r="DC136" i="5" s="1"/>
  <c r="CD59" i="4"/>
  <c r="CD62" i="4"/>
  <c r="CD47" i="4"/>
  <c r="CE142" i="5" s="1"/>
  <c r="CD52" i="4"/>
  <c r="CE147" i="5" s="1"/>
  <c r="CD61" i="4"/>
  <c r="CD49" i="4"/>
  <c r="CE144" i="5" s="1"/>
  <c r="CD53" i="4"/>
  <c r="CE148" i="5" s="1"/>
  <c r="CD50" i="4"/>
  <c r="CE145" i="5" s="1"/>
  <c r="CD42" i="4"/>
  <c r="CE137" i="5" s="1"/>
  <c r="CD58" i="4"/>
  <c r="CD39" i="4"/>
  <c r="CD51" i="4"/>
  <c r="CE146" i="5" s="1"/>
  <c r="CD43" i="4"/>
  <c r="CE138" i="5" s="1"/>
  <c r="CD48" i="4"/>
  <c r="CE143" i="5" s="1"/>
  <c r="CD45" i="4"/>
  <c r="CE140" i="5" s="1"/>
  <c r="CD41" i="4"/>
  <c r="CE136" i="5" s="1"/>
  <c r="CD44" i="4"/>
  <c r="CE139" i="5" s="1"/>
  <c r="CD46" i="4"/>
  <c r="CE141" i="5" s="1"/>
  <c r="CD40" i="4"/>
  <c r="CE135" i="5" s="1"/>
  <c r="BZ61" i="4"/>
  <c r="BZ62" i="4"/>
  <c r="BZ51" i="4"/>
  <c r="CA146" i="5" s="1"/>
  <c r="BZ48" i="4"/>
  <c r="CA143" i="5" s="1"/>
  <c r="BZ53" i="4"/>
  <c r="CA148" i="5" s="1"/>
  <c r="BZ49" i="4"/>
  <c r="CA144" i="5" s="1"/>
  <c r="BZ46" i="4"/>
  <c r="CA141" i="5" s="1"/>
  <c r="BZ41" i="4"/>
  <c r="CA136" i="5" s="1"/>
  <c r="BZ50" i="4"/>
  <c r="CA145" i="5" s="1"/>
  <c r="BZ43" i="4"/>
  <c r="CA138" i="5" s="1"/>
  <c r="BZ59" i="4"/>
  <c r="BZ47" i="4"/>
  <c r="CA142" i="5" s="1"/>
  <c r="BZ45" i="4"/>
  <c r="CA140" i="5" s="1"/>
  <c r="BZ39" i="4"/>
  <c r="BZ52" i="4"/>
  <c r="CA147" i="5" s="1"/>
  <c r="BZ44" i="4"/>
  <c r="CA139" i="5" s="1"/>
  <c r="BZ42" i="4"/>
  <c r="CA137" i="5" s="1"/>
  <c r="BZ58" i="4"/>
  <c r="BZ40" i="4"/>
  <c r="CA135" i="5" s="1"/>
  <c r="BV59" i="4"/>
  <c r="BV62" i="4"/>
  <c r="BV58" i="4"/>
  <c r="BV47" i="4"/>
  <c r="BW142" i="5" s="1"/>
  <c r="BV52" i="4"/>
  <c r="BW147" i="5" s="1"/>
  <c r="BV49" i="4"/>
  <c r="BW144" i="5" s="1"/>
  <c r="BV61" i="4"/>
  <c r="BV53" i="4"/>
  <c r="BW148" i="5" s="1"/>
  <c r="BV42" i="4"/>
  <c r="BW137" i="5" s="1"/>
  <c r="BV51" i="4"/>
  <c r="BW146" i="5" s="1"/>
  <c r="BV45" i="4"/>
  <c r="BW140" i="5" s="1"/>
  <c r="BV39" i="4"/>
  <c r="BV43" i="4"/>
  <c r="BW138" i="5" s="1"/>
  <c r="BV40" i="4"/>
  <c r="BW135" i="5" s="1"/>
  <c r="BV46" i="4"/>
  <c r="BW141" i="5" s="1"/>
  <c r="BV44" i="4"/>
  <c r="BW139" i="5" s="1"/>
  <c r="BV50" i="4"/>
  <c r="BW145" i="5" s="1"/>
  <c r="BV48" i="4"/>
  <c r="BW143" i="5" s="1"/>
  <c r="BV41" i="4"/>
  <c r="BW136" i="5" s="1"/>
  <c r="BR61" i="4"/>
  <c r="BR62" i="4"/>
  <c r="BR51" i="4"/>
  <c r="BS146" i="5" s="1"/>
  <c r="BR59" i="4"/>
  <c r="BR48" i="4"/>
  <c r="BS143" i="5" s="1"/>
  <c r="BR53" i="4"/>
  <c r="BS148" i="5" s="1"/>
  <c r="BR49" i="4"/>
  <c r="BS144" i="5" s="1"/>
  <c r="BR41" i="4"/>
  <c r="BS136" i="5" s="1"/>
  <c r="BR47" i="4"/>
  <c r="BS142" i="5" s="1"/>
  <c r="BR43" i="4"/>
  <c r="BS138" i="5" s="1"/>
  <c r="BR39" i="4"/>
  <c r="BR52" i="4"/>
  <c r="BS147" i="5" s="1"/>
  <c r="BR40" i="4"/>
  <c r="BS135" i="5" s="1"/>
  <c r="BR50" i="4"/>
  <c r="BS145" i="5" s="1"/>
  <c r="BR46" i="4"/>
  <c r="BS141" i="5" s="1"/>
  <c r="BR44" i="4"/>
  <c r="BS139" i="5" s="1"/>
  <c r="BR58" i="4"/>
  <c r="BR45" i="4"/>
  <c r="BS140" i="5" s="1"/>
  <c r="BR42" i="4"/>
  <c r="BS137" i="5" s="1"/>
  <c r="BJ61" i="4"/>
  <c r="BJ62" i="4"/>
  <c r="BJ51" i="4"/>
  <c r="BK146" i="5" s="1"/>
  <c r="BJ48" i="4"/>
  <c r="BK143" i="5" s="1"/>
  <c r="BJ53" i="4"/>
  <c r="BK148" i="5" s="1"/>
  <c r="BJ49" i="4"/>
  <c r="BK144" i="5" s="1"/>
  <c r="BJ58" i="4"/>
  <c r="BJ41" i="4"/>
  <c r="BK136" i="5" s="1"/>
  <c r="BJ50" i="4"/>
  <c r="BK145" i="5" s="1"/>
  <c r="BJ43" i="4"/>
  <c r="BK138" i="5" s="1"/>
  <c r="BJ47" i="4"/>
  <c r="BK142" i="5" s="1"/>
  <c r="BJ46" i="4"/>
  <c r="BK141" i="5" s="1"/>
  <c r="BJ39" i="4"/>
  <c r="BJ44" i="4"/>
  <c r="BK139" i="5" s="1"/>
  <c r="BJ42" i="4"/>
  <c r="BK137" i="5" s="1"/>
  <c r="BJ45" i="4"/>
  <c r="BK140" i="5" s="1"/>
  <c r="BJ59" i="4"/>
  <c r="BJ52" i="4"/>
  <c r="BK147" i="5" s="1"/>
  <c r="BJ40" i="4"/>
  <c r="BK135" i="5" s="1"/>
  <c r="BF59" i="4"/>
  <c r="BF62" i="4"/>
  <c r="BF58" i="4"/>
  <c r="BF47" i="4"/>
  <c r="BG142" i="5" s="1"/>
  <c r="BF52" i="4"/>
  <c r="BG147" i="5" s="1"/>
  <c r="BF49" i="4"/>
  <c r="BG144" i="5" s="1"/>
  <c r="BF61" i="4"/>
  <c r="BF53" i="4"/>
  <c r="BG148" i="5" s="1"/>
  <c r="BF45" i="4"/>
  <c r="BG140" i="5" s="1"/>
  <c r="BF46" i="4"/>
  <c r="BG141" i="5" s="1"/>
  <c r="BF42" i="4"/>
  <c r="BG137" i="5" s="1"/>
  <c r="BF51" i="4"/>
  <c r="BG146" i="5" s="1"/>
  <c r="BF39" i="4"/>
  <c r="BF43" i="4"/>
  <c r="BG138" i="5" s="1"/>
  <c r="BF48" i="4"/>
  <c r="BG143" i="5" s="1"/>
  <c r="BF40" i="4"/>
  <c r="BG135" i="5" s="1"/>
  <c r="BF44" i="4"/>
  <c r="BG139" i="5" s="1"/>
  <c r="BF50" i="4"/>
  <c r="BG145" i="5" s="1"/>
  <c r="BF41" i="4"/>
  <c r="BG136" i="5" s="1"/>
  <c r="BB61" i="4"/>
  <c r="BB62" i="4"/>
  <c r="BB51" i="4"/>
  <c r="BC146" i="5" s="1"/>
  <c r="BB59" i="4"/>
  <c r="BB48" i="4"/>
  <c r="BC143" i="5" s="1"/>
  <c r="BB53" i="4"/>
  <c r="BC148" i="5" s="1"/>
  <c r="BB49" i="4"/>
  <c r="BC144" i="5" s="1"/>
  <c r="BB41" i="4"/>
  <c r="BC136" i="5" s="1"/>
  <c r="BB58" i="4"/>
  <c r="BB47" i="4"/>
  <c r="BC142" i="5" s="1"/>
  <c r="BB43" i="4"/>
  <c r="BC138" i="5" s="1"/>
  <c r="BB39" i="4"/>
  <c r="BB46" i="4"/>
  <c r="BC141" i="5" s="1"/>
  <c r="BB40" i="4"/>
  <c r="BC135" i="5" s="1"/>
  <c r="BB44" i="4"/>
  <c r="BC139" i="5" s="1"/>
  <c r="BB52" i="4"/>
  <c r="BC147" i="5" s="1"/>
  <c r="BB45" i="4"/>
  <c r="BC140" i="5" s="1"/>
  <c r="BB50" i="4"/>
  <c r="BC145" i="5" s="1"/>
  <c r="BB42" i="4"/>
  <c r="BC137" i="5" s="1"/>
  <c r="AX59" i="4"/>
  <c r="AX62" i="4"/>
  <c r="AX47" i="4"/>
  <c r="AY142" i="5" s="1"/>
  <c r="AX52" i="4"/>
  <c r="AY147" i="5" s="1"/>
  <c r="AX61" i="4"/>
  <c r="AX49" i="4"/>
  <c r="AY144" i="5" s="1"/>
  <c r="AX53" i="4"/>
  <c r="AY148" i="5" s="1"/>
  <c r="AX50" i="4"/>
  <c r="AY145" i="5" s="1"/>
  <c r="AX46" i="4"/>
  <c r="AY141" i="5" s="1"/>
  <c r="AX42" i="4"/>
  <c r="AY137" i="5" s="1"/>
  <c r="AX58" i="4"/>
  <c r="AX39" i="4"/>
  <c r="AX51" i="4"/>
  <c r="AY146" i="5" s="1"/>
  <c r="AX43" i="4"/>
  <c r="AY138" i="5" s="1"/>
  <c r="AX45" i="4"/>
  <c r="AY140" i="5" s="1"/>
  <c r="AX48" i="4"/>
  <c r="AY143" i="5" s="1"/>
  <c r="AX41" i="4"/>
  <c r="AY136" i="5" s="1"/>
  <c r="AX44" i="4"/>
  <c r="AY139" i="5" s="1"/>
  <c r="AX40" i="4"/>
  <c r="AY135" i="5" s="1"/>
  <c r="AT61" i="4"/>
  <c r="AT62" i="4"/>
  <c r="AT51" i="4"/>
  <c r="AU146" i="5" s="1"/>
  <c r="AT48" i="4"/>
  <c r="AU143" i="5" s="1"/>
  <c r="AT53" i="4"/>
  <c r="AU148" i="5" s="1"/>
  <c r="AT49" i="4"/>
  <c r="AU144" i="5" s="1"/>
  <c r="AT41" i="4"/>
  <c r="AU136" i="5" s="1"/>
  <c r="AT50" i="4"/>
  <c r="AU145" i="5" s="1"/>
  <c r="AT45" i="4"/>
  <c r="AU140" i="5" s="1"/>
  <c r="AT43" i="4"/>
  <c r="AU138" i="5" s="1"/>
  <c r="AT59" i="4"/>
  <c r="AT47" i="4"/>
  <c r="AU142" i="5" s="1"/>
  <c r="AT39" i="4"/>
  <c r="AT52" i="4"/>
  <c r="AU147" i="5" s="1"/>
  <c r="AT44" i="4"/>
  <c r="AU139" i="5" s="1"/>
  <c r="AT42" i="4"/>
  <c r="AU137" i="5" s="1"/>
  <c r="AT58" i="4"/>
  <c r="AT40" i="4"/>
  <c r="AU135" i="5" s="1"/>
  <c r="AT46" i="4"/>
  <c r="AU141" i="5" s="1"/>
  <c r="AP59" i="4"/>
  <c r="AP62" i="4"/>
  <c r="AP58" i="4"/>
  <c r="AP47" i="4"/>
  <c r="AQ142" i="5" s="1"/>
  <c r="AP52" i="4"/>
  <c r="AQ147" i="5" s="1"/>
  <c r="AP49" i="4"/>
  <c r="AQ144" i="5" s="1"/>
  <c r="AP61" i="4"/>
  <c r="AP53" i="4"/>
  <c r="AQ148" i="5" s="1"/>
  <c r="AP42" i="4"/>
  <c r="AQ137" i="5" s="1"/>
  <c r="AP51" i="4"/>
  <c r="AQ146" i="5" s="1"/>
  <c r="AP39" i="4"/>
  <c r="AP45" i="4"/>
  <c r="AQ140" i="5" s="1"/>
  <c r="AP43" i="4"/>
  <c r="AQ138" i="5" s="1"/>
  <c r="AP46" i="4"/>
  <c r="AQ141" i="5" s="1"/>
  <c r="AP40" i="4"/>
  <c r="AQ135" i="5" s="1"/>
  <c r="AP44" i="4"/>
  <c r="AQ139" i="5" s="1"/>
  <c r="AP50" i="4"/>
  <c r="AQ145" i="5" s="1"/>
  <c r="AP48" i="4"/>
  <c r="AQ143" i="5" s="1"/>
  <c r="AP41" i="4"/>
  <c r="AQ136" i="5" s="1"/>
  <c r="AH59" i="4"/>
  <c r="AH62" i="4"/>
  <c r="AH47" i="4"/>
  <c r="AI142" i="5" s="1"/>
  <c r="AH52" i="4"/>
  <c r="AI147" i="5" s="1"/>
  <c r="AH61" i="4"/>
  <c r="AH49" i="4"/>
  <c r="AI144" i="5" s="1"/>
  <c r="AH53" i="4"/>
  <c r="AI148" i="5" s="1"/>
  <c r="AH50" i="4"/>
  <c r="AI145" i="5" s="1"/>
  <c r="AH42" i="4"/>
  <c r="AI137" i="5" s="1"/>
  <c r="AH39" i="4"/>
  <c r="AH58" i="4"/>
  <c r="AH51" i="4"/>
  <c r="AI146" i="5" s="1"/>
  <c r="AH46" i="4"/>
  <c r="AI141" i="5" s="1"/>
  <c r="AH43" i="4"/>
  <c r="AI138" i="5" s="1"/>
  <c r="AH41" i="4"/>
  <c r="AI136" i="5" s="1"/>
  <c r="AH48" i="4"/>
  <c r="AI143" i="5" s="1"/>
  <c r="AH44" i="4"/>
  <c r="AI139" i="5" s="1"/>
  <c r="AH45" i="4"/>
  <c r="AI140" i="5" s="1"/>
  <c r="AH40" i="4"/>
  <c r="AI135" i="5" s="1"/>
  <c r="AD61" i="4"/>
  <c r="AD62" i="4"/>
  <c r="AD51" i="4"/>
  <c r="AE146" i="5" s="1"/>
  <c r="AD48" i="4"/>
  <c r="AE143" i="5" s="1"/>
  <c r="AD53" i="4"/>
  <c r="AE148" i="5" s="1"/>
  <c r="AD49" i="4"/>
  <c r="AE144" i="5" s="1"/>
  <c r="AD58" i="4"/>
  <c r="AD45" i="4"/>
  <c r="AE140" i="5" s="1"/>
  <c r="AD41" i="4"/>
  <c r="AE136" i="5" s="1"/>
  <c r="AD50" i="4"/>
  <c r="AE145" i="5" s="1"/>
  <c r="AD46" i="4"/>
  <c r="AE141" i="5" s="1"/>
  <c r="AD43" i="4"/>
  <c r="AE138" i="5" s="1"/>
  <c r="AD47" i="4"/>
  <c r="AE142" i="5" s="1"/>
  <c r="AD39" i="4"/>
  <c r="AD44" i="4"/>
  <c r="AE139" i="5" s="1"/>
  <c r="AD42" i="4"/>
  <c r="AE137" i="5" s="1"/>
  <c r="AD52" i="4"/>
  <c r="AE147" i="5" s="1"/>
  <c r="AD40" i="4"/>
  <c r="AE135" i="5" s="1"/>
  <c r="AD59" i="4"/>
  <c r="Z59" i="4"/>
  <c r="Z62" i="4"/>
  <c r="Z58" i="4"/>
  <c r="Z47" i="4"/>
  <c r="AA142" i="5" s="1"/>
  <c r="Z52" i="4"/>
  <c r="AA147" i="5" s="1"/>
  <c r="Z49" i="4"/>
  <c r="AA144" i="5" s="1"/>
  <c r="Z61" i="4"/>
  <c r="Z53" i="4"/>
  <c r="AA148" i="5" s="1"/>
  <c r="Z42" i="4"/>
  <c r="AA137" i="5" s="1"/>
  <c r="Z51" i="4"/>
  <c r="AA146" i="5" s="1"/>
  <c r="Z39" i="4"/>
  <c r="Z43" i="4"/>
  <c r="AA138" i="5" s="1"/>
  <c r="Z48" i="4"/>
  <c r="AA143" i="5" s="1"/>
  <c r="Z40" i="4"/>
  <c r="AA135" i="5" s="1"/>
  <c r="Z44" i="4"/>
  <c r="AA139" i="5" s="1"/>
  <c r="Z45" i="4"/>
  <c r="AA140" i="5" s="1"/>
  <c r="Z50" i="4"/>
  <c r="AA145" i="5" s="1"/>
  <c r="Z41" i="4"/>
  <c r="AA136" i="5" s="1"/>
  <c r="Z46" i="4"/>
  <c r="AA141" i="5" s="1"/>
  <c r="R59" i="4"/>
  <c r="R62" i="4"/>
  <c r="R47" i="4"/>
  <c r="S142" i="5" s="1"/>
  <c r="R52" i="4"/>
  <c r="S147" i="5" s="1"/>
  <c r="R61" i="4"/>
  <c r="R49" i="4"/>
  <c r="S144" i="5" s="1"/>
  <c r="R53" i="4"/>
  <c r="S148" i="5" s="1"/>
  <c r="R50" i="4"/>
  <c r="S145" i="5" s="1"/>
  <c r="R42" i="4"/>
  <c r="S137" i="5" s="1"/>
  <c r="R58" i="4"/>
  <c r="R39" i="4"/>
  <c r="R51" i="4"/>
  <c r="S146" i="5" s="1"/>
  <c r="R43" i="4"/>
  <c r="S138" i="5" s="1"/>
  <c r="R48" i="4"/>
  <c r="S143" i="5" s="1"/>
  <c r="R46" i="4"/>
  <c r="S141" i="5" s="1"/>
  <c r="R41" i="4"/>
  <c r="S136" i="5" s="1"/>
  <c r="R45" i="4"/>
  <c r="S140" i="5" s="1"/>
  <c r="R44" i="4"/>
  <c r="S139" i="5" s="1"/>
  <c r="R40" i="4"/>
  <c r="S135" i="5" s="1"/>
  <c r="R19" i="4"/>
  <c r="AI28" i="7"/>
  <c r="K33" i="7"/>
  <c r="DH59" i="4"/>
  <c r="DH62" i="4"/>
  <c r="DH53" i="4"/>
  <c r="DI148" i="5" s="1"/>
  <c r="DH45" i="4"/>
  <c r="DI140" i="5" s="1"/>
  <c r="DH50" i="4"/>
  <c r="DI145" i="5" s="1"/>
  <c r="DH47" i="4"/>
  <c r="DI142" i="5" s="1"/>
  <c r="DH58" i="4"/>
  <c r="DH51" i="4"/>
  <c r="DI146" i="5" s="1"/>
  <c r="DH43" i="4"/>
  <c r="DI138" i="5" s="1"/>
  <c r="DH61" i="4"/>
  <c r="DH40" i="4"/>
  <c r="DI135" i="5" s="1"/>
  <c r="DH49" i="4"/>
  <c r="DI144" i="5" s="1"/>
  <c r="DH41" i="4"/>
  <c r="DI136" i="5" s="1"/>
  <c r="DH44" i="4"/>
  <c r="DI139" i="5" s="1"/>
  <c r="DH42" i="4"/>
  <c r="DI137" i="5" s="1"/>
  <c r="DH46" i="4"/>
  <c r="DI141" i="5" s="1"/>
  <c r="DH48" i="4"/>
  <c r="DI143" i="5" s="1"/>
  <c r="DH39" i="4"/>
  <c r="DH52" i="4"/>
  <c r="DI147" i="5" s="1"/>
  <c r="DC62" i="4"/>
  <c r="DC58" i="4"/>
  <c r="DC52" i="4"/>
  <c r="DD147" i="5" s="1"/>
  <c r="DC44" i="4"/>
  <c r="DD139" i="5" s="1"/>
  <c r="DC49" i="4"/>
  <c r="DD144" i="5" s="1"/>
  <c r="DC46" i="4"/>
  <c r="DD141" i="5" s="1"/>
  <c r="DC50" i="4"/>
  <c r="DD145" i="5" s="1"/>
  <c r="DC47" i="4"/>
  <c r="DD142" i="5" s="1"/>
  <c r="DC42" i="4"/>
  <c r="DD137" i="5" s="1"/>
  <c r="DC51" i="4"/>
  <c r="DD146" i="5" s="1"/>
  <c r="DC39" i="4"/>
  <c r="DC61" i="4"/>
  <c r="DC59" i="4"/>
  <c r="DC48" i="4"/>
  <c r="DD143" i="5" s="1"/>
  <c r="DC40" i="4"/>
  <c r="DD135" i="5" s="1"/>
  <c r="DC43" i="4"/>
  <c r="DD138" i="5" s="1"/>
  <c r="DC53" i="4"/>
  <c r="DD148" i="5" s="1"/>
  <c r="DC41" i="4"/>
  <c r="DD136" i="5" s="1"/>
  <c r="DC45" i="4"/>
  <c r="DD140" i="5" s="1"/>
  <c r="DF61" i="4"/>
  <c r="DF62" i="4"/>
  <c r="DF51" i="4"/>
  <c r="DG146" i="5" s="1"/>
  <c r="DF48" i="4"/>
  <c r="DG143" i="5" s="1"/>
  <c r="DF53" i="4"/>
  <c r="DG148" i="5" s="1"/>
  <c r="DF49" i="4"/>
  <c r="DG144" i="5" s="1"/>
  <c r="DF46" i="4"/>
  <c r="DG141" i="5" s="1"/>
  <c r="DF41" i="4"/>
  <c r="DG136" i="5" s="1"/>
  <c r="DF50" i="4"/>
  <c r="DG145" i="5" s="1"/>
  <c r="DF44" i="4"/>
  <c r="DG139" i="5" s="1"/>
  <c r="DF45" i="4"/>
  <c r="DG140" i="5" s="1"/>
  <c r="DF43" i="4"/>
  <c r="DG138" i="5" s="1"/>
  <c r="DF59" i="4"/>
  <c r="DF47" i="4"/>
  <c r="DG142" i="5" s="1"/>
  <c r="DF39" i="4"/>
  <c r="DF52" i="4"/>
  <c r="DG147" i="5" s="1"/>
  <c r="DF42" i="4"/>
  <c r="DG137" i="5" s="1"/>
  <c r="DF40" i="4"/>
  <c r="DG135" i="5" s="1"/>
  <c r="DF58" i="4"/>
  <c r="CX61" i="4"/>
  <c r="CX62" i="4"/>
  <c r="CX51" i="4"/>
  <c r="CY146" i="5" s="1"/>
  <c r="CX59" i="4"/>
  <c r="CX48" i="4"/>
  <c r="CY143" i="5" s="1"/>
  <c r="CX53" i="4"/>
  <c r="CY148" i="5" s="1"/>
  <c r="CX49" i="4"/>
  <c r="CY144" i="5" s="1"/>
  <c r="CX44" i="4"/>
  <c r="CY139" i="5" s="1"/>
  <c r="CX41" i="4"/>
  <c r="CY136" i="5" s="1"/>
  <c r="CX45" i="4"/>
  <c r="CY140" i="5" s="1"/>
  <c r="CX47" i="4"/>
  <c r="CY142" i="5" s="1"/>
  <c r="CX43" i="4"/>
  <c r="CY138" i="5" s="1"/>
  <c r="CX39" i="4"/>
  <c r="CX58" i="4"/>
  <c r="CX50" i="4"/>
  <c r="CY145" i="5" s="1"/>
  <c r="CX52" i="4"/>
  <c r="CY147" i="5" s="1"/>
  <c r="CX40" i="4"/>
  <c r="CY135" i="5" s="1"/>
  <c r="CX46" i="4"/>
  <c r="CY141" i="5" s="1"/>
  <c r="CX42" i="4"/>
  <c r="CY137" i="5" s="1"/>
  <c r="CT59" i="4"/>
  <c r="CT62" i="4"/>
  <c r="CT47" i="4"/>
  <c r="CU142" i="5" s="1"/>
  <c r="CT52" i="4"/>
  <c r="CU147" i="5" s="1"/>
  <c r="CT61" i="4"/>
  <c r="CT49" i="4"/>
  <c r="CU144" i="5" s="1"/>
  <c r="CT53" i="4"/>
  <c r="CU148" i="5" s="1"/>
  <c r="CT50" i="4"/>
  <c r="CU145" i="5" s="1"/>
  <c r="CT42" i="4"/>
  <c r="CU137" i="5" s="1"/>
  <c r="CT39" i="4"/>
  <c r="CT58" i="4"/>
  <c r="CT51" i="4"/>
  <c r="CU146" i="5" s="1"/>
  <c r="CT46" i="4"/>
  <c r="CU141" i="5" s="1"/>
  <c r="CT43" i="4"/>
  <c r="CU138" i="5" s="1"/>
  <c r="CT45" i="4"/>
  <c r="CU140" i="5" s="1"/>
  <c r="CT41" i="4"/>
  <c r="CU136" i="5" s="1"/>
  <c r="CT48" i="4"/>
  <c r="CU143" i="5" s="1"/>
  <c r="CT44" i="4"/>
  <c r="CU139" i="5" s="1"/>
  <c r="CT40" i="4"/>
  <c r="CU135" i="5" s="1"/>
  <c r="DI59" i="4"/>
  <c r="DI62" i="4"/>
  <c r="DI61" i="4"/>
  <c r="DI50" i="4"/>
  <c r="DJ145" i="5" s="1"/>
  <c r="DI47" i="4"/>
  <c r="DJ142" i="5" s="1"/>
  <c r="DI52" i="4"/>
  <c r="DJ147" i="5" s="1"/>
  <c r="DI48" i="4"/>
  <c r="DJ143" i="5" s="1"/>
  <c r="DI45" i="4"/>
  <c r="DJ140" i="5" s="1"/>
  <c r="DI40" i="4"/>
  <c r="DJ135" i="5" s="1"/>
  <c r="DI49" i="4"/>
  <c r="DJ144" i="5" s="1"/>
  <c r="DI42" i="4"/>
  <c r="DJ137" i="5" s="1"/>
  <c r="DI58" i="4"/>
  <c r="DI46" i="4"/>
  <c r="DJ141" i="5" s="1"/>
  <c r="DI44" i="4"/>
  <c r="DJ139" i="5" s="1"/>
  <c r="DI53" i="4"/>
  <c r="DJ148" i="5" s="1"/>
  <c r="DI51" i="4"/>
  <c r="DJ146" i="5" s="1"/>
  <c r="DI43" i="4"/>
  <c r="DJ138" i="5" s="1"/>
  <c r="DI41" i="4"/>
  <c r="DJ136" i="5" s="1"/>
  <c r="DI39" i="4"/>
  <c r="CO58" i="4"/>
  <c r="CO61" i="4"/>
  <c r="CO62" i="4"/>
  <c r="CO46" i="4"/>
  <c r="CP141" i="5" s="1"/>
  <c r="CO51" i="4"/>
  <c r="CP146" i="5" s="1"/>
  <c r="CO48" i="4"/>
  <c r="CP143" i="5" s="1"/>
  <c r="CO59" i="4"/>
  <c r="CO52" i="4"/>
  <c r="CP147" i="5" s="1"/>
  <c r="CO44" i="4"/>
  <c r="CP139" i="5" s="1"/>
  <c r="CO45" i="4"/>
  <c r="CP140" i="5" s="1"/>
  <c r="CO41" i="4"/>
  <c r="CP136" i="5" s="1"/>
  <c r="CO50" i="4"/>
  <c r="CP145" i="5" s="1"/>
  <c r="CO42" i="4"/>
  <c r="CP137" i="5" s="1"/>
  <c r="CO47" i="4"/>
  <c r="CP142" i="5" s="1"/>
  <c r="CO39" i="4"/>
  <c r="CO43" i="4"/>
  <c r="CP138" i="5" s="1"/>
  <c r="CO53" i="4"/>
  <c r="CP148" i="5" s="1"/>
  <c r="CO49" i="4"/>
  <c r="CP144" i="5" s="1"/>
  <c r="CO40" i="4"/>
  <c r="CP135" i="5" s="1"/>
  <c r="CG58" i="4"/>
  <c r="CG61" i="4"/>
  <c r="CG46" i="4"/>
  <c r="CH141" i="5" s="1"/>
  <c r="CG51" i="4"/>
  <c r="CH146" i="5" s="1"/>
  <c r="CG59" i="4"/>
  <c r="CG48" i="4"/>
  <c r="CH143" i="5" s="1"/>
  <c r="CG62" i="4"/>
  <c r="CG52" i="4"/>
  <c r="CH147" i="5" s="1"/>
  <c r="CG49" i="4"/>
  <c r="CH144" i="5" s="1"/>
  <c r="CG45" i="4"/>
  <c r="CH140" i="5" s="1"/>
  <c r="CG44" i="4"/>
  <c r="CH139" i="5" s="1"/>
  <c r="CG53" i="4"/>
  <c r="CH148" i="5" s="1"/>
  <c r="CG41" i="4"/>
  <c r="CH136" i="5" s="1"/>
  <c r="CG50" i="4"/>
  <c r="CH145" i="5" s="1"/>
  <c r="CG42" i="4"/>
  <c r="CH137" i="5" s="1"/>
  <c r="CG47" i="4"/>
  <c r="CH142" i="5" s="1"/>
  <c r="CG40" i="4"/>
  <c r="CH135" i="5" s="1"/>
  <c r="CG43" i="4"/>
  <c r="CH138" i="5" s="1"/>
  <c r="CG39" i="4"/>
  <c r="CC59" i="4"/>
  <c r="CC62" i="4"/>
  <c r="CC61" i="4"/>
  <c r="CC50" i="4"/>
  <c r="CD145" i="5" s="1"/>
  <c r="CC47" i="4"/>
  <c r="CD142" i="5" s="1"/>
  <c r="CC52" i="4"/>
  <c r="CD147" i="5" s="1"/>
  <c r="CC48" i="4"/>
  <c r="CD143" i="5" s="1"/>
  <c r="CC40" i="4"/>
  <c r="CD135" i="5" s="1"/>
  <c r="CC49" i="4"/>
  <c r="CD144" i="5" s="1"/>
  <c r="CC42" i="4"/>
  <c r="CD137" i="5" s="1"/>
  <c r="CC58" i="4"/>
  <c r="CC51" i="4"/>
  <c r="CD146" i="5" s="1"/>
  <c r="CC43" i="4"/>
  <c r="CD138" i="5" s="1"/>
  <c r="CC41" i="4"/>
  <c r="CD136" i="5" s="1"/>
  <c r="CC45" i="4"/>
  <c r="CD140" i="5" s="1"/>
  <c r="CC39" i="4"/>
  <c r="CC53" i="4"/>
  <c r="CD148" i="5" s="1"/>
  <c r="CC44" i="4"/>
  <c r="CD139" i="5" s="1"/>
  <c r="CC46" i="4"/>
  <c r="CD141" i="5" s="1"/>
  <c r="BY58" i="4"/>
  <c r="BY61" i="4"/>
  <c r="BY46" i="4"/>
  <c r="BZ141" i="5" s="1"/>
  <c r="BY51" i="4"/>
  <c r="BZ146" i="5" s="1"/>
  <c r="BY48" i="4"/>
  <c r="BZ143" i="5" s="1"/>
  <c r="BY62" i="4"/>
  <c r="BY59" i="4"/>
  <c r="BY52" i="4"/>
  <c r="BZ147" i="5" s="1"/>
  <c r="BY44" i="4"/>
  <c r="BZ139" i="5" s="1"/>
  <c r="BY41" i="4"/>
  <c r="BZ136" i="5" s="1"/>
  <c r="BY50" i="4"/>
  <c r="BZ145" i="5" s="1"/>
  <c r="BY42" i="4"/>
  <c r="BZ137" i="5" s="1"/>
  <c r="BY39" i="4"/>
  <c r="BY43" i="4"/>
  <c r="BZ138" i="5" s="1"/>
  <c r="BY47" i="4"/>
  <c r="BZ142" i="5" s="1"/>
  <c r="BY49" i="4"/>
  <c r="BZ144" i="5" s="1"/>
  <c r="BY45" i="4"/>
  <c r="BZ140" i="5" s="1"/>
  <c r="BY40" i="4"/>
  <c r="BZ135" i="5" s="1"/>
  <c r="BY53" i="4"/>
  <c r="BZ148" i="5" s="1"/>
  <c r="BU59" i="4"/>
  <c r="BU62" i="4"/>
  <c r="BU61" i="4"/>
  <c r="BU50" i="4"/>
  <c r="BV145" i="5" s="1"/>
  <c r="BU58" i="4"/>
  <c r="BU47" i="4"/>
  <c r="BV142" i="5" s="1"/>
  <c r="BU52" i="4"/>
  <c r="BV147" i="5" s="1"/>
  <c r="BU48" i="4"/>
  <c r="BV143" i="5" s="1"/>
  <c r="BU53" i="4"/>
  <c r="BV148" i="5" s="1"/>
  <c r="BU40" i="4"/>
  <c r="BV135" i="5" s="1"/>
  <c r="BU42" i="4"/>
  <c r="BV137" i="5" s="1"/>
  <c r="BU51" i="4"/>
  <c r="BV146" i="5" s="1"/>
  <c r="BU39" i="4"/>
  <c r="BU46" i="4"/>
  <c r="BV141" i="5" s="1"/>
  <c r="BU44" i="4"/>
  <c r="BV139" i="5" s="1"/>
  <c r="BU49" i="4"/>
  <c r="BV144" i="5" s="1"/>
  <c r="BU45" i="4"/>
  <c r="BV140" i="5" s="1"/>
  <c r="BU41" i="4"/>
  <c r="BV136" i="5" s="1"/>
  <c r="BU43" i="4"/>
  <c r="BV138" i="5" s="1"/>
  <c r="BQ58" i="4"/>
  <c r="BQ61" i="4"/>
  <c r="BQ46" i="4"/>
  <c r="BR141" i="5" s="1"/>
  <c r="BQ62" i="4"/>
  <c r="BQ51" i="4"/>
  <c r="BR146" i="5" s="1"/>
  <c r="BQ59" i="4"/>
  <c r="BQ48" i="4"/>
  <c r="BR143" i="5" s="1"/>
  <c r="BQ52" i="4"/>
  <c r="BR147" i="5" s="1"/>
  <c r="BQ49" i="4"/>
  <c r="BR144" i="5" s="1"/>
  <c r="BQ44" i="4"/>
  <c r="BR139" i="5" s="1"/>
  <c r="BQ53" i="4"/>
  <c r="BR148" i="5" s="1"/>
  <c r="BQ41" i="4"/>
  <c r="BR136" i="5" s="1"/>
  <c r="BQ50" i="4"/>
  <c r="BR145" i="5" s="1"/>
  <c r="BQ45" i="4"/>
  <c r="BR140" i="5" s="1"/>
  <c r="BQ42" i="4"/>
  <c r="BR137" i="5" s="1"/>
  <c r="BQ40" i="4"/>
  <c r="BR135" i="5" s="1"/>
  <c r="BQ47" i="4"/>
  <c r="BR142" i="5" s="1"/>
  <c r="BQ43" i="4"/>
  <c r="BR138" i="5" s="1"/>
  <c r="BQ39" i="4"/>
  <c r="BA58" i="4"/>
  <c r="BA61" i="4"/>
  <c r="BA46" i="4"/>
  <c r="BB141" i="5" s="1"/>
  <c r="BA51" i="4"/>
  <c r="BB146" i="5" s="1"/>
  <c r="BA59" i="4"/>
  <c r="BA48" i="4"/>
  <c r="BB143" i="5" s="1"/>
  <c r="BA52" i="4"/>
  <c r="BB147" i="5" s="1"/>
  <c r="BA62" i="4"/>
  <c r="BA49" i="4"/>
  <c r="BB144" i="5" s="1"/>
  <c r="BA44" i="4"/>
  <c r="BB139" i="5" s="1"/>
  <c r="BA53" i="4"/>
  <c r="BB148" i="5" s="1"/>
  <c r="BA41" i="4"/>
  <c r="BB136" i="5" s="1"/>
  <c r="BA50" i="4"/>
  <c r="BB145" i="5" s="1"/>
  <c r="BA42" i="4"/>
  <c r="BB137" i="5" s="1"/>
  <c r="BA47" i="4"/>
  <c r="BB142" i="5" s="1"/>
  <c r="BA40" i="4"/>
  <c r="BB135" i="5" s="1"/>
  <c r="BA43" i="4"/>
  <c r="BB138" i="5" s="1"/>
  <c r="BA45" i="4"/>
  <c r="BB140" i="5" s="1"/>
  <c r="BA39" i="4"/>
  <c r="AO59" i="4"/>
  <c r="AO61" i="4"/>
  <c r="AO50" i="4"/>
  <c r="AP145" i="5" s="1"/>
  <c r="AO58" i="4"/>
  <c r="AO47" i="4"/>
  <c r="AP142" i="5" s="1"/>
  <c r="AO52" i="4"/>
  <c r="AP147" i="5" s="1"/>
  <c r="AO48" i="4"/>
  <c r="AP143" i="5" s="1"/>
  <c r="AO53" i="4"/>
  <c r="AP148" i="5" s="1"/>
  <c r="AO46" i="4"/>
  <c r="AP141" i="5" s="1"/>
  <c r="AO40" i="4"/>
  <c r="AP135" i="5" s="1"/>
  <c r="AO62" i="4"/>
  <c r="AO42" i="4"/>
  <c r="AP137" i="5" s="1"/>
  <c r="AO51" i="4"/>
  <c r="AP146" i="5" s="1"/>
  <c r="AO39" i="4"/>
  <c r="AO45" i="4"/>
  <c r="AP140" i="5" s="1"/>
  <c r="AO44" i="4"/>
  <c r="AP139" i="5" s="1"/>
  <c r="AO49" i="4"/>
  <c r="AP144" i="5" s="1"/>
  <c r="AO41" i="4"/>
  <c r="AP136" i="5" s="1"/>
  <c r="AO43" i="4"/>
  <c r="AP138" i="5" s="1"/>
  <c r="AG59" i="4"/>
  <c r="AG61" i="4"/>
  <c r="AG62" i="4"/>
  <c r="AG50" i="4"/>
  <c r="AH145" i="5" s="1"/>
  <c r="AG47" i="4"/>
  <c r="AH142" i="5" s="1"/>
  <c r="AG52" i="4"/>
  <c r="AH147" i="5" s="1"/>
  <c r="AG48" i="4"/>
  <c r="AH143" i="5" s="1"/>
  <c r="AG40" i="4"/>
  <c r="AH135" i="5" s="1"/>
  <c r="AG49" i="4"/>
  <c r="AH144" i="5" s="1"/>
  <c r="AG42" i="4"/>
  <c r="AH137" i="5" s="1"/>
  <c r="AG45" i="4"/>
  <c r="AH140" i="5" s="1"/>
  <c r="AG43" i="4"/>
  <c r="AH138" i="5" s="1"/>
  <c r="AG41" i="4"/>
  <c r="AH136" i="5" s="1"/>
  <c r="AG53" i="4"/>
  <c r="AH148" i="5" s="1"/>
  <c r="AG46" i="4"/>
  <c r="AH141" i="5" s="1"/>
  <c r="AG51" i="4"/>
  <c r="AH146" i="5" s="1"/>
  <c r="AG44" i="4"/>
  <c r="AH139" i="5" s="1"/>
  <c r="AG58" i="4"/>
  <c r="AG39" i="4"/>
  <c r="AC58" i="4"/>
  <c r="AC61" i="4"/>
  <c r="AC46" i="4"/>
  <c r="AD141" i="5" s="1"/>
  <c r="AC51" i="4"/>
  <c r="AD146" i="5" s="1"/>
  <c r="AC48" i="4"/>
  <c r="AD143" i="5" s="1"/>
  <c r="AC59" i="4"/>
  <c r="AC52" i="4"/>
  <c r="AD147" i="5" s="1"/>
  <c r="AC44" i="4"/>
  <c r="AD139" i="5" s="1"/>
  <c r="AC45" i="4"/>
  <c r="AD140" i="5" s="1"/>
  <c r="AC41" i="4"/>
  <c r="AD136" i="5" s="1"/>
  <c r="AC50" i="4"/>
  <c r="AD145" i="5" s="1"/>
  <c r="AC62" i="4"/>
  <c r="AC42" i="4"/>
  <c r="AD137" i="5" s="1"/>
  <c r="AC47" i="4"/>
  <c r="AD142" i="5" s="1"/>
  <c r="AC39" i="4"/>
  <c r="AC43" i="4"/>
  <c r="AD138" i="5" s="1"/>
  <c r="AC53" i="4"/>
  <c r="AD148" i="5" s="1"/>
  <c r="AC49" i="4"/>
  <c r="AD144" i="5" s="1"/>
  <c r="AC40" i="4"/>
  <c r="AD135" i="5" s="1"/>
  <c r="DA59" i="4"/>
  <c r="DA62" i="4"/>
  <c r="DA61" i="4"/>
  <c r="DA50" i="4"/>
  <c r="DB145" i="5" s="1"/>
  <c r="DA58" i="4"/>
  <c r="DA47" i="4"/>
  <c r="DB142" i="5" s="1"/>
  <c r="DA52" i="4"/>
  <c r="DB147" i="5" s="1"/>
  <c r="DA48" i="4"/>
  <c r="DB143" i="5" s="1"/>
  <c r="DA53" i="4"/>
  <c r="DB148" i="5" s="1"/>
  <c r="DA40" i="4"/>
  <c r="DB135" i="5" s="1"/>
  <c r="DA46" i="4"/>
  <c r="DB141" i="5" s="1"/>
  <c r="DA42" i="4"/>
  <c r="DB137" i="5" s="1"/>
  <c r="DA45" i="4"/>
  <c r="DB140" i="5" s="1"/>
  <c r="DA51" i="4"/>
  <c r="DB146" i="5" s="1"/>
  <c r="DA39" i="4"/>
  <c r="DA49" i="4"/>
  <c r="DB144" i="5" s="1"/>
  <c r="DA44" i="4"/>
  <c r="DB139" i="5" s="1"/>
  <c r="DA41" i="4"/>
  <c r="DB136" i="5" s="1"/>
  <c r="DA43" i="4"/>
  <c r="DB138" i="5" s="1"/>
  <c r="BM59" i="4"/>
  <c r="BM62" i="4"/>
  <c r="BM61" i="4"/>
  <c r="BM50" i="4"/>
  <c r="BN145" i="5" s="1"/>
  <c r="BM47" i="4"/>
  <c r="BN142" i="5" s="1"/>
  <c r="BM52" i="4"/>
  <c r="BN147" i="5" s="1"/>
  <c r="BM48" i="4"/>
  <c r="BN143" i="5" s="1"/>
  <c r="BM40" i="4"/>
  <c r="BN135" i="5" s="1"/>
  <c r="BM49" i="4"/>
  <c r="BN144" i="5" s="1"/>
  <c r="BM45" i="4"/>
  <c r="BN140" i="5" s="1"/>
  <c r="BM42" i="4"/>
  <c r="BN137" i="5" s="1"/>
  <c r="BM43" i="4"/>
  <c r="BN138" i="5" s="1"/>
  <c r="BM41" i="4"/>
  <c r="BN136" i="5" s="1"/>
  <c r="BM53" i="4"/>
  <c r="BN148" i="5" s="1"/>
  <c r="BM58" i="4"/>
  <c r="BM51" i="4"/>
  <c r="BN146" i="5" s="1"/>
  <c r="BM46" i="4"/>
  <c r="BN141" i="5" s="1"/>
  <c r="BM39" i="4"/>
  <c r="BM44" i="4"/>
  <c r="BN139" i="5" s="1"/>
  <c r="BI58" i="4"/>
  <c r="BI61" i="4"/>
  <c r="BI46" i="4"/>
  <c r="BJ141" i="5" s="1"/>
  <c r="BI51" i="4"/>
  <c r="BJ146" i="5" s="1"/>
  <c r="BI48" i="4"/>
  <c r="BJ143" i="5" s="1"/>
  <c r="BI59" i="4"/>
  <c r="BI52" i="4"/>
  <c r="BJ147" i="5" s="1"/>
  <c r="BI44" i="4"/>
  <c r="BJ139" i="5" s="1"/>
  <c r="BI41" i="4"/>
  <c r="BJ136" i="5" s="1"/>
  <c r="BI50" i="4"/>
  <c r="BJ145" i="5" s="1"/>
  <c r="BI62" i="4"/>
  <c r="BI42" i="4"/>
  <c r="BJ137" i="5" s="1"/>
  <c r="BI47" i="4"/>
  <c r="BJ142" i="5" s="1"/>
  <c r="BI39" i="4"/>
  <c r="BI43" i="4"/>
  <c r="BJ138" i="5" s="1"/>
  <c r="BI45" i="4"/>
  <c r="BJ140" i="5" s="1"/>
  <c r="BI53" i="4"/>
  <c r="BJ148" i="5" s="1"/>
  <c r="BI49" i="4"/>
  <c r="BJ144" i="5" s="1"/>
  <c r="BI40" i="4"/>
  <c r="BJ135" i="5" s="1"/>
  <c r="BE59" i="4"/>
  <c r="BE62" i="4"/>
  <c r="BE61" i="4"/>
  <c r="BE50" i="4"/>
  <c r="BF145" i="5" s="1"/>
  <c r="BE58" i="4"/>
  <c r="BE47" i="4"/>
  <c r="BF142" i="5" s="1"/>
  <c r="BE52" i="4"/>
  <c r="BF147" i="5" s="1"/>
  <c r="BE48" i="4"/>
  <c r="BF143" i="5" s="1"/>
  <c r="BE53" i="4"/>
  <c r="BF148" i="5" s="1"/>
  <c r="BE40" i="4"/>
  <c r="BF135" i="5" s="1"/>
  <c r="BE45" i="4"/>
  <c r="BF140" i="5" s="1"/>
  <c r="BE46" i="4"/>
  <c r="BF141" i="5" s="1"/>
  <c r="BE42" i="4"/>
  <c r="BF137" i="5" s="1"/>
  <c r="BE39" i="4"/>
  <c r="BE44" i="4"/>
  <c r="BF139" i="5" s="1"/>
  <c r="BE51" i="4"/>
  <c r="BF146" i="5" s="1"/>
  <c r="BE49" i="4"/>
  <c r="BF144" i="5" s="1"/>
  <c r="BE41" i="4"/>
  <c r="BF136" i="5" s="1"/>
  <c r="BE43" i="4"/>
  <c r="BF138" i="5" s="1"/>
  <c r="AW59" i="4"/>
  <c r="AW61" i="4"/>
  <c r="AW62" i="4"/>
  <c r="AW50" i="4"/>
  <c r="AX145" i="5" s="1"/>
  <c r="AW47" i="4"/>
  <c r="AX142" i="5" s="1"/>
  <c r="AW52" i="4"/>
  <c r="AX147" i="5" s="1"/>
  <c r="AW48" i="4"/>
  <c r="AX143" i="5" s="1"/>
  <c r="AW45" i="4"/>
  <c r="AX140" i="5" s="1"/>
  <c r="AW40" i="4"/>
  <c r="AX135" i="5" s="1"/>
  <c r="AW49" i="4"/>
  <c r="AX144" i="5" s="1"/>
  <c r="AW46" i="4"/>
  <c r="AX141" i="5" s="1"/>
  <c r="AW42" i="4"/>
  <c r="AX137" i="5" s="1"/>
  <c r="AW58" i="4"/>
  <c r="AW51" i="4"/>
  <c r="AX146" i="5" s="1"/>
  <c r="AW43" i="4"/>
  <c r="AX138" i="5" s="1"/>
  <c r="AW41" i="4"/>
  <c r="AX136" i="5" s="1"/>
  <c r="AW39" i="4"/>
  <c r="AW53" i="4"/>
  <c r="AX148" i="5" s="1"/>
  <c r="AW44" i="4"/>
  <c r="AX139" i="5" s="1"/>
  <c r="AS58" i="4"/>
  <c r="AS61" i="4"/>
  <c r="AS46" i="4"/>
  <c r="AT141" i="5" s="1"/>
  <c r="AS51" i="4"/>
  <c r="AT146" i="5" s="1"/>
  <c r="AS48" i="4"/>
  <c r="AT143" i="5" s="1"/>
  <c r="AS59" i="4"/>
  <c r="AS52" i="4"/>
  <c r="AT147" i="5" s="1"/>
  <c r="AS44" i="4"/>
  <c r="AT139" i="5" s="1"/>
  <c r="AS62" i="4"/>
  <c r="AS41" i="4"/>
  <c r="AT136" i="5" s="1"/>
  <c r="AS50" i="4"/>
  <c r="AT145" i="5" s="1"/>
  <c r="AS42" i="4"/>
  <c r="AT137" i="5" s="1"/>
  <c r="AS39" i="4"/>
  <c r="AS45" i="4"/>
  <c r="AT140" i="5" s="1"/>
  <c r="AS43" i="4"/>
  <c r="AT138" i="5" s="1"/>
  <c r="AS49" i="4"/>
  <c r="AT144" i="5" s="1"/>
  <c r="AS47" i="4"/>
  <c r="AT142" i="5" s="1"/>
  <c r="AS40" i="4"/>
  <c r="AT135" i="5" s="1"/>
  <c r="AS53" i="4"/>
  <c r="AT148" i="5" s="1"/>
  <c r="AK58" i="4"/>
  <c r="AK61" i="4"/>
  <c r="AK46" i="4"/>
  <c r="AL141" i="5" s="1"/>
  <c r="AK51" i="4"/>
  <c r="AL146" i="5" s="1"/>
  <c r="AK59" i="4"/>
  <c r="AK48" i="4"/>
  <c r="AL143" i="5" s="1"/>
  <c r="AK52" i="4"/>
  <c r="AL147" i="5" s="1"/>
  <c r="AK49" i="4"/>
  <c r="AL144" i="5" s="1"/>
  <c r="AK44" i="4"/>
  <c r="AL139" i="5" s="1"/>
  <c r="AK53" i="4"/>
  <c r="AL148" i="5" s="1"/>
  <c r="AK41" i="4"/>
  <c r="AL136" i="5" s="1"/>
  <c r="AK45" i="4"/>
  <c r="AL140" i="5" s="1"/>
  <c r="AK62" i="4"/>
  <c r="AK50" i="4"/>
  <c r="AL145" i="5" s="1"/>
  <c r="AK42" i="4"/>
  <c r="AL137" i="5" s="1"/>
  <c r="AK40" i="4"/>
  <c r="AL135" i="5" s="1"/>
  <c r="AK47" i="4"/>
  <c r="AL142" i="5" s="1"/>
  <c r="AK43" i="4"/>
  <c r="AL138" i="5" s="1"/>
  <c r="AK39" i="4"/>
  <c r="Y59" i="4"/>
  <c r="Y61" i="4"/>
  <c r="Y50" i="4"/>
  <c r="Z145" i="5" s="1"/>
  <c r="Y58" i="4"/>
  <c r="Y47" i="4"/>
  <c r="Z142" i="5" s="1"/>
  <c r="Y52" i="4"/>
  <c r="Z147" i="5" s="1"/>
  <c r="Y48" i="4"/>
  <c r="Z143" i="5" s="1"/>
  <c r="Y53" i="4"/>
  <c r="Z148" i="5" s="1"/>
  <c r="Y40" i="4"/>
  <c r="Z135" i="5" s="1"/>
  <c r="Y42" i="4"/>
  <c r="Z137" i="5" s="1"/>
  <c r="Y62" i="4"/>
  <c r="Y46" i="4"/>
  <c r="Z141" i="5" s="1"/>
  <c r="Y45" i="4"/>
  <c r="Z140" i="5" s="1"/>
  <c r="Y39" i="4"/>
  <c r="Y44" i="4"/>
  <c r="Z139" i="5" s="1"/>
  <c r="Y51" i="4"/>
  <c r="Z146" i="5" s="1"/>
  <c r="Y49" i="4"/>
  <c r="Z144" i="5" s="1"/>
  <c r="Y41" i="4"/>
  <c r="Z136" i="5" s="1"/>
  <c r="Y43" i="4"/>
  <c r="Z138" i="5" s="1"/>
  <c r="U58" i="4"/>
  <c r="U61" i="4"/>
  <c r="U46" i="4"/>
  <c r="V141" i="5" s="1"/>
  <c r="U51" i="4"/>
  <c r="V146" i="5" s="1"/>
  <c r="U59" i="4"/>
  <c r="U48" i="4"/>
  <c r="V143" i="5" s="1"/>
  <c r="U52" i="4"/>
  <c r="V147" i="5" s="1"/>
  <c r="U62" i="4"/>
  <c r="U49" i="4"/>
  <c r="V144" i="5" s="1"/>
  <c r="U45" i="4"/>
  <c r="V140" i="5" s="1"/>
  <c r="U44" i="4"/>
  <c r="V139" i="5" s="1"/>
  <c r="U53" i="4"/>
  <c r="V148" i="5" s="1"/>
  <c r="U41" i="4"/>
  <c r="V136" i="5" s="1"/>
  <c r="U50" i="4"/>
  <c r="V145" i="5" s="1"/>
  <c r="U42" i="4"/>
  <c r="V137" i="5" s="1"/>
  <c r="U47" i="4"/>
  <c r="V142" i="5" s="1"/>
  <c r="U40" i="4"/>
  <c r="V135" i="5" s="1"/>
  <c r="U43" i="4"/>
  <c r="V138" i="5" s="1"/>
  <c r="U39" i="4"/>
  <c r="CZ18" i="7"/>
  <c r="CR28" i="7"/>
  <c r="CJ18" i="7"/>
  <c r="CB38" i="7"/>
  <c r="BT28" i="7"/>
  <c r="BL38" i="7"/>
  <c r="BD28" i="7"/>
  <c r="AV33" i="7"/>
  <c r="AN38" i="7"/>
  <c r="AF18" i="7"/>
  <c r="X23" i="7"/>
  <c r="P18" i="7"/>
  <c r="I38" i="7"/>
  <c r="CY28" i="7"/>
  <c r="CQ18" i="7"/>
  <c r="CI18" i="7"/>
  <c r="CA18" i="7"/>
  <c r="BS28" i="7"/>
  <c r="BK38" i="7"/>
  <c r="BC33" i="7"/>
  <c r="AU38" i="7"/>
  <c r="AM18" i="7"/>
  <c r="AE38" i="7"/>
  <c r="W18" i="7"/>
  <c r="O18" i="7"/>
  <c r="K18" i="7"/>
  <c r="CX28" i="7"/>
  <c r="CP18" i="7"/>
  <c r="CH38" i="7"/>
  <c r="BZ33" i="7"/>
  <c r="BR33" i="7"/>
  <c r="BJ38" i="7"/>
  <c r="BB38" i="7"/>
  <c r="AT28" i="7"/>
  <c r="AL23" i="7"/>
  <c r="AD18" i="7"/>
  <c r="V38" i="7"/>
  <c r="N33" i="7"/>
  <c r="CW18" i="7"/>
  <c r="CO18" i="7"/>
  <c r="CG23" i="7"/>
  <c r="BY23" i="7"/>
  <c r="BQ33" i="7"/>
  <c r="BI18" i="7"/>
  <c r="BA28" i="7"/>
  <c r="AS28" i="7"/>
  <c r="AK38" i="7"/>
  <c r="AC38" i="7"/>
  <c r="U33" i="7"/>
  <c r="M33" i="7"/>
  <c r="CV33" i="7"/>
  <c r="CN33" i="7"/>
  <c r="CF18" i="7"/>
  <c r="BX33" i="7"/>
  <c r="BP33" i="7"/>
  <c r="BH18" i="7"/>
  <c r="AZ38" i="7"/>
  <c r="AR18" i="7"/>
  <c r="AJ38" i="7"/>
  <c r="AB33" i="7"/>
  <c r="T28" i="7"/>
  <c r="L38" i="7"/>
  <c r="CU18" i="7"/>
  <c r="CM33" i="7"/>
  <c r="CE33" i="7"/>
  <c r="BW33" i="7"/>
  <c r="BO28" i="7"/>
  <c r="BG33" i="7"/>
  <c r="AY23" i="7"/>
  <c r="AQ18" i="7"/>
  <c r="AI38" i="7"/>
  <c r="AA23" i="7"/>
  <c r="S18" i="7"/>
  <c r="K38" i="7"/>
  <c r="DB33" i="7"/>
  <c r="CT38" i="7"/>
  <c r="CL33" i="7"/>
  <c r="CD28" i="7"/>
  <c r="BV33" i="7"/>
  <c r="BN33" i="7"/>
  <c r="BF38" i="7"/>
  <c r="AX28" i="7"/>
  <c r="AP28" i="7"/>
  <c r="AH23" i="7"/>
  <c r="Z28" i="7"/>
  <c r="R23" i="7"/>
  <c r="J28" i="7"/>
  <c r="S23" i="7"/>
  <c r="DA28" i="7"/>
  <c r="CS23" i="7"/>
  <c r="CK23" i="7"/>
  <c r="CC28" i="7"/>
  <c r="BU28" i="7"/>
  <c r="BM28" i="7"/>
  <c r="BE28" i="7"/>
  <c r="AW38" i="7"/>
  <c r="AO23" i="7"/>
  <c r="AG23" i="7"/>
  <c r="Y33" i="7"/>
  <c r="Q33" i="7"/>
  <c r="H18" i="7"/>
  <c r="BJ28" i="7"/>
  <c r="AL38" i="7"/>
  <c r="P33" i="7"/>
  <c r="I28" i="7"/>
  <c r="P23" i="7"/>
  <c r="X33" i="7"/>
  <c r="L28" i="7"/>
  <c r="X18" i="7"/>
  <c r="L18" i="7"/>
  <c r="AT18" i="7"/>
  <c r="P38" i="7"/>
  <c r="I23" i="7"/>
  <c r="Z23" i="7"/>
  <c r="O23" i="7"/>
  <c r="BR38" i="7"/>
  <c r="AY18" i="7"/>
  <c r="AE18" i="7"/>
  <c r="M28" i="7"/>
  <c r="U28" i="7"/>
  <c r="N23" i="7"/>
  <c r="AD33" i="7"/>
  <c r="S33" i="7"/>
  <c r="M18" i="7"/>
  <c r="I18" i="7"/>
  <c r="AC18" i="7"/>
  <c r="U38" i="7"/>
  <c r="Z18" i="7"/>
  <c r="T33" i="7"/>
  <c r="J18" i="7"/>
  <c r="AQ23" i="7"/>
  <c r="CU19" i="9"/>
  <c r="CU35" i="9"/>
  <c r="CU23" i="9"/>
  <c r="CU27" i="9"/>
  <c r="CU31" i="9"/>
  <c r="CQ19" i="9"/>
  <c r="CQ23" i="9"/>
  <c r="CQ31" i="9"/>
  <c r="CQ35" i="9"/>
  <c r="CQ27" i="9"/>
  <c r="CI19" i="9"/>
  <c r="CI31" i="9"/>
  <c r="CI23" i="9"/>
  <c r="CI35" i="9"/>
  <c r="CI27" i="9"/>
  <c r="CE35" i="9"/>
  <c r="CE19" i="9"/>
  <c r="CE27" i="9"/>
  <c r="CE31" i="9"/>
  <c r="CE23" i="9"/>
  <c r="CA19" i="9"/>
  <c r="CA31" i="9"/>
  <c r="CA35" i="9"/>
  <c r="CA27" i="9"/>
  <c r="CA23" i="9"/>
  <c r="BW19" i="9"/>
  <c r="BW35" i="9"/>
  <c r="BW27" i="9"/>
  <c r="BW31" i="9"/>
  <c r="BW23" i="9"/>
  <c r="AY19" i="9"/>
  <c r="AY23" i="9"/>
  <c r="AY35" i="9"/>
  <c r="AY27" i="9"/>
  <c r="AY31" i="9"/>
  <c r="AU19" i="9"/>
  <c r="AU23" i="9"/>
  <c r="AU31" i="9"/>
  <c r="AU35" i="9"/>
  <c r="AU27" i="9"/>
  <c r="AA19" i="9"/>
  <c r="AA35" i="9"/>
  <c r="AA27" i="9"/>
  <c r="AA31" i="9"/>
  <c r="AA23" i="9"/>
  <c r="S19" i="9"/>
  <c r="S27" i="9"/>
  <c r="S23" i="9"/>
  <c r="S31" i="9"/>
  <c r="S35" i="9"/>
  <c r="O31" i="9"/>
  <c r="O35" i="9"/>
  <c r="O19" i="9"/>
  <c r="O27" i="9"/>
  <c r="O23" i="9"/>
  <c r="CX19" i="9"/>
  <c r="CX35" i="9"/>
  <c r="CX27" i="9"/>
  <c r="CX31" i="9"/>
  <c r="CX23" i="9"/>
  <c r="CT19" i="9"/>
  <c r="CT31" i="9"/>
  <c r="CT23" i="9"/>
  <c r="CT35" i="9"/>
  <c r="CT27" i="9"/>
  <c r="CP19" i="9"/>
  <c r="CP27" i="9"/>
  <c r="CP35" i="9"/>
  <c r="CP31" i="9"/>
  <c r="CP23" i="9"/>
  <c r="CL19" i="9"/>
  <c r="CL31" i="9"/>
  <c r="CL23" i="9"/>
  <c r="CL35" i="9"/>
  <c r="CL27" i="9"/>
  <c r="CH35" i="9"/>
  <c r="CH27" i="9"/>
  <c r="CH31" i="9"/>
  <c r="CH23" i="9"/>
  <c r="CH19" i="9"/>
  <c r="CD19" i="9"/>
  <c r="CD31" i="9"/>
  <c r="CD23" i="9"/>
  <c r="CD35" i="9"/>
  <c r="CD27" i="9"/>
  <c r="BZ19" i="9"/>
  <c r="BZ35" i="9"/>
  <c r="BZ27" i="9"/>
  <c r="BZ31" i="9"/>
  <c r="BZ23" i="9"/>
  <c r="BV19" i="9"/>
  <c r="BV31" i="9"/>
  <c r="BV23" i="9"/>
  <c r="BV35" i="9"/>
  <c r="BV27" i="9"/>
  <c r="BR19" i="9"/>
  <c r="BR27" i="9"/>
  <c r="BR35" i="9"/>
  <c r="BR23" i="9"/>
  <c r="BR31" i="9"/>
  <c r="BJ19" i="9"/>
  <c r="BJ35" i="9"/>
  <c r="BJ27" i="9"/>
  <c r="BJ31" i="9"/>
  <c r="BJ23" i="9"/>
  <c r="BF19" i="9"/>
  <c r="BF31" i="9"/>
  <c r="BF23" i="9"/>
  <c r="BF35" i="9"/>
  <c r="BF27" i="9"/>
  <c r="BB19" i="9"/>
  <c r="BB27" i="9"/>
  <c r="BB35" i="9"/>
  <c r="BB31" i="9"/>
  <c r="BB23" i="9"/>
  <c r="AX19" i="9"/>
  <c r="AX31" i="9"/>
  <c r="AX23" i="9"/>
  <c r="AX35" i="9"/>
  <c r="AX27" i="9"/>
  <c r="AT19" i="9"/>
  <c r="AT35" i="9"/>
  <c r="AT27" i="9"/>
  <c r="AT31" i="9"/>
  <c r="AT23" i="9"/>
  <c r="AP27" i="9"/>
  <c r="AP19" i="9"/>
  <c r="AP31" i="9"/>
  <c r="AP23" i="9"/>
  <c r="AP35" i="9"/>
  <c r="AL23" i="9"/>
  <c r="AL19" i="9"/>
  <c r="AL35" i="9"/>
  <c r="AL27" i="9"/>
  <c r="AL31" i="9"/>
  <c r="AD19" i="9"/>
  <c r="AD35" i="9"/>
  <c r="AD23" i="9"/>
  <c r="AD27" i="9"/>
  <c r="AD31" i="9"/>
  <c r="Z19" i="9"/>
  <c r="Z31" i="9"/>
  <c r="Z35" i="9"/>
  <c r="Z23" i="9"/>
  <c r="Z27" i="9"/>
  <c r="J35" i="9"/>
  <c r="J27" i="9"/>
  <c r="J31" i="9"/>
  <c r="J19" i="9"/>
  <c r="J23" i="9"/>
  <c r="AB18" i="7"/>
  <c r="X38" i="7"/>
  <c r="S38" i="7"/>
  <c r="K28" i="7"/>
  <c r="I33" i="7"/>
  <c r="AO33" i="7"/>
  <c r="DB31" i="9"/>
  <c r="DB19" i="9"/>
  <c r="DB23" i="9"/>
  <c r="DB35" i="9"/>
  <c r="DB27" i="9"/>
  <c r="BN19" i="9"/>
  <c r="BN31" i="9"/>
  <c r="BN23" i="9"/>
  <c r="BN35" i="9"/>
  <c r="BN27" i="9"/>
  <c r="AH19" i="9"/>
  <c r="AH23" i="9"/>
  <c r="AH31" i="9"/>
  <c r="AH27" i="9"/>
  <c r="AH35" i="9"/>
  <c r="V19" i="9"/>
  <c r="V35" i="9"/>
  <c r="V27" i="9"/>
  <c r="V31" i="9"/>
  <c r="V23" i="9"/>
  <c r="R31" i="9"/>
  <c r="R35" i="9"/>
  <c r="R27" i="9"/>
  <c r="R19" i="9"/>
  <c r="R23" i="9"/>
  <c r="N19" i="9"/>
  <c r="N35" i="9"/>
  <c r="N27" i="9"/>
  <c r="N31" i="9"/>
  <c r="N23" i="9"/>
  <c r="H38" i="7"/>
  <c r="AO28" i="7"/>
  <c r="AA28" i="7"/>
  <c r="R33" i="7"/>
  <c r="K23" i="7"/>
  <c r="CS19" i="9"/>
  <c r="CS31" i="9"/>
  <c r="CS23" i="9"/>
  <c r="CS35" i="9"/>
  <c r="CS27" i="9"/>
  <c r="CO19" i="9"/>
  <c r="CO35" i="9"/>
  <c r="CO27" i="9"/>
  <c r="CO31" i="9"/>
  <c r="CO23" i="9"/>
  <c r="CK19" i="9"/>
  <c r="CK23" i="9"/>
  <c r="CK27" i="9"/>
  <c r="CK31" i="9"/>
  <c r="CK35" i="9"/>
  <c r="CG19" i="9"/>
  <c r="CG35" i="9"/>
  <c r="CG27" i="9"/>
  <c r="CG31" i="9"/>
  <c r="CG23" i="9"/>
  <c r="CC19" i="9"/>
  <c r="CC31" i="9"/>
  <c r="CC35" i="9"/>
  <c r="CC27" i="9"/>
  <c r="CC23" i="9"/>
  <c r="BY19" i="9"/>
  <c r="BY35" i="9"/>
  <c r="BY27" i="9"/>
  <c r="BY31" i="9"/>
  <c r="BY23" i="9"/>
  <c r="BU19" i="9"/>
  <c r="BU35" i="9"/>
  <c r="BU31" i="9"/>
  <c r="BU23" i="9"/>
  <c r="BU27" i="9"/>
  <c r="BQ19" i="9"/>
  <c r="BQ35" i="9"/>
  <c r="BQ27" i="9"/>
  <c r="BQ31" i="9"/>
  <c r="BQ23" i="9"/>
  <c r="BM19" i="9"/>
  <c r="BM35" i="9"/>
  <c r="BM27" i="9"/>
  <c r="BM31" i="9"/>
  <c r="BM23" i="9"/>
  <c r="BI35" i="9"/>
  <c r="BI27" i="9"/>
  <c r="BI31" i="9"/>
  <c r="BI23" i="9"/>
  <c r="BI19" i="9"/>
  <c r="BE19" i="9"/>
  <c r="BE23" i="9"/>
  <c r="BE35" i="9"/>
  <c r="BE27" i="9"/>
  <c r="BE31" i="9"/>
  <c r="BA19" i="9"/>
  <c r="BA35" i="9"/>
  <c r="BA27" i="9"/>
  <c r="BA31" i="9"/>
  <c r="BA23" i="9"/>
  <c r="AW19" i="9"/>
  <c r="AW31" i="9"/>
  <c r="AW23" i="9"/>
  <c r="AW35" i="9"/>
  <c r="AW27" i="9"/>
  <c r="AK19" i="9"/>
  <c r="AK27" i="9"/>
  <c r="AK35" i="9"/>
  <c r="AK31" i="9"/>
  <c r="AK23" i="9"/>
  <c r="AC19" i="9"/>
  <c r="AC31" i="9"/>
  <c r="AC35" i="9"/>
  <c r="AC27" i="9"/>
  <c r="AC23" i="9"/>
  <c r="Y19" i="9"/>
  <c r="Y31" i="9"/>
  <c r="Y35" i="9"/>
  <c r="Y23" i="9"/>
  <c r="Y27" i="9"/>
  <c r="U19" i="9"/>
  <c r="U31" i="9"/>
  <c r="U35" i="9"/>
  <c r="U27" i="9"/>
  <c r="U23" i="9"/>
  <c r="Q19" i="9"/>
  <c r="Q31" i="9"/>
  <c r="Q23" i="9"/>
  <c r="Q35" i="9"/>
  <c r="Q27" i="9"/>
  <c r="M19" i="9"/>
  <c r="M23" i="9"/>
  <c r="M35" i="9"/>
  <c r="M27" i="9"/>
  <c r="M31" i="9"/>
  <c r="I31" i="9"/>
  <c r="I23" i="9"/>
  <c r="I35" i="9"/>
  <c r="I27" i="9"/>
  <c r="AA33" i="7"/>
  <c r="V23" i="7"/>
  <c r="R28" i="7"/>
  <c r="J33" i="7"/>
  <c r="BO38" i="7"/>
  <c r="AJ28" i="7"/>
  <c r="DA27" i="9"/>
  <c r="DA19" i="9"/>
  <c r="DA31" i="9"/>
  <c r="DA23" i="9"/>
  <c r="DA35" i="9"/>
  <c r="CW19" i="9"/>
  <c r="CW23" i="9"/>
  <c r="CW35" i="9"/>
  <c r="CW27" i="9"/>
  <c r="CW31" i="9"/>
  <c r="AS19" i="9"/>
  <c r="AS31" i="9"/>
  <c r="AS35" i="9"/>
  <c r="AS27" i="9"/>
  <c r="AS23" i="9"/>
  <c r="AO23" i="9"/>
  <c r="AO35" i="9"/>
  <c r="AO27" i="9"/>
  <c r="AO19" i="9"/>
  <c r="AO31" i="9"/>
  <c r="AG19" i="9"/>
  <c r="AG31" i="9"/>
  <c r="AG23" i="9"/>
  <c r="AG35" i="9"/>
  <c r="AG27" i="9"/>
  <c r="H12" i="9"/>
  <c r="H14" i="9" s="1"/>
  <c r="H19" i="9"/>
  <c r="H31" i="9"/>
  <c r="H35" i="9"/>
  <c r="J12" i="9"/>
  <c r="J14" i="9" s="1"/>
  <c r="H23" i="9"/>
  <c r="H27" i="9"/>
  <c r="I12" i="9"/>
  <c r="I14" i="9" s="1"/>
  <c r="K12" i="9"/>
  <c r="K14" i="9" s="1"/>
  <c r="L12" i="9"/>
  <c r="L14" i="9" s="1"/>
  <c r="M12" i="9"/>
  <c r="M14" i="9" s="1"/>
  <c r="N12" i="9"/>
  <c r="N14" i="9" s="1"/>
  <c r="O12" i="9"/>
  <c r="O14" i="9" s="1"/>
  <c r="P12" i="9"/>
  <c r="P14" i="9" s="1"/>
  <c r="Q12" i="9"/>
  <c r="Q14" i="9" s="1"/>
  <c r="R12" i="9"/>
  <c r="R14" i="9" s="1"/>
  <c r="S12" i="9"/>
  <c r="S14" i="9" s="1"/>
  <c r="T12" i="9"/>
  <c r="T14" i="9" s="1"/>
  <c r="U12" i="9"/>
  <c r="U14" i="9" s="1"/>
  <c r="V12" i="9"/>
  <c r="V14" i="9" s="1"/>
  <c r="W12" i="9"/>
  <c r="W14" i="9" s="1"/>
  <c r="X12" i="9"/>
  <c r="X14" i="9" s="1"/>
  <c r="Y12" i="9"/>
  <c r="Y14" i="9" s="1"/>
  <c r="Z12" i="9"/>
  <c r="Z14" i="9" s="1"/>
  <c r="AA12" i="9"/>
  <c r="AA14" i="9" s="1"/>
  <c r="AB12" i="9"/>
  <c r="AB14" i="9" s="1"/>
  <c r="AC12" i="9"/>
  <c r="AC14" i="9" s="1"/>
  <c r="AD12" i="9"/>
  <c r="AD14" i="9" s="1"/>
  <c r="AE12" i="9"/>
  <c r="AE14" i="9" s="1"/>
  <c r="AF12" i="9"/>
  <c r="AF14" i="9" s="1"/>
  <c r="AG12" i="9"/>
  <c r="AG14" i="9" s="1"/>
  <c r="AH12" i="9"/>
  <c r="AH14" i="9" s="1"/>
  <c r="AI12" i="9"/>
  <c r="AI14" i="9" s="1"/>
  <c r="AJ12" i="9"/>
  <c r="AJ14" i="9" s="1"/>
  <c r="AK12" i="9"/>
  <c r="AK14" i="9" s="1"/>
  <c r="AL12" i="9"/>
  <c r="AL14" i="9" s="1"/>
  <c r="AM12" i="9"/>
  <c r="AM14" i="9" s="1"/>
  <c r="AN12" i="9"/>
  <c r="AN14" i="9" s="1"/>
  <c r="AO12" i="9"/>
  <c r="AO14" i="9" s="1"/>
  <c r="AP12" i="9"/>
  <c r="AP14" i="9" s="1"/>
  <c r="AQ12" i="9"/>
  <c r="AQ14" i="9" s="1"/>
  <c r="AR12" i="9"/>
  <c r="AR14" i="9" s="1"/>
  <c r="AS12" i="9"/>
  <c r="AS14" i="9" s="1"/>
  <c r="AT12" i="9"/>
  <c r="AT14" i="9" s="1"/>
  <c r="AU12" i="9"/>
  <c r="AU14" i="9" s="1"/>
  <c r="AV12" i="9"/>
  <c r="AV14" i="9" s="1"/>
  <c r="AW12" i="9"/>
  <c r="AW14" i="9" s="1"/>
  <c r="AX12" i="9"/>
  <c r="AX14" i="9" s="1"/>
  <c r="AY12" i="9"/>
  <c r="AY14" i="9" s="1"/>
  <c r="AZ12" i="9"/>
  <c r="AZ14" i="9" s="1"/>
  <c r="BA12" i="9"/>
  <c r="BA14" i="9" s="1"/>
  <c r="BB12" i="9"/>
  <c r="BB14" i="9" s="1"/>
  <c r="BC12" i="9"/>
  <c r="BC14" i="9" s="1"/>
  <c r="BD12" i="9"/>
  <c r="BD14" i="9" s="1"/>
  <c r="BE12" i="9"/>
  <c r="BE14" i="9" s="1"/>
  <c r="BF12" i="9"/>
  <c r="BF14" i="9" s="1"/>
  <c r="BG12" i="9"/>
  <c r="BG14" i="9" s="1"/>
  <c r="BH12" i="9"/>
  <c r="BH14" i="9" s="1"/>
  <c r="BI12" i="9"/>
  <c r="BI14" i="9" s="1"/>
  <c r="BJ12" i="9"/>
  <c r="BJ14" i="9" s="1"/>
  <c r="BK12" i="9"/>
  <c r="BK14" i="9" s="1"/>
  <c r="BL12" i="9"/>
  <c r="BL14" i="9" s="1"/>
  <c r="BM12" i="9"/>
  <c r="BM14" i="9" s="1"/>
  <c r="BN12" i="9"/>
  <c r="BN14" i="9" s="1"/>
  <c r="BO12" i="9"/>
  <c r="BO14" i="9" s="1"/>
  <c r="BP12" i="9"/>
  <c r="BP14" i="9" s="1"/>
  <c r="BQ12" i="9"/>
  <c r="BQ14" i="9" s="1"/>
  <c r="BR12" i="9"/>
  <c r="BR14" i="9" s="1"/>
  <c r="BS12" i="9"/>
  <c r="BS14" i="9" s="1"/>
  <c r="BT12" i="9"/>
  <c r="BT14" i="9" s="1"/>
  <c r="BU12" i="9"/>
  <c r="BU14" i="9" s="1"/>
  <c r="BV12" i="9"/>
  <c r="BV14" i="9" s="1"/>
  <c r="BW12" i="9"/>
  <c r="BW14" i="9" s="1"/>
  <c r="BX12" i="9"/>
  <c r="BX14" i="9" s="1"/>
  <c r="BY12" i="9"/>
  <c r="BY14" i="9" s="1"/>
  <c r="BZ12" i="9"/>
  <c r="BZ14" i="9" s="1"/>
  <c r="CA12" i="9"/>
  <c r="CA14" i="9" s="1"/>
  <c r="CB12" i="9"/>
  <c r="CB14" i="9" s="1"/>
  <c r="CC12" i="9"/>
  <c r="CC14" i="9" s="1"/>
  <c r="CD12" i="9"/>
  <c r="CD14" i="9" s="1"/>
  <c r="CE12" i="9"/>
  <c r="CE14" i="9" s="1"/>
  <c r="CF12" i="9"/>
  <c r="CF14" i="9" s="1"/>
  <c r="CG12" i="9"/>
  <c r="CG14" i="9" s="1"/>
  <c r="CH12" i="9"/>
  <c r="CH14" i="9" s="1"/>
  <c r="CI12" i="9"/>
  <c r="CI14" i="9" s="1"/>
  <c r="CJ12" i="9"/>
  <c r="CJ14" i="9" s="1"/>
  <c r="CK12" i="9"/>
  <c r="CK14" i="9" s="1"/>
  <c r="CL12" i="9"/>
  <c r="CL14" i="9" s="1"/>
  <c r="CM12" i="9"/>
  <c r="CM14" i="9" s="1"/>
  <c r="CN12" i="9"/>
  <c r="CN14" i="9" s="1"/>
  <c r="CO12" i="9"/>
  <c r="CO14" i="9" s="1"/>
  <c r="CP12" i="9"/>
  <c r="CP14" i="9" s="1"/>
  <c r="CQ12" i="9"/>
  <c r="CQ14" i="9" s="1"/>
  <c r="CR12" i="9"/>
  <c r="CR14" i="9" s="1"/>
  <c r="CS12" i="9"/>
  <c r="CS14" i="9" s="1"/>
  <c r="CT12" i="9"/>
  <c r="CT14" i="9" s="1"/>
  <c r="CU12" i="9"/>
  <c r="CU14" i="9" s="1"/>
  <c r="CV12" i="9"/>
  <c r="CV14" i="9" s="1"/>
  <c r="CW12" i="9"/>
  <c r="CW14" i="9" s="1"/>
  <c r="CX12" i="9"/>
  <c r="CX14" i="9" s="1"/>
  <c r="CY12" i="9"/>
  <c r="CY14" i="9" s="1"/>
  <c r="CZ12" i="9"/>
  <c r="CZ14" i="9" s="1"/>
  <c r="DA12" i="9"/>
  <c r="DA14" i="9" s="1"/>
  <c r="DB12" i="9"/>
  <c r="DB14" i="9" s="1"/>
  <c r="CN19" i="9"/>
  <c r="CN35" i="9"/>
  <c r="CN27" i="9"/>
  <c r="CN31" i="9"/>
  <c r="CN23" i="9"/>
  <c r="CJ19" i="9"/>
  <c r="CJ31" i="9"/>
  <c r="CJ23" i="9"/>
  <c r="CJ35" i="9"/>
  <c r="CJ27" i="9"/>
  <c r="CF19" i="9"/>
  <c r="CF35" i="9"/>
  <c r="CF23" i="9"/>
  <c r="CF27" i="9"/>
  <c r="CF31" i="9"/>
  <c r="BH19" i="9"/>
  <c r="BH31" i="9"/>
  <c r="BH23" i="9"/>
  <c r="BH35" i="9"/>
  <c r="BH27" i="9"/>
  <c r="AZ35" i="9"/>
  <c r="AZ31" i="9"/>
  <c r="AZ19" i="9"/>
  <c r="AZ27" i="9"/>
  <c r="AZ23" i="9"/>
  <c r="AN19" i="9"/>
  <c r="AN31" i="9"/>
  <c r="AN23" i="9"/>
  <c r="AN35" i="9"/>
  <c r="AN27" i="9"/>
  <c r="AB27" i="9"/>
  <c r="AB19" i="9"/>
  <c r="AB35" i="9"/>
  <c r="AB23" i="9"/>
  <c r="AB31" i="9"/>
  <c r="L19" i="9"/>
  <c r="L35" i="9"/>
  <c r="L27" i="9"/>
  <c r="L31" i="9"/>
  <c r="L23" i="9"/>
  <c r="H12" i="8"/>
  <c r="H13" i="8" s="1"/>
  <c r="I12" i="8"/>
  <c r="I13" i="8" s="1"/>
  <c r="J12" i="8"/>
  <c r="J13" i="8" s="1"/>
  <c r="K12" i="8"/>
  <c r="K13" i="8" s="1"/>
  <c r="L12" i="8"/>
  <c r="L13" i="8" s="1"/>
  <c r="M12" i="8"/>
  <c r="M13" i="8" s="1"/>
  <c r="N12" i="8"/>
  <c r="N13" i="8" s="1"/>
  <c r="O12" i="8"/>
  <c r="O13" i="8" s="1"/>
  <c r="P12" i="8"/>
  <c r="P13" i="8" s="1"/>
  <c r="Q12" i="8"/>
  <c r="Q13" i="8" s="1"/>
  <c r="R12" i="8"/>
  <c r="R13" i="8" s="1"/>
  <c r="S12" i="8"/>
  <c r="S13" i="8" s="1"/>
  <c r="T12" i="8"/>
  <c r="T13" i="8" s="1"/>
  <c r="U12" i="8"/>
  <c r="U13" i="8" s="1"/>
  <c r="V12" i="8"/>
  <c r="V13" i="8" s="1"/>
  <c r="W12" i="8"/>
  <c r="W13" i="8" s="1"/>
  <c r="X12" i="8"/>
  <c r="X13" i="8" s="1"/>
  <c r="Y12" i="8"/>
  <c r="Y13" i="8" s="1"/>
  <c r="Z12" i="8"/>
  <c r="Z13" i="8" s="1"/>
  <c r="AA12" i="8"/>
  <c r="AA13" i="8" s="1"/>
  <c r="AB12" i="8"/>
  <c r="AB13" i="8" s="1"/>
  <c r="AC12" i="8"/>
  <c r="AC13" i="8" s="1"/>
  <c r="AD12" i="8"/>
  <c r="AD13" i="8" s="1"/>
  <c r="AE12" i="8"/>
  <c r="AE13" i="8" s="1"/>
  <c r="AF12" i="8"/>
  <c r="AF13" i="8" s="1"/>
  <c r="AG12" i="8"/>
  <c r="AG13" i="8" s="1"/>
  <c r="AH12" i="8"/>
  <c r="AH13" i="8" s="1"/>
  <c r="AI12" i="8"/>
  <c r="AI13" i="8" s="1"/>
  <c r="AJ12" i="8"/>
  <c r="AJ13" i="8" s="1"/>
  <c r="AK12" i="8"/>
  <c r="AK13" i="8" s="1"/>
  <c r="AL12" i="8"/>
  <c r="AL13" i="8" s="1"/>
  <c r="AM12" i="8"/>
  <c r="AM13" i="8" s="1"/>
  <c r="AN12" i="8"/>
  <c r="AN13" i="8" s="1"/>
  <c r="AO12" i="8"/>
  <c r="AO13" i="8" s="1"/>
  <c r="AP12" i="8"/>
  <c r="AP13" i="8" s="1"/>
  <c r="AQ12" i="8"/>
  <c r="AQ13" i="8" s="1"/>
  <c r="AR12" i="8"/>
  <c r="AR13" i="8" s="1"/>
  <c r="AS12" i="8"/>
  <c r="AS13" i="8" s="1"/>
  <c r="AT12" i="8"/>
  <c r="AT13" i="8" s="1"/>
  <c r="AU12" i="8"/>
  <c r="AU13" i="8" s="1"/>
  <c r="AV12" i="8"/>
  <c r="AV13" i="8" s="1"/>
  <c r="AW12" i="8"/>
  <c r="AW13" i="8" s="1"/>
  <c r="AX12" i="8"/>
  <c r="AX13" i="8" s="1"/>
  <c r="AY12" i="8"/>
  <c r="AY13" i="8" s="1"/>
  <c r="AZ12" i="8"/>
  <c r="AZ13" i="8" s="1"/>
  <c r="BA12" i="8"/>
  <c r="BA13" i="8" s="1"/>
  <c r="BB12" i="8"/>
  <c r="BB13" i="8" s="1"/>
  <c r="BC12" i="8"/>
  <c r="BC13" i="8" s="1"/>
  <c r="BD12" i="8"/>
  <c r="BD13" i="8" s="1"/>
  <c r="BE12" i="8"/>
  <c r="BE13" i="8" s="1"/>
  <c r="BF12" i="8"/>
  <c r="BF13" i="8" s="1"/>
  <c r="BG12" i="8"/>
  <c r="BG13" i="8" s="1"/>
  <c r="BH12" i="8"/>
  <c r="BH13" i="8" s="1"/>
  <c r="BI12" i="8"/>
  <c r="BI13" i="8" s="1"/>
  <c r="BJ12" i="8"/>
  <c r="BJ13" i="8" s="1"/>
  <c r="BK12" i="8"/>
  <c r="BK13" i="8" s="1"/>
  <c r="BL12" i="8"/>
  <c r="BL13" i="8" s="1"/>
  <c r="BM12" i="8"/>
  <c r="BM13" i="8" s="1"/>
  <c r="BN12" i="8"/>
  <c r="BN13" i="8" s="1"/>
  <c r="BO12" i="8"/>
  <c r="BO13" i="8" s="1"/>
  <c r="BP12" i="8"/>
  <c r="BP13" i="8" s="1"/>
  <c r="BQ12" i="8"/>
  <c r="BQ13" i="8" s="1"/>
  <c r="BR12" i="8"/>
  <c r="BR13" i="8" s="1"/>
  <c r="BS12" i="8"/>
  <c r="BS13" i="8" s="1"/>
  <c r="BT12" i="8"/>
  <c r="BT13" i="8" s="1"/>
  <c r="BU12" i="8"/>
  <c r="BU13" i="8" s="1"/>
  <c r="BV12" i="8"/>
  <c r="BV13" i="8" s="1"/>
  <c r="BW12" i="8"/>
  <c r="BW13" i="8" s="1"/>
  <c r="BX12" i="8"/>
  <c r="BX13" i="8" s="1"/>
  <c r="BY12" i="8"/>
  <c r="BY13" i="8" s="1"/>
  <c r="BZ12" i="8"/>
  <c r="BZ13" i="8" s="1"/>
  <c r="CA12" i="8"/>
  <c r="CA13" i="8" s="1"/>
  <c r="CB12" i="8"/>
  <c r="CB13" i="8" s="1"/>
  <c r="CC12" i="8"/>
  <c r="CC13" i="8" s="1"/>
  <c r="CD12" i="8"/>
  <c r="CD13" i="8" s="1"/>
  <c r="CE12" i="8"/>
  <c r="CE13" i="8" s="1"/>
  <c r="CF12" i="8"/>
  <c r="CF13" i="8" s="1"/>
  <c r="CG12" i="8"/>
  <c r="CG13" i="8" s="1"/>
  <c r="CH12" i="8"/>
  <c r="CH13" i="8" s="1"/>
  <c r="CI12" i="8"/>
  <c r="CI13" i="8" s="1"/>
  <c r="CJ12" i="8"/>
  <c r="CJ13" i="8" s="1"/>
  <c r="CK12" i="8"/>
  <c r="CK13" i="8" s="1"/>
  <c r="CL12" i="8"/>
  <c r="CL13" i="8" s="1"/>
  <c r="CM12" i="8"/>
  <c r="CM13" i="8" s="1"/>
  <c r="CN12" i="8"/>
  <c r="CN13" i="8" s="1"/>
  <c r="CO12" i="8"/>
  <c r="CO13" i="8" s="1"/>
  <c r="CP12" i="8"/>
  <c r="CP13" i="8" s="1"/>
  <c r="CQ12" i="8"/>
  <c r="CQ13" i="8" s="1"/>
  <c r="CR12" i="8"/>
  <c r="CR13" i="8" s="1"/>
  <c r="CS12" i="8"/>
  <c r="CS13" i="8" s="1"/>
  <c r="CT12" i="8"/>
  <c r="CT13" i="8" s="1"/>
  <c r="CU12" i="8"/>
  <c r="CU13" i="8" s="1"/>
  <c r="CV12" i="8"/>
  <c r="CV13" i="8" s="1"/>
  <c r="CW12" i="8"/>
  <c r="CW13" i="8" s="1"/>
  <c r="CX12" i="8"/>
  <c r="CX13" i="8" s="1"/>
  <c r="CY12" i="8"/>
  <c r="CY13" i="8" s="1"/>
  <c r="CZ12" i="8"/>
  <c r="CZ13" i="8" s="1"/>
  <c r="DA12" i="8"/>
  <c r="DA13" i="8" s="1"/>
  <c r="DB12" i="8"/>
  <c r="DB13" i="8" s="1"/>
  <c r="CZ19" i="9"/>
  <c r="CZ31" i="9"/>
  <c r="CZ23" i="9"/>
  <c r="CZ35" i="9"/>
  <c r="CZ27" i="9"/>
  <c r="CV19" i="9"/>
  <c r="CV35" i="9"/>
  <c r="CV27" i="9"/>
  <c r="CV31" i="9"/>
  <c r="CV23" i="9"/>
  <c r="CR19" i="9"/>
  <c r="CR31" i="9"/>
  <c r="CR23" i="9"/>
  <c r="CR35" i="9"/>
  <c r="CR27" i="9"/>
  <c r="CB19" i="9"/>
  <c r="CB31" i="9"/>
  <c r="CB23" i="9"/>
  <c r="CB35" i="9"/>
  <c r="CB27" i="9"/>
  <c r="BX19" i="9"/>
  <c r="BX35" i="9"/>
  <c r="BX27" i="9"/>
  <c r="BX31" i="9"/>
  <c r="BX23" i="9"/>
  <c r="BT23" i="9"/>
  <c r="BT31" i="9"/>
  <c r="BT27" i="9"/>
  <c r="BT19" i="9"/>
  <c r="BT35" i="9"/>
  <c r="BP19" i="9"/>
  <c r="BP35" i="9"/>
  <c r="BP27" i="9"/>
  <c r="BP31" i="9"/>
  <c r="BP23" i="9"/>
  <c r="BL19" i="9"/>
  <c r="BL31" i="9"/>
  <c r="BL23" i="9"/>
  <c r="BL35" i="9"/>
  <c r="BL27" i="9"/>
  <c r="BD19" i="9"/>
  <c r="BD31" i="9"/>
  <c r="BD23" i="9"/>
  <c r="BD35" i="9"/>
  <c r="BD27" i="9"/>
  <c r="AV19" i="9"/>
  <c r="AV23" i="9"/>
  <c r="AV27" i="9"/>
  <c r="AV31" i="9"/>
  <c r="AV35" i="9"/>
  <c r="AR35" i="9"/>
  <c r="AR31" i="9"/>
  <c r="AR19" i="9"/>
  <c r="AR27" i="9"/>
  <c r="AR23" i="9"/>
  <c r="AJ35" i="9"/>
  <c r="AJ27" i="9"/>
  <c r="AJ31" i="9"/>
  <c r="AJ23" i="9"/>
  <c r="AJ19" i="9"/>
  <c r="AF19" i="9"/>
  <c r="AF31" i="9"/>
  <c r="AF23" i="9"/>
  <c r="AF35" i="9"/>
  <c r="AF27" i="9"/>
  <c r="X19" i="9"/>
  <c r="X31" i="9"/>
  <c r="X23" i="9"/>
  <c r="X27" i="9"/>
  <c r="X35" i="9"/>
  <c r="T19" i="9"/>
  <c r="T35" i="9"/>
  <c r="T27" i="9"/>
  <c r="T23" i="9"/>
  <c r="T31" i="9"/>
  <c r="P19" i="9"/>
  <c r="P31" i="9"/>
  <c r="P23" i="9"/>
  <c r="P35" i="9"/>
  <c r="P27" i="9"/>
  <c r="I10" i="9"/>
  <c r="D13" i="9" s="1"/>
  <c r="CY27" i="9"/>
  <c r="CY19" i="9"/>
  <c r="CY31" i="9"/>
  <c r="CY23" i="9"/>
  <c r="CY35" i="9"/>
  <c r="CM19" i="9"/>
  <c r="CM31" i="9"/>
  <c r="CM23" i="9"/>
  <c r="CM27" i="9"/>
  <c r="CM35" i="9"/>
  <c r="BS19" i="9"/>
  <c r="BS31" i="9"/>
  <c r="BS23" i="9"/>
  <c r="BS27" i="9"/>
  <c r="BS35" i="9"/>
  <c r="BO19" i="9"/>
  <c r="BO35" i="9"/>
  <c r="BO27" i="9"/>
  <c r="BO31" i="9"/>
  <c r="BO23" i="9"/>
  <c r="BK31" i="9"/>
  <c r="BK19" i="9"/>
  <c r="BK35" i="9"/>
  <c r="BK27" i="9"/>
  <c r="BK23" i="9"/>
  <c r="BG31" i="9"/>
  <c r="BG19" i="9"/>
  <c r="BG27" i="9"/>
  <c r="BG35" i="9"/>
  <c r="BG23" i="9"/>
  <c r="BC19" i="9"/>
  <c r="BC23" i="9"/>
  <c r="BC27" i="9"/>
  <c r="BC31" i="9"/>
  <c r="BC35" i="9"/>
  <c r="AQ19" i="9"/>
  <c r="AQ35" i="9"/>
  <c r="AQ27" i="9"/>
  <c r="AQ31" i="9"/>
  <c r="AQ23" i="9"/>
  <c r="AM19" i="9"/>
  <c r="AM31" i="9"/>
  <c r="AM27" i="9"/>
  <c r="AM23" i="9"/>
  <c r="AM35" i="9"/>
  <c r="AI19" i="9"/>
  <c r="AI35" i="9"/>
  <c r="AI27" i="9"/>
  <c r="AI31" i="9"/>
  <c r="AI23" i="9"/>
  <c r="AE31" i="9"/>
  <c r="AE19" i="9"/>
  <c r="AE23" i="9"/>
  <c r="AE35" i="9"/>
  <c r="AE27" i="9"/>
  <c r="W19" i="9"/>
  <c r="W23" i="9"/>
  <c r="W31" i="9"/>
  <c r="W35" i="9"/>
  <c r="W27" i="9"/>
  <c r="K19" i="9"/>
  <c r="K35" i="9"/>
  <c r="K27" i="9"/>
  <c r="K31" i="9"/>
  <c r="K23" i="9"/>
  <c r="I10" i="8"/>
  <c r="AA18" i="7"/>
  <c r="X28" i="7"/>
  <c r="S28" i="7"/>
  <c r="P28" i="7"/>
  <c r="BI28" i="7"/>
  <c r="BG23" i="7"/>
  <c r="AF38" i="7"/>
  <c r="BG18" i="7"/>
  <c r="AF28" i="7"/>
  <c r="AY28" i="7"/>
  <c r="BW28" i="7"/>
  <c r="AI18" i="7"/>
  <c r="AQ33" i="7"/>
  <c r="AC33" i="7"/>
  <c r="U18" i="7"/>
  <c r="AK33" i="7"/>
  <c r="BW23" i="7"/>
  <c r="AK23" i="7"/>
  <c r="CH23" i="7"/>
  <c r="CH28" i="7"/>
  <c r="AT23" i="7"/>
  <c r="AM33" i="7"/>
  <c r="BZ23" i="7"/>
  <c r="AT33" i="7"/>
  <c r="BZ28" i="7"/>
  <c r="AE33" i="7"/>
  <c r="BB28" i="7"/>
  <c r="N28" i="7"/>
  <c r="BR23" i="7"/>
  <c r="AM38" i="7"/>
  <c r="CO38" i="7"/>
  <c r="BY18" i="7"/>
  <c r="BQ38" i="7"/>
  <c r="AC23" i="7"/>
  <c r="BY33" i="7"/>
  <c r="BQ18" i="7"/>
  <c r="AK28" i="7"/>
  <c r="BA33" i="7"/>
  <c r="AK18" i="7"/>
  <c r="AC28" i="7"/>
  <c r="CG33" i="7"/>
  <c r="BA23" i="7"/>
  <c r="AS18" i="7"/>
  <c r="AF23" i="7"/>
  <c r="U23" i="7"/>
  <c r="CG38" i="7"/>
  <c r="BI23" i="7"/>
  <c r="BA18" i="7"/>
  <c r="AS33" i="7"/>
  <c r="AM23" i="7"/>
  <c r="CO33" i="7"/>
  <c r="BQ23" i="7"/>
  <c r="BI33" i="7"/>
  <c r="W33" i="7"/>
  <c r="M23" i="7"/>
  <c r="CO23" i="7"/>
  <c r="BY38" i="7"/>
  <c r="BQ28" i="7"/>
  <c r="AV38" i="7"/>
  <c r="AP38" i="7"/>
  <c r="AH38" i="7"/>
  <c r="Y38" i="7"/>
  <c r="Q18" i="7"/>
  <c r="CP28" i="7"/>
  <c r="BT18" i="7"/>
  <c r="BJ33" i="7"/>
  <c r="BB23" i="7"/>
  <c r="AV28" i="7"/>
  <c r="AR28" i="7"/>
  <c r="AE28" i="7"/>
  <c r="AB38" i="7"/>
  <c r="Z38" i="7"/>
  <c r="W28" i="7"/>
  <c r="R38" i="7"/>
  <c r="O28" i="7"/>
  <c r="CH33" i="7"/>
  <c r="AO18" i="7"/>
  <c r="AH28" i="7"/>
  <c r="AD23" i="7"/>
  <c r="AB28" i="7"/>
  <c r="Y28" i="7"/>
  <c r="V33" i="7"/>
  <c r="T23" i="7"/>
  <c r="Q23" i="7"/>
  <c r="O38" i="7"/>
  <c r="L33" i="7"/>
  <c r="J38" i="7"/>
  <c r="CX18" i="7"/>
  <c r="BE23" i="7"/>
  <c r="AV23" i="7"/>
  <c r="AR38" i="7"/>
  <c r="AN33" i="7"/>
  <c r="AH18" i="7"/>
  <c r="DD168" i="5"/>
  <c r="DD173" i="5"/>
  <c r="DL168" i="5"/>
  <c r="DL173" i="5"/>
  <c r="DH168" i="5"/>
  <c r="DH173" i="5"/>
  <c r="CZ168" i="5"/>
  <c r="CZ173" i="5"/>
  <c r="CV168" i="5"/>
  <c r="CV173" i="5"/>
  <c r="BP168" i="5"/>
  <c r="BP173" i="5"/>
  <c r="AN168" i="5"/>
  <c r="AN173" i="5"/>
  <c r="X168" i="5"/>
  <c r="X173" i="5"/>
  <c r="DE168" i="5"/>
  <c r="DE173" i="5"/>
  <c r="CC168" i="5"/>
  <c r="CC173" i="5"/>
  <c r="BY168" i="5"/>
  <c r="BY173" i="5"/>
  <c r="BU168" i="5"/>
  <c r="BU173" i="5"/>
  <c r="CR168" i="5"/>
  <c r="CR173" i="5"/>
  <c r="CN168" i="5"/>
  <c r="CN173" i="5"/>
  <c r="CJ168" i="5"/>
  <c r="CJ173" i="5"/>
  <c r="DG168" i="5"/>
  <c r="DG173" i="5"/>
  <c r="DC168" i="5"/>
  <c r="DC173" i="5"/>
  <c r="CY168" i="5"/>
  <c r="CY173" i="5"/>
  <c r="CU168" i="5"/>
  <c r="CU173" i="5"/>
  <c r="CM168" i="5"/>
  <c r="CM173" i="5"/>
  <c r="BO168" i="5"/>
  <c r="BO173" i="5"/>
  <c r="BK168" i="5"/>
  <c r="BK173" i="5"/>
  <c r="BG168" i="5"/>
  <c r="BG173" i="5"/>
  <c r="AY168" i="5"/>
  <c r="AY173" i="5"/>
  <c r="AU168" i="5"/>
  <c r="AU173" i="5"/>
  <c r="AM168" i="5"/>
  <c r="AM173" i="5"/>
  <c r="AA168" i="5"/>
  <c r="AA173" i="5"/>
  <c r="W168" i="5"/>
  <c r="W173" i="5"/>
  <c r="S168" i="5"/>
  <c r="S173" i="5"/>
  <c r="AF33" i="7"/>
  <c r="AD38" i="7"/>
  <c r="AB23" i="7"/>
  <c r="W38" i="7"/>
  <c r="T38" i="7"/>
  <c r="R18" i="7"/>
  <c r="N38" i="7"/>
  <c r="L23" i="7"/>
  <c r="J23" i="7"/>
  <c r="CP38" i="7"/>
  <c r="CG18" i="7"/>
  <c r="BY28" i="7"/>
  <c r="BJ18" i="7"/>
  <c r="BB18" i="7"/>
  <c r="AY33" i="7"/>
  <c r="AS38" i="7"/>
  <c r="AP18" i="7"/>
  <c r="AM28" i="7"/>
  <c r="AJ18" i="7"/>
  <c r="CE168" i="5"/>
  <c r="CE173" i="5"/>
  <c r="CA168" i="5"/>
  <c r="CA173" i="5"/>
  <c r="BW168" i="5"/>
  <c r="BW173" i="5"/>
  <c r="BS168" i="5"/>
  <c r="BS173" i="5"/>
  <c r="BC168" i="5"/>
  <c r="BC173" i="5"/>
  <c r="AQ168" i="5"/>
  <c r="AQ173" i="5"/>
  <c r="AI168" i="5"/>
  <c r="AI173" i="5"/>
  <c r="AE168" i="5"/>
  <c r="AE173" i="5"/>
  <c r="CP168" i="5"/>
  <c r="CP173" i="5"/>
  <c r="CH168" i="5"/>
  <c r="CH173" i="5"/>
  <c r="BZ168" i="5"/>
  <c r="BZ173" i="5"/>
  <c r="BR168" i="5"/>
  <c r="BR173" i="5"/>
  <c r="BF168" i="5"/>
  <c r="BF173" i="5"/>
  <c r="AT168" i="5"/>
  <c r="AT173" i="5"/>
  <c r="AP168" i="5"/>
  <c r="AP173" i="5"/>
  <c r="AH168" i="5"/>
  <c r="AH173" i="5"/>
  <c r="Z168" i="5"/>
  <c r="Z173" i="5"/>
  <c r="V168" i="5"/>
  <c r="V173" i="5"/>
  <c r="DM168" i="5"/>
  <c r="DM173" i="5"/>
  <c r="DK168" i="5"/>
  <c r="DK173" i="5"/>
  <c r="CQ168" i="5"/>
  <c r="CQ173" i="5"/>
  <c r="CI168" i="5"/>
  <c r="CI173" i="5"/>
  <c r="DF168" i="5"/>
  <c r="DF173" i="5"/>
  <c r="DB168" i="5"/>
  <c r="DB173" i="5"/>
  <c r="DJ168" i="5"/>
  <c r="DJ173" i="5"/>
  <c r="CX168" i="5"/>
  <c r="CX173" i="5"/>
  <c r="CT168" i="5"/>
  <c r="CT173" i="5"/>
  <c r="CL168" i="5"/>
  <c r="CL173" i="5"/>
  <c r="CD168" i="5"/>
  <c r="CD173" i="5"/>
  <c r="BV168" i="5"/>
  <c r="BV173" i="5"/>
  <c r="BN168" i="5"/>
  <c r="BN173" i="5"/>
  <c r="BJ168" i="5"/>
  <c r="BJ173" i="5"/>
  <c r="BB168" i="5"/>
  <c r="BB173" i="5"/>
  <c r="AX168" i="5"/>
  <c r="AX173" i="5"/>
  <c r="AL168" i="5"/>
  <c r="AL173" i="5"/>
  <c r="AD168" i="5"/>
  <c r="AD173" i="5"/>
  <c r="BW18" i="7"/>
  <c r="CW168" i="5"/>
  <c r="CW173" i="5"/>
  <c r="CO168" i="5"/>
  <c r="CO173" i="5"/>
  <c r="CG168" i="5"/>
  <c r="CG173" i="5"/>
  <c r="BQ168" i="5"/>
  <c r="BQ173" i="5"/>
  <c r="BI168" i="5"/>
  <c r="BI173" i="5"/>
  <c r="AW168" i="5"/>
  <c r="AW173" i="5"/>
  <c r="BO23" i="7"/>
  <c r="AQ38" i="7"/>
  <c r="DA168" i="5"/>
  <c r="DA173" i="5"/>
  <c r="CS168" i="5"/>
  <c r="CS173" i="5"/>
  <c r="CK168" i="5"/>
  <c r="CK173" i="5"/>
  <c r="BA168" i="5"/>
  <c r="BA173" i="5"/>
  <c r="AS168" i="5"/>
  <c r="AS173" i="5"/>
  <c r="AO168" i="5"/>
  <c r="AO173" i="5"/>
  <c r="AK168" i="5"/>
  <c r="AK173" i="5"/>
  <c r="AG168" i="5"/>
  <c r="AG173" i="5"/>
  <c r="AC168" i="5"/>
  <c r="AC173" i="5"/>
  <c r="Y168" i="5"/>
  <c r="Y173" i="5"/>
  <c r="U168" i="5"/>
  <c r="U173" i="5"/>
  <c r="DI168" i="5"/>
  <c r="DI173" i="5"/>
  <c r="BM168" i="5"/>
  <c r="BM173" i="5"/>
  <c r="BE168" i="5"/>
  <c r="BE173" i="5"/>
  <c r="CF168" i="5"/>
  <c r="CF173" i="5"/>
  <c r="CB168" i="5"/>
  <c r="CB173" i="5"/>
  <c r="BX168" i="5"/>
  <c r="BX173" i="5"/>
  <c r="BT168" i="5"/>
  <c r="BT173" i="5"/>
  <c r="BL168" i="5"/>
  <c r="BL173" i="5"/>
  <c r="BH168" i="5"/>
  <c r="BH173" i="5"/>
  <c r="BD168" i="5"/>
  <c r="BD173" i="5"/>
  <c r="AZ168" i="5"/>
  <c r="AZ173" i="5"/>
  <c r="AV168" i="5"/>
  <c r="AV173" i="5"/>
  <c r="AR168" i="5"/>
  <c r="AR173" i="5"/>
  <c r="AJ168" i="5"/>
  <c r="AJ173" i="5"/>
  <c r="AF168" i="5"/>
  <c r="AF173" i="5"/>
  <c r="AB168" i="5"/>
  <c r="AB173" i="5"/>
  <c r="T168" i="5"/>
  <c r="T173" i="5"/>
  <c r="BK18" i="7"/>
  <c r="BT33" i="7"/>
  <c r="BD33" i="7"/>
  <c r="AG28" i="7"/>
  <c r="AO38" i="7"/>
  <c r="AG38" i="7"/>
  <c r="Q28" i="7"/>
  <c r="H33" i="7"/>
  <c r="CM38" i="7"/>
  <c r="BM38" i="7"/>
  <c r="AX38" i="7"/>
  <c r="AG18" i="7"/>
  <c r="AE23" i="7"/>
  <c r="Q38" i="7"/>
  <c r="O33" i="7"/>
  <c r="H28" i="7"/>
  <c r="CX23" i="7"/>
  <c r="CL23" i="7"/>
  <c r="BL23" i="7"/>
  <c r="BG28" i="7"/>
  <c r="BB33" i="7"/>
  <c r="AX18" i="7"/>
  <c r="AT38" i="7"/>
  <c r="AN28" i="7"/>
  <c r="CR18" i="7"/>
  <c r="CK33" i="7"/>
  <c r="CB33" i="7"/>
  <c r="AW28" i="7"/>
  <c r="CJ33" i="7"/>
  <c r="CB18" i="7"/>
  <c r="AD28" i="7"/>
  <c r="V18" i="7"/>
  <c r="T18" i="7"/>
  <c r="H23" i="7"/>
  <c r="CZ38" i="7"/>
  <c r="CR38" i="7"/>
  <c r="CO28" i="7"/>
  <c r="CH18" i="7"/>
  <c r="CB28" i="7"/>
  <c r="BU38" i="7"/>
  <c r="BR18" i="7"/>
  <c r="BO18" i="7"/>
  <c r="BJ23" i="7"/>
  <c r="BH33" i="7"/>
  <c r="BC23" i="7"/>
  <c r="BA38" i="7"/>
  <c r="AU28" i="7"/>
  <c r="AS23" i="7"/>
  <c r="AN23" i="7"/>
  <c r="AL28" i="7"/>
  <c r="AJ33" i="7"/>
  <c r="CZ33" i="7"/>
  <c r="CR23" i="7"/>
  <c r="CB23" i="7"/>
  <c r="BT38" i="7"/>
  <c r="BC28" i="7"/>
  <c r="CY33" i="7"/>
  <c r="CJ28" i="7"/>
  <c r="BS38" i="7"/>
  <c r="BL33" i="7"/>
  <c r="AZ28" i="7"/>
  <c r="AR23" i="7"/>
  <c r="CS18" i="7"/>
  <c r="CJ38" i="7"/>
  <c r="BZ38" i="7"/>
  <c r="BS23" i="7"/>
  <c r="BL18" i="7"/>
  <c r="BD23" i="7"/>
  <c r="AZ23" i="7"/>
  <c r="AL33" i="7"/>
  <c r="I10" i="7"/>
  <c r="J9" i="7" s="1"/>
  <c r="J10" i="7" s="1"/>
  <c r="K9" i="7" s="1"/>
  <c r="K10" i="7" s="1"/>
  <c r="L9" i="7" s="1"/>
  <c r="L10" i="7" s="1"/>
  <c r="M9" i="7" s="1"/>
  <c r="M10" i="7" s="1"/>
  <c r="N9" i="7" s="1"/>
  <c r="N10" i="7" s="1"/>
  <c r="O9" i="7" s="1"/>
  <c r="O10" i="7" s="1"/>
  <c r="P9" i="7" s="1"/>
  <c r="P10" i="7" s="1"/>
  <c r="Q9" i="7" s="1"/>
  <c r="Q10" i="7" s="1"/>
  <c r="R9" i="7" s="1"/>
  <c r="R10" i="7" s="1"/>
  <c r="S9" i="7" s="1"/>
  <c r="S10" i="7" s="1"/>
  <c r="T9" i="7" s="1"/>
  <c r="T10" i="7" s="1"/>
  <c r="U9" i="7" s="1"/>
  <c r="U10" i="7" s="1"/>
  <c r="V9" i="7" s="1"/>
  <c r="V10" i="7" s="1"/>
  <c r="W9" i="7" s="1"/>
  <c r="W10" i="7" s="1"/>
  <c r="X9" i="7" s="1"/>
  <c r="X10" i="7" s="1"/>
  <c r="CZ28" i="7"/>
  <c r="CR33" i="7"/>
  <c r="CI28" i="7"/>
  <c r="CG28" i="7"/>
  <c r="BZ18" i="7"/>
  <c r="BR28" i="7"/>
  <c r="BK28" i="7"/>
  <c r="BI38" i="7"/>
  <c r="BD18" i="7"/>
  <c r="AU23" i="7"/>
  <c r="AL18" i="7"/>
  <c r="AJ23" i="7"/>
  <c r="AG33" i="7"/>
  <c r="CU33" i="7"/>
  <c r="CN28" i="7"/>
  <c r="BX18" i="7"/>
  <c r="BP23" i="7"/>
  <c r="AZ33" i="7"/>
  <c r="CS38" i="7"/>
  <c r="AW23" i="7"/>
  <c r="CK18" i="7"/>
  <c r="CF23" i="7"/>
  <c r="AW18" i="7"/>
  <c r="CF28" i="7"/>
  <c r="Y23" i="7"/>
  <c r="CF33" i="7"/>
  <c r="BX28" i="7"/>
  <c r="BU33" i="7"/>
  <c r="BP28" i="7"/>
  <c r="BH23" i="7"/>
  <c r="BE38" i="7"/>
  <c r="AW33" i="7"/>
  <c r="CV23" i="7"/>
  <c r="CF38" i="7"/>
  <c r="BX38" i="7"/>
  <c r="BP18" i="7"/>
  <c r="BH38" i="7"/>
  <c r="AA38" i="7"/>
  <c r="Y18" i="7"/>
  <c r="W23" i="7"/>
  <c r="CZ23" i="7"/>
  <c r="CV28" i="7"/>
  <c r="CQ23" i="7"/>
  <c r="CN23" i="7"/>
  <c r="CJ23" i="7"/>
  <c r="CE38" i="7"/>
  <c r="BX23" i="7"/>
  <c r="BT23" i="7"/>
  <c r="BP38" i="7"/>
  <c r="BL28" i="7"/>
  <c r="BH28" i="7"/>
  <c r="BD38" i="7"/>
  <c r="AZ18" i="7"/>
  <c r="AX23" i="7"/>
  <c r="AV18" i="7"/>
  <c r="AR33" i="7"/>
  <c r="AP33" i="7"/>
  <c r="AN18" i="7"/>
  <c r="AH33" i="7"/>
  <c r="DB38" i="7"/>
  <c r="CW28" i="7"/>
  <c r="CT18" i="7"/>
  <c r="DA18" i="7"/>
  <c r="CC18" i="7"/>
  <c r="CX38" i="7"/>
  <c r="CP33" i="7"/>
  <c r="CC33" i="7"/>
  <c r="BV38" i="7"/>
  <c r="BN38" i="7"/>
  <c r="DB18" i="7"/>
  <c r="CW38" i="7"/>
  <c r="CT28" i="7"/>
  <c r="CL38" i="7"/>
  <c r="BV28" i="7"/>
  <c r="BM18" i="7"/>
  <c r="DA33" i="7"/>
  <c r="BN18" i="7"/>
  <c r="BF28" i="7"/>
  <c r="CX33" i="7"/>
  <c r="CP23" i="7"/>
  <c r="BN23" i="7"/>
  <c r="DB23" i="7"/>
  <c r="CW23" i="7"/>
  <c r="CT23" i="7"/>
  <c r="CL28" i="7"/>
  <c r="BV23" i="7"/>
  <c r="CD18" i="7"/>
  <c r="BF33" i="7"/>
  <c r="CD38" i="7"/>
  <c r="CW33" i="7"/>
  <c r="CD23" i="7"/>
  <c r="CA38" i="7"/>
  <c r="BF23" i="7"/>
  <c r="AX33" i="7"/>
  <c r="AP23" i="7"/>
  <c r="CY18" i="7"/>
  <c r="CQ28" i="7"/>
  <c r="CI33" i="7"/>
  <c r="CA28" i="7"/>
  <c r="BS18" i="7"/>
  <c r="BK33" i="7"/>
  <c r="BC18" i="7"/>
  <c r="AU33" i="7"/>
  <c r="CW43" i="7"/>
  <c r="CW12" i="7"/>
  <c r="CW13" i="7" s="1"/>
  <c r="CO43" i="7"/>
  <c r="CO12" i="7"/>
  <c r="CO13" i="7" s="1"/>
  <c r="CG43" i="7"/>
  <c r="CG12" i="7"/>
  <c r="CG13" i="7" s="1"/>
  <c r="BY43" i="7"/>
  <c r="BY12" i="7"/>
  <c r="BY13" i="7" s="1"/>
  <c r="BQ43" i="7"/>
  <c r="BQ12" i="7"/>
  <c r="BQ13" i="7" s="1"/>
  <c r="BI43" i="7"/>
  <c r="BI12" i="7"/>
  <c r="BI13" i="7" s="1"/>
  <c r="BA43" i="7"/>
  <c r="BA12" i="7"/>
  <c r="BA13" i="7" s="1"/>
  <c r="AS43" i="7"/>
  <c r="AS12" i="7"/>
  <c r="AS13" i="7" s="1"/>
  <c r="AK43" i="7"/>
  <c r="AK12" i="7"/>
  <c r="AK13" i="7" s="1"/>
  <c r="AC43" i="7"/>
  <c r="AC12" i="7"/>
  <c r="AC13" i="7" s="1"/>
  <c r="U43" i="7"/>
  <c r="U12" i="7"/>
  <c r="U13" i="7" s="1"/>
  <c r="M43" i="7"/>
  <c r="M12" i="7"/>
  <c r="M13" i="7" s="1"/>
  <c r="CY23" i="7"/>
  <c r="CQ33" i="7"/>
  <c r="CI38" i="7"/>
  <c r="CA23" i="7"/>
  <c r="CV43" i="7"/>
  <c r="CV12" i="7"/>
  <c r="CV13" i="7" s="1"/>
  <c r="CN43" i="7"/>
  <c r="CN12" i="7"/>
  <c r="CN13" i="7" s="1"/>
  <c r="CF43" i="7"/>
  <c r="CF12" i="7"/>
  <c r="CF13" i="7" s="1"/>
  <c r="BX43" i="7"/>
  <c r="BX12" i="7"/>
  <c r="BX13" i="7" s="1"/>
  <c r="BP43" i="7"/>
  <c r="BP12" i="7"/>
  <c r="BP13" i="7" s="1"/>
  <c r="BH43" i="7"/>
  <c r="BH12" i="7"/>
  <c r="BH13" i="7" s="1"/>
  <c r="AZ43" i="7"/>
  <c r="AZ12" i="7"/>
  <c r="AZ13" i="7" s="1"/>
  <c r="AR43" i="7"/>
  <c r="AR12" i="7"/>
  <c r="AR13" i="7" s="1"/>
  <c r="AJ43" i="7"/>
  <c r="AJ12" i="7"/>
  <c r="AJ13" i="7" s="1"/>
  <c r="AB43" i="7"/>
  <c r="AB12" i="7"/>
  <c r="AB13" i="7" s="1"/>
  <c r="T43" i="7"/>
  <c r="T12" i="7"/>
  <c r="T13" i="7" s="1"/>
  <c r="L43" i="7"/>
  <c r="L12" i="7"/>
  <c r="L13" i="7" s="1"/>
  <c r="CU43" i="7"/>
  <c r="CU12" i="7"/>
  <c r="CU13" i="7" s="1"/>
  <c r="CM43" i="7"/>
  <c r="CM12" i="7"/>
  <c r="CM13" i="7" s="1"/>
  <c r="CE43" i="7"/>
  <c r="CE12" i="7"/>
  <c r="CE13" i="7" s="1"/>
  <c r="BW43" i="7"/>
  <c r="BW12" i="7"/>
  <c r="BW13" i="7" s="1"/>
  <c r="BO43" i="7"/>
  <c r="BO12" i="7"/>
  <c r="BO13" i="7" s="1"/>
  <c r="BG43" i="7"/>
  <c r="BG12" i="7"/>
  <c r="BG13" i="7" s="1"/>
  <c r="AY43" i="7"/>
  <c r="AY12" i="7"/>
  <c r="AY13" i="7" s="1"/>
  <c r="AQ43" i="7"/>
  <c r="AQ12" i="7"/>
  <c r="AQ13" i="7" s="1"/>
  <c r="AI43" i="7"/>
  <c r="AI12" i="7"/>
  <c r="AI13" i="7" s="1"/>
  <c r="AA43" i="7"/>
  <c r="AA12" i="7"/>
  <c r="AA13" i="7" s="1"/>
  <c r="S43" i="7"/>
  <c r="S12" i="7"/>
  <c r="S13" i="7" s="1"/>
  <c r="K43" i="7"/>
  <c r="K12" i="7"/>
  <c r="K13" i="7" s="1"/>
  <c r="CU28" i="7"/>
  <c r="CM28" i="7"/>
  <c r="CE23" i="7"/>
  <c r="DB43" i="7"/>
  <c r="DB12" i="7"/>
  <c r="DB13" i="7" s="1"/>
  <c r="CT43" i="7"/>
  <c r="CT12" i="7"/>
  <c r="CT13" i="7" s="1"/>
  <c r="CL43" i="7"/>
  <c r="CL12" i="7"/>
  <c r="CL13" i="7" s="1"/>
  <c r="CD43" i="7"/>
  <c r="CD12" i="7"/>
  <c r="CD13" i="7" s="1"/>
  <c r="BV43" i="7"/>
  <c r="BV12" i="7"/>
  <c r="BV13" i="7" s="1"/>
  <c r="BN43" i="7"/>
  <c r="BN12" i="7"/>
  <c r="BN13" i="7" s="1"/>
  <c r="BF43" i="7"/>
  <c r="BF12" i="7"/>
  <c r="BF13" i="7" s="1"/>
  <c r="AX43" i="7"/>
  <c r="AX12" i="7"/>
  <c r="AX13" i="7" s="1"/>
  <c r="AP43" i="7"/>
  <c r="AP12" i="7"/>
  <c r="AP13" i="7" s="1"/>
  <c r="AH43" i="7"/>
  <c r="AH12" i="7"/>
  <c r="AH13" i="7" s="1"/>
  <c r="Z43" i="7"/>
  <c r="Z12" i="7"/>
  <c r="Z13" i="7" s="1"/>
  <c r="R43" i="7"/>
  <c r="R12" i="7"/>
  <c r="R13" i="7" s="1"/>
  <c r="J43" i="7"/>
  <c r="J12" i="7"/>
  <c r="J13" i="7" s="1"/>
  <c r="CU23" i="7"/>
  <c r="CM18" i="7"/>
  <c r="CE18" i="7"/>
  <c r="DA43" i="7"/>
  <c r="DA12" i="7"/>
  <c r="DA13" i="7" s="1"/>
  <c r="CS43" i="7"/>
  <c r="CS12" i="7"/>
  <c r="CS13" i="7" s="1"/>
  <c r="CK43" i="7"/>
  <c r="CK12" i="7"/>
  <c r="CK13" i="7" s="1"/>
  <c r="CC43" i="7"/>
  <c r="CC12" i="7"/>
  <c r="CC13" i="7" s="1"/>
  <c r="BU43" i="7"/>
  <c r="BU12" i="7"/>
  <c r="BU13" i="7" s="1"/>
  <c r="BM43" i="7"/>
  <c r="BM12" i="7"/>
  <c r="BM13" i="7" s="1"/>
  <c r="BE43" i="7"/>
  <c r="BE12" i="7"/>
  <c r="BE13" i="7" s="1"/>
  <c r="AW43" i="7"/>
  <c r="AW12" i="7"/>
  <c r="AW13" i="7" s="1"/>
  <c r="AO43" i="7"/>
  <c r="AO12" i="7"/>
  <c r="AO13" i="7" s="1"/>
  <c r="AG43" i="7"/>
  <c r="AG12" i="7"/>
  <c r="AG13" i="7" s="1"/>
  <c r="Y43" i="7"/>
  <c r="Y12" i="7"/>
  <c r="Y13" i="7" s="1"/>
  <c r="Q43" i="7"/>
  <c r="Q12" i="7"/>
  <c r="Q13" i="7" s="1"/>
  <c r="I12" i="7"/>
  <c r="I13" i="7" s="1"/>
  <c r="H43" i="7"/>
  <c r="H12" i="7"/>
  <c r="H13" i="7" s="1"/>
  <c r="H16" i="7" s="1"/>
  <c r="H34" i="7" s="1"/>
  <c r="DA23" i="7"/>
  <c r="CV18" i="7"/>
  <c r="CU38" i="7"/>
  <c r="CS33" i="7"/>
  <c r="CN18" i="7"/>
  <c r="CM23" i="7"/>
  <c r="CK38" i="7"/>
  <c r="CE28" i="7"/>
  <c r="CC38" i="7"/>
  <c r="BW38" i="7"/>
  <c r="BU23" i="7"/>
  <c r="BO33" i="7"/>
  <c r="BM33" i="7"/>
  <c r="BG38" i="7"/>
  <c r="BE33" i="7"/>
  <c r="AY38" i="7"/>
  <c r="AQ28" i="7"/>
  <c r="AI23" i="7"/>
  <c r="CZ43" i="7"/>
  <c r="CZ12" i="7"/>
  <c r="CZ13" i="7" s="1"/>
  <c r="CR43" i="7"/>
  <c r="CR12" i="7"/>
  <c r="CR13" i="7" s="1"/>
  <c r="CJ43" i="7"/>
  <c r="CJ12" i="7"/>
  <c r="CJ13" i="7" s="1"/>
  <c r="CB43" i="7"/>
  <c r="CB12" i="7"/>
  <c r="CB13" i="7" s="1"/>
  <c r="BT43" i="7"/>
  <c r="BT12" i="7"/>
  <c r="BT13" i="7" s="1"/>
  <c r="BL43" i="7"/>
  <c r="BL12" i="7"/>
  <c r="BL13" i="7" s="1"/>
  <c r="BD43" i="7"/>
  <c r="BD12" i="7"/>
  <c r="BD13" i="7" s="1"/>
  <c r="AV43" i="7"/>
  <c r="AV12" i="7"/>
  <c r="AV13" i="7" s="1"/>
  <c r="AN43" i="7"/>
  <c r="AN12" i="7"/>
  <c r="AN13" i="7" s="1"/>
  <c r="AF43" i="7"/>
  <c r="AF12" i="7"/>
  <c r="AF13" i="7" s="1"/>
  <c r="X43" i="7"/>
  <c r="X12" i="7"/>
  <c r="X13" i="7" s="1"/>
  <c r="P43" i="7"/>
  <c r="P12" i="7"/>
  <c r="P13" i="7" s="1"/>
  <c r="I43" i="7"/>
  <c r="CY43" i="7"/>
  <c r="CY12" i="7"/>
  <c r="CY13" i="7" s="1"/>
  <c r="CQ43" i="7"/>
  <c r="CQ12" i="7"/>
  <c r="CQ13" i="7" s="1"/>
  <c r="CI43" i="7"/>
  <c r="CI12" i="7"/>
  <c r="CI13" i="7" s="1"/>
  <c r="CA43" i="7"/>
  <c r="CA12" i="7"/>
  <c r="CA13" i="7" s="1"/>
  <c r="BS43" i="7"/>
  <c r="BS12" i="7"/>
  <c r="BS13" i="7" s="1"/>
  <c r="BK43" i="7"/>
  <c r="BK12" i="7"/>
  <c r="BK13" i="7" s="1"/>
  <c r="BC43" i="7"/>
  <c r="BC12" i="7"/>
  <c r="BC13" i="7" s="1"/>
  <c r="AU43" i="7"/>
  <c r="AU12" i="7"/>
  <c r="AU13" i="7" s="1"/>
  <c r="AM43" i="7"/>
  <c r="AM12" i="7"/>
  <c r="AM13" i="7" s="1"/>
  <c r="AE43" i="7"/>
  <c r="AE12" i="7"/>
  <c r="AE13" i="7" s="1"/>
  <c r="W43" i="7"/>
  <c r="W12" i="7"/>
  <c r="W13" i="7" s="1"/>
  <c r="O43" i="7"/>
  <c r="O12" i="7"/>
  <c r="O13" i="7" s="1"/>
  <c r="DB28" i="7"/>
  <c r="DA38" i="7"/>
  <c r="CY38" i="7"/>
  <c r="CV38" i="7"/>
  <c r="CT33" i="7"/>
  <c r="CS28" i="7"/>
  <c r="CQ38" i="7"/>
  <c r="CN38" i="7"/>
  <c r="CL18" i="7"/>
  <c r="CK28" i="7"/>
  <c r="CI23" i="7"/>
  <c r="CD33" i="7"/>
  <c r="CC23" i="7"/>
  <c r="CA33" i="7"/>
  <c r="BV18" i="7"/>
  <c r="BU18" i="7"/>
  <c r="BS33" i="7"/>
  <c r="BN28" i="7"/>
  <c r="BM23" i="7"/>
  <c r="BK23" i="7"/>
  <c r="BF18" i="7"/>
  <c r="BE18" i="7"/>
  <c r="BC38" i="7"/>
  <c r="AU18" i="7"/>
  <c r="CX43" i="7"/>
  <c r="CX12" i="7"/>
  <c r="CX13" i="7" s="1"/>
  <c r="CP43" i="7"/>
  <c r="CP12" i="7"/>
  <c r="CP13" i="7" s="1"/>
  <c r="CH43" i="7"/>
  <c r="CH12" i="7"/>
  <c r="CH13" i="7" s="1"/>
  <c r="BZ43" i="7"/>
  <c r="BZ12" i="7"/>
  <c r="BZ13" i="7" s="1"/>
  <c r="BR43" i="7"/>
  <c r="BR12" i="7"/>
  <c r="BR13" i="7" s="1"/>
  <c r="BJ43" i="7"/>
  <c r="BJ12" i="7"/>
  <c r="BJ13" i="7" s="1"/>
  <c r="BB43" i="7"/>
  <c r="BB12" i="7"/>
  <c r="BB13" i="7" s="1"/>
  <c r="AT43" i="7"/>
  <c r="AT12" i="7"/>
  <c r="AT13" i="7" s="1"/>
  <c r="AL43" i="7"/>
  <c r="AL12" i="7"/>
  <c r="AL13" i="7" s="1"/>
  <c r="AD43" i="7"/>
  <c r="AD12" i="7"/>
  <c r="AD13" i="7" s="1"/>
  <c r="V43" i="7"/>
  <c r="V12" i="7"/>
  <c r="V13" i="7" s="1"/>
  <c r="N43" i="7"/>
  <c r="N12" i="7"/>
  <c r="N13" i="7" s="1"/>
  <c r="S10" i="4"/>
  <c r="T9" i="4" s="1"/>
  <c r="T10" i="4" s="1"/>
  <c r="U9" i="4" s="1"/>
  <c r="U10" i="4" s="1"/>
  <c r="V9" i="4" s="1"/>
  <c r="V10" i="4" s="1"/>
  <c r="W9" i="4" s="1"/>
  <c r="W10" i="4" s="1"/>
  <c r="X9" i="4" s="1"/>
  <c r="X10" i="4" s="1"/>
  <c r="Y9" i="4" s="1"/>
  <c r="Y10" i="4" s="1"/>
  <c r="Z9" i="4" s="1"/>
  <c r="Z10" i="4" s="1"/>
  <c r="AA9" i="4" s="1"/>
  <c r="AA10" i="4" s="1"/>
  <c r="AB9" i="4" s="1"/>
  <c r="AB10" i="4" s="1"/>
  <c r="AC9" i="4" s="1"/>
  <c r="AC10" i="4" s="1"/>
  <c r="AD9" i="4" s="1"/>
  <c r="AD10" i="4" s="1"/>
  <c r="AE9" i="4" s="1"/>
  <c r="AE10" i="4" s="1"/>
  <c r="AF9" i="4" s="1"/>
  <c r="AF10" i="4" s="1"/>
  <c r="AG9" i="4" s="1"/>
  <c r="AG10" i="4" s="1"/>
  <c r="AH9" i="4" s="1"/>
  <c r="AH10" i="4" s="1"/>
  <c r="T10" i="5"/>
  <c r="F70" i="1" s="1"/>
  <c r="F121" i="1" s="1"/>
  <c r="CO24" i="4"/>
  <c r="CP119" i="5" s="1"/>
  <c r="CO31" i="4"/>
  <c r="CP126" i="5" s="1"/>
  <c r="CO27" i="4"/>
  <c r="CP122" i="5" s="1"/>
  <c r="CO22" i="4"/>
  <c r="CP117" i="5" s="1"/>
  <c r="CO26" i="4"/>
  <c r="CP121" i="5" s="1"/>
  <c r="CO34" i="4"/>
  <c r="CP129" i="5" s="1"/>
  <c r="CO33" i="4"/>
  <c r="CP128" i="5" s="1"/>
  <c r="CO23" i="4"/>
  <c r="CP118" i="5" s="1"/>
  <c r="CO29" i="4"/>
  <c r="CP124" i="5" s="1"/>
  <c r="CO30" i="4"/>
  <c r="CP125" i="5" s="1"/>
  <c r="CO28" i="4"/>
  <c r="CP123" i="5" s="1"/>
  <c r="CO37" i="4"/>
  <c r="CP132" i="5" s="1"/>
  <c r="CO25" i="4"/>
  <c r="CP120" i="5" s="1"/>
  <c r="CO32" i="4"/>
  <c r="CP127" i="5" s="1"/>
  <c r="CO36" i="4"/>
  <c r="CP131" i="5" s="1"/>
  <c r="CO20" i="4"/>
  <c r="CP115" i="5" s="1"/>
  <c r="CO19" i="4"/>
  <c r="CO35" i="4"/>
  <c r="CP130" i="5" s="1"/>
  <c r="CO21" i="4"/>
  <c r="CP116" i="5" s="1"/>
  <c r="DE24" i="4"/>
  <c r="DF119" i="5" s="1"/>
  <c r="DE27" i="4"/>
  <c r="DF122" i="5" s="1"/>
  <c r="DE25" i="4"/>
  <c r="DF120" i="5" s="1"/>
  <c r="DE20" i="4"/>
  <c r="DF115" i="5" s="1"/>
  <c r="DE32" i="4"/>
  <c r="DF127" i="5" s="1"/>
  <c r="DE28" i="4"/>
  <c r="DF123" i="5" s="1"/>
  <c r="DE34" i="4"/>
  <c r="DF129" i="5" s="1"/>
  <c r="DE35" i="4"/>
  <c r="DF130" i="5" s="1"/>
  <c r="DE22" i="4"/>
  <c r="DF117" i="5" s="1"/>
  <c r="DE30" i="4"/>
  <c r="DF125" i="5" s="1"/>
  <c r="DE33" i="4"/>
  <c r="DF128" i="5" s="1"/>
  <c r="DE37" i="4"/>
  <c r="DF132" i="5" s="1"/>
  <c r="DE29" i="4"/>
  <c r="DF124" i="5" s="1"/>
  <c r="DE26" i="4"/>
  <c r="DF121" i="5" s="1"/>
  <c r="DE31" i="4"/>
  <c r="DF126" i="5" s="1"/>
  <c r="DE19" i="4"/>
  <c r="DE23" i="4"/>
  <c r="DF118" i="5" s="1"/>
  <c r="DE36" i="4"/>
  <c r="DF131" i="5" s="1"/>
  <c r="DE21" i="4"/>
  <c r="DF116" i="5" s="1"/>
  <c r="DA32" i="4"/>
  <c r="DB127" i="5" s="1"/>
  <c r="DA35" i="4"/>
  <c r="DB130" i="5" s="1"/>
  <c r="DA22" i="4"/>
  <c r="DB117" i="5" s="1"/>
  <c r="DA27" i="4"/>
  <c r="DB122" i="5" s="1"/>
  <c r="DA19" i="4"/>
  <c r="DA26" i="4"/>
  <c r="DB121" i="5" s="1"/>
  <c r="DA23" i="4"/>
  <c r="DB118" i="5" s="1"/>
  <c r="DA25" i="4"/>
  <c r="DB120" i="5" s="1"/>
  <c r="DA21" i="4"/>
  <c r="DB116" i="5" s="1"/>
  <c r="DA20" i="4"/>
  <c r="DB115" i="5" s="1"/>
  <c r="DA29" i="4"/>
  <c r="DB124" i="5" s="1"/>
  <c r="DA30" i="4"/>
  <c r="DB125" i="5" s="1"/>
  <c r="DA36" i="4"/>
  <c r="DB131" i="5" s="1"/>
  <c r="DA28" i="4"/>
  <c r="DB123" i="5" s="1"/>
  <c r="DA31" i="4"/>
  <c r="DB126" i="5" s="1"/>
  <c r="DA37" i="4"/>
  <c r="DB132" i="5" s="1"/>
  <c r="DA33" i="4"/>
  <c r="DB128" i="5" s="1"/>
  <c r="DA24" i="4"/>
  <c r="DB119" i="5" s="1"/>
  <c r="DA34" i="4"/>
  <c r="DB129" i="5" s="1"/>
  <c r="CW27" i="4"/>
  <c r="CX122" i="5" s="1"/>
  <c r="CW20" i="4"/>
  <c r="CX115" i="5" s="1"/>
  <c r="CW35" i="4"/>
  <c r="CX130" i="5" s="1"/>
  <c r="CW24" i="4"/>
  <c r="CX119" i="5" s="1"/>
  <c r="CW32" i="4"/>
  <c r="CX127" i="5" s="1"/>
  <c r="CW21" i="4"/>
  <c r="CX116" i="5" s="1"/>
  <c r="CW30" i="4"/>
  <c r="CX125" i="5" s="1"/>
  <c r="CW29" i="4"/>
  <c r="CX124" i="5" s="1"/>
  <c r="CW26" i="4"/>
  <c r="CX121" i="5" s="1"/>
  <c r="CW22" i="4"/>
  <c r="CX117" i="5" s="1"/>
  <c r="CW37" i="4"/>
  <c r="CX132" i="5" s="1"/>
  <c r="CW31" i="4"/>
  <c r="CX126" i="5" s="1"/>
  <c r="CW28" i="4"/>
  <c r="CX123" i="5" s="1"/>
  <c r="CW34" i="4"/>
  <c r="CX129" i="5" s="1"/>
  <c r="CW36" i="4"/>
  <c r="CX131" i="5" s="1"/>
  <c r="CW23" i="4"/>
  <c r="CX118" i="5" s="1"/>
  <c r="CW25" i="4"/>
  <c r="CX120" i="5" s="1"/>
  <c r="CW33" i="4"/>
  <c r="CX128" i="5" s="1"/>
  <c r="CW19" i="4"/>
  <c r="CS29" i="4"/>
  <c r="CT124" i="5" s="1"/>
  <c r="CS22" i="4"/>
  <c r="CT117" i="5" s="1"/>
  <c r="CS21" i="4"/>
  <c r="CT116" i="5" s="1"/>
  <c r="CS28" i="4"/>
  <c r="CT123" i="5" s="1"/>
  <c r="CS20" i="4"/>
  <c r="CT115" i="5" s="1"/>
  <c r="CS25" i="4"/>
  <c r="CT120" i="5" s="1"/>
  <c r="CS26" i="4"/>
  <c r="CT121" i="5" s="1"/>
  <c r="CS35" i="4"/>
  <c r="CT130" i="5" s="1"/>
  <c r="CS19" i="4"/>
  <c r="CS24" i="4"/>
  <c r="CT119" i="5" s="1"/>
  <c r="CS23" i="4"/>
  <c r="CT118" i="5" s="1"/>
  <c r="CS36" i="4"/>
  <c r="CT131" i="5" s="1"/>
  <c r="CS27" i="4"/>
  <c r="CT122" i="5" s="1"/>
  <c r="CS33" i="4"/>
  <c r="CT128" i="5" s="1"/>
  <c r="CS37" i="4"/>
  <c r="CT132" i="5" s="1"/>
  <c r="CS31" i="4"/>
  <c r="CT126" i="5" s="1"/>
  <c r="CS30" i="4"/>
  <c r="CT125" i="5" s="1"/>
  <c r="CS34" i="4"/>
  <c r="CT129" i="5" s="1"/>
  <c r="CS32" i="4"/>
  <c r="CT127" i="5" s="1"/>
  <c r="CK32" i="4"/>
  <c r="CL127" i="5" s="1"/>
  <c r="CK36" i="4"/>
  <c r="CL131" i="5" s="1"/>
  <c r="CK27" i="4"/>
  <c r="CL122" i="5" s="1"/>
  <c r="CK29" i="4"/>
  <c r="CL124" i="5" s="1"/>
  <c r="CK33" i="4"/>
  <c r="CL128" i="5" s="1"/>
  <c r="CK25" i="4"/>
  <c r="CL120" i="5" s="1"/>
  <c r="CK28" i="4"/>
  <c r="CL123" i="5" s="1"/>
  <c r="CK34" i="4"/>
  <c r="CL129" i="5" s="1"/>
  <c r="CK24" i="4"/>
  <c r="CL119" i="5" s="1"/>
  <c r="CK22" i="4"/>
  <c r="CL117" i="5" s="1"/>
  <c r="CK35" i="4"/>
  <c r="CL130" i="5" s="1"/>
  <c r="CK20" i="4"/>
  <c r="CL115" i="5" s="1"/>
  <c r="CK21" i="4"/>
  <c r="CL116" i="5" s="1"/>
  <c r="CK30" i="4"/>
  <c r="CL125" i="5" s="1"/>
  <c r="CK19" i="4"/>
  <c r="CK31" i="4"/>
  <c r="CL126" i="5" s="1"/>
  <c r="CK26" i="4"/>
  <c r="CL121" i="5" s="1"/>
  <c r="CK37" i="4"/>
  <c r="CL132" i="5" s="1"/>
  <c r="CK23" i="4"/>
  <c r="CL118" i="5" s="1"/>
  <c r="BM32" i="4"/>
  <c r="BN127" i="5" s="1"/>
  <c r="BM24" i="4"/>
  <c r="BN119" i="5" s="1"/>
  <c r="BM25" i="4"/>
  <c r="BN120" i="5" s="1"/>
  <c r="BM23" i="4"/>
  <c r="BN118" i="5" s="1"/>
  <c r="BM19" i="4"/>
  <c r="BM36" i="4"/>
  <c r="BN131" i="5" s="1"/>
  <c r="BM22" i="4"/>
  <c r="BN117" i="5" s="1"/>
  <c r="BM21" i="4"/>
  <c r="BN116" i="5" s="1"/>
  <c r="BM33" i="4"/>
  <c r="BN128" i="5" s="1"/>
  <c r="BM28" i="4"/>
  <c r="BN123" i="5" s="1"/>
  <c r="BM37" i="4"/>
  <c r="BN132" i="5" s="1"/>
  <c r="BM20" i="4"/>
  <c r="BN115" i="5" s="1"/>
  <c r="BM35" i="4"/>
  <c r="BN130" i="5" s="1"/>
  <c r="BM31" i="4"/>
  <c r="BN126" i="5" s="1"/>
  <c r="BM34" i="4"/>
  <c r="BN129" i="5" s="1"/>
  <c r="BM29" i="4"/>
  <c r="BN124" i="5" s="1"/>
  <c r="BM30" i="4"/>
  <c r="BN125" i="5" s="1"/>
  <c r="BM26" i="4"/>
  <c r="BN121" i="5" s="1"/>
  <c r="BM27" i="4"/>
  <c r="BN122" i="5" s="1"/>
  <c r="BI32" i="4"/>
  <c r="BJ127" i="5" s="1"/>
  <c r="BI24" i="4"/>
  <c r="BJ119" i="5" s="1"/>
  <c r="BI34" i="4"/>
  <c r="BJ129" i="5" s="1"/>
  <c r="BI26" i="4"/>
  <c r="BJ121" i="5" s="1"/>
  <c r="BI21" i="4"/>
  <c r="BJ116" i="5" s="1"/>
  <c r="BI31" i="4"/>
  <c r="BJ126" i="5" s="1"/>
  <c r="BI19" i="4"/>
  <c r="BI27" i="4"/>
  <c r="BJ122" i="5" s="1"/>
  <c r="BI28" i="4"/>
  <c r="BJ123" i="5" s="1"/>
  <c r="BI23" i="4"/>
  <c r="BJ118" i="5" s="1"/>
  <c r="BI25" i="4"/>
  <c r="BJ120" i="5" s="1"/>
  <c r="BI30" i="4"/>
  <c r="BJ125" i="5" s="1"/>
  <c r="BI37" i="4"/>
  <c r="BJ132" i="5" s="1"/>
  <c r="BI35" i="4"/>
  <c r="BJ130" i="5" s="1"/>
  <c r="BI36" i="4"/>
  <c r="BJ131" i="5" s="1"/>
  <c r="BI29" i="4"/>
  <c r="BJ124" i="5" s="1"/>
  <c r="BI22" i="4"/>
  <c r="BJ117" i="5" s="1"/>
  <c r="BI20" i="4"/>
  <c r="BJ115" i="5" s="1"/>
  <c r="BI33" i="4"/>
  <c r="BJ128" i="5" s="1"/>
  <c r="BE32" i="4"/>
  <c r="BF127" i="5" s="1"/>
  <c r="BE33" i="4"/>
  <c r="BF128" i="5" s="1"/>
  <c r="BE21" i="4"/>
  <c r="BF116" i="5" s="1"/>
  <c r="BE25" i="4"/>
  <c r="BF120" i="5" s="1"/>
  <c r="BE20" i="4"/>
  <c r="BF115" i="5" s="1"/>
  <c r="BE31" i="4"/>
  <c r="BF126" i="5" s="1"/>
  <c r="BE37" i="4"/>
  <c r="BF132" i="5" s="1"/>
  <c r="BE23" i="4"/>
  <c r="BF118" i="5" s="1"/>
  <c r="BE29" i="4"/>
  <c r="BF124" i="5" s="1"/>
  <c r="BE24" i="4"/>
  <c r="BF119" i="5" s="1"/>
  <c r="BE36" i="4"/>
  <c r="BF131" i="5" s="1"/>
  <c r="BE30" i="4"/>
  <c r="BF125" i="5" s="1"/>
  <c r="BE19" i="4"/>
  <c r="BE28" i="4"/>
  <c r="BF123" i="5" s="1"/>
  <c r="BE35" i="4"/>
  <c r="BF130" i="5" s="1"/>
  <c r="BE27" i="4"/>
  <c r="BF122" i="5" s="1"/>
  <c r="BE34" i="4"/>
  <c r="BF129" i="5" s="1"/>
  <c r="BE26" i="4"/>
  <c r="BF121" i="5" s="1"/>
  <c r="BE22" i="4"/>
  <c r="BF117" i="5" s="1"/>
  <c r="AW33" i="4"/>
  <c r="AX128" i="5" s="1"/>
  <c r="AW27" i="4"/>
  <c r="AX122" i="5" s="1"/>
  <c r="AW28" i="4"/>
  <c r="AX123" i="5" s="1"/>
  <c r="AW34" i="4"/>
  <c r="AX129" i="5" s="1"/>
  <c r="AW23" i="4"/>
  <c r="AX118" i="5" s="1"/>
  <c r="AW31" i="4"/>
  <c r="AX126" i="5" s="1"/>
  <c r="AW19" i="4"/>
  <c r="AW24" i="4"/>
  <c r="AX119" i="5" s="1"/>
  <c r="AW35" i="4"/>
  <c r="AX130" i="5" s="1"/>
  <c r="AW32" i="4"/>
  <c r="AX127" i="5" s="1"/>
  <c r="AW20" i="4"/>
  <c r="AX115" i="5" s="1"/>
  <c r="AW21" i="4"/>
  <c r="AX116" i="5" s="1"/>
  <c r="AW36" i="4"/>
  <c r="AX131" i="5" s="1"/>
  <c r="AW26" i="4"/>
  <c r="AX121" i="5" s="1"/>
  <c r="AW30" i="4"/>
  <c r="AX125" i="5" s="1"/>
  <c r="AW37" i="4"/>
  <c r="AX132" i="5" s="1"/>
  <c r="AW25" i="4"/>
  <c r="AX120" i="5" s="1"/>
  <c r="AW22" i="4"/>
  <c r="AX117" i="5" s="1"/>
  <c r="AW29" i="4"/>
  <c r="AX124" i="5" s="1"/>
  <c r="AS33" i="4"/>
  <c r="AT128" i="5" s="1"/>
  <c r="AS30" i="4"/>
  <c r="AT125" i="5" s="1"/>
  <c r="AS37" i="4"/>
  <c r="AT132" i="5" s="1"/>
  <c r="AS27" i="4"/>
  <c r="AT122" i="5" s="1"/>
  <c r="AS26" i="4"/>
  <c r="AT121" i="5" s="1"/>
  <c r="AS36" i="4"/>
  <c r="AT131" i="5" s="1"/>
  <c r="AS35" i="4"/>
  <c r="AT130" i="5" s="1"/>
  <c r="AS24" i="4"/>
  <c r="AT119" i="5" s="1"/>
  <c r="AS20" i="4"/>
  <c r="AT115" i="5" s="1"/>
  <c r="AS19" i="4"/>
  <c r="AS22" i="4"/>
  <c r="AT117" i="5" s="1"/>
  <c r="AS29" i="4"/>
  <c r="AT124" i="5" s="1"/>
  <c r="AS23" i="4"/>
  <c r="AT118" i="5" s="1"/>
  <c r="AS31" i="4"/>
  <c r="AT126" i="5" s="1"/>
  <c r="AS28" i="4"/>
  <c r="AT123" i="5" s="1"/>
  <c r="AS32" i="4"/>
  <c r="AT127" i="5" s="1"/>
  <c r="AS34" i="4"/>
  <c r="AT129" i="5" s="1"/>
  <c r="AS25" i="4"/>
  <c r="AT120" i="5" s="1"/>
  <c r="AS21" i="4"/>
  <c r="AT116" i="5" s="1"/>
  <c r="AK32" i="4"/>
  <c r="AL127" i="5" s="1"/>
  <c r="AK31" i="4"/>
  <c r="AL126" i="5" s="1"/>
  <c r="AK29" i="4"/>
  <c r="AL124" i="5" s="1"/>
  <c r="AK34" i="4"/>
  <c r="AL129" i="5" s="1"/>
  <c r="AK21" i="4"/>
  <c r="AL116" i="5" s="1"/>
  <c r="AK23" i="4"/>
  <c r="AL118" i="5" s="1"/>
  <c r="AK24" i="4"/>
  <c r="AL119" i="5" s="1"/>
  <c r="AK37" i="4"/>
  <c r="AL132" i="5" s="1"/>
  <c r="AK30" i="4"/>
  <c r="AL125" i="5" s="1"/>
  <c r="AK36" i="4"/>
  <c r="AL131" i="5" s="1"/>
  <c r="AK20" i="4"/>
  <c r="AL115" i="5" s="1"/>
  <c r="AK22" i="4"/>
  <c r="AL117" i="5" s="1"/>
  <c r="AK19" i="4"/>
  <c r="AK35" i="4"/>
  <c r="AL130" i="5" s="1"/>
  <c r="AK26" i="4"/>
  <c r="AL121" i="5" s="1"/>
  <c r="AK27" i="4"/>
  <c r="AL122" i="5" s="1"/>
  <c r="AK25" i="4"/>
  <c r="AL120" i="5" s="1"/>
  <c r="AK28" i="4"/>
  <c r="AL123" i="5" s="1"/>
  <c r="AK33" i="4"/>
  <c r="AL128" i="5" s="1"/>
  <c r="Y31" i="4"/>
  <c r="Z126" i="5" s="1"/>
  <c r="Y24" i="4"/>
  <c r="Z119" i="5" s="1"/>
  <c r="Y28" i="4"/>
  <c r="Z123" i="5" s="1"/>
  <c r="Y20" i="4"/>
  <c r="Z115" i="5" s="1"/>
  <c r="Y37" i="4"/>
  <c r="Z132" i="5" s="1"/>
  <c r="Y25" i="4"/>
  <c r="Z120" i="5" s="1"/>
  <c r="Y35" i="4"/>
  <c r="Z130" i="5" s="1"/>
  <c r="Y27" i="4"/>
  <c r="Z122" i="5" s="1"/>
  <c r="Y21" i="4"/>
  <c r="Z116" i="5" s="1"/>
  <c r="Y30" i="4"/>
  <c r="Z125" i="5" s="1"/>
  <c r="Y22" i="4"/>
  <c r="Z117" i="5" s="1"/>
  <c r="Y36" i="4"/>
  <c r="Z131" i="5" s="1"/>
  <c r="Y29" i="4"/>
  <c r="Z124" i="5" s="1"/>
  <c r="Y32" i="4"/>
  <c r="Z127" i="5" s="1"/>
  <c r="Y26" i="4"/>
  <c r="Z121" i="5" s="1"/>
  <c r="Y34" i="4"/>
  <c r="Z129" i="5" s="1"/>
  <c r="Y19" i="4"/>
  <c r="Y23" i="4"/>
  <c r="Z118" i="5" s="1"/>
  <c r="Y33" i="4"/>
  <c r="Z128" i="5" s="1"/>
  <c r="U36" i="4"/>
  <c r="V131" i="5" s="1"/>
  <c r="U34" i="4"/>
  <c r="V129" i="5" s="1"/>
  <c r="U30" i="4"/>
  <c r="V125" i="5" s="1"/>
  <c r="U19" i="4"/>
  <c r="U20" i="4"/>
  <c r="V115" i="5" s="1"/>
  <c r="U28" i="4"/>
  <c r="V123" i="5" s="1"/>
  <c r="U23" i="4"/>
  <c r="V118" i="5" s="1"/>
  <c r="U24" i="4"/>
  <c r="V119" i="5" s="1"/>
  <c r="U32" i="4"/>
  <c r="V127" i="5" s="1"/>
  <c r="U35" i="4"/>
  <c r="V130" i="5" s="1"/>
  <c r="U29" i="4"/>
  <c r="V124" i="5" s="1"/>
  <c r="U21" i="4"/>
  <c r="V116" i="5" s="1"/>
  <c r="U31" i="4"/>
  <c r="V126" i="5" s="1"/>
  <c r="U37" i="4"/>
  <c r="V132" i="5" s="1"/>
  <c r="U27" i="4"/>
  <c r="V122" i="5" s="1"/>
  <c r="U22" i="4"/>
  <c r="V117" i="5" s="1"/>
  <c r="U25" i="4"/>
  <c r="V120" i="5" s="1"/>
  <c r="U33" i="4"/>
  <c r="V128" i="5" s="1"/>
  <c r="U26" i="4"/>
  <c r="V121" i="5" s="1"/>
  <c r="CJ22" i="4"/>
  <c r="CK117" i="5" s="1"/>
  <c r="CJ26" i="4"/>
  <c r="CK121" i="5" s="1"/>
  <c r="CJ31" i="4"/>
  <c r="CK126" i="5" s="1"/>
  <c r="CJ34" i="4"/>
  <c r="CK129" i="5" s="1"/>
  <c r="CJ30" i="4"/>
  <c r="CK125" i="5" s="1"/>
  <c r="CJ29" i="4"/>
  <c r="CK124" i="5" s="1"/>
  <c r="CJ21" i="4"/>
  <c r="CK116" i="5" s="1"/>
  <c r="CJ35" i="4"/>
  <c r="CK130" i="5" s="1"/>
  <c r="CJ25" i="4"/>
  <c r="CK120" i="5" s="1"/>
  <c r="CJ36" i="4"/>
  <c r="CK131" i="5" s="1"/>
  <c r="CJ23" i="4"/>
  <c r="CK118" i="5" s="1"/>
  <c r="CJ27" i="4"/>
  <c r="CK122" i="5" s="1"/>
  <c r="CJ33" i="4"/>
  <c r="CK128" i="5" s="1"/>
  <c r="CJ28" i="4"/>
  <c r="CK123" i="5" s="1"/>
  <c r="CJ20" i="4"/>
  <c r="CK115" i="5" s="1"/>
  <c r="CJ24" i="4"/>
  <c r="CK119" i="5" s="1"/>
  <c r="CJ32" i="4"/>
  <c r="CK127" i="5" s="1"/>
  <c r="CJ19" i="4"/>
  <c r="CJ37" i="4"/>
  <c r="CK132" i="5" s="1"/>
  <c r="CB35" i="4"/>
  <c r="CC130" i="5" s="1"/>
  <c r="CB19" i="4"/>
  <c r="CB34" i="4"/>
  <c r="CC129" i="5" s="1"/>
  <c r="CB26" i="4"/>
  <c r="CC121" i="5" s="1"/>
  <c r="CB21" i="4"/>
  <c r="CC116" i="5" s="1"/>
  <c r="CB33" i="4"/>
  <c r="CC128" i="5" s="1"/>
  <c r="CB37" i="4"/>
  <c r="CC132" i="5" s="1"/>
  <c r="CB31" i="4"/>
  <c r="CC126" i="5" s="1"/>
  <c r="CB23" i="4"/>
  <c r="CC118" i="5" s="1"/>
  <c r="CB28" i="4"/>
  <c r="CC123" i="5" s="1"/>
  <c r="CB30" i="4"/>
  <c r="CC125" i="5" s="1"/>
  <c r="CB27" i="4"/>
  <c r="CC122" i="5" s="1"/>
  <c r="CB20" i="4"/>
  <c r="CC115" i="5" s="1"/>
  <c r="CB25" i="4"/>
  <c r="CC120" i="5" s="1"/>
  <c r="CB32" i="4"/>
  <c r="CC127" i="5" s="1"/>
  <c r="CB22" i="4"/>
  <c r="CC117" i="5" s="1"/>
  <c r="CB24" i="4"/>
  <c r="CC119" i="5" s="1"/>
  <c r="CB36" i="4"/>
  <c r="CC131" i="5" s="1"/>
  <c r="CB29" i="4"/>
  <c r="CC124" i="5" s="1"/>
  <c r="BT30" i="4"/>
  <c r="BU125" i="5" s="1"/>
  <c r="BT36" i="4"/>
  <c r="BU131" i="5" s="1"/>
  <c r="BT35" i="4"/>
  <c r="BU130" i="5" s="1"/>
  <c r="BT26" i="4"/>
  <c r="BU121" i="5" s="1"/>
  <c r="BT24" i="4"/>
  <c r="BU119" i="5" s="1"/>
  <c r="BT20" i="4"/>
  <c r="BU115" i="5" s="1"/>
  <c r="BT19" i="4"/>
  <c r="BT23" i="4"/>
  <c r="BU118" i="5" s="1"/>
  <c r="BT31" i="4"/>
  <c r="BU126" i="5" s="1"/>
  <c r="BT33" i="4"/>
  <c r="BU128" i="5" s="1"/>
  <c r="BT32" i="4"/>
  <c r="BU127" i="5" s="1"/>
  <c r="BT25" i="4"/>
  <c r="BU120" i="5" s="1"/>
  <c r="BT27" i="4"/>
  <c r="BU122" i="5" s="1"/>
  <c r="BT21" i="4"/>
  <c r="BU116" i="5" s="1"/>
  <c r="BT22" i="4"/>
  <c r="BU117" i="5" s="1"/>
  <c r="BT29" i="4"/>
  <c r="BU124" i="5" s="1"/>
  <c r="BT37" i="4"/>
  <c r="BU132" i="5" s="1"/>
  <c r="BT28" i="4"/>
  <c r="BU123" i="5" s="1"/>
  <c r="BT34" i="4"/>
  <c r="BU129" i="5" s="1"/>
  <c r="BL32" i="4"/>
  <c r="BM127" i="5" s="1"/>
  <c r="BL20" i="4"/>
  <c r="BM115" i="5" s="1"/>
  <c r="BL25" i="4"/>
  <c r="BM120" i="5" s="1"/>
  <c r="BL30" i="4"/>
  <c r="BM125" i="5" s="1"/>
  <c r="BL23" i="4"/>
  <c r="BM118" i="5" s="1"/>
  <c r="BL37" i="4"/>
  <c r="BM132" i="5" s="1"/>
  <c r="BL28" i="4"/>
  <c r="BM123" i="5" s="1"/>
  <c r="BL27" i="4"/>
  <c r="BM122" i="5" s="1"/>
  <c r="BL24" i="4"/>
  <c r="BM119" i="5" s="1"/>
  <c r="BL35" i="4"/>
  <c r="BM130" i="5" s="1"/>
  <c r="BL21" i="4"/>
  <c r="BM116" i="5" s="1"/>
  <c r="BL33" i="4"/>
  <c r="BM128" i="5" s="1"/>
  <c r="BL29" i="4"/>
  <c r="BM124" i="5" s="1"/>
  <c r="BL26" i="4"/>
  <c r="BM121" i="5" s="1"/>
  <c r="BL31" i="4"/>
  <c r="BM126" i="5" s="1"/>
  <c r="BL19" i="4"/>
  <c r="BL36" i="4"/>
  <c r="BM131" i="5" s="1"/>
  <c r="BL34" i="4"/>
  <c r="BM129" i="5" s="1"/>
  <c r="BL22" i="4"/>
  <c r="BM117" i="5" s="1"/>
  <c r="BH31" i="4"/>
  <c r="BI126" i="5" s="1"/>
  <c r="BH32" i="4"/>
  <c r="BI127" i="5" s="1"/>
  <c r="BH27" i="4"/>
  <c r="BI122" i="5" s="1"/>
  <c r="BH37" i="4"/>
  <c r="BI132" i="5" s="1"/>
  <c r="BH30" i="4"/>
  <c r="BI125" i="5" s="1"/>
  <c r="BH35" i="4"/>
  <c r="BI130" i="5" s="1"/>
  <c r="BH25" i="4"/>
  <c r="BI120" i="5" s="1"/>
  <c r="BH28" i="4"/>
  <c r="BI123" i="5" s="1"/>
  <c r="BH24" i="4"/>
  <c r="BI119" i="5" s="1"/>
  <c r="BH19" i="4"/>
  <c r="BH23" i="4"/>
  <c r="BI118" i="5" s="1"/>
  <c r="BH22" i="4"/>
  <c r="BI117" i="5" s="1"/>
  <c r="BH21" i="4"/>
  <c r="BI116" i="5" s="1"/>
  <c r="BH29" i="4"/>
  <c r="BI124" i="5" s="1"/>
  <c r="BH26" i="4"/>
  <c r="BI121" i="5" s="1"/>
  <c r="BH34" i="4"/>
  <c r="BI129" i="5" s="1"/>
  <c r="BH36" i="4"/>
  <c r="BI131" i="5" s="1"/>
  <c r="BH33" i="4"/>
  <c r="BI128" i="5" s="1"/>
  <c r="BH20" i="4"/>
  <c r="BI115" i="5" s="1"/>
  <c r="AZ33" i="4"/>
  <c r="BA128" i="5" s="1"/>
  <c r="AZ36" i="4"/>
  <c r="BA131" i="5" s="1"/>
  <c r="AZ37" i="4"/>
  <c r="BA132" i="5" s="1"/>
  <c r="AZ19" i="4"/>
  <c r="AZ22" i="4"/>
  <c r="BA117" i="5" s="1"/>
  <c r="AZ30" i="4"/>
  <c r="BA125" i="5" s="1"/>
  <c r="AZ24" i="4"/>
  <c r="BA119" i="5" s="1"/>
  <c r="AZ35" i="4"/>
  <c r="BA130" i="5" s="1"/>
  <c r="AZ29" i="4"/>
  <c r="BA124" i="5" s="1"/>
  <c r="AZ32" i="4"/>
  <c r="BA127" i="5" s="1"/>
  <c r="AZ23" i="4"/>
  <c r="BA118" i="5" s="1"/>
  <c r="AZ27" i="4"/>
  <c r="BA122" i="5" s="1"/>
  <c r="AZ31" i="4"/>
  <c r="BA126" i="5" s="1"/>
  <c r="AZ28" i="4"/>
  <c r="BA123" i="5" s="1"/>
  <c r="AZ25" i="4"/>
  <c r="BA120" i="5" s="1"/>
  <c r="AZ20" i="4"/>
  <c r="BA115" i="5" s="1"/>
  <c r="AZ34" i="4"/>
  <c r="BA129" i="5" s="1"/>
  <c r="AZ26" i="4"/>
  <c r="BA121" i="5" s="1"/>
  <c r="AZ21" i="4"/>
  <c r="BA116" i="5" s="1"/>
  <c r="AV33" i="4"/>
  <c r="AW128" i="5" s="1"/>
  <c r="AV32" i="4"/>
  <c r="AW127" i="5" s="1"/>
  <c r="AV19" i="4"/>
  <c r="AV35" i="4"/>
  <c r="AW130" i="5" s="1"/>
  <c r="AV30" i="4"/>
  <c r="AW125" i="5" s="1"/>
  <c r="AV23" i="4"/>
  <c r="AW118" i="5" s="1"/>
  <c r="AV27" i="4"/>
  <c r="AW122" i="5" s="1"/>
  <c r="AV25" i="4"/>
  <c r="AW120" i="5" s="1"/>
  <c r="AV21" i="4"/>
  <c r="AW116" i="5" s="1"/>
  <c r="AV26" i="4"/>
  <c r="AW121" i="5" s="1"/>
  <c r="AV28" i="4"/>
  <c r="AW123" i="5" s="1"/>
  <c r="AV20" i="4"/>
  <c r="AW115" i="5" s="1"/>
  <c r="AV37" i="4"/>
  <c r="AW132" i="5" s="1"/>
  <c r="AV31" i="4"/>
  <c r="AW126" i="5" s="1"/>
  <c r="AV36" i="4"/>
  <c r="AW131" i="5" s="1"/>
  <c r="AV34" i="4"/>
  <c r="AW129" i="5" s="1"/>
  <c r="AV29" i="4"/>
  <c r="AW124" i="5" s="1"/>
  <c r="AV24" i="4"/>
  <c r="AW119" i="5" s="1"/>
  <c r="AV22" i="4"/>
  <c r="AW117" i="5" s="1"/>
  <c r="AJ35" i="4"/>
  <c r="AK130" i="5" s="1"/>
  <c r="AJ27" i="4"/>
  <c r="AK122" i="5" s="1"/>
  <c r="AJ34" i="4"/>
  <c r="AK129" i="5" s="1"/>
  <c r="AJ29" i="4"/>
  <c r="AK124" i="5" s="1"/>
  <c r="AJ23" i="4"/>
  <c r="AK118" i="5" s="1"/>
  <c r="AJ33" i="4"/>
  <c r="AK128" i="5" s="1"/>
  <c r="AJ22" i="4"/>
  <c r="AK117" i="5" s="1"/>
  <c r="AJ28" i="4"/>
  <c r="AK123" i="5" s="1"/>
  <c r="AJ20" i="4"/>
  <c r="AK115" i="5" s="1"/>
  <c r="AJ26" i="4"/>
  <c r="AK121" i="5" s="1"/>
  <c r="AJ37" i="4"/>
  <c r="AK132" i="5" s="1"/>
  <c r="AJ36" i="4"/>
  <c r="AK131" i="5" s="1"/>
  <c r="AJ21" i="4"/>
  <c r="AK116" i="5" s="1"/>
  <c r="AJ32" i="4"/>
  <c r="AK127" i="5" s="1"/>
  <c r="AJ24" i="4"/>
  <c r="AK119" i="5" s="1"/>
  <c r="AJ30" i="4"/>
  <c r="AK125" i="5" s="1"/>
  <c r="AJ19" i="4"/>
  <c r="AJ25" i="4"/>
  <c r="AK120" i="5" s="1"/>
  <c r="AJ31" i="4"/>
  <c r="AK126" i="5" s="1"/>
  <c r="AB33" i="4"/>
  <c r="AC128" i="5" s="1"/>
  <c r="AB30" i="4"/>
  <c r="AC125" i="5" s="1"/>
  <c r="AB34" i="4"/>
  <c r="AC129" i="5" s="1"/>
  <c r="AB23" i="4"/>
  <c r="AC118" i="5" s="1"/>
  <c r="AB25" i="4"/>
  <c r="AC120" i="5" s="1"/>
  <c r="AB19" i="4"/>
  <c r="AB28" i="4"/>
  <c r="AC123" i="5" s="1"/>
  <c r="AB29" i="4"/>
  <c r="AC124" i="5" s="1"/>
  <c r="AB36" i="4"/>
  <c r="AC131" i="5" s="1"/>
  <c r="AB37" i="4"/>
  <c r="AC132" i="5" s="1"/>
  <c r="AB21" i="4"/>
  <c r="AC116" i="5" s="1"/>
  <c r="AB31" i="4"/>
  <c r="AC126" i="5" s="1"/>
  <c r="AB24" i="4"/>
  <c r="AC119" i="5" s="1"/>
  <c r="AB27" i="4"/>
  <c r="AC122" i="5" s="1"/>
  <c r="AB22" i="4"/>
  <c r="AC117" i="5" s="1"/>
  <c r="AB35" i="4"/>
  <c r="AC130" i="5" s="1"/>
  <c r="AB20" i="4"/>
  <c r="AC115" i="5" s="1"/>
  <c r="AB26" i="4"/>
  <c r="AC121" i="5" s="1"/>
  <c r="AB32" i="4"/>
  <c r="AC127" i="5" s="1"/>
  <c r="DI32" i="4"/>
  <c r="DJ127" i="5" s="1"/>
  <c r="DI20" i="4"/>
  <c r="DJ115" i="5" s="1"/>
  <c r="DI35" i="4"/>
  <c r="DJ130" i="5" s="1"/>
  <c r="DI31" i="4"/>
  <c r="DJ126" i="5" s="1"/>
  <c r="DI19" i="4"/>
  <c r="DI27" i="4"/>
  <c r="DJ122" i="5" s="1"/>
  <c r="DI22" i="4"/>
  <c r="DJ117" i="5" s="1"/>
  <c r="DI30" i="4"/>
  <c r="DJ125" i="5" s="1"/>
  <c r="DI21" i="4"/>
  <c r="DJ116" i="5" s="1"/>
  <c r="DI28" i="4"/>
  <c r="DJ123" i="5" s="1"/>
  <c r="DI37" i="4"/>
  <c r="DJ132" i="5" s="1"/>
  <c r="DI26" i="4"/>
  <c r="DJ121" i="5" s="1"/>
  <c r="DI33" i="4"/>
  <c r="DJ128" i="5" s="1"/>
  <c r="DI36" i="4"/>
  <c r="DJ131" i="5" s="1"/>
  <c r="DI25" i="4"/>
  <c r="DJ120" i="5" s="1"/>
  <c r="DI24" i="4"/>
  <c r="DJ119" i="5" s="1"/>
  <c r="DI34" i="4"/>
  <c r="DJ129" i="5" s="1"/>
  <c r="DI23" i="4"/>
  <c r="DJ118" i="5" s="1"/>
  <c r="DI29" i="4"/>
  <c r="DJ124" i="5" s="1"/>
  <c r="DH32" i="4"/>
  <c r="DI127" i="5" s="1"/>
  <c r="DH23" i="4"/>
  <c r="DI118" i="5" s="1"/>
  <c r="DH20" i="4"/>
  <c r="DI115" i="5" s="1"/>
  <c r="DH36" i="4"/>
  <c r="DI131" i="5" s="1"/>
  <c r="DH37" i="4"/>
  <c r="DI132" i="5" s="1"/>
  <c r="DH34" i="4"/>
  <c r="DI129" i="5" s="1"/>
  <c r="DH29" i="4"/>
  <c r="DI124" i="5" s="1"/>
  <c r="DH31" i="4"/>
  <c r="DI126" i="5" s="1"/>
  <c r="DH25" i="4"/>
  <c r="DI120" i="5" s="1"/>
  <c r="DH35" i="4"/>
  <c r="DI130" i="5" s="1"/>
  <c r="DH33" i="4"/>
  <c r="DI128" i="5" s="1"/>
  <c r="DH21" i="4"/>
  <c r="DI116" i="5" s="1"/>
  <c r="DH22" i="4"/>
  <c r="DI117" i="5" s="1"/>
  <c r="DH30" i="4"/>
  <c r="DI125" i="5" s="1"/>
  <c r="DH24" i="4"/>
  <c r="DI119" i="5" s="1"/>
  <c r="DH27" i="4"/>
  <c r="DI122" i="5" s="1"/>
  <c r="DH26" i="4"/>
  <c r="DI121" i="5" s="1"/>
  <c r="DH28" i="4"/>
  <c r="DI123" i="5" s="1"/>
  <c r="DH19" i="4"/>
  <c r="CV32" i="4"/>
  <c r="CW127" i="5" s="1"/>
  <c r="CV35" i="4"/>
  <c r="CW130" i="5" s="1"/>
  <c r="CV26" i="4"/>
  <c r="CW121" i="5" s="1"/>
  <c r="CV23" i="4"/>
  <c r="CW118" i="5" s="1"/>
  <c r="CV27" i="4"/>
  <c r="CW122" i="5" s="1"/>
  <c r="CV22" i="4"/>
  <c r="CW117" i="5" s="1"/>
  <c r="CV30" i="4"/>
  <c r="CW125" i="5" s="1"/>
  <c r="CV19" i="4"/>
  <c r="CV37" i="4"/>
  <c r="CW132" i="5" s="1"/>
  <c r="CV25" i="4"/>
  <c r="CW120" i="5" s="1"/>
  <c r="CV33" i="4"/>
  <c r="CW128" i="5" s="1"/>
  <c r="CV31" i="4"/>
  <c r="CW126" i="5" s="1"/>
  <c r="CV20" i="4"/>
  <c r="CW115" i="5" s="1"/>
  <c r="CV29" i="4"/>
  <c r="CW124" i="5" s="1"/>
  <c r="CV36" i="4"/>
  <c r="CW131" i="5" s="1"/>
  <c r="CV24" i="4"/>
  <c r="CW119" i="5" s="1"/>
  <c r="CV21" i="4"/>
  <c r="CW116" i="5" s="1"/>
  <c r="CV34" i="4"/>
  <c r="CW129" i="5" s="1"/>
  <c r="CV28" i="4"/>
  <c r="CW123" i="5" s="1"/>
  <c r="DL29" i="4"/>
  <c r="DM124" i="5" s="1"/>
  <c r="DL34" i="4"/>
  <c r="DM129" i="5" s="1"/>
  <c r="DL35" i="4"/>
  <c r="DM130" i="5" s="1"/>
  <c r="DL28" i="4"/>
  <c r="DM123" i="5" s="1"/>
  <c r="DL33" i="4"/>
  <c r="DM128" i="5" s="1"/>
  <c r="DL22" i="4"/>
  <c r="DM117" i="5" s="1"/>
  <c r="DL20" i="4"/>
  <c r="DM115" i="5" s="1"/>
  <c r="DL26" i="4"/>
  <c r="DM121" i="5" s="1"/>
  <c r="DL25" i="4"/>
  <c r="DM120" i="5" s="1"/>
  <c r="DL24" i="4"/>
  <c r="DM119" i="5" s="1"/>
  <c r="DL36" i="4"/>
  <c r="DM131" i="5" s="1"/>
  <c r="DL37" i="4"/>
  <c r="DM132" i="5" s="1"/>
  <c r="DL30" i="4"/>
  <c r="DM125" i="5" s="1"/>
  <c r="DL19" i="4"/>
  <c r="DL27" i="4"/>
  <c r="DM122" i="5" s="1"/>
  <c r="DL23" i="4"/>
  <c r="DM118" i="5" s="1"/>
  <c r="DL31" i="4"/>
  <c r="DM126" i="5" s="1"/>
  <c r="DL21" i="4"/>
  <c r="DM116" i="5" s="1"/>
  <c r="DL32" i="4"/>
  <c r="DM127" i="5" s="1"/>
  <c r="DD31" i="4"/>
  <c r="DE126" i="5" s="1"/>
  <c r="DD36" i="4"/>
  <c r="DE131" i="5" s="1"/>
  <c r="DD37" i="4"/>
  <c r="DE132" i="5" s="1"/>
  <c r="DD23" i="4"/>
  <c r="DE118" i="5" s="1"/>
  <c r="DD32" i="4"/>
  <c r="DE127" i="5" s="1"/>
  <c r="DD26" i="4"/>
  <c r="DE121" i="5" s="1"/>
  <c r="DD24" i="4"/>
  <c r="DE119" i="5" s="1"/>
  <c r="DD21" i="4"/>
  <c r="DE116" i="5" s="1"/>
  <c r="DD19" i="4"/>
  <c r="DD28" i="4"/>
  <c r="DE123" i="5" s="1"/>
  <c r="DD27" i="4"/>
  <c r="DE122" i="5" s="1"/>
  <c r="DD25" i="4"/>
  <c r="DE120" i="5" s="1"/>
  <c r="DD33" i="4"/>
  <c r="DE128" i="5" s="1"/>
  <c r="DD35" i="4"/>
  <c r="DE130" i="5" s="1"/>
  <c r="DD34" i="4"/>
  <c r="DE129" i="5" s="1"/>
  <c r="DD20" i="4"/>
  <c r="DE115" i="5" s="1"/>
  <c r="DD22" i="4"/>
  <c r="DE117" i="5" s="1"/>
  <c r="DD29" i="4"/>
  <c r="DE124" i="5" s="1"/>
  <c r="DD30" i="4"/>
  <c r="DE125" i="5" s="1"/>
  <c r="CZ35" i="4"/>
  <c r="DA130" i="5" s="1"/>
  <c r="CZ27" i="4"/>
  <c r="DA122" i="5" s="1"/>
  <c r="CZ34" i="4"/>
  <c r="DA129" i="5" s="1"/>
  <c r="CZ22" i="4"/>
  <c r="DA117" i="5" s="1"/>
  <c r="CZ24" i="4"/>
  <c r="DA119" i="5" s="1"/>
  <c r="CZ19" i="4"/>
  <c r="CZ29" i="4"/>
  <c r="DA124" i="5" s="1"/>
  <c r="CZ36" i="4"/>
  <c r="DA131" i="5" s="1"/>
  <c r="CZ25" i="4"/>
  <c r="DA120" i="5" s="1"/>
  <c r="CZ32" i="4"/>
  <c r="DA127" i="5" s="1"/>
  <c r="CZ31" i="4"/>
  <c r="DA126" i="5" s="1"/>
  <c r="CZ23" i="4"/>
  <c r="DA118" i="5" s="1"/>
  <c r="CZ28" i="4"/>
  <c r="DA123" i="5" s="1"/>
  <c r="CZ21" i="4"/>
  <c r="DA116" i="5" s="1"/>
  <c r="CZ20" i="4"/>
  <c r="DA115" i="5" s="1"/>
  <c r="CZ37" i="4"/>
  <c r="DA132" i="5" s="1"/>
  <c r="CZ26" i="4"/>
  <c r="DA121" i="5" s="1"/>
  <c r="CZ33" i="4"/>
  <c r="DA128" i="5" s="1"/>
  <c r="CZ30" i="4"/>
  <c r="DA125" i="5" s="1"/>
  <c r="CN34" i="4"/>
  <c r="CO129" i="5" s="1"/>
  <c r="CN33" i="4"/>
  <c r="CO128" i="5" s="1"/>
  <c r="CN31" i="4"/>
  <c r="CO126" i="5" s="1"/>
  <c r="CN32" i="4"/>
  <c r="CO127" i="5" s="1"/>
  <c r="CN37" i="4"/>
  <c r="CO132" i="5" s="1"/>
  <c r="CN21" i="4"/>
  <c r="CO116" i="5" s="1"/>
  <c r="CN28" i="4"/>
  <c r="CO123" i="5" s="1"/>
  <c r="CN36" i="4"/>
  <c r="CO131" i="5" s="1"/>
  <c r="CN20" i="4"/>
  <c r="CO115" i="5" s="1"/>
  <c r="CN25" i="4"/>
  <c r="CO120" i="5" s="1"/>
  <c r="CN19" i="4"/>
  <c r="CN30" i="4"/>
  <c r="CO125" i="5" s="1"/>
  <c r="CN35" i="4"/>
  <c r="CO130" i="5" s="1"/>
  <c r="CN29" i="4"/>
  <c r="CO124" i="5" s="1"/>
  <c r="CN23" i="4"/>
  <c r="CO118" i="5" s="1"/>
  <c r="CN27" i="4"/>
  <c r="CO122" i="5" s="1"/>
  <c r="CN26" i="4"/>
  <c r="CO121" i="5" s="1"/>
  <c r="CN22" i="4"/>
  <c r="CO117" i="5" s="1"/>
  <c r="CN24" i="4"/>
  <c r="CO119" i="5" s="1"/>
  <c r="CF24" i="4"/>
  <c r="CG119" i="5" s="1"/>
  <c r="CF36" i="4"/>
  <c r="CG131" i="5" s="1"/>
  <c r="CF26" i="4"/>
  <c r="CG121" i="5" s="1"/>
  <c r="CF29" i="4"/>
  <c r="CG124" i="5" s="1"/>
  <c r="CF33" i="4"/>
  <c r="CG128" i="5" s="1"/>
  <c r="CF25" i="4"/>
  <c r="CG120" i="5" s="1"/>
  <c r="CF37" i="4"/>
  <c r="CG132" i="5" s="1"/>
  <c r="CF21" i="4"/>
  <c r="CG116" i="5" s="1"/>
  <c r="CF31" i="4"/>
  <c r="CG126" i="5" s="1"/>
  <c r="CF22" i="4"/>
  <c r="CG117" i="5" s="1"/>
  <c r="CF28" i="4"/>
  <c r="CG123" i="5" s="1"/>
  <c r="CF34" i="4"/>
  <c r="CG129" i="5" s="1"/>
  <c r="CF23" i="4"/>
  <c r="CG118" i="5" s="1"/>
  <c r="CF35" i="4"/>
  <c r="CG130" i="5" s="1"/>
  <c r="CF32" i="4"/>
  <c r="CG127" i="5" s="1"/>
  <c r="CF20" i="4"/>
  <c r="CG115" i="5" s="1"/>
  <c r="CF27" i="4"/>
  <c r="CG122" i="5" s="1"/>
  <c r="CF19" i="4"/>
  <c r="CF30" i="4"/>
  <c r="CG125" i="5" s="1"/>
  <c r="BX31" i="4"/>
  <c r="BY126" i="5" s="1"/>
  <c r="BX25" i="4"/>
  <c r="BY120" i="5" s="1"/>
  <c r="BX23" i="4"/>
  <c r="BY118" i="5" s="1"/>
  <c r="BX28" i="4"/>
  <c r="BY123" i="5" s="1"/>
  <c r="BX21" i="4"/>
  <c r="BY116" i="5" s="1"/>
  <c r="BX37" i="4"/>
  <c r="BY132" i="5" s="1"/>
  <c r="BX32" i="4"/>
  <c r="BY127" i="5" s="1"/>
  <c r="BX33" i="4"/>
  <c r="BY128" i="5" s="1"/>
  <c r="BX34" i="4"/>
  <c r="BY129" i="5" s="1"/>
  <c r="BX22" i="4"/>
  <c r="BY117" i="5" s="1"/>
  <c r="BX20" i="4"/>
  <c r="BY115" i="5" s="1"/>
  <c r="BX29" i="4"/>
  <c r="BY124" i="5" s="1"/>
  <c r="BX36" i="4"/>
  <c r="BY131" i="5" s="1"/>
  <c r="BX19" i="4"/>
  <c r="BX35" i="4"/>
  <c r="BY130" i="5" s="1"/>
  <c r="BX27" i="4"/>
  <c r="BY122" i="5" s="1"/>
  <c r="BX30" i="4"/>
  <c r="BY125" i="5" s="1"/>
  <c r="BX24" i="4"/>
  <c r="BY119" i="5" s="1"/>
  <c r="BX26" i="4"/>
  <c r="BY121" i="5" s="1"/>
  <c r="BP24" i="4"/>
  <c r="BQ119" i="5" s="1"/>
  <c r="BP33" i="4"/>
  <c r="BQ128" i="5" s="1"/>
  <c r="BP32" i="4"/>
  <c r="BQ127" i="5" s="1"/>
  <c r="BP27" i="4"/>
  <c r="BQ122" i="5" s="1"/>
  <c r="BP35" i="4"/>
  <c r="BQ130" i="5" s="1"/>
  <c r="BP19" i="4"/>
  <c r="BP31" i="4"/>
  <c r="BQ126" i="5" s="1"/>
  <c r="BP20" i="4"/>
  <c r="BQ115" i="5" s="1"/>
  <c r="BP28" i="4"/>
  <c r="BQ123" i="5" s="1"/>
  <c r="BP22" i="4"/>
  <c r="BQ117" i="5" s="1"/>
  <c r="BP37" i="4"/>
  <c r="BQ132" i="5" s="1"/>
  <c r="BP36" i="4"/>
  <c r="BQ131" i="5" s="1"/>
  <c r="BP34" i="4"/>
  <c r="BQ129" i="5" s="1"/>
  <c r="BP21" i="4"/>
  <c r="BQ116" i="5" s="1"/>
  <c r="BP30" i="4"/>
  <c r="BQ125" i="5" s="1"/>
  <c r="BP29" i="4"/>
  <c r="BQ124" i="5" s="1"/>
  <c r="BP23" i="4"/>
  <c r="BQ118" i="5" s="1"/>
  <c r="BP25" i="4"/>
  <c r="BQ120" i="5" s="1"/>
  <c r="BP26" i="4"/>
  <c r="BQ121" i="5" s="1"/>
  <c r="BD35" i="4"/>
  <c r="BE130" i="5" s="1"/>
  <c r="BD24" i="4"/>
  <c r="BE119" i="5" s="1"/>
  <c r="BD31" i="4"/>
  <c r="BE126" i="5" s="1"/>
  <c r="BD33" i="4"/>
  <c r="BE128" i="5" s="1"/>
  <c r="BD22" i="4"/>
  <c r="BE117" i="5" s="1"/>
  <c r="BD20" i="4"/>
  <c r="BE115" i="5" s="1"/>
  <c r="BD26" i="4"/>
  <c r="BE121" i="5" s="1"/>
  <c r="BD34" i="4"/>
  <c r="BE129" i="5" s="1"/>
  <c r="BD36" i="4"/>
  <c r="BE131" i="5" s="1"/>
  <c r="BD29" i="4"/>
  <c r="BE124" i="5" s="1"/>
  <c r="BD30" i="4"/>
  <c r="BE125" i="5" s="1"/>
  <c r="BD28" i="4"/>
  <c r="BE123" i="5" s="1"/>
  <c r="BD27" i="4"/>
  <c r="BE122" i="5" s="1"/>
  <c r="BD21" i="4"/>
  <c r="BE116" i="5" s="1"/>
  <c r="BD19" i="4"/>
  <c r="BD25" i="4"/>
  <c r="BE120" i="5" s="1"/>
  <c r="BD23" i="4"/>
  <c r="BE118" i="5" s="1"/>
  <c r="BD32" i="4"/>
  <c r="BE127" i="5" s="1"/>
  <c r="BD37" i="4"/>
  <c r="BE132" i="5" s="1"/>
  <c r="AR31" i="4"/>
  <c r="AS126" i="5" s="1"/>
  <c r="AR33" i="4"/>
  <c r="AS128" i="5" s="1"/>
  <c r="AR29" i="4"/>
  <c r="AS124" i="5" s="1"/>
  <c r="AR36" i="4"/>
  <c r="AS131" i="5" s="1"/>
  <c r="AR26" i="4"/>
  <c r="AS121" i="5" s="1"/>
  <c r="AR22" i="4"/>
  <c r="AS117" i="5" s="1"/>
  <c r="AR34" i="4"/>
  <c r="AS129" i="5" s="1"/>
  <c r="AR30" i="4"/>
  <c r="AS125" i="5" s="1"/>
  <c r="AR23" i="4"/>
  <c r="AS118" i="5" s="1"/>
  <c r="AR20" i="4"/>
  <c r="AS115" i="5" s="1"/>
  <c r="AR25" i="4"/>
  <c r="AS120" i="5" s="1"/>
  <c r="AR32" i="4"/>
  <c r="AS127" i="5" s="1"/>
  <c r="AR27" i="4"/>
  <c r="AS122" i="5" s="1"/>
  <c r="AR21" i="4"/>
  <c r="AS116" i="5" s="1"/>
  <c r="AR28" i="4"/>
  <c r="AS123" i="5" s="1"/>
  <c r="AR35" i="4"/>
  <c r="AS130" i="5" s="1"/>
  <c r="AR24" i="4"/>
  <c r="AS119" i="5" s="1"/>
  <c r="AR19" i="4"/>
  <c r="AR37" i="4"/>
  <c r="AS132" i="5" s="1"/>
  <c r="AN32" i="4"/>
  <c r="AO127" i="5" s="1"/>
  <c r="AN31" i="4"/>
  <c r="AO126" i="5" s="1"/>
  <c r="AN23" i="4"/>
  <c r="AO118" i="5" s="1"/>
  <c r="AN19" i="4"/>
  <c r="AN24" i="4"/>
  <c r="AO119" i="5" s="1"/>
  <c r="AN35" i="4"/>
  <c r="AO130" i="5" s="1"/>
  <c r="AN36" i="4"/>
  <c r="AO131" i="5" s="1"/>
  <c r="AN29" i="4"/>
  <c r="AO124" i="5" s="1"/>
  <c r="AN34" i="4"/>
  <c r="AO129" i="5" s="1"/>
  <c r="AN20" i="4"/>
  <c r="AO115" i="5" s="1"/>
  <c r="AN30" i="4"/>
  <c r="AO125" i="5" s="1"/>
  <c r="AN26" i="4"/>
  <c r="AO121" i="5" s="1"/>
  <c r="AN25" i="4"/>
  <c r="AO120" i="5" s="1"/>
  <c r="AN21" i="4"/>
  <c r="AO116" i="5" s="1"/>
  <c r="AN37" i="4"/>
  <c r="AO132" i="5" s="1"/>
  <c r="AN27" i="4"/>
  <c r="AO122" i="5" s="1"/>
  <c r="AN22" i="4"/>
  <c r="AO117" i="5" s="1"/>
  <c r="AN33" i="4"/>
  <c r="AO128" i="5" s="1"/>
  <c r="AN28" i="4"/>
  <c r="AO123" i="5" s="1"/>
  <c r="AF31" i="4"/>
  <c r="AG126" i="5" s="1"/>
  <c r="AF24" i="4"/>
  <c r="AG119" i="5" s="1"/>
  <c r="AF34" i="4"/>
  <c r="AG129" i="5" s="1"/>
  <c r="AF36" i="4"/>
  <c r="AG131" i="5" s="1"/>
  <c r="AF20" i="4"/>
  <c r="AG115" i="5" s="1"/>
  <c r="AF25" i="4"/>
  <c r="AG120" i="5" s="1"/>
  <c r="AF30" i="4"/>
  <c r="AG125" i="5" s="1"/>
  <c r="AF29" i="4"/>
  <c r="AG124" i="5" s="1"/>
  <c r="AF37" i="4"/>
  <c r="AG132" i="5" s="1"/>
  <c r="AF32" i="4"/>
  <c r="AG127" i="5" s="1"/>
  <c r="AF35" i="4"/>
  <c r="AG130" i="5" s="1"/>
  <c r="AF23" i="4"/>
  <c r="AG118" i="5" s="1"/>
  <c r="AF19" i="4"/>
  <c r="AF27" i="4"/>
  <c r="AG122" i="5" s="1"/>
  <c r="AF21" i="4"/>
  <c r="AG116" i="5" s="1"/>
  <c r="AF22" i="4"/>
  <c r="AG117" i="5" s="1"/>
  <c r="AF33" i="4"/>
  <c r="AG128" i="5" s="1"/>
  <c r="AF28" i="4"/>
  <c r="AG123" i="5" s="1"/>
  <c r="AF26" i="4"/>
  <c r="AG121" i="5" s="1"/>
  <c r="X34" i="4"/>
  <c r="Y129" i="5" s="1"/>
  <c r="X25" i="4"/>
  <c r="Y120" i="5" s="1"/>
  <c r="X19" i="4"/>
  <c r="X22" i="4"/>
  <c r="Y117" i="5" s="1"/>
  <c r="X24" i="4"/>
  <c r="Y119" i="5" s="1"/>
  <c r="X33" i="4"/>
  <c r="Y128" i="5" s="1"/>
  <c r="X36" i="4"/>
  <c r="Y131" i="5" s="1"/>
  <c r="X37" i="4"/>
  <c r="Y132" i="5" s="1"/>
  <c r="X32" i="4"/>
  <c r="Y127" i="5" s="1"/>
  <c r="X35" i="4"/>
  <c r="Y130" i="5" s="1"/>
  <c r="X23" i="4"/>
  <c r="Y118" i="5" s="1"/>
  <c r="X27" i="4"/>
  <c r="Y122" i="5" s="1"/>
  <c r="X29" i="4"/>
  <c r="Y124" i="5" s="1"/>
  <c r="X31" i="4"/>
  <c r="Y126" i="5" s="1"/>
  <c r="X28" i="4"/>
  <c r="Y123" i="5" s="1"/>
  <c r="X26" i="4"/>
  <c r="Y121" i="5" s="1"/>
  <c r="X21" i="4"/>
  <c r="Y116" i="5" s="1"/>
  <c r="X30" i="4"/>
  <c r="Y125" i="5" s="1"/>
  <c r="X20" i="4"/>
  <c r="Y115" i="5" s="1"/>
  <c r="T24" i="4"/>
  <c r="U119" i="5" s="1"/>
  <c r="T29" i="4"/>
  <c r="U124" i="5" s="1"/>
  <c r="T36" i="4"/>
  <c r="U131" i="5" s="1"/>
  <c r="T25" i="4"/>
  <c r="U120" i="5" s="1"/>
  <c r="T26" i="4"/>
  <c r="U121" i="5" s="1"/>
  <c r="T32" i="4"/>
  <c r="U127" i="5" s="1"/>
  <c r="T19" i="4"/>
  <c r="T35" i="4"/>
  <c r="U130" i="5" s="1"/>
  <c r="T23" i="4"/>
  <c r="U118" i="5" s="1"/>
  <c r="T34" i="4"/>
  <c r="U129" i="5" s="1"/>
  <c r="T33" i="4"/>
  <c r="U128" i="5" s="1"/>
  <c r="T22" i="4"/>
  <c r="U117" i="5" s="1"/>
  <c r="T30" i="4"/>
  <c r="U125" i="5" s="1"/>
  <c r="T21" i="4"/>
  <c r="U116" i="5" s="1"/>
  <c r="T27" i="4"/>
  <c r="U122" i="5" s="1"/>
  <c r="T31" i="4"/>
  <c r="U126" i="5" s="1"/>
  <c r="T37" i="4"/>
  <c r="U132" i="5" s="1"/>
  <c r="T20" i="4"/>
  <c r="U115" i="5" s="1"/>
  <c r="T28" i="4"/>
  <c r="U123" i="5" s="1"/>
  <c r="CY32" i="4"/>
  <c r="CZ127" i="5" s="1"/>
  <c r="CY28" i="4"/>
  <c r="CZ123" i="5" s="1"/>
  <c r="CY22" i="4"/>
  <c r="CZ117" i="5" s="1"/>
  <c r="CY21" i="4"/>
  <c r="CZ116" i="5" s="1"/>
  <c r="CY37" i="4"/>
  <c r="CZ132" i="5" s="1"/>
  <c r="CY20" i="4"/>
  <c r="CZ115" i="5" s="1"/>
  <c r="CY24" i="4"/>
  <c r="CZ119" i="5" s="1"/>
  <c r="CY34" i="4"/>
  <c r="CZ129" i="5" s="1"/>
  <c r="CY29" i="4"/>
  <c r="CZ124" i="5" s="1"/>
  <c r="CY30" i="4"/>
  <c r="CZ125" i="5" s="1"/>
  <c r="CY31" i="4"/>
  <c r="CZ126" i="5" s="1"/>
  <c r="CY19" i="4"/>
  <c r="CY27" i="4"/>
  <c r="CZ122" i="5" s="1"/>
  <c r="CY25" i="4"/>
  <c r="CZ120" i="5" s="1"/>
  <c r="CY36" i="4"/>
  <c r="CZ131" i="5" s="1"/>
  <c r="CY35" i="4"/>
  <c r="CZ130" i="5" s="1"/>
  <c r="CY23" i="4"/>
  <c r="CZ118" i="5" s="1"/>
  <c r="CY26" i="4"/>
  <c r="CZ121" i="5" s="1"/>
  <c r="CY33" i="4"/>
  <c r="CZ128" i="5" s="1"/>
  <c r="CQ26" i="4"/>
  <c r="CR121" i="5" s="1"/>
  <c r="CQ33" i="4"/>
  <c r="CR128" i="5" s="1"/>
  <c r="CQ24" i="4"/>
  <c r="CR119" i="5" s="1"/>
  <c r="CQ35" i="4"/>
  <c r="CR130" i="5" s="1"/>
  <c r="CQ36" i="4"/>
  <c r="CR131" i="5" s="1"/>
  <c r="CQ29" i="4"/>
  <c r="CR124" i="5" s="1"/>
  <c r="CQ21" i="4"/>
  <c r="CR116" i="5" s="1"/>
  <c r="CQ27" i="4"/>
  <c r="CR122" i="5" s="1"/>
  <c r="CQ34" i="4"/>
  <c r="CR129" i="5" s="1"/>
  <c r="CQ31" i="4"/>
  <c r="CR126" i="5" s="1"/>
  <c r="CQ37" i="4"/>
  <c r="CR132" i="5" s="1"/>
  <c r="CQ28" i="4"/>
  <c r="CR123" i="5" s="1"/>
  <c r="CQ32" i="4"/>
  <c r="CR127" i="5" s="1"/>
  <c r="CQ19" i="4"/>
  <c r="CQ20" i="4"/>
  <c r="CR115" i="5" s="1"/>
  <c r="CQ22" i="4"/>
  <c r="CR117" i="5" s="1"/>
  <c r="CQ30" i="4"/>
  <c r="CR125" i="5" s="1"/>
  <c r="CQ25" i="4"/>
  <c r="CR120" i="5" s="1"/>
  <c r="CQ23" i="4"/>
  <c r="CR118" i="5" s="1"/>
  <c r="CI34" i="4"/>
  <c r="CJ129" i="5" s="1"/>
  <c r="CI25" i="4"/>
  <c r="CJ120" i="5" s="1"/>
  <c r="CI24" i="4"/>
  <c r="CJ119" i="5" s="1"/>
  <c r="CI27" i="4"/>
  <c r="CJ122" i="5" s="1"/>
  <c r="CI26" i="4"/>
  <c r="CJ121" i="5" s="1"/>
  <c r="CI20" i="4"/>
  <c r="CJ115" i="5" s="1"/>
  <c r="CI23" i="4"/>
  <c r="CJ118" i="5" s="1"/>
  <c r="CI33" i="4"/>
  <c r="CJ128" i="5" s="1"/>
  <c r="CI31" i="4"/>
  <c r="CJ126" i="5" s="1"/>
  <c r="CI19" i="4"/>
  <c r="CI28" i="4"/>
  <c r="CJ123" i="5" s="1"/>
  <c r="CI36" i="4"/>
  <c r="CJ131" i="5" s="1"/>
  <c r="CI21" i="4"/>
  <c r="CJ116" i="5" s="1"/>
  <c r="CI32" i="4"/>
  <c r="CJ127" i="5" s="1"/>
  <c r="CI22" i="4"/>
  <c r="CJ117" i="5" s="1"/>
  <c r="CI35" i="4"/>
  <c r="CJ130" i="5" s="1"/>
  <c r="CI30" i="4"/>
  <c r="CJ125" i="5" s="1"/>
  <c r="CI37" i="4"/>
  <c r="CJ132" i="5" s="1"/>
  <c r="CI29" i="4"/>
  <c r="CJ124" i="5" s="1"/>
  <c r="CA30" i="4"/>
  <c r="CB125" i="5" s="1"/>
  <c r="CA35" i="4"/>
  <c r="CB130" i="5" s="1"/>
  <c r="CA32" i="4"/>
  <c r="CB127" i="5" s="1"/>
  <c r="CA37" i="4"/>
  <c r="CB132" i="5" s="1"/>
  <c r="CA36" i="4"/>
  <c r="CB131" i="5" s="1"/>
  <c r="CA29" i="4"/>
  <c r="CB124" i="5" s="1"/>
  <c r="CA22" i="4"/>
  <c r="CB117" i="5" s="1"/>
  <c r="CA20" i="4"/>
  <c r="CB115" i="5" s="1"/>
  <c r="CA19" i="4"/>
  <c r="CA28" i="4"/>
  <c r="CB123" i="5" s="1"/>
  <c r="CA34" i="4"/>
  <c r="CB129" i="5" s="1"/>
  <c r="CA25" i="4"/>
  <c r="CB120" i="5" s="1"/>
  <c r="CA21" i="4"/>
  <c r="CB116" i="5" s="1"/>
  <c r="CA27" i="4"/>
  <c r="CB122" i="5" s="1"/>
  <c r="CA33" i="4"/>
  <c r="CB128" i="5" s="1"/>
  <c r="CA31" i="4"/>
  <c r="CB126" i="5" s="1"/>
  <c r="CA26" i="4"/>
  <c r="CB121" i="5" s="1"/>
  <c r="CA23" i="4"/>
  <c r="CB118" i="5" s="1"/>
  <c r="CA24" i="4"/>
  <c r="CB119" i="5" s="1"/>
  <c r="BW31" i="4"/>
  <c r="BX126" i="5" s="1"/>
  <c r="BW30" i="4"/>
  <c r="BX125" i="5" s="1"/>
  <c r="BW24" i="4"/>
  <c r="BX119" i="5" s="1"/>
  <c r="BW35" i="4"/>
  <c r="BX130" i="5" s="1"/>
  <c r="BW22" i="4"/>
  <c r="BX117" i="5" s="1"/>
  <c r="BW26" i="4"/>
  <c r="BX121" i="5" s="1"/>
  <c r="BW37" i="4"/>
  <c r="BX132" i="5" s="1"/>
  <c r="BW33" i="4"/>
  <c r="BX128" i="5" s="1"/>
  <c r="BW23" i="4"/>
  <c r="BX118" i="5" s="1"/>
  <c r="BW29" i="4"/>
  <c r="BX124" i="5" s="1"/>
  <c r="BW21" i="4"/>
  <c r="BX116" i="5" s="1"/>
  <c r="BW32" i="4"/>
  <c r="BX127" i="5" s="1"/>
  <c r="BW25" i="4"/>
  <c r="BX120" i="5" s="1"/>
  <c r="BW27" i="4"/>
  <c r="BX122" i="5" s="1"/>
  <c r="BW36" i="4"/>
  <c r="BX131" i="5" s="1"/>
  <c r="BW28" i="4"/>
  <c r="BX123" i="5" s="1"/>
  <c r="BW19" i="4"/>
  <c r="BW20" i="4"/>
  <c r="BX115" i="5" s="1"/>
  <c r="BW34" i="4"/>
  <c r="BX129" i="5" s="1"/>
  <c r="BS33" i="4"/>
  <c r="BT128" i="5" s="1"/>
  <c r="BS28" i="4"/>
  <c r="BT123" i="5" s="1"/>
  <c r="BS24" i="4"/>
  <c r="BT119" i="5" s="1"/>
  <c r="BS25" i="4"/>
  <c r="BT120" i="5" s="1"/>
  <c r="BS34" i="4"/>
  <c r="BT129" i="5" s="1"/>
  <c r="BS19" i="4"/>
  <c r="BS26" i="4"/>
  <c r="BT121" i="5" s="1"/>
  <c r="BS23" i="4"/>
  <c r="BT118" i="5" s="1"/>
  <c r="BS31" i="4"/>
  <c r="BT126" i="5" s="1"/>
  <c r="BS27" i="4"/>
  <c r="BT122" i="5" s="1"/>
  <c r="BS35" i="4"/>
  <c r="BT130" i="5" s="1"/>
  <c r="BS21" i="4"/>
  <c r="BT116" i="5" s="1"/>
  <c r="BS36" i="4"/>
  <c r="BT131" i="5" s="1"/>
  <c r="BS29" i="4"/>
  <c r="BT124" i="5" s="1"/>
  <c r="BS32" i="4"/>
  <c r="BT127" i="5" s="1"/>
  <c r="BS20" i="4"/>
  <c r="BT115" i="5" s="1"/>
  <c r="BS22" i="4"/>
  <c r="BT117" i="5" s="1"/>
  <c r="BS37" i="4"/>
  <c r="BT132" i="5" s="1"/>
  <c r="BS30" i="4"/>
  <c r="BT125" i="5" s="1"/>
  <c r="BK35" i="4"/>
  <c r="BL130" i="5" s="1"/>
  <c r="BK24" i="4"/>
  <c r="BL119" i="5" s="1"/>
  <c r="BK32" i="4"/>
  <c r="BL127" i="5" s="1"/>
  <c r="BK25" i="4"/>
  <c r="BL120" i="5" s="1"/>
  <c r="BK31" i="4"/>
  <c r="BL126" i="5" s="1"/>
  <c r="BK30" i="4"/>
  <c r="BL125" i="5" s="1"/>
  <c r="BK22" i="4"/>
  <c r="BL117" i="5" s="1"/>
  <c r="BK37" i="4"/>
  <c r="BL132" i="5" s="1"/>
  <c r="BK34" i="4"/>
  <c r="BL129" i="5" s="1"/>
  <c r="BK20" i="4"/>
  <c r="BL115" i="5" s="1"/>
  <c r="BK19" i="4"/>
  <c r="BK28" i="4"/>
  <c r="BL123" i="5" s="1"/>
  <c r="BK27" i="4"/>
  <c r="BL122" i="5" s="1"/>
  <c r="BK36" i="4"/>
  <c r="BL131" i="5" s="1"/>
  <c r="BK23" i="4"/>
  <c r="BL118" i="5" s="1"/>
  <c r="BK21" i="4"/>
  <c r="BL116" i="5" s="1"/>
  <c r="BK33" i="4"/>
  <c r="BL128" i="5" s="1"/>
  <c r="BK26" i="4"/>
  <c r="BL121" i="5" s="1"/>
  <c r="BK29" i="4"/>
  <c r="BL124" i="5" s="1"/>
  <c r="BC27" i="4"/>
  <c r="BD122" i="5" s="1"/>
  <c r="BC24" i="4"/>
  <c r="BD119" i="5" s="1"/>
  <c r="BC35" i="4"/>
  <c r="BD130" i="5" s="1"/>
  <c r="BC32" i="4"/>
  <c r="BD127" i="5" s="1"/>
  <c r="BC23" i="4"/>
  <c r="BD118" i="5" s="1"/>
  <c r="BC22" i="4"/>
  <c r="BD117" i="5" s="1"/>
  <c r="BC33" i="4"/>
  <c r="BD128" i="5" s="1"/>
  <c r="BC21" i="4"/>
  <c r="BD116" i="5" s="1"/>
  <c r="BC31" i="4"/>
  <c r="BD126" i="5" s="1"/>
  <c r="BC28" i="4"/>
  <c r="BD123" i="5" s="1"/>
  <c r="BC36" i="4"/>
  <c r="BD131" i="5" s="1"/>
  <c r="BC29" i="4"/>
  <c r="BD124" i="5" s="1"/>
  <c r="BC19" i="4"/>
  <c r="BC30" i="4"/>
  <c r="BD125" i="5" s="1"/>
  <c r="BC34" i="4"/>
  <c r="BD129" i="5" s="1"/>
  <c r="BC20" i="4"/>
  <c r="BD115" i="5" s="1"/>
  <c r="BC25" i="4"/>
  <c r="BD120" i="5" s="1"/>
  <c r="BC26" i="4"/>
  <c r="BD121" i="5" s="1"/>
  <c r="BC37" i="4"/>
  <c r="BD132" i="5" s="1"/>
  <c r="AY31" i="4"/>
  <c r="AZ126" i="5" s="1"/>
  <c r="AY32" i="4"/>
  <c r="AZ127" i="5" s="1"/>
  <c r="AY22" i="4"/>
  <c r="AZ117" i="5" s="1"/>
  <c r="AY35" i="4"/>
  <c r="AZ130" i="5" s="1"/>
  <c r="AY21" i="4"/>
  <c r="AZ116" i="5" s="1"/>
  <c r="AY37" i="4"/>
  <c r="AZ132" i="5" s="1"/>
  <c r="AY30" i="4"/>
  <c r="AZ125" i="5" s="1"/>
  <c r="AY24" i="4"/>
  <c r="AZ119" i="5" s="1"/>
  <c r="AY20" i="4"/>
  <c r="AZ115" i="5" s="1"/>
  <c r="AY25" i="4"/>
  <c r="AZ120" i="5" s="1"/>
  <c r="AY29" i="4"/>
  <c r="AZ124" i="5" s="1"/>
  <c r="AY33" i="4"/>
  <c r="AZ128" i="5" s="1"/>
  <c r="AY26" i="4"/>
  <c r="AZ121" i="5" s="1"/>
  <c r="AY19" i="4"/>
  <c r="AY28" i="4"/>
  <c r="AZ123" i="5" s="1"/>
  <c r="AY23" i="4"/>
  <c r="AZ118" i="5" s="1"/>
  <c r="AY36" i="4"/>
  <c r="AZ131" i="5" s="1"/>
  <c r="AY34" i="4"/>
  <c r="AZ129" i="5" s="1"/>
  <c r="AY27" i="4"/>
  <c r="AZ122" i="5" s="1"/>
  <c r="AQ29" i="4"/>
  <c r="AR124" i="5" s="1"/>
  <c r="AQ22" i="4"/>
  <c r="AR117" i="5" s="1"/>
  <c r="AQ31" i="4"/>
  <c r="AR126" i="5" s="1"/>
  <c r="AQ20" i="4"/>
  <c r="AR115" i="5" s="1"/>
  <c r="AQ37" i="4"/>
  <c r="AR132" i="5" s="1"/>
  <c r="AQ35" i="4"/>
  <c r="AR130" i="5" s="1"/>
  <c r="AQ21" i="4"/>
  <c r="AR116" i="5" s="1"/>
  <c r="AQ33" i="4"/>
  <c r="AR128" i="5" s="1"/>
  <c r="AQ27" i="4"/>
  <c r="AR122" i="5" s="1"/>
  <c r="AQ19" i="4"/>
  <c r="AQ24" i="4"/>
  <c r="AR119" i="5" s="1"/>
  <c r="AQ34" i="4"/>
  <c r="AR129" i="5" s="1"/>
  <c r="AQ30" i="4"/>
  <c r="AR125" i="5" s="1"/>
  <c r="AQ28" i="4"/>
  <c r="AR123" i="5" s="1"/>
  <c r="AQ26" i="4"/>
  <c r="AR121" i="5" s="1"/>
  <c r="AQ36" i="4"/>
  <c r="AR131" i="5" s="1"/>
  <c r="AQ25" i="4"/>
  <c r="AR120" i="5" s="1"/>
  <c r="AQ23" i="4"/>
  <c r="AR118" i="5" s="1"/>
  <c r="AQ32" i="4"/>
  <c r="AR127" i="5" s="1"/>
  <c r="AM30" i="4"/>
  <c r="AN125" i="5" s="1"/>
  <c r="AM26" i="4"/>
  <c r="AN121" i="5" s="1"/>
  <c r="AM33" i="4"/>
  <c r="AN128" i="5" s="1"/>
  <c r="AM29" i="4"/>
  <c r="AN124" i="5" s="1"/>
  <c r="AM25" i="4"/>
  <c r="AN120" i="5" s="1"/>
  <c r="AM22" i="4"/>
  <c r="AN117" i="5" s="1"/>
  <c r="AM37" i="4"/>
  <c r="AN132" i="5" s="1"/>
  <c r="AM27" i="4"/>
  <c r="AN122" i="5" s="1"/>
  <c r="AM19" i="4"/>
  <c r="AM34" i="4"/>
  <c r="AN129" i="5" s="1"/>
  <c r="AM24" i="4"/>
  <c r="AN119" i="5" s="1"/>
  <c r="AM21" i="4"/>
  <c r="AN116" i="5" s="1"/>
  <c r="AM35" i="4"/>
  <c r="AN130" i="5" s="1"/>
  <c r="AM28" i="4"/>
  <c r="AN123" i="5" s="1"/>
  <c r="AM32" i="4"/>
  <c r="AN127" i="5" s="1"/>
  <c r="AM36" i="4"/>
  <c r="AN131" i="5" s="1"/>
  <c r="AM20" i="4"/>
  <c r="AN115" i="5" s="1"/>
  <c r="AM31" i="4"/>
  <c r="AN126" i="5" s="1"/>
  <c r="AM23" i="4"/>
  <c r="AN118" i="5" s="1"/>
  <c r="AI33" i="4"/>
  <c r="AJ128" i="5" s="1"/>
  <c r="AI35" i="4"/>
  <c r="AJ130" i="5" s="1"/>
  <c r="AI22" i="4"/>
  <c r="AJ117" i="5" s="1"/>
  <c r="AI25" i="4"/>
  <c r="AJ120" i="5" s="1"/>
  <c r="AI37" i="4"/>
  <c r="AJ132" i="5" s="1"/>
  <c r="AI24" i="4"/>
  <c r="AJ119" i="5" s="1"/>
  <c r="AI26" i="4"/>
  <c r="AJ121" i="5" s="1"/>
  <c r="AI32" i="4"/>
  <c r="AJ127" i="5" s="1"/>
  <c r="AI20" i="4"/>
  <c r="AJ115" i="5" s="1"/>
  <c r="AI36" i="4"/>
  <c r="AJ131" i="5" s="1"/>
  <c r="AI28" i="4"/>
  <c r="AJ123" i="5" s="1"/>
  <c r="AI19" i="4"/>
  <c r="AI21" i="4"/>
  <c r="AJ116" i="5" s="1"/>
  <c r="AI23" i="4"/>
  <c r="AJ118" i="5" s="1"/>
  <c r="AI30" i="4"/>
  <c r="AJ125" i="5" s="1"/>
  <c r="AI34" i="4"/>
  <c r="AJ129" i="5" s="1"/>
  <c r="AI31" i="4"/>
  <c r="AJ126" i="5" s="1"/>
  <c r="AI27" i="4"/>
  <c r="AJ122" i="5" s="1"/>
  <c r="AI29" i="4"/>
  <c r="AJ124" i="5" s="1"/>
  <c r="AE27" i="4"/>
  <c r="AF122" i="5" s="1"/>
  <c r="AE33" i="4"/>
  <c r="AF128" i="5" s="1"/>
  <c r="AE23" i="4"/>
  <c r="AF118" i="5" s="1"/>
  <c r="AE24" i="4"/>
  <c r="AF119" i="5" s="1"/>
  <c r="AE30" i="4"/>
  <c r="AF125" i="5" s="1"/>
  <c r="AE26" i="4"/>
  <c r="AF121" i="5" s="1"/>
  <c r="AE29" i="4"/>
  <c r="AF124" i="5" s="1"/>
  <c r="AE35" i="4"/>
  <c r="AF130" i="5" s="1"/>
  <c r="AE34" i="4"/>
  <c r="AF129" i="5" s="1"/>
  <c r="AE36" i="4"/>
  <c r="AF131" i="5" s="1"/>
  <c r="AE21" i="4"/>
  <c r="AF116" i="5" s="1"/>
  <c r="AE22" i="4"/>
  <c r="AF117" i="5" s="1"/>
  <c r="AE19" i="4"/>
  <c r="AE28" i="4"/>
  <c r="AF123" i="5" s="1"/>
  <c r="AE32" i="4"/>
  <c r="AF127" i="5" s="1"/>
  <c r="AE37" i="4"/>
  <c r="AF132" i="5" s="1"/>
  <c r="AE25" i="4"/>
  <c r="AF120" i="5" s="1"/>
  <c r="AE31" i="4"/>
  <c r="AF126" i="5" s="1"/>
  <c r="AE20" i="4"/>
  <c r="AF115" i="5" s="1"/>
  <c r="AA36" i="4"/>
  <c r="AB131" i="5" s="1"/>
  <c r="AA21" i="4"/>
  <c r="AB116" i="5" s="1"/>
  <c r="AA31" i="4"/>
  <c r="AB126" i="5" s="1"/>
  <c r="AA30" i="4"/>
  <c r="AB125" i="5" s="1"/>
  <c r="AA32" i="4"/>
  <c r="AB127" i="5" s="1"/>
  <c r="AA34" i="4"/>
  <c r="AB129" i="5" s="1"/>
  <c r="AA25" i="4"/>
  <c r="AB120" i="5" s="1"/>
  <c r="AA24" i="4"/>
  <c r="AB119" i="5" s="1"/>
  <c r="AA27" i="4"/>
  <c r="AB122" i="5" s="1"/>
  <c r="AA19" i="4"/>
  <c r="AA29" i="4"/>
  <c r="AB124" i="5" s="1"/>
  <c r="AA23" i="4"/>
  <c r="AB118" i="5" s="1"/>
  <c r="AA35" i="4"/>
  <c r="AB130" i="5" s="1"/>
  <c r="AA28" i="4"/>
  <c r="AB123" i="5" s="1"/>
  <c r="AA22" i="4"/>
  <c r="AB117" i="5" s="1"/>
  <c r="AA26" i="4"/>
  <c r="AB121" i="5" s="1"/>
  <c r="AA20" i="4"/>
  <c r="AB115" i="5" s="1"/>
  <c r="AA37" i="4"/>
  <c r="AB132" i="5" s="1"/>
  <c r="AA33" i="4"/>
  <c r="AB128" i="5" s="1"/>
  <c r="W32" i="4"/>
  <c r="X127" i="5" s="1"/>
  <c r="W37" i="4"/>
  <c r="X132" i="5" s="1"/>
  <c r="W26" i="4"/>
  <c r="X121" i="5" s="1"/>
  <c r="W29" i="4"/>
  <c r="X124" i="5" s="1"/>
  <c r="W28" i="4"/>
  <c r="X123" i="5" s="1"/>
  <c r="W34" i="4"/>
  <c r="X129" i="5" s="1"/>
  <c r="W30" i="4"/>
  <c r="X125" i="5" s="1"/>
  <c r="W25" i="4"/>
  <c r="X120" i="5" s="1"/>
  <c r="W36" i="4"/>
  <c r="X131" i="5" s="1"/>
  <c r="W19" i="4"/>
  <c r="W33" i="4"/>
  <c r="X128" i="5" s="1"/>
  <c r="W23" i="4"/>
  <c r="X118" i="5" s="1"/>
  <c r="W27" i="4"/>
  <c r="X122" i="5" s="1"/>
  <c r="W35" i="4"/>
  <c r="X130" i="5" s="1"/>
  <c r="W24" i="4"/>
  <c r="X119" i="5" s="1"/>
  <c r="W22" i="4"/>
  <c r="X117" i="5" s="1"/>
  <c r="W20" i="4"/>
  <c r="X115" i="5" s="1"/>
  <c r="W31" i="4"/>
  <c r="X126" i="5" s="1"/>
  <c r="W21" i="4"/>
  <c r="X116" i="5" s="1"/>
  <c r="S34" i="4"/>
  <c r="T129" i="5" s="1"/>
  <c r="S23" i="4"/>
  <c r="T118" i="5" s="1"/>
  <c r="S32" i="4"/>
  <c r="T127" i="5" s="1"/>
  <c r="S26" i="4"/>
  <c r="T121" i="5" s="1"/>
  <c r="S29" i="4"/>
  <c r="T124" i="5" s="1"/>
  <c r="S25" i="4"/>
  <c r="T120" i="5" s="1"/>
  <c r="S28" i="4"/>
  <c r="T123" i="5" s="1"/>
  <c r="S33" i="4"/>
  <c r="T128" i="5" s="1"/>
  <c r="S35" i="4"/>
  <c r="T130" i="5" s="1"/>
  <c r="S20" i="4"/>
  <c r="S37" i="4"/>
  <c r="T132" i="5" s="1"/>
  <c r="S21" i="4"/>
  <c r="T116" i="5" s="1"/>
  <c r="S27" i="4"/>
  <c r="T122" i="5" s="1"/>
  <c r="S24" i="4"/>
  <c r="T119" i="5" s="1"/>
  <c r="S19" i="4"/>
  <c r="S36" i="4"/>
  <c r="S30" i="4"/>
  <c r="T125" i="5" s="1"/>
  <c r="S22" i="4"/>
  <c r="T117" i="5" s="1"/>
  <c r="S31" i="4"/>
  <c r="T126" i="5" s="1"/>
  <c r="CR32" i="4"/>
  <c r="CS127" i="5" s="1"/>
  <c r="CR35" i="4"/>
  <c r="CS130" i="5" s="1"/>
  <c r="CR30" i="4"/>
  <c r="CS125" i="5" s="1"/>
  <c r="CR36" i="4"/>
  <c r="CS131" i="5" s="1"/>
  <c r="CR28" i="4"/>
  <c r="CS123" i="5" s="1"/>
  <c r="CR26" i="4"/>
  <c r="CS121" i="5" s="1"/>
  <c r="CR31" i="4"/>
  <c r="CS126" i="5" s="1"/>
  <c r="CR23" i="4"/>
  <c r="CS118" i="5" s="1"/>
  <c r="CR27" i="4"/>
  <c r="CS122" i="5" s="1"/>
  <c r="CR25" i="4"/>
  <c r="CS120" i="5" s="1"/>
  <c r="CR29" i="4"/>
  <c r="CS124" i="5" s="1"/>
  <c r="CR19" i="4"/>
  <c r="CR21" i="4"/>
  <c r="CS116" i="5" s="1"/>
  <c r="CR33" i="4"/>
  <c r="CS128" i="5" s="1"/>
  <c r="CR20" i="4"/>
  <c r="CS115" i="5" s="1"/>
  <c r="CR34" i="4"/>
  <c r="CS129" i="5" s="1"/>
  <c r="CR37" i="4"/>
  <c r="CS132" i="5" s="1"/>
  <c r="CR24" i="4"/>
  <c r="CS119" i="5" s="1"/>
  <c r="CR22" i="4"/>
  <c r="CS117" i="5" s="1"/>
  <c r="CU32" i="4"/>
  <c r="CV127" i="5" s="1"/>
  <c r="CU21" i="4"/>
  <c r="CV116" i="5" s="1"/>
  <c r="CU37" i="4"/>
  <c r="CV132" i="5" s="1"/>
  <c r="CU25" i="4"/>
  <c r="CV120" i="5" s="1"/>
  <c r="CU34" i="4"/>
  <c r="CV129" i="5" s="1"/>
  <c r="CU23" i="4"/>
  <c r="CV118" i="5" s="1"/>
  <c r="CU33" i="4"/>
  <c r="CV128" i="5" s="1"/>
  <c r="CU36" i="4"/>
  <c r="CV131" i="5" s="1"/>
  <c r="CU30" i="4"/>
  <c r="CV125" i="5" s="1"/>
  <c r="CU29" i="4"/>
  <c r="CV124" i="5" s="1"/>
  <c r="CU24" i="4"/>
  <c r="CV119" i="5" s="1"/>
  <c r="CU28" i="4"/>
  <c r="CV123" i="5" s="1"/>
  <c r="CU26" i="4"/>
  <c r="CV121" i="5" s="1"/>
  <c r="CU19" i="4"/>
  <c r="CU35" i="4"/>
  <c r="CV130" i="5" s="1"/>
  <c r="CU20" i="4"/>
  <c r="CV115" i="5" s="1"/>
  <c r="CU22" i="4"/>
  <c r="CV117" i="5" s="1"/>
  <c r="CU27" i="4"/>
  <c r="CV122" i="5" s="1"/>
  <c r="CU31" i="4"/>
  <c r="CV126" i="5" s="1"/>
  <c r="CM34" i="4"/>
  <c r="CN129" i="5" s="1"/>
  <c r="CM32" i="4"/>
  <c r="CN127" i="5" s="1"/>
  <c r="CM30" i="4"/>
  <c r="CN125" i="5" s="1"/>
  <c r="CM19" i="4"/>
  <c r="CM25" i="4"/>
  <c r="CN120" i="5" s="1"/>
  <c r="CM35" i="4"/>
  <c r="CN130" i="5" s="1"/>
  <c r="CM27" i="4"/>
  <c r="CN122" i="5" s="1"/>
  <c r="CM26" i="4"/>
  <c r="CN121" i="5" s="1"/>
  <c r="CM22" i="4"/>
  <c r="CN117" i="5" s="1"/>
  <c r="CM36" i="4"/>
  <c r="CN131" i="5" s="1"/>
  <c r="CM23" i="4"/>
  <c r="CN118" i="5" s="1"/>
  <c r="CM31" i="4"/>
  <c r="CN126" i="5" s="1"/>
  <c r="CM33" i="4"/>
  <c r="CN128" i="5" s="1"/>
  <c r="CM21" i="4"/>
  <c r="CN116" i="5" s="1"/>
  <c r="CM37" i="4"/>
  <c r="CN132" i="5" s="1"/>
  <c r="CM29" i="4"/>
  <c r="CN124" i="5" s="1"/>
  <c r="CM20" i="4"/>
  <c r="CN115" i="5" s="1"/>
  <c r="CM28" i="4"/>
  <c r="CN123" i="5" s="1"/>
  <c r="CM24" i="4"/>
  <c r="CN119" i="5" s="1"/>
  <c r="CE31" i="4"/>
  <c r="CF126" i="5" s="1"/>
  <c r="CE32" i="4"/>
  <c r="CF127" i="5" s="1"/>
  <c r="CE21" i="4"/>
  <c r="CF116" i="5" s="1"/>
  <c r="CE19" i="4"/>
  <c r="CE29" i="4"/>
  <c r="CF124" i="5" s="1"/>
  <c r="CE35" i="4"/>
  <c r="CF130" i="5" s="1"/>
  <c r="CE33" i="4"/>
  <c r="CF128" i="5" s="1"/>
  <c r="CE20" i="4"/>
  <c r="CF115" i="5" s="1"/>
  <c r="CE36" i="4"/>
  <c r="CF131" i="5" s="1"/>
  <c r="CE23" i="4"/>
  <c r="CF118" i="5" s="1"/>
  <c r="CE30" i="4"/>
  <c r="CF125" i="5" s="1"/>
  <c r="CE24" i="4"/>
  <c r="CF119" i="5" s="1"/>
  <c r="CE22" i="4"/>
  <c r="CF117" i="5" s="1"/>
  <c r="CE27" i="4"/>
  <c r="CF122" i="5" s="1"/>
  <c r="CE28" i="4"/>
  <c r="CF123" i="5" s="1"/>
  <c r="CE25" i="4"/>
  <c r="CF120" i="5" s="1"/>
  <c r="CE34" i="4"/>
  <c r="CF129" i="5" s="1"/>
  <c r="CE26" i="4"/>
  <c r="CF121" i="5" s="1"/>
  <c r="CE37" i="4"/>
  <c r="CF132" i="5" s="1"/>
  <c r="BO33" i="4"/>
  <c r="BP128" i="5" s="1"/>
  <c r="BO19" i="4"/>
  <c r="BO31" i="4"/>
  <c r="BP126" i="5" s="1"/>
  <c r="BO34" i="4"/>
  <c r="BP129" i="5" s="1"/>
  <c r="BO29" i="4"/>
  <c r="BP124" i="5" s="1"/>
  <c r="BO28" i="4"/>
  <c r="BP123" i="5" s="1"/>
  <c r="BO30" i="4"/>
  <c r="BP125" i="5" s="1"/>
  <c r="BO20" i="4"/>
  <c r="BP115" i="5" s="1"/>
  <c r="BO26" i="4"/>
  <c r="BP121" i="5" s="1"/>
  <c r="BO22" i="4"/>
  <c r="BP117" i="5" s="1"/>
  <c r="BO37" i="4"/>
  <c r="BP132" i="5" s="1"/>
  <c r="BO27" i="4"/>
  <c r="BP122" i="5" s="1"/>
  <c r="BO24" i="4"/>
  <c r="BP119" i="5" s="1"/>
  <c r="BO25" i="4"/>
  <c r="BP120" i="5" s="1"/>
  <c r="BO23" i="4"/>
  <c r="BP118" i="5" s="1"/>
  <c r="BO36" i="4"/>
  <c r="BP131" i="5" s="1"/>
  <c r="BO32" i="4"/>
  <c r="BP127" i="5" s="1"/>
  <c r="BO35" i="4"/>
  <c r="BP130" i="5" s="1"/>
  <c r="BO21" i="4"/>
  <c r="BP116" i="5" s="1"/>
  <c r="BG29" i="4"/>
  <c r="BH124" i="5" s="1"/>
  <c r="BG27" i="4"/>
  <c r="BH122" i="5" s="1"/>
  <c r="BG33" i="4"/>
  <c r="BH128" i="5" s="1"/>
  <c r="BG32" i="4"/>
  <c r="BH127" i="5" s="1"/>
  <c r="BG19" i="4"/>
  <c r="BG26" i="4"/>
  <c r="BH121" i="5" s="1"/>
  <c r="BG23" i="4"/>
  <c r="BH118" i="5" s="1"/>
  <c r="BG28" i="4"/>
  <c r="BH123" i="5" s="1"/>
  <c r="BG36" i="4"/>
  <c r="BH131" i="5" s="1"/>
  <c r="BG20" i="4"/>
  <c r="BH115" i="5" s="1"/>
  <c r="BG22" i="4"/>
  <c r="BH117" i="5" s="1"/>
  <c r="BG24" i="4"/>
  <c r="BH119" i="5" s="1"/>
  <c r="BG37" i="4"/>
  <c r="BH132" i="5" s="1"/>
  <c r="BG31" i="4"/>
  <c r="BH126" i="5" s="1"/>
  <c r="BG34" i="4"/>
  <c r="BH129" i="5" s="1"/>
  <c r="BG35" i="4"/>
  <c r="BH130" i="5" s="1"/>
  <c r="BG25" i="4"/>
  <c r="BH120" i="5" s="1"/>
  <c r="BG30" i="4"/>
  <c r="BH125" i="5" s="1"/>
  <c r="BG21" i="4"/>
  <c r="BH116" i="5" s="1"/>
  <c r="AU35" i="4"/>
  <c r="AV130" i="5" s="1"/>
  <c r="AU21" i="4"/>
  <c r="AV116" i="5" s="1"/>
  <c r="AU28" i="4"/>
  <c r="AV123" i="5" s="1"/>
  <c r="AU20" i="4"/>
  <c r="AV115" i="5" s="1"/>
  <c r="AU23" i="4"/>
  <c r="AV118" i="5" s="1"/>
  <c r="AU27" i="4"/>
  <c r="AV122" i="5" s="1"/>
  <c r="AU32" i="4"/>
  <c r="AV127" i="5" s="1"/>
  <c r="AU29" i="4"/>
  <c r="AV124" i="5" s="1"/>
  <c r="AU30" i="4"/>
  <c r="AV125" i="5" s="1"/>
  <c r="AU37" i="4"/>
  <c r="AV132" i="5" s="1"/>
  <c r="AU25" i="4"/>
  <c r="AV120" i="5" s="1"/>
  <c r="AU24" i="4"/>
  <c r="AV119" i="5" s="1"/>
  <c r="AU22" i="4"/>
  <c r="AV117" i="5" s="1"/>
  <c r="AU31" i="4"/>
  <c r="AV126" i="5" s="1"/>
  <c r="AU26" i="4"/>
  <c r="AV121" i="5" s="1"/>
  <c r="AU34" i="4"/>
  <c r="AV129" i="5" s="1"/>
  <c r="AU33" i="4"/>
  <c r="AV128" i="5" s="1"/>
  <c r="AU19" i="4"/>
  <c r="AU36" i="4"/>
  <c r="AV131" i="5" s="1"/>
  <c r="DG31" i="4"/>
  <c r="DH126" i="5" s="1"/>
  <c r="DG19" i="4"/>
  <c r="DG32" i="4"/>
  <c r="DH127" i="5" s="1"/>
  <c r="DG23" i="4"/>
  <c r="DH118" i="5" s="1"/>
  <c r="DG22" i="4"/>
  <c r="DH117" i="5" s="1"/>
  <c r="DG35" i="4"/>
  <c r="DH130" i="5" s="1"/>
  <c r="DG27" i="4"/>
  <c r="DH122" i="5" s="1"/>
  <c r="DG25" i="4"/>
  <c r="DH120" i="5" s="1"/>
  <c r="DG29" i="4"/>
  <c r="DH124" i="5" s="1"/>
  <c r="DG24" i="4"/>
  <c r="DH119" i="5" s="1"/>
  <c r="DG20" i="4"/>
  <c r="DH115" i="5" s="1"/>
  <c r="DG37" i="4"/>
  <c r="DH132" i="5" s="1"/>
  <c r="DG36" i="4"/>
  <c r="DH131" i="5" s="1"/>
  <c r="DG33" i="4"/>
  <c r="DH128" i="5" s="1"/>
  <c r="DG26" i="4"/>
  <c r="DH121" i="5" s="1"/>
  <c r="DG21" i="4"/>
  <c r="DH116" i="5" s="1"/>
  <c r="DG30" i="4"/>
  <c r="DH125" i="5" s="1"/>
  <c r="DG28" i="4"/>
  <c r="DH123" i="5" s="1"/>
  <c r="DG34" i="4"/>
  <c r="DH129" i="5" s="1"/>
  <c r="DJ35" i="4"/>
  <c r="DK130" i="5" s="1"/>
  <c r="DJ25" i="4"/>
  <c r="DK120" i="5" s="1"/>
  <c r="DJ33" i="4"/>
  <c r="DK128" i="5" s="1"/>
  <c r="DJ36" i="4"/>
  <c r="DK131" i="5" s="1"/>
  <c r="DJ27" i="4"/>
  <c r="DK122" i="5" s="1"/>
  <c r="DJ23" i="4"/>
  <c r="DK118" i="5" s="1"/>
  <c r="DJ29" i="4"/>
  <c r="DK124" i="5" s="1"/>
  <c r="DJ34" i="4"/>
  <c r="DK129" i="5" s="1"/>
  <c r="DJ30" i="4"/>
  <c r="DK125" i="5" s="1"/>
  <c r="DJ32" i="4"/>
  <c r="DK127" i="5" s="1"/>
  <c r="DJ26" i="4"/>
  <c r="DK121" i="5" s="1"/>
  <c r="DJ21" i="4"/>
  <c r="DK116" i="5" s="1"/>
  <c r="DJ20" i="4"/>
  <c r="DK115" i="5" s="1"/>
  <c r="DJ22" i="4"/>
  <c r="DK117" i="5" s="1"/>
  <c r="DJ31" i="4"/>
  <c r="DK126" i="5" s="1"/>
  <c r="DJ28" i="4"/>
  <c r="DK123" i="5" s="1"/>
  <c r="DJ24" i="4"/>
  <c r="DK119" i="5" s="1"/>
  <c r="DJ37" i="4"/>
  <c r="DK132" i="5" s="1"/>
  <c r="DJ19" i="4"/>
  <c r="DF27" i="4"/>
  <c r="DG122" i="5" s="1"/>
  <c r="DF19" i="4"/>
  <c r="DF35" i="4"/>
  <c r="DG130" i="5" s="1"/>
  <c r="DF29" i="4"/>
  <c r="DG124" i="5" s="1"/>
  <c r="DF36" i="4"/>
  <c r="DG131" i="5" s="1"/>
  <c r="DF32" i="4"/>
  <c r="DG127" i="5" s="1"/>
  <c r="DF20" i="4"/>
  <c r="DG115" i="5" s="1"/>
  <c r="DF30" i="4"/>
  <c r="DG125" i="5" s="1"/>
  <c r="DF24" i="4"/>
  <c r="DG119" i="5" s="1"/>
  <c r="DF22" i="4"/>
  <c r="DG117" i="5" s="1"/>
  <c r="DF28" i="4"/>
  <c r="DG123" i="5" s="1"/>
  <c r="DF21" i="4"/>
  <c r="DG116" i="5" s="1"/>
  <c r="DF31" i="4"/>
  <c r="DG126" i="5" s="1"/>
  <c r="DF23" i="4"/>
  <c r="DG118" i="5" s="1"/>
  <c r="DF26" i="4"/>
  <c r="DG121" i="5" s="1"/>
  <c r="DF34" i="4"/>
  <c r="DG129" i="5" s="1"/>
  <c r="DF25" i="4"/>
  <c r="DG120" i="5" s="1"/>
  <c r="DF37" i="4"/>
  <c r="DG132" i="5" s="1"/>
  <c r="DF33" i="4"/>
  <c r="DG128" i="5" s="1"/>
  <c r="CX19" i="4"/>
  <c r="CX25" i="4"/>
  <c r="CY120" i="5" s="1"/>
  <c r="CX30" i="4"/>
  <c r="CY125" i="5" s="1"/>
  <c r="CX26" i="4"/>
  <c r="CY121" i="5" s="1"/>
  <c r="CX24" i="4"/>
  <c r="CY119" i="5" s="1"/>
  <c r="CX33" i="4"/>
  <c r="CY128" i="5" s="1"/>
  <c r="CX32" i="4"/>
  <c r="CY127" i="5" s="1"/>
  <c r="CX27" i="4"/>
  <c r="CY122" i="5" s="1"/>
  <c r="CX21" i="4"/>
  <c r="CY116" i="5" s="1"/>
  <c r="CX34" i="4"/>
  <c r="CY129" i="5" s="1"/>
  <c r="CX35" i="4"/>
  <c r="CY130" i="5" s="1"/>
  <c r="CX23" i="4"/>
  <c r="CY118" i="5" s="1"/>
  <c r="CX22" i="4"/>
  <c r="CY117" i="5" s="1"/>
  <c r="CX29" i="4"/>
  <c r="CY124" i="5" s="1"/>
  <c r="CX37" i="4"/>
  <c r="CY132" i="5" s="1"/>
  <c r="CX31" i="4"/>
  <c r="CY126" i="5" s="1"/>
  <c r="CX28" i="4"/>
  <c r="CY123" i="5" s="1"/>
  <c r="CX36" i="4"/>
  <c r="CY131" i="5" s="1"/>
  <c r="CX20" i="4"/>
  <c r="CY115" i="5" s="1"/>
  <c r="CT34" i="4"/>
  <c r="CU129" i="5" s="1"/>
  <c r="CT21" i="4"/>
  <c r="CU116" i="5" s="1"/>
  <c r="CT26" i="4"/>
  <c r="CU121" i="5" s="1"/>
  <c r="CT36" i="4"/>
  <c r="CU131" i="5" s="1"/>
  <c r="CT30" i="4"/>
  <c r="CU125" i="5" s="1"/>
  <c r="CT20" i="4"/>
  <c r="CU115" i="5" s="1"/>
  <c r="CT22" i="4"/>
  <c r="CU117" i="5" s="1"/>
  <c r="CT31" i="4"/>
  <c r="CU126" i="5" s="1"/>
  <c r="CT28" i="4"/>
  <c r="CU123" i="5" s="1"/>
  <c r="CT33" i="4"/>
  <c r="CU128" i="5" s="1"/>
  <c r="CT35" i="4"/>
  <c r="CU130" i="5" s="1"/>
  <c r="CT27" i="4"/>
  <c r="CU122" i="5" s="1"/>
  <c r="CT32" i="4"/>
  <c r="CU127" i="5" s="1"/>
  <c r="CT29" i="4"/>
  <c r="CU124" i="5" s="1"/>
  <c r="CT23" i="4"/>
  <c r="CU118" i="5" s="1"/>
  <c r="CT37" i="4"/>
  <c r="CU132" i="5" s="1"/>
  <c r="CT19" i="4"/>
  <c r="CT25" i="4"/>
  <c r="CU120" i="5" s="1"/>
  <c r="CT24" i="4"/>
  <c r="CU119" i="5" s="1"/>
  <c r="CP28" i="4"/>
  <c r="CQ123" i="5" s="1"/>
  <c r="CP19" i="4"/>
  <c r="CP24" i="4"/>
  <c r="CQ119" i="5" s="1"/>
  <c r="CP37" i="4"/>
  <c r="CQ132" i="5" s="1"/>
  <c r="CP23" i="4"/>
  <c r="CQ118" i="5" s="1"/>
  <c r="CP29" i="4"/>
  <c r="CQ124" i="5" s="1"/>
  <c r="CP32" i="4"/>
  <c r="CQ127" i="5" s="1"/>
  <c r="CP33" i="4"/>
  <c r="CQ128" i="5" s="1"/>
  <c r="CP36" i="4"/>
  <c r="CQ131" i="5" s="1"/>
  <c r="CP25" i="4"/>
  <c r="CQ120" i="5" s="1"/>
  <c r="CP22" i="4"/>
  <c r="CQ117" i="5" s="1"/>
  <c r="CP30" i="4"/>
  <c r="CQ125" i="5" s="1"/>
  <c r="CP20" i="4"/>
  <c r="CQ115" i="5" s="1"/>
  <c r="CP31" i="4"/>
  <c r="CQ126" i="5" s="1"/>
  <c r="CP27" i="4"/>
  <c r="CQ122" i="5" s="1"/>
  <c r="CP35" i="4"/>
  <c r="CQ130" i="5" s="1"/>
  <c r="CP21" i="4"/>
  <c r="CQ116" i="5" s="1"/>
  <c r="CP34" i="4"/>
  <c r="CQ129" i="5" s="1"/>
  <c r="CP26" i="4"/>
  <c r="CQ121" i="5" s="1"/>
  <c r="CL24" i="4"/>
  <c r="CM119" i="5" s="1"/>
  <c r="CL30" i="4"/>
  <c r="CM125" i="5" s="1"/>
  <c r="CL31" i="4"/>
  <c r="CM126" i="5" s="1"/>
  <c r="CL32" i="4"/>
  <c r="CM127" i="5" s="1"/>
  <c r="CL25" i="4"/>
  <c r="CM120" i="5" s="1"/>
  <c r="CL20" i="4"/>
  <c r="CM115" i="5" s="1"/>
  <c r="CL19" i="4"/>
  <c r="CL27" i="4"/>
  <c r="CM122" i="5" s="1"/>
  <c r="CL33" i="4"/>
  <c r="CM128" i="5" s="1"/>
  <c r="CL35" i="4"/>
  <c r="CM130" i="5" s="1"/>
  <c r="CL37" i="4"/>
  <c r="CM132" i="5" s="1"/>
  <c r="CL36" i="4"/>
  <c r="CM131" i="5" s="1"/>
  <c r="CL34" i="4"/>
  <c r="CM129" i="5" s="1"/>
  <c r="CL28" i="4"/>
  <c r="CM123" i="5" s="1"/>
  <c r="CL29" i="4"/>
  <c r="CM124" i="5" s="1"/>
  <c r="CL26" i="4"/>
  <c r="CM121" i="5" s="1"/>
  <c r="CL23" i="4"/>
  <c r="CM118" i="5" s="1"/>
  <c r="CL21" i="4"/>
  <c r="CM116" i="5" s="1"/>
  <c r="CL22" i="4"/>
  <c r="CM117" i="5" s="1"/>
  <c r="CH33" i="4"/>
  <c r="CI128" i="5" s="1"/>
  <c r="CH23" i="4"/>
  <c r="CI118" i="5" s="1"/>
  <c r="CH32" i="4"/>
  <c r="CI127" i="5" s="1"/>
  <c r="CH27" i="4"/>
  <c r="CI122" i="5" s="1"/>
  <c r="CH37" i="4"/>
  <c r="CI132" i="5" s="1"/>
  <c r="CH20" i="4"/>
  <c r="CI115" i="5" s="1"/>
  <c r="CH31" i="4"/>
  <c r="CI126" i="5" s="1"/>
  <c r="CH35" i="4"/>
  <c r="CI130" i="5" s="1"/>
  <c r="CH30" i="4"/>
  <c r="CI125" i="5" s="1"/>
  <c r="CH24" i="4"/>
  <c r="CI119" i="5" s="1"/>
  <c r="CH34" i="4"/>
  <c r="CI129" i="5" s="1"/>
  <c r="CH19" i="4"/>
  <c r="CH25" i="4"/>
  <c r="CI120" i="5" s="1"/>
  <c r="CH29" i="4"/>
  <c r="CI124" i="5" s="1"/>
  <c r="CH26" i="4"/>
  <c r="CI121" i="5" s="1"/>
  <c r="CH21" i="4"/>
  <c r="CI116" i="5" s="1"/>
  <c r="CH36" i="4"/>
  <c r="CI131" i="5" s="1"/>
  <c r="CH22" i="4"/>
  <c r="CI117" i="5" s="1"/>
  <c r="CH28" i="4"/>
  <c r="CI123" i="5" s="1"/>
  <c r="BN33" i="4"/>
  <c r="BO128" i="5" s="1"/>
  <c r="BN26" i="4"/>
  <c r="BO121" i="5" s="1"/>
  <c r="BN28" i="4"/>
  <c r="BO123" i="5" s="1"/>
  <c r="BN19" i="4"/>
  <c r="BN30" i="4"/>
  <c r="BO125" i="5" s="1"/>
  <c r="BN23" i="4"/>
  <c r="BO118" i="5" s="1"/>
  <c r="BN27" i="4"/>
  <c r="BO122" i="5" s="1"/>
  <c r="BN24" i="4"/>
  <c r="BO119" i="5" s="1"/>
  <c r="BN34" i="4"/>
  <c r="BO129" i="5" s="1"/>
  <c r="BN37" i="4"/>
  <c r="BO132" i="5" s="1"/>
  <c r="BN22" i="4"/>
  <c r="BO117" i="5" s="1"/>
  <c r="BN20" i="4"/>
  <c r="BO115" i="5" s="1"/>
  <c r="BN31" i="4"/>
  <c r="BO126" i="5" s="1"/>
  <c r="BN25" i="4"/>
  <c r="BO120" i="5" s="1"/>
  <c r="BN32" i="4"/>
  <c r="BO127" i="5" s="1"/>
  <c r="BN35" i="4"/>
  <c r="BO130" i="5" s="1"/>
  <c r="BN21" i="4"/>
  <c r="BO116" i="5" s="1"/>
  <c r="BN36" i="4"/>
  <c r="BO131" i="5" s="1"/>
  <c r="BN29" i="4"/>
  <c r="BO124" i="5" s="1"/>
  <c r="AL27" i="4"/>
  <c r="AM122" i="5" s="1"/>
  <c r="AL26" i="4"/>
  <c r="AM121" i="5" s="1"/>
  <c r="AL34" i="4"/>
  <c r="AM129" i="5" s="1"/>
  <c r="AL35" i="4"/>
  <c r="AM130" i="5" s="1"/>
  <c r="AL25" i="4"/>
  <c r="AM120" i="5" s="1"/>
  <c r="AL22" i="4"/>
  <c r="AM117" i="5" s="1"/>
  <c r="AL24" i="4"/>
  <c r="AM119" i="5" s="1"/>
  <c r="AL30" i="4"/>
  <c r="AM125" i="5" s="1"/>
  <c r="AL29" i="4"/>
  <c r="AM124" i="5" s="1"/>
  <c r="AL36" i="4"/>
  <c r="AM131" i="5" s="1"/>
  <c r="AL19" i="4"/>
  <c r="AL23" i="4"/>
  <c r="AM118" i="5" s="1"/>
  <c r="AL31" i="4"/>
  <c r="AM126" i="5" s="1"/>
  <c r="AL37" i="4"/>
  <c r="AM132" i="5" s="1"/>
  <c r="AL33" i="4"/>
  <c r="AM128" i="5" s="1"/>
  <c r="AL28" i="4"/>
  <c r="AM123" i="5" s="1"/>
  <c r="AL21" i="4"/>
  <c r="AM116" i="5" s="1"/>
  <c r="AL20" i="4"/>
  <c r="AM115" i="5" s="1"/>
  <c r="AL32" i="4"/>
  <c r="AM127" i="5" s="1"/>
  <c r="V30" i="4"/>
  <c r="W125" i="5" s="1"/>
  <c r="V32" i="4"/>
  <c r="W127" i="5" s="1"/>
  <c r="V26" i="4"/>
  <c r="W121" i="5" s="1"/>
  <c r="V21" i="4"/>
  <c r="W116" i="5" s="1"/>
  <c r="V33" i="4"/>
  <c r="W128" i="5" s="1"/>
  <c r="V25" i="4"/>
  <c r="W120" i="5" s="1"/>
  <c r="V28" i="4"/>
  <c r="W123" i="5" s="1"/>
  <c r="V31" i="4"/>
  <c r="W126" i="5" s="1"/>
  <c r="V37" i="4"/>
  <c r="W132" i="5" s="1"/>
  <c r="V27" i="4"/>
  <c r="W122" i="5" s="1"/>
  <c r="V34" i="4"/>
  <c r="W129" i="5" s="1"/>
  <c r="V35" i="4"/>
  <c r="W130" i="5" s="1"/>
  <c r="V36" i="4"/>
  <c r="W131" i="5" s="1"/>
  <c r="V19" i="4"/>
  <c r="V24" i="4"/>
  <c r="W119" i="5" s="1"/>
  <c r="V23" i="4"/>
  <c r="W118" i="5" s="1"/>
  <c r="V20" i="4"/>
  <c r="W115" i="5" s="1"/>
  <c r="V29" i="4"/>
  <c r="W124" i="5" s="1"/>
  <c r="V22" i="4"/>
  <c r="W117" i="5" s="1"/>
  <c r="DC34" i="4"/>
  <c r="DD129" i="5" s="1"/>
  <c r="DC25" i="4"/>
  <c r="DD120" i="5" s="1"/>
  <c r="DC22" i="4"/>
  <c r="DD117" i="5" s="1"/>
  <c r="DC26" i="4"/>
  <c r="DD121" i="5" s="1"/>
  <c r="DC36" i="4"/>
  <c r="DD131" i="5" s="1"/>
  <c r="DC24" i="4"/>
  <c r="DD119" i="5" s="1"/>
  <c r="DC35" i="4"/>
  <c r="DD130" i="5" s="1"/>
  <c r="DC30" i="4"/>
  <c r="DD125" i="5" s="1"/>
  <c r="DC19" i="4"/>
  <c r="DC32" i="4"/>
  <c r="DD127" i="5" s="1"/>
  <c r="DC31" i="4"/>
  <c r="DD126" i="5" s="1"/>
  <c r="DC23" i="4"/>
  <c r="DD118" i="5" s="1"/>
  <c r="DC27" i="4"/>
  <c r="DD122" i="5" s="1"/>
  <c r="DC28" i="4"/>
  <c r="DD123" i="5" s="1"/>
  <c r="DC20" i="4"/>
  <c r="DD115" i="5" s="1"/>
  <c r="DC37" i="4"/>
  <c r="DD132" i="5" s="1"/>
  <c r="DC21" i="4"/>
  <c r="DD116" i="5" s="1"/>
  <c r="DC29" i="4"/>
  <c r="DD124" i="5" s="1"/>
  <c r="DC33" i="4"/>
  <c r="DD128" i="5" s="1"/>
  <c r="DK24" i="4"/>
  <c r="DL119" i="5" s="1"/>
  <c r="DK37" i="4"/>
  <c r="DL132" i="5" s="1"/>
  <c r="DK36" i="4"/>
  <c r="DL131" i="5" s="1"/>
  <c r="DK29" i="4"/>
  <c r="DL124" i="5" s="1"/>
  <c r="DK20" i="4"/>
  <c r="DL115" i="5" s="1"/>
  <c r="DK34" i="4"/>
  <c r="DL129" i="5" s="1"/>
  <c r="DK21" i="4"/>
  <c r="DL116" i="5" s="1"/>
  <c r="DK25" i="4"/>
  <c r="DL120" i="5" s="1"/>
  <c r="DK35" i="4"/>
  <c r="DL130" i="5" s="1"/>
  <c r="DK32" i="4"/>
  <c r="DL127" i="5" s="1"/>
  <c r="DK28" i="4"/>
  <c r="DL123" i="5" s="1"/>
  <c r="DK33" i="4"/>
  <c r="DL128" i="5" s="1"/>
  <c r="DK31" i="4"/>
  <c r="DL126" i="5" s="1"/>
  <c r="DK27" i="4"/>
  <c r="DL122" i="5" s="1"/>
  <c r="DK26" i="4"/>
  <c r="DL121" i="5" s="1"/>
  <c r="DK22" i="4"/>
  <c r="DL117" i="5" s="1"/>
  <c r="DK19" i="4"/>
  <c r="DK30" i="4"/>
  <c r="DL125" i="5" s="1"/>
  <c r="DK23" i="4"/>
  <c r="DL118" i="5" s="1"/>
  <c r="DB34" i="4"/>
  <c r="DC129" i="5" s="1"/>
  <c r="DB35" i="4"/>
  <c r="DC130" i="5" s="1"/>
  <c r="DB37" i="4"/>
  <c r="DC132" i="5" s="1"/>
  <c r="DB30" i="4"/>
  <c r="DC125" i="5" s="1"/>
  <c r="DB31" i="4"/>
  <c r="DC126" i="5" s="1"/>
  <c r="DB33" i="4"/>
  <c r="DC128" i="5" s="1"/>
  <c r="DB19" i="4"/>
  <c r="DB36" i="4"/>
  <c r="DC131" i="5" s="1"/>
  <c r="DB29" i="4"/>
  <c r="DC124" i="5" s="1"/>
  <c r="DB27" i="4"/>
  <c r="DC122" i="5" s="1"/>
  <c r="DB22" i="4"/>
  <c r="DC117" i="5" s="1"/>
  <c r="DB23" i="4"/>
  <c r="DC118" i="5" s="1"/>
  <c r="DB20" i="4"/>
  <c r="DC115" i="5" s="1"/>
  <c r="DB32" i="4"/>
  <c r="DC127" i="5" s="1"/>
  <c r="DB25" i="4"/>
  <c r="DC120" i="5" s="1"/>
  <c r="DB28" i="4"/>
  <c r="DC123" i="5" s="1"/>
  <c r="DB24" i="4"/>
  <c r="DC119" i="5" s="1"/>
  <c r="DB21" i="4"/>
  <c r="DC116" i="5" s="1"/>
  <c r="DB26" i="4"/>
  <c r="DC121" i="5" s="1"/>
  <c r="CD36" i="4"/>
  <c r="CE131" i="5" s="1"/>
  <c r="CD20" i="4"/>
  <c r="CE115" i="5" s="1"/>
  <c r="CD32" i="4"/>
  <c r="CE127" i="5" s="1"/>
  <c r="CD29" i="4"/>
  <c r="CE124" i="5" s="1"/>
  <c r="CD26" i="4"/>
  <c r="CE121" i="5" s="1"/>
  <c r="CD22" i="4"/>
  <c r="CE117" i="5" s="1"/>
  <c r="CD34" i="4"/>
  <c r="CE129" i="5" s="1"/>
  <c r="CD30" i="4"/>
  <c r="CE125" i="5" s="1"/>
  <c r="CD24" i="4"/>
  <c r="CE119" i="5" s="1"/>
  <c r="CD28" i="4"/>
  <c r="CE123" i="5" s="1"/>
  <c r="CD21" i="4"/>
  <c r="CE116" i="5" s="1"/>
  <c r="CD19" i="4"/>
  <c r="CD27" i="4"/>
  <c r="CE122" i="5" s="1"/>
  <c r="CD31" i="4"/>
  <c r="CE126" i="5" s="1"/>
  <c r="CD25" i="4"/>
  <c r="CE120" i="5" s="1"/>
  <c r="CD35" i="4"/>
  <c r="CE130" i="5" s="1"/>
  <c r="CD37" i="4"/>
  <c r="CE132" i="5" s="1"/>
  <c r="CD23" i="4"/>
  <c r="CE118" i="5" s="1"/>
  <c r="CD33" i="4"/>
  <c r="CE128" i="5" s="1"/>
  <c r="BZ33" i="4"/>
  <c r="CA128" i="5" s="1"/>
  <c r="BZ20" i="4"/>
  <c r="CA115" i="5" s="1"/>
  <c r="BZ32" i="4"/>
  <c r="CA127" i="5" s="1"/>
  <c r="BZ28" i="4"/>
  <c r="CA123" i="5" s="1"/>
  <c r="BZ36" i="4"/>
  <c r="CA131" i="5" s="1"/>
  <c r="BZ19" i="4"/>
  <c r="BZ26" i="4"/>
  <c r="CA121" i="5" s="1"/>
  <c r="BZ21" i="4"/>
  <c r="CA116" i="5" s="1"/>
  <c r="BZ25" i="4"/>
  <c r="CA120" i="5" s="1"/>
  <c r="BZ37" i="4"/>
  <c r="CA132" i="5" s="1"/>
  <c r="BZ22" i="4"/>
  <c r="CA117" i="5" s="1"/>
  <c r="BZ31" i="4"/>
  <c r="CA126" i="5" s="1"/>
  <c r="BZ35" i="4"/>
  <c r="CA130" i="5" s="1"/>
  <c r="BZ27" i="4"/>
  <c r="CA122" i="5" s="1"/>
  <c r="BZ23" i="4"/>
  <c r="CA118" i="5" s="1"/>
  <c r="BZ34" i="4"/>
  <c r="CA129" i="5" s="1"/>
  <c r="BZ24" i="4"/>
  <c r="CA119" i="5" s="1"/>
  <c r="BZ29" i="4"/>
  <c r="CA124" i="5" s="1"/>
  <c r="BZ30" i="4"/>
  <c r="CA125" i="5" s="1"/>
  <c r="BV34" i="4"/>
  <c r="BW129" i="5" s="1"/>
  <c r="BV22" i="4"/>
  <c r="BW117" i="5" s="1"/>
  <c r="BV20" i="4"/>
  <c r="BW115" i="5" s="1"/>
  <c r="BV35" i="4"/>
  <c r="BW130" i="5" s="1"/>
  <c r="BV27" i="4"/>
  <c r="BW122" i="5" s="1"/>
  <c r="BV26" i="4"/>
  <c r="BW121" i="5" s="1"/>
  <c r="BV24" i="4"/>
  <c r="BW119" i="5" s="1"/>
  <c r="BV28" i="4"/>
  <c r="BW123" i="5" s="1"/>
  <c r="BV19" i="4"/>
  <c r="BV23" i="4"/>
  <c r="BW118" i="5" s="1"/>
  <c r="BV29" i="4"/>
  <c r="BW124" i="5" s="1"/>
  <c r="BV36" i="4"/>
  <c r="BW131" i="5" s="1"/>
  <c r="BV30" i="4"/>
  <c r="BW125" i="5" s="1"/>
  <c r="BV25" i="4"/>
  <c r="BW120" i="5" s="1"/>
  <c r="BV33" i="4"/>
  <c r="BW128" i="5" s="1"/>
  <c r="BV37" i="4"/>
  <c r="BW132" i="5" s="1"/>
  <c r="BV31" i="4"/>
  <c r="BW126" i="5" s="1"/>
  <c r="BV32" i="4"/>
  <c r="BW127" i="5" s="1"/>
  <c r="BV21" i="4"/>
  <c r="BW116" i="5" s="1"/>
  <c r="BR34" i="4"/>
  <c r="BS129" i="5" s="1"/>
  <c r="BR22" i="4"/>
  <c r="BS117" i="5" s="1"/>
  <c r="BR24" i="4"/>
  <c r="BS119" i="5" s="1"/>
  <c r="BR37" i="4"/>
  <c r="BS132" i="5" s="1"/>
  <c r="BR19" i="4"/>
  <c r="BR30" i="4"/>
  <c r="BS125" i="5" s="1"/>
  <c r="BR36" i="4"/>
  <c r="BS131" i="5" s="1"/>
  <c r="BR26" i="4"/>
  <c r="BS121" i="5" s="1"/>
  <c r="BR35" i="4"/>
  <c r="BS130" i="5" s="1"/>
  <c r="BR31" i="4"/>
  <c r="BS126" i="5" s="1"/>
  <c r="BR29" i="4"/>
  <c r="BS124" i="5" s="1"/>
  <c r="BR32" i="4"/>
  <c r="BS127" i="5" s="1"/>
  <c r="BR33" i="4"/>
  <c r="BS128" i="5" s="1"/>
  <c r="BR20" i="4"/>
  <c r="BS115" i="5" s="1"/>
  <c r="BR25" i="4"/>
  <c r="BS120" i="5" s="1"/>
  <c r="BR27" i="4"/>
  <c r="BS122" i="5" s="1"/>
  <c r="BR23" i="4"/>
  <c r="BS118" i="5" s="1"/>
  <c r="BR21" i="4"/>
  <c r="BS116" i="5" s="1"/>
  <c r="BR28" i="4"/>
  <c r="BS123" i="5" s="1"/>
  <c r="BJ36" i="4"/>
  <c r="BK131" i="5" s="1"/>
  <c r="BJ35" i="4"/>
  <c r="BK130" i="5" s="1"/>
  <c r="BJ30" i="4"/>
  <c r="BK125" i="5" s="1"/>
  <c r="BJ37" i="4"/>
  <c r="BK132" i="5" s="1"/>
  <c r="BJ31" i="4"/>
  <c r="BK126" i="5" s="1"/>
  <c r="BJ28" i="4"/>
  <c r="BK123" i="5" s="1"/>
  <c r="BJ20" i="4"/>
  <c r="BK115" i="5" s="1"/>
  <c r="BJ23" i="4"/>
  <c r="BK118" i="5" s="1"/>
  <c r="BJ32" i="4"/>
  <c r="BK127" i="5" s="1"/>
  <c r="BJ21" i="4"/>
  <c r="BK116" i="5" s="1"/>
  <c r="BJ24" i="4"/>
  <c r="BK119" i="5" s="1"/>
  <c r="BJ27" i="4"/>
  <c r="BK122" i="5" s="1"/>
  <c r="BJ33" i="4"/>
  <c r="BK128" i="5" s="1"/>
  <c r="BJ26" i="4"/>
  <c r="BK121" i="5" s="1"/>
  <c r="BJ19" i="4"/>
  <c r="BJ25" i="4"/>
  <c r="BK120" i="5" s="1"/>
  <c r="BJ29" i="4"/>
  <c r="BK124" i="5" s="1"/>
  <c r="BJ34" i="4"/>
  <c r="BK129" i="5" s="1"/>
  <c r="BJ22" i="4"/>
  <c r="BK117" i="5" s="1"/>
  <c r="BF34" i="4"/>
  <c r="BG129" i="5" s="1"/>
  <c r="BF33" i="4"/>
  <c r="BG128" i="5" s="1"/>
  <c r="BF27" i="4"/>
  <c r="BG122" i="5" s="1"/>
  <c r="BF22" i="4"/>
  <c r="BG117" i="5" s="1"/>
  <c r="BF31" i="4"/>
  <c r="BG126" i="5" s="1"/>
  <c r="BF28" i="4"/>
  <c r="BG123" i="5" s="1"/>
  <c r="BF24" i="4"/>
  <c r="BG119" i="5" s="1"/>
  <c r="BF36" i="4"/>
  <c r="BG131" i="5" s="1"/>
  <c r="BF21" i="4"/>
  <c r="BG116" i="5" s="1"/>
  <c r="BF26" i="4"/>
  <c r="BG121" i="5" s="1"/>
  <c r="BF35" i="4"/>
  <c r="BG130" i="5" s="1"/>
  <c r="BF23" i="4"/>
  <c r="BG118" i="5" s="1"/>
  <c r="BF25" i="4"/>
  <c r="BG120" i="5" s="1"/>
  <c r="BF29" i="4"/>
  <c r="BG124" i="5" s="1"/>
  <c r="BF20" i="4"/>
  <c r="BG115" i="5" s="1"/>
  <c r="BF32" i="4"/>
  <c r="BG127" i="5" s="1"/>
  <c r="BF37" i="4"/>
  <c r="BG132" i="5" s="1"/>
  <c r="BF19" i="4"/>
  <c r="BF30" i="4"/>
  <c r="BG125" i="5" s="1"/>
  <c r="BB31" i="4"/>
  <c r="BC126" i="5" s="1"/>
  <c r="BB23" i="4"/>
  <c r="BC118" i="5" s="1"/>
  <c r="BB27" i="4"/>
  <c r="BC122" i="5" s="1"/>
  <c r="BB24" i="4"/>
  <c r="BC119" i="5" s="1"/>
  <c r="BB36" i="4"/>
  <c r="BC131" i="5" s="1"/>
  <c r="BB26" i="4"/>
  <c r="BC121" i="5" s="1"/>
  <c r="BB37" i="4"/>
  <c r="BC132" i="5" s="1"/>
  <c r="BB34" i="4"/>
  <c r="BC129" i="5" s="1"/>
  <c r="BB33" i="4"/>
  <c r="BC128" i="5" s="1"/>
  <c r="BB28" i="4"/>
  <c r="BC123" i="5" s="1"/>
  <c r="BB21" i="4"/>
  <c r="BC116" i="5" s="1"/>
  <c r="BB19" i="4"/>
  <c r="BB22" i="4"/>
  <c r="BC117" i="5" s="1"/>
  <c r="BB25" i="4"/>
  <c r="BC120" i="5" s="1"/>
  <c r="BB29" i="4"/>
  <c r="BC124" i="5" s="1"/>
  <c r="BB20" i="4"/>
  <c r="BC115" i="5" s="1"/>
  <c r="BB35" i="4"/>
  <c r="BC130" i="5" s="1"/>
  <c r="BB30" i="4"/>
  <c r="BC125" i="5" s="1"/>
  <c r="BB32" i="4"/>
  <c r="BC127" i="5" s="1"/>
  <c r="AX34" i="4"/>
  <c r="AY129" i="5" s="1"/>
  <c r="AX23" i="4"/>
  <c r="AY118" i="5" s="1"/>
  <c r="AX22" i="4"/>
  <c r="AY117" i="5" s="1"/>
  <c r="AX27" i="4"/>
  <c r="AY122" i="5" s="1"/>
  <c r="AX28" i="4"/>
  <c r="AY123" i="5" s="1"/>
  <c r="AX33" i="4"/>
  <c r="AY128" i="5" s="1"/>
  <c r="AX21" i="4"/>
  <c r="AY116" i="5" s="1"/>
  <c r="AX32" i="4"/>
  <c r="AY127" i="5" s="1"/>
  <c r="AX36" i="4"/>
  <c r="AY131" i="5" s="1"/>
  <c r="AX24" i="4"/>
  <c r="AY119" i="5" s="1"/>
  <c r="AX25" i="4"/>
  <c r="AY120" i="5" s="1"/>
  <c r="AX26" i="4"/>
  <c r="AY121" i="5" s="1"/>
  <c r="AX29" i="4"/>
  <c r="AY124" i="5" s="1"/>
  <c r="AX20" i="4"/>
  <c r="AY115" i="5" s="1"/>
  <c r="AX37" i="4"/>
  <c r="AY132" i="5" s="1"/>
  <c r="AX31" i="4"/>
  <c r="AY126" i="5" s="1"/>
  <c r="AX30" i="4"/>
  <c r="AY125" i="5" s="1"/>
  <c r="AX35" i="4"/>
  <c r="AY130" i="5" s="1"/>
  <c r="AX19" i="4"/>
  <c r="AT27" i="4"/>
  <c r="AU122" i="5" s="1"/>
  <c r="AT23" i="4"/>
  <c r="AU118" i="5" s="1"/>
  <c r="AT37" i="4"/>
  <c r="AU132" i="5" s="1"/>
  <c r="AT32" i="4"/>
  <c r="AU127" i="5" s="1"/>
  <c r="AT30" i="4"/>
  <c r="AU125" i="5" s="1"/>
  <c r="AT33" i="4"/>
  <c r="AU128" i="5" s="1"/>
  <c r="AT19" i="4"/>
  <c r="AT35" i="4"/>
  <c r="AU130" i="5" s="1"/>
  <c r="AT36" i="4"/>
  <c r="AU131" i="5" s="1"/>
  <c r="AT21" i="4"/>
  <c r="AU116" i="5" s="1"/>
  <c r="AT22" i="4"/>
  <c r="AU117" i="5" s="1"/>
  <c r="AT34" i="4"/>
  <c r="AU129" i="5" s="1"/>
  <c r="AT20" i="4"/>
  <c r="AU115" i="5" s="1"/>
  <c r="AT26" i="4"/>
  <c r="AU121" i="5" s="1"/>
  <c r="AT24" i="4"/>
  <c r="AU119" i="5" s="1"/>
  <c r="AT31" i="4"/>
  <c r="AU126" i="5" s="1"/>
  <c r="AT28" i="4"/>
  <c r="AU123" i="5" s="1"/>
  <c r="AT25" i="4"/>
  <c r="AU120" i="5" s="1"/>
  <c r="AT29" i="4"/>
  <c r="AU124" i="5" s="1"/>
  <c r="AP33" i="4"/>
  <c r="AQ128" i="5" s="1"/>
  <c r="AP20" i="4"/>
  <c r="AQ115" i="5" s="1"/>
  <c r="AP24" i="4"/>
  <c r="AQ119" i="5" s="1"/>
  <c r="AP32" i="4"/>
  <c r="AQ127" i="5" s="1"/>
  <c r="AP19" i="4"/>
  <c r="AP37" i="4"/>
  <c r="AQ132" i="5" s="1"/>
  <c r="AP27" i="4"/>
  <c r="AQ122" i="5" s="1"/>
  <c r="AP21" i="4"/>
  <c r="AQ116" i="5" s="1"/>
  <c r="AP23" i="4"/>
  <c r="AQ118" i="5" s="1"/>
  <c r="AP25" i="4"/>
  <c r="AQ120" i="5" s="1"/>
  <c r="AP31" i="4"/>
  <c r="AQ126" i="5" s="1"/>
  <c r="AP26" i="4"/>
  <c r="AQ121" i="5" s="1"/>
  <c r="AP29" i="4"/>
  <c r="AQ124" i="5" s="1"/>
  <c r="AP34" i="4"/>
  <c r="AQ129" i="5" s="1"/>
  <c r="AP22" i="4"/>
  <c r="AQ117" i="5" s="1"/>
  <c r="AP28" i="4"/>
  <c r="AQ123" i="5" s="1"/>
  <c r="AP36" i="4"/>
  <c r="AQ131" i="5" s="1"/>
  <c r="AP30" i="4"/>
  <c r="AQ125" i="5" s="1"/>
  <c r="AP35" i="4"/>
  <c r="AQ130" i="5" s="1"/>
  <c r="AH29" i="4"/>
  <c r="AI124" i="5" s="1"/>
  <c r="AH21" i="4"/>
  <c r="AI116" i="5" s="1"/>
  <c r="AH28" i="4"/>
  <c r="AI123" i="5" s="1"/>
  <c r="AH22" i="4"/>
  <c r="AI117" i="5" s="1"/>
  <c r="AH19" i="4"/>
  <c r="AH36" i="4"/>
  <c r="AI131" i="5" s="1"/>
  <c r="AH24" i="4"/>
  <c r="AI119" i="5" s="1"/>
  <c r="AH37" i="4"/>
  <c r="AI132" i="5" s="1"/>
  <c r="AH20" i="4"/>
  <c r="AI115" i="5" s="1"/>
  <c r="AH25" i="4"/>
  <c r="AI120" i="5" s="1"/>
  <c r="AH26" i="4"/>
  <c r="AI121" i="5" s="1"/>
  <c r="AH23" i="4"/>
  <c r="AI118" i="5" s="1"/>
  <c r="AH32" i="4"/>
  <c r="AI127" i="5" s="1"/>
  <c r="AH27" i="4"/>
  <c r="AI122" i="5" s="1"/>
  <c r="AH34" i="4"/>
  <c r="AI129" i="5" s="1"/>
  <c r="AH33" i="4"/>
  <c r="AI128" i="5" s="1"/>
  <c r="AH35" i="4"/>
  <c r="AI130" i="5" s="1"/>
  <c r="AH31" i="4"/>
  <c r="AI126" i="5" s="1"/>
  <c r="AH30" i="4"/>
  <c r="AI125" i="5" s="1"/>
  <c r="AD33" i="4"/>
  <c r="AE128" i="5" s="1"/>
  <c r="AD32" i="4"/>
  <c r="AE127" i="5" s="1"/>
  <c r="AD36" i="4"/>
  <c r="AE131" i="5" s="1"/>
  <c r="AD37" i="4"/>
  <c r="AE132" i="5" s="1"/>
  <c r="AD29" i="4"/>
  <c r="AE124" i="5" s="1"/>
  <c r="AD19" i="4"/>
  <c r="AD27" i="4"/>
  <c r="AE122" i="5" s="1"/>
  <c r="AD20" i="4"/>
  <c r="AE115" i="5" s="1"/>
  <c r="AD35" i="4"/>
  <c r="AE130" i="5" s="1"/>
  <c r="AD21" i="4"/>
  <c r="AE116" i="5" s="1"/>
  <c r="AD23" i="4"/>
  <c r="AE118" i="5" s="1"/>
  <c r="AD26" i="4"/>
  <c r="AE121" i="5" s="1"/>
  <c r="AD24" i="4"/>
  <c r="AE119" i="5" s="1"/>
  <c r="AD31" i="4"/>
  <c r="AE126" i="5" s="1"/>
  <c r="AD22" i="4"/>
  <c r="AE117" i="5" s="1"/>
  <c r="AD34" i="4"/>
  <c r="AE129" i="5" s="1"/>
  <c r="AD25" i="4"/>
  <c r="AE120" i="5" s="1"/>
  <c r="AD30" i="4"/>
  <c r="AE125" i="5" s="1"/>
  <c r="AD28" i="4"/>
  <c r="AE123" i="5" s="1"/>
  <c r="Z31" i="4"/>
  <c r="AA126" i="5" s="1"/>
  <c r="Z19" i="4"/>
  <c r="Z36" i="4"/>
  <c r="AA131" i="5" s="1"/>
  <c r="Z27" i="4"/>
  <c r="AA122" i="5" s="1"/>
  <c r="Z30" i="4"/>
  <c r="AA125" i="5" s="1"/>
  <c r="Z24" i="4"/>
  <c r="AA119" i="5" s="1"/>
  <c r="Z35" i="4"/>
  <c r="AA130" i="5" s="1"/>
  <c r="Z22" i="4"/>
  <c r="AA117" i="5" s="1"/>
  <c r="Z29" i="4"/>
  <c r="AA124" i="5" s="1"/>
  <c r="Z25" i="4"/>
  <c r="AA120" i="5" s="1"/>
  <c r="Z23" i="4"/>
  <c r="AA118" i="5" s="1"/>
  <c r="Z28" i="4"/>
  <c r="AA123" i="5" s="1"/>
  <c r="Z21" i="4"/>
  <c r="AA116" i="5" s="1"/>
  <c r="Z37" i="4"/>
  <c r="AA132" i="5" s="1"/>
  <c r="Z33" i="4"/>
  <c r="AA128" i="5" s="1"/>
  <c r="Z32" i="4"/>
  <c r="AA127" i="5" s="1"/>
  <c r="Z20" i="4"/>
  <c r="AA115" i="5" s="1"/>
  <c r="Z34" i="4"/>
  <c r="AA129" i="5" s="1"/>
  <c r="Z26" i="4"/>
  <c r="AA121" i="5" s="1"/>
  <c r="R31" i="4"/>
  <c r="S126" i="5" s="1"/>
  <c r="R23" i="4"/>
  <c r="S118" i="5" s="1"/>
  <c r="R26" i="4"/>
  <c r="S121" i="5" s="1"/>
  <c r="R29" i="4"/>
  <c r="S124" i="5" s="1"/>
  <c r="R36" i="4"/>
  <c r="S131" i="5" s="1"/>
  <c r="R34" i="4"/>
  <c r="S129" i="5" s="1"/>
  <c r="R35" i="4"/>
  <c r="S130" i="5" s="1"/>
  <c r="R37" i="4"/>
  <c r="S132" i="5" s="1"/>
  <c r="R12" i="4"/>
  <c r="R13" i="4" s="1"/>
  <c r="R30" i="4"/>
  <c r="S125" i="5" s="1"/>
  <c r="R22" i="4"/>
  <c r="S117" i="5" s="1"/>
  <c r="S114" i="5"/>
  <c r="R28" i="4"/>
  <c r="S123" i="5" s="1"/>
  <c r="R33" i="4"/>
  <c r="S128" i="5" s="1"/>
  <c r="R27" i="4"/>
  <c r="S122" i="5" s="1"/>
  <c r="R24" i="4"/>
  <c r="S119" i="5" s="1"/>
  <c r="R20" i="4"/>
  <c r="S115" i="5" s="1"/>
  <c r="R32" i="4"/>
  <c r="S127" i="5" s="1"/>
  <c r="R21" i="4"/>
  <c r="S116" i="5" s="1"/>
  <c r="R25" i="4"/>
  <c r="S120" i="5" s="1"/>
  <c r="S12" i="4"/>
  <c r="S13" i="4" s="1"/>
  <c r="T12" i="4"/>
  <c r="T13" i="4" s="1"/>
  <c r="U12" i="4"/>
  <c r="U13" i="4" s="1"/>
  <c r="V12" i="4"/>
  <c r="V13" i="4" s="1"/>
  <c r="W12" i="4"/>
  <c r="W13" i="4" s="1"/>
  <c r="X12" i="4"/>
  <c r="X13" i="4" s="1"/>
  <c r="Y12" i="4"/>
  <c r="Y13" i="4" s="1"/>
  <c r="Z12" i="4"/>
  <c r="Z13" i="4" s="1"/>
  <c r="AA12" i="4"/>
  <c r="AA13" i="4" s="1"/>
  <c r="AB12" i="4"/>
  <c r="AB13" i="4" s="1"/>
  <c r="AC12" i="4"/>
  <c r="AC13" i="4" s="1"/>
  <c r="AD12" i="4"/>
  <c r="AD13" i="4" s="1"/>
  <c r="AE12" i="4"/>
  <c r="AE13" i="4" s="1"/>
  <c r="AF12" i="4"/>
  <c r="AF13" i="4" s="1"/>
  <c r="AG12" i="4"/>
  <c r="AG13" i="4" s="1"/>
  <c r="AH12" i="4"/>
  <c r="AH13" i="4" s="1"/>
  <c r="AI12" i="4"/>
  <c r="AI13" i="4" s="1"/>
  <c r="AJ12" i="4"/>
  <c r="AJ13" i="4" s="1"/>
  <c r="AK12" i="4"/>
  <c r="AK13" i="4" s="1"/>
  <c r="AL12" i="4"/>
  <c r="AL13" i="4" s="1"/>
  <c r="AM12" i="4"/>
  <c r="AM13" i="4" s="1"/>
  <c r="AN12" i="4"/>
  <c r="AN13" i="4" s="1"/>
  <c r="AO12" i="4"/>
  <c r="AO13" i="4" s="1"/>
  <c r="AP12" i="4"/>
  <c r="AP13" i="4" s="1"/>
  <c r="AQ12" i="4"/>
  <c r="AQ13" i="4" s="1"/>
  <c r="AR12" i="4"/>
  <c r="AR13" i="4" s="1"/>
  <c r="AS12" i="4"/>
  <c r="AS13" i="4" s="1"/>
  <c r="AT12" i="4"/>
  <c r="AT13" i="4" s="1"/>
  <c r="AU12" i="4"/>
  <c r="AU13" i="4" s="1"/>
  <c r="AV12" i="4"/>
  <c r="AV13" i="4" s="1"/>
  <c r="AW12" i="4"/>
  <c r="AW13" i="4" s="1"/>
  <c r="AX12" i="4"/>
  <c r="AX13" i="4" s="1"/>
  <c r="AY12" i="4"/>
  <c r="AY13" i="4" s="1"/>
  <c r="AZ12" i="4"/>
  <c r="AZ13" i="4" s="1"/>
  <c r="BA12" i="4"/>
  <c r="BA13" i="4" s="1"/>
  <c r="BB12" i="4"/>
  <c r="BB13" i="4" s="1"/>
  <c r="BC12" i="4"/>
  <c r="BC13" i="4" s="1"/>
  <c r="BD12" i="4"/>
  <c r="BD13" i="4" s="1"/>
  <c r="BE12" i="4"/>
  <c r="BE13" i="4" s="1"/>
  <c r="BF12" i="4"/>
  <c r="BF13" i="4" s="1"/>
  <c r="BG12" i="4"/>
  <c r="BG13" i="4" s="1"/>
  <c r="BH12" i="4"/>
  <c r="BH13" i="4" s="1"/>
  <c r="BI12" i="4"/>
  <c r="BI13" i="4" s="1"/>
  <c r="BJ12" i="4"/>
  <c r="BJ13" i="4" s="1"/>
  <c r="BK12" i="4"/>
  <c r="BK13" i="4" s="1"/>
  <c r="BL12" i="4"/>
  <c r="BL13" i="4" s="1"/>
  <c r="BM12" i="4"/>
  <c r="BM13" i="4" s="1"/>
  <c r="BN12" i="4"/>
  <c r="BN13" i="4" s="1"/>
  <c r="BO12" i="4"/>
  <c r="BO13" i="4" s="1"/>
  <c r="BP12" i="4"/>
  <c r="BP13" i="4" s="1"/>
  <c r="BQ12" i="4"/>
  <c r="BQ13" i="4" s="1"/>
  <c r="BR12" i="4"/>
  <c r="BR13" i="4" s="1"/>
  <c r="BS12" i="4"/>
  <c r="BS13" i="4" s="1"/>
  <c r="BT12" i="4"/>
  <c r="BT13" i="4" s="1"/>
  <c r="BU12" i="4"/>
  <c r="BU13" i="4" s="1"/>
  <c r="BV12" i="4"/>
  <c r="BV13" i="4" s="1"/>
  <c r="BW12" i="4"/>
  <c r="BW13" i="4" s="1"/>
  <c r="BX12" i="4"/>
  <c r="BX13" i="4" s="1"/>
  <c r="BY12" i="4"/>
  <c r="BY13" i="4" s="1"/>
  <c r="BZ12" i="4"/>
  <c r="BZ13" i="4" s="1"/>
  <c r="CA12" i="4"/>
  <c r="CA13" i="4" s="1"/>
  <c r="CB12" i="4"/>
  <c r="CB13" i="4" s="1"/>
  <c r="CC12" i="4"/>
  <c r="CC13" i="4" s="1"/>
  <c r="CD12" i="4"/>
  <c r="CD13" i="4" s="1"/>
  <c r="CE12" i="4"/>
  <c r="CE13" i="4" s="1"/>
  <c r="CF12" i="4"/>
  <c r="CF13" i="4" s="1"/>
  <c r="CG12" i="4"/>
  <c r="CG13" i="4" s="1"/>
  <c r="CH12" i="4"/>
  <c r="CH13" i="4" s="1"/>
  <c r="CI12" i="4"/>
  <c r="CI13" i="4" s="1"/>
  <c r="CJ12" i="4"/>
  <c r="CJ13" i="4" s="1"/>
  <c r="CK12" i="4"/>
  <c r="CK13" i="4" s="1"/>
  <c r="CL12" i="4"/>
  <c r="CL13" i="4" s="1"/>
  <c r="CM12" i="4"/>
  <c r="CM13" i="4" s="1"/>
  <c r="CN12" i="4"/>
  <c r="CN13" i="4" s="1"/>
  <c r="CO12" i="4"/>
  <c r="CO13" i="4" s="1"/>
  <c r="CP12" i="4"/>
  <c r="CP13" i="4" s="1"/>
  <c r="CQ12" i="4"/>
  <c r="CQ13" i="4" s="1"/>
  <c r="CR12" i="4"/>
  <c r="CR13" i="4" s="1"/>
  <c r="CS12" i="4"/>
  <c r="CS13" i="4" s="1"/>
  <c r="CT12" i="4"/>
  <c r="CT13" i="4" s="1"/>
  <c r="CU12" i="4"/>
  <c r="CU13" i="4" s="1"/>
  <c r="CV12" i="4"/>
  <c r="CV13" i="4" s="1"/>
  <c r="CW12" i="4"/>
  <c r="CW13" i="4" s="1"/>
  <c r="CX12" i="4"/>
  <c r="CX13" i="4" s="1"/>
  <c r="CY12" i="4"/>
  <c r="CY13" i="4" s="1"/>
  <c r="CZ12" i="4"/>
  <c r="CZ13" i="4" s="1"/>
  <c r="DA12" i="4"/>
  <c r="DA13" i="4" s="1"/>
  <c r="DB12" i="4"/>
  <c r="DB13" i="4" s="1"/>
  <c r="DC12" i="4"/>
  <c r="DC13" i="4" s="1"/>
  <c r="DD12" i="4"/>
  <c r="DD13" i="4" s="1"/>
  <c r="DE12" i="4"/>
  <c r="DE13" i="4" s="1"/>
  <c r="DF12" i="4"/>
  <c r="DF13" i="4" s="1"/>
  <c r="DG12" i="4"/>
  <c r="DG13" i="4" s="1"/>
  <c r="DH12" i="4"/>
  <c r="DH13" i="4" s="1"/>
  <c r="DI12" i="4"/>
  <c r="DI13" i="4" s="1"/>
  <c r="DJ12" i="4"/>
  <c r="DJ13" i="4" s="1"/>
  <c r="DK12" i="4"/>
  <c r="DK13" i="4" s="1"/>
  <c r="DL12" i="4"/>
  <c r="DL13" i="4" s="1"/>
  <c r="CG33" i="4"/>
  <c r="CH128" i="5" s="1"/>
  <c r="CG32" i="4"/>
  <c r="CH127" i="5" s="1"/>
  <c r="CG30" i="4"/>
  <c r="CH125" i="5" s="1"/>
  <c r="CG27" i="4"/>
  <c r="CH122" i="5" s="1"/>
  <c r="CG29" i="4"/>
  <c r="CH124" i="5" s="1"/>
  <c r="CG26" i="4"/>
  <c r="CH121" i="5" s="1"/>
  <c r="CG37" i="4"/>
  <c r="CH132" i="5" s="1"/>
  <c r="CG34" i="4"/>
  <c r="CH129" i="5" s="1"/>
  <c r="CG21" i="4"/>
  <c r="CH116" i="5" s="1"/>
  <c r="CG19" i="4"/>
  <c r="CG36" i="4"/>
  <c r="CH131" i="5" s="1"/>
  <c r="CG28" i="4"/>
  <c r="CH123" i="5" s="1"/>
  <c r="CG20" i="4"/>
  <c r="CH115" i="5" s="1"/>
  <c r="CG35" i="4"/>
  <c r="CH130" i="5" s="1"/>
  <c r="CG25" i="4"/>
  <c r="CH120" i="5" s="1"/>
  <c r="CG22" i="4"/>
  <c r="CH117" i="5" s="1"/>
  <c r="CG24" i="4"/>
  <c r="CH119" i="5" s="1"/>
  <c r="CG23" i="4"/>
  <c r="CH118" i="5" s="1"/>
  <c r="CG31" i="4"/>
  <c r="CH126" i="5" s="1"/>
  <c r="CC31" i="4"/>
  <c r="CD126" i="5" s="1"/>
  <c r="CC27" i="4"/>
  <c r="CD122" i="5" s="1"/>
  <c r="CC34" i="4"/>
  <c r="CD129" i="5" s="1"/>
  <c r="CC37" i="4"/>
  <c r="CD132" i="5" s="1"/>
  <c r="CC22" i="4"/>
  <c r="CD117" i="5" s="1"/>
  <c r="CC26" i="4"/>
  <c r="CD121" i="5" s="1"/>
  <c r="CC33" i="4"/>
  <c r="CD128" i="5" s="1"/>
  <c r="CC21" i="4"/>
  <c r="CD116" i="5" s="1"/>
  <c r="CC32" i="4"/>
  <c r="CD127" i="5" s="1"/>
  <c r="CC24" i="4"/>
  <c r="CD119" i="5" s="1"/>
  <c r="CC28" i="4"/>
  <c r="CD123" i="5" s="1"/>
  <c r="CC25" i="4"/>
  <c r="CD120" i="5" s="1"/>
  <c r="CC35" i="4"/>
  <c r="CD130" i="5" s="1"/>
  <c r="CC29" i="4"/>
  <c r="CD124" i="5" s="1"/>
  <c r="CC20" i="4"/>
  <c r="CD115" i="5" s="1"/>
  <c r="CC30" i="4"/>
  <c r="CD125" i="5" s="1"/>
  <c r="CC19" i="4"/>
  <c r="CC36" i="4"/>
  <c r="CD131" i="5" s="1"/>
  <c r="CC23" i="4"/>
  <c r="CD118" i="5" s="1"/>
  <c r="BY24" i="4"/>
  <c r="BZ119" i="5" s="1"/>
  <c r="BY35" i="4"/>
  <c r="BZ130" i="5" s="1"/>
  <c r="BY33" i="4"/>
  <c r="BZ128" i="5" s="1"/>
  <c r="BY26" i="4"/>
  <c r="BZ121" i="5" s="1"/>
  <c r="BY29" i="4"/>
  <c r="BZ124" i="5" s="1"/>
  <c r="BY31" i="4"/>
  <c r="BZ126" i="5" s="1"/>
  <c r="BY34" i="4"/>
  <c r="BZ129" i="5" s="1"/>
  <c r="BY37" i="4"/>
  <c r="BZ132" i="5" s="1"/>
  <c r="BY36" i="4"/>
  <c r="BZ131" i="5" s="1"/>
  <c r="BY19" i="4"/>
  <c r="BY22" i="4"/>
  <c r="BZ117" i="5" s="1"/>
  <c r="BY27" i="4"/>
  <c r="BZ122" i="5" s="1"/>
  <c r="BY30" i="4"/>
  <c r="BZ125" i="5" s="1"/>
  <c r="BY23" i="4"/>
  <c r="BZ118" i="5" s="1"/>
  <c r="BY20" i="4"/>
  <c r="BZ115" i="5" s="1"/>
  <c r="BY25" i="4"/>
  <c r="BZ120" i="5" s="1"/>
  <c r="BY21" i="4"/>
  <c r="BZ116" i="5" s="1"/>
  <c r="BY32" i="4"/>
  <c r="BZ127" i="5" s="1"/>
  <c r="BY28" i="4"/>
  <c r="BZ123" i="5" s="1"/>
  <c r="BU32" i="4"/>
  <c r="BV127" i="5" s="1"/>
  <c r="BU26" i="4"/>
  <c r="BV121" i="5" s="1"/>
  <c r="BU27" i="4"/>
  <c r="BV122" i="5" s="1"/>
  <c r="BU22" i="4"/>
  <c r="BV117" i="5" s="1"/>
  <c r="BU21" i="4"/>
  <c r="BV116" i="5" s="1"/>
  <c r="BU20" i="4"/>
  <c r="BV115" i="5" s="1"/>
  <c r="BU33" i="4"/>
  <c r="BV128" i="5" s="1"/>
  <c r="BU19" i="4"/>
  <c r="BU29" i="4"/>
  <c r="BV124" i="5" s="1"/>
  <c r="BU24" i="4"/>
  <c r="BV119" i="5" s="1"/>
  <c r="BU23" i="4"/>
  <c r="BV118" i="5" s="1"/>
  <c r="BU37" i="4"/>
  <c r="BV132" i="5" s="1"/>
  <c r="BU28" i="4"/>
  <c r="BV123" i="5" s="1"/>
  <c r="BU30" i="4"/>
  <c r="BV125" i="5" s="1"/>
  <c r="BU34" i="4"/>
  <c r="BV129" i="5" s="1"/>
  <c r="BU35" i="4"/>
  <c r="BV130" i="5" s="1"/>
  <c r="BU36" i="4"/>
  <c r="BV131" i="5" s="1"/>
  <c r="BU25" i="4"/>
  <c r="BV120" i="5" s="1"/>
  <c r="BU31" i="4"/>
  <c r="BV126" i="5" s="1"/>
  <c r="BQ36" i="4"/>
  <c r="BR131" i="5" s="1"/>
  <c r="BQ28" i="4"/>
  <c r="BR123" i="5" s="1"/>
  <c r="BQ23" i="4"/>
  <c r="BR118" i="5" s="1"/>
  <c r="BQ32" i="4"/>
  <c r="BR127" i="5" s="1"/>
  <c r="BQ20" i="4"/>
  <c r="BR115" i="5" s="1"/>
  <c r="BQ33" i="4"/>
  <c r="BR128" i="5" s="1"/>
  <c r="BQ21" i="4"/>
  <c r="BR116" i="5" s="1"/>
  <c r="BQ26" i="4"/>
  <c r="BR121" i="5" s="1"/>
  <c r="BQ30" i="4"/>
  <c r="BR125" i="5" s="1"/>
  <c r="BQ34" i="4"/>
  <c r="BR129" i="5" s="1"/>
  <c r="BQ19" i="4"/>
  <c r="BQ31" i="4"/>
  <c r="BR126" i="5" s="1"/>
  <c r="BQ37" i="4"/>
  <c r="BR132" i="5" s="1"/>
  <c r="BQ35" i="4"/>
  <c r="BR130" i="5" s="1"/>
  <c r="BQ22" i="4"/>
  <c r="BR117" i="5" s="1"/>
  <c r="BQ27" i="4"/>
  <c r="BR122" i="5" s="1"/>
  <c r="BQ24" i="4"/>
  <c r="BR119" i="5" s="1"/>
  <c r="BQ25" i="4"/>
  <c r="BR120" i="5" s="1"/>
  <c r="BQ29" i="4"/>
  <c r="BR124" i="5" s="1"/>
  <c r="BA32" i="4"/>
  <c r="BB127" i="5" s="1"/>
  <c r="BA19" i="4"/>
  <c r="BA20" i="4"/>
  <c r="BB115" i="5" s="1"/>
  <c r="BA26" i="4"/>
  <c r="BB121" i="5" s="1"/>
  <c r="BA21" i="4"/>
  <c r="BB116" i="5" s="1"/>
  <c r="BA25" i="4"/>
  <c r="BB120" i="5" s="1"/>
  <c r="BA31" i="4"/>
  <c r="BB126" i="5" s="1"/>
  <c r="BA30" i="4"/>
  <c r="BB125" i="5" s="1"/>
  <c r="BA22" i="4"/>
  <c r="BB117" i="5" s="1"/>
  <c r="BA33" i="4"/>
  <c r="BB128" i="5" s="1"/>
  <c r="BA36" i="4"/>
  <c r="BB131" i="5" s="1"/>
  <c r="BA24" i="4"/>
  <c r="BB119" i="5" s="1"/>
  <c r="BA35" i="4"/>
  <c r="BB130" i="5" s="1"/>
  <c r="BA34" i="4"/>
  <c r="BB129" i="5" s="1"/>
  <c r="BA28" i="4"/>
  <c r="BB123" i="5" s="1"/>
  <c r="BA27" i="4"/>
  <c r="BB122" i="5" s="1"/>
  <c r="BA29" i="4"/>
  <c r="BB124" i="5" s="1"/>
  <c r="BA37" i="4"/>
  <c r="BB132" i="5" s="1"/>
  <c r="BA23" i="4"/>
  <c r="BB118" i="5" s="1"/>
  <c r="AO32" i="4"/>
  <c r="AP127" i="5" s="1"/>
  <c r="AO22" i="4"/>
  <c r="AP117" i="5" s="1"/>
  <c r="AO33" i="4"/>
  <c r="AP128" i="5" s="1"/>
  <c r="AO29" i="4"/>
  <c r="AP124" i="5" s="1"/>
  <c r="AO21" i="4"/>
  <c r="AP116" i="5" s="1"/>
  <c r="AO37" i="4"/>
  <c r="AP132" i="5" s="1"/>
  <c r="AO25" i="4"/>
  <c r="AP120" i="5" s="1"/>
  <c r="AO24" i="4"/>
  <c r="AP119" i="5" s="1"/>
  <c r="AO19" i="4"/>
  <c r="AO30" i="4"/>
  <c r="AP125" i="5" s="1"/>
  <c r="AO35" i="4"/>
  <c r="AP130" i="5" s="1"/>
  <c r="AO31" i="4"/>
  <c r="AP126" i="5" s="1"/>
  <c r="AO28" i="4"/>
  <c r="AP123" i="5" s="1"/>
  <c r="AO27" i="4"/>
  <c r="AP122" i="5" s="1"/>
  <c r="AO23" i="4"/>
  <c r="AP118" i="5" s="1"/>
  <c r="AO36" i="4"/>
  <c r="AP131" i="5" s="1"/>
  <c r="AO34" i="4"/>
  <c r="AP129" i="5" s="1"/>
  <c r="AO20" i="4"/>
  <c r="AP115" i="5" s="1"/>
  <c r="AO26" i="4"/>
  <c r="AP121" i="5" s="1"/>
  <c r="AG32" i="4"/>
  <c r="AH127" i="5" s="1"/>
  <c r="AG35" i="4"/>
  <c r="AH130" i="5" s="1"/>
  <c r="AG27" i="4"/>
  <c r="AH122" i="5" s="1"/>
  <c r="AG36" i="4"/>
  <c r="AH131" i="5" s="1"/>
  <c r="AG21" i="4"/>
  <c r="AH116" i="5" s="1"/>
  <c r="AG19" i="4"/>
  <c r="AG28" i="4"/>
  <c r="AH123" i="5" s="1"/>
  <c r="AG25" i="4"/>
  <c r="AH120" i="5" s="1"/>
  <c r="AG37" i="4"/>
  <c r="AH132" i="5" s="1"/>
  <c r="AG22" i="4"/>
  <c r="AH117" i="5" s="1"/>
  <c r="AG24" i="4"/>
  <c r="AH119" i="5" s="1"/>
  <c r="AG29" i="4"/>
  <c r="AH124" i="5" s="1"/>
  <c r="AG30" i="4"/>
  <c r="AH125" i="5" s="1"/>
  <c r="AG20" i="4"/>
  <c r="AH115" i="5" s="1"/>
  <c r="AG33" i="4"/>
  <c r="AH128" i="5" s="1"/>
  <c r="AG23" i="4"/>
  <c r="AH118" i="5" s="1"/>
  <c r="AG31" i="4"/>
  <c r="AH126" i="5" s="1"/>
  <c r="AG26" i="4"/>
  <c r="AH121" i="5" s="1"/>
  <c r="AG34" i="4"/>
  <c r="AH129" i="5" s="1"/>
  <c r="AC34" i="4"/>
  <c r="AD129" i="5" s="1"/>
  <c r="AC20" i="4"/>
  <c r="AD115" i="5" s="1"/>
  <c r="AC28" i="4"/>
  <c r="AD123" i="5" s="1"/>
  <c r="AC26" i="4"/>
  <c r="AD121" i="5" s="1"/>
  <c r="AC24" i="4"/>
  <c r="AD119" i="5" s="1"/>
  <c r="AC32" i="4"/>
  <c r="AD127" i="5" s="1"/>
  <c r="AC19" i="4"/>
  <c r="AC23" i="4"/>
  <c r="AD118" i="5" s="1"/>
  <c r="AC31" i="4"/>
  <c r="AD126" i="5" s="1"/>
  <c r="AC35" i="4"/>
  <c r="AD130" i="5" s="1"/>
  <c r="AC21" i="4"/>
  <c r="AD116" i="5" s="1"/>
  <c r="AC36" i="4"/>
  <c r="AD131" i="5" s="1"/>
  <c r="AC37" i="4"/>
  <c r="AD132" i="5" s="1"/>
  <c r="AC29" i="4"/>
  <c r="AD124" i="5" s="1"/>
  <c r="AC22" i="4"/>
  <c r="AD117" i="5" s="1"/>
  <c r="AC27" i="4"/>
  <c r="AD122" i="5" s="1"/>
  <c r="AC25" i="4"/>
  <c r="AD120" i="5" s="1"/>
  <c r="AC33" i="4"/>
  <c r="AD128" i="5" s="1"/>
  <c r="AC30" i="4"/>
  <c r="AD125" i="5" s="1"/>
  <c r="S12" i="5"/>
  <c r="S13" i="5" s="1"/>
  <c r="T12" i="5"/>
  <c r="T13" i="5" s="1"/>
  <c r="U12" i="5"/>
  <c r="U13" i="5" s="1"/>
  <c r="V12" i="5"/>
  <c r="V13" i="5" s="1"/>
  <c r="W12" i="5"/>
  <c r="W13" i="5" s="1"/>
  <c r="X12" i="5"/>
  <c r="X13" i="5" s="1"/>
  <c r="Y12" i="5"/>
  <c r="Y13" i="5" s="1"/>
  <c r="Z12" i="5"/>
  <c r="Z13" i="5" s="1"/>
  <c r="AA12" i="5"/>
  <c r="AA13" i="5" s="1"/>
  <c r="AB12" i="5"/>
  <c r="AB13" i="5" s="1"/>
  <c r="AC12" i="5"/>
  <c r="AC13" i="5" s="1"/>
  <c r="AD12" i="5"/>
  <c r="AD13" i="5" s="1"/>
  <c r="AE12" i="5"/>
  <c r="AE13" i="5" s="1"/>
  <c r="AF12" i="5"/>
  <c r="AF13" i="5" s="1"/>
  <c r="AG12" i="5"/>
  <c r="AG13" i="5" s="1"/>
  <c r="AH12" i="5"/>
  <c r="AH13" i="5" s="1"/>
  <c r="AI12" i="5"/>
  <c r="AI13" i="5" s="1"/>
  <c r="AJ12" i="5"/>
  <c r="AJ13" i="5" s="1"/>
  <c r="AK12" i="5"/>
  <c r="AK13" i="5" s="1"/>
  <c r="AL12" i="5"/>
  <c r="AL13" i="5" s="1"/>
  <c r="AM12" i="5"/>
  <c r="AM13" i="5" s="1"/>
  <c r="AN12" i="5"/>
  <c r="AN13" i="5" s="1"/>
  <c r="AO12" i="5"/>
  <c r="AO13" i="5" s="1"/>
  <c r="AP12" i="5"/>
  <c r="AP13" i="5" s="1"/>
  <c r="AQ12" i="5"/>
  <c r="AQ13" i="5" s="1"/>
  <c r="AR12" i="5"/>
  <c r="AR13" i="5" s="1"/>
  <c r="AS12" i="5"/>
  <c r="AS13" i="5" s="1"/>
  <c r="AT12" i="5"/>
  <c r="AT13" i="5" s="1"/>
  <c r="AU12" i="5"/>
  <c r="AU13" i="5" s="1"/>
  <c r="AV12" i="5"/>
  <c r="AV13" i="5" s="1"/>
  <c r="AW12" i="5"/>
  <c r="AW13" i="5" s="1"/>
  <c r="AX12" i="5"/>
  <c r="AX13" i="5" s="1"/>
  <c r="AY12" i="5"/>
  <c r="AY13" i="5" s="1"/>
  <c r="AZ12" i="5"/>
  <c r="AZ13" i="5" s="1"/>
  <c r="BA12" i="5"/>
  <c r="BA13" i="5" s="1"/>
  <c r="BB12" i="5"/>
  <c r="BB13" i="5" s="1"/>
  <c r="BC12" i="5"/>
  <c r="BC13" i="5" s="1"/>
  <c r="BD12" i="5"/>
  <c r="BD13" i="5" s="1"/>
  <c r="BE12" i="5"/>
  <c r="BE13" i="5" s="1"/>
  <c r="BF12" i="5"/>
  <c r="BF13" i="5" s="1"/>
  <c r="BG12" i="5"/>
  <c r="BG13" i="5" s="1"/>
  <c r="BH12" i="5"/>
  <c r="BH13" i="5" s="1"/>
  <c r="BI12" i="5"/>
  <c r="BI13" i="5" s="1"/>
  <c r="BJ12" i="5"/>
  <c r="BJ13" i="5" s="1"/>
  <c r="BK12" i="5"/>
  <c r="BK13" i="5" s="1"/>
  <c r="BL12" i="5"/>
  <c r="BL13" i="5" s="1"/>
  <c r="BM12" i="5"/>
  <c r="BM13" i="5" s="1"/>
  <c r="BN12" i="5"/>
  <c r="BN13" i="5" s="1"/>
  <c r="BO12" i="5"/>
  <c r="BO13" i="5" s="1"/>
  <c r="BP12" i="5"/>
  <c r="BP13" i="5" s="1"/>
  <c r="BQ12" i="5"/>
  <c r="BQ13" i="5" s="1"/>
  <c r="BR12" i="5"/>
  <c r="BR13" i="5" s="1"/>
  <c r="BS12" i="5"/>
  <c r="BS13" i="5" s="1"/>
  <c r="BT12" i="5"/>
  <c r="BT13" i="5" s="1"/>
  <c r="BU12" i="5"/>
  <c r="BU13" i="5" s="1"/>
  <c r="BV12" i="5"/>
  <c r="BV13" i="5" s="1"/>
  <c r="BW12" i="5"/>
  <c r="BW13" i="5" s="1"/>
  <c r="BX12" i="5"/>
  <c r="BX13" i="5" s="1"/>
  <c r="BY12" i="5"/>
  <c r="BY13" i="5" s="1"/>
  <c r="BZ12" i="5"/>
  <c r="BZ13" i="5" s="1"/>
  <c r="CA12" i="5"/>
  <c r="CA13" i="5" s="1"/>
  <c r="CB12" i="5"/>
  <c r="CB13" i="5" s="1"/>
  <c r="CC12" i="5"/>
  <c r="CC13" i="5" s="1"/>
  <c r="CD12" i="5"/>
  <c r="CD13" i="5" s="1"/>
  <c r="CE12" i="5"/>
  <c r="CE13" i="5" s="1"/>
  <c r="CF12" i="5"/>
  <c r="CF13" i="5" s="1"/>
  <c r="CG12" i="5"/>
  <c r="CG13" i="5" s="1"/>
  <c r="CH12" i="5"/>
  <c r="CH13" i="5" s="1"/>
  <c r="CI12" i="5"/>
  <c r="CI13" i="5" s="1"/>
  <c r="CJ12" i="5"/>
  <c r="CJ13" i="5" s="1"/>
  <c r="CK12" i="5"/>
  <c r="CK13" i="5" s="1"/>
  <c r="CL12" i="5"/>
  <c r="CL13" i="5" s="1"/>
  <c r="CM12" i="5"/>
  <c r="CM13" i="5" s="1"/>
  <c r="CN12" i="5"/>
  <c r="CN13" i="5" s="1"/>
  <c r="CO12" i="5"/>
  <c r="CO13" i="5" s="1"/>
  <c r="CP12" i="5"/>
  <c r="CP13" i="5" s="1"/>
  <c r="CQ12" i="5"/>
  <c r="CQ13" i="5" s="1"/>
  <c r="CR12" i="5"/>
  <c r="CR13" i="5" s="1"/>
  <c r="CS12" i="5"/>
  <c r="CS13" i="5" s="1"/>
  <c r="CT12" i="5"/>
  <c r="CT13" i="5" s="1"/>
  <c r="CU12" i="5"/>
  <c r="CU13" i="5" s="1"/>
  <c r="CV12" i="5"/>
  <c r="CV13" i="5" s="1"/>
  <c r="CW12" i="5"/>
  <c r="CW13" i="5" s="1"/>
  <c r="CX12" i="5"/>
  <c r="CX13" i="5" s="1"/>
  <c r="CY12" i="5"/>
  <c r="CY13" i="5" s="1"/>
  <c r="CZ12" i="5"/>
  <c r="CZ13" i="5" s="1"/>
  <c r="DA12" i="5"/>
  <c r="DA13" i="5" s="1"/>
  <c r="DB12" i="5"/>
  <c r="DB13" i="5" s="1"/>
  <c r="DC12" i="5"/>
  <c r="DC13" i="5" s="1"/>
  <c r="DD12" i="5"/>
  <c r="DD13" i="5" s="1"/>
  <c r="DE12" i="5"/>
  <c r="DE13" i="5" s="1"/>
  <c r="DF12" i="5"/>
  <c r="DF13" i="5" s="1"/>
  <c r="DG12" i="5"/>
  <c r="DG13" i="5" s="1"/>
  <c r="DH12" i="5"/>
  <c r="DH13" i="5" s="1"/>
  <c r="DI12" i="5"/>
  <c r="DI13" i="5" s="1"/>
  <c r="DJ12" i="5"/>
  <c r="DJ13" i="5" s="1"/>
  <c r="DK12" i="5"/>
  <c r="DK13" i="5" s="1"/>
  <c r="DL12" i="5"/>
  <c r="DL13" i="5" s="1"/>
  <c r="DM12" i="5"/>
  <c r="DM13" i="5" s="1"/>
  <c r="CS67" i="7" l="1"/>
  <c r="BK65" i="7"/>
  <c r="H65" i="7"/>
  <c r="CK65" i="7"/>
  <c r="P65" i="7"/>
  <c r="DB65" i="7"/>
  <c r="X65" i="7"/>
  <c r="AF65" i="7"/>
  <c r="CY65" i="7"/>
  <c r="AX65" i="7"/>
  <c r="AU65" i="7"/>
  <c r="BS65" i="7"/>
  <c r="CI65" i="7"/>
  <c r="AA65" i="7"/>
  <c r="T77" i="7"/>
  <c r="O77" i="7"/>
  <c r="CX64" i="7"/>
  <c r="CK66" i="7"/>
  <c r="Y54" i="2"/>
  <c r="H103" i="4"/>
  <c r="H56" i="4"/>
  <c r="H197" i="4"/>
  <c r="H57" i="5"/>
  <c r="H150" i="4"/>
  <c r="H151" i="5"/>
  <c r="H104" i="5"/>
  <c r="Y53" i="2"/>
  <c r="T115" i="5"/>
  <c r="H150" i="5"/>
  <c r="H55" i="4"/>
  <c r="H196" i="4"/>
  <c r="H56" i="5"/>
  <c r="H149" i="4"/>
  <c r="H102" i="4"/>
  <c r="H103" i="5"/>
  <c r="Y55" i="2"/>
  <c r="T131" i="5"/>
  <c r="H58" i="5"/>
  <c r="H104" i="4"/>
  <c r="H152" i="5"/>
  <c r="H105" i="5"/>
  <c r="H151" i="4"/>
  <c r="H198" i="4"/>
  <c r="H57" i="4"/>
  <c r="H55" i="5"/>
  <c r="H54" i="4"/>
  <c r="H148" i="4"/>
  <c r="H149" i="5"/>
  <c r="H102" i="5"/>
  <c r="H101" i="4"/>
  <c r="H195" i="4"/>
  <c r="Y52" i="2"/>
  <c r="CQ66" i="7"/>
  <c r="K67" i="7"/>
  <c r="Q95" i="7" s="1"/>
  <c r="AY64" i="7"/>
  <c r="BG67" i="7"/>
  <c r="BG64" i="7"/>
  <c r="AR64" i="7"/>
  <c r="J67" i="7"/>
  <c r="P95" i="7" s="1"/>
  <c r="L66" i="7"/>
  <c r="R94" i="7" s="1"/>
  <c r="AG65" i="7"/>
  <c r="AB65" i="7"/>
  <c r="BF65" i="7"/>
  <c r="Z64" i="7"/>
  <c r="BS64" i="7"/>
  <c r="AN64" i="7"/>
  <c r="CJ67" i="7"/>
  <c r="Y67" i="7"/>
  <c r="AO66" i="7"/>
  <c r="AE66" i="7"/>
  <c r="X66" i="7"/>
  <c r="CK67" i="7"/>
  <c r="X64" i="7"/>
  <c r="CI66" i="7"/>
  <c r="CY64" i="7"/>
  <c r="Q67" i="7"/>
  <c r="Q64" i="7"/>
  <c r="BM67" i="7"/>
  <c r="CC67" i="7"/>
  <c r="AM66" i="7"/>
  <c r="BK64" i="7"/>
  <c r="BL66" i="7"/>
  <c r="I67" i="7"/>
  <c r="O95" i="7" s="1"/>
  <c r="AN67" i="7"/>
  <c r="AV64" i="7"/>
  <c r="BT64" i="7"/>
  <c r="BE64" i="7"/>
  <c r="CS64" i="7"/>
  <c r="CA64" i="7"/>
  <c r="I64" i="7"/>
  <c r="O92" i="7" s="1"/>
  <c r="AF64" i="7"/>
  <c r="AV66" i="7"/>
  <c r="CB66" i="7"/>
  <c r="BW64" i="7"/>
  <c r="CL67" i="7"/>
  <c r="Q66" i="7"/>
  <c r="AO67" i="7"/>
  <c r="BE67" i="7"/>
  <c r="BE66" i="7"/>
  <c r="CC64" i="7"/>
  <c r="BM64" i="7"/>
  <c r="O67" i="7"/>
  <c r="O66" i="7"/>
  <c r="W64" i="7"/>
  <c r="Y64" i="7"/>
  <c r="AW67" i="7"/>
  <c r="AE64" i="7"/>
  <c r="CY67" i="7"/>
  <c r="H67" i="7"/>
  <c r="CS66" i="7"/>
  <c r="BS67" i="7"/>
  <c r="BT66" i="7"/>
  <c r="BL67" i="7"/>
  <c r="AI64" i="7"/>
  <c r="CL64" i="7"/>
  <c r="AO64" i="7"/>
  <c r="BU64" i="7"/>
  <c r="DA64" i="7"/>
  <c r="W67" i="7"/>
  <c r="AE67" i="7"/>
  <c r="P64" i="7"/>
  <c r="H64" i="7"/>
  <c r="AG67" i="7"/>
  <c r="AW64" i="7"/>
  <c r="BU67" i="7"/>
  <c r="AU64" i="7"/>
  <c r="BK67" i="7"/>
  <c r="CI64" i="7"/>
  <c r="CQ64" i="7"/>
  <c r="CQ67" i="7"/>
  <c r="CU64" i="7"/>
  <c r="R64" i="7"/>
  <c r="L64" i="7"/>
  <c r="R92" i="7" s="1"/>
  <c r="BP64" i="7"/>
  <c r="AG64" i="7"/>
  <c r="CK64" i="7"/>
  <c r="O64" i="7"/>
  <c r="AM64" i="7"/>
  <c r="BC64" i="7"/>
  <c r="P67" i="7"/>
  <c r="CR67" i="7"/>
  <c r="CM64" i="7"/>
  <c r="CM67" i="7"/>
  <c r="BD64" i="7"/>
  <c r="BL64" i="7"/>
  <c r="Z67" i="7"/>
  <c r="AJ67" i="7"/>
  <c r="BV64" i="7"/>
  <c r="BT67" i="7"/>
  <c r="CB67" i="7"/>
  <c r="CJ64" i="7"/>
  <c r="CE64" i="7"/>
  <c r="BI64" i="7"/>
  <c r="AF67" i="7"/>
  <c r="AQ67" i="7"/>
  <c r="CD64" i="7"/>
  <c r="CF64" i="7"/>
  <c r="AQ64" i="7"/>
  <c r="AP64" i="7"/>
  <c r="AX67" i="7"/>
  <c r="AX64" i="7"/>
  <c r="BN64" i="7"/>
  <c r="CR64" i="7"/>
  <c r="CZ64" i="7"/>
  <c r="BF64" i="7"/>
  <c r="AC64" i="7"/>
  <c r="CB64" i="7"/>
  <c r="T64" i="7"/>
  <c r="AH64" i="7"/>
  <c r="AP67" i="7"/>
  <c r="BN67" i="7"/>
  <c r="L67" i="7"/>
  <c r="R95" i="7" s="1"/>
  <c r="AB64" i="7"/>
  <c r="AV67" i="7"/>
  <c r="AY67" i="7"/>
  <c r="J64" i="7"/>
  <c r="P92" i="7" s="1"/>
  <c r="CT67" i="7"/>
  <c r="CT64" i="7"/>
  <c r="K64" i="7"/>
  <c r="Q92" i="7" s="1"/>
  <c r="AJ64" i="7"/>
  <c r="S64" i="7"/>
  <c r="BH64" i="7"/>
  <c r="AI67" i="7"/>
  <c r="BO64" i="7"/>
  <c r="BW67" i="7"/>
  <c r="DB64" i="7"/>
  <c r="AA64" i="7"/>
  <c r="S67" i="7"/>
  <c r="AS64" i="7"/>
  <c r="U64" i="7"/>
  <c r="U67" i="7"/>
  <c r="BA64" i="7"/>
  <c r="CV64" i="7"/>
  <c r="DB67" i="7"/>
  <c r="BX64" i="7"/>
  <c r="CN64" i="7"/>
  <c r="AZ64" i="7"/>
  <c r="M64" i="7"/>
  <c r="S92" i="7" s="1"/>
  <c r="AK64" i="7"/>
  <c r="CD67" i="7"/>
  <c r="BH67" i="7"/>
  <c r="CG64" i="7"/>
  <c r="DB66" i="7"/>
  <c r="CL66" i="7"/>
  <c r="BB64" i="7"/>
  <c r="BQ64" i="7"/>
  <c r="CO64" i="7"/>
  <c r="CW64" i="7"/>
  <c r="N64" i="7"/>
  <c r="T92" i="7" s="1"/>
  <c r="CH64" i="7"/>
  <c r="AH65" i="7"/>
  <c r="CT65" i="7"/>
  <c r="BD65" i="7"/>
  <c r="BM65" i="7"/>
  <c r="AQ65" i="7"/>
  <c r="BG65" i="7"/>
  <c r="CU65" i="7"/>
  <c r="BG66" i="7"/>
  <c r="BW66" i="7"/>
  <c r="BF66" i="7"/>
  <c r="S66" i="7"/>
  <c r="AA66" i="7"/>
  <c r="AB66" i="7"/>
  <c r="BH66" i="7"/>
  <c r="CW66" i="7"/>
  <c r="BN66" i="7"/>
  <c r="K66" i="7"/>
  <c r="Q94" i="7" s="1"/>
  <c r="BV66" i="7"/>
  <c r="BP66" i="7"/>
  <c r="U66" i="7"/>
  <c r="Y66" i="7"/>
  <c r="W66" i="7"/>
  <c r="AY66" i="7"/>
  <c r="CU66" i="7"/>
  <c r="Z66" i="7"/>
  <c r="AZ66" i="7"/>
  <c r="H66" i="7"/>
  <c r="BU66" i="7"/>
  <c r="DA66" i="7"/>
  <c r="BS66" i="7"/>
  <c r="AN66" i="7"/>
  <c r="J66" i="7"/>
  <c r="P94" i="7" s="1"/>
  <c r="R66" i="7"/>
  <c r="AP66" i="7"/>
  <c r="AX66" i="7"/>
  <c r="CD66" i="7"/>
  <c r="CE66" i="7"/>
  <c r="CF66" i="7"/>
  <c r="N66" i="7"/>
  <c r="T94" i="7" s="1"/>
  <c r="AD66" i="7"/>
  <c r="AW66" i="7"/>
  <c r="CC66" i="7"/>
  <c r="AU66" i="7"/>
  <c r="BC65" i="7"/>
  <c r="BK66" i="7"/>
  <c r="CA66" i="7"/>
  <c r="CY66" i="7"/>
  <c r="CJ66" i="7"/>
  <c r="CZ66" i="7"/>
  <c r="CM66" i="7"/>
  <c r="AR66" i="7"/>
  <c r="R65" i="7"/>
  <c r="CV66" i="7"/>
  <c r="Y65" i="7"/>
  <c r="BM66" i="7"/>
  <c r="AF66" i="7"/>
  <c r="CJ65" i="7"/>
  <c r="CR66" i="7"/>
  <c r="AI66" i="7"/>
  <c r="BO66" i="7"/>
  <c r="T66" i="7"/>
  <c r="CT66" i="7"/>
  <c r="AC66" i="7"/>
  <c r="AG66" i="7"/>
  <c r="BC66" i="7"/>
  <c r="I66" i="7"/>
  <c r="O94" i="7" s="1"/>
  <c r="P66" i="7"/>
  <c r="BD66" i="7"/>
  <c r="AQ66" i="7"/>
  <c r="CM65" i="7"/>
  <c r="AH66" i="7"/>
  <c r="K65" i="7"/>
  <c r="Q93" i="7" s="1"/>
  <c r="AJ66" i="7"/>
  <c r="BX66" i="7"/>
  <c r="BX65" i="7"/>
  <c r="AD64" i="7"/>
  <c r="AT64" i="7"/>
  <c r="BI66" i="7"/>
  <c r="BY66" i="7"/>
  <c r="CN66" i="7"/>
  <c r="AK66" i="7"/>
  <c r="AS66" i="7"/>
  <c r="BA66" i="7"/>
  <c r="AL66" i="7"/>
  <c r="CH66" i="7"/>
  <c r="M66" i="7"/>
  <c r="S94" i="7" s="1"/>
  <c r="BQ66" i="7"/>
  <c r="CO66" i="7"/>
  <c r="AT66" i="7"/>
  <c r="CG66" i="7"/>
  <c r="V66" i="7"/>
  <c r="BJ66" i="7"/>
  <c r="CP64" i="7"/>
  <c r="BZ66" i="7"/>
  <c r="BB66" i="7"/>
  <c r="DA65" i="7"/>
  <c r="Q65" i="7"/>
  <c r="CA65" i="7"/>
  <c r="AV65" i="7"/>
  <c r="CR65" i="7"/>
  <c r="AY65" i="7"/>
  <c r="AR65" i="7"/>
  <c r="AP65" i="7"/>
  <c r="BN65" i="7"/>
  <c r="L65" i="7"/>
  <c r="R93" i="7" s="1"/>
  <c r="AJ65" i="7"/>
  <c r="BU65" i="7"/>
  <c r="CS65" i="7"/>
  <c r="O65" i="7"/>
  <c r="W65" i="7"/>
  <c r="AE65" i="7"/>
  <c r="AM65" i="7"/>
  <c r="CQ65" i="7"/>
  <c r="I65" i="7"/>
  <c r="O93" i="7" s="1"/>
  <c r="BW65" i="7"/>
  <c r="Z65" i="7"/>
  <c r="CL65" i="7"/>
  <c r="CN65" i="7"/>
  <c r="AO65" i="7"/>
  <c r="BL65" i="7"/>
  <c r="CZ65" i="7"/>
  <c r="T65" i="7"/>
  <c r="CV65" i="7"/>
  <c r="AW65" i="7"/>
  <c r="BE65" i="7"/>
  <c r="AN65" i="7"/>
  <c r="BT65" i="7"/>
  <c r="CB65" i="7"/>
  <c r="AI65" i="7"/>
  <c r="BO65" i="7"/>
  <c r="J65" i="7"/>
  <c r="P93" i="7" s="1"/>
  <c r="CD65" i="7"/>
  <c r="S65" i="7"/>
  <c r="BP65" i="7"/>
  <c r="BR66" i="7"/>
  <c r="AC65" i="7"/>
  <c r="BJ64" i="7"/>
  <c r="BR64" i="7"/>
  <c r="CO65" i="7"/>
  <c r="CX65" i="7"/>
  <c r="BY64" i="7"/>
  <c r="V64" i="7"/>
  <c r="AL64" i="7"/>
  <c r="BZ64" i="7"/>
  <c r="BA65" i="7"/>
  <c r="CE65" i="7"/>
  <c r="CF65" i="7"/>
  <c r="BQ65" i="7"/>
  <c r="BB65" i="7"/>
  <c r="BJ65" i="7"/>
  <c r="V65" i="7"/>
  <c r="BH65" i="7"/>
  <c r="U65" i="7"/>
  <c r="AD65" i="7"/>
  <c r="BZ65" i="7"/>
  <c r="BV65" i="7"/>
  <c r="AK65" i="7"/>
  <c r="AS65" i="7"/>
  <c r="BY65" i="7"/>
  <c r="CG65" i="7"/>
  <c r="CW65" i="7"/>
  <c r="N65" i="7"/>
  <c r="T93" i="7" s="1"/>
  <c r="AZ65" i="7"/>
  <c r="M65" i="7"/>
  <c r="S93" i="7" s="1"/>
  <c r="BI65" i="7"/>
  <c r="AT65" i="7"/>
  <c r="M67" i="7"/>
  <c r="S95" i="7" s="1"/>
  <c r="AC67" i="7"/>
  <c r="AK67" i="7"/>
  <c r="CA67" i="7"/>
  <c r="AH67" i="7"/>
  <c r="CE67" i="7"/>
  <c r="AA67" i="7"/>
  <c r="BX67" i="7"/>
  <c r="AS67" i="7"/>
  <c r="V67" i="7"/>
  <c r="BZ67" i="7"/>
  <c r="BY67" i="7"/>
  <c r="CG67" i="7"/>
  <c r="DA67" i="7"/>
  <c r="AM67" i="7"/>
  <c r="CU67" i="7"/>
  <c r="T67" i="7"/>
  <c r="AR67" i="7"/>
  <c r="BP67" i="7"/>
  <c r="BA67" i="7"/>
  <c r="CP67" i="7"/>
  <c r="BV67" i="7"/>
  <c r="CF67" i="7"/>
  <c r="BQ67" i="7"/>
  <c r="N67" i="7"/>
  <c r="T95" i="7" s="1"/>
  <c r="AL67" i="7"/>
  <c r="AU67" i="7"/>
  <c r="BC67" i="7"/>
  <c r="CI67" i="7"/>
  <c r="X67" i="7"/>
  <c r="R67" i="7"/>
  <c r="BF67" i="7"/>
  <c r="CN67" i="7"/>
  <c r="CV67" i="7"/>
  <c r="BI67" i="7"/>
  <c r="BD67" i="7"/>
  <c r="BO67" i="7"/>
  <c r="AB67" i="7"/>
  <c r="AZ67" i="7"/>
  <c r="CO67" i="7"/>
  <c r="CW67" i="7"/>
  <c r="AD67" i="7"/>
  <c r="BR67" i="7"/>
  <c r="CH65" i="7"/>
  <c r="CP65" i="7"/>
  <c r="E104" i="4"/>
  <c r="E57" i="4"/>
  <c r="E151" i="4"/>
  <c r="E58" i="5"/>
  <c r="E105" i="5"/>
  <c r="E198" i="4"/>
  <c r="E152" i="5"/>
  <c r="AE55" i="2"/>
  <c r="E103" i="5"/>
  <c r="E149" i="4"/>
  <c r="E56" i="5"/>
  <c r="E196" i="4"/>
  <c r="E55" i="4"/>
  <c r="E102" i="4"/>
  <c r="E150" i="5"/>
  <c r="AE53" i="2"/>
  <c r="AL65" i="7"/>
  <c r="AT67" i="7"/>
  <c r="CH67" i="7"/>
  <c r="CP66" i="7"/>
  <c r="CX67" i="7"/>
  <c r="CX66" i="7"/>
  <c r="S103" i="4"/>
  <c r="T103" i="4"/>
  <c r="R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E149" i="5"/>
  <c r="E102" i="5"/>
  <c r="E101" i="4"/>
  <c r="E148" i="4"/>
  <c r="E195" i="4"/>
  <c r="E54" i="4"/>
  <c r="E55" i="5"/>
  <c r="AE52" i="2"/>
  <c r="S101" i="4"/>
  <c r="T101" i="4"/>
  <c r="R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E150" i="4"/>
  <c r="E56" i="4"/>
  <c r="E151" i="5"/>
  <c r="E57" i="5"/>
  <c r="E103" i="4"/>
  <c r="E104" i="5"/>
  <c r="E197" i="4"/>
  <c r="AE54" i="2"/>
  <c r="CZ67" i="7"/>
  <c r="CC65" i="7"/>
  <c r="BB67" i="7"/>
  <c r="BJ67" i="7"/>
  <c r="BD61" i="5"/>
  <c r="F70" i="7"/>
  <c r="AD70" i="1"/>
  <c r="AF70" i="1" s="1"/>
  <c r="AE70" i="1"/>
  <c r="AG70" i="1" s="1"/>
  <c r="BO108" i="5"/>
  <c r="Q108" i="5" s="1"/>
  <c r="BA61" i="5"/>
  <c r="CC61" i="5"/>
  <c r="CR61" i="5"/>
  <c r="Y61" i="5"/>
  <c r="V61" i="5"/>
  <c r="AX61" i="5"/>
  <c r="BC61" i="5"/>
  <c r="W61" i="5"/>
  <c r="CG61" i="5"/>
  <c r="AO61" i="5"/>
  <c r="DD61" i="5"/>
  <c r="CB61" i="5"/>
  <c r="DE61" i="5"/>
  <c r="DC61" i="5"/>
  <c r="BP61" i="5"/>
  <c r="DK61" i="5"/>
  <c r="BB61" i="5"/>
  <c r="BG61" i="5"/>
  <c r="AD61" i="5"/>
  <c r="BT61" i="5"/>
  <c r="CS61" i="5"/>
  <c r="AQ61" i="5"/>
  <c r="BZ61" i="5"/>
  <c r="CU61" i="5"/>
  <c r="DJ61" i="5"/>
  <c r="CH61" i="5"/>
  <c r="AA61" i="5"/>
  <c r="BF61" i="5"/>
  <c r="BM61" i="5"/>
  <c r="CM61" i="5"/>
  <c r="DB61" i="5"/>
  <c r="AT61" i="5"/>
  <c r="BE61" i="5"/>
  <c r="CQ61" i="5"/>
  <c r="DF61" i="5"/>
  <c r="CN61" i="5"/>
  <c r="BW61" i="5"/>
  <c r="CX61" i="5"/>
  <c r="BY61" i="5"/>
  <c r="AK61" i="5"/>
  <c r="BV61" i="5"/>
  <c r="DL61" i="5"/>
  <c r="DI61" i="5"/>
  <c r="AV61" i="5"/>
  <c r="CE61" i="5"/>
  <c r="BL61" i="5"/>
  <c r="BX61" i="5"/>
  <c r="CJ61" i="5"/>
  <c r="CZ61" i="5"/>
  <c r="DH61" i="5"/>
  <c r="DA61" i="5"/>
  <c r="BJ61" i="5"/>
  <c r="AP61" i="5"/>
  <c r="CP61" i="5"/>
  <c r="AY61" i="5"/>
  <c r="CI61" i="5"/>
  <c r="U61" i="5"/>
  <c r="AG61" i="5"/>
  <c r="AS61" i="5"/>
  <c r="BQ61" i="5"/>
  <c r="CO61" i="5"/>
  <c r="Z61" i="5"/>
  <c r="CL61" i="5"/>
  <c r="CD61" i="5"/>
  <c r="AE61" i="5"/>
  <c r="BS61" i="5"/>
  <c r="AM61" i="5"/>
  <c r="AC61" i="5"/>
  <c r="AW61" i="5"/>
  <c r="BI61" i="5"/>
  <c r="BU61" i="5"/>
  <c r="CK61" i="5"/>
  <c r="CW61" i="5"/>
  <c r="AL61" i="5"/>
  <c r="CT61" i="5"/>
  <c r="AH61" i="5"/>
  <c r="AI61" i="5"/>
  <c r="CA61" i="5"/>
  <c r="DG61" i="5"/>
  <c r="AU61" i="5"/>
  <c r="CY61" i="5"/>
  <c r="BH61" i="5"/>
  <c r="CF61" i="5"/>
  <c r="CV61" i="5"/>
  <c r="DM61" i="5"/>
  <c r="BN61" i="5"/>
  <c r="BR61" i="5"/>
  <c r="S61" i="5"/>
  <c r="BK61" i="5"/>
  <c r="X61" i="5"/>
  <c r="AF61" i="5"/>
  <c r="AN61" i="5"/>
  <c r="AZ61" i="5"/>
  <c r="T61" i="5"/>
  <c r="AB61" i="5"/>
  <c r="AJ61" i="5"/>
  <c r="AR61" i="5"/>
  <c r="I114" i="8"/>
  <c r="J115" i="8" s="1"/>
  <c r="CX114" i="8"/>
  <c r="CY115" i="8" s="1"/>
  <c r="CP114" i="8"/>
  <c r="CQ115" i="8" s="1"/>
  <c r="CH114" i="8"/>
  <c r="CI115" i="8" s="1"/>
  <c r="M114" i="8"/>
  <c r="BZ114" i="8"/>
  <c r="CA115" i="8" s="1"/>
  <c r="BR114" i="8"/>
  <c r="BS115" i="8" s="1"/>
  <c r="BJ114" i="8"/>
  <c r="BK115" i="8" s="1"/>
  <c r="BB114" i="8"/>
  <c r="BC115" i="8" s="1"/>
  <c r="AT114" i="8"/>
  <c r="AU115" i="8" s="1"/>
  <c r="AL114" i="8"/>
  <c r="AM115" i="8" s="1"/>
  <c r="AD114" i="8"/>
  <c r="AE115" i="8" s="1"/>
  <c r="N115" i="8"/>
  <c r="CY114" i="8"/>
  <c r="CZ115" i="8" s="1"/>
  <c r="CQ114" i="8"/>
  <c r="CR115" i="8" s="1"/>
  <c r="CI114" i="8"/>
  <c r="CJ115" i="8" s="1"/>
  <c r="CA114" i="8"/>
  <c r="CB115" i="8" s="1"/>
  <c r="BS114" i="8"/>
  <c r="BT115" i="8" s="1"/>
  <c r="BK114" i="8"/>
  <c r="BL115" i="8" s="1"/>
  <c r="BC114" i="8"/>
  <c r="BD115" i="8" s="1"/>
  <c r="AU114" i="8"/>
  <c r="AV115" i="8" s="1"/>
  <c r="AM114" i="8"/>
  <c r="AN115" i="8" s="1"/>
  <c r="AE114" i="8"/>
  <c r="AF115" i="8" s="1"/>
  <c r="W114" i="8"/>
  <c r="X115" i="8" s="1"/>
  <c r="CW114" i="8"/>
  <c r="CX115" i="8" s="1"/>
  <c r="CO114" i="8"/>
  <c r="CP115" i="8" s="1"/>
  <c r="CG114" i="8"/>
  <c r="CH115" i="8" s="1"/>
  <c r="BY114" i="8"/>
  <c r="BZ115" i="8" s="1"/>
  <c r="BQ114" i="8"/>
  <c r="BR115" i="8" s="1"/>
  <c r="BI114" i="8"/>
  <c r="BJ115" i="8" s="1"/>
  <c r="BA114" i="8"/>
  <c r="BB115" i="8" s="1"/>
  <c r="AS114" i="8"/>
  <c r="AT115" i="8" s="1"/>
  <c r="AK114" i="8"/>
  <c r="AL115" i="8" s="1"/>
  <c r="AC114" i="8"/>
  <c r="AD115" i="8" s="1"/>
  <c r="U114" i="8"/>
  <c r="V115" i="8" s="1"/>
  <c r="CV114" i="8"/>
  <c r="CW115" i="8" s="1"/>
  <c r="CN114" i="8"/>
  <c r="CO115" i="8" s="1"/>
  <c r="CF114" i="8"/>
  <c r="CG115" i="8" s="1"/>
  <c r="BX114" i="8"/>
  <c r="BY115" i="8" s="1"/>
  <c r="BP114" i="8"/>
  <c r="BQ115" i="8" s="1"/>
  <c r="BH114" i="8"/>
  <c r="BI115" i="8" s="1"/>
  <c r="AZ114" i="8"/>
  <c r="BA115" i="8" s="1"/>
  <c r="AR114" i="8"/>
  <c r="AS115" i="8" s="1"/>
  <c r="AJ114" i="8"/>
  <c r="AK115" i="8" s="1"/>
  <c r="AB114" i="8"/>
  <c r="AC115" i="8" s="1"/>
  <c r="CU114" i="8"/>
  <c r="CV115" i="8" s="1"/>
  <c r="CM114" i="8"/>
  <c r="CN115" i="8" s="1"/>
  <c r="CE114" i="8"/>
  <c r="CF115" i="8" s="1"/>
  <c r="BW114" i="8"/>
  <c r="BX115" i="8" s="1"/>
  <c r="BO114" i="8"/>
  <c r="BP115" i="8" s="1"/>
  <c r="BG114" i="8"/>
  <c r="BH115" i="8" s="1"/>
  <c r="AY114" i="8"/>
  <c r="AZ115" i="8" s="1"/>
  <c r="AQ114" i="8"/>
  <c r="AR115" i="8" s="1"/>
  <c r="AI114" i="8"/>
  <c r="AJ115" i="8" s="1"/>
  <c r="AA114" i="8"/>
  <c r="AB115" i="8" s="1"/>
  <c r="S114" i="8"/>
  <c r="T115" i="8" s="1"/>
  <c r="DB114" i="8"/>
  <c r="CT114" i="8"/>
  <c r="CU115" i="8" s="1"/>
  <c r="CL114" i="8"/>
  <c r="CM115" i="8" s="1"/>
  <c r="CD114" i="8"/>
  <c r="CE115" i="8" s="1"/>
  <c r="BV114" i="8"/>
  <c r="BW115" i="8" s="1"/>
  <c r="BN114" i="8"/>
  <c r="BO115" i="8" s="1"/>
  <c r="BF114" i="8"/>
  <c r="BG115" i="8" s="1"/>
  <c r="AX114" i="8"/>
  <c r="AY115" i="8" s="1"/>
  <c r="AP114" i="8"/>
  <c r="AQ115" i="8" s="1"/>
  <c r="AH114" i="8"/>
  <c r="AI115" i="8" s="1"/>
  <c r="Z114" i="8"/>
  <c r="AA115" i="8" s="1"/>
  <c r="DA114" i="8"/>
  <c r="DB115" i="8" s="1"/>
  <c r="CS114" i="8"/>
  <c r="CT115" i="8" s="1"/>
  <c r="CK114" i="8"/>
  <c r="CL115" i="8" s="1"/>
  <c r="CC114" i="8"/>
  <c r="CD115" i="8" s="1"/>
  <c r="BU114" i="8"/>
  <c r="BV115" i="8" s="1"/>
  <c r="BM114" i="8"/>
  <c r="BN115" i="8" s="1"/>
  <c r="BE114" i="8"/>
  <c r="BF115" i="8" s="1"/>
  <c r="AW114" i="8"/>
  <c r="AX115" i="8" s="1"/>
  <c r="AO114" i="8"/>
  <c r="AP115" i="8" s="1"/>
  <c r="AG114" i="8"/>
  <c r="AH115" i="8" s="1"/>
  <c r="Y114" i="8"/>
  <c r="Z115" i="8" s="1"/>
  <c r="CZ114" i="8"/>
  <c r="DA115" i="8" s="1"/>
  <c r="CR114" i="8"/>
  <c r="CS115" i="8" s="1"/>
  <c r="CJ114" i="8"/>
  <c r="CK115" i="8" s="1"/>
  <c r="CB114" i="8"/>
  <c r="CC115" i="8" s="1"/>
  <c r="BT114" i="8"/>
  <c r="BU115" i="8" s="1"/>
  <c r="BL114" i="8"/>
  <c r="BM115" i="8" s="1"/>
  <c r="BD114" i="8"/>
  <c r="BE115" i="8" s="1"/>
  <c r="AV114" i="8"/>
  <c r="AW115" i="8" s="1"/>
  <c r="AN114" i="8"/>
  <c r="AO115" i="8" s="1"/>
  <c r="AF114" i="8"/>
  <c r="AG115" i="8" s="1"/>
  <c r="H114" i="8"/>
  <c r="I115" i="8" s="1"/>
  <c r="J114" i="8"/>
  <c r="K115" i="8" s="1"/>
  <c r="K114" i="8"/>
  <c r="L115" i="8" s="1"/>
  <c r="L114" i="8"/>
  <c r="M115" i="8" s="1"/>
  <c r="N114" i="8"/>
  <c r="O115" i="8" s="1"/>
  <c r="O114" i="8"/>
  <c r="P115" i="8" s="1"/>
  <c r="P114" i="8"/>
  <c r="Q115" i="8" s="1"/>
  <c r="Q114" i="8"/>
  <c r="R115" i="8" s="1"/>
  <c r="R114" i="8"/>
  <c r="S115" i="8" s="1"/>
  <c r="T114" i="8"/>
  <c r="U115" i="8" s="1"/>
  <c r="V114" i="8"/>
  <c r="W115" i="8" s="1"/>
  <c r="X114" i="8"/>
  <c r="Y115" i="8" s="1"/>
  <c r="H39" i="8"/>
  <c r="H48" i="8"/>
  <c r="I48" i="8"/>
  <c r="I39" i="8"/>
  <c r="J39" i="8"/>
  <c r="K48" i="8"/>
  <c r="J48" i="8"/>
  <c r="K39" i="8"/>
  <c r="L48" i="8"/>
  <c r="L39" i="8"/>
  <c r="M39" i="8"/>
  <c r="M48" i="8"/>
  <c r="N48" i="8"/>
  <c r="N39" i="8"/>
  <c r="O39" i="8"/>
  <c r="O48" i="8"/>
  <c r="P39" i="8"/>
  <c r="P48" i="8"/>
  <c r="Q48" i="8"/>
  <c r="Q39" i="8"/>
  <c r="R39" i="8"/>
  <c r="R48" i="8"/>
  <c r="S39" i="8"/>
  <c r="S48" i="8"/>
  <c r="T39" i="8"/>
  <c r="T48" i="8"/>
  <c r="U39" i="8"/>
  <c r="U48" i="8"/>
  <c r="V39" i="8"/>
  <c r="V48" i="8"/>
  <c r="W39" i="8"/>
  <c r="W48" i="8"/>
  <c r="X39" i="8"/>
  <c r="X48" i="8"/>
  <c r="Y39" i="8"/>
  <c r="Y48" i="8"/>
  <c r="Z39" i="8"/>
  <c r="Z48" i="8"/>
  <c r="AA39" i="8"/>
  <c r="AA48" i="8"/>
  <c r="AB39" i="8"/>
  <c r="AB48" i="8"/>
  <c r="AC48" i="8"/>
  <c r="AC39" i="8"/>
  <c r="AD39" i="8"/>
  <c r="AD48" i="8"/>
  <c r="AE39" i="8"/>
  <c r="AE48" i="8"/>
  <c r="AF39" i="8"/>
  <c r="AF48" i="8"/>
  <c r="AG39" i="8"/>
  <c r="AG48" i="8"/>
  <c r="AH39" i="8"/>
  <c r="AH48" i="8"/>
  <c r="AI39" i="8"/>
  <c r="AI48" i="8"/>
  <c r="AJ39" i="8"/>
  <c r="AJ48" i="8"/>
  <c r="AK48" i="8"/>
  <c r="AK39" i="8"/>
  <c r="AL48" i="8"/>
  <c r="AL39" i="8"/>
  <c r="AM39" i="8"/>
  <c r="AM48" i="8"/>
  <c r="AN39" i="8"/>
  <c r="AN48" i="8"/>
  <c r="AO39" i="8"/>
  <c r="AO48" i="8"/>
  <c r="AP39" i="8"/>
  <c r="AP48" i="8"/>
  <c r="AQ39" i="8"/>
  <c r="AQ48" i="8"/>
  <c r="AR39" i="8"/>
  <c r="AR48" i="8"/>
  <c r="AS39" i="8"/>
  <c r="AS48" i="8"/>
  <c r="AT39" i="8"/>
  <c r="AT48" i="8"/>
  <c r="AU39" i="8"/>
  <c r="AU48" i="8"/>
  <c r="AV39" i="8"/>
  <c r="AV48" i="8"/>
  <c r="AW39" i="8"/>
  <c r="AW48" i="8"/>
  <c r="AX39" i="8"/>
  <c r="AX48" i="8"/>
  <c r="AY39" i="8"/>
  <c r="AY48" i="8"/>
  <c r="AZ39" i="8"/>
  <c r="AZ48" i="8"/>
  <c r="BA39" i="8"/>
  <c r="BA48" i="8"/>
  <c r="BB48" i="8"/>
  <c r="BB39" i="8"/>
  <c r="BC39" i="8"/>
  <c r="BC48" i="8"/>
  <c r="BD39" i="8"/>
  <c r="BD48" i="8"/>
  <c r="BE39" i="8"/>
  <c r="BE48" i="8"/>
  <c r="BF39" i="8"/>
  <c r="BF48" i="8"/>
  <c r="BG39" i="8"/>
  <c r="BG48" i="8"/>
  <c r="BH39" i="8"/>
  <c r="BH48" i="8"/>
  <c r="BI39" i="8"/>
  <c r="BI48" i="8"/>
  <c r="BJ39" i="8"/>
  <c r="BJ48" i="8"/>
  <c r="BK39" i="8"/>
  <c r="BK48" i="8"/>
  <c r="BL39" i="8"/>
  <c r="BL48" i="8"/>
  <c r="BM39" i="8"/>
  <c r="BM48" i="8"/>
  <c r="BN39" i="8"/>
  <c r="BN48" i="8"/>
  <c r="BO39" i="8"/>
  <c r="BO48" i="8"/>
  <c r="BP39" i="8"/>
  <c r="BP48" i="8"/>
  <c r="BQ39" i="8"/>
  <c r="BQ48" i="8"/>
  <c r="BR39" i="8"/>
  <c r="BR48" i="8"/>
  <c r="BS39" i="8"/>
  <c r="BS48" i="8"/>
  <c r="BT39" i="8"/>
  <c r="BT48" i="8"/>
  <c r="BU39" i="8"/>
  <c r="BU48" i="8"/>
  <c r="BV39" i="8"/>
  <c r="BV48" i="8"/>
  <c r="BW39" i="8"/>
  <c r="BW48" i="8"/>
  <c r="BX39" i="8"/>
  <c r="BX48" i="8"/>
  <c r="BY39" i="8"/>
  <c r="BY48" i="8"/>
  <c r="BZ48" i="8"/>
  <c r="BZ39" i="8"/>
  <c r="CA48" i="8"/>
  <c r="CA39" i="8"/>
  <c r="CB39" i="8"/>
  <c r="CB48" i="8"/>
  <c r="CC39" i="8"/>
  <c r="CC48" i="8"/>
  <c r="CD39" i="8"/>
  <c r="CD48" i="8"/>
  <c r="CE39" i="8"/>
  <c r="CE48" i="8"/>
  <c r="CF39" i="8"/>
  <c r="CF48" i="8"/>
  <c r="CG39" i="8"/>
  <c r="CG48" i="8"/>
  <c r="CH39" i="8"/>
  <c r="CH48" i="8"/>
  <c r="CI39" i="8"/>
  <c r="CI48" i="8"/>
  <c r="CJ39" i="8"/>
  <c r="CJ48" i="8"/>
  <c r="CK39" i="8"/>
  <c r="CK48" i="8"/>
  <c r="CL39" i="8"/>
  <c r="CL48" i="8"/>
  <c r="CM39" i="8"/>
  <c r="CM48" i="8"/>
  <c r="CN39" i="8"/>
  <c r="CN48" i="8"/>
  <c r="CO39" i="8"/>
  <c r="CO48" i="8"/>
  <c r="CP48" i="8"/>
  <c r="CP39" i="8"/>
  <c r="CQ39" i="8"/>
  <c r="CQ48" i="8"/>
  <c r="CR39" i="8"/>
  <c r="CR48" i="8"/>
  <c r="CS39" i="8"/>
  <c r="CS48" i="8"/>
  <c r="CT39" i="8"/>
  <c r="CT48" i="8"/>
  <c r="CU39" i="8"/>
  <c r="CU48" i="8"/>
  <c r="CV39" i="8"/>
  <c r="CV48" i="8"/>
  <c r="CW39" i="8"/>
  <c r="CW48" i="8"/>
  <c r="CX39" i="8"/>
  <c r="CX48" i="8"/>
  <c r="CY39" i="8"/>
  <c r="CY48" i="8"/>
  <c r="CZ39" i="8"/>
  <c r="CZ48" i="8"/>
  <c r="DA39" i="8"/>
  <c r="DA48" i="8"/>
  <c r="DB39" i="8"/>
  <c r="DB48" i="8"/>
  <c r="CW153" i="8"/>
  <c r="CX154" i="8" s="1"/>
  <c r="CO153" i="8"/>
  <c r="CP154" i="8" s="1"/>
  <c r="CG153" i="8"/>
  <c r="CH154" i="8" s="1"/>
  <c r="BY153" i="8"/>
  <c r="BZ154" i="8" s="1"/>
  <c r="BQ153" i="8"/>
  <c r="BR154" i="8" s="1"/>
  <c r="BI153" i="8"/>
  <c r="BJ154" i="8" s="1"/>
  <c r="BA153" i="8"/>
  <c r="BB154" i="8" s="1"/>
  <c r="AS153" i="8"/>
  <c r="AT154" i="8" s="1"/>
  <c r="AK153" i="8"/>
  <c r="AL154" i="8" s="1"/>
  <c r="AC153" i="8"/>
  <c r="AD154" i="8" s="1"/>
  <c r="U153" i="8"/>
  <c r="V154" i="8" s="1"/>
  <c r="CX153" i="8"/>
  <c r="CY154" i="8" s="1"/>
  <c r="CP153" i="8"/>
  <c r="CQ154" i="8" s="1"/>
  <c r="CH153" i="8"/>
  <c r="CI154" i="8" s="1"/>
  <c r="BZ153" i="8"/>
  <c r="CA154" i="8" s="1"/>
  <c r="BR153" i="8"/>
  <c r="BS154" i="8" s="1"/>
  <c r="BJ153" i="8"/>
  <c r="BK154" i="8" s="1"/>
  <c r="BB153" i="8"/>
  <c r="BC154" i="8" s="1"/>
  <c r="AT153" i="8"/>
  <c r="AU154" i="8" s="1"/>
  <c r="AL153" i="8"/>
  <c r="AM154" i="8" s="1"/>
  <c r="AD153" i="8"/>
  <c r="AE154" i="8" s="1"/>
  <c r="V153" i="8"/>
  <c r="W154" i="8" s="1"/>
  <c r="CY153" i="8"/>
  <c r="CZ154" i="8" s="1"/>
  <c r="CQ153" i="8"/>
  <c r="CR154" i="8" s="1"/>
  <c r="CI153" i="8"/>
  <c r="CJ154" i="8" s="1"/>
  <c r="CA153" i="8"/>
  <c r="CB154" i="8" s="1"/>
  <c r="BS153" i="8"/>
  <c r="BT154" i="8" s="1"/>
  <c r="BK153" i="8"/>
  <c r="BL154" i="8" s="1"/>
  <c r="BC153" i="8"/>
  <c r="BD154" i="8" s="1"/>
  <c r="AU153" i="8"/>
  <c r="AV154" i="8" s="1"/>
  <c r="AM153" i="8"/>
  <c r="AN154" i="8" s="1"/>
  <c r="AE153" i="8"/>
  <c r="AF154" i="8" s="1"/>
  <c r="W153" i="8"/>
  <c r="X154" i="8" s="1"/>
  <c r="CV153" i="8"/>
  <c r="CW154" i="8" s="1"/>
  <c r="CN153" i="8"/>
  <c r="CO154" i="8" s="1"/>
  <c r="CF153" i="8"/>
  <c r="CG154" i="8" s="1"/>
  <c r="BX153" i="8"/>
  <c r="BY154" i="8" s="1"/>
  <c r="BP153" i="8"/>
  <c r="BQ154" i="8" s="1"/>
  <c r="BH153" i="8"/>
  <c r="BI154" i="8" s="1"/>
  <c r="AZ153" i="8"/>
  <c r="BA154" i="8" s="1"/>
  <c r="AR153" i="8"/>
  <c r="AS154" i="8" s="1"/>
  <c r="AJ153" i="8"/>
  <c r="AK154" i="8" s="1"/>
  <c r="AB153" i="8"/>
  <c r="AC154" i="8" s="1"/>
  <c r="T153" i="8"/>
  <c r="U154" i="8" s="1"/>
  <c r="H83" i="8"/>
  <c r="J83" i="8"/>
  <c r="I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AP83" i="8"/>
  <c r="AQ83" i="8"/>
  <c r="AR83" i="8"/>
  <c r="AS83" i="8"/>
  <c r="AT83" i="8"/>
  <c r="AU83" i="8"/>
  <c r="AV83" i="8"/>
  <c r="AW83" i="8"/>
  <c r="AX83" i="8"/>
  <c r="AY83" i="8"/>
  <c r="AZ83" i="8"/>
  <c r="BA83" i="8"/>
  <c r="BB83" i="8"/>
  <c r="BC83" i="8"/>
  <c r="BD83" i="8"/>
  <c r="BE83" i="8"/>
  <c r="BF83" i="8"/>
  <c r="BG83" i="8"/>
  <c r="BH83" i="8"/>
  <c r="BI83" i="8"/>
  <c r="BJ83" i="8"/>
  <c r="BK83" i="8"/>
  <c r="BL83" i="8"/>
  <c r="BM83" i="8"/>
  <c r="BN83" i="8"/>
  <c r="BO83" i="8"/>
  <c r="BP83" i="8"/>
  <c r="BQ83" i="8"/>
  <c r="BR83" i="8"/>
  <c r="BS83" i="8"/>
  <c r="BT83" i="8"/>
  <c r="BU83" i="8"/>
  <c r="BV83" i="8"/>
  <c r="BW83" i="8"/>
  <c r="BX83" i="8"/>
  <c r="BY83" i="8"/>
  <c r="BZ83" i="8"/>
  <c r="CA83" i="8"/>
  <c r="CB83" i="8"/>
  <c r="CC83" i="8"/>
  <c r="CD83" i="8"/>
  <c r="CE83" i="8"/>
  <c r="CF83" i="8"/>
  <c r="CG83" i="8"/>
  <c r="CH83" i="8"/>
  <c r="CI83" i="8"/>
  <c r="CJ83" i="8"/>
  <c r="CK83" i="8"/>
  <c r="CL83" i="8"/>
  <c r="CM83" i="8"/>
  <c r="CN83" i="8"/>
  <c r="CO83" i="8"/>
  <c r="CP83" i="8"/>
  <c r="CQ83" i="8"/>
  <c r="CR83" i="8"/>
  <c r="CS83" i="8"/>
  <c r="CT83" i="8"/>
  <c r="CU83" i="8"/>
  <c r="CV83" i="8"/>
  <c r="CW83" i="8"/>
  <c r="CX83" i="8"/>
  <c r="CY83" i="8"/>
  <c r="CZ83" i="8"/>
  <c r="DA83" i="8"/>
  <c r="DB83" i="8"/>
  <c r="CU153" i="8"/>
  <c r="CV154" i="8" s="1"/>
  <c r="CM153" i="8"/>
  <c r="CN154" i="8" s="1"/>
  <c r="CE153" i="8"/>
  <c r="CF154" i="8" s="1"/>
  <c r="BW153" i="8"/>
  <c r="BX154" i="8" s="1"/>
  <c r="BO153" i="8"/>
  <c r="BP154" i="8" s="1"/>
  <c r="BG153" i="8"/>
  <c r="BH154" i="8" s="1"/>
  <c r="AY153" i="8"/>
  <c r="AZ154" i="8" s="1"/>
  <c r="AQ153" i="8"/>
  <c r="AR154" i="8" s="1"/>
  <c r="AI153" i="8"/>
  <c r="AJ154" i="8" s="1"/>
  <c r="AA153" i="8"/>
  <c r="AB154" i="8" s="1"/>
  <c r="S153" i="8"/>
  <c r="T154" i="8" s="1"/>
  <c r="DB153" i="8"/>
  <c r="CT153" i="8"/>
  <c r="CU154" i="8" s="1"/>
  <c r="CL153" i="8"/>
  <c r="CM154" i="8" s="1"/>
  <c r="CD153" i="8"/>
  <c r="CE154" i="8" s="1"/>
  <c r="BV153" i="8"/>
  <c r="BW154" i="8" s="1"/>
  <c r="BN153" i="8"/>
  <c r="BO154" i="8" s="1"/>
  <c r="BF153" i="8"/>
  <c r="BG154" i="8" s="1"/>
  <c r="AX153" i="8"/>
  <c r="AY154" i="8" s="1"/>
  <c r="AP153" i="8"/>
  <c r="AQ154" i="8" s="1"/>
  <c r="AH153" i="8"/>
  <c r="AI154" i="8" s="1"/>
  <c r="Z153" i="8"/>
  <c r="AA154" i="8" s="1"/>
  <c r="R153" i="8"/>
  <c r="S154" i="8" s="1"/>
  <c r="DA153" i="8"/>
  <c r="DB154" i="8" s="1"/>
  <c r="CS153" i="8"/>
  <c r="CT154" i="8" s="1"/>
  <c r="CK153" i="8"/>
  <c r="CL154" i="8" s="1"/>
  <c r="CC153" i="8"/>
  <c r="CD154" i="8" s="1"/>
  <c r="BU153" i="8"/>
  <c r="BV154" i="8" s="1"/>
  <c r="BM153" i="8"/>
  <c r="BN154" i="8" s="1"/>
  <c r="BE153" i="8"/>
  <c r="BF154" i="8" s="1"/>
  <c r="AW153" i="8"/>
  <c r="AX154" i="8" s="1"/>
  <c r="AO153" i="8"/>
  <c r="AP154" i="8" s="1"/>
  <c r="AG153" i="8"/>
  <c r="AH154" i="8" s="1"/>
  <c r="Y153" i="8"/>
  <c r="Z154" i="8" s="1"/>
  <c r="Q153" i="8"/>
  <c r="R154" i="8" s="1"/>
  <c r="CZ153" i="8"/>
  <c r="DA154" i="8" s="1"/>
  <c r="CR153" i="8"/>
  <c r="CS154" i="8" s="1"/>
  <c r="CJ153" i="8"/>
  <c r="CK154" i="8" s="1"/>
  <c r="CB153" i="8"/>
  <c r="CC154" i="8" s="1"/>
  <c r="BT153" i="8"/>
  <c r="BU154" i="8" s="1"/>
  <c r="BL153" i="8"/>
  <c r="BM154" i="8" s="1"/>
  <c r="BD153" i="8"/>
  <c r="BE154" i="8" s="1"/>
  <c r="AV153" i="8"/>
  <c r="AW154" i="8" s="1"/>
  <c r="AN153" i="8"/>
  <c r="AO154" i="8" s="1"/>
  <c r="AF153" i="8"/>
  <c r="AG154" i="8" s="1"/>
  <c r="X153" i="8"/>
  <c r="Y154" i="8" s="1"/>
  <c r="H153" i="8"/>
  <c r="I154" i="8" s="1"/>
  <c r="K153" i="8"/>
  <c r="L154" i="8" s="1"/>
  <c r="J153" i="8"/>
  <c r="K154" i="8" s="1"/>
  <c r="I153" i="8"/>
  <c r="J154" i="8" s="1"/>
  <c r="L153" i="8"/>
  <c r="M154" i="8" s="1"/>
  <c r="M153" i="8"/>
  <c r="N154" i="8" s="1"/>
  <c r="N153" i="8"/>
  <c r="O154" i="8" s="1"/>
  <c r="O153" i="8"/>
  <c r="P154" i="8" s="1"/>
  <c r="P153" i="8"/>
  <c r="Q154" i="8" s="1"/>
  <c r="BZ114" i="5"/>
  <c r="BZ113" i="5" s="1"/>
  <c r="BY18" i="4"/>
  <c r="AV114" i="5"/>
  <c r="AV113" i="5" s="1"/>
  <c r="AU18" i="4"/>
  <c r="BH114" i="5"/>
  <c r="BH113" i="5" s="1"/>
  <c r="BG18" i="4"/>
  <c r="CS114" i="5"/>
  <c r="CS113" i="5" s="1"/>
  <c r="CR18" i="4"/>
  <c r="T114" i="5"/>
  <c r="S18" i="4"/>
  <c r="X114" i="5"/>
  <c r="X113" i="5" s="1"/>
  <c r="W18" i="4"/>
  <c r="CZ114" i="5"/>
  <c r="CZ113" i="5" s="1"/>
  <c r="CY18" i="4"/>
  <c r="U114" i="5"/>
  <c r="U113" i="5" s="1"/>
  <c r="T18" i="4"/>
  <c r="AG114" i="5"/>
  <c r="AG113" i="5" s="1"/>
  <c r="AF18" i="4"/>
  <c r="CP114" i="5"/>
  <c r="CP113" i="5" s="1"/>
  <c r="CO18" i="4"/>
  <c r="R113" i="4"/>
  <c r="R18" i="4"/>
  <c r="CE114" i="5"/>
  <c r="CE113" i="5" s="1"/>
  <c r="CD18" i="4"/>
  <c r="DC114" i="5"/>
  <c r="DC113" i="5" s="1"/>
  <c r="DB18" i="4"/>
  <c r="AM114" i="5"/>
  <c r="AM113" i="5" s="1"/>
  <c r="AL18" i="4"/>
  <c r="DK114" i="5"/>
  <c r="DK113" i="5" s="1"/>
  <c r="DJ18" i="4"/>
  <c r="AS114" i="5"/>
  <c r="AS113" i="5" s="1"/>
  <c r="AR18" i="4"/>
  <c r="AC114" i="5"/>
  <c r="AC113" i="5" s="1"/>
  <c r="AB18" i="4"/>
  <c r="AK114" i="5"/>
  <c r="AK113" i="5" s="1"/>
  <c r="AJ18" i="4"/>
  <c r="BI114" i="5"/>
  <c r="BI113" i="5" s="1"/>
  <c r="BH18" i="4"/>
  <c r="AT114" i="5"/>
  <c r="AT113" i="5" s="1"/>
  <c r="AS18" i="4"/>
  <c r="BR114" i="5"/>
  <c r="BR113" i="5" s="1"/>
  <c r="BQ18" i="4"/>
  <c r="BD114" i="5"/>
  <c r="BD113" i="5" s="1"/>
  <c r="BC18" i="4"/>
  <c r="CB114" i="5"/>
  <c r="CB113" i="5" s="1"/>
  <c r="CA18" i="4"/>
  <c r="AW114" i="5"/>
  <c r="AW113" i="5" s="1"/>
  <c r="AV18" i="4"/>
  <c r="BU114" i="5"/>
  <c r="BU113" i="5" s="1"/>
  <c r="BT18" i="4"/>
  <c r="CC114" i="5"/>
  <c r="CC113" i="5" s="1"/>
  <c r="CB18" i="4"/>
  <c r="BN114" i="5"/>
  <c r="BN113" i="5" s="1"/>
  <c r="BM18" i="4"/>
  <c r="AI114" i="5"/>
  <c r="AI113" i="5" s="1"/>
  <c r="AH18" i="4"/>
  <c r="DL114" i="5"/>
  <c r="DL113" i="5" s="1"/>
  <c r="DK18" i="4"/>
  <c r="CU114" i="5"/>
  <c r="CU113" i="5" s="1"/>
  <c r="CT18" i="4"/>
  <c r="W114" i="5"/>
  <c r="W113" i="5" s="1"/>
  <c r="V18" i="4"/>
  <c r="BO114" i="5"/>
  <c r="BO113" i="5" s="1"/>
  <c r="BN18" i="4"/>
  <c r="CV114" i="5"/>
  <c r="CV113" i="5" s="1"/>
  <c r="CU18" i="4"/>
  <c r="AB114" i="5"/>
  <c r="AB113" i="5" s="1"/>
  <c r="AA18" i="4"/>
  <c r="AF114" i="5"/>
  <c r="AF113" i="5" s="1"/>
  <c r="AE18" i="4"/>
  <c r="CR114" i="5"/>
  <c r="CR113" i="5" s="1"/>
  <c r="CQ18" i="4"/>
  <c r="BQ114" i="5"/>
  <c r="BQ113" i="5" s="1"/>
  <c r="BP18" i="4"/>
  <c r="AL114" i="5"/>
  <c r="AL113" i="5" s="1"/>
  <c r="AK18" i="4"/>
  <c r="CL114" i="5"/>
  <c r="CL113" i="5" s="1"/>
  <c r="CK18" i="4"/>
  <c r="BK114" i="5"/>
  <c r="BK113" i="5" s="1"/>
  <c r="BJ18" i="4"/>
  <c r="CD114" i="5"/>
  <c r="CD113" i="5" s="1"/>
  <c r="CC18" i="4"/>
  <c r="CJ114" i="5"/>
  <c r="CJ113" i="5" s="1"/>
  <c r="CI18" i="4"/>
  <c r="AO114" i="5"/>
  <c r="AO113" i="5" s="1"/>
  <c r="AN18" i="4"/>
  <c r="BA114" i="5"/>
  <c r="BA113" i="5" s="1"/>
  <c r="AZ18" i="4"/>
  <c r="Z114" i="5"/>
  <c r="Z113" i="5" s="1"/>
  <c r="Y18" i="4"/>
  <c r="BF114" i="5"/>
  <c r="BF113" i="5" s="1"/>
  <c r="BE18" i="4"/>
  <c r="CT114" i="5"/>
  <c r="CT113" i="5" s="1"/>
  <c r="CS18" i="4"/>
  <c r="AD114" i="5"/>
  <c r="AD113" i="5" s="1"/>
  <c r="AC18" i="4"/>
  <c r="CN114" i="5"/>
  <c r="CN113" i="5" s="1"/>
  <c r="CM18" i="4"/>
  <c r="BG114" i="5"/>
  <c r="BG113" i="5" s="1"/>
  <c r="BF18" i="4"/>
  <c r="CA114" i="5"/>
  <c r="CA113" i="5" s="1"/>
  <c r="BZ18" i="4"/>
  <c r="AH114" i="5"/>
  <c r="AH113" i="5" s="1"/>
  <c r="AG18" i="4"/>
  <c r="AP114" i="5"/>
  <c r="AP113" i="5" s="1"/>
  <c r="AO18" i="4"/>
  <c r="AQ114" i="5"/>
  <c r="AQ113" i="5" s="1"/>
  <c r="AP18" i="4"/>
  <c r="AY114" i="5"/>
  <c r="AX18" i="4"/>
  <c r="DD114" i="5"/>
  <c r="DD113" i="5" s="1"/>
  <c r="DC18" i="4"/>
  <c r="CY114" i="5"/>
  <c r="CY113" i="5" s="1"/>
  <c r="CX18" i="4"/>
  <c r="DH114" i="5"/>
  <c r="DH113" i="5" s="1"/>
  <c r="DG18" i="4"/>
  <c r="AN114" i="5"/>
  <c r="AN113" i="5" s="1"/>
  <c r="AM18" i="4"/>
  <c r="CG114" i="5"/>
  <c r="CG113" i="5" s="1"/>
  <c r="CF18" i="4"/>
  <c r="DM114" i="5"/>
  <c r="DM113" i="5" s="1"/>
  <c r="DL18" i="4"/>
  <c r="CK114" i="5"/>
  <c r="CK113" i="5" s="1"/>
  <c r="CJ18" i="4"/>
  <c r="BJ114" i="5"/>
  <c r="BJ113" i="5" s="1"/>
  <c r="BI18" i="4"/>
  <c r="CX114" i="5"/>
  <c r="CX113" i="5" s="1"/>
  <c r="CW18" i="4"/>
  <c r="CM114" i="5"/>
  <c r="CM113" i="5" s="1"/>
  <c r="CL18" i="4"/>
  <c r="CQ114" i="5"/>
  <c r="CQ113" i="5" s="1"/>
  <c r="CP18" i="4"/>
  <c r="BP114" i="5"/>
  <c r="BP113" i="5" s="1"/>
  <c r="BO18" i="4"/>
  <c r="AZ114" i="5"/>
  <c r="AZ113" i="5" s="1"/>
  <c r="AY18" i="4"/>
  <c r="BY114" i="5"/>
  <c r="BY113" i="5" s="1"/>
  <c r="BX18" i="4"/>
  <c r="CW114" i="5"/>
  <c r="CW113" i="5" s="1"/>
  <c r="CV18" i="4"/>
  <c r="DI114" i="5"/>
  <c r="DI113" i="5" s="1"/>
  <c r="DH18" i="4"/>
  <c r="BM114" i="5"/>
  <c r="BM113" i="5" s="1"/>
  <c r="BL18" i="4"/>
  <c r="V114" i="5"/>
  <c r="V113" i="5" s="1"/>
  <c r="U18" i="4"/>
  <c r="DB114" i="5"/>
  <c r="DB113" i="5" s="1"/>
  <c r="DA18" i="4"/>
  <c r="DF114" i="5"/>
  <c r="DF113" i="5" s="1"/>
  <c r="DE18" i="4"/>
  <c r="L98" i="8"/>
  <c r="T98" i="8"/>
  <c r="AB98" i="8"/>
  <c r="AJ98" i="8"/>
  <c r="AR98" i="8"/>
  <c r="AZ98" i="8"/>
  <c r="BH98" i="8"/>
  <c r="BP98" i="8"/>
  <c r="BX98" i="8"/>
  <c r="CF98" i="8"/>
  <c r="CN98" i="8"/>
  <c r="CV98" i="8"/>
  <c r="AD98" i="8"/>
  <c r="AL98" i="8"/>
  <c r="BJ98" i="8"/>
  <c r="AM98" i="8"/>
  <c r="BS98" i="8"/>
  <c r="AV98" i="8"/>
  <c r="M98" i="8"/>
  <c r="U98" i="8"/>
  <c r="AC98" i="8"/>
  <c r="AK98" i="8"/>
  <c r="AS98" i="8"/>
  <c r="BA98" i="8"/>
  <c r="BI98" i="8"/>
  <c r="BQ98" i="8"/>
  <c r="BY98" i="8"/>
  <c r="CG98" i="8"/>
  <c r="CO98" i="8"/>
  <c r="CW98" i="8"/>
  <c r="N98" i="8"/>
  <c r="BB98" i="8"/>
  <c r="BR98" i="8"/>
  <c r="CP98" i="8"/>
  <c r="BC98" i="8"/>
  <c r="CI98" i="8"/>
  <c r="BT98" i="8"/>
  <c r="BZ98" i="8"/>
  <c r="CR98" i="8"/>
  <c r="O98" i="8"/>
  <c r="W98" i="8"/>
  <c r="BK98" i="8"/>
  <c r="CA98" i="8"/>
  <c r="H98" i="8"/>
  <c r="P98" i="8"/>
  <c r="X98" i="8"/>
  <c r="AF98" i="8"/>
  <c r="AN98" i="8"/>
  <c r="CB98" i="8"/>
  <c r="CJ98" i="8"/>
  <c r="J98" i="8"/>
  <c r="Q98" i="8"/>
  <c r="Y98" i="8"/>
  <c r="AG98" i="8"/>
  <c r="AO98" i="8"/>
  <c r="AW98" i="8"/>
  <c r="BE98" i="8"/>
  <c r="BM98" i="8"/>
  <c r="BU98" i="8"/>
  <c r="CC98" i="8"/>
  <c r="CK98" i="8"/>
  <c r="CS98" i="8"/>
  <c r="I98" i="8"/>
  <c r="R98" i="8"/>
  <c r="Z98" i="8"/>
  <c r="AH98" i="8"/>
  <c r="AP98" i="8"/>
  <c r="AX98" i="8"/>
  <c r="BF98" i="8"/>
  <c r="BN98" i="8"/>
  <c r="BV98" i="8"/>
  <c r="CD98" i="8"/>
  <c r="CL98" i="8"/>
  <c r="CT98" i="8"/>
  <c r="S98" i="8"/>
  <c r="AA98" i="8"/>
  <c r="AQ98" i="8"/>
  <c r="AY98" i="8"/>
  <c r="BO98" i="8"/>
  <c r="CE98" i="8"/>
  <c r="CU98" i="8"/>
  <c r="AT98" i="8"/>
  <c r="AE98" i="8"/>
  <c r="CQ98" i="8"/>
  <c r="CX98" i="8"/>
  <c r="BD98" i="8"/>
  <c r="K98" i="8"/>
  <c r="AI98" i="8"/>
  <c r="BG98" i="8"/>
  <c r="BW98" i="8"/>
  <c r="CM98" i="8"/>
  <c r="CY98" i="8"/>
  <c r="V98" i="8"/>
  <c r="CH98" i="8"/>
  <c r="AU98" i="8"/>
  <c r="BL98" i="8"/>
  <c r="CZ98" i="8"/>
  <c r="DA98" i="8"/>
  <c r="DB98" i="8"/>
  <c r="CH114" i="5"/>
  <c r="CH113" i="5" s="1"/>
  <c r="CG18" i="4"/>
  <c r="AE114" i="5"/>
  <c r="AE113" i="5" s="1"/>
  <c r="AD18" i="4"/>
  <c r="AU114" i="5"/>
  <c r="AU113" i="5" s="1"/>
  <c r="AT18" i="4"/>
  <c r="BW114" i="5"/>
  <c r="BW113" i="5" s="1"/>
  <c r="BV18" i="4"/>
  <c r="CI114" i="5"/>
  <c r="CI113" i="5" s="1"/>
  <c r="CH18" i="4"/>
  <c r="BB114" i="5"/>
  <c r="BB113" i="5" s="1"/>
  <c r="BA18" i="4"/>
  <c r="BV114" i="5"/>
  <c r="BV113" i="5" s="1"/>
  <c r="BU18" i="4"/>
  <c r="AA114" i="5"/>
  <c r="AA113" i="5" s="1"/>
  <c r="Z18" i="4"/>
  <c r="BC114" i="5"/>
  <c r="BC113" i="5" s="1"/>
  <c r="BB18" i="4"/>
  <c r="BS114" i="5"/>
  <c r="BS113" i="5" s="1"/>
  <c r="BR18" i="4"/>
  <c r="DG114" i="5"/>
  <c r="DG113" i="5" s="1"/>
  <c r="DF18" i="4"/>
  <c r="CF114" i="5"/>
  <c r="CF113" i="5" s="1"/>
  <c r="CE18" i="4"/>
  <c r="AJ114" i="5"/>
  <c r="AJ113" i="5" s="1"/>
  <c r="AI18" i="4"/>
  <c r="AR114" i="5"/>
  <c r="AR113" i="5" s="1"/>
  <c r="AQ18" i="4"/>
  <c r="BL114" i="5"/>
  <c r="BL113" i="5" s="1"/>
  <c r="BK18" i="4"/>
  <c r="BT114" i="5"/>
  <c r="BT113" i="5" s="1"/>
  <c r="BS18" i="4"/>
  <c r="BX114" i="5"/>
  <c r="BX113" i="5" s="1"/>
  <c r="BW18" i="4"/>
  <c r="Y114" i="5"/>
  <c r="Y113" i="5" s="1"/>
  <c r="X18" i="4"/>
  <c r="BE114" i="5"/>
  <c r="BE113" i="5" s="1"/>
  <c r="BD18" i="4"/>
  <c r="CO114" i="5"/>
  <c r="CO113" i="5" s="1"/>
  <c r="CN18" i="4"/>
  <c r="DA114" i="5"/>
  <c r="DA113" i="5" s="1"/>
  <c r="CZ18" i="4"/>
  <c r="DE114" i="5"/>
  <c r="DE113" i="5" s="1"/>
  <c r="DD18" i="4"/>
  <c r="DJ114" i="5"/>
  <c r="DJ113" i="5" s="1"/>
  <c r="DI18" i="4"/>
  <c r="AX114" i="5"/>
  <c r="AX113" i="5" s="1"/>
  <c r="AW18" i="4"/>
  <c r="L58" i="1"/>
  <c r="E143" i="8" s="1"/>
  <c r="AX134" i="5"/>
  <c r="BZ134" i="5"/>
  <c r="CH134" i="5"/>
  <c r="DG134" i="5"/>
  <c r="CI134" i="5"/>
  <c r="AZ134" i="5"/>
  <c r="DH134" i="5"/>
  <c r="BP134" i="5"/>
  <c r="CF134" i="5"/>
  <c r="AJ134" i="5"/>
  <c r="AG134" i="5"/>
  <c r="BA134" i="5"/>
  <c r="CW134" i="5"/>
  <c r="AC134" i="5"/>
  <c r="BJ134" i="5"/>
  <c r="V134" i="5"/>
  <c r="BF134" i="5"/>
  <c r="AI134" i="5"/>
  <c r="AQ134" i="5"/>
  <c r="BK134" i="5"/>
  <c r="BS134" i="5"/>
  <c r="BW134" i="5"/>
  <c r="BT134" i="5"/>
  <c r="BH134" i="5"/>
  <c r="AB134" i="5"/>
  <c r="AO134" i="5"/>
  <c r="AS134" i="5"/>
  <c r="DA134" i="5"/>
  <c r="DE134" i="5"/>
  <c r="DM134" i="5"/>
  <c r="CC134" i="5"/>
  <c r="CK134" i="5"/>
  <c r="BV134" i="5"/>
  <c r="CY134" i="5"/>
  <c r="DI134" i="5"/>
  <c r="BO134" i="5"/>
  <c r="W134" i="5"/>
  <c r="AV134" i="5"/>
  <c r="CX134" i="5"/>
  <c r="Y134" i="5"/>
  <c r="BM134" i="5"/>
  <c r="BU134" i="5"/>
  <c r="BN134" i="5"/>
  <c r="CP134" i="5"/>
  <c r="DD134" i="5"/>
  <c r="S134" i="5"/>
  <c r="AA134" i="5"/>
  <c r="BC134" i="5"/>
  <c r="BG134" i="5"/>
  <c r="AM134" i="5"/>
  <c r="CM134" i="5"/>
  <c r="CB134" i="5"/>
  <c r="DF134" i="5"/>
  <c r="CS134" i="5"/>
  <c r="DL134" i="5"/>
  <c r="T134" i="5"/>
  <c r="X134" i="5"/>
  <c r="CT134" i="5"/>
  <c r="BR134" i="5"/>
  <c r="CD134" i="5"/>
  <c r="AY134" i="5"/>
  <c r="CJ134" i="5"/>
  <c r="CZ134" i="5"/>
  <c r="CL134" i="5"/>
  <c r="CR134" i="5"/>
  <c r="BD134" i="5"/>
  <c r="CO134" i="5"/>
  <c r="AD134" i="5"/>
  <c r="AU134" i="5"/>
  <c r="CA134" i="5"/>
  <c r="BX134" i="5"/>
  <c r="BE134" i="5"/>
  <c r="BY134" i="5"/>
  <c r="AT134" i="5"/>
  <c r="AP134" i="5"/>
  <c r="Z134" i="5"/>
  <c r="DB134" i="5"/>
  <c r="BB134" i="5"/>
  <c r="DJ134" i="5"/>
  <c r="CU134" i="5"/>
  <c r="CE134" i="5"/>
  <c r="DC134" i="5"/>
  <c r="CQ134" i="5"/>
  <c r="BL134" i="5"/>
  <c r="CV134" i="5"/>
  <c r="AN134" i="5"/>
  <c r="AR134" i="5"/>
  <c r="U134" i="5"/>
  <c r="BQ134" i="5"/>
  <c r="CG134" i="5"/>
  <c r="AW134" i="5"/>
  <c r="BI134" i="5"/>
  <c r="AL134" i="5"/>
  <c r="AH134" i="5"/>
  <c r="AE134" i="5"/>
  <c r="DK134" i="5"/>
  <c r="CN134" i="5"/>
  <c r="AF134" i="5"/>
  <c r="AK134" i="5"/>
  <c r="I16" i="8"/>
  <c r="U9" i="5"/>
  <c r="G69" i="1" s="1"/>
  <c r="J10" i="10"/>
  <c r="AE53" i="1"/>
  <c r="AG53" i="1" s="1"/>
  <c r="AD53" i="1"/>
  <c r="AF53" i="1" s="1"/>
  <c r="AD62" i="1"/>
  <c r="AF62" i="1" s="1"/>
  <c r="AE62" i="1"/>
  <c r="AG62" i="1" s="1"/>
  <c r="AD58" i="1"/>
  <c r="AF58" i="1" s="1"/>
  <c r="AE58" i="1"/>
  <c r="AG58" i="1" s="1"/>
  <c r="AE71" i="1"/>
  <c r="AG71" i="1" s="1"/>
  <c r="AD71" i="1"/>
  <c r="AF71" i="1" s="1"/>
  <c r="AD64" i="1"/>
  <c r="AF64" i="1" s="1"/>
  <c r="AE64" i="1"/>
  <c r="AG64" i="1" s="1"/>
  <c r="AD50" i="1"/>
  <c r="AF50" i="1" s="1"/>
  <c r="AE50" i="1"/>
  <c r="AG50" i="1" s="1"/>
  <c r="AE61" i="1"/>
  <c r="AG61" i="1" s="1"/>
  <c r="AD61" i="1"/>
  <c r="AF61" i="1" s="1"/>
  <c r="AE67" i="1"/>
  <c r="AG67" i="1" s="1"/>
  <c r="AD67" i="1"/>
  <c r="AF67" i="1" s="1"/>
  <c r="AE66" i="1"/>
  <c r="AG66" i="1" s="1"/>
  <c r="AD66" i="1"/>
  <c r="AF66" i="1" s="1"/>
  <c r="AD49" i="1"/>
  <c r="AF49" i="1" s="1"/>
  <c r="AE49" i="1"/>
  <c r="AG49" i="1" s="1"/>
  <c r="AD60" i="1"/>
  <c r="AF60" i="1" s="1"/>
  <c r="AE60" i="1"/>
  <c r="AG60" i="1" s="1"/>
  <c r="AD52" i="1"/>
  <c r="AF52" i="1" s="1"/>
  <c r="AE52" i="1"/>
  <c r="AG52" i="1" s="1"/>
  <c r="AE55" i="1"/>
  <c r="AG55" i="1" s="1"/>
  <c r="AD55" i="1"/>
  <c r="AF55" i="1" s="1"/>
  <c r="AE69" i="1"/>
  <c r="AG69" i="1" s="1"/>
  <c r="AD69" i="1"/>
  <c r="AF69" i="1" s="1"/>
  <c r="AE57" i="1"/>
  <c r="AG57" i="1" s="1"/>
  <c r="AD57" i="1"/>
  <c r="AF57" i="1" s="1"/>
  <c r="AE68" i="1"/>
  <c r="AG68" i="1" s="1"/>
  <c r="AD68" i="1"/>
  <c r="AF68" i="1" s="1"/>
  <c r="AE63" i="1"/>
  <c r="AG63" i="1" s="1"/>
  <c r="AD63" i="1"/>
  <c r="AF63" i="1" s="1"/>
  <c r="AD51" i="1"/>
  <c r="AF51" i="1" s="1"/>
  <c r="AE51" i="1"/>
  <c r="AG51" i="1" s="1"/>
  <c r="AD65" i="1"/>
  <c r="AF65" i="1" s="1"/>
  <c r="AE65" i="1"/>
  <c r="AG65" i="1" s="1"/>
  <c r="AD54" i="1"/>
  <c r="AF54" i="1" s="1"/>
  <c r="AE54" i="1"/>
  <c r="AG54" i="1" s="1"/>
  <c r="AD56" i="1"/>
  <c r="AF56" i="1" s="1"/>
  <c r="AE56" i="1"/>
  <c r="AG56" i="1" s="1"/>
  <c r="AD59" i="1"/>
  <c r="AF59" i="1" s="1"/>
  <c r="AE59" i="1"/>
  <c r="AG59" i="1" s="1"/>
  <c r="F68" i="7"/>
  <c r="F72" i="7"/>
  <c r="F71" i="7"/>
  <c r="F69" i="7"/>
  <c r="AW153" i="4"/>
  <c r="AW200" i="4" s="1"/>
  <c r="AX107" i="5" s="1"/>
  <c r="AX154" i="5"/>
  <c r="BI156" i="4"/>
  <c r="BI203" i="4" s="1"/>
  <c r="BJ110" i="5" s="1"/>
  <c r="BJ157" i="5"/>
  <c r="AO153" i="4"/>
  <c r="AO200" i="4" s="1"/>
  <c r="AP107" i="5" s="1"/>
  <c r="AP154" i="5"/>
  <c r="BA153" i="4"/>
  <c r="BA200" i="4" s="1"/>
  <c r="BB107" i="5" s="1"/>
  <c r="BB154" i="5"/>
  <c r="BQ156" i="4"/>
  <c r="BQ203" i="4" s="1"/>
  <c r="BR110" i="5" s="1"/>
  <c r="BR157" i="5"/>
  <c r="BU152" i="4"/>
  <c r="BU199" i="4" s="1"/>
  <c r="BV106" i="5" s="1"/>
  <c r="BV153" i="5"/>
  <c r="CC155" i="4"/>
  <c r="CC202" i="4" s="1"/>
  <c r="CD62" i="5" s="1"/>
  <c r="CD156" i="5"/>
  <c r="CG155" i="4"/>
  <c r="CG202" i="4" s="1"/>
  <c r="CH109" i="5" s="1"/>
  <c r="CH156" i="5"/>
  <c r="DI153" i="4"/>
  <c r="DI200" i="4" s="1"/>
  <c r="DJ60" i="5" s="1"/>
  <c r="DJ154" i="5"/>
  <c r="CT155" i="4"/>
  <c r="CT202" i="4" s="1"/>
  <c r="CU109" i="5" s="1"/>
  <c r="CU156" i="5"/>
  <c r="DH156" i="4"/>
  <c r="DH203" i="4" s="1"/>
  <c r="DI63" i="5" s="1"/>
  <c r="DI157" i="5"/>
  <c r="Z153" i="4"/>
  <c r="Z200" i="4" s="1"/>
  <c r="AA60" i="5" s="1"/>
  <c r="AA154" i="5"/>
  <c r="AH152" i="4"/>
  <c r="AH199" i="4" s="1"/>
  <c r="AI106" i="5" s="1"/>
  <c r="AI153" i="5"/>
  <c r="AT152" i="4"/>
  <c r="AT199" i="4" s="1"/>
  <c r="AU106" i="5" s="1"/>
  <c r="AU153" i="5"/>
  <c r="BZ153" i="4"/>
  <c r="BZ200" i="4" s="1"/>
  <c r="CA107" i="5" s="1"/>
  <c r="CA154" i="5"/>
  <c r="CH153" i="4"/>
  <c r="CH200" i="4" s="1"/>
  <c r="CI107" i="5" s="1"/>
  <c r="CI154" i="5"/>
  <c r="CL152" i="4"/>
  <c r="CL199" i="4" s="1"/>
  <c r="CM106" i="5" s="1"/>
  <c r="CM153" i="5"/>
  <c r="CP156" i="4"/>
  <c r="CP203" i="4" s="1"/>
  <c r="CQ110" i="5" s="1"/>
  <c r="CQ157" i="5"/>
  <c r="DJ156" i="4"/>
  <c r="DJ203" i="4" s="1"/>
  <c r="DK110" i="5" s="1"/>
  <c r="DK157" i="5"/>
  <c r="AY156" i="4"/>
  <c r="AY203" i="4" s="1"/>
  <c r="AZ110" i="5" s="1"/>
  <c r="AZ157" i="5"/>
  <c r="BK155" i="4"/>
  <c r="BK202" i="4" s="1"/>
  <c r="BL109" i="5" s="1"/>
  <c r="BL156" i="5"/>
  <c r="CY153" i="4"/>
  <c r="CY200" i="4" s="1"/>
  <c r="CZ60" i="5" s="1"/>
  <c r="CZ154" i="5"/>
  <c r="DG152" i="4"/>
  <c r="DG199" i="4" s="1"/>
  <c r="DH106" i="5" s="1"/>
  <c r="DH153" i="5"/>
  <c r="DE156" i="4"/>
  <c r="DE203" i="4" s="1"/>
  <c r="DF110" i="5" s="1"/>
  <c r="DF157" i="5"/>
  <c r="DE152" i="4"/>
  <c r="DE199" i="4" s="1"/>
  <c r="DF106" i="5" s="1"/>
  <c r="DF153" i="5"/>
  <c r="BO155" i="4"/>
  <c r="BO202" i="4" s="1"/>
  <c r="BP109" i="5" s="1"/>
  <c r="BP156" i="5"/>
  <c r="CU152" i="4"/>
  <c r="CU199" i="4" s="1"/>
  <c r="CV59" i="5" s="1"/>
  <c r="CV153" i="5"/>
  <c r="DK156" i="4"/>
  <c r="DK203" i="4" s="1"/>
  <c r="DL63" i="5" s="1"/>
  <c r="DL157" i="5"/>
  <c r="BC155" i="4"/>
  <c r="BC202" i="4" s="1"/>
  <c r="BD62" i="5" s="1"/>
  <c r="BD156" i="5"/>
  <c r="S153" i="4"/>
  <c r="S200" i="4" s="1"/>
  <c r="T107" i="5" s="1"/>
  <c r="T154" i="5"/>
  <c r="W152" i="4"/>
  <c r="W199" i="4" s="1"/>
  <c r="X59" i="5" s="1"/>
  <c r="X153" i="5"/>
  <c r="AA156" i="4"/>
  <c r="AA203" i="4" s="1"/>
  <c r="AB63" i="5" s="1"/>
  <c r="AB157" i="5"/>
  <c r="AE155" i="4"/>
  <c r="AE202" i="4" s="1"/>
  <c r="AF62" i="5" s="1"/>
  <c r="AF156" i="5"/>
  <c r="AQ153" i="4"/>
  <c r="AQ200" i="4" s="1"/>
  <c r="AR107" i="5" s="1"/>
  <c r="AR154" i="5"/>
  <c r="AQ155" i="4"/>
  <c r="AQ202" i="4" s="1"/>
  <c r="AR62" i="5" s="1"/>
  <c r="AR156" i="5"/>
  <c r="AR153" i="4"/>
  <c r="AR200" i="4" s="1"/>
  <c r="AS60" i="5" s="1"/>
  <c r="AS154" i="5"/>
  <c r="BP152" i="4"/>
  <c r="BP199" i="4" s="1"/>
  <c r="BQ106" i="5" s="1"/>
  <c r="BQ153" i="5"/>
  <c r="BX156" i="4"/>
  <c r="BX203" i="4" s="1"/>
  <c r="BY110" i="5" s="1"/>
  <c r="BY157" i="5"/>
  <c r="DD155" i="4"/>
  <c r="DD202" i="4" s="1"/>
  <c r="DE109" i="5" s="1"/>
  <c r="DE156" i="5"/>
  <c r="DL153" i="4"/>
  <c r="DL200" i="4" s="1"/>
  <c r="DM107" i="5" s="1"/>
  <c r="DM154" i="5"/>
  <c r="AZ152" i="4"/>
  <c r="AZ199" i="4" s="1"/>
  <c r="BA59" i="5" s="1"/>
  <c r="BA153" i="5"/>
  <c r="BH156" i="4"/>
  <c r="BH203" i="4" s="1"/>
  <c r="BI110" i="5" s="1"/>
  <c r="BI157" i="5"/>
  <c r="BL156" i="4"/>
  <c r="BL203" i="4" s="1"/>
  <c r="BM110" i="5" s="1"/>
  <c r="BM157" i="5"/>
  <c r="BT156" i="4"/>
  <c r="BT203" i="4" s="1"/>
  <c r="BU110" i="5" s="1"/>
  <c r="BU157" i="5"/>
  <c r="BT152" i="4"/>
  <c r="BT199" i="4" s="1"/>
  <c r="BU59" i="5" s="1"/>
  <c r="BU153" i="5"/>
  <c r="CV153" i="4"/>
  <c r="CV200" i="4" s="1"/>
  <c r="CW60" i="5" s="1"/>
  <c r="CW154" i="5"/>
  <c r="AB152" i="4"/>
  <c r="AB199" i="4" s="1"/>
  <c r="AC59" i="5" s="1"/>
  <c r="AC153" i="5"/>
  <c r="AJ156" i="4"/>
  <c r="AJ203" i="4" s="1"/>
  <c r="AK63" i="5" s="1"/>
  <c r="AK157" i="5"/>
  <c r="AK155" i="4"/>
  <c r="AK202" i="4" s="1"/>
  <c r="AL62" i="5" s="1"/>
  <c r="AL156" i="5"/>
  <c r="F61" i="7"/>
  <c r="AS152" i="4"/>
  <c r="AS199" i="4" s="1"/>
  <c r="AT106" i="5" s="1"/>
  <c r="AT153" i="5"/>
  <c r="DA155" i="4"/>
  <c r="DA202" i="4" s="1"/>
  <c r="DB109" i="5" s="1"/>
  <c r="DB156" i="5"/>
  <c r="AC155" i="4"/>
  <c r="AC202" i="4" s="1"/>
  <c r="AD109" i="5" s="1"/>
  <c r="AD156" i="5"/>
  <c r="AG153" i="4"/>
  <c r="AG200" i="4" s="1"/>
  <c r="AH60" i="5" s="1"/>
  <c r="AH154" i="5"/>
  <c r="CC156" i="4"/>
  <c r="CC203" i="4" s="1"/>
  <c r="CD110" i="5" s="1"/>
  <c r="CD157" i="5"/>
  <c r="CG156" i="4"/>
  <c r="CG203" i="4" s="1"/>
  <c r="CH63" i="5" s="1"/>
  <c r="CH157" i="5"/>
  <c r="CO152" i="4"/>
  <c r="CO199" i="4" s="1"/>
  <c r="CP59" i="5" s="1"/>
  <c r="CP153" i="5"/>
  <c r="CT152" i="4"/>
  <c r="CT199" i="4" s="1"/>
  <c r="CU59" i="5" s="1"/>
  <c r="CU153" i="5"/>
  <c r="CX153" i="4"/>
  <c r="CX200" i="4" s="1"/>
  <c r="CY107" i="5" s="1"/>
  <c r="CY154" i="5"/>
  <c r="S154" i="5"/>
  <c r="AD153" i="4"/>
  <c r="AD200" i="4" s="1"/>
  <c r="AE107" i="5" s="1"/>
  <c r="AE154" i="5"/>
  <c r="AP152" i="4"/>
  <c r="AP199" i="4" s="1"/>
  <c r="AQ59" i="5" s="1"/>
  <c r="AQ153" i="5"/>
  <c r="AT156" i="4"/>
  <c r="AT203" i="4" s="1"/>
  <c r="AU63" i="5" s="1"/>
  <c r="AU157" i="5"/>
  <c r="AX156" i="4"/>
  <c r="AX203" i="4" s="1"/>
  <c r="AY63" i="5" s="1"/>
  <c r="AY157" i="5"/>
  <c r="BB155" i="4"/>
  <c r="BB202" i="4" s="1"/>
  <c r="BC109" i="5" s="1"/>
  <c r="BC156" i="5"/>
  <c r="BF155" i="4"/>
  <c r="BF202" i="4" s="1"/>
  <c r="BG62" i="5" s="1"/>
  <c r="BG156" i="5"/>
  <c r="BF153" i="4"/>
  <c r="BF200" i="4" s="1"/>
  <c r="BG107" i="5" s="1"/>
  <c r="BG154" i="5"/>
  <c r="BZ152" i="4"/>
  <c r="BZ199" i="4" s="1"/>
  <c r="CA106" i="5" s="1"/>
  <c r="CA153" i="5"/>
  <c r="DB156" i="4"/>
  <c r="DB203" i="4" s="1"/>
  <c r="DC63" i="5" s="1"/>
  <c r="DC157" i="5"/>
  <c r="CH152" i="4"/>
  <c r="CH199" i="4" s="1"/>
  <c r="CI106" i="5" s="1"/>
  <c r="CI153" i="5"/>
  <c r="BK156" i="4"/>
  <c r="BK203" i="4" s="1"/>
  <c r="BL63" i="5" s="1"/>
  <c r="BL157" i="5"/>
  <c r="CA156" i="4"/>
  <c r="CA203" i="4" s="1"/>
  <c r="CB110" i="5" s="1"/>
  <c r="CB157" i="5"/>
  <c r="CI153" i="4"/>
  <c r="CI200" i="4" s="1"/>
  <c r="CJ60" i="5" s="1"/>
  <c r="CJ154" i="5"/>
  <c r="CY152" i="4"/>
  <c r="CY199" i="4" s="1"/>
  <c r="CZ106" i="5" s="1"/>
  <c r="CZ153" i="5"/>
  <c r="CK153" i="4"/>
  <c r="CK200" i="4" s="1"/>
  <c r="CL107" i="5" s="1"/>
  <c r="CL154" i="5"/>
  <c r="CQ156" i="4"/>
  <c r="CQ203" i="4" s="1"/>
  <c r="CR110" i="5" s="1"/>
  <c r="CR157" i="5"/>
  <c r="AU156" i="4"/>
  <c r="AU203" i="4" s="1"/>
  <c r="AV110" i="5" s="1"/>
  <c r="AV157" i="5"/>
  <c r="CE153" i="4"/>
  <c r="CE200" i="4" s="1"/>
  <c r="CF60" i="5" s="1"/>
  <c r="CF154" i="5"/>
  <c r="CM152" i="4"/>
  <c r="CM199" i="4" s="1"/>
  <c r="CN106" i="5" s="1"/>
  <c r="CN153" i="5"/>
  <c r="CU156" i="4"/>
  <c r="CU203" i="4" s="1"/>
  <c r="CV63" i="5" s="1"/>
  <c r="CV157" i="5"/>
  <c r="BC156" i="4"/>
  <c r="BC203" i="4" s="1"/>
  <c r="BD110" i="5" s="1"/>
  <c r="BD157" i="5"/>
  <c r="S152" i="4"/>
  <c r="S199" i="4" s="1"/>
  <c r="T59" i="5" s="1"/>
  <c r="T153" i="5"/>
  <c r="AA153" i="4"/>
  <c r="AA200" i="4" s="1"/>
  <c r="AB107" i="5" s="1"/>
  <c r="AB154" i="5"/>
  <c r="CW156" i="4"/>
  <c r="CW203" i="4" s="1"/>
  <c r="CX63" i="5" s="1"/>
  <c r="CX157" i="5"/>
  <c r="X152" i="4"/>
  <c r="X199" i="4" s="1"/>
  <c r="Y106" i="5" s="1"/>
  <c r="Y153" i="5"/>
  <c r="BD156" i="4"/>
  <c r="BD203" i="4" s="1"/>
  <c r="BE63" i="5" s="1"/>
  <c r="BE157" i="5"/>
  <c r="BD155" i="4"/>
  <c r="BD202" i="4" s="1"/>
  <c r="BE109" i="5" s="1"/>
  <c r="BE156" i="5"/>
  <c r="BD153" i="4"/>
  <c r="BD200" i="4" s="1"/>
  <c r="BE60" i="5" s="1"/>
  <c r="BE154" i="5"/>
  <c r="BP156" i="4"/>
  <c r="BP203" i="4" s="1"/>
  <c r="BQ63" i="5" s="1"/>
  <c r="BQ157" i="5"/>
  <c r="DD153" i="4"/>
  <c r="DD200" i="4" s="1"/>
  <c r="DE107" i="5" s="1"/>
  <c r="DE154" i="5"/>
  <c r="AV152" i="4"/>
  <c r="AV199" i="4" s="1"/>
  <c r="AW106" i="5" s="1"/>
  <c r="AW153" i="5"/>
  <c r="AV153" i="4"/>
  <c r="AV200" i="4" s="1"/>
  <c r="AW107" i="5" s="1"/>
  <c r="AW154" i="5"/>
  <c r="AZ156" i="4"/>
  <c r="AZ203" i="4" s="1"/>
  <c r="BA110" i="5" s="1"/>
  <c r="BA157" i="5"/>
  <c r="BT155" i="4"/>
  <c r="BT202" i="4" s="1"/>
  <c r="BU62" i="5" s="1"/>
  <c r="BU156" i="5"/>
  <c r="AB156" i="4"/>
  <c r="AB203" i="4" s="1"/>
  <c r="AC110" i="5" s="1"/>
  <c r="AC157" i="5"/>
  <c r="Y155" i="4"/>
  <c r="Y202" i="4" s="1"/>
  <c r="Z62" i="5" s="1"/>
  <c r="Z156" i="5"/>
  <c r="AW152" i="4"/>
  <c r="AW199" i="4" s="1"/>
  <c r="AX106" i="5" s="1"/>
  <c r="AX153" i="5"/>
  <c r="AK152" i="4"/>
  <c r="AK199" i="4" s="1"/>
  <c r="AL106" i="5" s="1"/>
  <c r="AL153" i="5"/>
  <c r="BE152" i="4"/>
  <c r="BE199" i="4" s="1"/>
  <c r="BF59" i="5" s="1"/>
  <c r="BF153" i="5"/>
  <c r="BM155" i="4"/>
  <c r="BM202" i="4" s="1"/>
  <c r="BN109" i="5" s="1"/>
  <c r="BN156" i="5"/>
  <c r="DA156" i="4"/>
  <c r="DA203" i="4" s="1"/>
  <c r="DB110" i="5" s="1"/>
  <c r="DB157" i="5"/>
  <c r="AC153" i="4"/>
  <c r="AC200" i="4" s="1"/>
  <c r="AD107" i="5" s="1"/>
  <c r="AD154" i="5"/>
  <c r="AC152" i="4"/>
  <c r="AC199" i="4" s="1"/>
  <c r="AD59" i="5" s="1"/>
  <c r="AD153" i="5"/>
  <c r="BU155" i="4"/>
  <c r="BU202" i="4" s="1"/>
  <c r="BV109" i="5" s="1"/>
  <c r="BV156" i="5"/>
  <c r="BY153" i="4"/>
  <c r="BY200" i="4" s="1"/>
  <c r="BZ60" i="5" s="1"/>
  <c r="BZ154" i="5"/>
  <c r="BY155" i="4"/>
  <c r="BY202" i="4" s="1"/>
  <c r="BZ109" i="5" s="1"/>
  <c r="BZ156" i="5"/>
  <c r="CG152" i="4"/>
  <c r="CG199" i="4" s="1"/>
  <c r="CH59" i="5" s="1"/>
  <c r="CH153" i="5"/>
  <c r="DI152" i="4"/>
  <c r="DI199" i="4" s="1"/>
  <c r="DJ106" i="5" s="1"/>
  <c r="DJ153" i="5"/>
  <c r="DF156" i="4"/>
  <c r="DF203" i="4" s="1"/>
  <c r="DG110" i="5" s="1"/>
  <c r="DG157" i="5"/>
  <c r="DC152" i="4"/>
  <c r="DC199" i="4" s="1"/>
  <c r="DD106" i="5" s="1"/>
  <c r="DD153" i="5"/>
  <c r="DH152" i="4"/>
  <c r="DH199" i="4" s="1"/>
  <c r="DI106" i="5" s="1"/>
  <c r="DI153" i="5"/>
  <c r="DH153" i="4"/>
  <c r="DH200" i="4" s="1"/>
  <c r="DI107" i="5" s="1"/>
  <c r="DI154" i="5"/>
  <c r="R155" i="4"/>
  <c r="R202" i="4" s="1"/>
  <c r="S109" i="5" s="1"/>
  <c r="S156" i="5"/>
  <c r="BR153" i="4"/>
  <c r="BR200" i="4" s="1"/>
  <c r="BS107" i="5" s="1"/>
  <c r="BS154" i="5"/>
  <c r="BV152" i="4"/>
  <c r="BV199" i="4" s="1"/>
  <c r="BW106" i="5" s="1"/>
  <c r="BW153" i="5"/>
  <c r="BZ156" i="4"/>
  <c r="BZ203" i="4" s="1"/>
  <c r="CA110" i="5" s="1"/>
  <c r="CA157" i="5"/>
  <c r="CD156" i="4"/>
  <c r="CD203" i="4" s="1"/>
  <c r="CE110" i="5" s="1"/>
  <c r="CE157" i="5"/>
  <c r="AL152" i="4"/>
  <c r="AL199" i="4" s="1"/>
  <c r="AM59" i="5" s="1"/>
  <c r="AM153" i="5"/>
  <c r="AL153" i="4"/>
  <c r="AL200" i="4" s="1"/>
  <c r="AM107" i="5" s="1"/>
  <c r="AM154" i="5"/>
  <c r="CH156" i="4"/>
  <c r="CH203" i="4" s="1"/>
  <c r="CI63" i="5" s="1"/>
  <c r="CI157" i="5"/>
  <c r="CL156" i="4"/>
  <c r="CL203" i="4" s="1"/>
  <c r="CM110" i="5" s="1"/>
  <c r="CM157" i="5"/>
  <c r="CP153" i="4"/>
  <c r="CP200" i="4" s="1"/>
  <c r="CQ60" i="5" s="1"/>
  <c r="CQ154" i="5"/>
  <c r="CP152" i="4"/>
  <c r="CP199" i="4" s="1"/>
  <c r="CQ106" i="5" s="1"/>
  <c r="CQ153" i="5"/>
  <c r="CP155" i="4"/>
  <c r="CP202" i="4" s="1"/>
  <c r="CQ62" i="5" s="1"/>
  <c r="CQ156" i="5"/>
  <c r="DJ153" i="4"/>
  <c r="DJ200" i="4" s="1"/>
  <c r="DK107" i="5" s="1"/>
  <c r="DK154" i="5"/>
  <c r="BW153" i="4"/>
  <c r="BW200" i="4" s="1"/>
  <c r="BX60" i="5" s="1"/>
  <c r="BX154" i="5"/>
  <c r="CI152" i="4"/>
  <c r="CI199" i="4" s="1"/>
  <c r="CJ59" i="5" s="1"/>
  <c r="CJ153" i="5"/>
  <c r="CY156" i="4"/>
  <c r="CY203" i="4" s="1"/>
  <c r="CZ63" i="5" s="1"/>
  <c r="CZ157" i="5"/>
  <c r="DG155" i="4"/>
  <c r="DG202" i="4" s="1"/>
  <c r="DH62" i="5" s="1"/>
  <c r="DH156" i="5"/>
  <c r="V153" i="4"/>
  <c r="V200" i="4" s="1"/>
  <c r="W60" i="5" s="1"/>
  <c r="W154" i="5"/>
  <c r="BG155" i="4"/>
  <c r="BG202" i="4" s="1"/>
  <c r="BH62" i="5" s="1"/>
  <c r="BH156" i="5"/>
  <c r="BO153" i="4"/>
  <c r="BO200" i="4" s="1"/>
  <c r="BP107" i="5" s="1"/>
  <c r="BP154" i="5"/>
  <c r="CE152" i="4"/>
  <c r="CE199" i="4" s="1"/>
  <c r="CF59" i="5" s="1"/>
  <c r="CF153" i="5"/>
  <c r="CM155" i="4"/>
  <c r="CM202" i="4" s="1"/>
  <c r="CN109" i="5" s="1"/>
  <c r="CN156" i="5"/>
  <c r="CM156" i="4"/>
  <c r="CM203" i="4" s="1"/>
  <c r="CN63" i="5" s="1"/>
  <c r="CN157" i="5"/>
  <c r="S156" i="4"/>
  <c r="S203" i="4" s="1"/>
  <c r="T110" i="5" s="1"/>
  <c r="T157" i="5"/>
  <c r="W155" i="4"/>
  <c r="W202" i="4" s="1"/>
  <c r="X62" i="5" s="1"/>
  <c r="X156" i="5"/>
  <c r="AE153" i="4"/>
  <c r="AE200" i="4" s="1"/>
  <c r="AF107" i="5" s="1"/>
  <c r="AF154" i="5"/>
  <c r="AE156" i="4"/>
  <c r="AE203" i="4" s="1"/>
  <c r="AF63" i="5" s="1"/>
  <c r="AF157" i="5"/>
  <c r="AI155" i="4"/>
  <c r="AI202" i="4" s="1"/>
  <c r="AJ109" i="5" s="1"/>
  <c r="AJ156" i="5"/>
  <c r="CW155" i="4"/>
  <c r="CW202" i="4" s="1"/>
  <c r="CX109" i="5" s="1"/>
  <c r="CX156" i="5"/>
  <c r="AF155" i="4"/>
  <c r="AF202" i="4" s="1"/>
  <c r="AG62" i="5" s="1"/>
  <c r="AG156" i="5"/>
  <c r="AR152" i="4"/>
  <c r="AR199" i="4" s="1"/>
  <c r="AS106" i="5" s="1"/>
  <c r="AS153" i="5"/>
  <c r="BX155" i="4"/>
  <c r="BX202" i="4" s="1"/>
  <c r="BY62" i="5" s="1"/>
  <c r="BY156" i="5"/>
  <c r="DL152" i="4"/>
  <c r="DL199" i="4" s="1"/>
  <c r="DM106" i="5" s="1"/>
  <c r="DM153" i="5"/>
  <c r="BH155" i="4"/>
  <c r="BH202" i="4" s="1"/>
  <c r="BI62" i="5" s="1"/>
  <c r="BI156" i="5"/>
  <c r="CB155" i="4"/>
  <c r="CB202" i="4" s="1"/>
  <c r="CC109" i="5" s="1"/>
  <c r="CC156" i="5"/>
  <c r="CJ155" i="4"/>
  <c r="CJ202" i="4" s="1"/>
  <c r="CK62" i="5" s="1"/>
  <c r="CK156" i="5"/>
  <c r="CV152" i="4"/>
  <c r="CV199" i="4" s="1"/>
  <c r="CW59" i="5" s="1"/>
  <c r="CW153" i="5"/>
  <c r="AB155" i="4"/>
  <c r="AB202" i="4" s="1"/>
  <c r="AC62" i="5" s="1"/>
  <c r="AC156" i="5"/>
  <c r="AS153" i="4"/>
  <c r="AS200" i="4" s="1"/>
  <c r="AT60" i="5" s="1"/>
  <c r="AT154" i="5"/>
  <c r="Y153" i="4"/>
  <c r="Y200" i="4" s="1"/>
  <c r="Z107" i="5" s="1"/>
  <c r="Z154" i="5"/>
  <c r="AK156" i="4"/>
  <c r="AK203" i="4" s="1"/>
  <c r="AL110" i="5" s="1"/>
  <c r="AL157" i="5"/>
  <c r="AK153" i="4"/>
  <c r="AK200" i="4" s="1"/>
  <c r="AL107" i="5" s="1"/>
  <c r="AL154" i="5"/>
  <c r="BM152" i="4"/>
  <c r="BM199" i="4" s="1"/>
  <c r="BN106" i="5" s="1"/>
  <c r="BN153" i="5"/>
  <c r="BM156" i="4"/>
  <c r="BM203" i="4" s="1"/>
  <c r="BN110" i="5" s="1"/>
  <c r="BN157" i="5"/>
  <c r="AC156" i="4"/>
  <c r="AC203" i="4" s="1"/>
  <c r="AD63" i="5" s="1"/>
  <c r="AD157" i="5"/>
  <c r="BU156" i="4"/>
  <c r="BU203" i="4" s="1"/>
  <c r="BV63" i="5" s="1"/>
  <c r="BV157" i="5"/>
  <c r="BY156" i="4"/>
  <c r="BY203" i="4" s="1"/>
  <c r="BZ63" i="5" s="1"/>
  <c r="BZ157" i="5"/>
  <c r="CC153" i="4"/>
  <c r="CC200" i="4" s="1"/>
  <c r="CD60" i="5" s="1"/>
  <c r="CD154" i="5"/>
  <c r="CG153" i="4"/>
  <c r="CG200" i="4" s="1"/>
  <c r="CH60" i="5" s="1"/>
  <c r="CH154" i="5"/>
  <c r="CX156" i="4"/>
  <c r="CX203" i="4" s="1"/>
  <c r="CY63" i="5" s="1"/>
  <c r="CY157" i="5"/>
  <c r="DC156" i="4"/>
  <c r="DC203" i="4" s="1"/>
  <c r="DD63" i="5" s="1"/>
  <c r="DD157" i="5"/>
  <c r="AP156" i="4"/>
  <c r="AP203" i="4" s="1"/>
  <c r="AQ110" i="5" s="1"/>
  <c r="AQ157" i="5"/>
  <c r="AT155" i="4"/>
  <c r="AT202" i="4" s="1"/>
  <c r="AU62" i="5" s="1"/>
  <c r="AU156" i="5"/>
  <c r="AX153" i="4"/>
  <c r="AX200" i="4" s="1"/>
  <c r="AY107" i="5" s="1"/>
  <c r="AY154" i="5"/>
  <c r="BR152" i="4"/>
  <c r="BR199" i="4" s="1"/>
  <c r="BS106" i="5" s="1"/>
  <c r="BS153" i="5"/>
  <c r="DB155" i="4"/>
  <c r="DB202" i="4" s="1"/>
  <c r="DC62" i="5" s="1"/>
  <c r="DC156" i="5"/>
  <c r="DB153" i="4"/>
  <c r="DB200" i="4" s="1"/>
  <c r="DC107" i="5" s="1"/>
  <c r="DC154" i="5"/>
  <c r="DJ155" i="4"/>
  <c r="DJ202" i="4" s="1"/>
  <c r="DK109" i="5" s="1"/>
  <c r="DK156" i="5"/>
  <c r="BK153" i="4"/>
  <c r="BK200" i="4" s="1"/>
  <c r="BL107" i="5" s="1"/>
  <c r="BL154" i="5"/>
  <c r="BS153" i="4"/>
  <c r="BS200" i="4" s="1"/>
  <c r="BT107" i="5" s="1"/>
  <c r="BT154" i="5"/>
  <c r="CA153" i="4"/>
  <c r="CA200" i="4" s="1"/>
  <c r="CB60" i="5" s="1"/>
  <c r="CB154" i="5"/>
  <c r="CA152" i="4"/>
  <c r="CA199" i="4" s="1"/>
  <c r="CB106" i="5" s="1"/>
  <c r="CB153" i="5"/>
  <c r="CY155" i="4"/>
  <c r="CY202" i="4" s="1"/>
  <c r="CZ109" i="5" s="1"/>
  <c r="CZ156" i="5"/>
  <c r="V152" i="4"/>
  <c r="V199" i="4" s="1"/>
  <c r="W106" i="5" s="1"/>
  <c r="W153" i="5"/>
  <c r="CQ152" i="4"/>
  <c r="CQ199" i="4" s="1"/>
  <c r="CR59" i="5" s="1"/>
  <c r="CR153" i="5"/>
  <c r="CR152" i="4"/>
  <c r="CR199" i="4" s="1"/>
  <c r="CS106" i="5" s="1"/>
  <c r="CS153" i="5"/>
  <c r="CR153" i="4"/>
  <c r="CR200" i="4" s="1"/>
  <c r="CS60" i="5" s="1"/>
  <c r="CS154" i="5"/>
  <c r="AU153" i="4"/>
  <c r="AU200" i="4" s="1"/>
  <c r="AV107" i="5" s="1"/>
  <c r="AV154" i="5"/>
  <c r="BO152" i="4"/>
  <c r="BO199" i="4" s="1"/>
  <c r="BP59" i="5" s="1"/>
  <c r="BP153" i="5"/>
  <c r="CE156" i="4"/>
  <c r="CE203" i="4" s="1"/>
  <c r="CF110" i="5" s="1"/>
  <c r="CF157" i="5"/>
  <c r="CM153" i="4"/>
  <c r="CM200" i="4" s="1"/>
  <c r="CN60" i="5" s="1"/>
  <c r="CN154" i="5"/>
  <c r="DK155" i="4"/>
  <c r="DK202" i="4" s="1"/>
  <c r="DL109" i="5" s="1"/>
  <c r="DL156" i="5"/>
  <c r="W156" i="4"/>
  <c r="W203" i="4" s="1"/>
  <c r="X63" i="5" s="1"/>
  <c r="X157" i="5"/>
  <c r="AM153" i="4"/>
  <c r="AM200" i="4" s="1"/>
  <c r="AN107" i="5" s="1"/>
  <c r="AN154" i="5"/>
  <c r="AQ152" i="4"/>
  <c r="AQ199" i="4" s="1"/>
  <c r="AR106" i="5" s="1"/>
  <c r="AR153" i="5"/>
  <c r="AN153" i="4"/>
  <c r="AN200" i="4" s="1"/>
  <c r="AO60" i="5" s="1"/>
  <c r="AO154" i="5"/>
  <c r="AR156" i="4"/>
  <c r="AR203" i="4" s="1"/>
  <c r="AS110" i="5" s="1"/>
  <c r="AS157" i="5"/>
  <c r="CF155" i="4"/>
  <c r="CF202" i="4" s="1"/>
  <c r="CG109" i="5" s="1"/>
  <c r="CG156" i="5"/>
  <c r="CN153" i="4"/>
  <c r="CN200" i="4" s="1"/>
  <c r="CO60" i="5" s="1"/>
  <c r="CO154" i="5"/>
  <c r="DD152" i="4"/>
  <c r="DD199" i="4" s="1"/>
  <c r="DE106" i="5" s="1"/>
  <c r="DE153" i="5"/>
  <c r="DL156" i="4"/>
  <c r="DL203" i="4" s="1"/>
  <c r="DM63" i="5" s="1"/>
  <c r="DM157" i="5"/>
  <c r="CJ153" i="4"/>
  <c r="CJ200" i="4" s="1"/>
  <c r="CK107" i="5" s="1"/>
  <c r="CK154" i="5"/>
  <c r="CV156" i="4"/>
  <c r="CV203" i="4" s="1"/>
  <c r="CW63" i="5" s="1"/>
  <c r="CW157" i="5"/>
  <c r="U156" i="4"/>
  <c r="U203" i="4" s="1"/>
  <c r="V110" i="5" s="1"/>
  <c r="V157" i="5"/>
  <c r="U155" i="4"/>
  <c r="U202" i="4" s="1"/>
  <c r="V62" i="5" s="1"/>
  <c r="V156" i="5"/>
  <c r="U152" i="4"/>
  <c r="U199" i="4" s="1"/>
  <c r="V59" i="5" s="1"/>
  <c r="V153" i="5"/>
  <c r="BE155" i="4"/>
  <c r="BE202" i="4" s="1"/>
  <c r="BF109" i="5" s="1"/>
  <c r="BF156" i="5"/>
  <c r="BI155" i="4"/>
  <c r="BI202" i="4" s="1"/>
  <c r="BJ62" i="5" s="1"/>
  <c r="BJ156" i="5"/>
  <c r="DA153" i="4"/>
  <c r="DA200" i="4" s="1"/>
  <c r="DB107" i="5" s="1"/>
  <c r="DB154" i="5"/>
  <c r="AG152" i="4"/>
  <c r="AG199" i="4" s="1"/>
  <c r="AH59" i="5" s="1"/>
  <c r="AH153" i="5"/>
  <c r="AO156" i="4"/>
  <c r="AO203" i="4" s="1"/>
  <c r="AP110" i="5" s="1"/>
  <c r="AP157" i="5"/>
  <c r="AO152" i="4"/>
  <c r="AO199" i="4" s="1"/>
  <c r="AP59" i="5" s="1"/>
  <c r="AP153" i="5"/>
  <c r="BQ155" i="4"/>
  <c r="BQ202" i="4" s="1"/>
  <c r="BR109" i="5" s="1"/>
  <c r="BR156" i="5"/>
  <c r="BY152" i="4"/>
  <c r="BY199" i="4" s="1"/>
  <c r="BZ106" i="5" s="1"/>
  <c r="BZ153" i="5"/>
  <c r="DF155" i="4"/>
  <c r="DF202" i="4" s="1"/>
  <c r="DG62" i="5" s="1"/>
  <c r="DG156" i="5"/>
  <c r="R152" i="4"/>
  <c r="R199" i="4" s="1"/>
  <c r="S106" i="5" s="1"/>
  <c r="S153" i="5"/>
  <c r="Z152" i="4"/>
  <c r="Z199" i="4" s="1"/>
  <c r="AA59" i="5" s="1"/>
  <c r="AA153" i="5"/>
  <c r="AH156" i="4"/>
  <c r="AH203" i="4" s="1"/>
  <c r="AI110" i="5" s="1"/>
  <c r="AI157" i="5"/>
  <c r="AX155" i="4"/>
  <c r="AX202" i="4" s="1"/>
  <c r="AY62" i="5" s="1"/>
  <c r="AY156" i="5"/>
  <c r="BR156" i="4"/>
  <c r="BR203" i="4" s="1"/>
  <c r="BS110" i="5" s="1"/>
  <c r="BS157" i="5"/>
  <c r="BV156" i="4"/>
  <c r="BV203" i="4" s="1"/>
  <c r="BW63" i="5" s="1"/>
  <c r="BW157" i="5"/>
  <c r="BZ155" i="4"/>
  <c r="BZ202" i="4" s="1"/>
  <c r="CA109" i="5" s="1"/>
  <c r="CA156" i="5"/>
  <c r="CD153" i="4"/>
  <c r="CD200" i="4" s="1"/>
  <c r="CE60" i="5" s="1"/>
  <c r="CE154" i="5"/>
  <c r="AL156" i="4"/>
  <c r="AL203" i="4" s="1"/>
  <c r="AM110" i="5" s="1"/>
  <c r="AM157" i="5"/>
  <c r="BN156" i="4"/>
  <c r="BN203" i="4" s="1"/>
  <c r="BO63" i="5" s="1"/>
  <c r="BO157" i="5"/>
  <c r="CH155" i="4"/>
  <c r="CH202" i="4" s="1"/>
  <c r="CI109" i="5" s="1"/>
  <c r="CI156" i="5"/>
  <c r="CL155" i="4"/>
  <c r="CL202" i="4" s="1"/>
  <c r="CM62" i="5" s="1"/>
  <c r="CM156" i="5"/>
  <c r="CL153" i="4"/>
  <c r="CL200" i="4" s="1"/>
  <c r="CM107" i="5" s="1"/>
  <c r="CM154" i="5"/>
  <c r="AY155" i="4"/>
  <c r="AY202" i="4" s="1"/>
  <c r="AZ109" i="5" s="1"/>
  <c r="AZ156" i="5"/>
  <c r="BS156" i="4"/>
  <c r="BS203" i="4" s="1"/>
  <c r="BT110" i="5" s="1"/>
  <c r="BT157" i="5"/>
  <c r="BW152" i="4"/>
  <c r="BW199" i="4" s="1"/>
  <c r="BX106" i="5" s="1"/>
  <c r="BX153" i="5"/>
  <c r="CI155" i="4"/>
  <c r="CI202" i="4" s="1"/>
  <c r="CJ109" i="5" s="1"/>
  <c r="CJ156" i="5"/>
  <c r="DG153" i="4"/>
  <c r="DG200" i="4" s="1"/>
  <c r="DH107" i="5" s="1"/>
  <c r="DH154" i="5"/>
  <c r="CK152" i="4"/>
  <c r="CK199" i="4" s="1"/>
  <c r="CL59" i="5" s="1"/>
  <c r="CL153" i="5"/>
  <c r="V156" i="4"/>
  <c r="V203" i="4" s="1"/>
  <c r="W110" i="5" s="1"/>
  <c r="W157" i="5"/>
  <c r="CR155" i="4"/>
  <c r="CR202" i="4" s="1"/>
  <c r="CS62" i="5" s="1"/>
  <c r="CS156" i="5"/>
  <c r="CR156" i="4"/>
  <c r="CR203" i="4" s="1"/>
  <c r="CS110" i="5" s="1"/>
  <c r="CS157" i="5"/>
  <c r="BG152" i="4"/>
  <c r="BG199" i="4" s="1"/>
  <c r="BH106" i="5" s="1"/>
  <c r="BH153" i="5"/>
  <c r="BO156" i="4"/>
  <c r="BO203" i="4" s="1"/>
  <c r="BP110" i="5" s="1"/>
  <c r="BP157" i="5"/>
  <c r="CU155" i="4"/>
  <c r="CU202" i="4" s="1"/>
  <c r="CV109" i="5" s="1"/>
  <c r="CV156" i="5"/>
  <c r="DK153" i="4"/>
  <c r="DK200" i="4" s="1"/>
  <c r="DL107" i="5" s="1"/>
  <c r="DL154" i="5"/>
  <c r="AA155" i="4"/>
  <c r="AA202" i="4" s="1"/>
  <c r="AB62" i="5" s="1"/>
  <c r="AB156" i="5"/>
  <c r="AI153" i="4"/>
  <c r="AI200" i="4" s="1"/>
  <c r="AJ107" i="5" s="1"/>
  <c r="AJ154" i="5"/>
  <c r="AM152" i="4"/>
  <c r="AM199" i="4" s="1"/>
  <c r="AN59" i="5" s="1"/>
  <c r="AN153" i="5"/>
  <c r="AQ156" i="4"/>
  <c r="AQ203" i="4" s="1"/>
  <c r="AR110" i="5" s="1"/>
  <c r="AR157" i="5"/>
  <c r="CW152" i="4"/>
  <c r="CW199" i="4" s="1"/>
  <c r="CX59" i="5" s="1"/>
  <c r="CX153" i="5"/>
  <c r="T155" i="4"/>
  <c r="T202" i="4" s="1"/>
  <c r="U109" i="5" s="1"/>
  <c r="U156" i="5"/>
  <c r="X156" i="4"/>
  <c r="X203" i="4" s="1"/>
  <c r="Y63" i="5" s="1"/>
  <c r="Y157" i="5"/>
  <c r="AF152" i="4"/>
  <c r="AF199" i="4" s="1"/>
  <c r="AG106" i="5" s="1"/>
  <c r="AG153" i="5"/>
  <c r="AF153" i="4"/>
  <c r="AF200" i="4" s="1"/>
  <c r="AG60" i="5" s="1"/>
  <c r="AG154" i="5"/>
  <c r="BD152" i="4"/>
  <c r="BD199" i="4" s="1"/>
  <c r="BE106" i="5" s="1"/>
  <c r="BE153" i="5"/>
  <c r="CF153" i="4"/>
  <c r="CF200" i="4" s="1"/>
  <c r="CG60" i="5" s="1"/>
  <c r="CG154" i="5"/>
  <c r="CZ153" i="4"/>
  <c r="CZ200" i="4" s="1"/>
  <c r="DA60" i="5" s="1"/>
  <c r="DA154" i="5"/>
  <c r="DD156" i="4"/>
  <c r="DD203" i="4" s="1"/>
  <c r="DE110" i="5" s="1"/>
  <c r="DE157" i="5"/>
  <c r="AV156" i="4"/>
  <c r="AV203" i="4" s="1"/>
  <c r="AW110" i="5" s="1"/>
  <c r="AW157" i="5"/>
  <c r="CB153" i="4"/>
  <c r="CB200" i="4" s="1"/>
  <c r="CC107" i="5" s="1"/>
  <c r="CC154" i="5"/>
  <c r="AJ155" i="4"/>
  <c r="AJ202" i="4" s="1"/>
  <c r="AK109" i="5" s="1"/>
  <c r="AK156" i="5"/>
  <c r="CS155" i="4"/>
  <c r="CS202" i="4" s="1"/>
  <c r="CT109" i="5" s="1"/>
  <c r="CT156" i="5"/>
  <c r="AS156" i="4"/>
  <c r="AS203" i="4" s="1"/>
  <c r="AT63" i="5" s="1"/>
  <c r="AT157" i="5"/>
  <c r="BA156" i="4"/>
  <c r="BA203" i="4" s="1"/>
  <c r="BB63" i="5" s="1"/>
  <c r="BB157" i="5"/>
  <c r="BA155" i="4"/>
  <c r="BA202" i="4" s="1"/>
  <c r="BB109" i="5" s="1"/>
  <c r="BB156" i="5"/>
  <c r="BU153" i="4"/>
  <c r="BU200" i="4" s="1"/>
  <c r="BV60" i="5" s="1"/>
  <c r="BV154" i="5"/>
  <c r="DI155" i="4"/>
  <c r="DI202" i="4" s="1"/>
  <c r="DJ109" i="5" s="1"/>
  <c r="DJ156" i="5"/>
  <c r="CT156" i="4"/>
  <c r="CT203" i="4" s="1"/>
  <c r="CU63" i="5" s="1"/>
  <c r="CU157" i="5"/>
  <c r="CX152" i="4"/>
  <c r="CX199" i="4" s="1"/>
  <c r="CY106" i="5" s="1"/>
  <c r="CY153" i="5"/>
  <c r="CX155" i="4"/>
  <c r="CX202" i="4" s="1"/>
  <c r="CY62" i="5" s="1"/>
  <c r="CY156" i="5"/>
  <c r="DC153" i="4"/>
  <c r="DC200" i="4" s="1"/>
  <c r="DD107" i="5" s="1"/>
  <c r="DD154" i="5"/>
  <c r="AD156" i="4"/>
  <c r="AD203" i="4" s="1"/>
  <c r="AE63" i="5" s="1"/>
  <c r="AE157" i="5"/>
  <c r="AP155" i="4"/>
  <c r="AP202" i="4" s="1"/>
  <c r="AQ109" i="5" s="1"/>
  <c r="AQ156" i="5"/>
  <c r="AP153" i="4"/>
  <c r="AP200" i="4" s="1"/>
  <c r="AQ60" i="5" s="1"/>
  <c r="AQ154" i="5"/>
  <c r="AX152" i="4"/>
  <c r="AX199" i="4" s="1"/>
  <c r="AY106" i="5" s="1"/>
  <c r="AY153" i="5"/>
  <c r="BB153" i="4"/>
  <c r="BB200" i="4" s="1"/>
  <c r="BC60" i="5" s="1"/>
  <c r="BC154" i="5"/>
  <c r="BF152" i="4"/>
  <c r="BF199" i="4" s="1"/>
  <c r="BG106" i="5" s="1"/>
  <c r="BG153" i="5"/>
  <c r="BJ153" i="4"/>
  <c r="BJ200" i="4" s="1"/>
  <c r="BK107" i="5" s="1"/>
  <c r="BK154" i="5"/>
  <c r="BJ156" i="4"/>
  <c r="BJ203" i="4" s="1"/>
  <c r="BK110" i="5" s="1"/>
  <c r="BK157" i="5"/>
  <c r="CD155" i="4"/>
  <c r="CD202" i="4" s="1"/>
  <c r="CE109" i="5" s="1"/>
  <c r="CE156" i="5"/>
  <c r="DJ152" i="4"/>
  <c r="DJ199" i="4" s="1"/>
  <c r="DK106" i="5" s="1"/>
  <c r="DK153" i="5"/>
  <c r="BS152" i="4"/>
  <c r="BS199" i="4" s="1"/>
  <c r="BT59" i="5" s="1"/>
  <c r="BT153" i="5"/>
  <c r="BW156" i="4"/>
  <c r="BW203" i="4" s="1"/>
  <c r="BX63" i="5" s="1"/>
  <c r="BX157" i="5"/>
  <c r="CA155" i="4"/>
  <c r="CA202" i="4" s="1"/>
  <c r="CB109" i="5" s="1"/>
  <c r="CB156" i="5"/>
  <c r="CQ155" i="4"/>
  <c r="CQ202" i="4" s="1"/>
  <c r="CR62" i="5" s="1"/>
  <c r="CR156" i="5"/>
  <c r="AU152" i="4"/>
  <c r="AU199" i="4" s="1"/>
  <c r="AV106" i="5" s="1"/>
  <c r="AV153" i="5"/>
  <c r="BG156" i="4"/>
  <c r="BG203" i="4" s="1"/>
  <c r="BH63" i="5" s="1"/>
  <c r="BH157" i="5"/>
  <c r="BC153" i="4"/>
  <c r="BC200" i="4" s="1"/>
  <c r="BD107" i="5" s="1"/>
  <c r="BD154" i="5"/>
  <c r="AI152" i="4"/>
  <c r="AI199" i="4" s="1"/>
  <c r="AJ59" i="5" s="1"/>
  <c r="AJ153" i="5"/>
  <c r="CW153" i="4"/>
  <c r="CW200" i="4" s="1"/>
  <c r="CX107" i="5" s="1"/>
  <c r="CX154" i="5"/>
  <c r="T153" i="4"/>
  <c r="T200" i="4" s="1"/>
  <c r="U60" i="5" s="1"/>
  <c r="U154" i="5"/>
  <c r="X155" i="4"/>
  <c r="X202" i="4" s="1"/>
  <c r="Y109" i="5" s="1"/>
  <c r="Y156" i="5"/>
  <c r="X153" i="4"/>
  <c r="X200" i="4" s="1"/>
  <c r="Y60" i="5" s="1"/>
  <c r="Y154" i="5"/>
  <c r="AN155" i="4"/>
  <c r="AN202" i="4" s="1"/>
  <c r="AO62" i="5" s="1"/>
  <c r="AO156" i="5"/>
  <c r="BP155" i="4"/>
  <c r="BP202" i="4" s="1"/>
  <c r="BQ109" i="5" s="1"/>
  <c r="BQ156" i="5"/>
  <c r="BX153" i="4"/>
  <c r="BX200" i="4" s="1"/>
  <c r="BY107" i="5" s="1"/>
  <c r="BY154" i="5"/>
  <c r="CN152" i="4"/>
  <c r="CN199" i="4" s="1"/>
  <c r="CO106" i="5" s="1"/>
  <c r="CO153" i="5"/>
  <c r="CZ156" i="4"/>
  <c r="CZ203" i="4" s="1"/>
  <c r="DA110" i="5" s="1"/>
  <c r="DA157" i="5"/>
  <c r="AZ155" i="4"/>
  <c r="AZ202" i="4" s="1"/>
  <c r="BA109" i="5" s="1"/>
  <c r="BA156" i="5"/>
  <c r="BH153" i="4"/>
  <c r="BH200" i="4" s="1"/>
  <c r="BI107" i="5" s="1"/>
  <c r="BI154" i="5"/>
  <c r="BT153" i="4"/>
  <c r="BT200" i="4" s="1"/>
  <c r="BU107" i="5" s="1"/>
  <c r="BU154" i="5"/>
  <c r="CB152" i="4"/>
  <c r="CB199" i="4" s="1"/>
  <c r="CC106" i="5" s="1"/>
  <c r="CC153" i="5"/>
  <c r="CJ152" i="4"/>
  <c r="CJ199" i="4" s="1"/>
  <c r="CK106" i="5" s="1"/>
  <c r="CK153" i="5"/>
  <c r="AJ153" i="4"/>
  <c r="AJ200" i="4" s="1"/>
  <c r="AK107" i="5" s="1"/>
  <c r="AK154" i="5"/>
  <c r="CS156" i="4"/>
  <c r="CS203" i="4" s="1"/>
  <c r="CT110" i="5" s="1"/>
  <c r="CT157" i="5"/>
  <c r="AW156" i="4"/>
  <c r="AW203" i="4" s="1"/>
  <c r="AX110" i="5" s="1"/>
  <c r="AX157" i="5"/>
  <c r="BE156" i="4"/>
  <c r="BE203" i="4" s="1"/>
  <c r="BF110" i="5" s="1"/>
  <c r="BF157" i="5"/>
  <c r="BI153" i="4"/>
  <c r="BI200" i="4" s="1"/>
  <c r="BJ107" i="5" s="1"/>
  <c r="BJ154" i="5"/>
  <c r="BM153" i="4"/>
  <c r="BM200" i="4" s="1"/>
  <c r="BN107" i="5" s="1"/>
  <c r="BN154" i="5"/>
  <c r="CO156" i="4"/>
  <c r="CO203" i="4" s="1"/>
  <c r="CP110" i="5" s="1"/>
  <c r="CP157" i="5"/>
  <c r="U153" i="4"/>
  <c r="U200" i="4" s="1"/>
  <c r="V60" i="5" s="1"/>
  <c r="V154" i="5"/>
  <c r="Y156" i="4"/>
  <c r="Y203" i="4" s="1"/>
  <c r="Z110" i="5" s="1"/>
  <c r="Z157" i="5"/>
  <c r="AW155" i="4"/>
  <c r="AW202" i="4" s="1"/>
  <c r="AX62" i="5" s="1"/>
  <c r="AX156" i="5"/>
  <c r="BI152" i="4"/>
  <c r="BI199" i="4" s="1"/>
  <c r="BJ106" i="5" s="1"/>
  <c r="BJ153" i="5"/>
  <c r="AG156" i="4"/>
  <c r="AG203" i="4" s="1"/>
  <c r="AH110" i="5" s="1"/>
  <c r="AH157" i="5"/>
  <c r="AO155" i="4"/>
  <c r="AO202" i="4" s="1"/>
  <c r="AP109" i="5" s="1"/>
  <c r="AP156" i="5"/>
  <c r="BQ153" i="4"/>
  <c r="BQ200" i="4" s="1"/>
  <c r="BR107" i="5" s="1"/>
  <c r="BR154" i="5"/>
  <c r="BQ152" i="4"/>
  <c r="BQ199" i="4" s="1"/>
  <c r="BR106" i="5" s="1"/>
  <c r="BR153" i="5"/>
  <c r="CC152" i="4"/>
  <c r="CC199" i="4" s="1"/>
  <c r="CD106" i="5" s="1"/>
  <c r="CD153" i="5"/>
  <c r="DI156" i="4"/>
  <c r="DI203" i="4" s="1"/>
  <c r="DJ110" i="5" s="1"/>
  <c r="DJ157" i="5"/>
  <c r="DF153" i="4"/>
  <c r="DF200" i="4" s="1"/>
  <c r="DG107" i="5" s="1"/>
  <c r="DG154" i="5"/>
  <c r="DC155" i="4"/>
  <c r="DC202" i="4" s="1"/>
  <c r="DD109" i="5" s="1"/>
  <c r="DD156" i="5"/>
  <c r="Z156" i="4"/>
  <c r="Z203" i="4" s="1"/>
  <c r="AA110" i="5" s="1"/>
  <c r="AA157" i="5"/>
  <c r="AH153" i="4"/>
  <c r="AH200" i="4" s="1"/>
  <c r="AI60" i="5" s="1"/>
  <c r="AI154" i="5"/>
  <c r="BB152" i="4"/>
  <c r="BB199" i="4" s="1"/>
  <c r="BC106" i="5" s="1"/>
  <c r="BC153" i="5"/>
  <c r="BR155" i="4"/>
  <c r="BR202" i="4" s="1"/>
  <c r="BS62" i="5" s="1"/>
  <c r="BS156" i="5"/>
  <c r="BV155" i="4"/>
  <c r="BV202" i="4" s="1"/>
  <c r="BW109" i="5" s="1"/>
  <c r="BW156" i="5"/>
  <c r="BV153" i="4"/>
  <c r="BV200" i="4" s="1"/>
  <c r="BW60" i="5" s="1"/>
  <c r="BW154" i="5"/>
  <c r="AL155" i="4"/>
  <c r="AL202" i="4" s="1"/>
  <c r="AM109" i="5" s="1"/>
  <c r="AM156" i="5"/>
  <c r="BN152" i="4"/>
  <c r="BN199" i="4" s="1"/>
  <c r="BO106" i="5" s="1"/>
  <c r="BO153" i="5"/>
  <c r="BN153" i="4"/>
  <c r="BN200" i="4" s="1"/>
  <c r="BO107" i="5" s="1"/>
  <c r="BO154" i="5"/>
  <c r="AY153" i="4"/>
  <c r="AY200" i="4" s="1"/>
  <c r="AZ107" i="5" s="1"/>
  <c r="AZ154" i="5"/>
  <c r="BK152" i="4"/>
  <c r="BK199" i="4" s="1"/>
  <c r="BL106" i="5" s="1"/>
  <c r="BL153" i="5"/>
  <c r="CI156" i="4"/>
  <c r="CI203" i="4" s="1"/>
  <c r="CJ110" i="5" s="1"/>
  <c r="CJ157" i="5"/>
  <c r="DG156" i="4"/>
  <c r="DG203" i="4" s="1"/>
  <c r="DH63" i="5" s="1"/>
  <c r="DH157" i="5"/>
  <c r="CK155" i="4"/>
  <c r="CK202" i="4" s="1"/>
  <c r="CL109" i="5" s="1"/>
  <c r="CL156" i="5"/>
  <c r="DE153" i="4"/>
  <c r="DE200" i="4" s="1"/>
  <c r="DF60" i="5" s="1"/>
  <c r="DF154" i="5"/>
  <c r="DE155" i="4"/>
  <c r="DE202" i="4" s="1"/>
  <c r="DF109" i="5" s="1"/>
  <c r="DF156" i="5"/>
  <c r="V155" i="4"/>
  <c r="V202" i="4" s="1"/>
  <c r="W62" i="5" s="1"/>
  <c r="W156" i="5"/>
  <c r="BG153" i="4"/>
  <c r="BG200" i="4" s="1"/>
  <c r="BH107" i="5" s="1"/>
  <c r="BH154" i="5"/>
  <c r="CU153" i="4"/>
  <c r="CU200" i="4" s="1"/>
  <c r="CV60" i="5" s="1"/>
  <c r="CV154" i="5"/>
  <c r="BC152" i="4"/>
  <c r="BC199" i="4" s="1"/>
  <c r="BD106" i="5" s="1"/>
  <c r="BD153" i="5"/>
  <c r="AE152" i="4"/>
  <c r="AE199" i="4" s="1"/>
  <c r="AF59" i="5" s="1"/>
  <c r="AF153" i="5"/>
  <c r="AI156" i="4"/>
  <c r="AI203" i="4" s="1"/>
  <c r="AJ110" i="5" s="1"/>
  <c r="AJ157" i="5"/>
  <c r="AM155" i="4"/>
  <c r="AM202" i="4" s="1"/>
  <c r="AN62" i="5" s="1"/>
  <c r="AN156" i="5"/>
  <c r="T152" i="4"/>
  <c r="T199" i="4" s="1"/>
  <c r="U106" i="5" s="1"/>
  <c r="U153" i="5"/>
  <c r="AN156" i="4"/>
  <c r="AN203" i="4" s="1"/>
  <c r="AO110" i="5" s="1"/>
  <c r="AO157" i="5"/>
  <c r="AN152" i="4"/>
  <c r="AN199" i="4" s="1"/>
  <c r="AO106" i="5" s="1"/>
  <c r="AO153" i="5"/>
  <c r="BP153" i="4"/>
  <c r="BP200" i="4" s="1"/>
  <c r="BQ107" i="5" s="1"/>
  <c r="BQ154" i="5"/>
  <c r="CF152" i="4"/>
  <c r="CF199" i="4" s="1"/>
  <c r="CG59" i="5" s="1"/>
  <c r="CG153" i="5"/>
  <c r="CN156" i="4"/>
  <c r="CN203" i="4" s="1"/>
  <c r="CO110" i="5" s="1"/>
  <c r="CO157" i="5"/>
  <c r="AV155" i="4"/>
  <c r="AV202" i="4" s="1"/>
  <c r="AW109" i="5" s="1"/>
  <c r="AW156" i="5"/>
  <c r="AZ153" i="4"/>
  <c r="AZ200" i="4" s="1"/>
  <c r="BA107" i="5" s="1"/>
  <c r="BA154" i="5"/>
  <c r="BL155" i="4"/>
  <c r="BL202" i="4" s="1"/>
  <c r="BM109" i="5" s="1"/>
  <c r="BM156" i="5"/>
  <c r="BL152" i="4"/>
  <c r="BL199" i="4" s="1"/>
  <c r="BM106" i="5" s="1"/>
  <c r="BM153" i="5"/>
  <c r="BL153" i="4"/>
  <c r="BL200" i="4" s="1"/>
  <c r="BM107" i="5" s="1"/>
  <c r="BM154" i="5"/>
  <c r="CS152" i="4"/>
  <c r="CS199" i="4" s="1"/>
  <c r="CT59" i="5" s="1"/>
  <c r="CT153" i="5"/>
  <c r="Y152" i="4"/>
  <c r="Y199" i="4" s="1"/>
  <c r="Z106" i="5" s="1"/>
  <c r="Z153" i="5"/>
  <c r="AS155" i="4"/>
  <c r="AS202" i="4" s="1"/>
  <c r="AT62" i="5" s="1"/>
  <c r="AT156" i="5"/>
  <c r="BE153" i="4"/>
  <c r="BE200" i="4" s="1"/>
  <c r="BF107" i="5" s="1"/>
  <c r="BF154" i="5"/>
  <c r="DA152" i="4"/>
  <c r="DA199" i="4" s="1"/>
  <c r="DB59" i="5" s="1"/>
  <c r="DB153" i="5"/>
  <c r="AG155" i="4"/>
  <c r="AG202" i="4" s="1"/>
  <c r="AH109" i="5" s="1"/>
  <c r="AH156" i="5"/>
  <c r="BA152" i="4"/>
  <c r="BA199" i="4" s="1"/>
  <c r="BB59" i="5" s="1"/>
  <c r="BB153" i="5"/>
  <c r="CO153" i="4"/>
  <c r="CO200" i="4" s="1"/>
  <c r="CP60" i="5" s="1"/>
  <c r="CP154" i="5"/>
  <c r="CO155" i="4"/>
  <c r="CO202" i="4" s="1"/>
  <c r="CP62" i="5" s="1"/>
  <c r="CP156" i="5"/>
  <c r="CT153" i="4"/>
  <c r="CT200" i="4" s="1"/>
  <c r="CU107" i="5" s="1"/>
  <c r="CU154" i="5"/>
  <c r="DF152" i="4"/>
  <c r="DF199" i="4" s="1"/>
  <c r="DG59" i="5" s="1"/>
  <c r="DG153" i="5"/>
  <c r="DH155" i="4"/>
  <c r="DH202" i="4" s="1"/>
  <c r="DI109" i="5" s="1"/>
  <c r="DI156" i="5"/>
  <c r="R156" i="4"/>
  <c r="R203" i="4" s="1"/>
  <c r="S110" i="5" s="1"/>
  <c r="S157" i="5"/>
  <c r="Z155" i="4"/>
  <c r="Z202" i="4" s="1"/>
  <c r="AA109" i="5" s="1"/>
  <c r="AA156" i="5"/>
  <c r="AD152" i="4"/>
  <c r="AD199" i="4" s="1"/>
  <c r="AE106" i="5" s="1"/>
  <c r="AE153" i="5"/>
  <c r="AD155" i="4"/>
  <c r="AD202" i="4" s="1"/>
  <c r="AE109" i="5" s="1"/>
  <c r="AE156" i="5"/>
  <c r="AH155" i="4"/>
  <c r="AH202" i="4" s="1"/>
  <c r="AI109" i="5" s="1"/>
  <c r="AI156" i="5"/>
  <c r="AT153" i="4"/>
  <c r="AT200" i="4" s="1"/>
  <c r="AU107" i="5" s="1"/>
  <c r="AU154" i="5"/>
  <c r="BB156" i="4"/>
  <c r="BB203" i="4" s="1"/>
  <c r="BC110" i="5" s="1"/>
  <c r="BC157" i="5"/>
  <c r="BF156" i="4"/>
  <c r="BF203" i="4" s="1"/>
  <c r="BG110" i="5" s="1"/>
  <c r="BG157" i="5"/>
  <c r="BJ152" i="4"/>
  <c r="BJ199" i="4" s="1"/>
  <c r="BK106" i="5" s="1"/>
  <c r="BK153" i="5"/>
  <c r="BJ155" i="4"/>
  <c r="BJ202" i="4" s="1"/>
  <c r="BK109" i="5" s="1"/>
  <c r="BK156" i="5"/>
  <c r="CD152" i="4"/>
  <c r="CD199" i="4" s="1"/>
  <c r="CE106" i="5" s="1"/>
  <c r="CE153" i="5"/>
  <c r="DB152" i="4"/>
  <c r="DB199" i="4" s="1"/>
  <c r="DC106" i="5" s="1"/>
  <c r="DC153" i="5"/>
  <c r="BN155" i="4"/>
  <c r="BN202" i="4" s="1"/>
  <c r="BO62" i="5" s="1"/>
  <c r="BO156" i="5"/>
  <c r="AY152" i="4"/>
  <c r="AY199" i="4" s="1"/>
  <c r="AZ106" i="5" s="1"/>
  <c r="AZ153" i="5"/>
  <c r="BS155" i="4"/>
  <c r="BS202" i="4" s="1"/>
  <c r="BT62" i="5" s="1"/>
  <c r="BT156" i="5"/>
  <c r="BW155" i="4"/>
  <c r="BW202" i="4" s="1"/>
  <c r="BX109" i="5" s="1"/>
  <c r="BX156" i="5"/>
  <c r="CK156" i="4"/>
  <c r="CK203" i="4" s="1"/>
  <c r="CL63" i="5" s="1"/>
  <c r="CL157" i="5"/>
  <c r="CQ153" i="4"/>
  <c r="CQ200" i="4" s="1"/>
  <c r="CR60" i="5" s="1"/>
  <c r="CR154" i="5"/>
  <c r="AU155" i="4"/>
  <c r="AU202" i="4" s="1"/>
  <c r="AV62" i="5" s="1"/>
  <c r="AV156" i="5"/>
  <c r="CE155" i="4"/>
  <c r="CE202" i="4" s="1"/>
  <c r="CF62" i="5" s="1"/>
  <c r="CF156" i="5"/>
  <c r="DK152" i="4"/>
  <c r="DK199" i="4" s="1"/>
  <c r="DL106" i="5" s="1"/>
  <c r="DL153" i="5"/>
  <c r="S155" i="4"/>
  <c r="S202" i="4" s="1"/>
  <c r="T62" i="5" s="1"/>
  <c r="T156" i="5"/>
  <c r="W153" i="4"/>
  <c r="W200" i="4" s="1"/>
  <c r="X60" i="5" s="1"/>
  <c r="X154" i="5"/>
  <c r="AA152" i="4"/>
  <c r="AA199" i="4" s="1"/>
  <c r="AB106" i="5" s="1"/>
  <c r="AB153" i="5"/>
  <c r="AM156" i="4"/>
  <c r="AM203" i="4" s="1"/>
  <c r="AN63" i="5" s="1"/>
  <c r="AN157" i="5"/>
  <c r="T156" i="4"/>
  <c r="T203" i="4" s="1"/>
  <c r="U110" i="5" s="1"/>
  <c r="U157" i="5"/>
  <c r="AF156" i="4"/>
  <c r="AF203" i="4" s="1"/>
  <c r="AG110" i="5" s="1"/>
  <c r="AG157" i="5"/>
  <c r="AR155" i="4"/>
  <c r="AR202" i="4" s="1"/>
  <c r="AS109" i="5" s="1"/>
  <c r="AS156" i="5"/>
  <c r="BX152" i="4"/>
  <c r="BX199" i="4" s="1"/>
  <c r="BY106" i="5" s="1"/>
  <c r="BY153" i="5"/>
  <c r="CF156" i="4"/>
  <c r="CF203" i="4" s="1"/>
  <c r="CG110" i="5" s="1"/>
  <c r="CG157" i="5"/>
  <c r="CN155" i="4"/>
  <c r="CN202" i="4" s="1"/>
  <c r="CO109" i="5" s="1"/>
  <c r="CO156" i="5"/>
  <c r="CZ155" i="4"/>
  <c r="CZ202" i="4" s="1"/>
  <c r="DA109" i="5" s="1"/>
  <c r="DA156" i="5"/>
  <c r="CZ152" i="4"/>
  <c r="CZ199" i="4" s="1"/>
  <c r="DA59" i="5" s="1"/>
  <c r="DA153" i="5"/>
  <c r="DL155" i="4"/>
  <c r="DL202" i="4" s="1"/>
  <c r="DM109" i="5" s="1"/>
  <c r="DM156" i="5"/>
  <c r="BH152" i="4"/>
  <c r="BH199" i="4" s="1"/>
  <c r="BI59" i="5" s="1"/>
  <c r="BI153" i="5"/>
  <c r="CB156" i="4"/>
  <c r="CB203" i="4" s="1"/>
  <c r="CC110" i="5" s="1"/>
  <c r="CC157" i="5"/>
  <c r="CJ156" i="4"/>
  <c r="CJ203" i="4" s="1"/>
  <c r="CK63" i="5" s="1"/>
  <c r="CK157" i="5"/>
  <c r="CV155" i="4"/>
  <c r="CV202" i="4" s="1"/>
  <c r="CW109" i="5" s="1"/>
  <c r="CW156" i="5"/>
  <c r="AB153" i="4"/>
  <c r="AB200" i="4" s="1"/>
  <c r="AC107" i="5" s="1"/>
  <c r="AC154" i="5"/>
  <c r="AJ152" i="4"/>
  <c r="AJ199" i="4" s="1"/>
  <c r="AK59" i="5" s="1"/>
  <c r="AK153" i="5"/>
  <c r="CS153" i="4"/>
  <c r="CS200" i="4" s="1"/>
  <c r="CT107" i="5" s="1"/>
  <c r="CT154" i="5"/>
  <c r="F54" i="7"/>
  <c r="R153" i="4"/>
  <c r="R200" i="4" s="1"/>
  <c r="S107" i="5" s="1"/>
  <c r="F58" i="7"/>
  <c r="F60" i="7"/>
  <c r="F53" i="7"/>
  <c r="F50" i="7"/>
  <c r="F56" i="7"/>
  <c r="F52" i="7"/>
  <c r="F59" i="7"/>
  <c r="F62" i="7"/>
  <c r="F49" i="7"/>
  <c r="F63" i="7"/>
  <c r="F51" i="7"/>
  <c r="F57" i="7"/>
  <c r="F55" i="7"/>
  <c r="N16" i="8"/>
  <c r="L17" i="9"/>
  <c r="K17" i="9"/>
  <c r="CY16" i="8"/>
  <c r="CQ16" i="8"/>
  <c r="CI16" i="8"/>
  <c r="CA16" i="8"/>
  <c r="BS16" i="8"/>
  <c r="BK16" i="8"/>
  <c r="BC16" i="8"/>
  <c r="AU16" i="8"/>
  <c r="AM16" i="8"/>
  <c r="AE16" i="8"/>
  <c r="W16" i="8"/>
  <c r="O16" i="8"/>
  <c r="CW17" i="9"/>
  <c r="CO17" i="9"/>
  <c r="CG17" i="9"/>
  <c r="BY17" i="9"/>
  <c r="BQ17" i="9"/>
  <c r="BI17" i="9"/>
  <c r="BA17" i="9"/>
  <c r="AS17" i="9"/>
  <c r="AK17" i="9"/>
  <c r="AC17" i="9"/>
  <c r="U17" i="9"/>
  <c r="M17" i="9"/>
  <c r="F23" i="9"/>
  <c r="CV17" i="9"/>
  <c r="CN17" i="9"/>
  <c r="CF17" i="9"/>
  <c r="BX17" i="9"/>
  <c r="BP17" i="9"/>
  <c r="BH17" i="9"/>
  <c r="AZ17" i="9"/>
  <c r="AR17" i="9"/>
  <c r="AJ17" i="9"/>
  <c r="AB17" i="9"/>
  <c r="T17" i="9"/>
  <c r="F19" i="9"/>
  <c r="CZ16" i="8"/>
  <c r="CR16" i="8"/>
  <c r="CB16" i="8"/>
  <c r="BT16" i="8"/>
  <c r="BL16" i="8"/>
  <c r="BD16" i="8"/>
  <c r="AV16" i="8"/>
  <c r="AN16" i="8"/>
  <c r="AF16" i="8"/>
  <c r="X16" i="8"/>
  <c r="P16" i="8"/>
  <c r="H16" i="8"/>
  <c r="M16" i="8"/>
  <c r="T16" i="8"/>
  <c r="U16" i="8"/>
  <c r="V16" i="8"/>
  <c r="AC16" i="8"/>
  <c r="AD16" i="8"/>
  <c r="AJ16" i="8"/>
  <c r="AL16" i="8"/>
  <c r="AR16" i="8"/>
  <c r="AS16" i="8"/>
  <c r="AT16" i="8"/>
  <c r="BA16" i="8"/>
  <c r="BH16" i="8"/>
  <c r="BJ16" i="8"/>
  <c r="BM16" i="8"/>
  <c r="BP16" i="8"/>
  <c r="BR16" i="8"/>
  <c r="BZ16" i="8"/>
  <c r="CF16" i="8"/>
  <c r="CH16" i="8"/>
  <c r="CJ16" i="8"/>
  <c r="CO16" i="8"/>
  <c r="CV16" i="8"/>
  <c r="CU17" i="9"/>
  <c r="CM17" i="9"/>
  <c r="BO17" i="9"/>
  <c r="BG17" i="9"/>
  <c r="AY17" i="9"/>
  <c r="AQ17" i="9"/>
  <c r="AA17" i="9"/>
  <c r="S17" i="9"/>
  <c r="I17" i="9"/>
  <c r="H17" i="9"/>
  <c r="Z17" i="9"/>
  <c r="AH17" i="9"/>
  <c r="AI17" i="9"/>
  <c r="AO17" i="9"/>
  <c r="BE17" i="9"/>
  <c r="BN17" i="9"/>
  <c r="BU17" i="9"/>
  <c r="BW17" i="9"/>
  <c r="CE17" i="9"/>
  <c r="J9" i="9"/>
  <c r="CX16" i="8"/>
  <c r="CP16" i="8"/>
  <c r="BB16" i="8"/>
  <c r="J9" i="8"/>
  <c r="F35" i="9"/>
  <c r="DB16" i="8"/>
  <c r="CT16" i="8"/>
  <c r="CL16" i="8"/>
  <c r="CD16" i="8"/>
  <c r="BV16" i="8"/>
  <c r="BN16" i="8"/>
  <c r="BF16" i="8"/>
  <c r="AX16" i="8"/>
  <c r="AP16" i="8"/>
  <c r="AH16" i="8"/>
  <c r="Z16" i="8"/>
  <c r="R16" i="8"/>
  <c r="J16" i="8"/>
  <c r="CY17" i="9"/>
  <c r="CQ17" i="9"/>
  <c r="CI17" i="9"/>
  <c r="CA17" i="9"/>
  <c r="BS17" i="9"/>
  <c r="BK17" i="9"/>
  <c r="BC17" i="9"/>
  <c r="AU17" i="9"/>
  <c r="AM17" i="9"/>
  <c r="AE17" i="9"/>
  <c r="W17" i="9"/>
  <c r="O17" i="9"/>
  <c r="J17" i="9"/>
  <c r="DA16" i="8"/>
  <c r="CS16" i="8"/>
  <c r="CK16" i="8"/>
  <c r="CC16" i="8"/>
  <c r="BU16" i="8"/>
  <c r="BE16" i="8"/>
  <c r="AW16" i="8"/>
  <c r="AO16" i="8"/>
  <c r="AG16" i="8"/>
  <c r="Y16" i="8"/>
  <c r="Q16" i="8"/>
  <c r="CX17" i="9"/>
  <c r="CP17" i="9"/>
  <c r="CH17" i="9"/>
  <c r="BZ17" i="9"/>
  <c r="BR17" i="9"/>
  <c r="BJ17" i="9"/>
  <c r="BB17" i="9"/>
  <c r="AT17" i="9"/>
  <c r="AL17" i="9"/>
  <c r="AD17" i="9"/>
  <c r="V17" i="9"/>
  <c r="N17" i="9"/>
  <c r="F27" i="9"/>
  <c r="CW16" i="8"/>
  <c r="CG16" i="8"/>
  <c r="BY16" i="8"/>
  <c r="BQ16" i="8"/>
  <c r="BI16" i="8"/>
  <c r="AK16" i="8"/>
  <c r="DB17" i="9"/>
  <c r="CT17" i="9"/>
  <c r="CL17" i="9"/>
  <c r="CD17" i="9"/>
  <c r="BV17" i="9"/>
  <c r="BF17" i="9"/>
  <c r="AX17" i="9"/>
  <c r="AP17" i="9"/>
  <c r="R17" i="9"/>
  <c r="F31" i="9"/>
  <c r="CN16" i="8"/>
  <c r="BX16" i="8"/>
  <c r="AZ16" i="8"/>
  <c r="AB16" i="8"/>
  <c r="L16" i="8"/>
  <c r="DA17" i="9"/>
  <c r="CS17" i="9"/>
  <c r="CK17" i="9"/>
  <c r="CC17" i="9"/>
  <c r="BM17" i="9"/>
  <c r="AW17" i="9"/>
  <c r="AG17" i="9"/>
  <c r="Y17" i="9"/>
  <c r="Q17" i="9"/>
  <c r="CU16" i="8"/>
  <c r="CM16" i="8"/>
  <c r="CE16" i="8"/>
  <c r="BW16" i="8"/>
  <c r="BO16" i="8"/>
  <c r="BG16" i="8"/>
  <c r="AY16" i="8"/>
  <c r="AQ16" i="8"/>
  <c r="AI16" i="8"/>
  <c r="AA16" i="8"/>
  <c r="S16" i="8"/>
  <c r="K16" i="8"/>
  <c r="CZ17" i="9"/>
  <c r="CR17" i="9"/>
  <c r="CJ17" i="9"/>
  <c r="CB17" i="9"/>
  <c r="BT17" i="9"/>
  <c r="BL17" i="9"/>
  <c r="BD17" i="9"/>
  <c r="AV17" i="9"/>
  <c r="AN17" i="9"/>
  <c r="AF17" i="9"/>
  <c r="X17" i="9"/>
  <c r="P17" i="9"/>
  <c r="CL15" i="7"/>
  <c r="CJ15" i="7"/>
  <c r="AY113" i="5"/>
  <c r="T113" i="5"/>
  <c r="S113" i="5"/>
  <c r="DA15" i="7"/>
  <c r="BF15" i="7"/>
  <c r="CR15" i="7"/>
  <c r="AE15" i="7"/>
  <c r="CQ15" i="7"/>
  <c r="K15" i="7"/>
  <c r="CK15" i="7"/>
  <c r="BL15" i="7"/>
  <c r="BK15" i="7"/>
  <c r="DB15" i="7"/>
  <c r="BT15" i="7"/>
  <c r="CC15" i="7"/>
  <c r="CS15" i="7"/>
  <c r="CA15" i="7"/>
  <c r="BD15" i="7"/>
  <c r="BV15" i="7"/>
  <c r="AV15" i="7"/>
  <c r="BU15" i="7"/>
  <c r="AO15" i="7"/>
  <c r="CZ15" i="7"/>
  <c r="CB15" i="7"/>
  <c r="BE15" i="7"/>
  <c r="BM15" i="7"/>
  <c r="AW15" i="7"/>
  <c r="CY15" i="7"/>
  <c r="CI15" i="7"/>
  <c r="BS15" i="7"/>
  <c r="BC15" i="7"/>
  <c r="CT15" i="7"/>
  <c r="CD15" i="7"/>
  <c r="BN15" i="7"/>
  <c r="AX15" i="7"/>
  <c r="CU15" i="7"/>
  <c r="CM15" i="7"/>
  <c r="CE15" i="7"/>
  <c r="BW15" i="7"/>
  <c r="BO15" i="7"/>
  <c r="BG15" i="7"/>
  <c r="AY15" i="7"/>
  <c r="AQ15" i="7"/>
  <c r="AI15" i="7"/>
  <c r="W15" i="7"/>
  <c r="J15" i="7"/>
  <c r="AP15" i="7"/>
  <c r="AH15" i="7"/>
  <c r="U15" i="7"/>
  <c r="R15" i="7"/>
  <c r="AN15" i="7"/>
  <c r="AD15" i="7"/>
  <c r="O15" i="7"/>
  <c r="AU15" i="7"/>
  <c r="AM15" i="7"/>
  <c r="AC15" i="7"/>
  <c r="L15" i="7"/>
  <c r="I16" i="7"/>
  <c r="CX15" i="7"/>
  <c r="CP15" i="7"/>
  <c r="CH15" i="7"/>
  <c r="BZ15" i="7"/>
  <c r="BR15" i="7"/>
  <c r="BJ15" i="7"/>
  <c r="BB15" i="7"/>
  <c r="AT15" i="7"/>
  <c r="AL15" i="7"/>
  <c r="AB15" i="7"/>
  <c r="Q15" i="7"/>
  <c r="CW15" i="7"/>
  <c r="CO15" i="7"/>
  <c r="CG15" i="7"/>
  <c r="BY15" i="7"/>
  <c r="BQ15" i="7"/>
  <c r="BI15" i="7"/>
  <c r="BA15" i="7"/>
  <c r="AS15" i="7"/>
  <c r="AK15" i="7"/>
  <c r="AA15" i="7"/>
  <c r="H15" i="7"/>
  <c r="CV15" i="7"/>
  <c r="CN15" i="7"/>
  <c r="CF15" i="7"/>
  <c r="BX15" i="7"/>
  <c r="BP15" i="7"/>
  <c r="BH15" i="7"/>
  <c r="AZ15" i="7"/>
  <c r="AR15" i="7"/>
  <c r="AJ15" i="7"/>
  <c r="Z15" i="7"/>
  <c r="I15" i="7"/>
  <c r="V15" i="7"/>
  <c r="T15" i="7"/>
  <c r="AG15" i="7"/>
  <c r="Y15" i="7"/>
  <c r="M15" i="7"/>
  <c r="N15" i="7"/>
  <c r="AF15" i="7"/>
  <c r="X15" i="7"/>
  <c r="S15" i="7"/>
  <c r="P15" i="7"/>
  <c r="BB16" i="7"/>
  <c r="K16" i="7"/>
  <c r="AH16" i="7"/>
  <c r="AA16" i="7"/>
  <c r="R16" i="7"/>
  <c r="U16" i="7"/>
  <c r="DF15" i="4"/>
  <c r="BS15" i="4"/>
  <c r="CQ15" i="4"/>
  <c r="AF15" i="4"/>
  <c r="DA15" i="4"/>
  <c r="CP15" i="4"/>
  <c r="CR15" i="4"/>
  <c r="CB15" i="4"/>
  <c r="DE15" i="4"/>
  <c r="BY15" i="4"/>
  <c r="BN16" i="7"/>
  <c r="BN34" i="7" s="1"/>
  <c r="CT16" i="7"/>
  <c r="CT34" i="7" s="1"/>
  <c r="BG16" i="7"/>
  <c r="BG34" i="7" s="1"/>
  <c r="CM16" i="7"/>
  <c r="CM34" i="7" s="1"/>
  <c r="BA16" i="7"/>
  <c r="BA34" i="7" s="1"/>
  <c r="CG16" i="7"/>
  <c r="CG34" i="7" s="1"/>
  <c r="AD16" i="7"/>
  <c r="AD34" i="7" s="1"/>
  <c r="CH16" i="7"/>
  <c r="CH34" i="7" s="1"/>
  <c r="Q16" i="7"/>
  <c r="Q34" i="7" s="1"/>
  <c r="AW16" i="7"/>
  <c r="AW34" i="7" s="1"/>
  <c r="CC16" i="7"/>
  <c r="CC34" i="7" s="1"/>
  <c r="W16" i="7"/>
  <c r="W34" i="7" s="1"/>
  <c r="BC16" i="7"/>
  <c r="BC34" i="7" s="1"/>
  <c r="CI16" i="7"/>
  <c r="CI34" i="7" s="1"/>
  <c r="X16" i="7"/>
  <c r="X34" i="7" s="1"/>
  <c r="BD16" i="7"/>
  <c r="BD34" i="7" s="1"/>
  <c r="CJ16" i="7"/>
  <c r="CJ34" i="7" s="1"/>
  <c r="AI16" i="7"/>
  <c r="AI34" i="7" s="1"/>
  <c r="BO16" i="7"/>
  <c r="BO34" i="7" s="1"/>
  <c r="CU16" i="7"/>
  <c r="CU34" i="7" s="1"/>
  <c r="CO16" i="7"/>
  <c r="CO34" i="7" s="1"/>
  <c r="BJ16" i="7"/>
  <c r="BJ34" i="7" s="1"/>
  <c r="AL16" i="7"/>
  <c r="AL34" i="7" s="1"/>
  <c r="CP16" i="7"/>
  <c r="CP34" i="7" s="1"/>
  <c r="AX16" i="7"/>
  <c r="AX34" i="7" s="1"/>
  <c r="CD16" i="7"/>
  <c r="CD34" i="7" s="1"/>
  <c r="AQ16" i="7"/>
  <c r="AQ34" i="7" s="1"/>
  <c r="BW16" i="7"/>
  <c r="BW34" i="7" s="1"/>
  <c r="AJ16" i="7"/>
  <c r="AJ34" i="7" s="1"/>
  <c r="BP16" i="7"/>
  <c r="BP34" i="7" s="1"/>
  <c r="CV16" i="7"/>
  <c r="CV34" i="7" s="1"/>
  <c r="N16" i="7"/>
  <c r="N34" i="7" s="1"/>
  <c r="BR16" i="7"/>
  <c r="BR34" i="7" s="1"/>
  <c r="H39" i="7"/>
  <c r="H40" i="7" s="1"/>
  <c r="H35" i="7"/>
  <c r="H29" i="7"/>
  <c r="H30" i="7" s="1"/>
  <c r="H19" i="7"/>
  <c r="H20" i="7" s="1"/>
  <c r="H24" i="7"/>
  <c r="H25" i="7" s="1"/>
  <c r="H44" i="7"/>
  <c r="H45" i="7" s="1"/>
  <c r="AG16" i="7"/>
  <c r="AG34" i="7" s="1"/>
  <c r="BM16" i="7"/>
  <c r="BM34" i="7" s="1"/>
  <c r="CS16" i="7"/>
  <c r="CS34" i="7" s="1"/>
  <c r="AM16" i="7"/>
  <c r="AM34" i="7" s="1"/>
  <c r="BS16" i="7"/>
  <c r="BS34" i="7" s="1"/>
  <c r="CY16" i="7"/>
  <c r="CY34" i="7" s="1"/>
  <c r="AN16" i="7"/>
  <c r="AN34" i="7" s="1"/>
  <c r="BT16" i="7"/>
  <c r="BT34" i="7" s="1"/>
  <c r="CZ16" i="7"/>
  <c r="CZ34" i="7" s="1"/>
  <c r="BY16" i="7"/>
  <c r="BY34" i="7" s="1"/>
  <c r="L16" i="7"/>
  <c r="L34" i="7" s="1"/>
  <c r="AR16" i="7"/>
  <c r="AR34" i="7" s="1"/>
  <c r="BX16" i="7"/>
  <c r="BX34" i="7" s="1"/>
  <c r="AE16" i="7"/>
  <c r="AE34" i="7" s="1"/>
  <c r="BK16" i="7"/>
  <c r="BK34" i="7" s="1"/>
  <c r="CQ16" i="7"/>
  <c r="CQ34" i="7" s="1"/>
  <c r="AF16" i="7"/>
  <c r="AF34" i="7" s="1"/>
  <c r="BL16" i="7"/>
  <c r="BL34" i="7" s="1"/>
  <c r="CR16" i="7"/>
  <c r="CR34" i="7" s="1"/>
  <c r="Y16" i="7"/>
  <c r="Y34" i="7" s="1"/>
  <c r="BE16" i="7"/>
  <c r="BE34" i="7" s="1"/>
  <c r="CK16" i="7"/>
  <c r="CK34" i="7" s="1"/>
  <c r="Z16" i="7"/>
  <c r="Z34" i="7" s="1"/>
  <c r="BF16" i="7"/>
  <c r="BF34" i="7" s="1"/>
  <c r="CL16" i="7"/>
  <c r="CL34" i="7" s="1"/>
  <c r="AC16" i="7"/>
  <c r="AC34" i="7" s="1"/>
  <c r="BI16" i="7"/>
  <c r="BI34" i="7" s="1"/>
  <c r="AK16" i="7"/>
  <c r="AK34" i="7" s="1"/>
  <c r="BQ16" i="7"/>
  <c r="BQ34" i="7" s="1"/>
  <c r="T16" i="7"/>
  <c r="T34" i="7" s="1"/>
  <c r="AZ16" i="7"/>
  <c r="AZ34" i="7" s="1"/>
  <c r="CF16" i="7"/>
  <c r="CF34" i="7" s="1"/>
  <c r="CW16" i="7"/>
  <c r="CW34" i="7" s="1"/>
  <c r="AT16" i="7"/>
  <c r="AT34" i="7" s="1"/>
  <c r="CX16" i="7"/>
  <c r="CX34" i="7" s="1"/>
  <c r="O16" i="7"/>
  <c r="O34" i="7" s="1"/>
  <c r="AU16" i="7"/>
  <c r="AU34" i="7" s="1"/>
  <c r="CA16" i="7"/>
  <c r="CA34" i="7" s="1"/>
  <c r="P16" i="7"/>
  <c r="P34" i="7" s="1"/>
  <c r="AV16" i="7"/>
  <c r="AV34" i="7" s="1"/>
  <c r="CB16" i="7"/>
  <c r="CB34" i="7" s="1"/>
  <c r="AO16" i="7"/>
  <c r="AO34" i="7" s="1"/>
  <c r="BU16" i="7"/>
  <c r="BU34" i="7" s="1"/>
  <c r="DA16" i="7"/>
  <c r="DA34" i="7" s="1"/>
  <c r="J16" i="7"/>
  <c r="J34" i="7" s="1"/>
  <c r="AP16" i="7"/>
  <c r="AP34" i="7" s="1"/>
  <c r="BV16" i="7"/>
  <c r="BV34" i="7" s="1"/>
  <c r="DB16" i="7"/>
  <c r="DB34" i="7" s="1"/>
  <c r="M16" i="7"/>
  <c r="M34" i="7" s="1"/>
  <c r="AS16" i="7"/>
  <c r="AS34" i="7" s="1"/>
  <c r="V16" i="7"/>
  <c r="V34" i="7" s="1"/>
  <c r="BZ16" i="7"/>
  <c r="BZ34" i="7" s="1"/>
  <c r="S16" i="7"/>
  <c r="S34" i="7" s="1"/>
  <c r="AY16" i="7"/>
  <c r="AY34" i="7" s="1"/>
  <c r="CE16" i="7"/>
  <c r="CE34" i="7" s="1"/>
  <c r="AB16" i="7"/>
  <c r="AB34" i="7" s="1"/>
  <c r="BH16" i="7"/>
  <c r="BH34" i="7" s="1"/>
  <c r="CN16" i="7"/>
  <c r="CN34" i="7" s="1"/>
  <c r="CZ15" i="4"/>
  <c r="CO15" i="4"/>
  <c r="BR15" i="4"/>
  <c r="DL15" i="4"/>
  <c r="CY15" i="4"/>
  <c r="CK15" i="4"/>
  <c r="BM15" i="4"/>
  <c r="CX15" i="4"/>
  <c r="CJ15" i="4"/>
  <c r="BE15" i="4"/>
  <c r="DH15" i="4"/>
  <c r="CW15" i="4"/>
  <c r="CG15" i="4"/>
  <c r="BD15" i="4"/>
  <c r="DI15" i="4"/>
  <c r="DG15" i="4"/>
  <c r="CS15" i="4"/>
  <c r="CC15" i="4"/>
  <c r="AT15" i="4"/>
  <c r="CI15" i="4"/>
  <c r="CA15" i="4"/>
  <c r="BO15" i="4"/>
  <c r="BC15" i="4"/>
  <c r="CH15" i="4"/>
  <c r="BZ15" i="4"/>
  <c r="BN15" i="4"/>
  <c r="BB15" i="4"/>
  <c r="DD15" i="4"/>
  <c r="CV15" i="4"/>
  <c r="CN15" i="4"/>
  <c r="CF15" i="4"/>
  <c r="BW15" i="4"/>
  <c r="BL15" i="4"/>
  <c r="AP15" i="4"/>
  <c r="DK15" i="4"/>
  <c r="DC15" i="4"/>
  <c r="CU15" i="4"/>
  <c r="CM15" i="4"/>
  <c r="CE15" i="4"/>
  <c r="BV15" i="4"/>
  <c r="BK15" i="4"/>
  <c r="AL15" i="4"/>
  <c r="DJ15" i="4"/>
  <c r="DB15" i="4"/>
  <c r="CT15" i="4"/>
  <c r="CL15" i="4"/>
  <c r="CD15" i="4"/>
  <c r="BU15" i="4"/>
  <c r="BG15" i="4"/>
  <c r="AG15" i="4"/>
  <c r="BF15" i="4"/>
  <c r="AQ15" i="4"/>
  <c r="AW15" i="4"/>
  <c r="AA15" i="4"/>
  <c r="BT15" i="4"/>
  <c r="BJ15" i="4"/>
  <c r="AU15" i="4"/>
  <c r="Z15" i="4"/>
  <c r="AV15" i="4"/>
  <c r="AH15" i="4"/>
  <c r="AY15" i="4"/>
  <c r="AO15" i="4"/>
  <c r="X15" i="4"/>
  <c r="AX15" i="4"/>
  <c r="AM15" i="4"/>
  <c r="W15" i="4"/>
  <c r="V15" i="4"/>
  <c r="AI15" i="4"/>
  <c r="Y15" i="4"/>
  <c r="AE15" i="4"/>
  <c r="S15" i="4"/>
  <c r="AN15" i="4"/>
  <c r="AD15" i="4"/>
  <c r="R15" i="4"/>
  <c r="V16" i="5"/>
  <c r="W179" i="5" s="1"/>
  <c r="S16" i="4"/>
  <c r="DC16" i="4"/>
  <c r="CE16" i="4"/>
  <c r="AA16" i="4"/>
  <c r="AQ16" i="4"/>
  <c r="CU16" i="4"/>
  <c r="BW16" i="4"/>
  <c r="CM16" i="4"/>
  <c r="BO16" i="4"/>
  <c r="AI16" i="4"/>
  <c r="BQ15" i="4"/>
  <c r="BI15" i="4"/>
  <c r="BA15" i="4"/>
  <c r="AS15" i="4"/>
  <c r="AK15" i="4"/>
  <c r="AC15" i="4"/>
  <c r="U15" i="4"/>
  <c r="BX15" i="4"/>
  <c r="BP15" i="4"/>
  <c r="BH15" i="4"/>
  <c r="AZ15" i="4"/>
  <c r="AR15" i="4"/>
  <c r="AJ15" i="4"/>
  <c r="AB15" i="4"/>
  <c r="T15" i="4"/>
  <c r="U16" i="5"/>
  <c r="V179" i="5" s="1"/>
  <c r="AY16" i="4"/>
  <c r="BG16" i="4"/>
  <c r="Z16" i="5"/>
  <c r="AA179" i="5" s="1"/>
  <c r="AG116" i="4"/>
  <c r="AG163" i="4" s="1"/>
  <c r="AH23" i="5" s="1"/>
  <c r="AX131" i="4"/>
  <c r="AX178" i="4" s="1"/>
  <c r="AY38" i="5" s="1"/>
  <c r="BR122" i="4"/>
  <c r="BR169" i="4" s="1"/>
  <c r="BS76" i="5" s="1"/>
  <c r="BZ127" i="4"/>
  <c r="BZ174" i="4" s="1"/>
  <c r="CA34" i="5" s="1"/>
  <c r="DC130" i="4"/>
  <c r="DC177" i="4" s="1"/>
  <c r="DD84" i="5" s="1"/>
  <c r="CL130" i="4"/>
  <c r="CL177" i="4" s="1"/>
  <c r="CM84" i="5" s="1"/>
  <c r="DJ127" i="4"/>
  <c r="DJ174" i="4" s="1"/>
  <c r="DK34" i="5" s="1"/>
  <c r="W126" i="4"/>
  <c r="W173" i="4" s="1"/>
  <c r="X80" i="5" s="1"/>
  <c r="AR113" i="4"/>
  <c r="AR160" i="4" s="1"/>
  <c r="AS67" i="5" s="1"/>
  <c r="AR114" i="4"/>
  <c r="AR161" i="4" s="1"/>
  <c r="AS21" i="5" s="1"/>
  <c r="AR127" i="4"/>
  <c r="AR174" i="4" s="1"/>
  <c r="AS34" i="5" s="1"/>
  <c r="BP123" i="4"/>
  <c r="BP170" i="4" s="1"/>
  <c r="BQ30" i="5" s="1"/>
  <c r="BP114" i="4"/>
  <c r="BP161" i="4" s="1"/>
  <c r="BQ68" i="5" s="1"/>
  <c r="BX120" i="4"/>
  <c r="BX167" i="4" s="1"/>
  <c r="BY74" i="5" s="1"/>
  <c r="BX114" i="4"/>
  <c r="BX161" i="4" s="1"/>
  <c r="BY68" i="5" s="1"/>
  <c r="BX117" i="4"/>
  <c r="BX164" i="4" s="1"/>
  <c r="BY24" i="5" s="1"/>
  <c r="CF129" i="4"/>
  <c r="CF176" i="4" s="1"/>
  <c r="CG36" i="5" s="1"/>
  <c r="CF119" i="4"/>
  <c r="CF166" i="4" s="1"/>
  <c r="CG73" i="5" s="1"/>
  <c r="CN120" i="4"/>
  <c r="CN167" i="4" s="1"/>
  <c r="CO74" i="5" s="1"/>
  <c r="CN114" i="4"/>
  <c r="CN161" i="4" s="1"/>
  <c r="CO68" i="5" s="1"/>
  <c r="CN128" i="4"/>
  <c r="CN175" i="4" s="1"/>
  <c r="CO82" i="5" s="1"/>
  <c r="CZ117" i="4"/>
  <c r="CZ164" i="4" s="1"/>
  <c r="DA24" i="5" s="1"/>
  <c r="CZ116" i="4"/>
  <c r="CZ163" i="4" s="1"/>
  <c r="DA23" i="5" s="1"/>
  <c r="DD128" i="4"/>
  <c r="DD175" i="4" s="1"/>
  <c r="DE82" i="5" s="1"/>
  <c r="DD118" i="4"/>
  <c r="DD165" i="4" s="1"/>
  <c r="DE25" i="5" s="1"/>
  <c r="DL115" i="4"/>
  <c r="DL162" i="4" s="1"/>
  <c r="DM69" i="5" s="1"/>
  <c r="DL118" i="4"/>
  <c r="DL165" i="4" s="1"/>
  <c r="DM25" i="5" s="1"/>
  <c r="DL128" i="4"/>
  <c r="DL175" i="4" s="1"/>
  <c r="DM35" i="5" s="1"/>
  <c r="CV114" i="4"/>
  <c r="CV161" i="4" s="1"/>
  <c r="CW68" i="5" s="1"/>
  <c r="CV121" i="4"/>
  <c r="CV168" i="4" s="1"/>
  <c r="CW28" i="5" s="1"/>
  <c r="DH121" i="4"/>
  <c r="DH168" i="4" s="1"/>
  <c r="DI28" i="5" s="1"/>
  <c r="DH125" i="4"/>
  <c r="DH172" i="4" s="1"/>
  <c r="DI32" i="5" s="1"/>
  <c r="DI123" i="4"/>
  <c r="DI170" i="4" s="1"/>
  <c r="DJ30" i="5" s="1"/>
  <c r="DI131" i="4"/>
  <c r="DI178" i="4" s="1"/>
  <c r="DJ38" i="5" s="1"/>
  <c r="DI129" i="4"/>
  <c r="DI176" i="4" s="1"/>
  <c r="DJ83" i="5" s="1"/>
  <c r="AB121" i="4"/>
  <c r="AB168" i="4" s="1"/>
  <c r="AC28" i="5" s="1"/>
  <c r="AB113" i="4"/>
  <c r="AB160" i="4" s="1"/>
  <c r="AC20" i="5" s="1"/>
  <c r="AJ113" i="4"/>
  <c r="AJ160" i="4" s="1"/>
  <c r="AK67" i="5" s="1"/>
  <c r="AJ114" i="4"/>
  <c r="AJ161" i="4" s="1"/>
  <c r="AK68" i="5" s="1"/>
  <c r="AJ129" i="4"/>
  <c r="AJ176" i="4" s="1"/>
  <c r="AK83" i="5" s="1"/>
  <c r="AV114" i="4"/>
  <c r="AV161" i="4" s="1"/>
  <c r="AW68" i="5" s="1"/>
  <c r="AV129" i="4"/>
  <c r="AV176" i="4" s="1"/>
  <c r="AW36" i="5" s="1"/>
  <c r="AZ119" i="4"/>
  <c r="AZ166" i="4" s="1"/>
  <c r="BA73" i="5" s="1"/>
  <c r="AZ118" i="4"/>
  <c r="AZ165" i="4" s="1"/>
  <c r="BA25" i="5" s="1"/>
  <c r="BH127" i="4"/>
  <c r="BH174" i="4" s="1"/>
  <c r="BI34" i="5" s="1"/>
  <c r="BH113" i="4"/>
  <c r="BH160" i="4" s="1"/>
  <c r="BI20" i="5" s="1"/>
  <c r="BH126" i="4"/>
  <c r="BH173" i="4" s="1"/>
  <c r="BI80" i="5" s="1"/>
  <c r="BL123" i="4"/>
  <c r="BL170" i="4" s="1"/>
  <c r="BM30" i="5" s="1"/>
  <c r="BL117" i="4"/>
  <c r="BL164" i="4" s="1"/>
  <c r="BM24" i="5" s="1"/>
  <c r="BT123" i="4"/>
  <c r="BT170" i="4" s="1"/>
  <c r="BU30" i="5" s="1"/>
  <c r="BT117" i="4"/>
  <c r="BT164" i="4" s="1"/>
  <c r="BU71" i="5" s="1"/>
  <c r="CB123" i="4"/>
  <c r="CB170" i="4" s="1"/>
  <c r="CC30" i="5" s="1"/>
  <c r="CB124" i="4"/>
  <c r="CB171" i="4" s="1"/>
  <c r="CC31" i="5" s="1"/>
  <c r="CB128" i="4"/>
  <c r="CB175" i="4" s="1"/>
  <c r="CC82" i="5" s="1"/>
  <c r="CJ122" i="4"/>
  <c r="CJ169" i="4" s="1"/>
  <c r="CK76" i="5" s="1"/>
  <c r="CJ123" i="4"/>
  <c r="CJ170" i="4" s="1"/>
  <c r="CK30" i="5" s="1"/>
  <c r="U119" i="4"/>
  <c r="U166" i="4" s="1"/>
  <c r="V73" i="5" s="1"/>
  <c r="U126" i="4"/>
  <c r="U173" i="4" s="1"/>
  <c r="V80" i="5" s="1"/>
  <c r="U130" i="4"/>
  <c r="U177" i="4" s="1"/>
  <c r="V84" i="5" s="1"/>
  <c r="Y130" i="4"/>
  <c r="Y177" i="4" s="1"/>
  <c r="Z37" i="5" s="1"/>
  <c r="Y114" i="4"/>
  <c r="Y161" i="4" s="1"/>
  <c r="Z68" i="5" s="1"/>
  <c r="AK120" i="4"/>
  <c r="AK167" i="4" s="1"/>
  <c r="AL74" i="5" s="1"/>
  <c r="AK118" i="4"/>
  <c r="AK165" i="4" s="1"/>
  <c r="AL25" i="5" s="1"/>
  <c r="AS119" i="4"/>
  <c r="AS166" i="4" s="1"/>
  <c r="AT73" i="5" s="1"/>
  <c r="AS113" i="4"/>
  <c r="AS160" i="4" s="1"/>
  <c r="AT67" i="5" s="1"/>
  <c r="AS124" i="4"/>
  <c r="AS171" i="4" s="1"/>
  <c r="AT31" i="5" s="1"/>
  <c r="AW130" i="4"/>
  <c r="AW177" i="4" s="1"/>
  <c r="AX37" i="5" s="1"/>
  <c r="AW117" i="4"/>
  <c r="AW164" i="4" s="1"/>
  <c r="AX71" i="5" s="1"/>
  <c r="BE121" i="4"/>
  <c r="BE168" i="4" s="1"/>
  <c r="BF28" i="5" s="1"/>
  <c r="BE117" i="4"/>
  <c r="BE164" i="4" s="1"/>
  <c r="BF24" i="5" s="1"/>
  <c r="BI127" i="4"/>
  <c r="BI174" i="4" s="1"/>
  <c r="BJ34" i="5" s="1"/>
  <c r="BI119" i="4"/>
  <c r="BI166" i="4" s="1"/>
  <c r="BJ73" i="5" s="1"/>
  <c r="BI128" i="4"/>
  <c r="BI175" i="4" s="1"/>
  <c r="BJ35" i="5" s="1"/>
  <c r="BM125" i="4"/>
  <c r="BM172" i="4" s="1"/>
  <c r="BN32" i="5" s="1"/>
  <c r="BM130" i="4"/>
  <c r="BM177" i="4" s="1"/>
  <c r="BN84" i="5" s="1"/>
  <c r="CK120" i="4"/>
  <c r="CK167" i="4" s="1"/>
  <c r="CL74" i="5" s="1"/>
  <c r="CK118" i="4"/>
  <c r="CK165" i="4" s="1"/>
  <c r="CL25" i="5" s="1"/>
  <c r="CK126" i="4"/>
  <c r="CK173" i="4" s="1"/>
  <c r="CL80" i="5" s="1"/>
  <c r="CS130" i="4"/>
  <c r="CS177" i="4" s="1"/>
  <c r="CT84" i="5" s="1"/>
  <c r="CS122" i="4"/>
  <c r="CS169" i="4" s="1"/>
  <c r="CT76" i="5" s="1"/>
  <c r="CW130" i="4"/>
  <c r="CW177" i="4" s="1"/>
  <c r="CX84" i="5" s="1"/>
  <c r="CW124" i="4"/>
  <c r="CW171" i="4" s="1"/>
  <c r="CX78" i="5" s="1"/>
  <c r="DA118" i="4"/>
  <c r="DA165" i="4" s="1"/>
  <c r="DB25" i="5" s="1"/>
  <c r="DA114" i="4"/>
  <c r="DA161" i="4" s="1"/>
  <c r="DB21" i="5" s="1"/>
  <c r="DA129" i="4"/>
  <c r="DA176" i="4" s="1"/>
  <c r="DB36" i="5" s="1"/>
  <c r="DE123" i="4"/>
  <c r="DE170" i="4" s="1"/>
  <c r="DF30" i="5" s="1"/>
  <c r="DE126" i="4"/>
  <c r="DE173" i="4" s="1"/>
  <c r="DF80" i="5" s="1"/>
  <c r="CO114" i="4"/>
  <c r="CO161" i="4" s="1"/>
  <c r="CP68" i="5" s="1"/>
  <c r="CO117" i="4"/>
  <c r="CO164" i="4" s="1"/>
  <c r="CP71" i="5" s="1"/>
  <c r="BB124" i="4"/>
  <c r="BB171" i="4" s="1"/>
  <c r="BC78" i="5" s="1"/>
  <c r="BV119" i="4"/>
  <c r="BV166" i="4" s="1"/>
  <c r="BW73" i="5" s="1"/>
  <c r="BO117" i="4"/>
  <c r="BO164" i="4" s="1"/>
  <c r="BP24" i="5" s="1"/>
  <c r="BQ122" i="4"/>
  <c r="BQ169" i="4" s="1"/>
  <c r="BR29" i="5" s="1"/>
  <c r="R119" i="4"/>
  <c r="R166" i="4" s="1"/>
  <c r="S26" i="5" s="1"/>
  <c r="BZ115" i="4"/>
  <c r="BZ162" i="4" s="1"/>
  <c r="CA69" i="5" s="1"/>
  <c r="AU123" i="4"/>
  <c r="AU170" i="4" s="1"/>
  <c r="AV30" i="5" s="1"/>
  <c r="AF120" i="4"/>
  <c r="AF167" i="4" s="1"/>
  <c r="AG74" i="5" s="1"/>
  <c r="AF129" i="4"/>
  <c r="AF176" i="4" s="1"/>
  <c r="AG36" i="5" s="1"/>
  <c r="AF128" i="4"/>
  <c r="AF175" i="4" s="1"/>
  <c r="AG35" i="5" s="1"/>
  <c r="AN129" i="4"/>
  <c r="AN176" i="4" s="1"/>
  <c r="AO36" i="5" s="1"/>
  <c r="AR117" i="4"/>
  <c r="AR164" i="4" s="1"/>
  <c r="AS71" i="5" s="1"/>
  <c r="AR125" i="4"/>
  <c r="AR172" i="4" s="1"/>
  <c r="AS32" i="5" s="1"/>
  <c r="BD122" i="4"/>
  <c r="BD169" i="4" s="1"/>
  <c r="BE76" i="5" s="1"/>
  <c r="BD127" i="4"/>
  <c r="BD174" i="4" s="1"/>
  <c r="BE34" i="5" s="1"/>
  <c r="BP124" i="4"/>
  <c r="BP171" i="4" s="1"/>
  <c r="BQ31" i="5" s="1"/>
  <c r="BP125" i="4"/>
  <c r="BP172" i="4" s="1"/>
  <c r="BQ32" i="5" s="1"/>
  <c r="BX118" i="4"/>
  <c r="BX165" i="4" s="1"/>
  <c r="BY25" i="5" s="1"/>
  <c r="BX116" i="4"/>
  <c r="BX163" i="4" s="1"/>
  <c r="BY23" i="5" s="1"/>
  <c r="BX119" i="4"/>
  <c r="BX166" i="4" s="1"/>
  <c r="BY73" i="5" s="1"/>
  <c r="CF117" i="4"/>
  <c r="CF164" i="4" s="1"/>
  <c r="CG71" i="5" s="1"/>
  <c r="CF127" i="4"/>
  <c r="CF174" i="4" s="1"/>
  <c r="CG34" i="5" s="1"/>
  <c r="CN121" i="4"/>
  <c r="CN168" i="4" s="1"/>
  <c r="CO28" i="5" s="1"/>
  <c r="CN130" i="4"/>
  <c r="CN177" i="4" s="1"/>
  <c r="CO84" i="5" s="1"/>
  <c r="CZ124" i="4"/>
  <c r="CZ171" i="4" s="1"/>
  <c r="DA31" i="5" s="1"/>
  <c r="CZ125" i="4"/>
  <c r="CZ172" i="4" s="1"/>
  <c r="DA32" i="5" s="1"/>
  <c r="CZ128" i="4"/>
  <c r="CZ175" i="4" s="1"/>
  <c r="DA35" i="5" s="1"/>
  <c r="DD129" i="4"/>
  <c r="DD176" i="4" s="1"/>
  <c r="DE36" i="5" s="1"/>
  <c r="DD120" i="4"/>
  <c r="DD167" i="4" s="1"/>
  <c r="DE74" i="5" s="1"/>
  <c r="DL125" i="4"/>
  <c r="DL172" i="4" s="1"/>
  <c r="DM32" i="5" s="1"/>
  <c r="DL119" i="4"/>
  <c r="DL166" i="4" s="1"/>
  <c r="DM73" i="5" s="1"/>
  <c r="DL123" i="4"/>
  <c r="DL170" i="4" s="1"/>
  <c r="DM30" i="5" s="1"/>
  <c r="CV125" i="4"/>
  <c r="CV172" i="4" s="1"/>
  <c r="CW32" i="5" s="1"/>
  <c r="CV117" i="4"/>
  <c r="CV164" i="4" s="1"/>
  <c r="CW71" i="5" s="1"/>
  <c r="DH118" i="4"/>
  <c r="DH165" i="4" s="1"/>
  <c r="DI25" i="5" s="1"/>
  <c r="DH123" i="4"/>
  <c r="DH170" i="4" s="1"/>
  <c r="DI30" i="5" s="1"/>
  <c r="DI117" i="4"/>
  <c r="DI164" i="4" s="1"/>
  <c r="DJ24" i="5" s="1"/>
  <c r="DI122" i="4"/>
  <c r="DI169" i="4" s="1"/>
  <c r="DJ76" i="5" s="1"/>
  <c r="DI114" i="4"/>
  <c r="DI161" i="4" s="1"/>
  <c r="DJ68" i="5" s="1"/>
  <c r="AB118" i="4"/>
  <c r="AB165" i="4" s="1"/>
  <c r="AC25" i="5" s="1"/>
  <c r="AB119" i="4"/>
  <c r="AB166" i="4" s="1"/>
  <c r="AC73" i="5" s="1"/>
  <c r="AJ124" i="4"/>
  <c r="AJ171" i="4" s="1"/>
  <c r="AK78" i="5" s="1"/>
  <c r="AJ122" i="4"/>
  <c r="AJ169" i="4" s="1"/>
  <c r="AK76" i="5" s="1"/>
  <c r="AV116" i="4"/>
  <c r="AV163" i="4" s="1"/>
  <c r="AW23" i="5" s="1"/>
  <c r="AV122" i="4"/>
  <c r="AV169" i="4" s="1"/>
  <c r="AW29" i="5" s="1"/>
  <c r="AV113" i="4"/>
  <c r="AV160" i="4" s="1"/>
  <c r="AW67" i="5" s="1"/>
  <c r="AZ122" i="4"/>
  <c r="AZ169" i="4" s="1"/>
  <c r="BA76" i="5" s="1"/>
  <c r="AZ124" i="4"/>
  <c r="AZ171" i="4" s="1"/>
  <c r="BA31" i="5" s="1"/>
  <c r="BH130" i="4"/>
  <c r="BH177" i="4" s="1"/>
  <c r="BI84" i="5" s="1"/>
  <c r="BH118" i="4"/>
  <c r="BH165" i="4" s="1"/>
  <c r="BI25" i="5" s="1"/>
  <c r="BH125" i="4"/>
  <c r="BH172" i="4" s="1"/>
  <c r="BI32" i="5" s="1"/>
  <c r="BL127" i="4"/>
  <c r="BL174" i="4" s="1"/>
  <c r="BM34" i="5" s="1"/>
  <c r="BL124" i="4"/>
  <c r="BL171" i="4" s="1"/>
  <c r="BM31" i="5" s="1"/>
  <c r="BT116" i="4"/>
  <c r="BT163" i="4" s="1"/>
  <c r="BU23" i="5" s="1"/>
  <c r="BT113" i="4"/>
  <c r="BT160" i="4" s="1"/>
  <c r="BU20" i="5" s="1"/>
  <c r="CB130" i="4"/>
  <c r="CB177" i="4" s="1"/>
  <c r="CC84" i="5" s="1"/>
  <c r="CB122" i="4"/>
  <c r="CB169" i="4" s="1"/>
  <c r="CC29" i="5" s="1"/>
  <c r="CB113" i="4"/>
  <c r="CB160" i="4" s="1"/>
  <c r="CC20" i="5" s="1"/>
  <c r="CJ127" i="4"/>
  <c r="CJ174" i="4" s="1"/>
  <c r="CK34" i="5" s="1"/>
  <c r="CJ124" i="4"/>
  <c r="CJ171" i="4" s="1"/>
  <c r="CK31" i="5" s="1"/>
  <c r="U116" i="4"/>
  <c r="U163" i="4" s="1"/>
  <c r="V23" i="5" s="1"/>
  <c r="U118" i="4"/>
  <c r="U165" i="4" s="1"/>
  <c r="V25" i="5" s="1"/>
  <c r="Y127" i="4"/>
  <c r="Y174" i="4" s="1"/>
  <c r="Z34" i="5" s="1"/>
  <c r="Y116" i="4"/>
  <c r="Y163" i="4" s="1"/>
  <c r="Z23" i="5" s="1"/>
  <c r="Y122" i="4"/>
  <c r="Y169" i="4" s="1"/>
  <c r="Z76" i="5" s="1"/>
  <c r="AK129" i="4"/>
  <c r="AK176" i="4" s="1"/>
  <c r="AL83" i="5" s="1"/>
  <c r="AK117" i="4"/>
  <c r="AK164" i="4" s="1"/>
  <c r="AL24" i="5" s="1"/>
  <c r="AS128" i="4"/>
  <c r="AS175" i="4" s="1"/>
  <c r="AT82" i="5" s="1"/>
  <c r="AS114" i="4"/>
  <c r="AS161" i="4" s="1"/>
  <c r="AT21" i="5" s="1"/>
  <c r="AS127" i="4"/>
  <c r="AS174" i="4" s="1"/>
  <c r="AT34" i="5" s="1"/>
  <c r="AW115" i="4"/>
  <c r="AW162" i="4" s="1"/>
  <c r="AX69" i="5" s="1"/>
  <c r="AW128" i="4"/>
  <c r="AW175" i="4" s="1"/>
  <c r="AX35" i="5" s="1"/>
  <c r="BE129" i="4"/>
  <c r="BE176" i="4" s="1"/>
  <c r="BF36" i="5" s="1"/>
  <c r="BE131" i="4"/>
  <c r="BE178" i="4" s="1"/>
  <c r="BF38" i="5" s="1"/>
  <c r="BI114" i="4"/>
  <c r="BI161" i="4" s="1"/>
  <c r="BJ68" i="5" s="1"/>
  <c r="BI117" i="4"/>
  <c r="BI164" i="4" s="1"/>
  <c r="BJ24" i="5" s="1"/>
  <c r="BI118" i="4"/>
  <c r="BI165" i="4" s="1"/>
  <c r="BJ25" i="5" s="1"/>
  <c r="BM129" i="4"/>
  <c r="BM176" i="4" s="1"/>
  <c r="BN36" i="5" s="1"/>
  <c r="BM113" i="4"/>
  <c r="BM160" i="4" s="1"/>
  <c r="BN20" i="5" s="1"/>
  <c r="CK125" i="4"/>
  <c r="CK172" i="4" s="1"/>
  <c r="CL32" i="5" s="1"/>
  <c r="CK128" i="4"/>
  <c r="CK175" i="4" s="1"/>
  <c r="CL35" i="5" s="1"/>
  <c r="CS126" i="4"/>
  <c r="CS173" i="4" s="1"/>
  <c r="CT80" i="5" s="1"/>
  <c r="CS117" i="4"/>
  <c r="CS164" i="4" s="1"/>
  <c r="CT71" i="5" s="1"/>
  <c r="CS115" i="4"/>
  <c r="CS162" i="4" s="1"/>
  <c r="CT69" i="5" s="1"/>
  <c r="CW128" i="4"/>
  <c r="CW175" i="4" s="1"/>
  <c r="CX82" i="5" s="1"/>
  <c r="CW115" i="4"/>
  <c r="CW162" i="4" s="1"/>
  <c r="CX69" i="5" s="1"/>
  <c r="DA127" i="4"/>
  <c r="DA174" i="4" s="1"/>
  <c r="DB34" i="5" s="1"/>
  <c r="DA115" i="4"/>
  <c r="DA162" i="4" s="1"/>
  <c r="DB69" i="5" s="1"/>
  <c r="DA126" i="4"/>
  <c r="DA173" i="4" s="1"/>
  <c r="DB80" i="5" s="1"/>
  <c r="DE131" i="4"/>
  <c r="DE178" i="4" s="1"/>
  <c r="DF38" i="5" s="1"/>
  <c r="DE114" i="4"/>
  <c r="DE161" i="4" s="1"/>
  <c r="DF68" i="5" s="1"/>
  <c r="CO130" i="4"/>
  <c r="CO177" i="4" s="1"/>
  <c r="CP84" i="5" s="1"/>
  <c r="CO127" i="4"/>
  <c r="CO174" i="4" s="1"/>
  <c r="CP34" i="5" s="1"/>
  <c r="CP16" i="5"/>
  <c r="CQ179" i="5" s="1"/>
  <c r="BZ16" i="5"/>
  <c r="CA179" i="5" s="1"/>
  <c r="BB16" i="5"/>
  <c r="BC179" i="5" s="1"/>
  <c r="AL16" i="5"/>
  <c r="AM179" i="5" s="1"/>
  <c r="AC113" i="4"/>
  <c r="AC160" i="4" s="1"/>
  <c r="AD67" i="5" s="1"/>
  <c r="AG129" i="4"/>
  <c r="AG176" i="4" s="1"/>
  <c r="AH83" i="5" s="1"/>
  <c r="AO115" i="4"/>
  <c r="AO162" i="4" s="1"/>
  <c r="AP69" i="5" s="1"/>
  <c r="BA124" i="4"/>
  <c r="BA171" i="4" s="1"/>
  <c r="BB31" i="5" s="1"/>
  <c r="BQ113" i="4"/>
  <c r="BQ160" i="4" s="1"/>
  <c r="BR20" i="5" s="1"/>
  <c r="BU124" i="4"/>
  <c r="BU171" i="4" s="1"/>
  <c r="BV31" i="5" s="1"/>
  <c r="BY115" i="4"/>
  <c r="BY162" i="4" s="1"/>
  <c r="BZ69" i="5" s="1"/>
  <c r="BY118" i="4"/>
  <c r="BY165" i="4" s="1"/>
  <c r="BZ25" i="5" s="1"/>
  <c r="CC131" i="4"/>
  <c r="CC178" i="4" s="1"/>
  <c r="CD38" i="5" s="1"/>
  <c r="DK16" i="4"/>
  <c r="R122" i="4"/>
  <c r="R169" i="4" s="1"/>
  <c r="S76" i="5" s="1"/>
  <c r="Z126" i="4"/>
  <c r="Z173" i="4" s="1"/>
  <c r="AA80" i="5" s="1"/>
  <c r="AD122" i="4"/>
  <c r="AD169" i="4" s="1"/>
  <c r="AE76" i="5" s="1"/>
  <c r="AD130" i="4"/>
  <c r="AD177" i="4" s="1"/>
  <c r="AE37" i="5" s="1"/>
  <c r="AH130" i="4"/>
  <c r="AH177" i="4" s="1"/>
  <c r="AI37" i="5" s="1"/>
  <c r="AP117" i="4"/>
  <c r="AP164" i="4" s="1"/>
  <c r="AQ71" i="5" s="1"/>
  <c r="AT128" i="4"/>
  <c r="AT175" i="4" s="1"/>
  <c r="AU82" i="5" s="1"/>
  <c r="AT126" i="4"/>
  <c r="AT173" i="4" s="1"/>
  <c r="AU33" i="5" s="1"/>
  <c r="BB122" i="4"/>
  <c r="BB169" i="4" s="1"/>
  <c r="BC29" i="5" s="1"/>
  <c r="BF119" i="4"/>
  <c r="BF166" i="4" s="1"/>
  <c r="BG73" i="5" s="1"/>
  <c r="BJ119" i="4"/>
  <c r="BJ166" i="4" s="1"/>
  <c r="BK73" i="5" s="1"/>
  <c r="BR123" i="4"/>
  <c r="BR170" i="4" s="1"/>
  <c r="BS30" i="5" s="1"/>
  <c r="BV120" i="4"/>
  <c r="BV167" i="4" s="1"/>
  <c r="BW74" i="5" s="1"/>
  <c r="BZ119" i="4"/>
  <c r="BZ166" i="4" s="1"/>
  <c r="CA73" i="5" s="1"/>
  <c r="CD123" i="4"/>
  <c r="CD170" i="4" s="1"/>
  <c r="CE30" i="5" s="1"/>
  <c r="DB113" i="4"/>
  <c r="DB160" i="4" s="1"/>
  <c r="DC67" i="5" s="1"/>
  <c r="DK126" i="4"/>
  <c r="DK173" i="4" s="1"/>
  <c r="DL80" i="5" s="1"/>
  <c r="DC121" i="4"/>
  <c r="DC168" i="4" s="1"/>
  <c r="DD28" i="5" s="1"/>
  <c r="V125" i="4"/>
  <c r="V172" i="4" s="1"/>
  <c r="W32" i="5" s="1"/>
  <c r="AL113" i="4"/>
  <c r="AL160" i="4" s="1"/>
  <c r="AM67" i="5" s="1"/>
  <c r="BN119" i="4"/>
  <c r="BN166" i="4" s="1"/>
  <c r="BO73" i="5" s="1"/>
  <c r="CH130" i="4"/>
  <c r="CH177" i="4" s="1"/>
  <c r="CI84" i="5" s="1"/>
  <c r="CH127" i="4"/>
  <c r="CH174" i="4" s="1"/>
  <c r="CI34" i="5" s="1"/>
  <c r="CP121" i="4"/>
  <c r="CP168" i="4" s="1"/>
  <c r="CQ75" i="5" s="1"/>
  <c r="CT119" i="4"/>
  <c r="CT166" i="4" s="1"/>
  <c r="CU73" i="5" s="1"/>
  <c r="CT115" i="4"/>
  <c r="CT162" i="4" s="1"/>
  <c r="CU69" i="5" s="1"/>
  <c r="CX118" i="4"/>
  <c r="CX165" i="4" s="1"/>
  <c r="CY25" i="5" s="1"/>
  <c r="DF128" i="4"/>
  <c r="DF175" i="4" s="1"/>
  <c r="DG35" i="5" s="1"/>
  <c r="DJ113" i="4"/>
  <c r="DJ160" i="4" s="1"/>
  <c r="DK67" i="5" s="1"/>
  <c r="DG129" i="4"/>
  <c r="DG176" i="4" s="1"/>
  <c r="DH83" i="5" s="1"/>
  <c r="AU124" i="4"/>
  <c r="AU171" i="4" s="1"/>
  <c r="AV31" i="5" s="1"/>
  <c r="BG118" i="4"/>
  <c r="BG165" i="4" s="1"/>
  <c r="BH72" i="5" s="1"/>
  <c r="BO124" i="4"/>
  <c r="BO171" i="4" s="1"/>
  <c r="BP31" i="5" s="1"/>
  <c r="CE120" i="4"/>
  <c r="CE167" i="4" s="1"/>
  <c r="CF74" i="5" s="1"/>
  <c r="CE126" i="4"/>
  <c r="CE173" i="4" s="1"/>
  <c r="CF80" i="5" s="1"/>
  <c r="CM119" i="4"/>
  <c r="CM166" i="4" s="1"/>
  <c r="CN73" i="5" s="1"/>
  <c r="CU130" i="4"/>
  <c r="CU177" i="4" s="1"/>
  <c r="CV84" i="5" s="1"/>
  <c r="CR123" i="4"/>
  <c r="CR170" i="4" s="1"/>
  <c r="CS30" i="5" s="1"/>
  <c r="S118" i="4"/>
  <c r="S165" i="4" s="1"/>
  <c r="T25" i="5" s="1"/>
  <c r="W114" i="4"/>
  <c r="W161" i="4" s="1"/>
  <c r="X68" i="5" s="1"/>
  <c r="AA117" i="4"/>
  <c r="AA164" i="4" s="1"/>
  <c r="AB71" i="5" s="1"/>
  <c r="AE123" i="4"/>
  <c r="AE170" i="4" s="1"/>
  <c r="AF30" i="5" s="1"/>
  <c r="AI130" i="4"/>
  <c r="AI177" i="4" s="1"/>
  <c r="AJ84" i="5" s="1"/>
  <c r="AM129" i="4"/>
  <c r="AM176" i="4" s="1"/>
  <c r="AN83" i="5" s="1"/>
  <c r="AQ130" i="4"/>
  <c r="AQ177" i="4" s="1"/>
  <c r="AR37" i="5" s="1"/>
  <c r="AY121" i="4"/>
  <c r="AY168" i="4" s="1"/>
  <c r="AZ75" i="5" s="1"/>
  <c r="AY116" i="4"/>
  <c r="AY163" i="4" s="1"/>
  <c r="AZ23" i="5" s="1"/>
  <c r="BC116" i="4"/>
  <c r="BC163" i="4" s="1"/>
  <c r="BD23" i="5" s="1"/>
  <c r="BK128" i="4"/>
  <c r="BK175" i="4" s="1"/>
  <c r="BL82" i="5" s="1"/>
  <c r="BS115" i="4"/>
  <c r="BS162" i="4" s="1"/>
  <c r="BT69" i="5" s="1"/>
  <c r="BW130" i="4"/>
  <c r="BW177" i="4" s="1"/>
  <c r="BX84" i="5" s="1"/>
  <c r="CA117" i="4"/>
  <c r="CA164" i="4" s="1"/>
  <c r="CB71" i="5" s="1"/>
  <c r="CA129" i="4"/>
  <c r="CA176" i="4" s="1"/>
  <c r="CB83" i="5" s="1"/>
  <c r="CI120" i="4"/>
  <c r="CI167" i="4" s="1"/>
  <c r="CJ74" i="5" s="1"/>
  <c r="CQ121" i="4"/>
  <c r="CQ168" i="4" s="1"/>
  <c r="CR28" i="5" s="1"/>
  <c r="CY125" i="4"/>
  <c r="CY172" i="4" s="1"/>
  <c r="CZ79" i="5" s="1"/>
  <c r="T115" i="4"/>
  <c r="T162" i="4" s="1"/>
  <c r="U69" i="5" s="1"/>
  <c r="X115" i="4"/>
  <c r="X162" i="4" s="1"/>
  <c r="X128" i="4"/>
  <c r="X175" i="4" s="1"/>
  <c r="Y82" i="5" s="1"/>
  <c r="AF130" i="4"/>
  <c r="AF177" i="4" s="1"/>
  <c r="AG84" i="5" s="1"/>
  <c r="AN130" i="4"/>
  <c r="AN177" i="4" s="1"/>
  <c r="AO84" i="5" s="1"/>
  <c r="BD121" i="4"/>
  <c r="BD168" i="4" s="1"/>
  <c r="BE28" i="5" s="1"/>
  <c r="DM16" i="5"/>
  <c r="CG16" i="5"/>
  <c r="CH179" i="5" s="1"/>
  <c r="BQ16" i="5"/>
  <c r="BR179" i="5" s="1"/>
  <c r="BA16" i="5"/>
  <c r="BB179" i="5" s="1"/>
  <c r="AK16" i="5"/>
  <c r="AL179" i="5" s="1"/>
  <c r="AC123" i="4"/>
  <c r="AC170" i="4" s="1"/>
  <c r="AD30" i="5" s="1"/>
  <c r="AG125" i="4"/>
  <c r="AG172" i="4" s="1"/>
  <c r="AH79" i="5" s="1"/>
  <c r="AG126" i="4"/>
  <c r="AG173" i="4" s="1"/>
  <c r="AH80" i="5" s="1"/>
  <c r="AO123" i="4"/>
  <c r="AO170" i="4" s="1"/>
  <c r="AP30" i="5" s="1"/>
  <c r="BA125" i="4"/>
  <c r="BA172" i="4" s="1"/>
  <c r="BB32" i="5" s="1"/>
  <c r="BQ128" i="4"/>
  <c r="BQ175" i="4" s="1"/>
  <c r="BR35" i="5" s="1"/>
  <c r="BU115" i="4"/>
  <c r="BU162" i="4" s="1"/>
  <c r="BV22" i="5" s="1"/>
  <c r="BY131" i="4"/>
  <c r="BY178" i="4" s="1"/>
  <c r="BZ85" i="5" s="1"/>
  <c r="CC122" i="4"/>
  <c r="CC169" i="4" s="1"/>
  <c r="CD76" i="5" s="1"/>
  <c r="CG129" i="4"/>
  <c r="CG176" i="4" s="1"/>
  <c r="CH36" i="5" s="1"/>
  <c r="CG120" i="4"/>
  <c r="CG167" i="4" s="1"/>
  <c r="CH27" i="5" s="1"/>
  <c r="DB16" i="4"/>
  <c r="CL16" i="4"/>
  <c r="BF16" i="4"/>
  <c r="AP16" i="4"/>
  <c r="Z16" i="4"/>
  <c r="R123" i="4"/>
  <c r="R170" i="4" s="1"/>
  <c r="Z129" i="4"/>
  <c r="Z176" i="4" s="1"/>
  <c r="AA83" i="5" s="1"/>
  <c r="AD115" i="4"/>
  <c r="AD162" i="4" s="1"/>
  <c r="AE69" i="5" s="1"/>
  <c r="AH126" i="4"/>
  <c r="AH173" i="4" s="1"/>
  <c r="AI33" i="5" s="1"/>
  <c r="AP122" i="4"/>
  <c r="AP169" i="4" s="1"/>
  <c r="AQ29" i="5" s="1"/>
  <c r="AT123" i="4"/>
  <c r="AT170" i="4" s="1"/>
  <c r="AU77" i="5" s="1"/>
  <c r="AT131" i="4"/>
  <c r="AT178" i="4" s="1"/>
  <c r="AU85" i="5" s="1"/>
  <c r="AX127" i="4"/>
  <c r="AX174" i="4" s="1"/>
  <c r="AY34" i="5" s="1"/>
  <c r="BB127" i="4"/>
  <c r="BB174" i="4" s="1"/>
  <c r="BC81" i="5" s="1"/>
  <c r="BF117" i="4"/>
  <c r="BF164" i="4" s="1"/>
  <c r="BG24" i="5" s="1"/>
  <c r="BJ113" i="4"/>
  <c r="BJ160" i="4" s="1"/>
  <c r="BK20" i="5" s="1"/>
  <c r="BR115" i="4"/>
  <c r="BR162" i="4" s="1"/>
  <c r="BS69" i="5" s="1"/>
  <c r="BR116" i="4"/>
  <c r="BR163" i="4" s="1"/>
  <c r="BS70" i="5" s="1"/>
  <c r="BV121" i="4"/>
  <c r="BV168" i="4" s="1"/>
  <c r="BW28" i="5" s="1"/>
  <c r="CD127" i="4"/>
  <c r="CD174" i="4" s="1"/>
  <c r="CE81" i="5" s="1"/>
  <c r="CD126" i="4"/>
  <c r="CD173" i="4" s="1"/>
  <c r="CE80" i="5" s="1"/>
  <c r="DB127" i="4"/>
  <c r="DB174" i="4" s="1"/>
  <c r="DC81" i="5" s="1"/>
  <c r="DK129" i="4"/>
  <c r="DK176" i="4" s="1"/>
  <c r="DL83" i="5" s="1"/>
  <c r="DC117" i="4"/>
  <c r="DC164" i="4" s="1"/>
  <c r="DD24" i="5" s="1"/>
  <c r="V118" i="4"/>
  <c r="V165" i="4" s="1"/>
  <c r="W25" i="5" s="1"/>
  <c r="AL114" i="4"/>
  <c r="AL161" i="4" s="1"/>
  <c r="AM21" i="5" s="1"/>
  <c r="AL120" i="4"/>
  <c r="AL167" i="4" s="1"/>
  <c r="AM74" i="5" s="1"/>
  <c r="BN125" i="4"/>
  <c r="BN172" i="4" s="1"/>
  <c r="BO79" i="5" s="1"/>
  <c r="CH115" i="4"/>
  <c r="CH162" i="4" s="1"/>
  <c r="CI69" i="5" s="1"/>
  <c r="CL116" i="4"/>
  <c r="CL163" i="4" s="1"/>
  <c r="CM70" i="5" s="1"/>
  <c r="CL125" i="4"/>
  <c r="CL172" i="4" s="1"/>
  <c r="CM79" i="5" s="1"/>
  <c r="CP123" i="4"/>
  <c r="CP170" i="4" s="1"/>
  <c r="CQ30" i="5" s="1"/>
  <c r="CT122" i="4"/>
  <c r="CT169" i="4" s="1"/>
  <c r="CU29" i="5" s="1"/>
  <c r="CX117" i="4"/>
  <c r="CX164" i="4" s="1"/>
  <c r="CY71" i="5" s="1"/>
  <c r="DF120" i="4"/>
  <c r="DF167" i="4" s="1"/>
  <c r="DG27" i="5" s="1"/>
  <c r="DJ131" i="4"/>
  <c r="DJ178" i="4" s="1"/>
  <c r="DK85" i="5" s="1"/>
  <c r="DJ119" i="4"/>
  <c r="DJ166" i="4" s="1"/>
  <c r="DK73" i="5" s="1"/>
  <c r="DG116" i="4"/>
  <c r="DG163" i="4" s="1"/>
  <c r="DH70" i="5" s="1"/>
  <c r="BG115" i="4"/>
  <c r="BG162" i="4" s="1"/>
  <c r="BH69" i="5" s="1"/>
  <c r="BG127" i="4"/>
  <c r="BG174" i="4" s="1"/>
  <c r="BH81" i="5" s="1"/>
  <c r="BO122" i="4"/>
  <c r="BO169" i="4" s="1"/>
  <c r="BP29" i="5" s="1"/>
  <c r="CE128" i="4"/>
  <c r="CE175" i="4" s="1"/>
  <c r="CF35" i="5" s="1"/>
  <c r="CE125" i="4"/>
  <c r="CE172" i="4" s="1"/>
  <c r="CF32" i="5" s="1"/>
  <c r="CM113" i="4"/>
  <c r="CM160" i="4" s="1"/>
  <c r="CN20" i="5" s="1"/>
  <c r="CR118" i="4"/>
  <c r="CR165" i="4" s="1"/>
  <c r="CS25" i="5" s="1"/>
  <c r="CR129" i="4"/>
  <c r="CR176" i="4" s="1"/>
  <c r="CS36" i="5" s="1"/>
  <c r="S123" i="4"/>
  <c r="S170" i="4" s="1"/>
  <c r="T30" i="5" s="1"/>
  <c r="W119" i="4"/>
  <c r="W166" i="4" s="1"/>
  <c r="X73" i="5" s="1"/>
  <c r="AA123" i="4"/>
  <c r="AA170" i="4" s="1"/>
  <c r="AB30" i="5" s="1"/>
  <c r="AE122" i="4"/>
  <c r="AE169" i="4" s="1"/>
  <c r="AF29" i="5" s="1"/>
  <c r="AI125" i="4"/>
  <c r="AI172" i="4" s="1"/>
  <c r="AJ32" i="5" s="1"/>
  <c r="AI127" i="4"/>
  <c r="AI174" i="4" s="1"/>
  <c r="AJ81" i="5" s="1"/>
  <c r="AM123" i="4"/>
  <c r="AM170" i="4" s="1"/>
  <c r="AN30" i="5" s="1"/>
  <c r="AQ115" i="4"/>
  <c r="AQ162" i="4" s="1"/>
  <c r="AR69" i="5" s="1"/>
  <c r="AY119" i="4"/>
  <c r="AY166" i="4" s="1"/>
  <c r="AZ73" i="5" s="1"/>
  <c r="BC113" i="4"/>
  <c r="BC160" i="4" s="1"/>
  <c r="BD67" i="5" s="1"/>
  <c r="BK115" i="4"/>
  <c r="BK162" i="4" s="1"/>
  <c r="BL69" i="5" s="1"/>
  <c r="BS124" i="4"/>
  <c r="BS171" i="4" s="1"/>
  <c r="BT78" i="5" s="1"/>
  <c r="BS118" i="4"/>
  <c r="BS165" i="4" s="1"/>
  <c r="BT25" i="5" s="1"/>
  <c r="BW120" i="4"/>
  <c r="BW167" i="4" s="1"/>
  <c r="BX27" i="5" s="1"/>
  <c r="CA113" i="4"/>
  <c r="CA160" i="4" s="1"/>
  <c r="CB20" i="5" s="1"/>
  <c r="CI130" i="4"/>
  <c r="CI177" i="4" s="1"/>
  <c r="CJ37" i="5" s="1"/>
  <c r="CQ114" i="4"/>
  <c r="CQ161" i="4" s="1"/>
  <c r="CR68" i="5" s="1"/>
  <c r="CY120" i="4"/>
  <c r="CY167" i="4" s="1"/>
  <c r="CZ27" i="5" s="1"/>
  <c r="CY122" i="4"/>
  <c r="CY169" i="4" s="1"/>
  <c r="CZ76" i="5" s="1"/>
  <c r="T120" i="4"/>
  <c r="T167" i="4" s="1"/>
  <c r="U27" i="5" s="1"/>
  <c r="X131" i="4"/>
  <c r="X178" i="4" s="1"/>
  <c r="Y38" i="5" s="1"/>
  <c r="AR118" i="4"/>
  <c r="AR165" i="4" s="1"/>
  <c r="AS72" i="5" s="1"/>
  <c r="DL16" i="5"/>
  <c r="DM179" i="5" s="1"/>
  <c r="DD16" i="5"/>
  <c r="DE179" i="5" s="1"/>
  <c r="CV16" i="5"/>
  <c r="CW179" i="5" s="1"/>
  <c r="CN16" i="5"/>
  <c r="CO179" i="5" s="1"/>
  <c r="CF16" i="5"/>
  <c r="CG179" i="5" s="1"/>
  <c r="BX16" i="5"/>
  <c r="BY179" i="5" s="1"/>
  <c r="BP16" i="5"/>
  <c r="BQ179" i="5" s="1"/>
  <c r="AZ16" i="5"/>
  <c r="BA179" i="5" s="1"/>
  <c r="AR16" i="5"/>
  <c r="AS179" i="5" s="1"/>
  <c r="AJ16" i="5"/>
  <c r="AK179" i="5" s="1"/>
  <c r="AB16" i="5"/>
  <c r="AC179" i="5" s="1"/>
  <c r="T16" i="5"/>
  <c r="U179" i="5" s="1"/>
  <c r="AC131" i="4"/>
  <c r="AC178" i="4" s="1"/>
  <c r="AD85" i="5" s="1"/>
  <c r="AC118" i="4"/>
  <c r="AC165" i="4" s="1"/>
  <c r="AD25" i="5" s="1"/>
  <c r="AG117" i="4"/>
  <c r="AG164" i="4" s="1"/>
  <c r="AH24" i="5" s="1"/>
  <c r="AG119" i="4"/>
  <c r="AG166" i="4" s="1"/>
  <c r="AH73" i="5" s="1"/>
  <c r="AO120" i="4"/>
  <c r="AO167" i="4" s="1"/>
  <c r="AP74" i="5" s="1"/>
  <c r="AO129" i="4"/>
  <c r="AO176" i="4" s="1"/>
  <c r="AP83" i="5" s="1"/>
  <c r="AO127" i="4"/>
  <c r="AO174" i="4" s="1"/>
  <c r="AP81" i="5" s="1"/>
  <c r="BA128" i="4"/>
  <c r="BA175" i="4" s="1"/>
  <c r="BB35" i="5" s="1"/>
  <c r="BA119" i="4"/>
  <c r="BA166" i="4" s="1"/>
  <c r="BB26" i="5" s="1"/>
  <c r="BQ118" i="4"/>
  <c r="BQ165" i="4" s="1"/>
  <c r="BR72" i="5" s="1"/>
  <c r="BQ124" i="4"/>
  <c r="BQ171" i="4" s="1"/>
  <c r="BR78" i="5" s="1"/>
  <c r="BQ130" i="4"/>
  <c r="BQ177" i="4" s="1"/>
  <c r="BR37" i="5" s="1"/>
  <c r="BU131" i="4"/>
  <c r="BU178" i="4" s="1"/>
  <c r="BV85" i="5" s="1"/>
  <c r="BU116" i="4"/>
  <c r="BU163" i="4" s="1"/>
  <c r="BV70" i="5" s="1"/>
  <c r="BY114" i="4"/>
  <c r="BY161" i="4" s="1"/>
  <c r="BZ21" i="5" s="1"/>
  <c r="BY128" i="4"/>
  <c r="BY175" i="4" s="1"/>
  <c r="BZ35" i="5" s="1"/>
  <c r="CC130" i="4"/>
  <c r="CC177" i="4" s="1"/>
  <c r="CD37" i="5" s="1"/>
  <c r="CC118" i="4"/>
  <c r="CC165" i="4" s="1"/>
  <c r="CD25" i="5" s="1"/>
  <c r="CC121" i="4"/>
  <c r="CC168" i="4" s="1"/>
  <c r="CD75" i="5" s="1"/>
  <c r="CG114" i="4"/>
  <c r="CG161" i="4" s="1"/>
  <c r="CH68" i="5" s="1"/>
  <c r="CG123" i="4"/>
  <c r="CG170" i="4" s="1"/>
  <c r="CH77" i="5" s="1"/>
  <c r="DI16" i="4"/>
  <c r="DA16" i="4"/>
  <c r="CS16" i="4"/>
  <c r="CK16" i="4"/>
  <c r="CC16" i="4"/>
  <c r="BU16" i="4"/>
  <c r="BM16" i="4"/>
  <c r="BE16" i="4"/>
  <c r="AW16" i="4"/>
  <c r="AO16" i="4"/>
  <c r="AG16" i="4"/>
  <c r="Y16" i="4"/>
  <c r="R115" i="4"/>
  <c r="R162" i="4" s="1"/>
  <c r="R116" i="4"/>
  <c r="R163" i="4" s="1"/>
  <c r="S23" i="5" s="1"/>
  <c r="R120" i="4"/>
  <c r="R167" i="4" s="1"/>
  <c r="Z131" i="4"/>
  <c r="Z178" i="4" s="1"/>
  <c r="AA38" i="5" s="1"/>
  <c r="Z118" i="4"/>
  <c r="Z165" i="4" s="1"/>
  <c r="AA72" i="5" s="1"/>
  <c r="AD119" i="4"/>
  <c r="AD166" i="4" s="1"/>
  <c r="AE73" i="5" s="1"/>
  <c r="AD129" i="4"/>
  <c r="AD176" i="4" s="1"/>
  <c r="AE83" i="5" s="1"/>
  <c r="AD127" i="4"/>
  <c r="AD174" i="4" s="1"/>
  <c r="AE34" i="5" s="1"/>
  <c r="AH117" i="4"/>
  <c r="AH164" i="4" s="1"/>
  <c r="AI71" i="5" s="1"/>
  <c r="AH116" i="4"/>
  <c r="AH163" i="4" s="1"/>
  <c r="AI23" i="5" s="1"/>
  <c r="AP116" i="4"/>
  <c r="AP163" i="4" s="1"/>
  <c r="AQ70" i="5" s="1"/>
  <c r="AP121" i="4"/>
  <c r="AP168" i="4" s="1"/>
  <c r="AQ28" i="5" s="1"/>
  <c r="AT119" i="4"/>
  <c r="AT166" i="4" s="1"/>
  <c r="AU26" i="5" s="1"/>
  <c r="AT115" i="4"/>
  <c r="AT162" i="4" s="1"/>
  <c r="AU22" i="5" s="1"/>
  <c r="AT117" i="4"/>
  <c r="AT164" i="4" s="1"/>
  <c r="AU71" i="5" s="1"/>
  <c r="AX123" i="4"/>
  <c r="AX170" i="4" s="1"/>
  <c r="AY77" i="5" s="1"/>
  <c r="AX122" i="4"/>
  <c r="AX169" i="4" s="1"/>
  <c r="AY29" i="5" s="1"/>
  <c r="BB114" i="4"/>
  <c r="BB161" i="4" s="1"/>
  <c r="BC68" i="5" s="1"/>
  <c r="BB128" i="4"/>
  <c r="BB175" i="4" s="1"/>
  <c r="BC82" i="5" s="1"/>
  <c r="BF124" i="4"/>
  <c r="BF171" i="4" s="1"/>
  <c r="BG78" i="5" s="1"/>
  <c r="BF129" i="4"/>
  <c r="BF176" i="4" s="1"/>
  <c r="BG83" i="5" s="1"/>
  <c r="BF121" i="4"/>
  <c r="BF168" i="4" s="1"/>
  <c r="BG28" i="5" s="1"/>
  <c r="BJ120" i="4"/>
  <c r="BJ167" i="4" s="1"/>
  <c r="BK27" i="5" s="1"/>
  <c r="BJ122" i="4"/>
  <c r="BJ169" i="4" s="1"/>
  <c r="BK76" i="5" s="1"/>
  <c r="BR117" i="4"/>
  <c r="BR164" i="4" s="1"/>
  <c r="BS24" i="5" s="1"/>
  <c r="BR129" i="4"/>
  <c r="BR176" i="4" s="1"/>
  <c r="BS83" i="5" s="1"/>
  <c r="BR128" i="4"/>
  <c r="BR175" i="4" s="1"/>
  <c r="BS82" i="5" s="1"/>
  <c r="BV130" i="4"/>
  <c r="BV177" i="4" s="1"/>
  <c r="BW84" i="5" s="1"/>
  <c r="BV129" i="4"/>
  <c r="BV176" i="4" s="1"/>
  <c r="BW36" i="5" s="1"/>
  <c r="BZ117" i="4"/>
  <c r="BZ164" i="4" s="1"/>
  <c r="CA24" i="5" s="1"/>
  <c r="BZ120" i="4"/>
  <c r="BZ167" i="4" s="1"/>
  <c r="CA27" i="5" s="1"/>
  <c r="CD117" i="4"/>
  <c r="CD164" i="4" s="1"/>
  <c r="CE71" i="5" s="1"/>
  <c r="CD122" i="4"/>
  <c r="CD169" i="4" s="1"/>
  <c r="CE29" i="5" s="1"/>
  <c r="CD114" i="4"/>
  <c r="CD161" i="4" s="1"/>
  <c r="CE21" i="5" s="1"/>
  <c r="DB114" i="4"/>
  <c r="DB161" i="4" s="1"/>
  <c r="DC21" i="5" s="1"/>
  <c r="DB125" i="4"/>
  <c r="DB172" i="4" s="1"/>
  <c r="DC32" i="5" s="1"/>
  <c r="DK116" i="4"/>
  <c r="DK163" i="4" s="1"/>
  <c r="DL70" i="5" s="1"/>
  <c r="DK119" i="4"/>
  <c r="DK166" i="4" s="1"/>
  <c r="DL26" i="5" s="1"/>
  <c r="DC127" i="4"/>
  <c r="DC174" i="4" s="1"/>
  <c r="DD81" i="5" s="1"/>
  <c r="DC125" i="4"/>
  <c r="DC172" i="4" s="1"/>
  <c r="DD79" i="5" s="1"/>
  <c r="DC116" i="4"/>
  <c r="DC163" i="4" s="1"/>
  <c r="DD70" i="5" s="1"/>
  <c r="V113" i="4"/>
  <c r="V160" i="4" s="1"/>
  <c r="W67" i="5" s="1"/>
  <c r="V119" i="4"/>
  <c r="V166" i="4" s="1"/>
  <c r="W26" i="5" s="1"/>
  <c r="AL115" i="4"/>
  <c r="AL162" i="4" s="1"/>
  <c r="AM22" i="5" s="1"/>
  <c r="AL123" i="4"/>
  <c r="AL170" i="4" s="1"/>
  <c r="AM77" i="5" s="1"/>
  <c r="AL121" i="4"/>
  <c r="AL168" i="4" s="1"/>
  <c r="AM28" i="5" s="1"/>
  <c r="BN114" i="4"/>
  <c r="BN161" i="4" s="1"/>
  <c r="BO21" i="5" s="1"/>
  <c r="BN113" i="4"/>
  <c r="BN160" i="4" s="1"/>
  <c r="BO67" i="5" s="1"/>
  <c r="CH120" i="4"/>
  <c r="CH167" i="4" s="1"/>
  <c r="CI27" i="5" s="1"/>
  <c r="CH125" i="4"/>
  <c r="CH172" i="4" s="1"/>
  <c r="CI32" i="5" s="1"/>
  <c r="CL115" i="4"/>
  <c r="CL162" i="4" s="1"/>
  <c r="CM22" i="5" s="1"/>
  <c r="CL129" i="4"/>
  <c r="CL176" i="4" s="1"/>
  <c r="CM83" i="5" s="1"/>
  <c r="CL124" i="4"/>
  <c r="CL171" i="4" s="1"/>
  <c r="CM78" i="5" s="1"/>
  <c r="CP114" i="4"/>
  <c r="CP161" i="4" s="1"/>
  <c r="CQ21" i="5" s="1"/>
  <c r="CP117" i="4"/>
  <c r="CP164" i="4" s="1"/>
  <c r="CQ24" i="5" s="1"/>
  <c r="CT131" i="4"/>
  <c r="CT178" i="4" s="1"/>
  <c r="CU38" i="5" s="1"/>
  <c r="CT125" i="4"/>
  <c r="CT172" i="4" s="1"/>
  <c r="CU79" i="5" s="1"/>
  <c r="CX114" i="4"/>
  <c r="CX161" i="4" s="1"/>
  <c r="CY68" i="5" s="1"/>
  <c r="CX129" i="4"/>
  <c r="CX176" i="4" s="1"/>
  <c r="CY36" i="5" s="1"/>
  <c r="CX124" i="4"/>
  <c r="CX171" i="4" s="1"/>
  <c r="DF117" i="4"/>
  <c r="DF164" i="4" s="1"/>
  <c r="DG24" i="5" s="1"/>
  <c r="DF126" i="4"/>
  <c r="DF173" i="4" s="1"/>
  <c r="DG80" i="5" s="1"/>
  <c r="DJ118" i="4"/>
  <c r="DJ165" i="4" s="1"/>
  <c r="DK72" i="5" s="1"/>
  <c r="DJ124" i="4"/>
  <c r="DJ171" i="4" s="1"/>
  <c r="DJ129" i="4"/>
  <c r="DJ176" i="4" s="1"/>
  <c r="DK83" i="5" s="1"/>
  <c r="DG131" i="4"/>
  <c r="DG178" i="4" s="1"/>
  <c r="DH85" i="5" s="1"/>
  <c r="DG117" i="4"/>
  <c r="DG164" i="4" s="1"/>
  <c r="DH71" i="5" s="1"/>
  <c r="AU120" i="4"/>
  <c r="AU167" i="4" s="1"/>
  <c r="AV27" i="5" s="1"/>
  <c r="AU126" i="4"/>
  <c r="AU173" i="4" s="1"/>
  <c r="AV33" i="5" s="1"/>
  <c r="BG124" i="4"/>
  <c r="BG171" i="4" s="1"/>
  <c r="BH31" i="5" s="1"/>
  <c r="BG114" i="4"/>
  <c r="BG161" i="4" s="1"/>
  <c r="BH21" i="5" s="1"/>
  <c r="BG121" i="4"/>
  <c r="BG168" i="4" s="1"/>
  <c r="BH75" i="5" s="1"/>
  <c r="BO118" i="4"/>
  <c r="BO165" i="4" s="1"/>
  <c r="BO123" i="4"/>
  <c r="BO170" i="4" s="1"/>
  <c r="BP30" i="5" s="1"/>
  <c r="CE119" i="4"/>
  <c r="CE166" i="4" s="1"/>
  <c r="CF26" i="5" s="1"/>
  <c r="CE114" i="4"/>
  <c r="CE161" i="4" s="1"/>
  <c r="CF21" i="5" s="1"/>
  <c r="CM118" i="4"/>
  <c r="CM165" i="4" s="1"/>
  <c r="CM117" i="4"/>
  <c r="CM164" i="4" s="1"/>
  <c r="CN24" i="5" s="1"/>
  <c r="CM124" i="4"/>
  <c r="CM171" i="4" s="1"/>
  <c r="CN78" i="5" s="1"/>
  <c r="CU113" i="4"/>
  <c r="CU160" i="4" s="1"/>
  <c r="CU117" i="4"/>
  <c r="CU164" i="4" s="1"/>
  <c r="CV24" i="5" s="1"/>
  <c r="CR131" i="4"/>
  <c r="CR178" i="4" s="1"/>
  <c r="CS85" i="5" s="1"/>
  <c r="CR121" i="4"/>
  <c r="CR168" i="4" s="1"/>
  <c r="CS75" i="5" s="1"/>
  <c r="CR126" i="4"/>
  <c r="CR173" i="4" s="1"/>
  <c r="S115" i="4"/>
  <c r="S162" i="4" s="1"/>
  <c r="T22" i="5" s="1"/>
  <c r="S120" i="4"/>
  <c r="S167" i="4" s="1"/>
  <c r="T74" i="5" s="1"/>
  <c r="W118" i="4"/>
  <c r="W165" i="4" s="1"/>
  <c r="X72" i="5" s="1"/>
  <c r="W124" i="4"/>
  <c r="W171" i="4" s="1"/>
  <c r="AA131" i="4"/>
  <c r="AA178" i="4" s="1"/>
  <c r="AB85" i="5" s="1"/>
  <c r="AA113" i="4"/>
  <c r="AA160" i="4" s="1"/>
  <c r="AB67" i="5" s="1"/>
  <c r="AA115" i="4"/>
  <c r="AA162" i="4" s="1"/>
  <c r="AE113" i="4"/>
  <c r="AE160" i="4" s="1"/>
  <c r="AE124" i="4"/>
  <c r="AE171" i="4" s="1"/>
  <c r="AF78" i="5" s="1"/>
  <c r="AI128" i="4"/>
  <c r="AI175" i="4" s="1"/>
  <c r="AJ35" i="5" s="1"/>
  <c r="AI126" i="4"/>
  <c r="AI173" i="4" s="1"/>
  <c r="AM117" i="4"/>
  <c r="AM164" i="4" s="1"/>
  <c r="AN71" i="5" s="1"/>
  <c r="AM118" i="4"/>
  <c r="AM165" i="4" s="1"/>
  <c r="AN72" i="5" s="1"/>
  <c r="AM127" i="4"/>
  <c r="AM174" i="4" s="1"/>
  <c r="AN81" i="5" s="1"/>
  <c r="AQ122" i="4"/>
  <c r="AQ169" i="4" s="1"/>
  <c r="AR29" i="5" s="1"/>
  <c r="AQ129" i="4"/>
  <c r="AQ176" i="4" s="1"/>
  <c r="AR83" i="5" s="1"/>
  <c r="AY130" i="4"/>
  <c r="AY177" i="4" s="1"/>
  <c r="AY114" i="4"/>
  <c r="AY161" i="4" s="1"/>
  <c r="AY125" i="4"/>
  <c r="AY172" i="4" s="1"/>
  <c r="AZ79" i="5" s="1"/>
  <c r="BC123" i="4"/>
  <c r="BC170" i="4" s="1"/>
  <c r="BD77" i="5" s="1"/>
  <c r="BC126" i="4"/>
  <c r="BC173" i="4" s="1"/>
  <c r="BD33" i="5" s="1"/>
  <c r="BK117" i="4"/>
  <c r="BK164" i="4" s="1"/>
  <c r="BL24" i="5" s="1"/>
  <c r="BK116" i="4"/>
  <c r="BK163" i="4" s="1"/>
  <c r="BL70" i="5" s="1"/>
  <c r="BS131" i="4"/>
  <c r="BS178" i="4" s="1"/>
  <c r="BT85" i="5" s="1"/>
  <c r="BS121" i="4"/>
  <c r="BS168" i="4" s="1"/>
  <c r="BS122" i="4"/>
  <c r="BS169" i="4" s="1"/>
  <c r="BW119" i="4"/>
  <c r="BW166" i="4" s="1"/>
  <c r="BX26" i="5" s="1"/>
  <c r="BW116" i="4"/>
  <c r="BW163" i="4" s="1"/>
  <c r="BX23" i="5" s="1"/>
  <c r="CA125" i="4"/>
  <c r="CA172" i="4" s="1"/>
  <c r="CB79" i="5" s="1"/>
  <c r="CA114" i="4"/>
  <c r="CA161" i="4" s="1"/>
  <c r="CI123" i="4"/>
  <c r="CI170" i="4" s="1"/>
  <c r="CJ77" i="5" s="1"/>
  <c r="CI122" i="4"/>
  <c r="CI169" i="4" s="1"/>
  <c r="CJ76" i="5" s="1"/>
  <c r="CI118" i="4"/>
  <c r="CI165" i="4" s="1"/>
  <c r="CJ72" i="5" s="1"/>
  <c r="CQ113" i="4"/>
  <c r="CQ160" i="4" s="1"/>
  <c r="CR20" i="5" s="1"/>
  <c r="CQ123" i="4"/>
  <c r="CQ170" i="4" s="1"/>
  <c r="CR77" i="5" s="1"/>
  <c r="CY117" i="4"/>
  <c r="CY164" i="4" s="1"/>
  <c r="CY123" i="4"/>
  <c r="CY170" i="4" s="1"/>
  <c r="CZ77" i="5" s="1"/>
  <c r="CY126" i="4"/>
  <c r="CY173" i="4" s="1"/>
  <c r="CZ33" i="5" s="1"/>
  <c r="T116" i="4"/>
  <c r="T163" i="4" s="1"/>
  <c r="U70" i="5" s="1"/>
  <c r="T119" i="4"/>
  <c r="T166" i="4" s="1"/>
  <c r="U73" i="5" s="1"/>
  <c r="X122" i="4"/>
  <c r="X169" i="4" s="1"/>
  <c r="X130" i="4"/>
  <c r="X177" i="4" s="1"/>
  <c r="Y84" i="5" s="1"/>
  <c r="AF122" i="4"/>
  <c r="AF169" i="4" s="1"/>
  <c r="AG76" i="5" s="1"/>
  <c r="AF126" i="4"/>
  <c r="AF173" i="4" s="1"/>
  <c r="AG33" i="5" s="1"/>
  <c r="AF118" i="4"/>
  <c r="AF165" i="4" s="1"/>
  <c r="AG72" i="5" s="1"/>
  <c r="AN119" i="4"/>
  <c r="AN166" i="4" s="1"/>
  <c r="AO73" i="5" s="1"/>
  <c r="AN118" i="4"/>
  <c r="AN165" i="4" s="1"/>
  <c r="AO72" i="5" s="1"/>
  <c r="AR129" i="4"/>
  <c r="AR176" i="4" s="1"/>
  <c r="AS36" i="5" s="1"/>
  <c r="AR124" i="4"/>
  <c r="AR171" i="4" s="1"/>
  <c r="BD131" i="4"/>
  <c r="BD178" i="4" s="1"/>
  <c r="BE85" i="5" s="1"/>
  <c r="BD124" i="4"/>
  <c r="BD171" i="4" s="1"/>
  <c r="BD125" i="4"/>
  <c r="BD172" i="4" s="1"/>
  <c r="BP115" i="4"/>
  <c r="BP162" i="4" s="1"/>
  <c r="BQ22" i="5" s="1"/>
  <c r="BP113" i="4"/>
  <c r="BP160" i="4" s="1"/>
  <c r="BQ67" i="5" s="1"/>
  <c r="BX124" i="4"/>
  <c r="BX171" i="4" s="1"/>
  <c r="BY31" i="5" s="1"/>
  <c r="BX128" i="4"/>
  <c r="BX175" i="4" s="1"/>
  <c r="BY35" i="5" s="1"/>
  <c r="BX125" i="4"/>
  <c r="BX172" i="4" s="1"/>
  <c r="BY79" i="5" s="1"/>
  <c r="CF128" i="4"/>
  <c r="CF175" i="4" s="1"/>
  <c r="CG82" i="5" s="1"/>
  <c r="CF123" i="4"/>
  <c r="CF170" i="4" s="1"/>
  <c r="CG77" i="5" s="1"/>
  <c r="CN117" i="4"/>
  <c r="CN164" i="4" s="1"/>
  <c r="CO71" i="5" s="1"/>
  <c r="CN122" i="4"/>
  <c r="CN169" i="4" s="1"/>
  <c r="CO29" i="5" s="1"/>
  <c r="CZ127" i="4"/>
  <c r="CZ174" i="4" s="1"/>
  <c r="DA34" i="5" s="1"/>
  <c r="CZ126" i="4"/>
  <c r="CZ173" i="4" s="1"/>
  <c r="DA33" i="5" s="1"/>
  <c r="CZ121" i="4"/>
  <c r="CZ168" i="4" s="1"/>
  <c r="DA28" i="5" s="1"/>
  <c r="DD127" i="4"/>
  <c r="DD174" i="4" s="1"/>
  <c r="DE81" i="5" s="1"/>
  <c r="DD126" i="4"/>
  <c r="DD173" i="4" s="1"/>
  <c r="DE80" i="5" s="1"/>
  <c r="DL117" i="4"/>
  <c r="DL164" i="4" s="1"/>
  <c r="DM24" i="5" s="1"/>
  <c r="DL120" i="4"/>
  <c r="DL167" i="4" s="1"/>
  <c r="CV122" i="4"/>
  <c r="CV169" i="4" s="1"/>
  <c r="CW29" i="5" s="1"/>
  <c r="CV127" i="4"/>
  <c r="CV174" i="4" s="1"/>
  <c r="CW34" i="5" s="1"/>
  <c r="CV120" i="4"/>
  <c r="CV167" i="4" s="1"/>
  <c r="CW27" i="5" s="1"/>
  <c r="DH124" i="4"/>
  <c r="DH171" i="4" s="1"/>
  <c r="DI31" i="5" s="1"/>
  <c r="DH128" i="4"/>
  <c r="DH175" i="4" s="1"/>
  <c r="DI82" i="5" s="1"/>
  <c r="DI128" i="4"/>
  <c r="DI175" i="4" s="1"/>
  <c r="DJ35" i="5" s="1"/>
  <c r="DI115" i="4"/>
  <c r="DI162" i="4" s="1"/>
  <c r="DJ22" i="5" s="1"/>
  <c r="DI126" i="4"/>
  <c r="DI173" i="4" s="1"/>
  <c r="DJ80" i="5" s="1"/>
  <c r="AB125" i="4"/>
  <c r="AB172" i="4" s="1"/>
  <c r="AC79" i="5" s="1"/>
  <c r="AB117" i="4"/>
  <c r="AB164" i="4" s="1"/>
  <c r="AC24" i="5" s="1"/>
  <c r="AJ118" i="4"/>
  <c r="AJ165" i="4" s="1"/>
  <c r="AK25" i="5" s="1"/>
  <c r="AJ116" i="4"/>
  <c r="AJ163" i="4" s="1"/>
  <c r="AV118" i="4"/>
  <c r="AV165" i="4" s="1"/>
  <c r="AW72" i="5" s="1"/>
  <c r="AV120" i="4"/>
  <c r="AV167" i="4" s="1"/>
  <c r="AW74" i="5" s="1"/>
  <c r="AV126" i="4"/>
  <c r="AV173" i="4" s="1"/>
  <c r="AZ125" i="4"/>
  <c r="AZ172" i="4" s="1"/>
  <c r="BA79" i="5" s="1"/>
  <c r="AZ116" i="4"/>
  <c r="AZ163" i="4" s="1"/>
  <c r="BA70" i="5" s="1"/>
  <c r="BH128" i="4"/>
  <c r="BH175" i="4" s="1"/>
  <c r="BI82" i="5" s="1"/>
  <c r="BH122" i="4"/>
  <c r="BH169" i="4" s="1"/>
  <c r="BI29" i="5" s="1"/>
  <c r="BL116" i="4"/>
  <c r="BL163" i="4" s="1"/>
  <c r="BM23" i="5" s="1"/>
  <c r="BL115" i="4"/>
  <c r="BL162" i="4" s="1"/>
  <c r="BM69" i="5" s="1"/>
  <c r="BL119" i="4"/>
  <c r="BL166" i="4" s="1"/>
  <c r="BM73" i="5" s="1"/>
  <c r="BT115" i="4"/>
  <c r="BT162" i="4" s="1"/>
  <c r="BU22" i="5" s="1"/>
  <c r="BT114" i="4"/>
  <c r="BT161" i="4" s="1"/>
  <c r="CB118" i="4"/>
  <c r="CB165" i="4" s="1"/>
  <c r="CC72" i="5" s="1"/>
  <c r="CB117" i="4"/>
  <c r="CB164" i="4" s="1"/>
  <c r="CC24" i="5" s="1"/>
  <c r="CB129" i="4"/>
  <c r="CB176" i="4" s="1"/>
  <c r="CC36" i="5" s="1"/>
  <c r="CJ121" i="4"/>
  <c r="CJ168" i="4" s="1"/>
  <c r="CK28" i="5" s="1"/>
  <c r="CJ128" i="4"/>
  <c r="CJ175" i="4" s="1"/>
  <c r="CK35" i="5" s="1"/>
  <c r="U121" i="4"/>
  <c r="U168" i="4" s="1"/>
  <c r="V28" i="5" s="1"/>
  <c r="U117" i="4"/>
  <c r="U164" i="4" s="1"/>
  <c r="V24" i="5" s="1"/>
  <c r="Y117" i="4"/>
  <c r="Y164" i="4" s="1"/>
  <c r="Z24" i="5" s="1"/>
  <c r="Y124" i="4"/>
  <c r="Y171" i="4" s="1"/>
  <c r="Z31" i="5" s="1"/>
  <c r="Y118" i="4"/>
  <c r="Y165" i="4" s="1"/>
  <c r="Z72" i="5" s="1"/>
  <c r="AK113" i="4"/>
  <c r="AK160" i="4" s="1"/>
  <c r="AL20" i="5" s="1"/>
  <c r="AK115" i="4"/>
  <c r="AK162" i="4" s="1"/>
  <c r="AL69" i="5" s="1"/>
  <c r="AS126" i="4"/>
  <c r="AS173" i="4" s="1"/>
  <c r="AT33" i="5" s="1"/>
  <c r="AS118" i="4"/>
  <c r="AS165" i="4" s="1"/>
  <c r="AT25" i="5" s="1"/>
  <c r="AW123" i="4"/>
  <c r="AW170" i="4" s="1"/>
  <c r="AX30" i="5" s="1"/>
  <c r="AW114" i="4"/>
  <c r="AW161" i="4" s="1"/>
  <c r="AX68" i="5" s="1"/>
  <c r="AW122" i="4"/>
  <c r="AW169" i="4" s="1"/>
  <c r="AX29" i="5" s="1"/>
  <c r="BE122" i="4"/>
  <c r="BE169" i="4" s="1"/>
  <c r="BF76" i="5" s="1"/>
  <c r="BE125" i="4"/>
  <c r="BE172" i="4" s="1"/>
  <c r="BF79" i="5" s="1"/>
  <c r="BI116" i="4"/>
  <c r="BI163" i="4" s="1"/>
  <c r="BJ23" i="5" s="1"/>
  <c r="BI122" i="4"/>
  <c r="BI169" i="4" s="1"/>
  <c r="BJ29" i="5" s="1"/>
  <c r="BI126" i="4"/>
  <c r="BI173" i="4" s="1"/>
  <c r="BJ80" i="5" s="1"/>
  <c r="BM114" i="4"/>
  <c r="BM161" i="4" s="1"/>
  <c r="BM117" i="4"/>
  <c r="BM164" i="4" s="1"/>
  <c r="BN24" i="5" s="1"/>
  <c r="CK113" i="4"/>
  <c r="CK160" i="4" s="1"/>
  <c r="CL20" i="5" s="1"/>
  <c r="CK122" i="4"/>
  <c r="CK169" i="4" s="1"/>
  <c r="CL76" i="5" s="1"/>
  <c r="CS128" i="4"/>
  <c r="CS175" i="4" s="1"/>
  <c r="CS118" i="4"/>
  <c r="CS165" i="4" s="1"/>
  <c r="CT25" i="5" s="1"/>
  <c r="CS116" i="4"/>
  <c r="CS163" i="4" s="1"/>
  <c r="CT70" i="5" s="1"/>
  <c r="CW122" i="4"/>
  <c r="CW169" i="4" s="1"/>
  <c r="CX76" i="5" s="1"/>
  <c r="CW126" i="4"/>
  <c r="CW173" i="4" s="1"/>
  <c r="CX33" i="5" s="1"/>
  <c r="DA131" i="4"/>
  <c r="DA178" i="4" s="1"/>
  <c r="DB38" i="5" s="1"/>
  <c r="DA119" i="4"/>
  <c r="DA166" i="4" s="1"/>
  <c r="DB26" i="5" s="1"/>
  <c r="DE115" i="4"/>
  <c r="DE162" i="4" s="1"/>
  <c r="DF69" i="5" s="1"/>
  <c r="DE127" i="4"/>
  <c r="DE174" i="4" s="1"/>
  <c r="DF81" i="5" s="1"/>
  <c r="DE119" i="4"/>
  <c r="DE166" i="4" s="1"/>
  <c r="DF26" i="5" s="1"/>
  <c r="CO126" i="4"/>
  <c r="CO173" i="4" s="1"/>
  <c r="CP33" i="5" s="1"/>
  <c r="CO128" i="4"/>
  <c r="CO175" i="4" s="1"/>
  <c r="CP82" i="5" s="1"/>
  <c r="CX16" i="5"/>
  <c r="CY179" i="5" s="1"/>
  <c r="CH16" i="5"/>
  <c r="CI179" i="5" s="1"/>
  <c r="BJ16" i="5"/>
  <c r="BK179" i="5" s="1"/>
  <c r="AT16" i="5"/>
  <c r="AU179" i="5" s="1"/>
  <c r="AC116" i="4"/>
  <c r="AC163" i="4" s="1"/>
  <c r="AG120" i="4"/>
  <c r="AG167" i="4" s="1"/>
  <c r="AH27" i="5" s="1"/>
  <c r="AO122" i="4"/>
  <c r="AO169" i="4" s="1"/>
  <c r="AP76" i="5" s="1"/>
  <c r="BA121" i="4"/>
  <c r="BA168" i="4" s="1"/>
  <c r="BQ123" i="4"/>
  <c r="BQ170" i="4" s="1"/>
  <c r="BR30" i="5" s="1"/>
  <c r="BQ117" i="4"/>
  <c r="BQ164" i="4" s="1"/>
  <c r="BR71" i="5" s="1"/>
  <c r="BU114" i="4"/>
  <c r="BU161" i="4" s="1"/>
  <c r="BY130" i="4"/>
  <c r="BY177" i="4" s="1"/>
  <c r="BZ37" i="5" s="1"/>
  <c r="CC119" i="4"/>
  <c r="CC166" i="4" s="1"/>
  <c r="CG119" i="4"/>
  <c r="CG166" i="4" s="1"/>
  <c r="CH26" i="5" s="1"/>
  <c r="R130" i="4"/>
  <c r="R177" i="4" s="1"/>
  <c r="S84" i="5" s="1"/>
  <c r="Z116" i="4"/>
  <c r="Z163" i="4" s="1"/>
  <c r="AA70" i="5" s="1"/>
  <c r="AD117" i="4"/>
  <c r="AD164" i="4" s="1"/>
  <c r="AE24" i="5" s="1"/>
  <c r="AH121" i="4"/>
  <c r="AH168" i="4" s="1"/>
  <c r="AI75" i="5" s="1"/>
  <c r="AP130" i="4"/>
  <c r="AP177" i="4" s="1"/>
  <c r="AQ37" i="5" s="1"/>
  <c r="AP127" i="4"/>
  <c r="AP174" i="4" s="1"/>
  <c r="AQ81" i="5" s="1"/>
  <c r="AX115" i="4"/>
  <c r="AX162" i="4" s="1"/>
  <c r="AY69" i="5" s="1"/>
  <c r="BB117" i="4"/>
  <c r="BB164" i="4" s="1"/>
  <c r="BC71" i="5" s="1"/>
  <c r="BF125" i="4"/>
  <c r="BF172" i="4" s="1"/>
  <c r="BG32" i="5" s="1"/>
  <c r="BJ117" i="4"/>
  <c r="BJ164" i="4" s="1"/>
  <c r="BK71" i="5" s="1"/>
  <c r="BR118" i="4"/>
  <c r="BR165" i="4" s="1"/>
  <c r="BS25" i="5" s="1"/>
  <c r="BZ118" i="4"/>
  <c r="BZ165" i="4" s="1"/>
  <c r="CA72" i="5" s="1"/>
  <c r="CD113" i="4"/>
  <c r="CD160" i="4" s="1"/>
  <c r="CE67" i="5" s="1"/>
  <c r="DB119" i="4"/>
  <c r="DB166" i="4" s="1"/>
  <c r="DC26" i="5" s="1"/>
  <c r="DK124" i="4"/>
  <c r="DK171" i="4" s="1"/>
  <c r="DL78" i="5" s="1"/>
  <c r="DK131" i="4"/>
  <c r="DK178" i="4" s="1"/>
  <c r="DL85" i="5" s="1"/>
  <c r="V117" i="4"/>
  <c r="V164" i="4" s="1"/>
  <c r="W24" i="5" s="1"/>
  <c r="AL126" i="4"/>
  <c r="AL173" i="4" s="1"/>
  <c r="AM33" i="5" s="1"/>
  <c r="AL128" i="4"/>
  <c r="AL175" i="4" s="1"/>
  <c r="AM82" i="5" s="1"/>
  <c r="BN117" i="4"/>
  <c r="BN164" i="4" s="1"/>
  <c r="BO24" i="5" s="1"/>
  <c r="CH124" i="4"/>
  <c r="CH171" i="4" s="1"/>
  <c r="CI31" i="5" s="1"/>
  <c r="CL126" i="4"/>
  <c r="CL173" i="4" s="1"/>
  <c r="CM33" i="5" s="1"/>
  <c r="CP126" i="4"/>
  <c r="CP173" i="4" s="1"/>
  <c r="CQ80" i="5" s="1"/>
  <c r="CT127" i="4"/>
  <c r="CT174" i="4" s="1"/>
  <c r="CU81" i="5" s="1"/>
  <c r="CX116" i="4"/>
  <c r="CX163" i="4" s="1"/>
  <c r="DF124" i="4"/>
  <c r="DF171" i="4" s="1"/>
  <c r="DG78" i="5" s="1"/>
  <c r="DJ120" i="4"/>
  <c r="DJ167" i="4" s="1"/>
  <c r="DK74" i="5" s="1"/>
  <c r="DG127" i="4"/>
  <c r="DG174" i="4" s="1"/>
  <c r="AU127" i="4"/>
  <c r="AU174" i="4" s="1"/>
  <c r="AV34" i="5" s="1"/>
  <c r="AU129" i="4"/>
  <c r="AU176" i="4" s="1"/>
  <c r="AV83" i="5" s="1"/>
  <c r="BG126" i="4"/>
  <c r="BG173" i="4" s="1"/>
  <c r="BH80" i="5" s="1"/>
  <c r="CE117" i="4"/>
  <c r="CE164" i="4" s="1"/>
  <c r="CF24" i="5" s="1"/>
  <c r="CM127" i="4"/>
  <c r="CM174" i="4" s="1"/>
  <c r="CN34" i="5" s="1"/>
  <c r="CU114" i="4"/>
  <c r="CU161" i="4" s="1"/>
  <c r="CV21" i="5" s="1"/>
  <c r="CR116" i="4"/>
  <c r="CR163" i="4" s="1"/>
  <c r="CS23" i="5" s="1"/>
  <c r="CR124" i="4"/>
  <c r="CR171" i="4" s="1"/>
  <c r="CS31" i="5" s="1"/>
  <c r="S119" i="4"/>
  <c r="S166" i="4" s="1"/>
  <c r="W130" i="4"/>
  <c r="W177" i="4" s="1"/>
  <c r="X84" i="5" s="1"/>
  <c r="AA124" i="4"/>
  <c r="AA171" i="4" s="1"/>
  <c r="AB31" i="5" s="1"/>
  <c r="AE126" i="4"/>
  <c r="AE173" i="4" s="1"/>
  <c r="AF33" i="5" s="1"/>
  <c r="AI121" i="4"/>
  <c r="AI168" i="4" s="1"/>
  <c r="AJ28" i="5" s="1"/>
  <c r="AI129" i="4"/>
  <c r="AI176" i="4" s="1"/>
  <c r="AJ36" i="5" s="1"/>
  <c r="AM119" i="4"/>
  <c r="AM166" i="4" s="1"/>
  <c r="AQ127" i="4"/>
  <c r="AQ174" i="4" s="1"/>
  <c r="AR81" i="5" s="1"/>
  <c r="AY123" i="4"/>
  <c r="AY170" i="4" s="1"/>
  <c r="AZ30" i="5" s="1"/>
  <c r="BC124" i="4"/>
  <c r="BC171" i="4" s="1"/>
  <c r="BD78" i="5" s="1"/>
  <c r="BK127" i="4"/>
  <c r="BK174" i="4" s="1"/>
  <c r="BL34" i="5" s="1"/>
  <c r="BK129" i="4"/>
  <c r="BK176" i="4" s="1"/>
  <c r="BL83" i="5" s="1"/>
  <c r="BS119" i="4"/>
  <c r="BS166" i="4" s="1"/>
  <c r="BT73" i="5" s="1"/>
  <c r="BW131" i="4"/>
  <c r="BW178" i="4" s="1"/>
  <c r="BX85" i="5" s="1"/>
  <c r="CA122" i="4"/>
  <c r="CA169" i="4" s="1"/>
  <c r="CI115" i="4"/>
  <c r="CI162" i="4" s="1"/>
  <c r="CJ22" i="5" s="1"/>
  <c r="CQ116" i="4"/>
  <c r="CQ163" i="4" s="1"/>
  <c r="CR23" i="5" s="1"/>
  <c r="CY127" i="4"/>
  <c r="CY174" i="4" s="1"/>
  <c r="CY116" i="4"/>
  <c r="CY163" i="4" s="1"/>
  <c r="CZ23" i="5" s="1"/>
  <c r="T126" i="4"/>
  <c r="T173" i="4" s="1"/>
  <c r="U33" i="5" s="1"/>
  <c r="X126" i="4"/>
  <c r="X173" i="4" s="1"/>
  <c r="Y80" i="5" s="1"/>
  <c r="AF117" i="4"/>
  <c r="AF164" i="4" s="1"/>
  <c r="AG71" i="5" s="1"/>
  <c r="AN131" i="4"/>
  <c r="AN178" i="4" s="1"/>
  <c r="AO38" i="5" s="1"/>
  <c r="BD116" i="4"/>
  <c r="BD163" i="4" s="1"/>
  <c r="BE70" i="5" s="1"/>
  <c r="DE16" i="5"/>
  <c r="DF179" i="5" s="1"/>
  <c r="CO16" i="5"/>
  <c r="CP179" i="5" s="1"/>
  <c r="BY16" i="5"/>
  <c r="BZ179" i="5" s="1"/>
  <c r="BI16" i="5"/>
  <c r="BJ179" i="5" s="1"/>
  <c r="AS16" i="5"/>
  <c r="AT179" i="5" s="1"/>
  <c r="AC16" i="5"/>
  <c r="AD179" i="5" s="1"/>
  <c r="AC126" i="4"/>
  <c r="AC173" i="4" s="1"/>
  <c r="AD80" i="5" s="1"/>
  <c r="AG131" i="4"/>
  <c r="AG178" i="4" s="1"/>
  <c r="AH85" i="5" s="1"/>
  <c r="AO125" i="4"/>
  <c r="AO172" i="4" s="1"/>
  <c r="AP32" i="5" s="1"/>
  <c r="BA122" i="4"/>
  <c r="BA169" i="4" s="1"/>
  <c r="BB76" i="5" s="1"/>
  <c r="BQ119" i="4"/>
  <c r="BQ166" i="4" s="1"/>
  <c r="BR73" i="5" s="1"/>
  <c r="BU122" i="4"/>
  <c r="BU169" i="4" s="1"/>
  <c r="BV29" i="5" s="1"/>
  <c r="BY119" i="4"/>
  <c r="BY166" i="4" s="1"/>
  <c r="BZ73" i="5" s="1"/>
  <c r="CC117" i="4"/>
  <c r="CC164" i="4" s="1"/>
  <c r="CD24" i="5" s="1"/>
  <c r="CC128" i="4"/>
  <c r="CC175" i="4" s="1"/>
  <c r="CD82" i="5" s="1"/>
  <c r="DJ16" i="4"/>
  <c r="CT16" i="4"/>
  <c r="CD16" i="4"/>
  <c r="BN16" i="4"/>
  <c r="AX16" i="4"/>
  <c r="AH16" i="4"/>
  <c r="R160" i="4"/>
  <c r="S67" i="5" s="1"/>
  <c r="Z127" i="4"/>
  <c r="Z174" i="4" s="1"/>
  <c r="AA81" i="5" s="1"/>
  <c r="AD124" i="4"/>
  <c r="AD171" i="4" s="1"/>
  <c r="AE78" i="5" s="1"/>
  <c r="AD126" i="4"/>
  <c r="AD173" i="4" s="1"/>
  <c r="AE33" i="5" s="1"/>
  <c r="AH113" i="4"/>
  <c r="AH160" i="4" s="1"/>
  <c r="AI67" i="5" s="1"/>
  <c r="AP115" i="4"/>
  <c r="AP162" i="4" s="1"/>
  <c r="AQ22" i="5" s="1"/>
  <c r="AT116" i="4"/>
  <c r="AT163" i="4" s="1"/>
  <c r="AU23" i="5" s="1"/>
  <c r="AX114" i="4"/>
  <c r="AX161" i="4" s="1"/>
  <c r="AY21" i="5" s="1"/>
  <c r="BB129" i="4"/>
  <c r="BB176" i="4" s="1"/>
  <c r="BC36" i="5" s="1"/>
  <c r="BB125" i="4"/>
  <c r="BB172" i="4" s="1"/>
  <c r="BC79" i="5" s="1"/>
  <c r="BF116" i="4"/>
  <c r="BF163" i="4" s="1"/>
  <c r="BG23" i="5" s="1"/>
  <c r="BJ114" i="4"/>
  <c r="BJ161" i="4" s="1"/>
  <c r="BK68" i="5" s="1"/>
  <c r="BR125" i="4"/>
  <c r="BR172" i="4" s="1"/>
  <c r="BS32" i="5" s="1"/>
  <c r="BV124" i="4"/>
  <c r="BV171" i="4" s="1"/>
  <c r="BW78" i="5" s="1"/>
  <c r="BZ128" i="4"/>
  <c r="BZ175" i="4" s="1"/>
  <c r="CA82" i="5" s="1"/>
  <c r="CD115" i="4"/>
  <c r="CD162" i="4" s="1"/>
  <c r="CE22" i="5" s="1"/>
  <c r="DB126" i="4"/>
  <c r="DB173" i="4" s="1"/>
  <c r="DK113" i="4"/>
  <c r="DK160" i="4" s="1"/>
  <c r="DL20" i="5" s="1"/>
  <c r="DK118" i="4"/>
  <c r="DK165" i="4" s="1"/>
  <c r="DL25" i="5" s="1"/>
  <c r="DC120" i="4"/>
  <c r="DC167" i="4" s="1"/>
  <c r="V122" i="4"/>
  <c r="V169" i="4" s="1"/>
  <c r="AL130" i="4"/>
  <c r="AL177" i="4" s="1"/>
  <c r="AM84" i="5" s="1"/>
  <c r="BN124" i="4"/>
  <c r="BN171" i="4" s="1"/>
  <c r="CH129" i="4"/>
  <c r="CH176" i="4" s="1"/>
  <c r="CI83" i="5" s="1"/>
  <c r="CL131" i="4"/>
  <c r="CL178" i="4" s="1"/>
  <c r="CM38" i="5" s="1"/>
  <c r="CP125" i="4"/>
  <c r="CP172" i="4" s="1"/>
  <c r="CT113" i="4"/>
  <c r="CT160" i="4" s="1"/>
  <c r="CU67" i="5" s="1"/>
  <c r="CT128" i="4"/>
  <c r="CT175" i="4" s="1"/>
  <c r="CU82" i="5" s="1"/>
  <c r="CX120" i="4"/>
  <c r="CX167" i="4" s="1"/>
  <c r="CY74" i="5" s="1"/>
  <c r="DF114" i="4"/>
  <c r="DF161" i="4" s="1"/>
  <c r="DG21" i="5" s="1"/>
  <c r="DJ126" i="4"/>
  <c r="DJ173" i="4" s="1"/>
  <c r="DK80" i="5" s="1"/>
  <c r="DG130" i="4"/>
  <c r="DG177" i="4" s="1"/>
  <c r="AU128" i="4"/>
  <c r="AU175" i="4" s="1"/>
  <c r="AV35" i="5" s="1"/>
  <c r="BG116" i="4"/>
  <c r="BG163" i="4" s="1"/>
  <c r="BO119" i="4"/>
  <c r="BO166" i="4" s="1"/>
  <c r="BP73" i="5" s="1"/>
  <c r="CE130" i="4"/>
  <c r="CE177" i="4" s="1"/>
  <c r="CF37" i="5" s="1"/>
  <c r="CM125" i="4"/>
  <c r="CM172" i="4" s="1"/>
  <c r="CN32" i="5" s="1"/>
  <c r="CU129" i="4"/>
  <c r="CU176" i="4" s="1"/>
  <c r="CV36" i="5" s="1"/>
  <c r="CU127" i="4"/>
  <c r="CU174" i="4" s="1"/>
  <c r="CV34" i="5" s="1"/>
  <c r="CR119" i="4"/>
  <c r="CR166" i="4" s="1"/>
  <c r="CS26" i="5" s="1"/>
  <c r="S121" i="4"/>
  <c r="S168" i="4" s="1"/>
  <c r="T28" i="5" s="1"/>
  <c r="W116" i="4"/>
  <c r="W163" i="4" s="1"/>
  <c r="AA127" i="4"/>
  <c r="AA174" i="4" s="1"/>
  <c r="AA125" i="4"/>
  <c r="AA172" i="4" s="1"/>
  <c r="AB79" i="5" s="1"/>
  <c r="AE120" i="4"/>
  <c r="AE167" i="4" s="1"/>
  <c r="AF74" i="5" s="1"/>
  <c r="AI114" i="4"/>
  <c r="AI161" i="4" s="1"/>
  <c r="AJ21" i="5" s="1"/>
  <c r="AM115" i="4"/>
  <c r="AM162" i="4" s="1"/>
  <c r="AN69" i="5" s="1"/>
  <c r="AQ120" i="4"/>
  <c r="AQ167" i="4" s="1"/>
  <c r="AR27" i="5" s="1"/>
  <c r="AY128" i="4"/>
  <c r="AY175" i="4" s="1"/>
  <c r="AZ82" i="5" s="1"/>
  <c r="AY126" i="4"/>
  <c r="AY173" i="4" s="1"/>
  <c r="AZ33" i="5" s="1"/>
  <c r="BC117" i="4"/>
  <c r="BC164" i="4" s="1"/>
  <c r="BD24" i="5" s="1"/>
  <c r="BK131" i="4"/>
  <c r="BK178" i="4" s="1"/>
  <c r="BL85" i="5" s="1"/>
  <c r="BS129" i="4"/>
  <c r="BS176" i="4" s="1"/>
  <c r="BT83" i="5" s="1"/>
  <c r="BW121" i="4"/>
  <c r="BW168" i="4" s="1"/>
  <c r="BX75" i="5" s="1"/>
  <c r="CA120" i="4"/>
  <c r="CA167" i="4" s="1"/>
  <c r="CB74" i="5" s="1"/>
  <c r="CA124" i="4"/>
  <c r="CA171" i="4" s="1"/>
  <c r="CB78" i="5" s="1"/>
  <c r="CI121" i="4"/>
  <c r="CI168" i="4" s="1"/>
  <c r="CJ28" i="5" s="1"/>
  <c r="CQ115" i="4"/>
  <c r="CQ162" i="4" s="1"/>
  <c r="CY124" i="4"/>
  <c r="CY171" i="4" s="1"/>
  <c r="CZ31" i="5" s="1"/>
  <c r="T124" i="4"/>
  <c r="T171" i="4" s="1"/>
  <c r="X120" i="4"/>
  <c r="X167" i="4" s="1"/>
  <c r="Y74" i="5" s="1"/>
  <c r="AN115" i="4"/>
  <c r="AN162" i="4" s="1"/>
  <c r="AO22" i="5" s="1"/>
  <c r="DK16" i="5"/>
  <c r="DL179" i="5" s="1"/>
  <c r="DC16" i="5"/>
  <c r="DD179" i="5" s="1"/>
  <c r="CU16" i="5"/>
  <c r="CV179" i="5" s="1"/>
  <c r="CM16" i="5"/>
  <c r="CN179" i="5" s="1"/>
  <c r="CE16" i="5"/>
  <c r="CF179" i="5" s="1"/>
  <c r="BW16" i="5"/>
  <c r="BX179" i="5" s="1"/>
  <c r="BO16" i="5"/>
  <c r="BP179" i="5" s="1"/>
  <c r="BG16" i="5"/>
  <c r="BH179" i="5" s="1"/>
  <c r="AY16" i="5"/>
  <c r="AZ179" i="5" s="1"/>
  <c r="AQ16" i="5"/>
  <c r="AR179" i="5" s="1"/>
  <c r="AI16" i="5"/>
  <c r="AJ179" i="5" s="1"/>
  <c r="S16" i="5"/>
  <c r="AA16" i="5"/>
  <c r="AB179" i="5" s="1"/>
  <c r="AD16" i="5"/>
  <c r="AE179" i="5" s="1"/>
  <c r="AM16" i="5"/>
  <c r="AN179" i="5" s="1"/>
  <c r="AU16" i="5"/>
  <c r="AV179" i="5" s="1"/>
  <c r="BH16" i="5"/>
  <c r="BI179" i="5" s="1"/>
  <c r="BR16" i="5"/>
  <c r="BS179" i="5" s="1"/>
  <c r="CW16" i="5"/>
  <c r="CX179" i="5" s="1"/>
  <c r="AC130" i="4"/>
  <c r="AC177" i="4" s="1"/>
  <c r="AD84" i="5" s="1"/>
  <c r="AC120" i="4"/>
  <c r="AC167" i="4" s="1"/>
  <c r="AD27" i="5" s="1"/>
  <c r="AG127" i="4"/>
  <c r="AG174" i="4" s="1"/>
  <c r="AH34" i="5" s="1"/>
  <c r="AG122" i="4"/>
  <c r="AG169" i="4" s="1"/>
  <c r="AH76" i="5" s="1"/>
  <c r="AO114" i="4"/>
  <c r="AO161" i="4" s="1"/>
  <c r="AP21" i="5" s="1"/>
  <c r="AO124" i="4"/>
  <c r="AO171" i="4" s="1"/>
  <c r="AP78" i="5" s="1"/>
  <c r="AO116" i="4"/>
  <c r="AO163" i="4" s="1"/>
  <c r="AP70" i="5" s="1"/>
  <c r="BA129" i="4"/>
  <c r="BA176" i="4" s="1"/>
  <c r="BB36" i="5" s="1"/>
  <c r="BA115" i="4"/>
  <c r="BA162" i="4" s="1"/>
  <c r="BB69" i="5" s="1"/>
  <c r="BQ121" i="4"/>
  <c r="BQ168" i="4" s="1"/>
  <c r="BR75" i="5" s="1"/>
  <c r="BQ120" i="4"/>
  <c r="BQ167" i="4" s="1"/>
  <c r="BR27" i="5" s="1"/>
  <c r="BU125" i="4"/>
  <c r="BU172" i="4" s="1"/>
  <c r="BV79" i="5" s="1"/>
  <c r="BU117" i="4"/>
  <c r="BU164" i="4" s="1"/>
  <c r="BV71" i="5" s="1"/>
  <c r="BU121" i="4"/>
  <c r="BU168" i="4" s="1"/>
  <c r="BY117" i="4"/>
  <c r="BY164" i="4" s="1"/>
  <c r="BZ71" i="5" s="1"/>
  <c r="BY125" i="4"/>
  <c r="BY172" i="4" s="1"/>
  <c r="BZ79" i="5" s="1"/>
  <c r="CC113" i="4"/>
  <c r="CC160" i="4" s="1"/>
  <c r="CD67" i="5" s="1"/>
  <c r="CC126" i="4"/>
  <c r="CC173" i="4" s="1"/>
  <c r="CD33" i="5" s="1"/>
  <c r="CC125" i="4"/>
  <c r="CC172" i="4" s="1"/>
  <c r="CD79" i="5" s="1"/>
  <c r="CG122" i="4"/>
  <c r="CG169" i="4" s="1"/>
  <c r="CH76" i="5" s="1"/>
  <c r="CG121" i="4"/>
  <c r="CG168" i="4" s="1"/>
  <c r="CH28" i="5" s="1"/>
  <c r="DH16" i="4"/>
  <c r="CZ16" i="4"/>
  <c r="CR16" i="4"/>
  <c r="CJ16" i="4"/>
  <c r="CB16" i="4"/>
  <c r="BT16" i="4"/>
  <c r="BL16" i="4"/>
  <c r="BD16" i="4"/>
  <c r="AV16" i="4"/>
  <c r="AN16" i="4"/>
  <c r="AF16" i="4"/>
  <c r="X16" i="4"/>
  <c r="R126" i="4"/>
  <c r="R173" i="4" s="1"/>
  <c r="S80" i="5" s="1"/>
  <c r="R124" i="4"/>
  <c r="R171" i="4" s="1"/>
  <c r="S78" i="5" s="1"/>
  <c r="R117" i="4"/>
  <c r="R164" i="4" s="1"/>
  <c r="S24" i="5" s="1"/>
  <c r="Z115" i="4"/>
  <c r="Z162" i="4" s="1"/>
  <c r="AA22" i="5" s="1"/>
  <c r="Z124" i="4"/>
  <c r="Z171" i="4" s="1"/>
  <c r="AA78" i="5" s="1"/>
  <c r="AD128" i="4"/>
  <c r="AD175" i="4" s="1"/>
  <c r="AD114" i="4"/>
  <c r="AD161" i="4" s="1"/>
  <c r="AE68" i="5" s="1"/>
  <c r="AH124" i="4"/>
  <c r="AH171" i="4" s="1"/>
  <c r="AI78" i="5" s="1"/>
  <c r="AH120" i="4"/>
  <c r="AH167" i="4" s="1"/>
  <c r="AI27" i="5" s="1"/>
  <c r="AH122" i="4"/>
  <c r="AH169" i="4" s="1"/>
  <c r="AP128" i="4"/>
  <c r="AP175" i="4" s="1"/>
  <c r="AQ82" i="5" s="1"/>
  <c r="AP131" i="4"/>
  <c r="AP178" i="4" s="1"/>
  <c r="AQ85" i="5" s="1"/>
  <c r="AT122" i="4"/>
  <c r="AT169" i="4" s="1"/>
  <c r="AU76" i="5" s="1"/>
  <c r="AT130" i="4"/>
  <c r="AT177" i="4" s="1"/>
  <c r="AU84" i="5" s="1"/>
  <c r="AT121" i="4"/>
  <c r="AT168" i="4" s="1"/>
  <c r="AU75" i="5" s="1"/>
  <c r="AX120" i="4"/>
  <c r="AX167" i="4" s="1"/>
  <c r="AY27" i="5" s="1"/>
  <c r="AX121" i="4"/>
  <c r="AX168" i="4" s="1"/>
  <c r="AY28" i="5" s="1"/>
  <c r="BB123" i="4"/>
  <c r="BB170" i="4" s="1"/>
  <c r="BB131" i="4"/>
  <c r="BB178" i="4" s="1"/>
  <c r="BC85" i="5" s="1"/>
  <c r="BF113" i="4"/>
  <c r="BF160" i="4" s="1"/>
  <c r="BG67" i="5" s="1"/>
  <c r="BF120" i="4"/>
  <c r="BF167" i="4" s="1"/>
  <c r="BG74" i="5" s="1"/>
  <c r="BF127" i="4"/>
  <c r="BF174" i="4" s="1"/>
  <c r="BG81" i="5" s="1"/>
  <c r="BJ127" i="4"/>
  <c r="BJ174" i="4" s="1"/>
  <c r="BK34" i="5" s="1"/>
  <c r="BJ125" i="4"/>
  <c r="BJ172" i="4" s="1"/>
  <c r="BK79" i="5" s="1"/>
  <c r="BR121" i="4"/>
  <c r="BR168" i="4" s="1"/>
  <c r="BS28" i="5" s="1"/>
  <c r="BR120" i="4"/>
  <c r="BR167" i="4" s="1"/>
  <c r="BV115" i="4"/>
  <c r="BV162" i="4" s="1"/>
  <c r="BW69" i="5" s="1"/>
  <c r="BV123" i="4"/>
  <c r="BV170" i="4" s="1"/>
  <c r="BV114" i="4"/>
  <c r="BV161" i="4" s="1"/>
  <c r="BW68" i="5" s="1"/>
  <c r="BZ121" i="4"/>
  <c r="BZ168" i="4" s="1"/>
  <c r="CA75" i="5" s="1"/>
  <c r="BZ113" i="4"/>
  <c r="BZ160" i="4" s="1"/>
  <c r="CA67" i="5" s="1"/>
  <c r="CD131" i="4"/>
  <c r="CD178" i="4" s="1"/>
  <c r="CE85" i="5" s="1"/>
  <c r="CD118" i="4"/>
  <c r="CD165" i="4" s="1"/>
  <c r="CE25" i="5" s="1"/>
  <c r="CD130" i="4"/>
  <c r="CD177" i="4" s="1"/>
  <c r="CE37" i="5" s="1"/>
  <c r="DB117" i="4"/>
  <c r="DB164" i="4" s="1"/>
  <c r="DC71" i="5" s="1"/>
  <c r="DB124" i="4"/>
  <c r="DB171" i="4" s="1"/>
  <c r="DK120" i="4"/>
  <c r="DK167" i="4" s="1"/>
  <c r="DL74" i="5" s="1"/>
  <c r="DK115" i="4"/>
  <c r="DK162" i="4" s="1"/>
  <c r="DL22" i="5" s="1"/>
  <c r="DC123" i="4"/>
  <c r="DC170" i="4" s="1"/>
  <c r="DD77" i="5" s="1"/>
  <c r="DC126" i="4"/>
  <c r="DC173" i="4" s="1"/>
  <c r="DD33" i="5" s="1"/>
  <c r="DC119" i="4"/>
  <c r="DC166" i="4" s="1"/>
  <c r="DD73" i="5" s="1"/>
  <c r="V130" i="4"/>
  <c r="V177" i="4" s="1"/>
  <c r="V127" i="4"/>
  <c r="V174" i="4" s="1"/>
  <c r="W34" i="5" s="1"/>
  <c r="AL122" i="4"/>
  <c r="AL169" i="4" s="1"/>
  <c r="AM29" i="5" s="1"/>
  <c r="AL124" i="4"/>
  <c r="AL171" i="4" s="1"/>
  <c r="AM78" i="5" s="1"/>
  <c r="BN123" i="4"/>
  <c r="BN170" i="4" s="1"/>
  <c r="BO77" i="5" s="1"/>
  <c r="BN116" i="4"/>
  <c r="BN163" i="4" s="1"/>
  <c r="BO23" i="5" s="1"/>
  <c r="BN122" i="4"/>
  <c r="BN169" i="4" s="1"/>
  <c r="BO29" i="5" s="1"/>
  <c r="CH123" i="4"/>
  <c r="CH170" i="4" s="1"/>
  <c r="CI30" i="5" s="1"/>
  <c r="CH114" i="4"/>
  <c r="CH161" i="4" s="1"/>
  <c r="CI21" i="5" s="1"/>
  <c r="CL117" i="4"/>
  <c r="CL164" i="4" s="1"/>
  <c r="CM24" i="5" s="1"/>
  <c r="CL127" i="4"/>
  <c r="CL174" i="4" s="1"/>
  <c r="CM34" i="5" s="1"/>
  <c r="CL118" i="4"/>
  <c r="CL165" i="4" s="1"/>
  <c r="CM72" i="5" s="1"/>
  <c r="CP124" i="4"/>
  <c r="CP171" i="4" s="1"/>
  <c r="CQ78" i="5" s="1"/>
  <c r="CP131" i="4"/>
  <c r="CP178" i="4" s="1"/>
  <c r="CQ38" i="5" s="1"/>
  <c r="CT117" i="4"/>
  <c r="CT164" i="4" s="1"/>
  <c r="CT116" i="4"/>
  <c r="CT163" i="4" s="1"/>
  <c r="CU23" i="5" s="1"/>
  <c r="CX130" i="4"/>
  <c r="CX177" i="4" s="1"/>
  <c r="CX128" i="4"/>
  <c r="CX175" i="4" s="1"/>
  <c r="CY82" i="5" s="1"/>
  <c r="CX119" i="4"/>
  <c r="CX166" i="4" s="1"/>
  <c r="DF125" i="4"/>
  <c r="DF172" i="4" s="1"/>
  <c r="DG79" i="5" s="1"/>
  <c r="DF130" i="4"/>
  <c r="DF177" i="4" s="1"/>
  <c r="DG37" i="5" s="1"/>
  <c r="DJ122" i="4"/>
  <c r="DJ169" i="4" s="1"/>
  <c r="DK76" i="5" s="1"/>
  <c r="DJ128" i="4"/>
  <c r="DJ175" i="4" s="1"/>
  <c r="DK82" i="5" s="1"/>
  <c r="DG128" i="4"/>
  <c r="DG175" i="4" s="1"/>
  <c r="DH82" i="5" s="1"/>
  <c r="DG114" i="4"/>
  <c r="DG161" i="4" s="1"/>
  <c r="DH21" i="5" s="1"/>
  <c r="DG126" i="4"/>
  <c r="DG173" i="4" s="1"/>
  <c r="DH80" i="5" s="1"/>
  <c r="AU125" i="4"/>
  <c r="AU172" i="4" s="1"/>
  <c r="AV79" i="5" s="1"/>
  <c r="AU121" i="4"/>
  <c r="AU168" i="4" s="1"/>
  <c r="AV28" i="5" s="1"/>
  <c r="BG119" i="4"/>
  <c r="BG166" i="4" s="1"/>
  <c r="BH26" i="5" s="1"/>
  <c r="BG130" i="4"/>
  <c r="BG177" i="4" s="1"/>
  <c r="BH84" i="5" s="1"/>
  <c r="BG123" i="4"/>
  <c r="BG170" i="4" s="1"/>
  <c r="BH77" i="5" s="1"/>
  <c r="BO121" i="4"/>
  <c r="BO168" i="4" s="1"/>
  <c r="BP75" i="5" s="1"/>
  <c r="BO128" i="4"/>
  <c r="BO175" i="4" s="1"/>
  <c r="CE122" i="4"/>
  <c r="CE169" i="4" s="1"/>
  <c r="CF29" i="5" s="1"/>
  <c r="CE127" i="4"/>
  <c r="CE174" i="4" s="1"/>
  <c r="CF81" i="5" s="1"/>
  <c r="CM122" i="4"/>
  <c r="CM169" i="4" s="1"/>
  <c r="CN76" i="5" s="1"/>
  <c r="CM130" i="4"/>
  <c r="CM177" i="4" s="1"/>
  <c r="CN37" i="5" s="1"/>
  <c r="CM126" i="4"/>
  <c r="CM173" i="4" s="1"/>
  <c r="CN80" i="5" s="1"/>
  <c r="CU120" i="4"/>
  <c r="CU167" i="4" s="1"/>
  <c r="CV27" i="5" s="1"/>
  <c r="CU128" i="4"/>
  <c r="CU175" i="4" s="1"/>
  <c r="CV35" i="5" s="1"/>
  <c r="CR128" i="4"/>
  <c r="CR175" i="4" s="1"/>
  <c r="CS82" i="5" s="1"/>
  <c r="CR117" i="4"/>
  <c r="CR164" i="4" s="1"/>
  <c r="CS71" i="5" s="1"/>
  <c r="S125" i="4"/>
  <c r="S172" i="4" s="1"/>
  <c r="S131" i="4"/>
  <c r="S178" i="4" s="1"/>
  <c r="T38" i="5" s="1"/>
  <c r="S126" i="4"/>
  <c r="S173" i="4" s="1"/>
  <c r="T33" i="5" s="1"/>
  <c r="W129" i="4"/>
  <c r="W176" i="4" s="1"/>
  <c r="X36" i="5" s="1"/>
  <c r="W128" i="4"/>
  <c r="W175" i="4" s="1"/>
  <c r="X35" i="5" s="1"/>
  <c r="AA114" i="4"/>
  <c r="AA161" i="4" s="1"/>
  <c r="AA121" i="4"/>
  <c r="AA168" i="4" s="1"/>
  <c r="AB28" i="5" s="1"/>
  <c r="AA130" i="4"/>
  <c r="AA177" i="4" s="1"/>
  <c r="AB84" i="5" s="1"/>
  <c r="AE116" i="4"/>
  <c r="AE163" i="4" s="1"/>
  <c r="AE118" i="4"/>
  <c r="AE165" i="4" s="1"/>
  <c r="AF72" i="5" s="1"/>
  <c r="AI124" i="4"/>
  <c r="AI171" i="4" s="1"/>
  <c r="AJ31" i="5" s="1"/>
  <c r="AI120" i="4"/>
  <c r="AI167" i="4" s="1"/>
  <c r="AJ27" i="5" s="1"/>
  <c r="AM125" i="4"/>
  <c r="AM172" i="4" s="1"/>
  <c r="AM128" i="4"/>
  <c r="AM175" i="4" s="1"/>
  <c r="AN35" i="5" s="1"/>
  <c r="AM120" i="4"/>
  <c r="AM167" i="4" s="1"/>
  <c r="AQ124" i="4"/>
  <c r="AQ171" i="4" s="1"/>
  <c r="AR31" i="5" s="1"/>
  <c r="AQ131" i="4"/>
  <c r="AQ178" i="4" s="1"/>
  <c r="AY117" i="4"/>
  <c r="AY164" i="4" s="1"/>
  <c r="AZ24" i="5" s="1"/>
  <c r="AY118" i="4"/>
  <c r="AY165" i="4" s="1"/>
  <c r="AZ72" i="5" s="1"/>
  <c r="BC131" i="4"/>
  <c r="BC178" i="4" s="1"/>
  <c r="BC130" i="4"/>
  <c r="BC177" i="4" s="1"/>
  <c r="BC129" i="4"/>
  <c r="BC176" i="4" s="1"/>
  <c r="BD36" i="5" s="1"/>
  <c r="BK130" i="4"/>
  <c r="BK177" i="4" s="1"/>
  <c r="BK124" i="4"/>
  <c r="BK171" i="4" s="1"/>
  <c r="BL31" i="5" s="1"/>
  <c r="BS116" i="4"/>
  <c r="BS163" i="4" s="1"/>
  <c r="BS125" i="4"/>
  <c r="BS172" i="4" s="1"/>
  <c r="BS127" i="4"/>
  <c r="BS174" i="4" s="1"/>
  <c r="BW126" i="4"/>
  <c r="BW173" i="4" s="1"/>
  <c r="BX33" i="5" s="1"/>
  <c r="BW129" i="4"/>
  <c r="BW176" i="4" s="1"/>
  <c r="CA127" i="4"/>
  <c r="CA174" i="4" s="1"/>
  <c r="CB81" i="5" s="1"/>
  <c r="CA116" i="4"/>
  <c r="CA163" i="4" s="1"/>
  <c r="CI131" i="4"/>
  <c r="CI178" i="4" s="1"/>
  <c r="CJ85" i="5" s="1"/>
  <c r="CI113" i="4"/>
  <c r="CI160" i="4" s="1"/>
  <c r="CI119" i="4"/>
  <c r="CI166" i="4" s="1"/>
  <c r="CJ73" i="5" s="1"/>
  <c r="CQ126" i="4"/>
  <c r="CQ173" i="4" s="1"/>
  <c r="CQ130" i="4"/>
  <c r="CQ177" i="4" s="1"/>
  <c r="CR37" i="5" s="1"/>
  <c r="CY129" i="4"/>
  <c r="CY176" i="4" s="1"/>
  <c r="CY128" i="4"/>
  <c r="CY175" i="4" s="1"/>
  <c r="CZ35" i="5" s="1"/>
  <c r="T122" i="4"/>
  <c r="T169" i="4" s="1"/>
  <c r="T127" i="4"/>
  <c r="T174" i="4" s="1"/>
  <c r="T130" i="4"/>
  <c r="T177" i="4" s="1"/>
  <c r="X125" i="4"/>
  <c r="X172" i="4" s="1"/>
  <c r="Y32" i="5" s="1"/>
  <c r="X127" i="4"/>
  <c r="X174" i="4" s="1"/>
  <c r="AF127" i="4"/>
  <c r="AF174" i="4" s="1"/>
  <c r="AG34" i="5" s="1"/>
  <c r="AF131" i="4"/>
  <c r="AF178" i="4" s="1"/>
  <c r="AF125" i="4"/>
  <c r="AF172" i="4" s="1"/>
  <c r="AG79" i="5" s="1"/>
  <c r="AN120" i="4"/>
  <c r="AN167" i="4" s="1"/>
  <c r="AN113" i="4"/>
  <c r="AN160" i="4" s="1"/>
  <c r="AO67" i="5" s="1"/>
  <c r="AR122" i="4"/>
  <c r="AR169" i="4" s="1"/>
  <c r="AS76" i="5" s="1"/>
  <c r="AR128" i="4"/>
  <c r="AR175" i="4" s="1"/>
  <c r="AS82" i="5" s="1"/>
  <c r="BD126" i="4"/>
  <c r="BD173" i="4" s="1"/>
  <c r="BD123" i="4"/>
  <c r="BD170" i="4" s="1"/>
  <c r="BD118" i="4"/>
  <c r="BD165" i="4" s="1"/>
  <c r="BP128" i="4"/>
  <c r="BP175" i="4" s="1"/>
  <c r="BQ82" i="5" s="1"/>
  <c r="BP129" i="4"/>
  <c r="BP176" i="4" s="1"/>
  <c r="BX121" i="4"/>
  <c r="BX168" i="4" s="1"/>
  <c r="BY75" i="5" s="1"/>
  <c r="BX127" i="4"/>
  <c r="BX174" i="4" s="1"/>
  <c r="CF124" i="4"/>
  <c r="CF171" i="4" s="1"/>
  <c r="CG78" i="5" s="1"/>
  <c r="CF122" i="4"/>
  <c r="CF169" i="4" s="1"/>
  <c r="CF120" i="4"/>
  <c r="CF167" i="4" s="1"/>
  <c r="CG27" i="5" s="1"/>
  <c r="CN123" i="4"/>
  <c r="CN170" i="4" s="1"/>
  <c r="CN115" i="4"/>
  <c r="CN162" i="4" s="1"/>
  <c r="CO69" i="5" s="1"/>
  <c r="CZ120" i="4"/>
  <c r="CZ167" i="4" s="1"/>
  <c r="CZ119" i="4"/>
  <c r="CZ166" i="4" s="1"/>
  <c r="DA26" i="5" s="1"/>
  <c r="CZ129" i="4"/>
  <c r="CZ176" i="4" s="1"/>
  <c r="DD119" i="4"/>
  <c r="DD166" i="4" s="1"/>
  <c r="DD117" i="4"/>
  <c r="DD164" i="4" s="1"/>
  <c r="DL121" i="4"/>
  <c r="DL168" i="4" s="1"/>
  <c r="DM28" i="5" s="1"/>
  <c r="DL114" i="4"/>
  <c r="DL161" i="4" s="1"/>
  <c r="CV128" i="4"/>
  <c r="CV175" i="4" s="1"/>
  <c r="CW35" i="5" s="1"/>
  <c r="CV119" i="4"/>
  <c r="CV166" i="4" s="1"/>
  <c r="CV129" i="4"/>
  <c r="CV176" i="4" s="1"/>
  <c r="DH116" i="4"/>
  <c r="DH163" i="4" s="1"/>
  <c r="DH131" i="4"/>
  <c r="DH178" i="4" s="1"/>
  <c r="DI38" i="5" s="1"/>
  <c r="DI118" i="4"/>
  <c r="DI165" i="4" s="1"/>
  <c r="DI124" i="4"/>
  <c r="DI171" i="4" s="1"/>
  <c r="DJ31" i="5" s="1"/>
  <c r="AB126" i="4"/>
  <c r="AB173" i="4" s="1"/>
  <c r="AB115" i="4"/>
  <c r="AB162" i="4" s="1"/>
  <c r="AC22" i="5" s="1"/>
  <c r="AB128" i="4"/>
  <c r="AB175" i="4" s="1"/>
  <c r="AJ126" i="4"/>
  <c r="AJ173" i="4" s="1"/>
  <c r="AK33" i="5" s="1"/>
  <c r="AJ127" i="4"/>
  <c r="AJ174" i="4" s="1"/>
  <c r="AV123" i="4"/>
  <c r="AV170" i="4" s="1"/>
  <c r="AW30" i="5" s="1"/>
  <c r="AV115" i="4"/>
  <c r="AV162" i="4" s="1"/>
  <c r="AW22" i="5" s="1"/>
  <c r="AV127" i="4"/>
  <c r="AV174" i="4" s="1"/>
  <c r="AW81" i="5" s="1"/>
  <c r="AZ121" i="4"/>
  <c r="AZ168" i="4" s="1"/>
  <c r="AZ113" i="4"/>
  <c r="AZ160" i="4" s="1"/>
  <c r="BA67" i="5" s="1"/>
  <c r="BH120" i="4"/>
  <c r="BH167" i="4" s="1"/>
  <c r="BH119" i="4"/>
  <c r="BH166" i="4" s="1"/>
  <c r="BI73" i="5" s="1"/>
  <c r="BL128" i="4"/>
  <c r="BL175" i="4" s="1"/>
  <c r="BL129" i="4"/>
  <c r="BL176" i="4" s="1"/>
  <c r="BL114" i="4"/>
  <c r="BL161" i="4" s="1"/>
  <c r="BT121" i="4"/>
  <c r="BT168" i="4" s="1"/>
  <c r="BU75" i="5" s="1"/>
  <c r="BT118" i="4"/>
  <c r="BT165" i="4" s="1"/>
  <c r="BU25" i="5" s="1"/>
  <c r="CB116" i="4"/>
  <c r="CB163" i="4" s="1"/>
  <c r="CB125" i="4"/>
  <c r="CB172" i="4" s="1"/>
  <c r="CJ131" i="4"/>
  <c r="CJ178" i="4" s="1"/>
  <c r="CK38" i="5" s="1"/>
  <c r="CJ117" i="4"/>
  <c r="CJ164" i="4" s="1"/>
  <c r="CK71" i="5" s="1"/>
  <c r="CJ125" i="4"/>
  <c r="CJ172" i="4" s="1"/>
  <c r="CK79" i="5" s="1"/>
  <c r="U131" i="4"/>
  <c r="U178" i="4" s="1"/>
  <c r="V38" i="5" s="1"/>
  <c r="U122" i="4"/>
  <c r="U169" i="4" s="1"/>
  <c r="Y113" i="4"/>
  <c r="Y160" i="4" s="1"/>
  <c r="Z67" i="5" s="1"/>
  <c r="Y115" i="4"/>
  <c r="Y162" i="4" s="1"/>
  <c r="Z22" i="5" s="1"/>
  <c r="Y125" i="4"/>
  <c r="Y172" i="4" s="1"/>
  <c r="Z32" i="5" s="1"/>
  <c r="AK116" i="4"/>
  <c r="AK163" i="4" s="1"/>
  <c r="AL23" i="5" s="1"/>
  <c r="AK128" i="4"/>
  <c r="AK175" i="4" s="1"/>
  <c r="AL35" i="5" s="1"/>
  <c r="AS122" i="4"/>
  <c r="AS169" i="4" s="1"/>
  <c r="AT76" i="5" s="1"/>
  <c r="AS129" i="4"/>
  <c r="AS176" i="4" s="1"/>
  <c r="AT36" i="5" s="1"/>
  <c r="AW116" i="4"/>
  <c r="AW163" i="4" s="1"/>
  <c r="AX70" i="5" s="1"/>
  <c r="AW126" i="4"/>
  <c r="AW173" i="4" s="1"/>
  <c r="AX33" i="5" s="1"/>
  <c r="AW121" i="4"/>
  <c r="AW168" i="4" s="1"/>
  <c r="AX75" i="5" s="1"/>
  <c r="BE113" i="4"/>
  <c r="BE160" i="4" s="1"/>
  <c r="BF67" i="5" s="1"/>
  <c r="BE114" i="4"/>
  <c r="BE161" i="4" s="1"/>
  <c r="BF68" i="5" s="1"/>
  <c r="BI123" i="4"/>
  <c r="BI170" i="4" s="1"/>
  <c r="BI121" i="4"/>
  <c r="BI168" i="4" s="1"/>
  <c r="BJ28" i="5" s="1"/>
  <c r="BM121" i="4"/>
  <c r="BM168" i="4" s="1"/>
  <c r="BN75" i="5" s="1"/>
  <c r="BM131" i="4"/>
  <c r="BM178" i="4" s="1"/>
  <c r="BN38" i="5" s="1"/>
  <c r="BM119" i="4"/>
  <c r="BM166" i="4" s="1"/>
  <c r="CK124" i="4"/>
  <c r="CK171" i="4" s="1"/>
  <c r="CL78" i="5" s="1"/>
  <c r="CK119" i="4"/>
  <c r="CK166" i="4" s="1"/>
  <c r="CL26" i="5" s="1"/>
  <c r="CS124" i="4"/>
  <c r="CS171" i="4" s="1"/>
  <c r="CT31" i="5" s="1"/>
  <c r="CS113" i="4"/>
  <c r="CS160" i="4" s="1"/>
  <c r="CS123" i="4"/>
  <c r="CS170" i="4" s="1"/>
  <c r="CT30" i="5" s="1"/>
  <c r="CW125" i="4"/>
  <c r="CW172" i="4" s="1"/>
  <c r="CX79" i="5" s="1"/>
  <c r="CW118" i="4"/>
  <c r="CW165" i="4" s="1"/>
  <c r="CX25" i="5" s="1"/>
  <c r="DA125" i="4"/>
  <c r="DA172" i="4" s="1"/>
  <c r="DA117" i="4"/>
  <c r="DA164" i="4" s="1"/>
  <c r="DB71" i="5" s="1"/>
  <c r="DE130" i="4"/>
  <c r="DE177" i="4" s="1"/>
  <c r="DF37" i="5" s="1"/>
  <c r="DE124" i="4"/>
  <c r="DE171" i="4" s="1"/>
  <c r="DF31" i="5" s="1"/>
  <c r="DE121" i="4"/>
  <c r="DE168" i="4" s="1"/>
  <c r="DF75" i="5" s="1"/>
  <c r="CO119" i="4"/>
  <c r="CO166" i="4" s="1"/>
  <c r="CP73" i="5" s="1"/>
  <c r="CO120" i="4"/>
  <c r="CO167" i="4" s="1"/>
  <c r="CP27" i="5" s="1"/>
  <c r="BQ116" i="4"/>
  <c r="BQ163" i="4" s="1"/>
  <c r="BR23" i="5" s="1"/>
  <c r="DG16" i="4"/>
  <c r="AM16" i="4"/>
  <c r="AT129" i="4"/>
  <c r="AT176" i="4" s="1"/>
  <c r="DK121" i="4"/>
  <c r="DK168" i="4" s="1"/>
  <c r="DL28" i="5" s="1"/>
  <c r="CE129" i="4"/>
  <c r="CE176" i="4" s="1"/>
  <c r="CM114" i="4"/>
  <c r="CM161" i="4" s="1"/>
  <c r="CN68" i="5" s="1"/>
  <c r="CM116" i="4"/>
  <c r="CM163" i="4" s="1"/>
  <c r="CM128" i="4"/>
  <c r="CM175" i="4" s="1"/>
  <c r="CN35" i="5" s="1"/>
  <c r="CU122" i="4"/>
  <c r="CU169" i="4" s="1"/>
  <c r="CR114" i="4"/>
  <c r="CR161" i="4" s="1"/>
  <c r="CS68" i="5" s="1"/>
  <c r="S116" i="4"/>
  <c r="S163" i="4" s="1"/>
  <c r="S114" i="4"/>
  <c r="S161" i="4" s="1"/>
  <c r="T68" i="5" s="1"/>
  <c r="S117" i="4"/>
  <c r="S164" i="4" s="1"/>
  <c r="W121" i="4"/>
  <c r="W168" i="4" s="1"/>
  <c r="X75" i="5" s="1"/>
  <c r="W122" i="4"/>
  <c r="W169" i="4" s="1"/>
  <c r="AA120" i="4"/>
  <c r="AA167" i="4" s="1"/>
  <c r="AB27" i="5" s="1"/>
  <c r="AA118" i="4"/>
  <c r="AA165" i="4" s="1"/>
  <c r="AE114" i="4"/>
  <c r="AE161" i="4" s="1"/>
  <c r="AF68" i="5" s="1"/>
  <c r="AE115" i="4"/>
  <c r="AE162" i="4" s="1"/>
  <c r="AE117" i="4"/>
  <c r="AE164" i="4" s="1"/>
  <c r="AF71" i="5" s="1"/>
  <c r="AI117" i="4"/>
  <c r="AI164" i="4" s="1"/>
  <c r="AI118" i="4"/>
  <c r="AI165" i="4" s="1"/>
  <c r="AJ72" i="5" s="1"/>
  <c r="AM114" i="4"/>
  <c r="AM161" i="4" s="1"/>
  <c r="AM113" i="4"/>
  <c r="AM160" i="4" s="1"/>
  <c r="AM124" i="4"/>
  <c r="AM171" i="4" s="1"/>
  <c r="AQ128" i="4"/>
  <c r="AQ175" i="4" s="1"/>
  <c r="AR82" i="5" s="1"/>
  <c r="AQ114" i="4"/>
  <c r="AQ161" i="4" s="1"/>
  <c r="AY122" i="4"/>
  <c r="AY169" i="4" s="1"/>
  <c r="AZ76" i="5" s="1"/>
  <c r="AY124" i="4"/>
  <c r="AY171" i="4" s="1"/>
  <c r="BC120" i="4"/>
  <c r="BC167" i="4" s="1"/>
  <c r="BD74" i="5" s="1"/>
  <c r="BC122" i="4"/>
  <c r="BC169" i="4" s="1"/>
  <c r="BC118" i="4"/>
  <c r="BC165" i="4" s="1"/>
  <c r="BD72" i="5" s="1"/>
  <c r="BK121" i="4"/>
  <c r="BK168" i="4" s="1"/>
  <c r="BK125" i="4"/>
  <c r="BK172" i="4" s="1"/>
  <c r="BL32" i="5" s="1"/>
  <c r="BS114" i="4"/>
  <c r="BS161" i="4" s="1"/>
  <c r="BS117" i="4"/>
  <c r="BS164" i="4" s="1"/>
  <c r="BT71" i="5" s="1"/>
  <c r="BW128" i="4"/>
  <c r="BW175" i="4" s="1"/>
  <c r="BW115" i="4"/>
  <c r="BW162" i="4" s="1"/>
  <c r="BX22" i="5" s="1"/>
  <c r="BW118" i="4"/>
  <c r="BW165" i="4" s="1"/>
  <c r="CA121" i="4"/>
  <c r="CA168" i="4" s="1"/>
  <c r="CB28" i="5" s="1"/>
  <c r="CA123" i="4"/>
  <c r="CA170" i="4" s="1"/>
  <c r="CI124" i="4"/>
  <c r="CI171" i="4" s="1"/>
  <c r="CJ31" i="5" s="1"/>
  <c r="CI125" i="4"/>
  <c r="CI172" i="4" s="1"/>
  <c r="CI128" i="4"/>
  <c r="CI175" i="4" s="1"/>
  <c r="CJ35" i="5" s="1"/>
  <c r="CQ122" i="4"/>
  <c r="CQ169" i="4" s="1"/>
  <c r="CQ129" i="4"/>
  <c r="CQ176" i="4" s="1"/>
  <c r="CY130" i="4"/>
  <c r="CY177" i="4" s="1"/>
  <c r="CY118" i="4"/>
  <c r="CY165" i="4" s="1"/>
  <c r="T114" i="4"/>
  <c r="T161" i="4" s="1"/>
  <c r="T128" i="4"/>
  <c r="T175" i="4" s="1"/>
  <c r="U82" i="5" s="1"/>
  <c r="T123" i="4"/>
  <c r="T170" i="4" s="1"/>
  <c r="X123" i="4"/>
  <c r="X170" i="4" s="1"/>
  <c r="Y30" i="5" s="1"/>
  <c r="X118" i="4"/>
  <c r="X165" i="4" s="1"/>
  <c r="AF116" i="4"/>
  <c r="AF163" i="4" s="1"/>
  <c r="AG70" i="5" s="1"/>
  <c r="AF123" i="4"/>
  <c r="AF170" i="4" s="1"/>
  <c r="AN122" i="4"/>
  <c r="AN169" i="4" s="1"/>
  <c r="AO29" i="5" s="1"/>
  <c r="AN124" i="4"/>
  <c r="AN171" i="4" s="1"/>
  <c r="AN117" i="4"/>
  <c r="AN164" i="4" s="1"/>
  <c r="AO71" i="5" s="1"/>
  <c r="AR115" i="4"/>
  <c r="AR162" i="4" s="1"/>
  <c r="AR116" i="4"/>
  <c r="AR163" i="4" s="1"/>
  <c r="BD117" i="4"/>
  <c r="BD164" i="4" s="1"/>
  <c r="BD130" i="4"/>
  <c r="BD177" i="4" s="1"/>
  <c r="BE84" i="5" s="1"/>
  <c r="BD129" i="4"/>
  <c r="BD176" i="4" s="1"/>
  <c r="BP130" i="4"/>
  <c r="BP177" i="4" s="1"/>
  <c r="BQ84" i="5" s="1"/>
  <c r="BP121" i="4"/>
  <c r="BP168" i="4" s="1"/>
  <c r="BX129" i="4"/>
  <c r="BX176" i="4" s="1"/>
  <c r="BY83" i="5" s="1"/>
  <c r="BX126" i="4"/>
  <c r="BX173" i="4" s="1"/>
  <c r="CF113" i="4"/>
  <c r="CF160" i="4" s="1"/>
  <c r="CF116" i="4"/>
  <c r="CF163" i="4" s="1"/>
  <c r="CF130" i="4"/>
  <c r="CF177" i="4" s="1"/>
  <c r="CN129" i="4"/>
  <c r="CN176" i="4" s="1"/>
  <c r="CN131" i="4"/>
  <c r="CN178" i="4" s="1"/>
  <c r="CO38" i="5" s="1"/>
  <c r="CZ131" i="4"/>
  <c r="CZ178" i="4" s="1"/>
  <c r="CZ130" i="4"/>
  <c r="CZ177" i="4" s="1"/>
  <c r="DD124" i="4"/>
  <c r="DD171" i="4" s="1"/>
  <c r="DD121" i="4"/>
  <c r="DD168" i="4" s="1"/>
  <c r="DE28" i="5" s="1"/>
  <c r="DD131" i="4"/>
  <c r="DD178" i="4" s="1"/>
  <c r="DL113" i="4"/>
  <c r="DL160" i="4" s="1"/>
  <c r="DM20" i="5" s="1"/>
  <c r="DL116" i="4"/>
  <c r="DL163" i="4" s="1"/>
  <c r="CV115" i="4"/>
  <c r="CV162" i="4" s="1"/>
  <c r="CW69" i="5" s="1"/>
  <c r="CV131" i="4"/>
  <c r="CV178" i="4" s="1"/>
  <c r="CV126" i="4"/>
  <c r="CV173" i="4" s="1"/>
  <c r="DH115" i="4"/>
  <c r="DH162" i="4" s="1"/>
  <c r="DH130" i="4"/>
  <c r="DH177" i="4" s="1"/>
  <c r="DI119" i="4"/>
  <c r="DI166" i="4" s="1"/>
  <c r="DI116" i="4"/>
  <c r="DI163" i="4" s="1"/>
  <c r="DJ23" i="5" s="1"/>
  <c r="AB120" i="4"/>
  <c r="AB167" i="4" s="1"/>
  <c r="AB131" i="4"/>
  <c r="AB178" i="4" s="1"/>
  <c r="AB124" i="4"/>
  <c r="AB171" i="4" s="1"/>
  <c r="AJ115" i="4"/>
  <c r="AJ162" i="4" s="1"/>
  <c r="AK69" i="5" s="1"/>
  <c r="AJ117" i="4"/>
  <c r="AJ164" i="4" s="1"/>
  <c r="AV128" i="4"/>
  <c r="AV175" i="4" s="1"/>
  <c r="AW35" i="5" s="1"/>
  <c r="AV119" i="4"/>
  <c r="AV166" i="4" s="1"/>
  <c r="AZ115" i="4"/>
  <c r="AZ162" i="4" s="1"/>
  <c r="BA22" i="5" s="1"/>
  <c r="AZ117" i="4"/>
  <c r="AZ164" i="4" s="1"/>
  <c r="AZ131" i="4"/>
  <c r="AZ178" i="4" s="1"/>
  <c r="BA38" i="5" s="1"/>
  <c r="BH123" i="4"/>
  <c r="BH170" i="4" s="1"/>
  <c r="BH129" i="4"/>
  <c r="BH176" i="4" s="1"/>
  <c r="BI36" i="5" s="1"/>
  <c r="BL130" i="4"/>
  <c r="BL177" i="4" s="1"/>
  <c r="BL118" i="4"/>
  <c r="BL165" i="4" s="1"/>
  <c r="BM72" i="5" s="1"/>
  <c r="BL126" i="4"/>
  <c r="BL173" i="4" s="1"/>
  <c r="BT119" i="4"/>
  <c r="BT166" i="4" s="1"/>
  <c r="BU26" i="5" s="1"/>
  <c r="BT120" i="4"/>
  <c r="BT167" i="4" s="1"/>
  <c r="CB126" i="4"/>
  <c r="CB173" i="4" s="1"/>
  <c r="CB131" i="4"/>
  <c r="CB178" i="4" s="1"/>
  <c r="CJ113" i="4"/>
  <c r="CJ160" i="4" s="1"/>
  <c r="CK67" i="5" s="1"/>
  <c r="CJ130" i="4"/>
  <c r="CJ177" i="4" s="1"/>
  <c r="CJ120" i="4"/>
  <c r="CJ167" i="4" s="1"/>
  <c r="CK27" i="5" s="1"/>
  <c r="U125" i="4"/>
  <c r="U172" i="4" s="1"/>
  <c r="U114" i="4"/>
  <c r="U161" i="4" s="1"/>
  <c r="Y128" i="4"/>
  <c r="Y175" i="4" s="1"/>
  <c r="Y121" i="4"/>
  <c r="Y168" i="4" s="1"/>
  <c r="Z28" i="5" s="1"/>
  <c r="AK127" i="4"/>
  <c r="AK174" i="4" s="1"/>
  <c r="AK114" i="4"/>
  <c r="AK161" i="4" s="1"/>
  <c r="AL21" i="5" s="1"/>
  <c r="AK123" i="4"/>
  <c r="AK170" i="4" s="1"/>
  <c r="AS125" i="4"/>
  <c r="AS172" i="4" s="1"/>
  <c r="AT32" i="5" s="1"/>
  <c r="AS130" i="4"/>
  <c r="AS177" i="4" s="1"/>
  <c r="AW119" i="4"/>
  <c r="AW166" i="4" s="1"/>
  <c r="AX26" i="5" s="1"/>
  <c r="AW129" i="4"/>
  <c r="AW176" i="4" s="1"/>
  <c r="AW127" i="4"/>
  <c r="AW174" i="4" s="1"/>
  <c r="AX81" i="5" s="1"/>
  <c r="BE124" i="4"/>
  <c r="BE171" i="4" s="1"/>
  <c r="BE119" i="4"/>
  <c r="BE166" i="4" s="1"/>
  <c r="BF26" i="5" s="1"/>
  <c r="BI130" i="4"/>
  <c r="BI177" i="4" s="1"/>
  <c r="BI113" i="4"/>
  <c r="BI160" i="4" s="1"/>
  <c r="BM120" i="4"/>
  <c r="BM167" i="4" s="1"/>
  <c r="BM122" i="4"/>
  <c r="BM169" i="4" s="1"/>
  <c r="BN29" i="5" s="1"/>
  <c r="BM118" i="4"/>
  <c r="BM165" i="4" s="1"/>
  <c r="CK115" i="4"/>
  <c r="CK162" i="4" s="1"/>
  <c r="CL22" i="5" s="1"/>
  <c r="CK127" i="4"/>
  <c r="CK174" i="4" s="1"/>
  <c r="CS125" i="4"/>
  <c r="CS172" i="4" s="1"/>
  <c r="CS129" i="4"/>
  <c r="CS176" i="4" s="1"/>
  <c r="CW113" i="4"/>
  <c r="CW160" i="4" s="1"/>
  <c r="CW131" i="4"/>
  <c r="CW178" i="4" s="1"/>
  <c r="CW129" i="4"/>
  <c r="CW176" i="4" s="1"/>
  <c r="CX83" i="5" s="1"/>
  <c r="DA122" i="4"/>
  <c r="DA169" i="4" s="1"/>
  <c r="DA120" i="4"/>
  <c r="DA167" i="4" s="1"/>
  <c r="DB27" i="5" s="1"/>
  <c r="DE117" i="4"/>
  <c r="DE164" i="4" s="1"/>
  <c r="DE116" i="4"/>
  <c r="DE163" i="4" s="1"/>
  <c r="DF70" i="5" s="1"/>
  <c r="DE118" i="4"/>
  <c r="DE165" i="4" s="1"/>
  <c r="CO131" i="4"/>
  <c r="CO178" i="4" s="1"/>
  <c r="CP85" i="5" s="1"/>
  <c r="CO116" i="4"/>
  <c r="CO163" i="4" s="1"/>
  <c r="AX16" i="5"/>
  <c r="AY179" i="5" s="1"/>
  <c r="AC124" i="4"/>
  <c r="AC171" i="4" s="1"/>
  <c r="AO126" i="4"/>
  <c r="AO173" i="4" s="1"/>
  <c r="AP80" i="5" s="1"/>
  <c r="BY124" i="4"/>
  <c r="BY171" i="4" s="1"/>
  <c r="CG124" i="4"/>
  <c r="CG171" i="4" s="1"/>
  <c r="AP123" i="4"/>
  <c r="AP170" i="4" s="1"/>
  <c r="AQ30" i="5" s="1"/>
  <c r="CS16" i="5"/>
  <c r="CT179" i="5" s="1"/>
  <c r="BA130" i="4"/>
  <c r="BA177" i="4" s="1"/>
  <c r="BB84" i="5" s="1"/>
  <c r="AP126" i="4"/>
  <c r="AP173" i="4" s="1"/>
  <c r="AQ80" i="5" s="1"/>
  <c r="DF127" i="4"/>
  <c r="DF174" i="4" s="1"/>
  <c r="DG81" i="5" s="1"/>
  <c r="BS120" i="4"/>
  <c r="BS167" i="4" s="1"/>
  <c r="BT74" i="5" s="1"/>
  <c r="BW114" i="4"/>
  <c r="BW161" i="4" s="1"/>
  <c r="BX21" i="5" s="1"/>
  <c r="BW123" i="4"/>
  <c r="BW170" i="4" s="1"/>
  <c r="BX30" i="5" s="1"/>
  <c r="BW124" i="4"/>
  <c r="BW171" i="4" s="1"/>
  <c r="BX78" i="5" s="1"/>
  <c r="CA115" i="4"/>
  <c r="CA162" i="4" s="1"/>
  <c r="CB69" i="5" s="1"/>
  <c r="CA130" i="4"/>
  <c r="CA177" i="4" s="1"/>
  <c r="CB37" i="5" s="1"/>
  <c r="CI129" i="4"/>
  <c r="CI176" i="4" s="1"/>
  <c r="CJ36" i="5" s="1"/>
  <c r="CI127" i="4"/>
  <c r="CI174" i="4" s="1"/>
  <c r="CJ81" i="5" s="1"/>
  <c r="CQ118" i="4"/>
  <c r="CQ165" i="4" s="1"/>
  <c r="CY119" i="4"/>
  <c r="CY166" i="4" s="1"/>
  <c r="CZ26" i="5" s="1"/>
  <c r="CY114" i="4"/>
  <c r="CY161" i="4" s="1"/>
  <c r="CZ68" i="5" s="1"/>
  <c r="T131" i="4"/>
  <c r="T178" i="4" s="1"/>
  <c r="T117" i="4"/>
  <c r="T164" i="4" s="1"/>
  <c r="U24" i="5" s="1"/>
  <c r="T118" i="4"/>
  <c r="T165" i="4" s="1"/>
  <c r="U72" i="5" s="1"/>
  <c r="X121" i="4"/>
  <c r="X168" i="4" s="1"/>
  <c r="Y28" i="5" s="1"/>
  <c r="X116" i="4"/>
  <c r="X163" i="4" s="1"/>
  <c r="Y70" i="5" s="1"/>
  <c r="AF115" i="4"/>
  <c r="AF162" i="4" s="1"/>
  <c r="AG69" i="5" s="1"/>
  <c r="AF124" i="4"/>
  <c r="AF171" i="4" s="1"/>
  <c r="AG31" i="5" s="1"/>
  <c r="AN127" i="4"/>
  <c r="AN174" i="4" s="1"/>
  <c r="AO34" i="5" s="1"/>
  <c r="AN114" i="4"/>
  <c r="AN161" i="4" s="1"/>
  <c r="AO68" i="5" s="1"/>
  <c r="AN125" i="4"/>
  <c r="AN172" i="4" s="1"/>
  <c r="AO32" i="5" s="1"/>
  <c r="AR121" i="4"/>
  <c r="AR168" i="4" s="1"/>
  <c r="AS28" i="5" s="1"/>
  <c r="AR120" i="4"/>
  <c r="AR167" i="4" s="1"/>
  <c r="AS74" i="5" s="1"/>
  <c r="BD119" i="4"/>
  <c r="BD166" i="4" s="1"/>
  <c r="BE26" i="5" s="1"/>
  <c r="BD128" i="4"/>
  <c r="BD175" i="4" s="1"/>
  <c r="BE82" i="5" s="1"/>
  <c r="BP120" i="4"/>
  <c r="BP167" i="4" s="1"/>
  <c r="BQ27" i="5" s="1"/>
  <c r="BP131" i="4"/>
  <c r="BP178" i="4" s="1"/>
  <c r="BQ38" i="5" s="1"/>
  <c r="BP126" i="4"/>
  <c r="BP173" i="4" s="1"/>
  <c r="BQ33" i="5" s="1"/>
  <c r="BX113" i="4"/>
  <c r="BX160" i="4" s="1"/>
  <c r="BY20" i="5" s="1"/>
  <c r="BX131" i="4"/>
  <c r="BX178" i="4" s="1"/>
  <c r="BY85" i="5" s="1"/>
  <c r="CF121" i="4"/>
  <c r="CF168" i="4" s="1"/>
  <c r="CG28" i="5" s="1"/>
  <c r="CF125" i="4"/>
  <c r="CF172" i="4" s="1"/>
  <c r="CG79" i="5" s="1"/>
  <c r="CF118" i="4"/>
  <c r="CF165" i="4" s="1"/>
  <c r="CG25" i="5" s="1"/>
  <c r="CN124" i="4"/>
  <c r="CN171" i="4" s="1"/>
  <c r="CO78" i="5" s="1"/>
  <c r="CN126" i="4"/>
  <c r="CN173" i="4" s="1"/>
  <c r="CZ114" i="4"/>
  <c r="CZ161" i="4" s="1"/>
  <c r="DA68" i="5" s="1"/>
  <c r="CZ123" i="4"/>
  <c r="CZ170" i="4" s="1"/>
  <c r="DA77" i="5" s="1"/>
  <c r="DD123" i="4"/>
  <c r="DD170" i="4" s="1"/>
  <c r="DE77" i="5" s="1"/>
  <c r="DD122" i="4"/>
  <c r="DD169" i="4" s="1"/>
  <c r="DE29" i="5" s="1"/>
  <c r="DD130" i="4"/>
  <c r="DD177" i="4" s="1"/>
  <c r="DE84" i="5" s="1"/>
  <c r="DL124" i="4"/>
  <c r="DL171" i="4" s="1"/>
  <c r="DM31" i="5" s="1"/>
  <c r="DL127" i="4"/>
  <c r="DL174" i="4" s="1"/>
  <c r="DM34" i="5" s="1"/>
  <c r="CV118" i="4"/>
  <c r="CV165" i="4" s="1"/>
  <c r="CW72" i="5" s="1"/>
  <c r="CV113" i="4"/>
  <c r="CV160" i="4" s="1"/>
  <c r="CW67" i="5" s="1"/>
  <c r="DH113" i="4"/>
  <c r="DH160" i="4" s="1"/>
  <c r="DI20" i="5" s="1"/>
  <c r="DH127" i="4"/>
  <c r="DH174" i="4" s="1"/>
  <c r="DI34" i="5" s="1"/>
  <c r="DH114" i="4"/>
  <c r="DH161" i="4" s="1"/>
  <c r="DI21" i="5" s="1"/>
  <c r="DI130" i="4"/>
  <c r="DI177" i="4" s="1"/>
  <c r="DJ37" i="5" s="1"/>
  <c r="DI121" i="4"/>
  <c r="DI168" i="4" s="1"/>
  <c r="DJ28" i="5" s="1"/>
  <c r="AB114" i="4"/>
  <c r="AB161" i="4" s="1"/>
  <c r="AC68" i="5" s="1"/>
  <c r="AB130" i="4"/>
  <c r="AB177" i="4" s="1"/>
  <c r="AC37" i="5" s="1"/>
  <c r="AB127" i="4"/>
  <c r="AB174" i="4" s="1"/>
  <c r="AC81" i="5" s="1"/>
  <c r="AJ130" i="4"/>
  <c r="AJ177" i="4" s="1"/>
  <c r="AJ123" i="4"/>
  <c r="AJ170" i="4" s="1"/>
  <c r="AK30" i="5" s="1"/>
  <c r="AV130" i="4"/>
  <c r="AV177" i="4" s="1"/>
  <c r="AW37" i="5" s="1"/>
  <c r="AV121" i="4"/>
  <c r="AV168" i="4" s="1"/>
  <c r="AW75" i="5" s="1"/>
  <c r="AZ120" i="4"/>
  <c r="AZ167" i="4" s="1"/>
  <c r="BA27" i="5" s="1"/>
  <c r="AZ126" i="4"/>
  <c r="AZ173" i="4" s="1"/>
  <c r="BA80" i="5" s="1"/>
  <c r="AZ130" i="4"/>
  <c r="AZ177" i="4" s="1"/>
  <c r="BH115" i="4"/>
  <c r="BH162" i="4" s="1"/>
  <c r="BI22" i="5" s="1"/>
  <c r="BH124" i="4"/>
  <c r="BH171" i="4" s="1"/>
  <c r="BL113" i="4"/>
  <c r="BL160" i="4" s="1"/>
  <c r="BM67" i="5" s="1"/>
  <c r="BL121" i="4"/>
  <c r="BL168" i="4" s="1"/>
  <c r="BM75" i="5" s="1"/>
  <c r="BT128" i="4"/>
  <c r="BT175" i="4" s="1"/>
  <c r="BU82" i="5" s="1"/>
  <c r="BT126" i="4"/>
  <c r="BT173" i="4" s="1"/>
  <c r="BU33" i="5" s="1"/>
  <c r="BT129" i="4"/>
  <c r="BT176" i="4" s="1"/>
  <c r="BU36" i="5" s="1"/>
  <c r="CB119" i="4"/>
  <c r="CB166" i="4" s="1"/>
  <c r="CC73" i="5" s="1"/>
  <c r="CB127" i="4"/>
  <c r="CB174" i="4" s="1"/>
  <c r="CC34" i="5" s="1"/>
  <c r="CJ126" i="4"/>
  <c r="CJ173" i="4" s="1"/>
  <c r="CJ119" i="4"/>
  <c r="CJ166" i="4" s="1"/>
  <c r="CK73" i="5" s="1"/>
  <c r="CJ116" i="4"/>
  <c r="CJ163" i="4" s="1"/>
  <c r="CK70" i="5" s="1"/>
  <c r="U115" i="4"/>
  <c r="U162" i="4" s="1"/>
  <c r="V69" i="5" s="1"/>
  <c r="U113" i="4"/>
  <c r="U160" i="4" s="1"/>
  <c r="V20" i="5" s="1"/>
  <c r="Y120" i="4"/>
  <c r="Y167" i="4" s="1"/>
  <c r="Z74" i="5" s="1"/>
  <c r="Y129" i="4"/>
  <c r="Y176" i="4" s="1"/>
  <c r="Z83" i="5" s="1"/>
  <c r="AK122" i="4"/>
  <c r="AK169" i="4" s="1"/>
  <c r="AL29" i="5" s="1"/>
  <c r="AK130" i="4"/>
  <c r="AK177" i="4" s="1"/>
  <c r="AL37" i="5" s="1"/>
  <c r="AK125" i="4"/>
  <c r="AK172" i="4" s="1"/>
  <c r="AL32" i="5" s="1"/>
  <c r="AS117" i="4"/>
  <c r="AS164" i="4" s="1"/>
  <c r="AT71" i="5" s="1"/>
  <c r="AS120" i="4"/>
  <c r="AS167" i="4" s="1"/>
  <c r="AT74" i="5" s="1"/>
  <c r="AW131" i="4"/>
  <c r="AW178" i="4" s="1"/>
  <c r="AX38" i="5" s="1"/>
  <c r="AW118" i="4"/>
  <c r="AW165" i="4" s="1"/>
  <c r="AX25" i="5" s="1"/>
  <c r="BE116" i="4"/>
  <c r="BE163" i="4" s="1"/>
  <c r="BF23" i="5" s="1"/>
  <c r="BE130" i="4"/>
  <c r="BE177" i="4" s="1"/>
  <c r="BF37" i="5" s="1"/>
  <c r="BE115" i="4"/>
  <c r="BE162" i="4" s="1"/>
  <c r="BF69" i="5" s="1"/>
  <c r="BI129" i="4"/>
  <c r="BI176" i="4" s="1"/>
  <c r="BJ83" i="5" s="1"/>
  <c r="BI125" i="4"/>
  <c r="BI172" i="4" s="1"/>
  <c r="BJ32" i="5" s="1"/>
  <c r="BM124" i="4"/>
  <c r="BM171" i="4" s="1"/>
  <c r="BN31" i="5" s="1"/>
  <c r="BM127" i="4"/>
  <c r="BM174" i="4" s="1"/>
  <c r="BM126" i="4"/>
  <c r="BM173" i="4" s="1"/>
  <c r="BN80" i="5" s="1"/>
  <c r="CK114" i="4"/>
  <c r="CK161" i="4" s="1"/>
  <c r="CL21" i="5" s="1"/>
  <c r="CK123" i="4"/>
  <c r="CK170" i="4" s="1"/>
  <c r="CL30" i="5" s="1"/>
  <c r="CS131" i="4"/>
  <c r="CS178" i="4" s="1"/>
  <c r="CT38" i="5" s="1"/>
  <c r="CS120" i="4"/>
  <c r="CS167" i="4" s="1"/>
  <c r="CT74" i="5" s="1"/>
  <c r="CW127" i="4"/>
  <c r="CW174" i="4" s="1"/>
  <c r="CX34" i="5" s="1"/>
  <c r="CW116" i="4"/>
  <c r="CW163" i="4" s="1"/>
  <c r="CX23" i="5" s="1"/>
  <c r="CW114" i="4"/>
  <c r="CW161" i="4" s="1"/>
  <c r="CX21" i="5" s="1"/>
  <c r="DA130" i="4"/>
  <c r="DA177" i="4" s="1"/>
  <c r="DB84" i="5" s="1"/>
  <c r="DA113" i="4"/>
  <c r="DA160" i="4" s="1"/>
  <c r="DB20" i="5" s="1"/>
  <c r="DE113" i="4"/>
  <c r="DE160" i="4" s="1"/>
  <c r="DF67" i="5" s="1"/>
  <c r="DE129" i="4"/>
  <c r="DE176" i="4" s="1"/>
  <c r="DF83" i="5" s="1"/>
  <c r="CO115" i="4"/>
  <c r="CO162" i="4" s="1"/>
  <c r="CP69" i="5" s="1"/>
  <c r="CO122" i="4"/>
  <c r="CO169" i="4" s="1"/>
  <c r="CP29" i="5" s="1"/>
  <c r="CO121" i="4"/>
  <c r="CO168" i="4" s="1"/>
  <c r="CP28" i="5" s="1"/>
  <c r="CG131" i="4"/>
  <c r="CG178" i="4" s="1"/>
  <c r="CH38" i="5" s="1"/>
  <c r="DJ16" i="5"/>
  <c r="DK179" i="5" s="1"/>
  <c r="DB16" i="5"/>
  <c r="DC179" i="5" s="1"/>
  <c r="CL16" i="5"/>
  <c r="CM179" i="5" s="1"/>
  <c r="CD16" i="5"/>
  <c r="CE179" i="5" s="1"/>
  <c r="BV16" i="5"/>
  <c r="BW179" i="5" s="1"/>
  <c r="BN16" i="5"/>
  <c r="BO179" i="5" s="1"/>
  <c r="BF16" i="5"/>
  <c r="BG179" i="5" s="1"/>
  <c r="AH16" i="5"/>
  <c r="AI179" i="5" s="1"/>
  <c r="AC122" i="4"/>
  <c r="AC169" i="4" s="1"/>
  <c r="AD76" i="5" s="1"/>
  <c r="AG113" i="4"/>
  <c r="AG160" i="4" s="1"/>
  <c r="AH20" i="5" s="1"/>
  <c r="AO113" i="4"/>
  <c r="AO160" i="4" s="1"/>
  <c r="AP20" i="5" s="1"/>
  <c r="BA120" i="4"/>
  <c r="BA167" i="4" s="1"/>
  <c r="BB74" i="5" s="1"/>
  <c r="BU119" i="4"/>
  <c r="BU166" i="4" s="1"/>
  <c r="BV73" i="5" s="1"/>
  <c r="BU118" i="4"/>
  <c r="BU165" i="4" s="1"/>
  <c r="BV25" i="5" s="1"/>
  <c r="BY123" i="4"/>
  <c r="BY170" i="4" s="1"/>
  <c r="BZ30" i="5" s="1"/>
  <c r="CC115" i="4"/>
  <c r="CC162" i="4" s="1"/>
  <c r="CD22" i="5" s="1"/>
  <c r="CG130" i="4"/>
  <c r="CG177" i="4" s="1"/>
  <c r="CH84" i="5" s="1"/>
  <c r="CQ16" i="4"/>
  <c r="CA16" i="4"/>
  <c r="BK16" i="4"/>
  <c r="BC16" i="4"/>
  <c r="AE16" i="4"/>
  <c r="R114" i="4"/>
  <c r="R161" i="4" s="1"/>
  <c r="S21" i="5" s="1"/>
  <c r="R125" i="4"/>
  <c r="R172" i="4" s="1"/>
  <c r="Z121" i="4"/>
  <c r="Z168" i="4" s="1"/>
  <c r="AA28" i="5" s="1"/>
  <c r="AD121" i="4"/>
  <c r="AD168" i="4" s="1"/>
  <c r="AE28" i="5" s="1"/>
  <c r="AH119" i="4"/>
  <c r="AH166" i="4" s="1"/>
  <c r="AI73" i="5" s="1"/>
  <c r="AP113" i="4"/>
  <c r="AP160" i="4" s="1"/>
  <c r="AQ67" i="5" s="1"/>
  <c r="AX113" i="4"/>
  <c r="AX160" i="4" s="1"/>
  <c r="AY20" i="5" s="1"/>
  <c r="AX116" i="4"/>
  <c r="AX163" i="4" s="1"/>
  <c r="AY23" i="5" s="1"/>
  <c r="BB120" i="4"/>
  <c r="BB167" i="4" s="1"/>
  <c r="BC74" i="5" s="1"/>
  <c r="BF115" i="4"/>
  <c r="BF162" i="4" s="1"/>
  <c r="BG69" i="5" s="1"/>
  <c r="BJ121" i="4"/>
  <c r="BJ168" i="4" s="1"/>
  <c r="BK28" i="5" s="1"/>
  <c r="BR119" i="4"/>
  <c r="BR166" i="4" s="1"/>
  <c r="BS73" i="5" s="1"/>
  <c r="BV126" i="4"/>
  <c r="BV173" i="4" s="1"/>
  <c r="BW80" i="5" s="1"/>
  <c r="BV116" i="4"/>
  <c r="BV163" i="4" s="1"/>
  <c r="BW70" i="5" s="1"/>
  <c r="BZ130" i="4"/>
  <c r="BZ177" i="4" s="1"/>
  <c r="CA84" i="5" s="1"/>
  <c r="CD124" i="4"/>
  <c r="CD171" i="4" s="1"/>
  <c r="CE31" i="5" s="1"/>
  <c r="DB116" i="4"/>
  <c r="DB163" i="4" s="1"/>
  <c r="DC23" i="5" s="1"/>
  <c r="DK128" i="4"/>
  <c r="DK175" i="4" s="1"/>
  <c r="DL82" i="5" s="1"/>
  <c r="DC113" i="4"/>
  <c r="DC160" i="4" s="1"/>
  <c r="DD20" i="5" s="1"/>
  <c r="V129" i="4"/>
  <c r="V176" i="4" s="1"/>
  <c r="W36" i="5" s="1"/>
  <c r="AL118" i="4"/>
  <c r="AL165" i="4" s="1"/>
  <c r="AM25" i="5" s="1"/>
  <c r="BN131" i="4"/>
  <c r="BN178" i="4" s="1"/>
  <c r="BO38" i="5" s="1"/>
  <c r="CH119" i="4"/>
  <c r="CH166" i="4" s="1"/>
  <c r="CI73" i="5" s="1"/>
  <c r="CL120" i="4"/>
  <c r="CL167" i="4" s="1"/>
  <c r="CM74" i="5" s="1"/>
  <c r="CP120" i="4"/>
  <c r="CP167" i="4" s="1"/>
  <c r="CQ74" i="5" s="1"/>
  <c r="CP118" i="4"/>
  <c r="CP165" i="4" s="1"/>
  <c r="CQ25" i="5" s="1"/>
  <c r="CT114" i="4"/>
  <c r="CT161" i="4" s="1"/>
  <c r="CU68" i="5" s="1"/>
  <c r="CX115" i="4"/>
  <c r="CX162" i="4" s="1"/>
  <c r="CY69" i="5" s="1"/>
  <c r="DF115" i="4"/>
  <c r="DF162" i="4" s="1"/>
  <c r="DG69" i="5" s="1"/>
  <c r="DJ125" i="4"/>
  <c r="DJ172" i="4" s="1"/>
  <c r="DK32" i="5" s="1"/>
  <c r="DG118" i="4"/>
  <c r="DG165" i="4" s="1"/>
  <c r="CU119" i="4"/>
  <c r="CU166" i="4" s="1"/>
  <c r="CV73" i="5" s="1"/>
  <c r="DI16" i="5"/>
  <c r="DJ179" i="5" s="1"/>
  <c r="CK16" i="5"/>
  <c r="CL179" i="5" s="1"/>
  <c r="BU16" i="5"/>
  <c r="BV179" i="5" s="1"/>
  <c r="BE16" i="5"/>
  <c r="BF179" i="5" s="1"/>
  <c r="AO16" i="5"/>
  <c r="AP179" i="5" s="1"/>
  <c r="Y16" i="5"/>
  <c r="Z179" i="5" s="1"/>
  <c r="AC127" i="4"/>
  <c r="AC174" i="4" s="1"/>
  <c r="AD34" i="5" s="1"/>
  <c r="AC114" i="4"/>
  <c r="AC161" i="4" s="1"/>
  <c r="AD68" i="5" s="1"/>
  <c r="AG115" i="4"/>
  <c r="AG162" i="4" s="1"/>
  <c r="AH69" i="5" s="1"/>
  <c r="AO118" i="4"/>
  <c r="AO165" i="4" s="1"/>
  <c r="AP25" i="5" s="1"/>
  <c r="BA114" i="4"/>
  <c r="BA161" i="4" s="1"/>
  <c r="BB68" i="5" s="1"/>
  <c r="BQ127" i="4"/>
  <c r="BQ174" i="4" s="1"/>
  <c r="BR34" i="5" s="1"/>
  <c r="BU123" i="4"/>
  <c r="BU170" i="4" s="1"/>
  <c r="BV30" i="5" s="1"/>
  <c r="BY121" i="4"/>
  <c r="BY168" i="4" s="1"/>
  <c r="BZ75" i="5" s="1"/>
  <c r="CC114" i="4"/>
  <c r="CC161" i="4" s="1"/>
  <c r="CD68" i="5" s="1"/>
  <c r="CG117" i="4"/>
  <c r="CG164" i="4" s="1"/>
  <c r="CH71" i="5" s="1"/>
  <c r="CG126" i="4"/>
  <c r="CG173" i="4" s="1"/>
  <c r="CH80" i="5" s="1"/>
  <c r="CX16" i="4"/>
  <c r="CH16" i="4"/>
  <c r="BB16" i="4"/>
  <c r="AL16" i="4"/>
  <c r="V16" i="4"/>
  <c r="R131" i="4"/>
  <c r="R178" i="4" s="1"/>
  <c r="S38" i="5" s="1"/>
  <c r="Z117" i="4"/>
  <c r="Z164" i="4" s="1"/>
  <c r="AA24" i="5" s="1"/>
  <c r="AD113" i="4"/>
  <c r="AD160" i="4" s="1"/>
  <c r="AE67" i="5" s="1"/>
  <c r="AH114" i="4"/>
  <c r="AH161" i="4" s="1"/>
  <c r="AI21" i="5" s="1"/>
  <c r="AP120" i="4"/>
  <c r="AP167" i="4" s="1"/>
  <c r="AQ74" i="5" s="1"/>
  <c r="AT113" i="4"/>
  <c r="AT160" i="4" s="1"/>
  <c r="AU67" i="5" s="1"/>
  <c r="AX129" i="4"/>
  <c r="AX176" i="4" s="1"/>
  <c r="AY36" i="5" s="1"/>
  <c r="AX117" i="4"/>
  <c r="AX164" i="4" s="1"/>
  <c r="AY71" i="5" s="1"/>
  <c r="BB130" i="4"/>
  <c r="BB177" i="4" s="1"/>
  <c r="BC84" i="5" s="1"/>
  <c r="BF130" i="4"/>
  <c r="BF177" i="4" s="1"/>
  <c r="BG84" i="5" s="1"/>
  <c r="BJ118" i="4"/>
  <c r="BJ165" i="4" s="1"/>
  <c r="BK25" i="5" s="1"/>
  <c r="BR114" i="4"/>
  <c r="BR161" i="4" s="1"/>
  <c r="BS21" i="5" s="1"/>
  <c r="BV125" i="4"/>
  <c r="BV172" i="4" s="1"/>
  <c r="BW79" i="5" s="1"/>
  <c r="BV128" i="4"/>
  <c r="BV175" i="4" s="1"/>
  <c r="BW35" i="5" s="1"/>
  <c r="BZ122" i="4"/>
  <c r="BZ169" i="4" s="1"/>
  <c r="CA76" i="5" s="1"/>
  <c r="CD128" i="4"/>
  <c r="CD175" i="4" s="1"/>
  <c r="CE82" i="5" s="1"/>
  <c r="DB121" i="4"/>
  <c r="DB168" i="4" s="1"/>
  <c r="DC28" i="5" s="1"/>
  <c r="DK125" i="4"/>
  <c r="DK172" i="4" s="1"/>
  <c r="DL79" i="5" s="1"/>
  <c r="DC131" i="4"/>
  <c r="DC178" i="4" s="1"/>
  <c r="DD38" i="5" s="1"/>
  <c r="V116" i="4"/>
  <c r="V163" i="4" s="1"/>
  <c r="W70" i="5" s="1"/>
  <c r="V120" i="4"/>
  <c r="V167" i="4" s="1"/>
  <c r="W74" i="5" s="1"/>
  <c r="AL116" i="4"/>
  <c r="AL163" i="4" s="1"/>
  <c r="AM70" i="5" s="1"/>
  <c r="BN128" i="4"/>
  <c r="BN175" i="4" s="1"/>
  <c r="BO82" i="5" s="1"/>
  <c r="CH113" i="4"/>
  <c r="CH160" i="4" s="1"/>
  <c r="CL123" i="4"/>
  <c r="CL170" i="4" s="1"/>
  <c r="CM30" i="5" s="1"/>
  <c r="CP128" i="4"/>
  <c r="CP175" i="4" s="1"/>
  <c r="CP113" i="4"/>
  <c r="CP160" i="4" s="1"/>
  <c r="CQ20" i="5" s="1"/>
  <c r="CT126" i="4"/>
  <c r="CT173" i="4" s="1"/>
  <c r="CX125" i="4"/>
  <c r="CX172" i="4" s="1"/>
  <c r="CY32" i="5" s="1"/>
  <c r="DF122" i="4"/>
  <c r="DF169" i="4" s="1"/>
  <c r="DJ116" i="4"/>
  <c r="DJ163" i="4" s="1"/>
  <c r="DK23" i="5" s="1"/>
  <c r="DG124" i="4"/>
  <c r="DG171" i="4" s="1"/>
  <c r="DG125" i="4"/>
  <c r="DG172" i="4" s="1"/>
  <c r="DH32" i="5" s="1"/>
  <c r="AU114" i="4"/>
  <c r="AU161" i="4" s="1"/>
  <c r="BG117" i="4"/>
  <c r="BG164" i="4" s="1"/>
  <c r="BH24" i="5" s="1"/>
  <c r="BO116" i="4"/>
  <c r="BO163" i="4" s="1"/>
  <c r="BP70" i="5" s="1"/>
  <c r="CE116" i="4"/>
  <c r="CE163" i="4" s="1"/>
  <c r="CF23" i="5" s="1"/>
  <c r="CM123" i="4"/>
  <c r="CM170" i="4" s="1"/>
  <c r="CN77" i="5" s="1"/>
  <c r="CU125" i="4"/>
  <c r="CU172" i="4" s="1"/>
  <c r="CV32" i="5" s="1"/>
  <c r="CU131" i="4"/>
  <c r="CU178" i="4" s="1"/>
  <c r="CV38" i="5" s="1"/>
  <c r="CR120" i="4"/>
  <c r="CR167" i="4" s="1"/>
  <c r="CS74" i="5" s="1"/>
  <c r="S129" i="4"/>
  <c r="S176" i="4" s="1"/>
  <c r="T36" i="5" s="1"/>
  <c r="W117" i="4"/>
  <c r="W164" i="4" s="1"/>
  <c r="X24" i="5" s="1"/>
  <c r="AA119" i="4"/>
  <c r="AA166" i="4" s="1"/>
  <c r="AB73" i="5" s="1"/>
  <c r="AE130" i="4"/>
  <c r="AE177" i="4" s="1"/>
  <c r="AF37" i="5" s="1"/>
  <c r="AE127" i="4"/>
  <c r="AE174" i="4" s="1"/>
  <c r="AF34" i="5" s="1"/>
  <c r="AM130" i="4"/>
  <c r="AM177" i="4" s="1"/>
  <c r="AN84" i="5" s="1"/>
  <c r="AQ118" i="4"/>
  <c r="AQ165" i="4" s="1"/>
  <c r="AR25" i="5" s="1"/>
  <c r="CQ131" i="4"/>
  <c r="CQ178" i="4" s="1"/>
  <c r="CR38" i="5" s="1"/>
  <c r="DH16" i="5"/>
  <c r="DI179" i="5" s="1"/>
  <c r="CZ16" i="5"/>
  <c r="DA179" i="5" s="1"/>
  <c r="CR16" i="5"/>
  <c r="CS179" i="5" s="1"/>
  <c r="CJ16" i="5"/>
  <c r="CK179" i="5" s="1"/>
  <c r="CB16" i="5"/>
  <c r="CC179" i="5" s="1"/>
  <c r="BT16" i="5"/>
  <c r="BU179" i="5" s="1"/>
  <c r="BL16" i="5"/>
  <c r="BM179" i="5" s="1"/>
  <c r="BD16" i="5"/>
  <c r="BE179" i="5" s="1"/>
  <c r="AV16" i="5"/>
  <c r="AW179" i="5" s="1"/>
  <c r="AN16" i="5"/>
  <c r="AO179" i="5" s="1"/>
  <c r="AF16" i="5"/>
  <c r="AG179" i="5" s="1"/>
  <c r="X16" i="5"/>
  <c r="Y179" i="5" s="1"/>
  <c r="AC119" i="4"/>
  <c r="AC166" i="4" s="1"/>
  <c r="AD26" i="5" s="1"/>
  <c r="AC125" i="4"/>
  <c r="AC172" i="4" s="1"/>
  <c r="AD32" i="5" s="1"/>
  <c r="AC128" i="4"/>
  <c r="AC175" i="4" s="1"/>
  <c r="AD82" i="5" s="1"/>
  <c r="AG123" i="4"/>
  <c r="AG170" i="4" s="1"/>
  <c r="AH30" i="5" s="1"/>
  <c r="AG130" i="4"/>
  <c r="AG177" i="4" s="1"/>
  <c r="AH37" i="5" s="1"/>
  <c r="AO117" i="4"/>
  <c r="AO164" i="4" s="1"/>
  <c r="AP24" i="5" s="1"/>
  <c r="AO119" i="4"/>
  <c r="AO166" i="4" s="1"/>
  <c r="AP73" i="5" s="1"/>
  <c r="BA131" i="4"/>
  <c r="BA178" i="4" s="1"/>
  <c r="BB38" i="5" s="1"/>
  <c r="BA127" i="4"/>
  <c r="BA174" i="4" s="1"/>
  <c r="BA113" i="4"/>
  <c r="BA160" i="4" s="1"/>
  <c r="BB67" i="5" s="1"/>
  <c r="BQ131" i="4"/>
  <c r="BQ178" i="4" s="1"/>
  <c r="BR38" i="5" s="1"/>
  <c r="BQ114" i="4"/>
  <c r="BQ161" i="4" s="1"/>
  <c r="BR21" i="5" s="1"/>
  <c r="BU129" i="4"/>
  <c r="BU176" i="4" s="1"/>
  <c r="BV83" i="5" s="1"/>
  <c r="BU113" i="4"/>
  <c r="BU160" i="4" s="1"/>
  <c r="BY122" i="4"/>
  <c r="BY169" i="4" s="1"/>
  <c r="BZ76" i="5" s="1"/>
  <c r="BY116" i="4"/>
  <c r="BY163" i="4" s="1"/>
  <c r="BY127" i="4"/>
  <c r="BY174" i="4" s="1"/>
  <c r="BZ34" i="5" s="1"/>
  <c r="CC123" i="4"/>
  <c r="CC170" i="4" s="1"/>
  <c r="CC120" i="4"/>
  <c r="CC167" i="4" s="1"/>
  <c r="CD74" i="5" s="1"/>
  <c r="CG118" i="4"/>
  <c r="CG165" i="4" s="1"/>
  <c r="CG115" i="4"/>
  <c r="CG162" i="4" s="1"/>
  <c r="CH69" i="5" s="1"/>
  <c r="CG127" i="4"/>
  <c r="CG174" i="4" s="1"/>
  <c r="DE16" i="4"/>
  <c r="CW16" i="4"/>
  <c r="CO16" i="4"/>
  <c r="CG16" i="4"/>
  <c r="BY16" i="4"/>
  <c r="BQ16" i="4"/>
  <c r="BI16" i="4"/>
  <c r="BA16" i="4"/>
  <c r="AS16" i="4"/>
  <c r="AK16" i="4"/>
  <c r="AC16" i="4"/>
  <c r="U16" i="4"/>
  <c r="R121" i="4"/>
  <c r="R168" i="4" s="1"/>
  <c r="S75" i="5" s="1"/>
  <c r="R129" i="4"/>
  <c r="R176" i="4" s="1"/>
  <c r="S36" i="5" s="1"/>
  <c r="Z128" i="4"/>
  <c r="Z175" i="4" s="1"/>
  <c r="AA35" i="5" s="1"/>
  <c r="Z119" i="4"/>
  <c r="Z166" i="4" s="1"/>
  <c r="AA73" i="5" s="1"/>
  <c r="Z113" i="4"/>
  <c r="Z160" i="4" s="1"/>
  <c r="AA67" i="5" s="1"/>
  <c r="AD118" i="4"/>
  <c r="AD165" i="4" s="1"/>
  <c r="AE25" i="5" s="1"/>
  <c r="AD123" i="4"/>
  <c r="AD170" i="4" s="1"/>
  <c r="AE77" i="5" s="1"/>
  <c r="AH127" i="4"/>
  <c r="AH174" i="4" s="1"/>
  <c r="AI34" i="5" s="1"/>
  <c r="AH131" i="4"/>
  <c r="AH178" i="4" s="1"/>
  <c r="AI85" i="5" s="1"/>
  <c r="AP129" i="4"/>
  <c r="AP176" i="4" s="1"/>
  <c r="AQ36" i="5" s="1"/>
  <c r="AP125" i="4"/>
  <c r="AP172" i="4" s="1"/>
  <c r="AQ79" i="5" s="1"/>
  <c r="AP118" i="4"/>
  <c r="AP165" i="4" s="1"/>
  <c r="AQ25" i="5" s="1"/>
  <c r="AT120" i="4"/>
  <c r="AT167" i="4" s="1"/>
  <c r="AU74" i="5" s="1"/>
  <c r="AT127" i="4"/>
  <c r="AT174" i="4" s="1"/>
  <c r="AU34" i="5" s="1"/>
  <c r="AX124" i="4"/>
  <c r="AX171" i="4" s="1"/>
  <c r="AY31" i="5" s="1"/>
  <c r="AX130" i="4"/>
  <c r="AX177" i="4" s="1"/>
  <c r="AY37" i="5" s="1"/>
  <c r="AX128" i="4"/>
  <c r="AX175" i="4" s="1"/>
  <c r="AY35" i="5" s="1"/>
  <c r="BB113" i="4"/>
  <c r="BB160" i="4" s="1"/>
  <c r="BC20" i="5" s="1"/>
  <c r="BB118" i="4"/>
  <c r="BB165" i="4" s="1"/>
  <c r="BC25" i="5" s="1"/>
  <c r="BF114" i="4"/>
  <c r="BF161" i="4" s="1"/>
  <c r="BG68" i="5" s="1"/>
  <c r="BF118" i="4"/>
  <c r="BF165" i="4" s="1"/>
  <c r="BG25" i="5" s="1"/>
  <c r="BJ128" i="4"/>
  <c r="BJ175" i="4" s="1"/>
  <c r="BK82" i="5" s="1"/>
  <c r="BJ115" i="4"/>
  <c r="BJ162" i="4" s="1"/>
  <c r="BK69" i="5" s="1"/>
  <c r="BJ129" i="4"/>
  <c r="BJ176" i="4" s="1"/>
  <c r="BK36" i="5" s="1"/>
  <c r="BR127" i="4"/>
  <c r="BR174" i="4" s="1"/>
  <c r="BS81" i="5" s="1"/>
  <c r="BR113" i="4"/>
  <c r="BR160" i="4" s="1"/>
  <c r="BS67" i="5" s="1"/>
  <c r="BV131" i="4"/>
  <c r="BV178" i="4" s="1"/>
  <c r="BW38" i="5" s="1"/>
  <c r="BV122" i="4"/>
  <c r="BV169" i="4" s="1"/>
  <c r="BW76" i="5" s="1"/>
  <c r="BZ124" i="4"/>
  <c r="BZ171" i="4" s="1"/>
  <c r="CA31" i="5" s="1"/>
  <c r="BZ116" i="4"/>
  <c r="BZ163" i="4" s="1"/>
  <c r="CA23" i="5" s="1"/>
  <c r="BZ126" i="4"/>
  <c r="BZ173" i="4" s="1"/>
  <c r="CA33" i="5" s="1"/>
  <c r="CD125" i="4"/>
  <c r="CD172" i="4" s="1"/>
  <c r="CE32" i="5" s="1"/>
  <c r="CD116" i="4"/>
  <c r="CD163" i="4" s="1"/>
  <c r="CE70" i="5" s="1"/>
  <c r="DB118" i="4"/>
  <c r="DB165" i="4" s="1"/>
  <c r="DC25" i="5" s="1"/>
  <c r="DB123" i="4"/>
  <c r="DB170" i="4" s="1"/>
  <c r="DC77" i="5" s="1"/>
  <c r="DB128" i="4"/>
  <c r="DB175" i="4" s="1"/>
  <c r="DC35" i="5" s="1"/>
  <c r="DK127" i="4"/>
  <c r="DK174" i="4" s="1"/>
  <c r="DL34" i="5" s="1"/>
  <c r="DK123" i="4"/>
  <c r="DK170" i="4" s="1"/>
  <c r="DL77" i="5" s="1"/>
  <c r="DC114" i="4"/>
  <c r="DC161" i="4" s="1"/>
  <c r="DD68" i="5" s="1"/>
  <c r="DC129" i="4"/>
  <c r="DC176" i="4" s="1"/>
  <c r="DD83" i="5" s="1"/>
  <c r="V123" i="4"/>
  <c r="V170" i="4" s="1"/>
  <c r="W77" i="5" s="1"/>
  <c r="V121" i="4"/>
  <c r="V168" i="4" s="1"/>
  <c r="W28" i="5" s="1"/>
  <c r="V126" i="4"/>
  <c r="V173" i="4" s="1"/>
  <c r="W80" i="5" s="1"/>
  <c r="AL125" i="4"/>
  <c r="AL172" i="4" s="1"/>
  <c r="AM32" i="5" s="1"/>
  <c r="AL119" i="4"/>
  <c r="AL166" i="4" s="1"/>
  <c r="AM73" i="5" s="1"/>
  <c r="BN129" i="4"/>
  <c r="BN176" i="4" s="1"/>
  <c r="BO36" i="5" s="1"/>
  <c r="BN118" i="4"/>
  <c r="BN165" i="4" s="1"/>
  <c r="BO72" i="5" s="1"/>
  <c r="CH122" i="4"/>
  <c r="CH169" i="4" s="1"/>
  <c r="CI76" i="5" s="1"/>
  <c r="CH128" i="4"/>
  <c r="CH175" i="4" s="1"/>
  <c r="CI82" i="5" s="1"/>
  <c r="CH126" i="4"/>
  <c r="CH173" i="4" s="1"/>
  <c r="CI80" i="5" s="1"/>
  <c r="CL122" i="4"/>
  <c r="CL169" i="4" s="1"/>
  <c r="CM76" i="5" s="1"/>
  <c r="CL114" i="4"/>
  <c r="CL161" i="4" s="1"/>
  <c r="CM68" i="5" s="1"/>
  <c r="CP115" i="4"/>
  <c r="CP162" i="4" s="1"/>
  <c r="CQ22" i="5" s="1"/>
  <c r="CP130" i="4"/>
  <c r="CP177" i="4" s="1"/>
  <c r="CP122" i="4"/>
  <c r="CP169" i="4" s="1"/>
  <c r="CQ76" i="5" s="1"/>
  <c r="CT121" i="4"/>
  <c r="CT168" i="4" s="1"/>
  <c r="CT130" i="4"/>
  <c r="CT177" i="4" s="1"/>
  <c r="CU84" i="5" s="1"/>
  <c r="CX131" i="4"/>
  <c r="CX178" i="4" s="1"/>
  <c r="CX126" i="4"/>
  <c r="CX173" i="4" s="1"/>
  <c r="CY80" i="5" s="1"/>
  <c r="DF131" i="4"/>
  <c r="DF178" i="4" s="1"/>
  <c r="DF116" i="4"/>
  <c r="DF163" i="4" s="1"/>
  <c r="DG23" i="5" s="1"/>
  <c r="DF113" i="4"/>
  <c r="DF160" i="4" s="1"/>
  <c r="DJ114" i="4"/>
  <c r="DJ161" i="4" s="1"/>
  <c r="DK68" i="5" s="1"/>
  <c r="DJ121" i="4"/>
  <c r="DJ168" i="4" s="1"/>
  <c r="DG115" i="4"/>
  <c r="DG162" i="4" s="1"/>
  <c r="DH69" i="5" s="1"/>
  <c r="DG119" i="4"/>
  <c r="DG166" i="4" s="1"/>
  <c r="AU130" i="4"/>
  <c r="AU177" i="4" s="1"/>
  <c r="AU119" i="4"/>
  <c r="AU166" i="4" s="1"/>
  <c r="AV73" i="5" s="1"/>
  <c r="AU122" i="4"/>
  <c r="AU169" i="4" s="1"/>
  <c r="AV76" i="5" s="1"/>
  <c r="BG125" i="4"/>
  <c r="BG172" i="4" s="1"/>
  <c r="BH32" i="5" s="1"/>
  <c r="BG120" i="4"/>
  <c r="BG167" i="4" s="1"/>
  <c r="BH74" i="5" s="1"/>
  <c r="BO126" i="4"/>
  <c r="BO173" i="4" s="1"/>
  <c r="BP80" i="5" s="1"/>
  <c r="BO120" i="4"/>
  <c r="BO167" i="4" s="1"/>
  <c r="BP27" i="5" s="1"/>
  <c r="BO127" i="4"/>
  <c r="BO174" i="4" s="1"/>
  <c r="BP34" i="5" s="1"/>
  <c r="CE118" i="4"/>
  <c r="CE165" i="4" s="1"/>
  <c r="CF25" i="5" s="1"/>
  <c r="CE113" i="4"/>
  <c r="CE160" i="4" s="1"/>
  <c r="CF20" i="5" s="1"/>
  <c r="CM131" i="4"/>
  <c r="CM178" i="4" s="1"/>
  <c r="CN38" i="5" s="1"/>
  <c r="CM121" i="4"/>
  <c r="CM168" i="4" s="1"/>
  <c r="CN28" i="5" s="1"/>
  <c r="CU121" i="4"/>
  <c r="CU168" i="4" s="1"/>
  <c r="CV28" i="5" s="1"/>
  <c r="CU123" i="4"/>
  <c r="CU170" i="4" s="1"/>
  <c r="CV30" i="5" s="1"/>
  <c r="CU115" i="4"/>
  <c r="CU162" i="4" s="1"/>
  <c r="CV22" i="5" s="1"/>
  <c r="CR115" i="4"/>
  <c r="CR162" i="4" s="1"/>
  <c r="CS69" i="5" s="1"/>
  <c r="CR122" i="4"/>
  <c r="CR169" i="4" s="1"/>
  <c r="CS76" i="5" s="1"/>
  <c r="S130" i="4"/>
  <c r="S177" i="4" s="1"/>
  <c r="T84" i="5" s="1"/>
  <c r="S127" i="4"/>
  <c r="S174" i="4" s="1"/>
  <c r="T34" i="5" s="1"/>
  <c r="W115" i="4"/>
  <c r="W162" i="4" s="1"/>
  <c r="X69" i="5" s="1"/>
  <c r="W127" i="4"/>
  <c r="W174" i="4" s="1"/>
  <c r="W120" i="4"/>
  <c r="W167" i="4" s="1"/>
  <c r="X74" i="5" s="1"/>
  <c r="AA122" i="4"/>
  <c r="AA169" i="4" s="1"/>
  <c r="AB76" i="5" s="1"/>
  <c r="AA128" i="4"/>
  <c r="AA175" i="4" s="1"/>
  <c r="AB35" i="5" s="1"/>
  <c r="AE119" i="4"/>
  <c r="AE166" i="4" s="1"/>
  <c r="AF73" i="5" s="1"/>
  <c r="AE128" i="4"/>
  <c r="AE175" i="4" s="1"/>
  <c r="AF82" i="5" s="1"/>
  <c r="AE121" i="4"/>
  <c r="AE168" i="4" s="1"/>
  <c r="AI113" i="4"/>
  <c r="AI160" i="4" s="1"/>
  <c r="AJ67" i="5" s="1"/>
  <c r="AI119" i="4"/>
  <c r="AI166" i="4" s="1"/>
  <c r="AJ26" i="5" s="1"/>
  <c r="AM126" i="4"/>
  <c r="AM173" i="4" s="1"/>
  <c r="AN80" i="5" s="1"/>
  <c r="AM131" i="4"/>
  <c r="AM178" i="4" s="1"/>
  <c r="AN38" i="5" s="1"/>
  <c r="AQ117" i="4"/>
  <c r="AQ164" i="4" s="1"/>
  <c r="AR71" i="5" s="1"/>
  <c r="AQ113" i="4"/>
  <c r="AQ160" i="4" s="1"/>
  <c r="AR67" i="5" s="1"/>
  <c r="AQ116" i="4"/>
  <c r="AQ163" i="4" s="1"/>
  <c r="AR23" i="5" s="1"/>
  <c r="AY120" i="4"/>
  <c r="AY167" i="4" s="1"/>
  <c r="AY115" i="4"/>
  <c r="AY162" i="4" s="1"/>
  <c r="AZ69" i="5" s="1"/>
  <c r="BC114" i="4"/>
  <c r="BC161" i="4" s="1"/>
  <c r="BD68" i="5" s="1"/>
  <c r="BC115" i="4"/>
  <c r="BC162" i="4" s="1"/>
  <c r="BD69" i="5" s="1"/>
  <c r="BK123" i="4"/>
  <c r="BK170" i="4" s="1"/>
  <c r="BL77" i="5" s="1"/>
  <c r="BK113" i="4"/>
  <c r="BK160" i="4" s="1"/>
  <c r="BL20" i="5" s="1"/>
  <c r="BK126" i="4"/>
  <c r="BK173" i="4" s="1"/>
  <c r="BS123" i="4"/>
  <c r="BS170" i="4" s="1"/>
  <c r="BT77" i="5" s="1"/>
  <c r="BS113" i="4"/>
  <c r="BS160" i="4" s="1"/>
  <c r="BW113" i="4"/>
  <c r="BW160" i="4" s="1"/>
  <c r="BX67" i="5" s="1"/>
  <c r="BW117" i="4"/>
  <c r="BW164" i="4" s="1"/>
  <c r="BX71" i="5" s="1"/>
  <c r="BW125" i="4"/>
  <c r="BW172" i="4" s="1"/>
  <c r="BX79" i="5" s="1"/>
  <c r="CA119" i="4"/>
  <c r="CA166" i="4" s="1"/>
  <c r="CB73" i="5" s="1"/>
  <c r="CA131" i="4"/>
  <c r="CA178" i="4" s="1"/>
  <c r="CI116" i="4"/>
  <c r="CI163" i="4" s="1"/>
  <c r="CJ23" i="5" s="1"/>
  <c r="CI117" i="4"/>
  <c r="CI164" i="4" s="1"/>
  <c r="CQ119" i="4"/>
  <c r="CQ166" i="4" s="1"/>
  <c r="CR73" i="5" s="1"/>
  <c r="CQ125" i="4"/>
  <c r="CQ172" i="4" s="1"/>
  <c r="CR79" i="5" s="1"/>
  <c r="CQ127" i="4"/>
  <c r="CQ174" i="4" s="1"/>
  <c r="CR34" i="5" s="1"/>
  <c r="CY121" i="4"/>
  <c r="CY168" i="4" s="1"/>
  <c r="CZ75" i="5" s="1"/>
  <c r="CY131" i="4"/>
  <c r="CY178" i="4" s="1"/>
  <c r="T125" i="4"/>
  <c r="T172" i="4" s="1"/>
  <c r="U32" i="5" s="1"/>
  <c r="T129" i="4"/>
  <c r="T176" i="4" s="1"/>
  <c r="X114" i="4"/>
  <c r="X161" i="4" s="1"/>
  <c r="Y68" i="5" s="1"/>
  <c r="X117" i="4"/>
  <c r="X164" i="4" s="1"/>
  <c r="Y71" i="5" s="1"/>
  <c r="X113" i="4"/>
  <c r="X160" i="4" s="1"/>
  <c r="Y67" i="5" s="1"/>
  <c r="AF121" i="4"/>
  <c r="AF168" i="4" s="1"/>
  <c r="AG75" i="5" s="1"/>
  <c r="AF119" i="4"/>
  <c r="AF166" i="4" s="1"/>
  <c r="AG73" i="5" s="1"/>
  <c r="AN116" i="4"/>
  <c r="AN163" i="4" s="1"/>
  <c r="AO70" i="5" s="1"/>
  <c r="AN128" i="4"/>
  <c r="AN175" i="4" s="1"/>
  <c r="AO82" i="5" s="1"/>
  <c r="AN126" i="4"/>
  <c r="AN173" i="4" s="1"/>
  <c r="AO33" i="5" s="1"/>
  <c r="AR126" i="4"/>
  <c r="AR173" i="4" s="1"/>
  <c r="AS80" i="5" s="1"/>
  <c r="AR130" i="4"/>
  <c r="AR177" i="4" s="1"/>
  <c r="AS84" i="5" s="1"/>
  <c r="BD113" i="4"/>
  <c r="BD160" i="4" s="1"/>
  <c r="BD120" i="4"/>
  <c r="BD167" i="4" s="1"/>
  <c r="BE74" i="5" s="1"/>
  <c r="BP119" i="4"/>
  <c r="BP166" i="4" s="1"/>
  <c r="BQ73" i="5" s="1"/>
  <c r="BP116" i="4"/>
  <c r="BP163" i="4" s="1"/>
  <c r="BQ70" i="5" s="1"/>
  <c r="BP127" i="4"/>
  <c r="BP174" i="4" s="1"/>
  <c r="BQ34" i="5" s="1"/>
  <c r="BX130" i="4"/>
  <c r="BX177" i="4" s="1"/>
  <c r="BY84" i="5" s="1"/>
  <c r="BX115" i="4"/>
  <c r="BX162" i="4" s="1"/>
  <c r="BY69" i="5" s="1"/>
  <c r="CF114" i="4"/>
  <c r="CF161" i="4" s="1"/>
  <c r="CF115" i="4"/>
  <c r="CF162" i="4" s="1"/>
  <c r="CG69" i="5" s="1"/>
  <c r="CN118" i="4"/>
  <c r="CN165" i="4" s="1"/>
  <c r="CO72" i="5" s="1"/>
  <c r="CN113" i="4"/>
  <c r="CN160" i="4" s="1"/>
  <c r="CO67" i="5" s="1"/>
  <c r="CN125" i="4"/>
  <c r="CN172" i="4" s="1"/>
  <c r="CO32" i="5" s="1"/>
  <c r="CZ115" i="4"/>
  <c r="CZ162" i="4" s="1"/>
  <c r="CZ113" i="4"/>
  <c r="CZ160" i="4" s="1"/>
  <c r="DA20" i="5" s="1"/>
  <c r="DD116" i="4"/>
  <c r="DD163" i="4" s="1"/>
  <c r="DD113" i="4"/>
  <c r="DD160" i="4" s="1"/>
  <c r="DE20" i="5" s="1"/>
  <c r="DD125" i="4"/>
  <c r="DD172" i="4" s="1"/>
  <c r="DE32" i="5" s="1"/>
  <c r="DL131" i="4"/>
  <c r="DL178" i="4" s="1"/>
  <c r="DM85" i="5" s="1"/>
  <c r="DL122" i="4"/>
  <c r="DL169" i="4" s="1"/>
  <c r="DM76" i="5" s="1"/>
  <c r="CV130" i="4"/>
  <c r="CV177" i="4" s="1"/>
  <c r="CW84" i="5" s="1"/>
  <c r="CV124" i="4"/>
  <c r="CV171" i="4" s="1"/>
  <c r="CW31" i="5" s="1"/>
  <c r="DH122" i="4"/>
  <c r="DH169" i="4" s="1"/>
  <c r="DI29" i="5" s="1"/>
  <c r="DH129" i="4"/>
  <c r="DH176" i="4" s="1"/>
  <c r="DI36" i="5" s="1"/>
  <c r="DH117" i="4"/>
  <c r="DH164" i="4" s="1"/>
  <c r="DI24" i="5" s="1"/>
  <c r="DI127" i="4"/>
  <c r="DI174" i="4" s="1"/>
  <c r="DJ34" i="5" s="1"/>
  <c r="DI113" i="4"/>
  <c r="DI160" i="4" s="1"/>
  <c r="DJ67" i="5" s="1"/>
  <c r="AB129" i="4"/>
  <c r="AB176" i="4" s="1"/>
  <c r="AC36" i="5" s="1"/>
  <c r="AB123" i="4"/>
  <c r="AB170" i="4" s="1"/>
  <c r="AC77" i="5" s="1"/>
  <c r="AJ125" i="4"/>
  <c r="AJ172" i="4" s="1"/>
  <c r="AK32" i="5" s="1"/>
  <c r="AJ131" i="4"/>
  <c r="AJ178" i="4" s="1"/>
  <c r="AK85" i="5" s="1"/>
  <c r="AJ128" i="4"/>
  <c r="AJ175" i="4" s="1"/>
  <c r="AK82" i="5" s="1"/>
  <c r="AV125" i="4"/>
  <c r="AV172" i="4" s="1"/>
  <c r="AW79" i="5" s="1"/>
  <c r="AV117" i="4"/>
  <c r="AV164" i="4" s="1"/>
  <c r="AW24" i="5" s="1"/>
  <c r="AZ128" i="4"/>
  <c r="AZ175" i="4" s="1"/>
  <c r="AZ123" i="4"/>
  <c r="AZ170" i="4" s="1"/>
  <c r="BA30" i="5" s="1"/>
  <c r="AZ127" i="4"/>
  <c r="AZ174" i="4" s="1"/>
  <c r="BA81" i="5" s="1"/>
  <c r="BH116" i="4"/>
  <c r="BH163" i="4" s="1"/>
  <c r="BI70" i="5" s="1"/>
  <c r="BH131" i="4"/>
  <c r="BH178" i="4" s="1"/>
  <c r="BI85" i="5" s="1"/>
  <c r="BL125" i="4"/>
  <c r="BL172" i="4" s="1"/>
  <c r="BM79" i="5" s="1"/>
  <c r="BL122" i="4"/>
  <c r="BL169" i="4" s="1"/>
  <c r="BT122" i="4"/>
  <c r="BT169" i="4" s="1"/>
  <c r="BU76" i="5" s="1"/>
  <c r="BT127" i="4"/>
  <c r="BT174" i="4" s="1"/>
  <c r="BU34" i="5" s="1"/>
  <c r="BT130" i="4"/>
  <c r="BT177" i="4" s="1"/>
  <c r="BU84" i="5" s="1"/>
  <c r="CB114" i="4"/>
  <c r="CB161" i="4" s="1"/>
  <c r="CC21" i="5" s="1"/>
  <c r="CB115" i="4"/>
  <c r="CB162" i="4" s="1"/>
  <c r="CC69" i="5" s="1"/>
  <c r="CJ118" i="4"/>
  <c r="CJ165" i="4" s="1"/>
  <c r="CK72" i="5" s="1"/>
  <c r="CJ129" i="4"/>
  <c r="CJ176" i="4" s="1"/>
  <c r="CK36" i="5" s="1"/>
  <c r="U120" i="4"/>
  <c r="U167" i="4" s="1"/>
  <c r="U123" i="4"/>
  <c r="U170" i="4" s="1"/>
  <c r="V30" i="5" s="1"/>
  <c r="U124" i="4"/>
  <c r="U171" i="4" s="1"/>
  <c r="V31" i="5" s="1"/>
  <c r="Y126" i="4"/>
  <c r="Y173" i="4" s="1"/>
  <c r="Z80" i="5" s="1"/>
  <c r="Y119" i="4"/>
  <c r="Y166" i="4" s="1"/>
  <c r="Z26" i="5" s="1"/>
  <c r="AK119" i="4"/>
  <c r="AK166" i="4" s="1"/>
  <c r="AL26" i="5" s="1"/>
  <c r="AK124" i="4"/>
  <c r="AK171" i="4" s="1"/>
  <c r="AK126" i="4"/>
  <c r="AK173" i="4" s="1"/>
  <c r="AL80" i="5" s="1"/>
  <c r="AS123" i="4"/>
  <c r="AS170" i="4" s="1"/>
  <c r="AS121" i="4"/>
  <c r="AS168" i="4" s="1"/>
  <c r="AT75" i="5" s="1"/>
  <c r="AW124" i="4"/>
  <c r="AW171" i="4" s="1"/>
  <c r="AX78" i="5" s="1"/>
  <c r="AW113" i="4"/>
  <c r="AW160" i="4" s="1"/>
  <c r="AX20" i="5" s="1"/>
  <c r="BE120" i="4"/>
  <c r="BE167" i="4" s="1"/>
  <c r="BF27" i="5" s="1"/>
  <c r="BE118" i="4"/>
  <c r="BE165" i="4" s="1"/>
  <c r="BF72" i="5" s="1"/>
  <c r="BE127" i="4"/>
  <c r="BE174" i="4" s="1"/>
  <c r="BF81" i="5" s="1"/>
  <c r="BI131" i="4"/>
  <c r="BI178" i="4" s="1"/>
  <c r="BJ38" i="5" s="1"/>
  <c r="BI115" i="4"/>
  <c r="BI162" i="4" s="1"/>
  <c r="BJ22" i="5" s="1"/>
  <c r="BM123" i="4"/>
  <c r="BM170" i="4" s="1"/>
  <c r="BN30" i="5" s="1"/>
  <c r="BM115" i="4"/>
  <c r="BM162" i="4" s="1"/>
  <c r="CK117" i="4"/>
  <c r="CK164" i="4" s="1"/>
  <c r="CL71" i="5" s="1"/>
  <c r="CK129" i="4"/>
  <c r="CK176" i="4" s="1"/>
  <c r="CL83" i="5" s="1"/>
  <c r="CK121" i="4"/>
  <c r="CK168" i="4" s="1"/>
  <c r="CL75" i="5" s="1"/>
  <c r="CS127" i="4"/>
  <c r="CS174" i="4" s="1"/>
  <c r="CS119" i="4"/>
  <c r="CS166" i="4" s="1"/>
  <c r="CT73" i="5" s="1"/>
  <c r="CW119" i="4"/>
  <c r="CW166" i="4" s="1"/>
  <c r="CW120" i="4"/>
  <c r="CW167" i="4" s="1"/>
  <c r="CX74" i="5" s="1"/>
  <c r="CW121" i="4"/>
  <c r="CW168" i="4" s="1"/>
  <c r="CX75" i="5" s="1"/>
  <c r="DA124" i="4"/>
  <c r="DA171" i="4" s="1"/>
  <c r="DB31" i="5" s="1"/>
  <c r="DA121" i="4"/>
  <c r="DA168" i="4" s="1"/>
  <c r="DB28" i="5" s="1"/>
  <c r="DE125" i="4"/>
  <c r="DE172" i="4" s="1"/>
  <c r="DF32" i="5" s="1"/>
  <c r="DE128" i="4"/>
  <c r="DE175" i="4" s="1"/>
  <c r="DF35" i="5" s="1"/>
  <c r="CO129" i="4"/>
  <c r="CO176" i="4" s="1"/>
  <c r="CP36" i="5" s="1"/>
  <c r="CO124" i="4"/>
  <c r="CO171" i="4" s="1"/>
  <c r="CP31" i="5" s="1"/>
  <c r="CO125" i="4"/>
  <c r="CO172" i="4" s="1"/>
  <c r="CP32" i="5" s="1"/>
  <c r="DF16" i="5"/>
  <c r="DG179" i="5" s="1"/>
  <c r="CT16" i="5"/>
  <c r="CU179" i="5" s="1"/>
  <c r="AP16" i="5"/>
  <c r="AQ179" i="5" s="1"/>
  <c r="AC115" i="4"/>
  <c r="AC162" i="4" s="1"/>
  <c r="AD69" i="5" s="1"/>
  <c r="AG114" i="4"/>
  <c r="AG161" i="4" s="1"/>
  <c r="AH68" i="5" s="1"/>
  <c r="AO128" i="4"/>
  <c r="AO175" i="4" s="1"/>
  <c r="AP82" i="5" s="1"/>
  <c r="BA118" i="4"/>
  <c r="BA165" i="4" s="1"/>
  <c r="BB25" i="5" s="1"/>
  <c r="BQ115" i="4"/>
  <c r="BQ162" i="4" s="1"/>
  <c r="BR69" i="5" s="1"/>
  <c r="BU120" i="4"/>
  <c r="BU167" i="4" s="1"/>
  <c r="BV74" i="5" s="1"/>
  <c r="CC124" i="4"/>
  <c r="CC171" i="4" s="1"/>
  <c r="CD31" i="5" s="1"/>
  <c r="CG125" i="4"/>
  <c r="CG172" i="4" s="1"/>
  <c r="CH32" i="5" s="1"/>
  <c r="CY16" i="4"/>
  <c r="CI16" i="4"/>
  <c r="BS16" i="4"/>
  <c r="AU16" i="4"/>
  <c r="W16" i="4"/>
  <c r="R16" i="4"/>
  <c r="BH16" i="4"/>
  <c r="BJ16" i="4"/>
  <c r="BR16" i="4"/>
  <c r="BV16" i="4"/>
  <c r="Z122" i="4"/>
  <c r="Z169" i="4" s="1"/>
  <c r="AA76" i="5" s="1"/>
  <c r="AD116" i="4"/>
  <c r="AD163" i="4" s="1"/>
  <c r="AE23" i="5" s="1"/>
  <c r="AH125" i="4"/>
  <c r="AH172" i="4" s="1"/>
  <c r="AI32" i="5" s="1"/>
  <c r="AH115" i="4"/>
  <c r="AH162" i="4" s="1"/>
  <c r="AI69" i="5" s="1"/>
  <c r="AT125" i="4"/>
  <c r="AT172" i="4" s="1"/>
  <c r="AU32" i="5" s="1"/>
  <c r="AX119" i="4"/>
  <c r="AX166" i="4" s="1"/>
  <c r="AY73" i="5" s="1"/>
  <c r="BB119" i="4"/>
  <c r="BB166" i="4" s="1"/>
  <c r="BC73" i="5" s="1"/>
  <c r="BF131" i="4"/>
  <c r="BF178" i="4" s="1"/>
  <c r="BG38" i="5" s="1"/>
  <c r="BF128" i="4"/>
  <c r="BF175" i="4" s="1"/>
  <c r="BG35" i="5" s="1"/>
  <c r="BJ131" i="4"/>
  <c r="BJ178" i="4" s="1"/>
  <c r="BR130" i="4"/>
  <c r="BR177" i="4" s="1"/>
  <c r="BS84" i="5" s="1"/>
  <c r="BV117" i="4"/>
  <c r="BV164" i="4" s="1"/>
  <c r="BW71" i="5" s="1"/>
  <c r="BZ129" i="4"/>
  <c r="BZ176" i="4" s="1"/>
  <c r="CA36" i="5" s="1"/>
  <c r="CD129" i="4"/>
  <c r="CD176" i="4" s="1"/>
  <c r="CE83" i="5" s="1"/>
  <c r="DB120" i="4"/>
  <c r="DB167" i="4" s="1"/>
  <c r="DC27" i="5" s="1"/>
  <c r="DB131" i="4"/>
  <c r="DB178" i="4" s="1"/>
  <c r="DC38" i="5" s="1"/>
  <c r="DC115" i="4"/>
  <c r="DC162" i="4" s="1"/>
  <c r="DD69" i="5" s="1"/>
  <c r="DC128" i="4"/>
  <c r="DC175" i="4" s="1"/>
  <c r="DD82" i="5" s="1"/>
  <c r="V115" i="4"/>
  <c r="V162" i="4" s="1"/>
  <c r="W69" i="5" s="1"/>
  <c r="AL127" i="4"/>
  <c r="AL174" i="4" s="1"/>
  <c r="AM34" i="5" s="1"/>
  <c r="BN130" i="4"/>
  <c r="BN177" i="4" s="1"/>
  <c r="BO84" i="5" s="1"/>
  <c r="BN120" i="4"/>
  <c r="BN167" i="4" s="1"/>
  <c r="BO74" i="5" s="1"/>
  <c r="CH131" i="4"/>
  <c r="CH178" i="4" s="1"/>
  <c r="CI38" i="5" s="1"/>
  <c r="CL121" i="4"/>
  <c r="CL168" i="4" s="1"/>
  <c r="CM28" i="5" s="1"/>
  <c r="CP116" i="4"/>
  <c r="CP163" i="4" s="1"/>
  <c r="CQ23" i="5" s="1"/>
  <c r="CT123" i="4"/>
  <c r="CT170" i="4" s="1"/>
  <c r="CU30" i="5" s="1"/>
  <c r="CX122" i="4"/>
  <c r="CX169" i="4" s="1"/>
  <c r="CY29" i="5" s="1"/>
  <c r="CX113" i="4"/>
  <c r="CX160" i="4" s="1"/>
  <c r="CY20" i="5" s="1"/>
  <c r="DF123" i="4"/>
  <c r="DF170" i="4" s="1"/>
  <c r="DG30" i="5" s="1"/>
  <c r="DJ123" i="4"/>
  <c r="DJ170" i="4" s="1"/>
  <c r="DK30" i="5" s="1"/>
  <c r="DG122" i="4"/>
  <c r="DG169" i="4" s="1"/>
  <c r="DH29" i="5" s="1"/>
  <c r="DG113" i="4"/>
  <c r="DG160" i="4" s="1"/>
  <c r="DH20" i="5" s="1"/>
  <c r="AU116" i="4"/>
  <c r="AU163" i="4" s="1"/>
  <c r="AV23" i="5" s="1"/>
  <c r="AU117" i="4"/>
  <c r="AU164" i="4" s="1"/>
  <c r="AV24" i="5" s="1"/>
  <c r="BG129" i="4"/>
  <c r="BG176" i="4" s="1"/>
  <c r="BH36" i="5" s="1"/>
  <c r="BG122" i="4"/>
  <c r="BG169" i="4" s="1"/>
  <c r="BO115" i="4"/>
  <c r="BO162" i="4" s="1"/>
  <c r="BP69" i="5" s="1"/>
  <c r="BO131" i="4"/>
  <c r="BO178" i="4" s="1"/>
  <c r="BO125" i="4"/>
  <c r="BO172" i="4" s="1"/>
  <c r="BP32" i="5" s="1"/>
  <c r="CE121" i="4"/>
  <c r="CE168" i="4" s="1"/>
  <c r="CF28" i="5" s="1"/>
  <c r="CR125" i="4"/>
  <c r="CR172" i="4" s="1"/>
  <c r="CS32" i="5" s="1"/>
  <c r="DA16" i="5"/>
  <c r="DB179" i="5" s="1"/>
  <c r="CC16" i="5"/>
  <c r="CD179" i="5" s="1"/>
  <c r="BM16" i="5"/>
  <c r="BN179" i="5" s="1"/>
  <c r="AW16" i="5"/>
  <c r="AX179" i="5" s="1"/>
  <c r="AG16" i="5"/>
  <c r="AH179" i="5" s="1"/>
  <c r="AC129" i="4"/>
  <c r="AC176" i="4" s="1"/>
  <c r="AD36" i="5" s="1"/>
  <c r="AG124" i="4"/>
  <c r="AG171" i="4" s="1"/>
  <c r="AH78" i="5" s="1"/>
  <c r="AO130" i="4"/>
  <c r="AO177" i="4" s="1"/>
  <c r="AP37" i="5" s="1"/>
  <c r="BA117" i="4"/>
  <c r="BA164" i="4" s="1"/>
  <c r="BB24" i="5" s="1"/>
  <c r="BQ129" i="4"/>
  <c r="BQ176" i="4" s="1"/>
  <c r="BR36" i="5" s="1"/>
  <c r="BU130" i="4"/>
  <c r="BU177" i="4" s="1"/>
  <c r="BV84" i="5" s="1"/>
  <c r="BU126" i="4"/>
  <c r="BU173" i="4" s="1"/>
  <c r="BV80" i="5" s="1"/>
  <c r="BY120" i="4"/>
  <c r="BY167" i="4" s="1"/>
  <c r="BZ27" i="5" s="1"/>
  <c r="CC127" i="4"/>
  <c r="CC174" i="4" s="1"/>
  <c r="CD34" i="5" s="1"/>
  <c r="CG113" i="4"/>
  <c r="CG160" i="4" s="1"/>
  <c r="CH20" i="5" s="1"/>
  <c r="DF16" i="4"/>
  <c r="CP16" i="4"/>
  <c r="BZ16" i="4"/>
  <c r="AT16" i="4"/>
  <c r="AD16" i="4"/>
  <c r="R118" i="4"/>
  <c r="R165" i="4" s="1"/>
  <c r="S72" i="5" s="1"/>
  <c r="Z120" i="4"/>
  <c r="Z167" i="4" s="1"/>
  <c r="AA74" i="5" s="1"/>
  <c r="Z130" i="4"/>
  <c r="Z177" i="4" s="1"/>
  <c r="AA84" i="5" s="1"/>
  <c r="AD125" i="4"/>
  <c r="AD172" i="4" s="1"/>
  <c r="AE32" i="5" s="1"/>
  <c r="AH129" i="4"/>
  <c r="AH176" i="4" s="1"/>
  <c r="AI36" i="5" s="1"/>
  <c r="AH123" i="4"/>
  <c r="AH170" i="4" s="1"/>
  <c r="AI30" i="5" s="1"/>
  <c r="AT118" i="4"/>
  <c r="AT165" i="4" s="1"/>
  <c r="AU25" i="5" s="1"/>
  <c r="AX118" i="4"/>
  <c r="AX165" i="4" s="1"/>
  <c r="AY72" i="5" s="1"/>
  <c r="BB116" i="4"/>
  <c r="BB163" i="4" s="1"/>
  <c r="BC23" i="5" s="1"/>
  <c r="BF126" i="4"/>
  <c r="BF173" i="4" s="1"/>
  <c r="BG80" i="5" s="1"/>
  <c r="BJ116" i="4"/>
  <c r="BJ163" i="4" s="1"/>
  <c r="BK23" i="5" s="1"/>
  <c r="BJ124" i="4"/>
  <c r="BJ171" i="4" s="1"/>
  <c r="BK31" i="5" s="1"/>
  <c r="BR124" i="4"/>
  <c r="BR171" i="4" s="1"/>
  <c r="BS31" i="5" s="1"/>
  <c r="BV113" i="4"/>
  <c r="BV160" i="4" s="1"/>
  <c r="BW20" i="5" s="1"/>
  <c r="BZ125" i="4"/>
  <c r="BZ172" i="4" s="1"/>
  <c r="CA32" i="5" s="1"/>
  <c r="CD119" i="4"/>
  <c r="CD166" i="4" s="1"/>
  <c r="CE26" i="5" s="1"/>
  <c r="DB115" i="4"/>
  <c r="DB162" i="4" s="1"/>
  <c r="DC69" i="5" s="1"/>
  <c r="DB129" i="4"/>
  <c r="DB176" i="4" s="1"/>
  <c r="DC36" i="5" s="1"/>
  <c r="DK114" i="4"/>
  <c r="DK161" i="4" s="1"/>
  <c r="DL68" i="5" s="1"/>
  <c r="DC124" i="4"/>
  <c r="DC171" i="4" s="1"/>
  <c r="DD78" i="5" s="1"/>
  <c r="V128" i="4"/>
  <c r="V175" i="4" s="1"/>
  <c r="W82" i="5" s="1"/>
  <c r="AL131" i="4"/>
  <c r="AL178" i="4" s="1"/>
  <c r="AM38" i="5" s="1"/>
  <c r="BN115" i="4"/>
  <c r="BN162" i="4" s="1"/>
  <c r="BO69" i="5" s="1"/>
  <c r="BN127" i="4"/>
  <c r="BN174" i="4" s="1"/>
  <c r="BO34" i="5" s="1"/>
  <c r="CH121" i="4"/>
  <c r="CH168" i="4" s="1"/>
  <c r="CI28" i="5" s="1"/>
  <c r="CL113" i="4"/>
  <c r="CL160" i="4" s="1"/>
  <c r="CM67" i="5" s="1"/>
  <c r="CP119" i="4"/>
  <c r="CP166" i="4" s="1"/>
  <c r="CQ73" i="5" s="1"/>
  <c r="CT124" i="4"/>
  <c r="CT171" i="4" s="1"/>
  <c r="CU31" i="5" s="1"/>
  <c r="CX121" i="4"/>
  <c r="CX168" i="4" s="1"/>
  <c r="CY28" i="5" s="1"/>
  <c r="DF129" i="4"/>
  <c r="DF176" i="4" s="1"/>
  <c r="DG36" i="5" s="1"/>
  <c r="DJ117" i="4"/>
  <c r="DJ164" i="4" s="1"/>
  <c r="DK71" i="5" s="1"/>
  <c r="DG123" i="4"/>
  <c r="DG170" i="4" s="1"/>
  <c r="DH77" i="5" s="1"/>
  <c r="AU118" i="4"/>
  <c r="AU165" i="4" s="1"/>
  <c r="AV25" i="5" s="1"/>
  <c r="BG128" i="4"/>
  <c r="BG175" i="4" s="1"/>
  <c r="BH82" i="5" s="1"/>
  <c r="BO129" i="4"/>
  <c r="BO176" i="4" s="1"/>
  <c r="BP36" i="5" s="1"/>
  <c r="BO113" i="4"/>
  <c r="BO160" i="4" s="1"/>
  <c r="BP67" i="5" s="1"/>
  <c r="CE123" i="4"/>
  <c r="CE170" i="4" s="1"/>
  <c r="CF30" i="5" s="1"/>
  <c r="CM120" i="4"/>
  <c r="CM167" i="4" s="1"/>
  <c r="CN27" i="5" s="1"/>
  <c r="CU118" i="4"/>
  <c r="CU165" i="4" s="1"/>
  <c r="CV25" i="5" s="1"/>
  <c r="CR127" i="4"/>
  <c r="CR174" i="4" s="1"/>
  <c r="CS81" i="5" s="1"/>
  <c r="S124" i="4"/>
  <c r="S171" i="4" s="1"/>
  <c r="T78" i="5" s="1"/>
  <c r="S128" i="4"/>
  <c r="S175" i="4" s="1"/>
  <c r="T35" i="5" s="1"/>
  <c r="W123" i="4"/>
  <c r="W170" i="4" s="1"/>
  <c r="X30" i="5" s="1"/>
  <c r="AA116" i="4"/>
  <c r="AA163" i="4" s="1"/>
  <c r="AB70" i="5" s="1"/>
  <c r="AE125" i="4"/>
  <c r="AE172" i="4" s="1"/>
  <c r="AF32" i="5" s="1"/>
  <c r="AI115" i="4"/>
  <c r="AI162" i="4" s="1"/>
  <c r="AJ69" i="5" s="1"/>
  <c r="AI131" i="4"/>
  <c r="AI178" i="4" s="1"/>
  <c r="AJ38" i="5" s="1"/>
  <c r="AM121" i="4"/>
  <c r="AM168" i="4" s="1"/>
  <c r="AN75" i="5" s="1"/>
  <c r="AQ126" i="4"/>
  <c r="AQ173" i="4" s="1"/>
  <c r="AR80" i="5" s="1"/>
  <c r="AQ125" i="4"/>
  <c r="AQ172" i="4" s="1"/>
  <c r="AR32" i="5" s="1"/>
  <c r="AY113" i="4"/>
  <c r="AY160" i="4" s="1"/>
  <c r="AZ67" i="5" s="1"/>
  <c r="AY131" i="4"/>
  <c r="AY178" i="4" s="1"/>
  <c r="AZ85" i="5" s="1"/>
  <c r="BC119" i="4"/>
  <c r="BC166" i="4" s="1"/>
  <c r="BD73" i="5" s="1"/>
  <c r="BC125" i="4"/>
  <c r="BC172" i="4" s="1"/>
  <c r="BD79" i="5" s="1"/>
  <c r="BC121" i="4"/>
  <c r="BC168" i="4" s="1"/>
  <c r="BD28" i="5" s="1"/>
  <c r="BK122" i="4"/>
  <c r="BK169" i="4" s="1"/>
  <c r="BL76" i="5" s="1"/>
  <c r="BK119" i="4"/>
  <c r="BK166" i="4" s="1"/>
  <c r="BL73" i="5" s="1"/>
  <c r="BS126" i="4"/>
  <c r="BS173" i="4" s="1"/>
  <c r="BT33" i="5" s="1"/>
  <c r="CQ117" i="4"/>
  <c r="CQ164" i="4" s="1"/>
  <c r="CR24" i="5" s="1"/>
  <c r="DG16" i="5"/>
  <c r="DH179" i="5" s="1"/>
  <c r="CY16" i="5"/>
  <c r="CZ179" i="5" s="1"/>
  <c r="CQ16" i="5"/>
  <c r="CR179" i="5" s="1"/>
  <c r="CI16" i="5"/>
  <c r="CJ179" i="5" s="1"/>
  <c r="CA16" i="5"/>
  <c r="CB179" i="5" s="1"/>
  <c r="BS16" i="5"/>
  <c r="BT179" i="5" s="1"/>
  <c r="BK16" i="5"/>
  <c r="BL179" i="5" s="1"/>
  <c r="BC16" i="5"/>
  <c r="BD179" i="5" s="1"/>
  <c r="AE16" i="5"/>
  <c r="AF179" i="5" s="1"/>
  <c r="W16" i="5"/>
  <c r="X179" i="5" s="1"/>
  <c r="AC121" i="4"/>
  <c r="AC168" i="4" s="1"/>
  <c r="AD75" i="5" s="1"/>
  <c r="AC117" i="4"/>
  <c r="AC164" i="4" s="1"/>
  <c r="AD71" i="5" s="1"/>
  <c r="AG128" i="4"/>
  <c r="AG175" i="4" s="1"/>
  <c r="AH82" i="5" s="1"/>
  <c r="AG118" i="4"/>
  <c r="AG165" i="4" s="1"/>
  <c r="AH25" i="5" s="1"/>
  <c r="AG121" i="4"/>
  <c r="AG168" i="4" s="1"/>
  <c r="AH28" i="5" s="1"/>
  <c r="AO121" i="4"/>
  <c r="AO168" i="4" s="1"/>
  <c r="AP75" i="5" s="1"/>
  <c r="AO131" i="4"/>
  <c r="AO178" i="4" s="1"/>
  <c r="AP38" i="5" s="1"/>
  <c r="BA123" i="4"/>
  <c r="BA170" i="4" s="1"/>
  <c r="BB30" i="5" s="1"/>
  <c r="BA116" i="4"/>
  <c r="BA163" i="4" s="1"/>
  <c r="BB70" i="5" s="1"/>
  <c r="BA126" i="4"/>
  <c r="BA173" i="4" s="1"/>
  <c r="BB80" i="5" s="1"/>
  <c r="BQ125" i="4"/>
  <c r="BQ172" i="4" s="1"/>
  <c r="BR32" i="5" s="1"/>
  <c r="BQ126" i="4"/>
  <c r="BQ173" i="4" s="1"/>
  <c r="BR80" i="5" s="1"/>
  <c r="BU128" i="4"/>
  <c r="BU175" i="4" s="1"/>
  <c r="BV35" i="5" s="1"/>
  <c r="BU127" i="4"/>
  <c r="BU174" i="4" s="1"/>
  <c r="BV34" i="5" s="1"/>
  <c r="BY126" i="4"/>
  <c r="BY173" i="4" s="1"/>
  <c r="BZ80" i="5" s="1"/>
  <c r="BY113" i="4"/>
  <c r="BY160" i="4" s="1"/>
  <c r="BZ67" i="5" s="1"/>
  <c r="BY129" i="4"/>
  <c r="BY176" i="4" s="1"/>
  <c r="BZ36" i="5" s="1"/>
  <c r="CC129" i="4"/>
  <c r="CC176" i="4" s="1"/>
  <c r="CD36" i="5" s="1"/>
  <c r="CC116" i="4"/>
  <c r="CC163" i="4" s="1"/>
  <c r="CD70" i="5" s="1"/>
  <c r="CG116" i="4"/>
  <c r="CG163" i="4" s="1"/>
  <c r="CH23" i="5" s="1"/>
  <c r="CG128" i="4"/>
  <c r="CG175" i="4" s="1"/>
  <c r="CH82" i="5" s="1"/>
  <c r="DL16" i="4"/>
  <c r="DD16" i="4"/>
  <c r="CV16" i="4"/>
  <c r="CN16" i="4"/>
  <c r="CF16" i="4"/>
  <c r="BX16" i="4"/>
  <c r="BP16" i="4"/>
  <c r="AZ16" i="4"/>
  <c r="AR16" i="4"/>
  <c r="AJ16" i="4"/>
  <c r="AB16" i="4"/>
  <c r="T16" i="4"/>
  <c r="R127" i="4"/>
  <c r="R174" i="4" s="1"/>
  <c r="S81" i="5" s="1"/>
  <c r="R128" i="4"/>
  <c r="R175" i="4" s="1"/>
  <c r="S82" i="5" s="1"/>
  <c r="Z114" i="4"/>
  <c r="Z161" i="4" s="1"/>
  <c r="AA68" i="5" s="1"/>
  <c r="Z123" i="4"/>
  <c r="Z170" i="4" s="1"/>
  <c r="AA30" i="5" s="1"/>
  <c r="Z125" i="4"/>
  <c r="Z172" i="4" s="1"/>
  <c r="AA32" i="5" s="1"/>
  <c r="AD120" i="4"/>
  <c r="AD167" i="4" s="1"/>
  <c r="AE74" i="5" s="1"/>
  <c r="AD131" i="4"/>
  <c r="AD178" i="4" s="1"/>
  <c r="AE85" i="5" s="1"/>
  <c r="AH128" i="4"/>
  <c r="AH175" i="4" s="1"/>
  <c r="AI35" i="5" s="1"/>
  <c r="AH118" i="4"/>
  <c r="AH165" i="4" s="1"/>
  <c r="AI72" i="5" s="1"/>
  <c r="AP124" i="4"/>
  <c r="AP171" i="4" s="1"/>
  <c r="AQ78" i="5" s="1"/>
  <c r="AP119" i="4"/>
  <c r="AP166" i="4" s="1"/>
  <c r="AQ73" i="5" s="1"/>
  <c r="AP114" i="4"/>
  <c r="AP161" i="4" s="1"/>
  <c r="AQ68" i="5" s="1"/>
  <c r="AT114" i="4"/>
  <c r="AT161" i="4" s="1"/>
  <c r="AU68" i="5" s="1"/>
  <c r="AT124" i="4"/>
  <c r="AT171" i="4" s="1"/>
  <c r="AU78" i="5" s="1"/>
  <c r="AX125" i="4"/>
  <c r="AX172" i="4" s="1"/>
  <c r="AY32" i="5" s="1"/>
  <c r="AX126" i="4"/>
  <c r="AX173" i="4" s="1"/>
  <c r="AY80" i="5" s="1"/>
  <c r="BB126" i="4"/>
  <c r="BB173" i="4" s="1"/>
  <c r="BC33" i="5" s="1"/>
  <c r="BB115" i="4"/>
  <c r="BB162" i="4" s="1"/>
  <c r="BC69" i="5" s="1"/>
  <c r="BB121" i="4"/>
  <c r="BB168" i="4" s="1"/>
  <c r="BC28" i="5" s="1"/>
  <c r="BF123" i="4"/>
  <c r="BF170" i="4" s="1"/>
  <c r="BG77" i="5" s="1"/>
  <c r="BF122" i="4"/>
  <c r="BF169" i="4" s="1"/>
  <c r="BG76" i="5" s="1"/>
  <c r="BJ123" i="4"/>
  <c r="BJ170" i="4" s="1"/>
  <c r="BK30" i="5" s="1"/>
  <c r="BJ126" i="4"/>
  <c r="BJ173" i="4" s="1"/>
  <c r="BK33" i="5" s="1"/>
  <c r="BJ130" i="4"/>
  <c r="BJ177" i="4" s="1"/>
  <c r="BK84" i="5" s="1"/>
  <c r="BR126" i="4"/>
  <c r="BR173" i="4" s="1"/>
  <c r="BS33" i="5" s="1"/>
  <c r="BR131" i="4"/>
  <c r="BR178" i="4" s="1"/>
  <c r="BS38" i="5" s="1"/>
  <c r="BV127" i="4"/>
  <c r="BV174" i="4" s="1"/>
  <c r="BW81" i="5" s="1"/>
  <c r="BV118" i="4"/>
  <c r="BV165" i="4" s="1"/>
  <c r="BW25" i="5" s="1"/>
  <c r="BZ123" i="4"/>
  <c r="BZ170" i="4" s="1"/>
  <c r="CA30" i="5" s="1"/>
  <c r="BZ131" i="4"/>
  <c r="BZ178" i="4" s="1"/>
  <c r="CA38" i="5" s="1"/>
  <c r="BZ114" i="4"/>
  <c r="BZ161" i="4" s="1"/>
  <c r="CA21" i="5" s="1"/>
  <c r="CD121" i="4"/>
  <c r="CD168" i="4" s="1"/>
  <c r="CE75" i="5" s="1"/>
  <c r="CD120" i="4"/>
  <c r="CD167" i="4" s="1"/>
  <c r="CE27" i="5" s="1"/>
  <c r="DB122" i="4"/>
  <c r="DB169" i="4" s="1"/>
  <c r="DC76" i="5" s="1"/>
  <c r="DB130" i="4"/>
  <c r="DB177" i="4" s="1"/>
  <c r="DC84" i="5" s="1"/>
  <c r="DK117" i="4"/>
  <c r="DK164" i="4" s="1"/>
  <c r="DL24" i="5" s="1"/>
  <c r="DK122" i="4"/>
  <c r="DK169" i="4" s="1"/>
  <c r="DL76" i="5" s="1"/>
  <c r="DK130" i="4"/>
  <c r="DK177" i="4" s="1"/>
  <c r="DL84" i="5" s="1"/>
  <c r="DC122" i="4"/>
  <c r="DC169" i="4" s="1"/>
  <c r="DD76" i="5" s="1"/>
  <c r="DC118" i="4"/>
  <c r="DC165" i="4" s="1"/>
  <c r="DD25" i="5" s="1"/>
  <c r="V114" i="4"/>
  <c r="V161" i="4" s="1"/>
  <c r="W68" i="5" s="1"/>
  <c r="V131" i="4"/>
  <c r="V178" i="4" s="1"/>
  <c r="W38" i="5" s="1"/>
  <c r="V124" i="4"/>
  <c r="V171" i="4" s="1"/>
  <c r="W31" i="5" s="1"/>
  <c r="AL117" i="4"/>
  <c r="AL164" i="4" s="1"/>
  <c r="AM24" i="5" s="1"/>
  <c r="AL129" i="4"/>
  <c r="AL176" i="4" s="1"/>
  <c r="AM83" i="5" s="1"/>
  <c r="BN126" i="4"/>
  <c r="BN173" i="4" s="1"/>
  <c r="BO80" i="5" s="1"/>
  <c r="BN121" i="4"/>
  <c r="BN168" i="4" s="1"/>
  <c r="BO28" i="5" s="1"/>
  <c r="CH116" i="4"/>
  <c r="CH163" i="4" s="1"/>
  <c r="CI23" i="5" s="1"/>
  <c r="CH118" i="4"/>
  <c r="CH165" i="4" s="1"/>
  <c r="CI25" i="5" s="1"/>
  <c r="CH117" i="4"/>
  <c r="CH164" i="4" s="1"/>
  <c r="CI24" i="5" s="1"/>
  <c r="CL128" i="4"/>
  <c r="CL175" i="4" s="1"/>
  <c r="CM35" i="5" s="1"/>
  <c r="CL119" i="4"/>
  <c r="CL166" i="4" s="1"/>
  <c r="CM73" i="5" s="1"/>
  <c r="CP129" i="4"/>
  <c r="CP176" i="4" s="1"/>
  <c r="CQ36" i="5" s="1"/>
  <c r="CP127" i="4"/>
  <c r="CP174" i="4" s="1"/>
  <c r="CQ34" i="5" s="1"/>
  <c r="CT118" i="4"/>
  <c r="CT165" i="4" s="1"/>
  <c r="CU25" i="5" s="1"/>
  <c r="CT129" i="4"/>
  <c r="CT176" i="4" s="1"/>
  <c r="CU36" i="5" s="1"/>
  <c r="CT120" i="4"/>
  <c r="CT167" i="4" s="1"/>
  <c r="CU27" i="5" s="1"/>
  <c r="CX123" i="4"/>
  <c r="CX170" i="4" s="1"/>
  <c r="CY30" i="5" s="1"/>
  <c r="CX127" i="4"/>
  <c r="CX174" i="4" s="1"/>
  <c r="CY34" i="5" s="1"/>
  <c r="DF119" i="4"/>
  <c r="DF166" i="4" s="1"/>
  <c r="DG73" i="5" s="1"/>
  <c r="DF118" i="4"/>
  <c r="DF165" i="4" s="1"/>
  <c r="DG25" i="5" s="1"/>
  <c r="DF121" i="4"/>
  <c r="DF168" i="4" s="1"/>
  <c r="DG28" i="5" s="1"/>
  <c r="DJ115" i="4"/>
  <c r="DJ162" i="4" s="1"/>
  <c r="DK69" i="5" s="1"/>
  <c r="DJ130" i="4"/>
  <c r="DJ177" i="4" s="1"/>
  <c r="DK84" i="5" s="1"/>
  <c r="DG120" i="4"/>
  <c r="DG167" i="4" s="1"/>
  <c r="DH27" i="5" s="1"/>
  <c r="DG121" i="4"/>
  <c r="DG168" i="4" s="1"/>
  <c r="DH75" i="5" s="1"/>
  <c r="AU113" i="4"/>
  <c r="AU160" i="4" s="1"/>
  <c r="AV20" i="5" s="1"/>
  <c r="AU131" i="4"/>
  <c r="AU178" i="4" s="1"/>
  <c r="AV38" i="5" s="1"/>
  <c r="AU115" i="4"/>
  <c r="AU162" i="4" s="1"/>
  <c r="AV69" i="5" s="1"/>
  <c r="BG131" i="4"/>
  <c r="BG178" i="4" s="1"/>
  <c r="BH38" i="5" s="1"/>
  <c r="BG113" i="4"/>
  <c r="BG160" i="4" s="1"/>
  <c r="BH20" i="5" s="1"/>
  <c r="BO130" i="4"/>
  <c r="BO177" i="4" s="1"/>
  <c r="BP37" i="5" s="1"/>
  <c r="BO114" i="4"/>
  <c r="BO161" i="4" s="1"/>
  <c r="BP21" i="5" s="1"/>
  <c r="CE131" i="4"/>
  <c r="CE178" i="4" s="1"/>
  <c r="CF38" i="5" s="1"/>
  <c r="CE124" i="4"/>
  <c r="CE171" i="4" s="1"/>
  <c r="CF31" i="5" s="1"/>
  <c r="CE115" i="4"/>
  <c r="CE162" i="4" s="1"/>
  <c r="CF69" i="5" s="1"/>
  <c r="CM115" i="4"/>
  <c r="CM162" i="4" s="1"/>
  <c r="CN69" i="5" s="1"/>
  <c r="CM129" i="4"/>
  <c r="CM176" i="4" s="1"/>
  <c r="CN36" i="5" s="1"/>
  <c r="CU116" i="4"/>
  <c r="CU163" i="4" s="1"/>
  <c r="CV23" i="5" s="1"/>
  <c r="CU124" i="4"/>
  <c r="CU171" i="4" s="1"/>
  <c r="CV31" i="5" s="1"/>
  <c r="CU126" i="4"/>
  <c r="CU173" i="4" s="1"/>
  <c r="CV33" i="5" s="1"/>
  <c r="CR113" i="4"/>
  <c r="CR160" i="4" s="1"/>
  <c r="CS20" i="5" s="1"/>
  <c r="CR130" i="4"/>
  <c r="CR177" i="4" s="1"/>
  <c r="CS37" i="5" s="1"/>
  <c r="S113" i="4"/>
  <c r="S160" i="4" s="1"/>
  <c r="T67" i="5" s="1"/>
  <c r="S122" i="4"/>
  <c r="S169" i="4" s="1"/>
  <c r="T76" i="5" s="1"/>
  <c r="W125" i="4"/>
  <c r="W172" i="4" s="1"/>
  <c r="X32" i="5" s="1"/>
  <c r="W113" i="4"/>
  <c r="W160" i="4" s="1"/>
  <c r="X67" i="5" s="1"/>
  <c r="W131" i="4"/>
  <c r="W178" i="4" s="1"/>
  <c r="X38" i="5" s="1"/>
  <c r="AA129" i="4"/>
  <c r="AA176" i="4" s="1"/>
  <c r="AB83" i="5" s="1"/>
  <c r="AA126" i="4"/>
  <c r="AA173" i="4" s="1"/>
  <c r="AB80" i="5" s="1"/>
  <c r="AE131" i="4"/>
  <c r="AE178" i="4" s="1"/>
  <c r="AF85" i="5" s="1"/>
  <c r="AE129" i="4"/>
  <c r="AE176" i="4" s="1"/>
  <c r="AF36" i="5" s="1"/>
  <c r="AI123" i="4"/>
  <c r="AI170" i="4" s="1"/>
  <c r="AJ30" i="5" s="1"/>
  <c r="AI122" i="4"/>
  <c r="AI169" i="4" s="1"/>
  <c r="AJ76" i="5" s="1"/>
  <c r="AI116" i="4"/>
  <c r="AI163" i="4" s="1"/>
  <c r="AJ23" i="5" s="1"/>
  <c r="AM122" i="4"/>
  <c r="AM169" i="4" s="1"/>
  <c r="AN29" i="5" s="1"/>
  <c r="AM116" i="4"/>
  <c r="AM163" i="4" s="1"/>
  <c r="AN70" i="5" s="1"/>
  <c r="AQ119" i="4"/>
  <c r="AQ166" i="4" s="1"/>
  <c r="AR73" i="5" s="1"/>
  <c r="AQ121" i="4"/>
  <c r="AQ168" i="4" s="1"/>
  <c r="AR75" i="5" s="1"/>
  <c r="AQ123" i="4"/>
  <c r="AQ170" i="4" s="1"/>
  <c r="AR30" i="5" s="1"/>
  <c r="AY127" i="4"/>
  <c r="AY174" i="4" s="1"/>
  <c r="AZ34" i="5" s="1"/>
  <c r="AY129" i="4"/>
  <c r="AY176" i="4" s="1"/>
  <c r="AZ83" i="5" s="1"/>
  <c r="BC128" i="4"/>
  <c r="BC175" i="4" s="1"/>
  <c r="BD82" i="5" s="1"/>
  <c r="BC127" i="4"/>
  <c r="BC174" i="4" s="1"/>
  <c r="BD34" i="5" s="1"/>
  <c r="BK120" i="4"/>
  <c r="BK167" i="4" s="1"/>
  <c r="BL27" i="5" s="1"/>
  <c r="BK114" i="4"/>
  <c r="BK161" i="4" s="1"/>
  <c r="BL21" i="5" s="1"/>
  <c r="BK118" i="4"/>
  <c r="BK165" i="4" s="1"/>
  <c r="BL25" i="5" s="1"/>
  <c r="BS130" i="4"/>
  <c r="BS177" i="4" s="1"/>
  <c r="BT84" i="5" s="1"/>
  <c r="BS128" i="4"/>
  <c r="BS175" i="4" s="1"/>
  <c r="BT35" i="5" s="1"/>
  <c r="BW122" i="4"/>
  <c r="BW169" i="4" s="1"/>
  <c r="BX76" i="5" s="1"/>
  <c r="BW127" i="4"/>
  <c r="BW174" i="4" s="1"/>
  <c r="BX34" i="5" s="1"/>
  <c r="CA118" i="4"/>
  <c r="CA165" i="4" s="1"/>
  <c r="CB25" i="5" s="1"/>
  <c r="CA128" i="4"/>
  <c r="CA175" i="4" s="1"/>
  <c r="CB35" i="5" s="1"/>
  <c r="CA126" i="4"/>
  <c r="CA173" i="4" s="1"/>
  <c r="CB80" i="5" s="1"/>
  <c r="CI126" i="4"/>
  <c r="CI173" i="4" s="1"/>
  <c r="CJ33" i="5" s="1"/>
  <c r="CI114" i="4"/>
  <c r="CI161" i="4" s="1"/>
  <c r="CJ68" i="5" s="1"/>
  <c r="CQ124" i="4"/>
  <c r="CQ171" i="4" s="1"/>
  <c r="CR78" i="5" s="1"/>
  <c r="CQ128" i="4"/>
  <c r="CQ175" i="4" s="1"/>
  <c r="CR82" i="5" s="1"/>
  <c r="CQ120" i="4"/>
  <c r="CQ167" i="4" s="1"/>
  <c r="CR74" i="5" s="1"/>
  <c r="CY113" i="4"/>
  <c r="CY160" i="4" s="1"/>
  <c r="CZ67" i="5" s="1"/>
  <c r="CY115" i="4"/>
  <c r="CY162" i="4" s="1"/>
  <c r="CZ22" i="5" s="1"/>
  <c r="T121" i="4"/>
  <c r="T168" i="4" s="1"/>
  <c r="U28" i="5" s="1"/>
  <c r="T113" i="4"/>
  <c r="T160" i="4" s="1"/>
  <c r="U20" i="5" s="1"/>
  <c r="X124" i="4"/>
  <c r="X171" i="4" s="1"/>
  <c r="Y31" i="5" s="1"/>
  <c r="X129" i="4"/>
  <c r="X176" i="4" s="1"/>
  <c r="Y83" i="5" s="1"/>
  <c r="X119" i="4"/>
  <c r="X166" i="4" s="1"/>
  <c r="Y73" i="5" s="1"/>
  <c r="AF113" i="4"/>
  <c r="AF160" i="4" s="1"/>
  <c r="AG20" i="5" s="1"/>
  <c r="AF114" i="4"/>
  <c r="AF161" i="4" s="1"/>
  <c r="AG21" i="5" s="1"/>
  <c r="AN121" i="4"/>
  <c r="AN168" i="4" s="1"/>
  <c r="AO75" i="5" s="1"/>
  <c r="AN123" i="4"/>
  <c r="AN170" i="4" s="1"/>
  <c r="AO30" i="5" s="1"/>
  <c r="AR131" i="4"/>
  <c r="AR178" i="4" s="1"/>
  <c r="AS85" i="5" s="1"/>
  <c r="AR119" i="4"/>
  <c r="AR166" i="4" s="1"/>
  <c r="AS73" i="5" s="1"/>
  <c r="AR123" i="4"/>
  <c r="AR170" i="4" s="1"/>
  <c r="AS77" i="5" s="1"/>
  <c r="BD115" i="4"/>
  <c r="BD162" i="4" s="1"/>
  <c r="BE69" i="5" s="1"/>
  <c r="BD114" i="4"/>
  <c r="BD161" i="4" s="1"/>
  <c r="BE21" i="5" s="1"/>
  <c r="BP117" i="4"/>
  <c r="BP164" i="4" s="1"/>
  <c r="BQ71" i="5" s="1"/>
  <c r="BP122" i="4"/>
  <c r="BP169" i="4" s="1"/>
  <c r="BQ29" i="5" s="1"/>
  <c r="BP118" i="4"/>
  <c r="BP165" i="4" s="1"/>
  <c r="BQ25" i="5" s="1"/>
  <c r="BX123" i="4"/>
  <c r="BX170" i="4" s="1"/>
  <c r="BY30" i="5" s="1"/>
  <c r="BX122" i="4"/>
  <c r="BX169" i="4" s="1"/>
  <c r="BY76" i="5" s="1"/>
  <c r="CF126" i="4"/>
  <c r="CF173" i="4" s="1"/>
  <c r="CG80" i="5" s="1"/>
  <c r="CF131" i="4"/>
  <c r="CF178" i="4" s="1"/>
  <c r="CG38" i="5" s="1"/>
  <c r="CN116" i="4"/>
  <c r="CN163" i="4" s="1"/>
  <c r="CO23" i="5" s="1"/>
  <c r="CN119" i="4"/>
  <c r="CN166" i="4" s="1"/>
  <c r="CO73" i="5" s="1"/>
  <c r="CN127" i="4"/>
  <c r="CN174" i="4" s="1"/>
  <c r="CO81" i="5" s="1"/>
  <c r="CZ122" i="4"/>
  <c r="CZ169" i="4" s="1"/>
  <c r="DA76" i="5" s="1"/>
  <c r="CZ118" i="4"/>
  <c r="CZ165" i="4" s="1"/>
  <c r="DA25" i="5" s="1"/>
  <c r="DD114" i="4"/>
  <c r="DD161" i="4" s="1"/>
  <c r="DE68" i="5" s="1"/>
  <c r="DD115" i="4"/>
  <c r="DD162" i="4" s="1"/>
  <c r="DE22" i="5" s="1"/>
  <c r="DL126" i="4"/>
  <c r="DL173" i="4" s="1"/>
  <c r="DM80" i="5" s="1"/>
  <c r="DL130" i="4"/>
  <c r="DL177" i="4" s="1"/>
  <c r="DM37" i="5" s="1"/>
  <c r="DL129" i="4"/>
  <c r="DL176" i="4" s="1"/>
  <c r="DM36" i="5" s="1"/>
  <c r="CV123" i="4"/>
  <c r="CV170" i="4" s="1"/>
  <c r="CW30" i="5" s="1"/>
  <c r="CV116" i="4"/>
  <c r="CV163" i="4" s="1"/>
  <c r="CW23" i="5" s="1"/>
  <c r="DH120" i="4"/>
  <c r="DH167" i="4" s="1"/>
  <c r="DI74" i="5" s="1"/>
  <c r="DH119" i="4"/>
  <c r="DH166" i="4" s="1"/>
  <c r="DI73" i="5" s="1"/>
  <c r="DH126" i="4"/>
  <c r="DH173" i="4" s="1"/>
  <c r="DI80" i="5" s="1"/>
  <c r="DI120" i="4"/>
  <c r="DI167" i="4" s="1"/>
  <c r="DJ74" i="5" s="1"/>
  <c r="DI125" i="4"/>
  <c r="DI172" i="4" s="1"/>
  <c r="DJ32" i="5" s="1"/>
  <c r="AB116" i="4"/>
  <c r="AB163" i="4" s="1"/>
  <c r="AC23" i="5" s="1"/>
  <c r="AB122" i="4"/>
  <c r="AB169" i="4" s="1"/>
  <c r="AC29" i="5" s="1"/>
  <c r="AJ119" i="4"/>
  <c r="AJ166" i="4" s="1"/>
  <c r="AK73" i="5" s="1"/>
  <c r="AJ120" i="4"/>
  <c r="AJ167" i="4" s="1"/>
  <c r="AK27" i="5" s="1"/>
  <c r="AJ121" i="4"/>
  <c r="AJ168" i="4" s="1"/>
  <c r="AK28" i="5" s="1"/>
  <c r="AV131" i="4"/>
  <c r="AV178" i="4" s="1"/>
  <c r="AW85" i="5" s="1"/>
  <c r="AV124" i="4"/>
  <c r="AV171" i="4" s="1"/>
  <c r="AW31" i="5" s="1"/>
  <c r="AZ114" i="4"/>
  <c r="AZ161" i="4" s="1"/>
  <c r="BA68" i="5" s="1"/>
  <c r="AZ129" i="4"/>
  <c r="AZ176" i="4" s="1"/>
  <c r="BA36" i="5" s="1"/>
  <c r="BH114" i="4"/>
  <c r="BH161" i="4" s="1"/>
  <c r="BI21" i="5" s="1"/>
  <c r="BH117" i="4"/>
  <c r="BH164" i="4" s="1"/>
  <c r="BI71" i="5" s="1"/>
  <c r="BH121" i="4"/>
  <c r="BH168" i="4" s="1"/>
  <c r="BI28" i="5" s="1"/>
  <c r="BL120" i="4"/>
  <c r="BL167" i="4" s="1"/>
  <c r="BM74" i="5" s="1"/>
  <c r="BL131" i="4"/>
  <c r="BL178" i="4" s="1"/>
  <c r="BM38" i="5" s="1"/>
  <c r="BT131" i="4"/>
  <c r="BT178" i="4" s="1"/>
  <c r="BU38" i="5" s="1"/>
  <c r="BT125" i="4"/>
  <c r="BT172" i="4" s="1"/>
  <c r="BU79" i="5" s="1"/>
  <c r="BT124" i="4"/>
  <c r="BT171" i="4" s="1"/>
  <c r="BU31" i="5" s="1"/>
  <c r="CB121" i="4"/>
  <c r="CB168" i="4" s="1"/>
  <c r="CC75" i="5" s="1"/>
  <c r="CB120" i="4"/>
  <c r="CB167" i="4" s="1"/>
  <c r="CC74" i="5" s="1"/>
  <c r="CJ114" i="4"/>
  <c r="CJ161" i="4" s="1"/>
  <c r="CK68" i="5" s="1"/>
  <c r="CJ115" i="4"/>
  <c r="CJ162" i="4" s="1"/>
  <c r="CK69" i="5" s="1"/>
  <c r="U127" i="4"/>
  <c r="U174" i="4" s="1"/>
  <c r="V34" i="5" s="1"/>
  <c r="U129" i="4"/>
  <c r="U176" i="4" s="1"/>
  <c r="V83" i="5" s="1"/>
  <c r="U128" i="4"/>
  <c r="U175" i="4" s="1"/>
  <c r="V35" i="5" s="1"/>
  <c r="Y123" i="4"/>
  <c r="Y170" i="4" s="1"/>
  <c r="Z30" i="5" s="1"/>
  <c r="Y131" i="4"/>
  <c r="Y178" i="4" s="1"/>
  <c r="Z38" i="5" s="1"/>
  <c r="AK121" i="4"/>
  <c r="AK168" i="4" s="1"/>
  <c r="AL75" i="5" s="1"/>
  <c r="AK131" i="4"/>
  <c r="AK178" i="4" s="1"/>
  <c r="AL85" i="5" s="1"/>
  <c r="AS115" i="4"/>
  <c r="AS162" i="4" s="1"/>
  <c r="AT69" i="5" s="1"/>
  <c r="AS116" i="4"/>
  <c r="AS163" i="4" s="1"/>
  <c r="AT23" i="5" s="1"/>
  <c r="AS131" i="4"/>
  <c r="AS178" i="4" s="1"/>
  <c r="AT38" i="5" s="1"/>
  <c r="AW120" i="4"/>
  <c r="AW167" i="4" s="1"/>
  <c r="AX74" i="5" s="1"/>
  <c r="AW125" i="4"/>
  <c r="AW172" i="4" s="1"/>
  <c r="AX32" i="5" s="1"/>
  <c r="BE128" i="4"/>
  <c r="BE175" i="4" s="1"/>
  <c r="BF82" i="5" s="1"/>
  <c r="BE123" i="4"/>
  <c r="BE170" i="4" s="1"/>
  <c r="BF30" i="5" s="1"/>
  <c r="BE126" i="4"/>
  <c r="BE173" i="4" s="1"/>
  <c r="BF33" i="5" s="1"/>
  <c r="BI124" i="4"/>
  <c r="BI171" i="4" s="1"/>
  <c r="BJ78" i="5" s="1"/>
  <c r="BI120" i="4"/>
  <c r="BI167" i="4" s="1"/>
  <c r="BJ74" i="5" s="1"/>
  <c r="BM128" i="4"/>
  <c r="BM175" i="4" s="1"/>
  <c r="BN35" i="5" s="1"/>
  <c r="BM116" i="4"/>
  <c r="BM163" i="4" s="1"/>
  <c r="BN70" i="5" s="1"/>
  <c r="CK131" i="4"/>
  <c r="CK178" i="4" s="1"/>
  <c r="CL38" i="5" s="1"/>
  <c r="CK116" i="4"/>
  <c r="CK163" i="4" s="1"/>
  <c r="CL70" i="5" s="1"/>
  <c r="CK130" i="4"/>
  <c r="CK177" i="4" s="1"/>
  <c r="CL84" i="5" s="1"/>
  <c r="CS121" i="4"/>
  <c r="CS168" i="4" s="1"/>
  <c r="CT75" i="5" s="1"/>
  <c r="CS114" i="4"/>
  <c r="CS161" i="4" s="1"/>
  <c r="CT68" i="5" s="1"/>
  <c r="CW117" i="4"/>
  <c r="CW164" i="4" s="1"/>
  <c r="CX71" i="5" s="1"/>
  <c r="CW123" i="4"/>
  <c r="CW170" i="4" s="1"/>
  <c r="CX30" i="5" s="1"/>
  <c r="DA128" i="4"/>
  <c r="DA175" i="4" s="1"/>
  <c r="DB35" i="5" s="1"/>
  <c r="DA123" i="4"/>
  <c r="DA170" i="4" s="1"/>
  <c r="DB30" i="5" s="1"/>
  <c r="DA116" i="4"/>
  <c r="DA163" i="4" s="1"/>
  <c r="DB23" i="5" s="1"/>
  <c r="DE120" i="4"/>
  <c r="DE167" i="4" s="1"/>
  <c r="DF74" i="5" s="1"/>
  <c r="DE122" i="4"/>
  <c r="DE169" i="4" s="1"/>
  <c r="DF76" i="5" s="1"/>
  <c r="CO113" i="4"/>
  <c r="CO160" i="4" s="1"/>
  <c r="CP67" i="5" s="1"/>
  <c r="CO123" i="4"/>
  <c r="CO170" i="4" s="1"/>
  <c r="CP77" i="5" s="1"/>
  <c r="CO118" i="4"/>
  <c r="CO165" i="4" s="1"/>
  <c r="CP25" i="5" s="1"/>
  <c r="H105" i="7" l="1"/>
  <c r="AM73" i="7"/>
  <c r="AM103" i="7" s="1"/>
  <c r="CD73" i="7"/>
  <c r="CD103" i="7" s="1"/>
  <c r="AA73" i="7"/>
  <c r="AA103" i="7" s="1"/>
  <c r="X73" i="7"/>
  <c r="X103" i="7" s="1"/>
  <c r="CI73" i="7"/>
  <c r="CI103" i="7" s="1"/>
  <c r="T73" i="7"/>
  <c r="CK73" i="7"/>
  <c r="CK103" i="7" s="1"/>
  <c r="BR73" i="7"/>
  <c r="BR103" i="7" s="1"/>
  <c r="BO73" i="7"/>
  <c r="BO103" i="7" s="1"/>
  <c r="CN73" i="7"/>
  <c r="CN103" i="7" s="1"/>
  <c r="CZ73" i="7"/>
  <c r="CZ103" i="7" s="1"/>
  <c r="R73" i="7"/>
  <c r="AW73" i="7"/>
  <c r="AW103" i="7" s="1"/>
  <c r="AO73" i="7"/>
  <c r="AO103" i="7" s="1"/>
  <c r="H73" i="7"/>
  <c r="O73" i="7"/>
  <c r="BS73" i="7"/>
  <c r="BS103" i="7" s="1"/>
  <c r="P101" i="7"/>
  <c r="CV73" i="7"/>
  <c r="CV103" i="7" s="1"/>
  <c r="AX73" i="7"/>
  <c r="AX103" i="7" s="1"/>
  <c r="BB73" i="7"/>
  <c r="BB103" i="7" s="1"/>
  <c r="AZ73" i="7"/>
  <c r="AZ103" i="7" s="1"/>
  <c r="AS73" i="7"/>
  <c r="AS103" i="7" s="1"/>
  <c r="S73" i="7"/>
  <c r="AB73" i="7"/>
  <c r="AB103" i="7" s="1"/>
  <c r="BF73" i="7"/>
  <c r="BF103" i="7" s="1"/>
  <c r="CF73" i="7"/>
  <c r="CF103" i="7" s="1"/>
  <c r="R101" i="7"/>
  <c r="R103" i="7" s="1"/>
  <c r="BU73" i="7"/>
  <c r="BU103" i="7" s="1"/>
  <c r="BM73" i="7"/>
  <c r="BM103" i="7" s="1"/>
  <c r="AV73" i="7"/>
  <c r="AV103" i="7" s="1"/>
  <c r="Q73" i="7"/>
  <c r="CA73" i="7"/>
  <c r="CA103" i="7" s="1"/>
  <c r="AJ73" i="7"/>
  <c r="AJ103" i="7" s="1"/>
  <c r="BV73" i="7"/>
  <c r="BV103" i="7" s="1"/>
  <c r="CC73" i="7"/>
  <c r="CC103" i="7" s="1"/>
  <c r="BJ73" i="7"/>
  <c r="BJ103" i="7" s="1"/>
  <c r="AH73" i="7"/>
  <c r="AH103" i="7" s="1"/>
  <c r="BX73" i="7"/>
  <c r="BX103" i="7" s="1"/>
  <c r="Q101" i="7"/>
  <c r="Q103" i="7" s="1"/>
  <c r="CR73" i="7"/>
  <c r="CR103" i="7" s="1"/>
  <c r="BC73" i="7"/>
  <c r="BC103" i="7" s="1"/>
  <c r="CU73" i="7"/>
  <c r="CU103" i="7" s="1"/>
  <c r="CL73" i="7"/>
  <c r="CL103" i="7" s="1"/>
  <c r="AE73" i="7"/>
  <c r="AE103" i="7" s="1"/>
  <c r="AF73" i="7"/>
  <c r="AF103" i="7" s="1"/>
  <c r="CY73" i="7"/>
  <c r="CY103" i="7" s="1"/>
  <c r="BZ73" i="7"/>
  <c r="BZ103" i="7" s="1"/>
  <c r="CH73" i="7"/>
  <c r="CH103" i="7" s="1"/>
  <c r="CG73" i="7"/>
  <c r="CG103" i="7" s="1"/>
  <c r="DB73" i="7"/>
  <c r="DB103" i="7" s="1"/>
  <c r="CT73" i="7"/>
  <c r="CT103" i="7" s="1"/>
  <c r="BN73" i="7"/>
  <c r="BN103" i="7" s="1"/>
  <c r="AI73" i="7"/>
  <c r="AI103" i="7" s="1"/>
  <c r="AN73" i="7"/>
  <c r="AN103" i="7" s="1"/>
  <c r="AR73" i="7"/>
  <c r="AR103" i="7" s="1"/>
  <c r="AL73" i="7"/>
  <c r="AL103" i="7" s="1"/>
  <c r="BL73" i="7"/>
  <c r="BL103" i="7" s="1"/>
  <c r="CQ73" i="7"/>
  <c r="CQ103" i="7" s="1"/>
  <c r="P73" i="7"/>
  <c r="CX73" i="7"/>
  <c r="CX103" i="7" s="1"/>
  <c r="V73" i="7"/>
  <c r="V103" i="7" s="1"/>
  <c r="Y73" i="7"/>
  <c r="Y103" i="7" s="1"/>
  <c r="BG73" i="7"/>
  <c r="BG103" i="7" s="1"/>
  <c r="CW73" i="7"/>
  <c r="CW103" i="7" s="1"/>
  <c r="BA73" i="7"/>
  <c r="BA103" i="7" s="1"/>
  <c r="CE73" i="7"/>
  <c r="CE103" i="7" s="1"/>
  <c r="BD73" i="7"/>
  <c r="BD103" i="7" s="1"/>
  <c r="CS73" i="7"/>
  <c r="CS103" i="7" s="1"/>
  <c r="Z73" i="7"/>
  <c r="Z103" i="7" s="1"/>
  <c r="BI73" i="7"/>
  <c r="BI103" i="7" s="1"/>
  <c r="BY73" i="7"/>
  <c r="BY103" i="7" s="1"/>
  <c r="BE73" i="7"/>
  <c r="BE103" i="7" s="1"/>
  <c r="CP73" i="7"/>
  <c r="CP103" i="7" s="1"/>
  <c r="AT73" i="7"/>
  <c r="AT103" i="7" s="1"/>
  <c r="BK73" i="7"/>
  <c r="BK103" i="7" s="1"/>
  <c r="CO73" i="7"/>
  <c r="CO103" i="7" s="1"/>
  <c r="AK73" i="7"/>
  <c r="AK103" i="7" s="1"/>
  <c r="CB73" i="7"/>
  <c r="CB103" i="7" s="1"/>
  <c r="AP73" i="7"/>
  <c r="AP103" i="7" s="1"/>
  <c r="CJ73" i="7"/>
  <c r="CJ103" i="7" s="1"/>
  <c r="AG73" i="7"/>
  <c r="AG103" i="7" s="1"/>
  <c r="W73" i="7"/>
  <c r="W103" i="7" s="1"/>
  <c r="AY73" i="7"/>
  <c r="AY103" i="7" s="1"/>
  <c r="AD73" i="7"/>
  <c r="AD103" i="7" s="1"/>
  <c r="BQ73" i="7"/>
  <c r="BQ103" i="7" s="1"/>
  <c r="S101" i="7"/>
  <c r="U73" i="7"/>
  <c r="U103" i="7" s="1"/>
  <c r="BH73" i="7"/>
  <c r="BH103" i="7" s="1"/>
  <c r="AC73" i="7"/>
  <c r="AC103" i="7" s="1"/>
  <c r="AQ73" i="7"/>
  <c r="AQ103" i="7" s="1"/>
  <c r="CM73" i="7"/>
  <c r="CM103" i="7" s="1"/>
  <c r="BP73" i="7"/>
  <c r="BP103" i="7" s="1"/>
  <c r="AU73" i="7"/>
  <c r="AU103" i="7" s="1"/>
  <c r="DA73" i="7"/>
  <c r="DA103" i="7" s="1"/>
  <c r="BW73" i="7"/>
  <c r="BW103" i="7" s="1"/>
  <c r="BT73" i="7"/>
  <c r="BT103" i="7" s="1"/>
  <c r="L73" i="7"/>
  <c r="I73" i="7"/>
  <c r="K73" i="7"/>
  <c r="T101" i="7"/>
  <c r="O101" i="7"/>
  <c r="N73" i="7"/>
  <c r="J73" i="7"/>
  <c r="M73" i="7"/>
  <c r="AH33" i="1"/>
  <c r="AG33" i="1"/>
  <c r="AF33" i="1"/>
  <c r="AD33" i="1"/>
  <c r="AE33" i="1"/>
  <c r="S180" i="5"/>
  <c r="Y62" i="2"/>
  <c r="Y63" i="2" s="1"/>
  <c r="W93" i="1" s="1"/>
  <c r="T21" i="5"/>
  <c r="T37" i="5"/>
  <c r="T20" i="5"/>
  <c r="AH44" i="7"/>
  <c r="AH45" i="7" s="1"/>
  <c r="AH34" i="7"/>
  <c r="K39" i="7"/>
  <c r="K40" i="7" s="1"/>
  <c r="K34" i="7"/>
  <c r="BB29" i="7"/>
  <c r="BB30" i="7" s="1"/>
  <c r="BB34" i="7"/>
  <c r="U39" i="7"/>
  <c r="U40" i="7" s="1"/>
  <c r="U34" i="7"/>
  <c r="R44" i="7"/>
  <c r="R45" i="7" s="1"/>
  <c r="R34" i="7"/>
  <c r="I24" i="7"/>
  <c r="I25" i="7" s="1"/>
  <c r="I34" i="7"/>
  <c r="AA39" i="7"/>
  <c r="AA40" i="7" s="1"/>
  <c r="AA34" i="7"/>
  <c r="CB180" i="5"/>
  <c r="AX180" i="5"/>
  <c r="CU180" i="5"/>
  <c r="CJ180" i="5"/>
  <c r="BN180" i="5"/>
  <c r="DG180" i="5"/>
  <c r="CC180" i="5"/>
  <c r="BF180" i="5"/>
  <c r="DC180" i="5"/>
  <c r="AB180" i="5"/>
  <c r="CF180" i="5"/>
  <c r="CI180" i="5"/>
  <c r="CG180" i="5"/>
  <c r="W180" i="5"/>
  <c r="CD180" i="5"/>
  <c r="Y180" i="5"/>
  <c r="CK180" i="5"/>
  <c r="BV180" i="5"/>
  <c r="DK180" i="5"/>
  <c r="CN180" i="5"/>
  <c r="CY180" i="5"/>
  <c r="T180" i="5"/>
  <c r="U180" i="5"/>
  <c r="CO180" i="5"/>
  <c r="AM180" i="5"/>
  <c r="X180" i="5"/>
  <c r="CZ180" i="5"/>
  <c r="DB180" i="5"/>
  <c r="AG180" i="5"/>
  <c r="CS180" i="5"/>
  <c r="AI180" i="5"/>
  <c r="CX180" i="5"/>
  <c r="AJ180" i="5"/>
  <c r="CV180" i="5"/>
  <c r="AD180" i="5"/>
  <c r="AC180" i="5"/>
  <c r="CW180" i="5"/>
  <c r="BC180" i="5"/>
  <c r="CR180" i="5"/>
  <c r="AF180" i="5"/>
  <c r="DH180" i="5"/>
  <c r="AO180" i="5"/>
  <c r="DA180" i="5"/>
  <c r="DJ180" i="5"/>
  <c r="BG180" i="5"/>
  <c r="BS180" i="5"/>
  <c r="AR180" i="5"/>
  <c r="DD180" i="5"/>
  <c r="AT180" i="5"/>
  <c r="AK180" i="5"/>
  <c r="DE180" i="5"/>
  <c r="CA180" i="5"/>
  <c r="AA180" i="5"/>
  <c r="AW180" i="5"/>
  <c r="DI180" i="5"/>
  <c r="BO180" i="5"/>
  <c r="AY180" i="5"/>
  <c r="BI180" i="5"/>
  <c r="AZ180" i="5"/>
  <c r="DL180" i="5"/>
  <c r="BJ180" i="5"/>
  <c r="AS180" i="5"/>
  <c r="DM180" i="5"/>
  <c r="AL180" i="5"/>
  <c r="CQ180" i="5"/>
  <c r="BD180" i="5"/>
  <c r="BL180" i="5"/>
  <c r="BE180" i="5"/>
  <c r="BW180" i="5"/>
  <c r="AV180" i="5"/>
  <c r="BH180" i="5"/>
  <c r="BZ180" i="5"/>
  <c r="BA180" i="5"/>
  <c r="BB180" i="5"/>
  <c r="BT180" i="5"/>
  <c r="AH180" i="5"/>
  <c r="AQ180" i="5"/>
  <c r="BM180" i="5"/>
  <c r="Z180" i="5"/>
  <c r="CE180" i="5"/>
  <c r="CT180" i="5"/>
  <c r="AN180" i="5"/>
  <c r="BP180" i="5"/>
  <c r="CP180" i="5"/>
  <c r="AU180" i="5"/>
  <c r="BQ180" i="5"/>
  <c r="BR180" i="5"/>
  <c r="V180" i="5"/>
  <c r="BU180" i="5"/>
  <c r="AP180" i="5"/>
  <c r="CL180" i="5"/>
  <c r="CM180" i="5"/>
  <c r="AE180" i="5"/>
  <c r="BX180" i="5"/>
  <c r="DF180" i="5"/>
  <c r="BK180" i="5"/>
  <c r="BY180" i="5"/>
  <c r="CH180" i="5"/>
  <c r="F64" i="7"/>
  <c r="F66" i="7"/>
  <c r="F65" i="7"/>
  <c r="F67" i="7"/>
  <c r="AB54" i="4"/>
  <c r="CV54" i="4"/>
  <c r="DL54" i="4"/>
  <c r="AR54" i="4"/>
  <c r="CM54" i="4"/>
  <c r="CE54" i="4"/>
  <c r="DG54" i="4"/>
  <c r="AY54" i="4"/>
  <c r="DB54" i="4"/>
  <c r="BR54" i="4"/>
  <c r="Z54" i="4"/>
  <c r="CS54" i="4"/>
  <c r="CW54" i="4"/>
  <c r="AI54" i="4"/>
  <c r="AE54" i="4"/>
  <c r="CL54" i="4"/>
  <c r="DF54" i="4"/>
  <c r="CC54" i="4"/>
  <c r="BU54" i="4"/>
  <c r="BM54" i="4"/>
  <c r="BI54" i="4"/>
  <c r="U54" i="4"/>
  <c r="AJ54" i="4"/>
  <c r="AZ54" i="4"/>
  <c r="BP54" i="4"/>
  <c r="AQ54" i="4"/>
  <c r="BW54" i="4"/>
  <c r="BK54" i="4"/>
  <c r="CP54" i="4"/>
  <c r="AH54" i="4"/>
  <c r="AD54" i="4"/>
  <c r="BY54" i="4"/>
  <c r="BH54" i="4"/>
  <c r="AV54" i="4"/>
  <c r="CZ54" i="4"/>
  <c r="BX54" i="4"/>
  <c r="T54" i="4"/>
  <c r="AM54" i="4"/>
  <c r="CU54" i="4"/>
  <c r="CQ54" i="4"/>
  <c r="BS54" i="4"/>
  <c r="DJ54" i="4"/>
  <c r="BV54" i="4"/>
  <c r="BJ54" i="4"/>
  <c r="AT54" i="4"/>
  <c r="CG54" i="4"/>
  <c r="AC54" i="4"/>
  <c r="BE54" i="4"/>
  <c r="BL54" i="4"/>
  <c r="CF54" i="4"/>
  <c r="S54" i="4"/>
  <c r="DK54" i="4"/>
  <c r="CR54" i="4"/>
  <c r="V54" i="4"/>
  <c r="CA54" i="4"/>
  <c r="CD54" i="4"/>
  <c r="AP54" i="4"/>
  <c r="DC54" i="4"/>
  <c r="AG54" i="4"/>
  <c r="DA54" i="4"/>
  <c r="AK54" i="4"/>
  <c r="BT54" i="4"/>
  <c r="CN54" i="4"/>
  <c r="X54" i="4"/>
  <c r="BC54" i="4"/>
  <c r="BG54" i="4"/>
  <c r="AL54" i="4"/>
  <c r="BZ54" i="4"/>
  <c r="BF54" i="4"/>
  <c r="BB54" i="4"/>
  <c r="DH54" i="4"/>
  <c r="CX54" i="4"/>
  <c r="CT54" i="4"/>
  <c r="DI54" i="4"/>
  <c r="Y54" i="4"/>
  <c r="Y148" i="4" s="1"/>
  <c r="Y195" i="4" s="1"/>
  <c r="Z55" i="5" s="1"/>
  <c r="CJ54" i="4"/>
  <c r="BD54" i="4"/>
  <c r="AN54" i="4"/>
  <c r="AA54" i="4"/>
  <c r="AU54" i="4"/>
  <c r="CY54" i="4"/>
  <c r="CI54" i="4"/>
  <c r="AX54" i="4"/>
  <c r="CO54" i="4"/>
  <c r="BA54" i="4"/>
  <c r="AS54" i="4"/>
  <c r="CB54" i="4"/>
  <c r="DD54" i="4"/>
  <c r="AF54" i="4"/>
  <c r="W54" i="4"/>
  <c r="BO54" i="4"/>
  <c r="DE54" i="4"/>
  <c r="CK54" i="4"/>
  <c r="CH54" i="4"/>
  <c r="BN54" i="4"/>
  <c r="R54" i="4"/>
  <c r="BQ54" i="4"/>
  <c r="AO54" i="4"/>
  <c r="AW54" i="4"/>
  <c r="BL55" i="4"/>
  <c r="BM150" i="5" s="1"/>
  <c r="CF55" i="4"/>
  <c r="CG150" i="5" s="1"/>
  <c r="BZ55" i="4"/>
  <c r="CA150" i="5" s="1"/>
  <c r="R55" i="4"/>
  <c r="S150" i="5" s="1"/>
  <c r="DH55" i="4"/>
  <c r="DI150" i="5" s="1"/>
  <c r="CG55" i="4"/>
  <c r="CH150" i="5" s="1"/>
  <c r="AO55" i="4"/>
  <c r="AP150" i="5" s="1"/>
  <c r="AW55" i="4"/>
  <c r="AX150" i="5" s="1"/>
  <c r="BT55" i="4"/>
  <c r="BU150" i="5" s="1"/>
  <c r="CN55" i="4"/>
  <c r="CO150" i="5" s="1"/>
  <c r="CK55" i="4"/>
  <c r="CL150" i="5" s="1"/>
  <c r="CY55" i="4"/>
  <c r="CZ150" i="5" s="1"/>
  <c r="CA55" i="4"/>
  <c r="CB150" i="5" s="1"/>
  <c r="BN55" i="4"/>
  <c r="BO150" i="5" s="1"/>
  <c r="AT55" i="4"/>
  <c r="AU150" i="5" s="1"/>
  <c r="CO55" i="4"/>
  <c r="CP150" i="5" s="1"/>
  <c r="AK55" i="4"/>
  <c r="AL150" i="5" s="1"/>
  <c r="AB55" i="4"/>
  <c r="AC150" i="5" s="1"/>
  <c r="CB55" i="4"/>
  <c r="CC150" i="5" s="1"/>
  <c r="CZ55" i="4"/>
  <c r="DA150" i="5" s="1"/>
  <c r="AF55" i="4"/>
  <c r="AG150" i="5" s="1"/>
  <c r="AQ55" i="4"/>
  <c r="AR150" i="5" s="1"/>
  <c r="AA55" i="4"/>
  <c r="AB150" i="5" s="1"/>
  <c r="V55" i="4"/>
  <c r="W150" i="5" s="1"/>
  <c r="CI55" i="4"/>
  <c r="CJ150" i="5" s="1"/>
  <c r="AP55" i="4"/>
  <c r="AQ150" i="5" s="1"/>
  <c r="AD55" i="4"/>
  <c r="AE150" i="5" s="1"/>
  <c r="Z55" i="4"/>
  <c r="AA150" i="5" s="1"/>
  <c r="AS55" i="4"/>
  <c r="AT150" i="5" s="1"/>
  <c r="U55" i="4"/>
  <c r="V150" i="5" s="1"/>
  <c r="CS55" i="4"/>
  <c r="CT150" i="5" s="1"/>
  <c r="CJ55" i="4"/>
  <c r="CK150" i="5" s="1"/>
  <c r="DD55" i="4"/>
  <c r="DE150" i="5" s="1"/>
  <c r="AN55" i="4"/>
  <c r="AO150" i="5" s="1"/>
  <c r="AE55" i="4"/>
  <c r="AF150" i="5" s="1"/>
  <c r="W55" i="4"/>
  <c r="X150" i="5" s="1"/>
  <c r="BO55" i="4"/>
  <c r="BP150" i="5" s="1"/>
  <c r="DE55" i="4"/>
  <c r="DF150" i="5" s="1"/>
  <c r="DG55" i="4"/>
  <c r="DH150" i="5" s="1"/>
  <c r="CL55" i="4"/>
  <c r="CM150" i="5" s="1"/>
  <c r="AL55" i="4"/>
  <c r="AM150" i="5" s="1"/>
  <c r="BF55" i="4"/>
  <c r="BG150" i="5" s="1"/>
  <c r="BB55" i="4"/>
  <c r="BC150" i="5" s="1"/>
  <c r="CX55" i="4"/>
  <c r="CY150" i="5" s="1"/>
  <c r="BA55" i="4"/>
  <c r="BB150" i="5" s="1"/>
  <c r="BM55" i="4"/>
  <c r="BN150" i="5" s="1"/>
  <c r="BE55" i="4"/>
  <c r="BF150" i="5" s="1"/>
  <c r="CV55" i="4"/>
  <c r="CW150" i="5" s="1"/>
  <c r="DL55" i="4"/>
  <c r="DM150" i="5" s="1"/>
  <c r="AR55" i="4"/>
  <c r="AS150" i="5" s="1"/>
  <c r="AM55" i="4"/>
  <c r="AN150" i="5" s="1"/>
  <c r="CE55" i="4"/>
  <c r="CF150" i="5" s="1"/>
  <c r="BW55" i="4"/>
  <c r="BX150" i="5" s="1"/>
  <c r="BS55" i="4"/>
  <c r="BT150" i="5" s="1"/>
  <c r="BK55" i="4"/>
  <c r="BL150" i="5" s="1"/>
  <c r="AY55" i="4"/>
  <c r="AZ150" i="5" s="1"/>
  <c r="AH55" i="4"/>
  <c r="AI150" i="5" s="1"/>
  <c r="DF55" i="4"/>
  <c r="DG150" i="5" s="1"/>
  <c r="CC55" i="4"/>
  <c r="CD150" i="5" s="1"/>
  <c r="BU55" i="4"/>
  <c r="BV150" i="5" s="1"/>
  <c r="BQ55" i="4"/>
  <c r="BR150" i="5" s="1"/>
  <c r="Y55" i="4"/>
  <c r="Z150" i="5" s="1"/>
  <c r="AV55" i="4"/>
  <c r="AW150" i="5" s="1"/>
  <c r="BD55" i="4"/>
  <c r="BE150" i="5" s="1"/>
  <c r="X55" i="4"/>
  <c r="Y150" i="5" s="1"/>
  <c r="T55" i="4"/>
  <c r="U150" i="5" s="1"/>
  <c r="AI55" i="4"/>
  <c r="AJ150" i="5" s="1"/>
  <c r="BC55" i="4"/>
  <c r="BD150" i="5" s="1"/>
  <c r="BG55" i="4"/>
  <c r="BH150" i="5" s="1"/>
  <c r="CQ55" i="4"/>
  <c r="CR150" i="5" s="1"/>
  <c r="DJ55" i="4"/>
  <c r="DK150" i="5" s="1"/>
  <c r="CH55" i="4"/>
  <c r="CI150" i="5" s="1"/>
  <c r="DB55" i="4"/>
  <c r="DC150" i="5" s="1"/>
  <c r="BV55" i="4"/>
  <c r="BW150" i="5" s="1"/>
  <c r="BJ55" i="4"/>
  <c r="BK150" i="5" s="1"/>
  <c r="DC55" i="4"/>
  <c r="DD150" i="5" s="1"/>
  <c r="AC55" i="4"/>
  <c r="AD150" i="5" s="1"/>
  <c r="BI55" i="4"/>
  <c r="BJ150" i="5" s="1"/>
  <c r="AJ55" i="4"/>
  <c r="AK150" i="5" s="1"/>
  <c r="AZ55" i="4"/>
  <c r="BA150" i="5" s="1"/>
  <c r="BP55" i="4"/>
  <c r="BQ150" i="5" s="1"/>
  <c r="CW55" i="4"/>
  <c r="CX150" i="5" s="1"/>
  <c r="CU55" i="4"/>
  <c r="CV150" i="5" s="1"/>
  <c r="CD55" i="4"/>
  <c r="CE150" i="5" s="1"/>
  <c r="BR55" i="4"/>
  <c r="BS150" i="5" s="1"/>
  <c r="BY55" i="4"/>
  <c r="BZ150" i="5" s="1"/>
  <c r="AG55" i="4"/>
  <c r="AH150" i="5" s="1"/>
  <c r="DA55" i="4"/>
  <c r="DB150" i="5" s="1"/>
  <c r="BH55" i="4"/>
  <c r="BI150" i="5" s="1"/>
  <c r="BX55" i="4"/>
  <c r="BY150" i="5" s="1"/>
  <c r="S55" i="4"/>
  <c r="T150" i="5" s="1"/>
  <c r="DK55" i="4"/>
  <c r="DL150" i="5" s="1"/>
  <c r="CM55" i="4"/>
  <c r="CN150" i="5" s="1"/>
  <c r="AU55" i="4"/>
  <c r="AV150" i="5" s="1"/>
  <c r="CR55" i="4"/>
  <c r="CS150" i="5" s="1"/>
  <c r="CP55" i="4"/>
  <c r="CQ150" i="5" s="1"/>
  <c r="AX55" i="4"/>
  <c r="AY150" i="5" s="1"/>
  <c r="CT55" i="4"/>
  <c r="CU150" i="5" s="1"/>
  <c r="DI55" i="4"/>
  <c r="DJ150" i="5" s="1"/>
  <c r="CJ56" i="4"/>
  <c r="CK151" i="5" s="1"/>
  <c r="BH56" i="4"/>
  <c r="BI151" i="5" s="1"/>
  <c r="CW56" i="4"/>
  <c r="CX151" i="5" s="1"/>
  <c r="AA56" i="4"/>
  <c r="AB151" i="5" s="1"/>
  <c r="BO56" i="4"/>
  <c r="BP151" i="5" s="1"/>
  <c r="CR56" i="4"/>
  <c r="CS151" i="5" s="1"/>
  <c r="CQ56" i="4"/>
  <c r="CR151" i="5" s="1"/>
  <c r="BV56" i="4"/>
  <c r="BW151" i="5" s="1"/>
  <c r="AH56" i="4"/>
  <c r="AI151" i="5" s="1"/>
  <c r="BY56" i="4"/>
  <c r="BZ151" i="5" s="1"/>
  <c r="Y56" i="4"/>
  <c r="Z151" i="5" s="1"/>
  <c r="U56" i="4"/>
  <c r="V151" i="5" s="1"/>
  <c r="BL56" i="4"/>
  <c r="BM151" i="5" s="1"/>
  <c r="AZ56" i="4"/>
  <c r="BA151" i="5" s="1"/>
  <c r="BX56" i="4"/>
  <c r="BY151" i="5" s="1"/>
  <c r="BD56" i="4"/>
  <c r="BE151" i="5" s="1"/>
  <c r="AR56" i="4"/>
  <c r="AS151" i="5" s="1"/>
  <c r="AN56" i="4"/>
  <c r="AO151" i="5" s="1"/>
  <c r="CE56" i="4"/>
  <c r="CF151" i="5" s="1"/>
  <c r="CA56" i="4"/>
  <c r="CB151" i="5" s="1"/>
  <c r="AY56" i="4"/>
  <c r="AZ151" i="5" s="1"/>
  <c r="DJ56" i="4"/>
  <c r="DK151" i="5" s="1"/>
  <c r="AP56" i="4"/>
  <c r="AQ151" i="5" s="1"/>
  <c r="AG56" i="4"/>
  <c r="AH151" i="5" s="1"/>
  <c r="AC56" i="4"/>
  <c r="AD151" i="5" s="1"/>
  <c r="DD56" i="4"/>
  <c r="DE151" i="5" s="1"/>
  <c r="CN56" i="4"/>
  <c r="CO151" i="5" s="1"/>
  <c r="CF56" i="4"/>
  <c r="CG151" i="5" s="1"/>
  <c r="T56" i="4"/>
  <c r="U151" i="5" s="1"/>
  <c r="AI56" i="4"/>
  <c r="AJ151" i="5" s="1"/>
  <c r="CM56" i="4"/>
  <c r="CN151" i="5" s="1"/>
  <c r="AU56" i="4"/>
  <c r="AV151" i="5" s="1"/>
  <c r="V56" i="4"/>
  <c r="W151" i="5" s="1"/>
  <c r="CK56" i="4"/>
  <c r="CL151" i="5" s="1"/>
  <c r="CD56" i="4"/>
  <c r="CE151" i="5" s="1"/>
  <c r="DH56" i="4"/>
  <c r="DI151" i="5" s="1"/>
  <c r="DF56" i="4"/>
  <c r="DG151" i="5" s="1"/>
  <c r="DI56" i="4"/>
  <c r="DJ151" i="5" s="1"/>
  <c r="CG56" i="4"/>
  <c r="CH151" i="5" s="1"/>
  <c r="AO56" i="4"/>
  <c r="AP151" i="5" s="1"/>
  <c r="CB56" i="4"/>
  <c r="CC151" i="5" s="1"/>
  <c r="AF56" i="4"/>
  <c r="AG151" i="5" s="1"/>
  <c r="BC56" i="4"/>
  <c r="BD151" i="5" s="1"/>
  <c r="CU56" i="4"/>
  <c r="CV151" i="5" s="1"/>
  <c r="CY56" i="4"/>
  <c r="CZ151" i="5" s="1"/>
  <c r="AL56" i="4"/>
  <c r="AM151" i="5" s="1"/>
  <c r="DB56" i="4"/>
  <c r="DC151" i="5" s="1"/>
  <c r="BJ56" i="4"/>
  <c r="BK151" i="5" s="1"/>
  <c r="BB56" i="4"/>
  <c r="BC151" i="5" s="1"/>
  <c r="AX56" i="4"/>
  <c r="AY151" i="5" s="1"/>
  <c r="AD56" i="4"/>
  <c r="AE151" i="5" s="1"/>
  <c r="CX56" i="4"/>
  <c r="CY151" i="5" s="1"/>
  <c r="CT56" i="4"/>
  <c r="CU151" i="5" s="1"/>
  <c r="CO56" i="4"/>
  <c r="CP151" i="5" s="1"/>
  <c r="AW56" i="4"/>
  <c r="AX151" i="5" s="1"/>
  <c r="AK56" i="4"/>
  <c r="AL151" i="5" s="1"/>
  <c r="CV56" i="4"/>
  <c r="CW151" i="5" s="1"/>
  <c r="DL56" i="4"/>
  <c r="DM151" i="5" s="1"/>
  <c r="AQ56" i="4"/>
  <c r="AR151" i="5" s="1"/>
  <c r="DK56" i="4"/>
  <c r="DL151" i="5" s="1"/>
  <c r="CI56" i="4"/>
  <c r="CJ151" i="5" s="1"/>
  <c r="BW56" i="4"/>
  <c r="BX151" i="5" s="1"/>
  <c r="BE56" i="4"/>
  <c r="BF151" i="5" s="1"/>
  <c r="AS56" i="4"/>
  <c r="AT151" i="5" s="1"/>
  <c r="AJ56" i="4"/>
  <c r="AK151" i="5" s="1"/>
  <c r="BP56" i="4"/>
  <c r="BQ151" i="5" s="1"/>
  <c r="X56" i="4"/>
  <c r="Y151" i="5" s="1"/>
  <c r="AM56" i="4"/>
  <c r="AN151" i="5" s="1"/>
  <c r="AE56" i="4"/>
  <c r="AF151" i="5" s="1"/>
  <c r="W56" i="4"/>
  <c r="X151" i="5" s="1"/>
  <c r="DE56" i="4"/>
  <c r="DF151" i="5" s="1"/>
  <c r="DG56" i="4"/>
  <c r="DH151" i="5" s="1"/>
  <c r="CP56" i="4"/>
  <c r="CQ151" i="5" s="1"/>
  <c r="CH56" i="4"/>
  <c r="CI151" i="5" s="1"/>
  <c r="BN56" i="4"/>
  <c r="BO151" i="5" s="1"/>
  <c r="BF56" i="4"/>
  <c r="BG151" i="5" s="1"/>
  <c r="R56" i="4"/>
  <c r="S151" i="5" s="1"/>
  <c r="DC56" i="4"/>
  <c r="DD151" i="5" s="1"/>
  <c r="BU56" i="4"/>
  <c r="BV151" i="5" s="1"/>
  <c r="BA56" i="4"/>
  <c r="BB151" i="5" s="1"/>
  <c r="CS56" i="4"/>
  <c r="CT151" i="5" s="1"/>
  <c r="AB56" i="4"/>
  <c r="AC151" i="5" s="1"/>
  <c r="BT56" i="4"/>
  <c r="BU151" i="5" s="1"/>
  <c r="AV56" i="4"/>
  <c r="AW151" i="5" s="1"/>
  <c r="S56" i="4"/>
  <c r="T151" i="5" s="1"/>
  <c r="BK56" i="4"/>
  <c r="BL151" i="5" s="1"/>
  <c r="BZ56" i="4"/>
  <c r="CA151" i="5" s="1"/>
  <c r="BR56" i="4"/>
  <c r="BS151" i="5" s="1"/>
  <c r="Z56" i="4"/>
  <c r="AA151" i="5" s="1"/>
  <c r="BQ56" i="4"/>
  <c r="BR151" i="5" s="1"/>
  <c r="BM56" i="4"/>
  <c r="BN151" i="5" s="1"/>
  <c r="CZ56" i="4"/>
  <c r="DA151" i="5" s="1"/>
  <c r="BG56" i="4"/>
  <c r="BH151" i="5" s="1"/>
  <c r="BS56" i="4"/>
  <c r="BT151" i="5" s="1"/>
  <c r="CL56" i="4"/>
  <c r="CM151" i="5" s="1"/>
  <c r="AT56" i="4"/>
  <c r="AU151" i="5" s="1"/>
  <c r="CC56" i="4"/>
  <c r="CD151" i="5" s="1"/>
  <c r="DA56" i="4"/>
  <c r="DB151" i="5" s="1"/>
  <c r="BI56" i="4"/>
  <c r="BJ151" i="5" s="1"/>
  <c r="CB57" i="4"/>
  <c r="CC152" i="5" s="1"/>
  <c r="DL57" i="4"/>
  <c r="DM152" i="5" s="1"/>
  <c r="CZ57" i="4"/>
  <c r="DA152" i="5" s="1"/>
  <c r="AF57" i="4"/>
  <c r="AG152" i="5" s="1"/>
  <c r="W57" i="4"/>
  <c r="X152" i="5" s="1"/>
  <c r="BO57" i="4"/>
  <c r="BP152" i="5" s="1"/>
  <c r="CY57" i="4"/>
  <c r="CZ152" i="5" s="1"/>
  <c r="BR57" i="4"/>
  <c r="BS152" i="5" s="1"/>
  <c r="Z57" i="4"/>
  <c r="AA152" i="5" s="1"/>
  <c r="CC57" i="4"/>
  <c r="CD152" i="5" s="1"/>
  <c r="BI57" i="4"/>
  <c r="BJ152" i="5" s="1"/>
  <c r="AK57" i="4"/>
  <c r="AL152" i="5" s="1"/>
  <c r="CJ57" i="4"/>
  <c r="CK152" i="5" s="1"/>
  <c r="BP57" i="4"/>
  <c r="BQ152" i="5" s="1"/>
  <c r="AN57" i="4"/>
  <c r="AO152" i="5" s="1"/>
  <c r="AQ57" i="4"/>
  <c r="AR152" i="5" s="1"/>
  <c r="CE57" i="4"/>
  <c r="CF152" i="5" s="1"/>
  <c r="DG57" i="4"/>
  <c r="DH152" i="5" s="1"/>
  <c r="BW57" i="4"/>
  <c r="BX152" i="5" s="1"/>
  <c r="AY57" i="4"/>
  <c r="AZ152" i="5" s="1"/>
  <c r="CP57" i="4"/>
  <c r="CQ152" i="5" s="1"/>
  <c r="CL57" i="4"/>
  <c r="CM152" i="5" s="1"/>
  <c r="BY57" i="4"/>
  <c r="BZ152" i="5" s="1"/>
  <c r="BA57" i="4"/>
  <c r="BB152" i="5" s="1"/>
  <c r="AG57" i="4"/>
  <c r="AH152" i="5" s="1"/>
  <c r="BH57" i="4"/>
  <c r="BI152" i="5" s="1"/>
  <c r="AZ57" i="4"/>
  <c r="BA152" i="5" s="1"/>
  <c r="BX57" i="4"/>
  <c r="BY152" i="5" s="1"/>
  <c r="AI57" i="4"/>
  <c r="AJ152" i="5" s="1"/>
  <c r="AE57" i="4"/>
  <c r="AF152" i="5" s="1"/>
  <c r="BZ57" i="4"/>
  <c r="CA152" i="5" s="1"/>
  <c r="BV57" i="4"/>
  <c r="BW152" i="5" s="1"/>
  <c r="AH57" i="4"/>
  <c r="AI152" i="5" s="1"/>
  <c r="DI57" i="4"/>
  <c r="DJ152" i="5" s="1"/>
  <c r="BQ57" i="4"/>
  <c r="BR152" i="5" s="1"/>
  <c r="AC57" i="4"/>
  <c r="AD152" i="5" s="1"/>
  <c r="Y57" i="4"/>
  <c r="Z152" i="5" s="1"/>
  <c r="AJ57" i="4"/>
  <c r="AK152" i="5" s="1"/>
  <c r="AV57" i="4"/>
  <c r="AW152" i="5" s="1"/>
  <c r="BD57" i="4"/>
  <c r="BE152" i="5" s="1"/>
  <c r="BK57" i="4"/>
  <c r="BL152" i="5" s="1"/>
  <c r="DJ57" i="4"/>
  <c r="DK152" i="5" s="1"/>
  <c r="AT57" i="4"/>
  <c r="AU152" i="5" s="1"/>
  <c r="AP57" i="4"/>
  <c r="AQ152" i="5" s="1"/>
  <c r="DC57" i="4"/>
  <c r="DD152" i="5" s="1"/>
  <c r="CV57" i="4"/>
  <c r="CW152" i="5" s="1"/>
  <c r="CN57" i="4"/>
  <c r="CO152" i="5" s="1"/>
  <c r="AM57" i="4"/>
  <c r="AN152" i="5" s="1"/>
  <c r="CU57" i="4"/>
  <c r="CV152" i="5" s="1"/>
  <c r="BG57" i="4"/>
  <c r="BH152" i="5" s="1"/>
  <c r="V57" i="4"/>
  <c r="W152" i="5" s="1"/>
  <c r="BS57" i="4"/>
  <c r="BT152" i="5" s="1"/>
  <c r="CD57" i="4"/>
  <c r="CE152" i="5" s="1"/>
  <c r="CW57" i="4"/>
  <c r="CX152" i="5" s="1"/>
  <c r="AA57" i="4"/>
  <c r="AB152" i="5" s="1"/>
  <c r="S57" i="4"/>
  <c r="T152" i="5" s="1"/>
  <c r="CR57" i="4"/>
  <c r="CS152" i="5" s="1"/>
  <c r="CQ57" i="4"/>
  <c r="CR152" i="5" s="1"/>
  <c r="CK57" i="4"/>
  <c r="CL152" i="5" s="1"/>
  <c r="AL57" i="4"/>
  <c r="AM152" i="5" s="1"/>
  <c r="DB57" i="4"/>
  <c r="DC152" i="5" s="1"/>
  <c r="BB57" i="4"/>
  <c r="BC152" i="5" s="1"/>
  <c r="AX57" i="4"/>
  <c r="AY152" i="5" s="1"/>
  <c r="CX57" i="4"/>
  <c r="CY152" i="5" s="1"/>
  <c r="CT57" i="4"/>
  <c r="CU152" i="5" s="1"/>
  <c r="CO57" i="4"/>
  <c r="CP152" i="5" s="1"/>
  <c r="AO57" i="4"/>
  <c r="AP152" i="5" s="1"/>
  <c r="AS57" i="4"/>
  <c r="AT152" i="5" s="1"/>
  <c r="U57" i="4"/>
  <c r="V152" i="5" s="1"/>
  <c r="CS57" i="4"/>
  <c r="CT152" i="5" s="1"/>
  <c r="BL57" i="4"/>
  <c r="BM152" i="5" s="1"/>
  <c r="DD57" i="4"/>
  <c r="DE152" i="5" s="1"/>
  <c r="CF57" i="4"/>
  <c r="CG152" i="5" s="1"/>
  <c r="T57" i="4"/>
  <c r="U152" i="5" s="1"/>
  <c r="BC57" i="4"/>
  <c r="BD152" i="5" s="1"/>
  <c r="DK57" i="4"/>
  <c r="DL152" i="5" s="1"/>
  <c r="DE57" i="4"/>
  <c r="DF152" i="5" s="1"/>
  <c r="CA57" i="4"/>
  <c r="CB152" i="5" s="1"/>
  <c r="DH57" i="4"/>
  <c r="DI152" i="5" s="1"/>
  <c r="DF57" i="4"/>
  <c r="DG152" i="5" s="1"/>
  <c r="DA57" i="4"/>
  <c r="DB152" i="5" s="1"/>
  <c r="BM57" i="4"/>
  <c r="BN152" i="5" s="1"/>
  <c r="AW57" i="4"/>
  <c r="AX152" i="5" s="1"/>
  <c r="AB57" i="4"/>
  <c r="AC152" i="5" s="1"/>
  <c r="BT57" i="4"/>
  <c r="BU152" i="5" s="1"/>
  <c r="AR57" i="4"/>
  <c r="AS152" i="5" s="1"/>
  <c r="X57" i="4"/>
  <c r="Y152" i="5" s="1"/>
  <c r="CM57" i="4"/>
  <c r="CN152" i="5" s="1"/>
  <c r="AU57" i="4"/>
  <c r="AV152" i="5" s="1"/>
  <c r="CI57" i="4"/>
  <c r="CJ152" i="5" s="1"/>
  <c r="CH57" i="4"/>
  <c r="CI152" i="5" s="1"/>
  <c r="BN57" i="4"/>
  <c r="BO152" i="5" s="1"/>
  <c r="BJ57" i="4"/>
  <c r="BK152" i="5" s="1"/>
  <c r="BF57" i="4"/>
  <c r="BG152" i="5" s="1"/>
  <c r="AD57" i="4"/>
  <c r="AE152" i="5" s="1"/>
  <c r="R57" i="4"/>
  <c r="S152" i="5" s="1"/>
  <c r="CG57" i="4"/>
  <c r="CH152" i="5" s="1"/>
  <c r="BU57" i="4"/>
  <c r="BV152" i="5" s="1"/>
  <c r="BE57" i="4"/>
  <c r="BF152" i="5" s="1"/>
  <c r="AE32" i="2"/>
  <c r="AE29" i="2"/>
  <c r="AH70" i="1"/>
  <c r="Q61" i="5"/>
  <c r="J12" i="10"/>
  <c r="J53" i="10"/>
  <c r="CY118" i="8"/>
  <c r="CU118" i="8"/>
  <c r="CQ118" i="8"/>
  <c r="CM118" i="8"/>
  <c r="CI118" i="8"/>
  <c r="CE118" i="8"/>
  <c r="BW118" i="8"/>
  <c r="BS118" i="8"/>
  <c r="BO118" i="8"/>
  <c r="BK118" i="8"/>
  <c r="CP118" i="8"/>
  <c r="BB118" i="8"/>
  <c r="AL118" i="8"/>
  <c r="L118" i="8"/>
  <c r="BG118" i="8"/>
  <c r="BC118" i="8"/>
  <c r="AY118" i="8"/>
  <c r="AU118" i="8"/>
  <c r="AQ118" i="8"/>
  <c r="AM118" i="8"/>
  <c r="AI118" i="8"/>
  <c r="AE118" i="8"/>
  <c r="AA118" i="8"/>
  <c r="W118" i="8"/>
  <c r="S118" i="8"/>
  <c r="O118" i="8"/>
  <c r="AK118" i="8"/>
  <c r="AC118" i="8"/>
  <c r="Q118" i="8"/>
  <c r="I118" i="8"/>
  <c r="N118" i="8"/>
  <c r="DB118" i="8"/>
  <c r="BV118" i="8"/>
  <c r="BR118" i="8"/>
  <c r="BN118" i="8"/>
  <c r="CA118" i="8"/>
  <c r="K118" i="8"/>
  <c r="F48" i="8"/>
  <c r="BZ118" i="8"/>
  <c r="CX118" i="8"/>
  <c r="CT118" i="8"/>
  <c r="CL118" i="8"/>
  <c r="CH118" i="8"/>
  <c r="CD118" i="8"/>
  <c r="BJ118" i="8"/>
  <c r="BF118" i="8"/>
  <c r="AX118" i="8"/>
  <c r="AT118" i="8"/>
  <c r="AP118" i="8"/>
  <c r="AH118" i="8"/>
  <c r="AD118" i="8"/>
  <c r="Z118" i="8"/>
  <c r="V118" i="8"/>
  <c r="R118" i="8"/>
  <c r="J118" i="8"/>
  <c r="DA118" i="8"/>
  <c r="CW118" i="8"/>
  <c r="CS118" i="8"/>
  <c r="CO118" i="8"/>
  <c r="CK118" i="8"/>
  <c r="CG118" i="8"/>
  <c r="CC118" i="8"/>
  <c r="BY118" i="8"/>
  <c r="BU118" i="8"/>
  <c r="BQ118" i="8"/>
  <c r="BM118" i="8"/>
  <c r="BI118" i="8"/>
  <c r="BE118" i="8"/>
  <c r="BA118" i="8"/>
  <c r="AW118" i="8"/>
  <c r="AS118" i="8"/>
  <c r="AO118" i="8"/>
  <c r="AG118" i="8"/>
  <c r="Y118" i="8"/>
  <c r="U118" i="8"/>
  <c r="M118" i="8"/>
  <c r="CZ118" i="8"/>
  <c r="CV118" i="8"/>
  <c r="CR118" i="8"/>
  <c r="CN118" i="8"/>
  <c r="CJ118" i="8"/>
  <c r="CF118" i="8"/>
  <c r="CB118" i="8"/>
  <c r="BX118" i="8"/>
  <c r="BT118" i="8"/>
  <c r="BP118" i="8"/>
  <c r="BL118" i="8"/>
  <c r="BH118" i="8"/>
  <c r="BD118" i="8"/>
  <c r="AZ118" i="8"/>
  <c r="AV118" i="8"/>
  <c r="AR118" i="8"/>
  <c r="AN118" i="8"/>
  <c r="AJ118" i="8"/>
  <c r="AF118" i="8"/>
  <c r="AB118" i="8"/>
  <c r="X118" i="8"/>
  <c r="T118" i="8"/>
  <c r="P118" i="8"/>
  <c r="H118" i="8"/>
  <c r="H119" i="8" s="1"/>
  <c r="F39" i="8"/>
  <c r="I99" i="8"/>
  <c r="J100" i="8" s="1"/>
  <c r="CZ84" i="8"/>
  <c r="DA85" i="8" s="1"/>
  <c r="CR84" i="8"/>
  <c r="CS85" i="8" s="1"/>
  <c r="P84" i="8"/>
  <c r="Q85" i="8" s="1"/>
  <c r="K99" i="8"/>
  <c r="L100" i="8" s="1"/>
  <c r="CX84" i="8"/>
  <c r="CY85" i="8" s="1"/>
  <c r="CP84" i="8"/>
  <c r="CQ85" i="8" s="1"/>
  <c r="CH84" i="8"/>
  <c r="CI85" i="8" s="1"/>
  <c r="BZ84" i="8"/>
  <c r="CA85" i="8" s="1"/>
  <c r="BR84" i="8"/>
  <c r="BS85" i="8" s="1"/>
  <c r="BJ84" i="8"/>
  <c r="BK85" i="8" s="1"/>
  <c r="BB84" i="8"/>
  <c r="BC85" i="8" s="1"/>
  <c r="AT84" i="8"/>
  <c r="AU85" i="8" s="1"/>
  <c r="AL84" i="8"/>
  <c r="AM85" i="8" s="1"/>
  <c r="AD84" i="8"/>
  <c r="AE85" i="8" s="1"/>
  <c r="V84" i="8"/>
  <c r="W85" i="8" s="1"/>
  <c r="DA84" i="8"/>
  <c r="DB85" i="8" s="1"/>
  <c r="CS84" i="8"/>
  <c r="CT85" i="8" s="1"/>
  <c r="CK84" i="8"/>
  <c r="CL85" i="8" s="1"/>
  <c r="CC84" i="8"/>
  <c r="CD85" i="8" s="1"/>
  <c r="BU84" i="8"/>
  <c r="BV85" i="8" s="1"/>
  <c r="BM84" i="8"/>
  <c r="BN85" i="8" s="1"/>
  <c r="BE84" i="8"/>
  <c r="BF85" i="8" s="1"/>
  <c r="AW84" i="8"/>
  <c r="AX85" i="8" s="1"/>
  <c r="AO84" i="8"/>
  <c r="AP85" i="8" s="1"/>
  <c r="AG84" i="8"/>
  <c r="AH85" i="8" s="1"/>
  <c r="Y84" i="8"/>
  <c r="Z85" i="8" s="1"/>
  <c r="CJ84" i="8"/>
  <c r="CK85" i="8" s="1"/>
  <c r="CB84" i="8"/>
  <c r="CC85" i="8" s="1"/>
  <c r="BT84" i="8"/>
  <c r="BU85" i="8" s="1"/>
  <c r="BL84" i="8"/>
  <c r="BM85" i="8" s="1"/>
  <c r="BD84" i="8"/>
  <c r="BE85" i="8" s="1"/>
  <c r="AV84" i="8"/>
  <c r="AW85" i="8" s="1"/>
  <c r="AN84" i="8"/>
  <c r="AO85" i="8" s="1"/>
  <c r="AF84" i="8"/>
  <c r="AG85" i="8" s="1"/>
  <c r="X84" i="8"/>
  <c r="Y85" i="8" s="1"/>
  <c r="H84" i="8"/>
  <c r="I85" i="8" s="1"/>
  <c r="I84" i="8"/>
  <c r="J85" i="8" s="1"/>
  <c r="J84" i="8"/>
  <c r="K85" i="8" s="1"/>
  <c r="K84" i="8"/>
  <c r="L85" i="8" s="1"/>
  <c r="N84" i="8"/>
  <c r="O85" i="8" s="1"/>
  <c r="O84" i="8"/>
  <c r="P85" i="8" s="1"/>
  <c r="Q84" i="8"/>
  <c r="R85" i="8" s="1"/>
  <c r="CY84" i="8"/>
  <c r="CZ85" i="8" s="1"/>
  <c r="CQ84" i="8"/>
  <c r="CR85" i="8" s="1"/>
  <c r="CI84" i="8"/>
  <c r="CJ85" i="8" s="1"/>
  <c r="CA84" i="8"/>
  <c r="CB85" i="8" s="1"/>
  <c r="BS84" i="8"/>
  <c r="BT85" i="8" s="1"/>
  <c r="BK84" i="8"/>
  <c r="BL85" i="8" s="1"/>
  <c r="BC84" i="8"/>
  <c r="BD85" i="8" s="1"/>
  <c r="AU84" i="8"/>
  <c r="AV85" i="8" s="1"/>
  <c r="AM84" i="8"/>
  <c r="AN85" i="8" s="1"/>
  <c r="AE84" i="8"/>
  <c r="AF85" i="8" s="1"/>
  <c r="W84" i="8"/>
  <c r="X85" i="8" s="1"/>
  <c r="AU99" i="8"/>
  <c r="AV100" i="8" s="1"/>
  <c r="CW84" i="8"/>
  <c r="CX85" i="8" s="1"/>
  <c r="CO84" i="8"/>
  <c r="CP85" i="8" s="1"/>
  <c r="CG84" i="8"/>
  <c r="CH85" i="8" s="1"/>
  <c r="BY84" i="8"/>
  <c r="BZ85" i="8" s="1"/>
  <c r="BQ84" i="8"/>
  <c r="BR85" i="8" s="1"/>
  <c r="BI84" i="8"/>
  <c r="BJ85" i="8" s="1"/>
  <c r="BA84" i="8"/>
  <c r="BB85" i="8" s="1"/>
  <c r="AS84" i="8"/>
  <c r="AT85" i="8" s="1"/>
  <c r="AK84" i="8"/>
  <c r="AL85" i="8" s="1"/>
  <c r="AC84" i="8"/>
  <c r="AD85" i="8" s="1"/>
  <c r="U84" i="8"/>
  <c r="V85" i="8" s="1"/>
  <c r="M84" i="8"/>
  <c r="N85" i="8" s="1"/>
  <c r="CV84" i="8"/>
  <c r="CW85" i="8" s="1"/>
  <c r="CN84" i="8"/>
  <c r="CO85" i="8" s="1"/>
  <c r="CF84" i="8"/>
  <c r="CG85" i="8" s="1"/>
  <c r="BX84" i="8"/>
  <c r="BY85" i="8" s="1"/>
  <c r="BP84" i="8"/>
  <c r="BQ85" i="8" s="1"/>
  <c r="BH84" i="8"/>
  <c r="BI85" i="8" s="1"/>
  <c r="AZ84" i="8"/>
  <c r="BA85" i="8" s="1"/>
  <c r="AR84" i="8"/>
  <c r="AS85" i="8" s="1"/>
  <c r="AJ84" i="8"/>
  <c r="AK85" i="8" s="1"/>
  <c r="AB84" i="8"/>
  <c r="AC85" i="8" s="1"/>
  <c r="T84" i="8"/>
  <c r="U85" i="8" s="1"/>
  <c r="L84" i="8"/>
  <c r="M85" i="8" s="1"/>
  <c r="CU84" i="8"/>
  <c r="CV85" i="8" s="1"/>
  <c r="CM84" i="8"/>
  <c r="CN85" i="8" s="1"/>
  <c r="CE84" i="8"/>
  <c r="CF85" i="8" s="1"/>
  <c r="BW84" i="8"/>
  <c r="BX85" i="8" s="1"/>
  <c r="BO84" i="8"/>
  <c r="BP85" i="8" s="1"/>
  <c r="BG84" i="8"/>
  <c r="BH85" i="8" s="1"/>
  <c r="AY84" i="8"/>
  <c r="AZ85" i="8" s="1"/>
  <c r="AQ84" i="8"/>
  <c r="AR85" i="8" s="1"/>
  <c r="AI84" i="8"/>
  <c r="AJ85" i="8" s="1"/>
  <c r="AA84" i="8"/>
  <c r="AB85" i="8" s="1"/>
  <c r="S84" i="8"/>
  <c r="T85" i="8" s="1"/>
  <c r="DB84" i="8"/>
  <c r="CT84" i="8"/>
  <c r="CU85" i="8" s="1"/>
  <c r="CL84" i="8"/>
  <c r="CM85" i="8" s="1"/>
  <c r="CD84" i="8"/>
  <c r="CE85" i="8" s="1"/>
  <c r="BV84" i="8"/>
  <c r="BW85" i="8" s="1"/>
  <c r="BN84" i="8"/>
  <c r="BO85" i="8" s="1"/>
  <c r="BF84" i="8"/>
  <c r="BG85" i="8" s="1"/>
  <c r="AX84" i="8"/>
  <c r="AY85" i="8" s="1"/>
  <c r="AP84" i="8"/>
  <c r="AQ85" i="8" s="1"/>
  <c r="AH84" i="8"/>
  <c r="AI85" i="8" s="1"/>
  <c r="Z84" i="8"/>
  <c r="AA85" i="8" s="1"/>
  <c r="R84" i="8"/>
  <c r="S85" i="8" s="1"/>
  <c r="W99" i="8"/>
  <c r="X100" i="8" s="1"/>
  <c r="BS99" i="8"/>
  <c r="BT100" i="8" s="1"/>
  <c r="O99" i="8"/>
  <c r="P100" i="8" s="1"/>
  <c r="AM99" i="8"/>
  <c r="AN100" i="8" s="1"/>
  <c r="N99" i="8"/>
  <c r="O100" i="8" s="1"/>
  <c r="CX99" i="8"/>
  <c r="CY100" i="8" s="1"/>
  <c r="CQ99" i="8"/>
  <c r="CR100" i="8" s="1"/>
  <c r="H99" i="8"/>
  <c r="I100" i="8" s="1"/>
  <c r="CH99" i="8"/>
  <c r="CI100" i="8" s="1"/>
  <c r="BY99" i="8"/>
  <c r="BZ100" i="8" s="1"/>
  <c r="M99" i="8"/>
  <c r="N100" i="8" s="1"/>
  <c r="CV99" i="8"/>
  <c r="CW100" i="8" s="1"/>
  <c r="AJ99" i="8"/>
  <c r="AK100" i="8" s="1"/>
  <c r="AA99" i="8"/>
  <c r="AB100" i="8" s="1"/>
  <c r="CM99" i="8"/>
  <c r="CN100" i="8" s="1"/>
  <c r="BU99" i="8"/>
  <c r="BV100" i="8" s="1"/>
  <c r="J99" i="8"/>
  <c r="K100" i="8" s="1"/>
  <c r="CB99" i="8"/>
  <c r="CC100" i="8" s="1"/>
  <c r="P99" i="8"/>
  <c r="Q100" i="8" s="1"/>
  <c r="CY99" i="8"/>
  <c r="CZ100" i="8" s="1"/>
  <c r="BR99" i="8"/>
  <c r="BS100" i="8" s="1"/>
  <c r="BQ99" i="8"/>
  <c r="BR100" i="8" s="1"/>
  <c r="BK99" i="8"/>
  <c r="BL100" i="8" s="1"/>
  <c r="CN99" i="8"/>
  <c r="CO100" i="8" s="1"/>
  <c r="AB99" i="8"/>
  <c r="AC100" i="8" s="1"/>
  <c r="S99" i="8"/>
  <c r="T100" i="8" s="1"/>
  <c r="BM99" i="8"/>
  <c r="BN100" i="8" s="1"/>
  <c r="CE99" i="8"/>
  <c r="CF100" i="8" s="1"/>
  <c r="BT99" i="8"/>
  <c r="BU100" i="8" s="1"/>
  <c r="BB99" i="8"/>
  <c r="BC100" i="8" s="1"/>
  <c r="BI99" i="8"/>
  <c r="BJ100" i="8" s="1"/>
  <c r="CP99" i="8"/>
  <c r="CQ100" i="8" s="1"/>
  <c r="T99" i="8"/>
  <c r="U100" i="8" s="1"/>
  <c r="CU99" i="8"/>
  <c r="CV100" i="8" s="1"/>
  <c r="BE99" i="8"/>
  <c r="BF100" i="8" s="1"/>
  <c r="BL99" i="8"/>
  <c r="BM100" i="8" s="1"/>
  <c r="AL99" i="8"/>
  <c r="AM100" i="8" s="1"/>
  <c r="BA99" i="8"/>
  <c r="BB100" i="8" s="1"/>
  <c r="BZ99" i="8"/>
  <c r="CA100" i="8" s="1"/>
  <c r="L99" i="8"/>
  <c r="M100" i="8" s="1"/>
  <c r="CD99" i="8"/>
  <c r="CE100" i="8" s="1"/>
  <c r="AW99" i="8"/>
  <c r="AX100" i="8" s="1"/>
  <c r="BD99" i="8"/>
  <c r="BE100" i="8" s="1"/>
  <c r="BJ99" i="8"/>
  <c r="BK100" i="8" s="1"/>
  <c r="BP99" i="8"/>
  <c r="BQ100" i="8" s="1"/>
  <c r="AP99" i="8"/>
  <c r="AQ100" i="8" s="1"/>
  <c r="AO99" i="8"/>
  <c r="AP100" i="8" s="1"/>
  <c r="AV99" i="8"/>
  <c r="AW100" i="8" s="1"/>
  <c r="CW99" i="8"/>
  <c r="CX100" i="8" s="1"/>
  <c r="AT99" i="8"/>
  <c r="AU100" i="8" s="1"/>
  <c r="AY99" i="8"/>
  <c r="AZ100" i="8" s="1"/>
  <c r="CS99" i="8"/>
  <c r="CT100" i="8" s="1"/>
  <c r="AG99" i="8"/>
  <c r="AH100" i="8" s="1"/>
  <c r="AN99" i="8"/>
  <c r="AO100" i="8" s="1"/>
  <c r="Z99" i="8"/>
  <c r="AA100" i="8" s="1"/>
  <c r="Y99" i="8"/>
  <c r="Z100" i="8" s="1"/>
  <c r="AF99" i="8"/>
  <c r="AG100" i="8" s="1"/>
  <c r="V99" i="8"/>
  <c r="W100" i="8" s="1"/>
  <c r="Q99" i="8"/>
  <c r="R100" i="8" s="1"/>
  <c r="X99" i="8"/>
  <c r="Y100" i="8" s="1"/>
  <c r="BG99" i="8"/>
  <c r="BH100" i="8" s="1"/>
  <c r="CF99" i="8"/>
  <c r="CG100" i="8" s="1"/>
  <c r="CT99" i="8"/>
  <c r="CU100" i="8" s="1"/>
  <c r="BO99" i="8"/>
  <c r="BP100" i="8" s="1"/>
  <c r="BX99" i="8"/>
  <c r="BY100" i="8" s="1"/>
  <c r="BN99" i="8"/>
  <c r="BO100" i="8" s="1"/>
  <c r="CL99" i="8"/>
  <c r="CM100" i="8" s="1"/>
  <c r="AS99" i="8"/>
  <c r="AT100" i="8" s="1"/>
  <c r="BW99" i="8"/>
  <c r="BX100" i="8" s="1"/>
  <c r="AX99" i="8"/>
  <c r="AY100" i="8" s="1"/>
  <c r="BV99" i="8"/>
  <c r="BW100" i="8" s="1"/>
  <c r="AK99" i="8"/>
  <c r="AL100" i="8" s="1"/>
  <c r="BH99" i="8"/>
  <c r="BI100" i="8" s="1"/>
  <c r="AH99" i="8"/>
  <c r="AI100" i="8" s="1"/>
  <c r="BF99" i="8"/>
  <c r="BG100" i="8" s="1"/>
  <c r="CO99" i="8"/>
  <c r="CP100" i="8" s="1"/>
  <c r="AC99" i="8"/>
  <c r="AD100" i="8" s="1"/>
  <c r="AD99" i="8"/>
  <c r="AE100" i="8" s="1"/>
  <c r="AZ99" i="8"/>
  <c r="BA100" i="8" s="1"/>
  <c r="AQ99" i="8"/>
  <c r="AR100" i="8" s="1"/>
  <c r="CK99" i="8"/>
  <c r="CL100" i="8" s="1"/>
  <c r="CR99" i="8"/>
  <c r="CS100" i="8" s="1"/>
  <c r="CG99" i="8"/>
  <c r="CH100" i="8" s="1"/>
  <c r="U99" i="8"/>
  <c r="V100" i="8" s="1"/>
  <c r="AR99" i="8"/>
  <c r="AS100" i="8" s="1"/>
  <c r="AI99" i="8"/>
  <c r="AJ100" i="8" s="1"/>
  <c r="R99" i="8"/>
  <c r="S100" i="8" s="1"/>
  <c r="CC99" i="8"/>
  <c r="CD100" i="8" s="1"/>
  <c r="CJ99" i="8"/>
  <c r="CK100" i="8" s="1"/>
  <c r="CZ99" i="8"/>
  <c r="DA100" i="8" s="1"/>
  <c r="DA99" i="8"/>
  <c r="DB100" i="8" s="1"/>
  <c r="DB99" i="8"/>
  <c r="CI99" i="8"/>
  <c r="CJ100" i="8" s="1"/>
  <c r="AE99" i="8"/>
  <c r="AF100" i="8" s="1"/>
  <c r="CA99" i="8"/>
  <c r="CB100" i="8" s="1"/>
  <c r="BC99" i="8"/>
  <c r="BD100" i="8" s="1"/>
  <c r="AH66" i="1"/>
  <c r="AH53" i="1"/>
  <c r="AH63" i="1"/>
  <c r="AH55" i="1"/>
  <c r="U10" i="5"/>
  <c r="G70" i="1" s="1"/>
  <c r="G121" i="1" s="1"/>
  <c r="K9" i="10"/>
  <c r="AH68" i="1"/>
  <c r="AH67" i="1"/>
  <c r="AH71" i="1"/>
  <c r="AH59" i="1"/>
  <c r="AH60" i="1"/>
  <c r="AH58" i="1"/>
  <c r="AH65" i="1"/>
  <c r="AH69" i="1"/>
  <c r="AH52" i="1"/>
  <c r="AH57" i="1"/>
  <c r="AH61" i="1"/>
  <c r="AH56" i="1"/>
  <c r="AH51" i="1"/>
  <c r="AH49" i="1"/>
  <c r="AH50" i="1"/>
  <c r="AH62" i="1"/>
  <c r="AH54" i="1"/>
  <c r="AH64" i="1"/>
  <c r="AG40" i="1"/>
  <c r="AG35" i="1"/>
  <c r="AF38" i="1"/>
  <c r="AF41" i="1"/>
  <c r="AG41" i="1"/>
  <c r="AH41" i="1"/>
  <c r="AF35" i="1"/>
  <c r="AH35" i="1"/>
  <c r="AF36" i="1"/>
  <c r="AH36" i="1"/>
  <c r="AH38" i="1"/>
  <c r="AH37" i="1"/>
  <c r="AG37" i="1"/>
  <c r="AG39" i="1"/>
  <c r="AG36" i="1"/>
  <c r="AG38" i="1"/>
  <c r="AH40" i="1"/>
  <c r="AE41" i="1"/>
  <c r="AF37" i="1"/>
  <c r="AF39" i="1"/>
  <c r="AH39" i="1"/>
  <c r="AF40" i="1"/>
  <c r="AA41" i="1"/>
  <c r="BB44" i="7"/>
  <c r="BB45" i="7" s="1"/>
  <c r="AS63" i="5"/>
  <c r="AS62" i="5"/>
  <c r="BD60" i="5"/>
  <c r="BD59" i="5"/>
  <c r="AX60" i="5"/>
  <c r="BB60" i="5"/>
  <c r="AD106" i="5"/>
  <c r="BG63" i="5"/>
  <c r="Y62" i="5"/>
  <c r="BP106" i="5"/>
  <c r="AO107" i="5"/>
  <c r="AC106" i="5"/>
  <c r="CN110" i="5"/>
  <c r="BZ107" i="5"/>
  <c r="AU60" i="5"/>
  <c r="AK106" i="5"/>
  <c r="AO109" i="5"/>
  <c r="U107" i="5"/>
  <c r="CZ62" i="5"/>
  <c r="T63" i="5"/>
  <c r="CF63" i="5"/>
  <c r="CS107" i="5"/>
  <c r="CK110" i="5"/>
  <c r="AG109" i="5"/>
  <c r="DA107" i="5"/>
  <c r="BL60" i="5"/>
  <c r="BF60" i="5"/>
  <c r="BH110" i="5"/>
  <c r="CB107" i="5"/>
  <c r="AF110" i="5"/>
  <c r="AV109" i="5"/>
  <c r="DC110" i="5"/>
  <c r="CP106" i="5"/>
  <c r="AU59" i="5"/>
  <c r="CR107" i="5"/>
  <c r="AZ59" i="5"/>
  <c r="AO59" i="5"/>
  <c r="CQ59" i="5"/>
  <c r="BE110" i="5"/>
  <c r="CH110" i="5"/>
  <c r="BL62" i="5"/>
  <c r="W59" i="5"/>
  <c r="CX60" i="5"/>
  <c r="AE62" i="5"/>
  <c r="Z59" i="5"/>
  <c r="CJ63" i="5"/>
  <c r="BO60" i="5"/>
  <c r="BU60" i="5"/>
  <c r="BY109" i="5"/>
  <c r="DH109" i="5"/>
  <c r="BD63" i="5"/>
  <c r="AL109" i="5"/>
  <c r="CL62" i="5"/>
  <c r="DB63" i="5"/>
  <c r="DE60" i="5"/>
  <c r="BY63" i="5"/>
  <c r="CP107" i="5"/>
  <c r="AJ106" i="5"/>
  <c r="CS109" i="5"/>
  <c r="AA106" i="5"/>
  <c r="AJ62" i="5"/>
  <c r="X109" i="5"/>
  <c r="CU106" i="5"/>
  <c r="CR106" i="5"/>
  <c r="CM63" i="5"/>
  <c r="DC59" i="5"/>
  <c r="CT106" i="5"/>
  <c r="DF62" i="5"/>
  <c r="Y107" i="5"/>
  <c r="CY59" i="5"/>
  <c r="AN110" i="5"/>
  <c r="DH110" i="5"/>
  <c r="BA62" i="5"/>
  <c r="CX106" i="5"/>
  <c r="BG60" i="5"/>
  <c r="CL106" i="5"/>
  <c r="DG109" i="5"/>
  <c r="BX107" i="5"/>
  <c r="AB110" i="5"/>
  <c r="X107" i="5"/>
  <c r="BO109" i="5"/>
  <c r="BI106" i="5"/>
  <c r="BT109" i="5"/>
  <c r="BK62" i="5"/>
  <c r="DB106" i="5"/>
  <c r="AM62" i="5"/>
  <c r="DD62" i="5"/>
  <c r="BN60" i="5"/>
  <c r="CK59" i="5"/>
  <c r="CO59" i="5"/>
  <c r="CR109" i="5"/>
  <c r="BT106" i="5"/>
  <c r="BK63" i="5"/>
  <c r="AQ62" i="5"/>
  <c r="AU109" i="5"/>
  <c r="AT107" i="5"/>
  <c r="BE107" i="5"/>
  <c r="CN59" i="5"/>
  <c r="AH107" i="5"/>
  <c r="BU106" i="5"/>
  <c r="BP62" i="5"/>
  <c r="AA107" i="5"/>
  <c r="CL110" i="5"/>
  <c r="BB106" i="5"/>
  <c r="U59" i="5"/>
  <c r="BC107" i="5"/>
  <c r="CY109" i="5"/>
  <c r="AH62" i="5"/>
  <c r="DG60" i="5"/>
  <c r="BR59" i="5"/>
  <c r="BJ60" i="5"/>
  <c r="BK60" i="5"/>
  <c r="AE110" i="5"/>
  <c r="BV107" i="5"/>
  <c r="AT110" i="5"/>
  <c r="AR63" i="5"/>
  <c r="AB109" i="5"/>
  <c r="V109" i="5"/>
  <c r="BI109" i="5"/>
  <c r="BH109" i="5"/>
  <c r="CA63" i="5"/>
  <c r="CX110" i="5"/>
  <c r="CD63" i="5"/>
  <c r="DM60" i="5"/>
  <c r="DL59" i="5"/>
  <c r="BX62" i="5"/>
  <c r="DI62" i="5"/>
  <c r="DA106" i="5"/>
  <c r="AG63" i="5"/>
  <c r="BL59" i="5"/>
  <c r="CP63" i="5"/>
  <c r="CW106" i="5"/>
  <c r="AM106" i="5"/>
  <c r="AU110" i="5"/>
  <c r="BY59" i="5"/>
  <c r="CB59" i="5"/>
  <c r="BT60" i="5"/>
  <c r="DJ59" i="5"/>
  <c r="CY60" i="5"/>
  <c r="T60" i="5"/>
  <c r="CU62" i="5"/>
  <c r="CT60" i="5"/>
  <c r="AA62" i="5"/>
  <c r="AT109" i="5"/>
  <c r="BA60" i="5"/>
  <c r="DF107" i="5"/>
  <c r="BB62" i="5"/>
  <c r="AN106" i="5"/>
  <c r="BV110" i="5"/>
  <c r="CF106" i="5"/>
  <c r="AC63" i="5"/>
  <c r="CB63" i="5"/>
  <c r="BI63" i="5"/>
  <c r="CO62" i="5"/>
  <c r="U63" i="5"/>
  <c r="AB59" i="5"/>
  <c r="CU60" i="5"/>
  <c r="BM59" i="5"/>
  <c r="BQ60" i="5"/>
  <c r="DJ63" i="5"/>
  <c r="BF63" i="5"/>
  <c r="AV59" i="5"/>
  <c r="CB62" i="5"/>
  <c r="BG59" i="5"/>
  <c r="AY59" i="5"/>
  <c r="AK62" i="5"/>
  <c r="CV62" i="5"/>
  <c r="CJ62" i="5"/>
  <c r="AN60" i="5"/>
  <c r="CN107" i="5"/>
  <c r="BN59" i="5"/>
  <c r="CC62" i="5"/>
  <c r="DM59" i="5"/>
  <c r="AS59" i="5"/>
  <c r="AF60" i="5"/>
  <c r="CJ106" i="5"/>
  <c r="AM60" i="5"/>
  <c r="BS60" i="5"/>
  <c r="BF106" i="5"/>
  <c r="BU109" i="5"/>
  <c r="BQ110" i="5"/>
  <c r="AV63" i="5"/>
  <c r="CL60" i="5"/>
  <c r="CI59" i="5"/>
  <c r="BC62" i="5"/>
  <c r="BM63" i="5"/>
  <c r="BA106" i="5"/>
  <c r="AS107" i="5"/>
  <c r="DL110" i="5"/>
  <c r="DF59" i="5"/>
  <c r="CH62" i="5"/>
  <c r="AV60" i="5"/>
  <c r="CD107" i="5"/>
  <c r="AD110" i="5"/>
  <c r="CQ109" i="5"/>
  <c r="BZ62" i="5"/>
  <c r="Z109" i="5"/>
  <c r="T106" i="5"/>
  <c r="DK63" i="5"/>
  <c r="AC60" i="5"/>
  <c r="CU110" i="5"/>
  <c r="AI63" i="5"/>
  <c r="BJ59" i="5"/>
  <c r="CD59" i="5"/>
  <c r="BX110" i="5"/>
  <c r="AQ107" i="5"/>
  <c r="DJ62" i="5"/>
  <c r="CY110" i="5"/>
  <c r="DD59" i="5"/>
  <c r="CR63" i="5"/>
  <c r="CZ59" i="5"/>
  <c r="AE60" i="5"/>
  <c r="DB62" i="5"/>
  <c r="AP62" i="5"/>
  <c r="CI110" i="5"/>
  <c r="AD60" i="5"/>
  <c r="AX59" i="5"/>
  <c r="AW60" i="5"/>
  <c r="CF107" i="5"/>
  <c r="BL110" i="5"/>
  <c r="BU63" i="5"/>
  <c r="AR60" i="5"/>
  <c r="CT63" i="5"/>
  <c r="DD60" i="5"/>
  <c r="AW63" i="5"/>
  <c r="AJ60" i="5"/>
  <c r="BH59" i="5"/>
  <c r="BT63" i="5"/>
  <c r="V106" i="5"/>
  <c r="V63" i="5"/>
  <c r="AY60" i="5"/>
  <c r="AQ63" i="5"/>
  <c r="AL63" i="5"/>
  <c r="CN62" i="5"/>
  <c r="BP60" i="5"/>
  <c r="DK60" i="5"/>
  <c r="DI60" i="5"/>
  <c r="CH106" i="5"/>
  <c r="BE62" i="5"/>
  <c r="Y59" i="5"/>
  <c r="AB60" i="5"/>
  <c r="CA59" i="5"/>
  <c r="CW107" i="5"/>
  <c r="DH59" i="5"/>
  <c r="CM59" i="5"/>
  <c r="BV59" i="5"/>
  <c r="BB110" i="5"/>
  <c r="S59" i="5"/>
  <c r="CS59" i="5"/>
  <c r="CQ107" i="5"/>
  <c r="BV62" i="5"/>
  <c r="CV110" i="5"/>
  <c r="AP60" i="5"/>
  <c r="CF109" i="5"/>
  <c r="DG106" i="5"/>
  <c r="CP109" i="5"/>
  <c r="CG106" i="5"/>
  <c r="AN109" i="5"/>
  <c r="AF106" i="5"/>
  <c r="CV107" i="5"/>
  <c r="W109" i="5"/>
  <c r="BW107" i="5"/>
  <c r="BS109" i="5"/>
  <c r="AI107" i="5"/>
  <c r="AX109" i="5"/>
  <c r="V107" i="5"/>
  <c r="CG107" i="5"/>
  <c r="AG107" i="5"/>
  <c r="Y110" i="5"/>
  <c r="CM109" i="5"/>
  <c r="BO110" i="5"/>
  <c r="CE107" i="5"/>
  <c r="BW110" i="5"/>
  <c r="AY109" i="5"/>
  <c r="AP106" i="5"/>
  <c r="AH106" i="5"/>
  <c r="BJ109" i="5"/>
  <c r="CW110" i="5"/>
  <c r="DM110" i="5"/>
  <c r="CO107" i="5"/>
  <c r="X110" i="5"/>
  <c r="DC109" i="5"/>
  <c r="DD110" i="5"/>
  <c r="CH107" i="5"/>
  <c r="BZ110" i="5"/>
  <c r="AC109" i="5"/>
  <c r="CK109" i="5"/>
  <c r="W107" i="5"/>
  <c r="CZ110" i="5"/>
  <c r="CJ107" i="5"/>
  <c r="BG109" i="5"/>
  <c r="AY110" i="5"/>
  <c r="AQ106" i="5"/>
  <c r="AK110" i="5"/>
  <c r="AR109" i="5"/>
  <c r="AF109" i="5"/>
  <c r="X106" i="5"/>
  <c r="BD109" i="5"/>
  <c r="CV106" i="5"/>
  <c r="CZ107" i="5"/>
  <c r="AZ63" i="5"/>
  <c r="CQ63" i="5"/>
  <c r="DI110" i="5"/>
  <c r="DJ107" i="5"/>
  <c r="CD109" i="5"/>
  <c r="BR63" i="5"/>
  <c r="BJ63" i="5"/>
  <c r="S60" i="5"/>
  <c r="CI60" i="5"/>
  <c r="CO63" i="5"/>
  <c r="AJ63" i="5"/>
  <c r="BH60" i="5"/>
  <c r="BW62" i="5"/>
  <c r="BC59" i="5"/>
  <c r="AA63" i="5"/>
  <c r="Z63" i="5"/>
  <c r="BQ62" i="5"/>
  <c r="CE62" i="5"/>
  <c r="BE59" i="5"/>
  <c r="AG59" i="5"/>
  <c r="U62" i="5"/>
  <c r="CM60" i="5"/>
  <c r="CI62" i="5"/>
  <c r="AM63" i="5"/>
  <c r="CA62" i="5"/>
  <c r="BS63" i="5"/>
  <c r="BR62" i="5"/>
  <c r="AP63" i="5"/>
  <c r="DB60" i="5"/>
  <c r="BF62" i="5"/>
  <c r="CK60" i="5"/>
  <c r="DE59" i="5"/>
  <c r="CG62" i="5"/>
  <c r="DL62" i="5"/>
  <c r="DC60" i="5"/>
  <c r="BS59" i="5"/>
  <c r="CW62" i="5"/>
  <c r="CC63" i="5"/>
  <c r="DM62" i="5"/>
  <c r="DA62" i="5"/>
  <c r="CG63" i="5"/>
  <c r="CE59" i="5"/>
  <c r="BK59" i="5"/>
  <c r="BC63" i="5"/>
  <c r="AI62" i="5"/>
  <c r="AE59" i="5"/>
  <c r="BM60" i="5"/>
  <c r="BM62" i="5"/>
  <c r="AO63" i="5"/>
  <c r="AZ60" i="5"/>
  <c r="BO59" i="5"/>
  <c r="AX63" i="5"/>
  <c r="AK60" i="5"/>
  <c r="T109" i="5"/>
  <c r="S63" i="5"/>
  <c r="AW62" i="5"/>
  <c r="BR60" i="5"/>
  <c r="AH63" i="5"/>
  <c r="CC59" i="5"/>
  <c r="BI60" i="5"/>
  <c r="DA63" i="5"/>
  <c r="BY60" i="5"/>
  <c r="DK59" i="5"/>
  <c r="CT62" i="5"/>
  <c r="CC60" i="5"/>
  <c r="DE63" i="5"/>
  <c r="DL60" i="5"/>
  <c r="BP63" i="5"/>
  <c r="CS63" i="5"/>
  <c r="W63" i="5"/>
  <c r="DH60" i="5"/>
  <c r="BX59" i="5"/>
  <c r="AZ62" i="5"/>
  <c r="BZ59" i="5"/>
  <c r="AR59" i="5"/>
  <c r="DK62" i="5"/>
  <c r="BN63" i="5"/>
  <c r="AL60" i="5"/>
  <c r="Z60" i="5"/>
  <c r="CX62" i="5"/>
  <c r="CE63" i="5"/>
  <c r="BW59" i="5"/>
  <c r="S62" i="5"/>
  <c r="DI59" i="5"/>
  <c r="DG63" i="5"/>
  <c r="BN62" i="5"/>
  <c r="AL59" i="5"/>
  <c r="BA63" i="5"/>
  <c r="AW59" i="5"/>
  <c r="AD62" i="5"/>
  <c r="AT59" i="5"/>
  <c r="DE62" i="5"/>
  <c r="BQ59" i="5"/>
  <c r="DF63" i="5"/>
  <c r="CA60" i="5"/>
  <c r="AI59" i="5"/>
  <c r="J10" i="9"/>
  <c r="E13" i="9" s="1"/>
  <c r="J10" i="8"/>
  <c r="AG30" i="1"/>
  <c r="AF30" i="1"/>
  <c r="AH29" i="1"/>
  <c r="AG29" i="1"/>
  <c r="AH32" i="1"/>
  <c r="AF29" i="1"/>
  <c r="AF32" i="1"/>
  <c r="AH31" i="1"/>
  <c r="AG31" i="1"/>
  <c r="AF31" i="1"/>
  <c r="AH30" i="1"/>
  <c r="AG32" i="1"/>
  <c r="K44" i="7"/>
  <c r="K45" i="7" s="1"/>
  <c r="K29" i="7"/>
  <c r="K30" i="7" s="1"/>
  <c r="I19" i="7"/>
  <c r="I20" i="7" s="1"/>
  <c r="I29" i="7"/>
  <c r="I30" i="7" s="1"/>
  <c r="I44" i="7"/>
  <c r="I45" i="7" s="1"/>
  <c r="R39" i="7"/>
  <c r="R40" i="7" s="1"/>
  <c r="AH29" i="7"/>
  <c r="AH30" i="7" s="1"/>
  <c r="BB24" i="7"/>
  <c r="BB25" i="7" s="1"/>
  <c r="U44" i="7"/>
  <c r="U45" i="7" s="1"/>
  <c r="BC169" i="5"/>
  <c r="BC170" i="5" s="1"/>
  <c r="BC174" i="5"/>
  <c r="BC175" i="5" s="1"/>
  <c r="AW169" i="5"/>
  <c r="AW170" i="5" s="1"/>
  <c r="AW174" i="5"/>
  <c r="AW175" i="5" s="1"/>
  <c r="AP169" i="5"/>
  <c r="AP170" i="5" s="1"/>
  <c r="AP174" i="5"/>
  <c r="AP175" i="5" s="1"/>
  <c r="AF169" i="5"/>
  <c r="AF170" i="5" s="1"/>
  <c r="AF174" i="5"/>
  <c r="AF175" i="5" s="1"/>
  <c r="CR169" i="5"/>
  <c r="CR170" i="5" s="1"/>
  <c r="CR174" i="5"/>
  <c r="CR175" i="5" s="1"/>
  <c r="Y169" i="5"/>
  <c r="Y170" i="5" s="1"/>
  <c r="Y174" i="5"/>
  <c r="Y175" i="5" s="1"/>
  <c r="BV169" i="5"/>
  <c r="BV170" i="5" s="1"/>
  <c r="BV174" i="5"/>
  <c r="BV175" i="5" s="1"/>
  <c r="AX169" i="5"/>
  <c r="AX170" i="5" s="1"/>
  <c r="AX174" i="5"/>
  <c r="AX175" i="5" s="1"/>
  <c r="AU169" i="5"/>
  <c r="AU170" i="5" s="1"/>
  <c r="AU174" i="5"/>
  <c r="AU175" i="5" s="1"/>
  <c r="BG169" i="5"/>
  <c r="BG170" i="5" s="1"/>
  <c r="BG174" i="5"/>
  <c r="BG175" i="5" s="1"/>
  <c r="CO169" i="5"/>
  <c r="CO170" i="5" s="1"/>
  <c r="CO174" i="5"/>
  <c r="CO175" i="5" s="1"/>
  <c r="CH169" i="5"/>
  <c r="CH170" i="5" s="1"/>
  <c r="CH174" i="5"/>
  <c r="CH175" i="5" s="1"/>
  <c r="AZ174" i="5"/>
  <c r="AZ175" i="5" s="1"/>
  <c r="AZ169" i="5"/>
  <c r="AZ170" i="5" s="1"/>
  <c r="CP169" i="5"/>
  <c r="CP170" i="5" s="1"/>
  <c r="CP174" i="5"/>
  <c r="CP175" i="5" s="1"/>
  <c r="U174" i="5"/>
  <c r="U175" i="5" s="1"/>
  <c r="U169" i="5"/>
  <c r="U170" i="5" s="1"/>
  <c r="AH19" i="7"/>
  <c r="AH20" i="7" s="1"/>
  <c r="BM169" i="5"/>
  <c r="BM170" i="5" s="1"/>
  <c r="BM174" i="5"/>
  <c r="BM175" i="5" s="1"/>
  <c r="AN169" i="5"/>
  <c r="AN170" i="5" s="1"/>
  <c r="AN174" i="5"/>
  <c r="AN175" i="5" s="1"/>
  <c r="CZ169" i="5"/>
  <c r="CZ170" i="5" s="1"/>
  <c r="CZ174" i="5"/>
  <c r="CZ175" i="5" s="1"/>
  <c r="AO174" i="5"/>
  <c r="AO175" i="5" s="1"/>
  <c r="AO169" i="5"/>
  <c r="AO170" i="5" s="1"/>
  <c r="CD169" i="5"/>
  <c r="CD170" i="5" s="1"/>
  <c r="CD174" i="5"/>
  <c r="CD175" i="5" s="1"/>
  <c r="AM169" i="5"/>
  <c r="AM170" i="5" s="1"/>
  <c r="AM174" i="5"/>
  <c r="AM175" i="5" s="1"/>
  <c r="BO169" i="5"/>
  <c r="BO170" i="5" s="1"/>
  <c r="BO174" i="5"/>
  <c r="BO175" i="5" s="1"/>
  <c r="DE169" i="5"/>
  <c r="DE170" i="5" s="1"/>
  <c r="DE174" i="5"/>
  <c r="DE175" i="5" s="1"/>
  <c r="CX169" i="5"/>
  <c r="CX170" i="5" s="1"/>
  <c r="CX174" i="5"/>
  <c r="CX175" i="5" s="1"/>
  <c r="BP169" i="5"/>
  <c r="BP170" i="5" s="1"/>
  <c r="BP174" i="5"/>
  <c r="BP175" i="5" s="1"/>
  <c r="AK169" i="5"/>
  <c r="AK170" i="5" s="1"/>
  <c r="AK174" i="5"/>
  <c r="AK175" i="5" s="1"/>
  <c r="CT169" i="5"/>
  <c r="CT170" i="5" s="1"/>
  <c r="CT174" i="5"/>
  <c r="CT175" i="5" s="1"/>
  <c r="BS169" i="5"/>
  <c r="BS170" i="5" s="1"/>
  <c r="BS174" i="5"/>
  <c r="BS175" i="5" s="1"/>
  <c r="CC169" i="5"/>
  <c r="CC170" i="5" s="1"/>
  <c r="CC174" i="5"/>
  <c r="CC175" i="5" s="1"/>
  <c r="DF169" i="5"/>
  <c r="DF170" i="5" s="1"/>
  <c r="DF174" i="5"/>
  <c r="DF175" i="5" s="1"/>
  <c r="AV169" i="5"/>
  <c r="AV170" i="5" s="1"/>
  <c r="AV174" i="5"/>
  <c r="AV175" i="5" s="1"/>
  <c r="DH169" i="5"/>
  <c r="DH170" i="5" s="1"/>
  <c r="DH174" i="5"/>
  <c r="DH175" i="5" s="1"/>
  <c r="BE169" i="5"/>
  <c r="BE170" i="5" s="1"/>
  <c r="BE174" i="5"/>
  <c r="BE175" i="5" s="1"/>
  <c r="CL169" i="5"/>
  <c r="CL170" i="5" s="1"/>
  <c r="CL174" i="5"/>
  <c r="CL175" i="5" s="1"/>
  <c r="AD169" i="5"/>
  <c r="AD170" i="5" s="1"/>
  <c r="AD174" i="5"/>
  <c r="AD175" i="5" s="1"/>
  <c r="BW169" i="5"/>
  <c r="BW170" i="5" s="1"/>
  <c r="BW174" i="5"/>
  <c r="BW175" i="5" s="1"/>
  <c r="BX174" i="5"/>
  <c r="BX175" i="5" s="1"/>
  <c r="BX169" i="5"/>
  <c r="BX170" i="5" s="1"/>
  <c r="BA169" i="5"/>
  <c r="BA170" i="5" s="1"/>
  <c r="BA174" i="5"/>
  <c r="BA175" i="5" s="1"/>
  <c r="CA169" i="5"/>
  <c r="CA170" i="5" s="1"/>
  <c r="CA174" i="5"/>
  <c r="CA175" i="5" s="1"/>
  <c r="DA169" i="5"/>
  <c r="DA170" i="5" s="1"/>
  <c r="DA174" i="5"/>
  <c r="DA175" i="5" s="1"/>
  <c r="BD169" i="5"/>
  <c r="BD170" i="5" s="1"/>
  <c r="BD174" i="5"/>
  <c r="BD175" i="5" s="1"/>
  <c r="BU169" i="5"/>
  <c r="BU170" i="5" s="1"/>
  <c r="BU174" i="5"/>
  <c r="BU175" i="5" s="1"/>
  <c r="DB169" i="5"/>
  <c r="DB170" i="5" s="1"/>
  <c r="DB174" i="5"/>
  <c r="DB175" i="5" s="1"/>
  <c r="AA169" i="5"/>
  <c r="AA170" i="5" s="1"/>
  <c r="AA174" i="5"/>
  <c r="AA175" i="5" s="1"/>
  <c r="CE169" i="5"/>
  <c r="CE170" i="5" s="1"/>
  <c r="CE174" i="5"/>
  <c r="CE175" i="5" s="1"/>
  <c r="CF169" i="5"/>
  <c r="CF170" i="5" s="1"/>
  <c r="CF174" i="5"/>
  <c r="CF175" i="5" s="1"/>
  <c r="BQ174" i="5"/>
  <c r="BQ175" i="5" s="1"/>
  <c r="BQ169" i="5"/>
  <c r="BQ170" i="5" s="1"/>
  <c r="BB35" i="7"/>
  <c r="BK174" i="5"/>
  <c r="BK175" i="5" s="1"/>
  <c r="BK169" i="5"/>
  <c r="BK170" i="5" s="1"/>
  <c r="CI169" i="5"/>
  <c r="CI170" i="5" s="1"/>
  <c r="CI174" i="5"/>
  <c r="CI175" i="5" s="1"/>
  <c r="BL169" i="5"/>
  <c r="BL170" i="5" s="1"/>
  <c r="BL174" i="5"/>
  <c r="BL175" i="5" s="1"/>
  <c r="CK169" i="5"/>
  <c r="CK170" i="5" s="1"/>
  <c r="CK174" i="5"/>
  <c r="CK175" i="5" s="1"/>
  <c r="DJ169" i="5"/>
  <c r="DJ170" i="5" s="1"/>
  <c r="DJ174" i="5"/>
  <c r="DJ175" i="5" s="1"/>
  <c r="S169" i="5"/>
  <c r="S170" i="5" s="1"/>
  <c r="S174" i="5"/>
  <c r="S175" i="5" s="1"/>
  <c r="CM169" i="5"/>
  <c r="CM170" i="5" s="1"/>
  <c r="CM174" i="5"/>
  <c r="CM175" i="5" s="1"/>
  <c r="AC169" i="5"/>
  <c r="AC170" i="5" s="1"/>
  <c r="AC174" i="5"/>
  <c r="AC175" i="5" s="1"/>
  <c r="T174" i="5"/>
  <c r="T175" i="5" s="1"/>
  <c r="T169" i="5"/>
  <c r="T170" i="5" s="1"/>
  <c r="CN169" i="5"/>
  <c r="CN170" i="5" s="1"/>
  <c r="CN174" i="5"/>
  <c r="CN175" i="5" s="1"/>
  <c r="CG174" i="5"/>
  <c r="CG175" i="5" s="1"/>
  <c r="CG169" i="5"/>
  <c r="CG170" i="5" s="1"/>
  <c r="CQ174" i="5"/>
  <c r="CQ175" i="5" s="1"/>
  <c r="CQ169" i="5"/>
  <c r="CQ170" i="5" s="1"/>
  <c r="BT169" i="5"/>
  <c r="BT170" i="5" s="1"/>
  <c r="BT174" i="5"/>
  <c r="BT175" i="5" s="1"/>
  <c r="DI169" i="5"/>
  <c r="DI170" i="5" s="1"/>
  <c r="DI174" i="5"/>
  <c r="DI175" i="5" s="1"/>
  <c r="AH169" i="5"/>
  <c r="AH170" i="5" s="1"/>
  <c r="AH174" i="5"/>
  <c r="AH175" i="5" s="1"/>
  <c r="CS169" i="5"/>
  <c r="CS170" i="5" s="1"/>
  <c r="CS174" i="5"/>
  <c r="CS175" i="5" s="1"/>
  <c r="CW169" i="5"/>
  <c r="CW170" i="5" s="1"/>
  <c r="CW174" i="5"/>
  <c r="CW175" i="5" s="1"/>
  <c r="AI169" i="5"/>
  <c r="AI170" i="5" s="1"/>
  <c r="AI174" i="5"/>
  <c r="AI175" i="5" s="1"/>
  <c r="CU169" i="5"/>
  <c r="CU170" i="5" s="1"/>
  <c r="CU174" i="5"/>
  <c r="CU175" i="5" s="1"/>
  <c r="AS169" i="5"/>
  <c r="AS170" i="5" s="1"/>
  <c r="AS174" i="5"/>
  <c r="AS175" i="5" s="1"/>
  <c r="AB169" i="5"/>
  <c r="AB170" i="5" s="1"/>
  <c r="AB174" i="5"/>
  <c r="AB175" i="5" s="1"/>
  <c r="CV174" i="5"/>
  <c r="CV175" i="5" s="1"/>
  <c r="CV169" i="5"/>
  <c r="CV170" i="5" s="1"/>
  <c r="DM169" i="5"/>
  <c r="DM170" i="5" s="1"/>
  <c r="DM174" i="5"/>
  <c r="DM175" i="5" s="1"/>
  <c r="AL169" i="5"/>
  <c r="AL170" i="5" s="1"/>
  <c r="AL174" i="5"/>
  <c r="AL175" i="5" s="1"/>
  <c r="Z169" i="5"/>
  <c r="Z170" i="5" s="1"/>
  <c r="Z174" i="5"/>
  <c r="Z175" i="5" s="1"/>
  <c r="V169" i="5"/>
  <c r="V170" i="5" s="1"/>
  <c r="V174" i="5"/>
  <c r="V175" i="5" s="1"/>
  <c r="W169" i="5"/>
  <c r="W170" i="5" s="1"/>
  <c r="W174" i="5"/>
  <c r="W175" i="5" s="1"/>
  <c r="CY169" i="5"/>
  <c r="CY170" i="5" s="1"/>
  <c r="CY174" i="5"/>
  <c r="CY175" i="5" s="1"/>
  <c r="CB169" i="5"/>
  <c r="CB170" i="5" s="1"/>
  <c r="CB174" i="5"/>
  <c r="CB175" i="5" s="1"/>
  <c r="BF169" i="5"/>
  <c r="BF170" i="5" s="1"/>
  <c r="BF174" i="5"/>
  <c r="BF175" i="5" s="1"/>
  <c r="BR169" i="5"/>
  <c r="BR170" i="5" s="1"/>
  <c r="BR174" i="5"/>
  <c r="BR175" i="5" s="1"/>
  <c r="AQ169" i="5"/>
  <c r="AQ170" i="5" s="1"/>
  <c r="AQ174" i="5"/>
  <c r="AQ175" i="5" s="1"/>
  <c r="DC169" i="5"/>
  <c r="DC170" i="5" s="1"/>
  <c r="DC174" i="5"/>
  <c r="DC175" i="5" s="1"/>
  <c r="BI174" i="5"/>
  <c r="BI175" i="5" s="1"/>
  <c r="BI169" i="5"/>
  <c r="BI170" i="5" s="1"/>
  <c r="AT169" i="5"/>
  <c r="AT170" i="5" s="1"/>
  <c r="AT174" i="5"/>
  <c r="AT175" i="5" s="1"/>
  <c r="AJ174" i="5"/>
  <c r="AJ175" i="5" s="1"/>
  <c r="AJ169" i="5"/>
  <c r="AJ170" i="5" s="1"/>
  <c r="DD174" i="5"/>
  <c r="DD175" i="5" s="1"/>
  <c r="DD169" i="5"/>
  <c r="DD170" i="5" s="1"/>
  <c r="BB169" i="5"/>
  <c r="BB170" i="5" s="1"/>
  <c r="BB174" i="5"/>
  <c r="BB175" i="5" s="1"/>
  <c r="AE169" i="5"/>
  <c r="AE170" i="5" s="1"/>
  <c r="AE174" i="5"/>
  <c r="AE175" i="5" s="1"/>
  <c r="DG169" i="5"/>
  <c r="DG170" i="5" s="1"/>
  <c r="DG174" i="5"/>
  <c r="DG175" i="5" s="1"/>
  <c r="AG169" i="5"/>
  <c r="AG170" i="5" s="1"/>
  <c r="AG174" i="5"/>
  <c r="AG175" i="5" s="1"/>
  <c r="X169" i="5"/>
  <c r="X170" i="5" s="1"/>
  <c r="X174" i="5"/>
  <c r="X175" i="5" s="1"/>
  <c r="CJ169" i="5"/>
  <c r="CJ170" i="5" s="1"/>
  <c r="CJ174" i="5"/>
  <c r="CJ175" i="5" s="1"/>
  <c r="BN169" i="5"/>
  <c r="BN170" i="5" s="1"/>
  <c r="BN174" i="5"/>
  <c r="BN175" i="5" s="1"/>
  <c r="BH169" i="5"/>
  <c r="BH170" i="5" s="1"/>
  <c r="BH174" i="5"/>
  <c r="BH175" i="5" s="1"/>
  <c r="AY169" i="5"/>
  <c r="AY170" i="5" s="1"/>
  <c r="AY174" i="5"/>
  <c r="AY175" i="5" s="1"/>
  <c r="DK174" i="5"/>
  <c r="DK175" i="5" s="1"/>
  <c r="DK169" i="5"/>
  <c r="DK170" i="5" s="1"/>
  <c r="BY174" i="5"/>
  <c r="BY175" i="5" s="1"/>
  <c r="BY169" i="5"/>
  <c r="BY170" i="5" s="1"/>
  <c r="BJ169" i="5"/>
  <c r="BJ170" i="5" s="1"/>
  <c r="BJ174" i="5"/>
  <c r="BJ175" i="5" s="1"/>
  <c r="AR174" i="5"/>
  <c r="AR175" i="5" s="1"/>
  <c r="AR169" i="5"/>
  <c r="AR170" i="5" s="1"/>
  <c r="DL174" i="5"/>
  <c r="DL175" i="5" s="1"/>
  <c r="DL169" i="5"/>
  <c r="DL170" i="5" s="1"/>
  <c r="BZ169" i="5"/>
  <c r="BZ170" i="5" s="1"/>
  <c r="BZ174" i="5"/>
  <c r="BZ175" i="5" s="1"/>
  <c r="AH24" i="7"/>
  <c r="AH25" i="7" s="1"/>
  <c r="I35" i="7"/>
  <c r="K19" i="7"/>
  <c r="K20" i="7" s="1"/>
  <c r="I39" i="7"/>
  <c r="I40" i="7" s="1"/>
  <c r="K35" i="7"/>
  <c r="AH35" i="7"/>
  <c r="K24" i="7"/>
  <c r="K25" i="7" s="1"/>
  <c r="AH39" i="7"/>
  <c r="AH40" i="7" s="1"/>
  <c r="BB19" i="7"/>
  <c r="BB20" i="7" s="1"/>
  <c r="BB39" i="7"/>
  <c r="BB40" i="7" s="1"/>
  <c r="R19" i="7"/>
  <c r="R20" i="7" s="1"/>
  <c r="R35" i="7"/>
  <c r="AA29" i="7"/>
  <c r="AA30" i="7" s="1"/>
  <c r="AA44" i="7"/>
  <c r="AA45" i="7" s="1"/>
  <c r="U24" i="7"/>
  <c r="U25" i="7" s="1"/>
  <c r="AA35" i="7"/>
  <c r="AA19" i="7"/>
  <c r="AA20" i="7" s="1"/>
  <c r="AA24" i="7"/>
  <c r="AA25" i="7" s="1"/>
  <c r="U35" i="7"/>
  <c r="R24" i="7"/>
  <c r="R25" i="7" s="1"/>
  <c r="U29" i="7"/>
  <c r="U30" i="7" s="1"/>
  <c r="R29" i="7"/>
  <c r="R30" i="7" s="1"/>
  <c r="U19" i="7"/>
  <c r="U20" i="7" s="1"/>
  <c r="AB44" i="7"/>
  <c r="AB45" i="7" s="1"/>
  <c r="AB29" i="7"/>
  <c r="AB30" i="7" s="1"/>
  <c r="AB19" i="7"/>
  <c r="AB20" i="7" s="1"/>
  <c r="AB35" i="7"/>
  <c r="AB39" i="7"/>
  <c r="AB40" i="7" s="1"/>
  <c r="AB24" i="7"/>
  <c r="AB25" i="7" s="1"/>
  <c r="AS44" i="7"/>
  <c r="AS45" i="7" s="1"/>
  <c r="AS39" i="7"/>
  <c r="AS40" i="7" s="1"/>
  <c r="AS24" i="7"/>
  <c r="AS25" i="7" s="1"/>
  <c r="AS19" i="7"/>
  <c r="AS20" i="7" s="1"/>
  <c r="AS35" i="7"/>
  <c r="AS29" i="7"/>
  <c r="AS30" i="7" s="1"/>
  <c r="DA44" i="7"/>
  <c r="DA45" i="7" s="1"/>
  <c r="DA35" i="7"/>
  <c r="DA24" i="7"/>
  <c r="DA25" i="7" s="1"/>
  <c r="DA29" i="7"/>
  <c r="DA30" i="7" s="1"/>
  <c r="DA39" i="7"/>
  <c r="DA40" i="7" s="1"/>
  <c r="DA19" i="7"/>
  <c r="DA20" i="7" s="1"/>
  <c r="AV44" i="7"/>
  <c r="AV45" i="7" s="1"/>
  <c r="AV29" i="7"/>
  <c r="AV30" i="7" s="1"/>
  <c r="AV35" i="7"/>
  <c r="AV19" i="7"/>
  <c r="AV20" i="7" s="1"/>
  <c r="AV24" i="7"/>
  <c r="AV25" i="7" s="1"/>
  <c r="AV39" i="7"/>
  <c r="AV40" i="7" s="1"/>
  <c r="CX44" i="7"/>
  <c r="CX45" i="7" s="1"/>
  <c r="CX35" i="7"/>
  <c r="CX29" i="7"/>
  <c r="CX30" i="7" s="1"/>
  <c r="CX24" i="7"/>
  <c r="CX25" i="7" s="1"/>
  <c r="CX39" i="7"/>
  <c r="CX40" i="7" s="1"/>
  <c r="CX19" i="7"/>
  <c r="CX20" i="7" s="1"/>
  <c r="BQ44" i="7"/>
  <c r="BQ45" i="7" s="1"/>
  <c r="BQ24" i="7"/>
  <c r="BQ25" i="7" s="1"/>
  <c r="BQ19" i="7"/>
  <c r="BQ20" i="7" s="1"/>
  <c r="BQ35" i="7"/>
  <c r="BQ29" i="7"/>
  <c r="BQ30" i="7" s="1"/>
  <c r="BQ39" i="7"/>
  <c r="BQ40" i="7" s="1"/>
  <c r="Z44" i="7"/>
  <c r="Z45" i="7" s="1"/>
  <c r="Z29" i="7"/>
  <c r="Z30" i="7" s="1"/>
  <c r="Z19" i="7"/>
  <c r="Z20" i="7" s="1"/>
  <c r="Z35" i="7"/>
  <c r="Z24" i="7"/>
  <c r="Z25" i="7" s="1"/>
  <c r="Z39" i="7"/>
  <c r="Z40" i="7" s="1"/>
  <c r="CR44" i="7"/>
  <c r="CR45" i="7" s="1"/>
  <c r="CR29" i="7"/>
  <c r="CR30" i="7" s="1"/>
  <c r="CR35" i="7"/>
  <c r="CR24" i="7"/>
  <c r="CR25" i="7" s="1"/>
  <c r="CR39" i="7"/>
  <c r="CR40" i="7" s="1"/>
  <c r="CR19" i="7"/>
  <c r="CR20" i="7" s="1"/>
  <c r="BX44" i="7"/>
  <c r="BX45" i="7" s="1"/>
  <c r="BX39" i="7"/>
  <c r="BX40" i="7" s="1"/>
  <c r="BX29" i="7"/>
  <c r="BX30" i="7" s="1"/>
  <c r="BX19" i="7"/>
  <c r="BX20" i="7" s="1"/>
  <c r="BX24" i="7"/>
  <c r="BX25" i="7" s="1"/>
  <c r="BX35" i="7"/>
  <c r="AM44" i="7"/>
  <c r="AM45" i="7" s="1"/>
  <c r="AM24" i="7"/>
  <c r="AM25" i="7" s="1"/>
  <c r="AM35" i="7"/>
  <c r="AM19" i="7"/>
  <c r="AM20" i="7" s="1"/>
  <c r="AM39" i="7"/>
  <c r="AM40" i="7" s="1"/>
  <c r="AM29" i="7"/>
  <c r="AM30" i="7" s="1"/>
  <c r="AL44" i="7"/>
  <c r="AL45" i="7" s="1"/>
  <c r="AL35" i="7"/>
  <c r="AL24" i="7"/>
  <c r="AL25" i="7" s="1"/>
  <c r="AL29" i="7"/>
  <c r="AL30" i="7" s="1"/>
  <c r="AL39" i="7"/>
  <c r="AL40" i="7" s="1"/>
  <c r="AL19" i="7"/>
  <c r="AL20" i="7" s="1"/>
  <c r="W44" i="7"/>
  <c r="W45" i="7" s="1"/>
  <c r="W35" i="7"/>
  <c r="W19" i="7"/>
  <c r="W20" i="7" s="1"/>
  <c r="W24" i="7"/>
  <c r="W25" i="7" s="1"/>
  <c r="W39" i="7"/>
  <c r="W40" i="7" s="1"/>
  <c r="W29" i="7"/>
  <c r="W30" i="7" s="1"/>
  <c r="CE44" i="7"/>
  <c r="CE45" i="7" s="1"/>
  <c r="CE19" i="7"/>
  <c r="CE20" i="7" s="1"/>
  <c r="CE35" i="7"/>
  <c r="CE29" i="7"/>
  <c r="CE30" i="7" s="1"/>
  <c r="CE39" i="7"/>
  <c r="CE40" i="7" s="1"/>
  <c r="CE24" i="7"/>
  <c r="CE25" i="7" s="1"/>
  <c r="M44" i="7"/>
  <c r="M45" i="7" s="1"/>
  <c r="M39" i="7"/>
  <c r="M40" i="7" s="1"/>
  <c r="M35" i="7"/>
  <c r="M29" i="7"/>
  <c r="M30" i="7" s="1"/>
  <c r="M24" i="7"/>
  <c r="M25" i="7" s="1"/>
  <c r="M19" i="7"/>
  <c r="M20" i="7" s="1"/>
  <c r="BU44" i="7"/>
  <c r="BU45" i="7" s="1"/>
  <c r="BU29" i="7"/>
  <c r="BU30" i="7" s="1"/>
  <c r="BU19" i="7"/>
  <c r="BU20" i="7" s="1"/>
  <c r="BU24" i="7"/>
  <c r="BU25" i="7" s="1"/>
  <c r="BU39" i="7"/>
  <c r="BU40" i="7" s="1"/>
  <c r="BU35" i="7"/>
  <c r="P44" i="7"/>
  <c r="P45" i="7" s="1"/>
  <c r="P29" i="7"/>
  <c r="P30" i="7" s="1"/>
  <c r="P35" i="7"/>
  <c r="P39" i="7"/>
  <c r="P40" i="7" s="1"/>
  <c r="P24" i="7"/>
  <c r="P25" i="7" s="1"/>
  <c r="P19" i="7"/>
  <c r="P20" i="7" s="1"/>
  <c r="AT44" i="7"/>
  <c r="AT45" i="7" s="1"/>
  <c r="AT39" i="7"/>
  <c r="AT40" i="7" s="1"/>
  <c r="AT29" i="7"/>
  <c r="AT30" i="7" s="1"/>
  <c r="AT24" i="7"/>
  <c r="AT25" i="7" s="1"/>
  <c r="AT35" i="7"/>
  <c r="AT19" i="7"/>
  <c r="AT20" i="7" s="1"/>
  <c r="AK44" i="7"/>
  <c r="AK45" i="7" s="1"/>
  <c r="AK24" i="7"/>
  <c r="AK25" i="7" s="1"/>
  <c r="AK39" i="7"/>
  <c r="AK40" i="7" s="1"/>
  <c r="AK19" i="7"/>
  <c r="AK20" i="7" s="1"/>
  <c r="AK35" i="7"/>
  <c r="AK29" i="7"/>
  <c r="AK30" i="7" s="1"/>
  <c r="CK44" i="7"/>
  <c r="CK45" i="7" s="1"/>
  <c r="CK29" i="7"/>
  <c r="CK30" i="7" s="1"/>
  <c r="CK19" i="7"/>
  <c r="CK20" i="7" s="1"/>
  <c r="CK39" i="7"/>
  <c r="CK40" i="7" s="1"/>
  <c r="CK24" i="7"/>
  <c r="CK25" i="7" s="1"/>
  <c r="CK35" i="7"/>
  <c r="BL44" i="7"/>
  <c r="BL45" i="7" s="1"/>
  <c r="BL29" i="7"/>
  <c r="BL30" i="7" s="1"/>
  <c r="BL35" i="7"/>
  <c r="BL19" i="7"/>
  <c r="BL20" i="7" s="1"/>
  <c r="BL39" i="7"/>
  <c r="BL40" i="7" s="1"/>
  <c r="BL24" i="7"/>
  <c r="BL25" i="7" s="1"/>
  <c r="AR44" i="7"/>
  <c r="AR45" i="7" s="1"/>
  <c r="AR35" i="7"/>
  <c r="AR29" i="7"/>
  <c r="AR30" i="7" s="1"/>
  <c r="AR19" i="7"/>
  <c r="AR20" i="7" s="1"/>
  <c r="AR24" i="7"/>
  <c r="AR25" i="7" s="1"/>
  <c r="AR39" i="7"/>
  <c r="AR40" i="7" s="1"/>
  <c r="CV44" i="7"/>
  <c r="CV45" i="7" s="1"/>
  <c r="CV19" i="7"/>
  <c r="CV20" i="7" s="1"/>
  <c r="CV39" i="7"/>
  <c r="CV40" i="7" s="1"/>
  <c r="CV35" i="7"/>
  <c r="CV24" i="7"/>
  <c r="CV25" i="7" s="1"/>
  <c r="CV29" i="7"/>
  <c r="CV30" i="7" s="1"/>
  <c r="CH44" i="7"/>
  <c r="CH45" i="7" s="1"/>
  <c r="CH29" i="7"/>
  <c r="CH30" i="7" s="1"/>
  <c r="CH19" i="7"/>
  <c r="CH20" i="7" s="1"/>
  <c r="CH39" i="7"/>
  <c r="CH40" i="7" s="1"/>
  <c r="CH35" i="7"/>
  <c r="CH24" i="7"/>
  <c r="CH25" i="7" s="1"/>
  <c r="AY44" i="7"/>
  <c r="AY45" i="7" s="1"/>
  <c r="AY19" i="7"/>
  <c r="AY20" i="7" s="1"/>
  <c r="AY35" i="7"/>
  <c r="AY29" i="7"/>
  <c r="AY30" i="7" s="1"/>
  <c r="AY39" i="7"/>
  <c r="AY40" i="7" s="1"/>
  <c r="AY24" i="7"/>
  <c r="AY25" i="7" s="1"/>
  <c r="AO44" i="7"/>
  <c r="AO45" i="7" s="1"/>
  <c r="AO19" i="7"/>
  <c r="AO20" i="7" s="1"/>
  <c r="AO35" i="7"/>
  <c r="AO29" i="7"/>
  <c r="AO30" i="7" s="1"/>
  <c r="AO24" i="7"/>
  <c r="AO25" i="7" s="1"/>
  <c r="AO39" i="7"/>
  <c r="AO40" i="7" s="1"/>
  <c r="CA44" i="7"/>
  <c r="CA45" i="7" s="1"/>
  <c r="CA19" i="7"/>
  <c r="CA20" i="7" s="1"/>
  <c r="CA24" i="7"/>
  <c r="CA25" i="7" s="1"/>
  <c r="CA39" i="7"/>
  <c r="CA40" i="7" s="1"/>
  <c r="CA29" i="7"/>
  <c r="CA30" i="7" s="1"/>
  <c r="CA35" i="7"/>
  <c r="CW44" i="7"/>
  <c r="CW45" i="7" s="1"/>
  <c r="CW24" i="7"/>
  <c r="CW25" i="7" s="1"/>
  <c r="CW19" i="7"/>
  <c r="CW20" i="7" s="1"/>
  <c r="CW35" i="7"/>
  <c r="CW29" i="7"/>
  <c r="CW30" i="7" s="1"/>
  <c r="CW39" i="7"/>
  <c r="CW40" i="7" s="1"/>
  <c r="BE44" i="7"/>
  <c r="BE45" i="7" s="1"/>
  <c r="BE24" i="7"/>
  <c r="BE25" i="7" s="1"/>
  <c r="BE39" i="7"/>
  <c r="BE40" i="7" s="1"/>
  <c r="BE19" i="7"/>
  <c r="BE20" i="7" s="1"/>
  <c r="BE35" i="7"/>
  <c r="BE29" i="7"/>
  <c r="BE30" i="7" s="1"/>
  <c r="AF44" i="7"/>
  <c r="AF45" i="7" s="1"/>
  <c r="AF35" i="7"/>
  <c r="AF39" i="7"/>
  <c r="AF40" i="7" s="1"/>
  <c r="AF19" i="7"/>
  <c r="AF20" i="7" s="1"/>
  <c r="AF24" i="7"/>
  <c r="AF25" i="7" s="1"/>
  <c r="AF29" i="7"/>
  <c r="AF30" i="7" s="1"/>
  <c r="L44" i="7"/>
  <c r="L45" i="7" s="1"/>
  <c r="L29" i="7"/>
  <c r="L30" i="7" s="1"/>
  <c r="L39" i="7"/>
  <c r="L40" i="7" s="1"/>
  <c r="L19" i="7"/>
  <c r="L20" i="7" s="1"/>
  <c r="L24" i="7"/>
  <c r="L25" i="7" s="1"/>
  <c r="L35" i="7"/>
  <c r="CS44" i="7"/>
  <c r="CS45" i="7" s="1"/>
  <c r="CS29" i="7"/>
  <c r="CS30" i="7" s="1"/>
  <c r="CS19" i="7"/>
  <c r="CS20" i="7" s="1"/>
  <c r="CS24" i="7"/>
  <c r="CS25" i="7" s="1"/>
  <c r="CS35" i="7"/>
  <c r="CS39" i="7"/>
  <c r="CS40" i="7" s="1"/>
  <c r="BP44" i="7"/>
  <c r="BP45" i="7" s="1"/>
  <c r="BP24" i="7"/>
  <c r="BP25" i="7" s="1"/>
  <c r="BP39" i="7"/>
  <c r="BP40" i="7" s="1"/>
  <c r="BP19" i="7"/>
  <c r="BP20" i="7" s="1"/>
  <c r="BP35" i="7"/>
  <c r="BP29" i="7"/>
  <c r="BP30" i="7" s="1"/>
  <c r="BJ44" i="7"/>
  <c r="BJ45" i="7" s="1"/>
  <c r="BJ39" i="7"/>
  <c r="BJ40" i="7" s="1"/>
  <c r="BJ29" i="7"/>
  <c r="BJ30" i="7" s="1"/>
  <c r="BJ24" i="7"/>
  <c r="BJ25" i="7" s="1"/>
  <c r="BJ35" i="7"/>
  <c r="BJ19" i="7"/>
  <c r="BJ20" i="7" s="1"/>
  <c r="AD44" i="7"/>
  <c r="AD45" i="7" s="1"/>
  <c r="AD39" i="7"/>
  <c r="AD40" i="7" s="1"/>
  <c r="AD19" i="7"/>
  <c r="AD20" i="7" s="1"/>
  <c r="AD29" i="7"/>
  <c r="AD30" i="7" s="1"/>
  <c r="AD24" i="7"/>
  <c r="AD25" i="7" s="1"/>
  <c r="AD35" i="7"/>
  <c r="S44" i="7"/>
  <c r="S45" i="7" s="1"/>
  <c r="S19" i="7"/>
  <c r="S20" i="7" s="1"/>
  <c r="S29" i="7"/>
  <c r="S30" i="7" s="1"/>
  <c r="S35" i="7"/>
  <c r="S39" i="7"/>
  <c r="S40" i="7" s="1"/>
  <c r="S24" i="7"/>
  <c r="S25" i="7" s="1"/>
  <c r="DB44" i="7"/>
  <c r="DB45" i="7" s="1"/>
  <c r="DB29" i="7"/>
  <c r="DB30" i="7" s="1"/>
  <c r="DB39" i="7"/>
  <c r="DB40" i="7" s="1"/>
  <c r="DB24" i="7"/>
  <c r="DB25" i="7" s="1"/>
  <c r="DB19" i="7"/>
  <c r="DB20" i="7" s="1"/>
  <c r="DB35" i="7"/>
  <c r="AU44" i="7"/>
  <c r="AU45" i="7" s="1"/>
  <c r="AU19" i="7"/>
  <c r="AU20" i="7" s="1"/>
  <c r="AU29" i="7"/>
  <c r="AU30" i="7" s="1"/>
  <c r="AU35" i="7"/>
  <c r="AU39" i="7"/>
  <c r="AU40" i="7" s="1"/>
  <c r="AU24" i="7"/>
  <c r="AU25" i="7" s="1"/>
  <c r="CF44" i="7"/>
  <c r="CF45" i="7" s="1"/>
  <c r="CF39" i="7"/>
  <c r="CF40" i="7" s="1"/>
  <c r="CF29" i="7"/>
  <c r="CF30" i="7" s="1"/>
  <c r="CF35" i="7"/>
  <c r="CF19" i="7"/>
  <c r="CF20" i="7" s="1"/>
  <c r="CF24" i="7"/>
  <c r="CF25" i="7" s="1"/>
  <c r="Y44" i="7"/>
  <c r="Y45" i="7" s="1"/>
  <c r="Y29" i="7"/>
  <c r="Y30" i="7" s="1"/>
  <c r="Y19" i="7"/>
  <c r="Y20" i="7" s="1"/>
  <c r="Y35" i="7"/>
  <c r="Y24" i="7"/>
  <c r="Y25" i="7" s="1"/>
  <c r="Y39" i="7"/>
  <c r="Y40" i="7" s="1"/>
  <c r="CQ44" i="7"/>
  <c r="CQ45" i="7" s="1"/>
  <c r="CQ19" i="7"/>
  <c r="CQ20" i="7" s="1"/>
  <c r="CQ24" i="7"/>
  <c r="CQ25" i="7" s="1"/>
  <c r="CQ29" i="7"/>
  <c r="CQ30" i="7" s="1"/>
  <c r="CQ35" i="7"/>
  <c r="CQ39" i="7"/>
  <c r="CQ40" i="7" s="1"/>
  <c r="BM44" i="7"/>
  <c r="BM45" i="7" s="1"/>
  <c r="BM29" i="7"/>
  <c r="BM30" i="7" s="1"/>
  <c r="BM19" i="7"/>
  <c r="BM20" i="7" s="1"/>
  <c r="BM39" i="7"/>
  <c r="BM40" i="7" s="1"/>
  <c r="BM35" i="7"/>
  <c r="BM24" i="7"/>
  <c r="BM25" i="7" s="1"/>
  <c r="AJ44" i="7"/>
  <c r="AJ45" i="7" s="1"/>
  <c r="AJ19" i="7"/>
  <c r="AJ20" i="7" s="1"/>
  <c r="AJ39" i="7"/>
  <c r="AJ40" i="7" s="1"/>
  <c r="AJ24" i="7"/>
  <c r="AJ25" i="7" s="1"/>
  <c r="AJ35" i="7"/>
  <c r="AJ29" i="7"/>
  <c r="AJ30" i="7" s="1"/>
  <c r="CJ44" i="7"/>
  <c r="CJ45" i="7" s="1"/>
  <c r="CJ35" i="7"/>
  <c r="CJ24" i="7"/>
  <c r="CJ25" i="7" s="1"/>
  <c r="CJ19" i="7"/>
  <c r="CJ20" i="7" s="1"/>
  <c r="CJ39" i="7"/>
  <c r="CJ40" i="7" s="1"/>
  <c r="CJ29" i="7"/>
  <c r="CJ30" i="7" s="1"/>
  <c r="CG44" i="7"/>
  <c r="CG45" i="7" s="1"/>
  <c r="CG35" i="7"/>
  <c r="CG29" i="7"/>
  <c r="CG30" i="7" s="1"/>
  <c r="CG24" i="7"/>
  <c r="CG25" i="7" s="1"/>
  <c r="CG19" i="7"/>
  <c r="CG20" i="7" s="1"/>
  <c r="CG39" i="7"/>
  <c r="CG40" i="7" s="1"/>
  <c r="CM44" i="7"/>
  <c r="CM45" i="7" s="1"/>
  <c r="CM39" i="7"/>
  <c r="CM40" i="7" s="1"/>
  <c r="CM35" i="7"/>
  <c r="CM29" i="7"/>
  <c r="CM30" i="7" s="1"/>
  <c r="CM19" i="7"/>
  <c r="CM20" i="7" s="1"/>
  <c r="CM24" i="7"/>
  <c r="CM25" i="7" s="1"/>
  <c r="CT44" i="7"/>
  <c r="CT45" i="7" s="1"/>
  <c r="CT29" i="7"/>
  <c r="CT30" i="7" s="1"/>
  <c r="CT24" i="7"/>
  <c r="CT25" i="7" s="1"/>
  <c r="CT39" i="7"/>
  <c r="CT40" i="7" s="1"/>
  <c r="CT19" i="7"/>
  <c r="CT20" i="7" s="1"/>
  <c r="CT35" i="7"/>
  <c r="BZ44" i="7"/>
  <c r="BZ45" i="7" s="1"/>
  <c r="BZ39" i="7"/>
  <c r="BZ40" i="7" s="1"/>
  <c r="BZ29" i="7"/>
  <c r="BZ30" i="7" s="1"/>
  <c r="BZ24" i="7"/>
  <c r="BZ25" i="7" s="1"/>
  <c r="BZ35" i="7"/>
  <c r="BZ19" i="7"/>
  <c r="BZ20" i="7" s="1"/>
  <c r="BV44" i="7"/>
  <c r="BV45" i="7" s="1"/>
  <c r="BV35" i="7"/>
  <c r="BV24" i="7"/>
  <c r="BV25" i="7" s="1"/>
  <c r="BV19" i="7"/>
  <c r="BV20" i="7" s="1"/>
  <c r="BV39" i="7"/>
  <c r="BV40" i="7" s="1"/>
  <c r="BV29" i="7"/>
  <c r="BV30" i="7" s="1"/>
  <c r="O44" i="7"/>
  <c r="O45" i="7" s="1"/>
  <c r="O19" i="7"/>
  <c r="O20" i="7" s="1"/>
  <c r="O24" i="7"/>
  <c r="O25" i="7" s="1"/>
  <c r="O29" i="7"/>
  <c r="O30" i="7" s="1"/>
  <c r="O39" i="7"/>
  <c r="O40" i="7" s="1"/>
  <c r="O35" i="7"/>
  <c r="AZ44" i="7"/>
  <c r="AZ45" i="7" s="1"/>
  <c r="AZ24" i="7"/>
  <c r="AZ25" i="7" s="1"/>
  <c r="AZ19" i="7"/>
  <c r="AZ20" i="7" s="1"/>
  <c r="AZ35" i="7"/>
  <c r="AZ29" i="7"/>
  <c r="AZ30" i="7" s="1"/>
  <c r="AZ39" i="7"/>
  <c r="AZ40" i="7" s="1"/>
  <c r="BI44" i="7"/>
  <c r="BI45" i="7" s="1"/>
  <c r="BI39" i="7"/>
  <c r="BI40" i="7" s="1"/>
  <c r="BI24" i="7"/>
  <c r="BI25" i="7" s="1"/>
  <c r="BI19" i="7"/>
  <c r="BI20" i="7" s="1"/>
  <c r="BI35" i="7"/>
  <c r="BI29" i="7"/>
  <c r="BI30" i="7" s="1"/>
  <c r="BK44" i="7"/>
  <c r="BK45" i="7" s="1"/>
  <c r="BK24" i="7"/>
  <c r="BK25" i="7" s="1"/>
  <c r="BK39" i="7"/>
  <c r="BK40" i="7" s="1"/>
  <c r="BK35" i="7"/>
  <c r="BK29" i="7"/>
  <c r="BK30" i="7" s="1"/>
  <c r="BK19" i="7"/>
  <c r="BK20" i="7" s="1"/>
  <c r="BY44" i="7"/>
  <c r="BY45" i="7" s="1"/>
  <c r="BY39" i="7"/>
  <c r="BY40" i="7" s="1"/>
  <c r="BY35" i="7"/>
  <c r="BY29" i="7"/>
  <c r="BY30" i="7" s="1"/>
  <c r="BY24" i="7"/>
  <c r="BY25" i="7" s="1"/>
  <c r="BY19" i="7"/>
  <c r="BY20" i="7" s="1"/>
  <c r="AG44" i="7"/>
  <c r="AG45" i="7" s="1"/>
  <c r="AG29" i="7"/>
  <c r="AG30" i="7" s="1"/>
  <c r="AG19" i="7"/>
  <c r="AG20" i="7" s="1"/>
  <c r="AG35" i="7"/>
  <c r="AG39" i="7"/>
  <c r="AG40" i="7" s="1"/>
  <c r="AG24" i="7"/>
  <c r="AG25" i="7" s="1"/>
  <c r="BW44" i="7"/>
  <c r="BW45" i="7" s="1"/>
  <c r="BW39" i="7"/>
  <c r="BW40" i="7" s="1"/>
  <c r="BW19" i="7"/>
  <c r="BW20" i="7" s="1"/>
  <c r="BW24" i="7"/>
  <c r="BW25" i="7" s="1"/>
  <c r="BW35" i="7"/>
  <c r="BW29" i="7"/>
  <c r="BW30" i="7" s="1"/>
  <c r="CD44" i="7"/>
  <c r="CD45" i="7" s="1"/>
  <c r="CD29" i="7"/>
  <c r="CD30" i="7" s="1"/>
  <c r="CD19" i="7"/>
  <c r="CD20" i="7" s="1"/>
  <c r="CD35" i="7"/>
  <c r="CD39" i="7"/>
  <c r="CD40" i="7" s="1"/>
  <c r="CD24" i="7"/>
  <c r="CD25" i="7" s="1"/>
  <c r="CO44" i="7"/>
  <c r="CO45" i="7" s="1"/>
  <c r="CO39" i="7"/>
  <c r="CO40" i="7" s="1"/>
  <c r="CO24" i="7"/>
  <c r="CO25" i="7" s="1"/>
  <c r="CO29" i="7"/>
  <c r="CO30" i="7" s="1"/>
  <c r="CO19" i="7"/>
  <c r="CO20" i="7" s="1"/>
  <c r="CO35" i="7"/>
  <c r="BD44" i="7"/>
  <c r="BD45" i="7" s="1"/>
  <c r="BD35" i="7"/>
  <c r="BD19" i="7"/>
  <c r="BD20" i="7" s="1"/>
  <c r="BD29" i="7"/>
  <c r="BD30" i="7" s="1"/>
  <c r="BD39" i="7"/>
  <c r="BD40" i="7" s="1"/>
  <c r="BD24" i="7"/>
  <c r="BD25" i="7" s="1"/>
  <c r="CC44" i="7"/>
  <c r="CC45" i="7" s="1"/>
  <c r="CC29" i="7"/>
  <c r="CC30" i="7" s="1"/>
  <c r="CC19" i="7"/>
  <c r="CC20" i="7" s="1"/>
  <c r="CC39" i="7"/>
  <c r="CC40" i="7" s="1"/>
  <c r="CC24" i="7"/>
  <c r="CC25" i="7" s="1"/>
  <c r="CC35" i="7"/>
  <c r="BA44" i="7"/>
  <c r="BA45" i="7" s="1"/>
  <c r="BA24" i="7"/>
  <c r="BA25" i="7" s="1"/>
  <c r="BA19" i="7"/>
  <c r="BA20" i="7" s="1"/>
  <c r="BA35" i="7"/>
  <c r="BA39" i="7"/>
  <c r="BA40" i="7" s="1"/>
  <c r="BA29" i="7"/>
  <c r="BA30" i="7" s="1"/>
  <c r="BG44" i="7"/>
  <c r="BG45" i="7" s="1"/>
  <c r="BG39" i="7"/>
  <c r="BG40" i="7" s="1"/>
  <c r="BG19" i="7"/>
  <c r="BG20" i="7" s="1"/>
  <c r="BG24" i="7"/>
  <c r="BG25" i="7" s="1"/>
  <c r="BG35" i="7"/>
  <c r="BG29" i="7"/>
  <c r="BG30" i="7" s="1"/>
  <c r="BN44" i="7"/>
  <c r="BN45" i="7" s="1"/>
  <c r="BN29" i="7"/>
  <c r="BN30" i="7" s="1"/>
  <c r="BN19" i="7"/>
  <c r="BN20" i="7" s="1"/>
  <c r="BN24" i="7"/>
  <c r="BN25" i="7" s="1"/>
  <c r="BN35" i="7"/>
  <c r="BN39" i="7"/>
  <c r="BN40" i="7" s="1"/>
  <c r="V44" i="7"/>
  <c r="V45" i="7" s="1"/>
  <c r="V39" i="7"/>
  <c r="V40" i="7" s="1"/>
  <c r="V35" i="7"/>
  <c r="V19" i="7"/>
  <c r="V20" i="7" s="1"/>
  <c r="V29" i="7"/>
  <c r="V30" i="7" s="1"/>
  <c r="V24" i="7"/>
  <c r="V25" i="7" s="1"/>
  <c r="AP44" i="7"/>
  <c r="AP45" i="7" s="1"/>
  <c r="AP39" i="7"/>
  <c r="AP40" i="7" s="1"/>
  <c r="AP29" i="7"/>
  <c r="AP30" i="7" s="1"/>
  <c r="AP19" i="7"/>
  <c r="AP20" i="7" s="1"/>
  <c r="AP35" i="7"/>
  <c r="AP24" i="7"/>
  <c r="AP25" i="7" s="1"/>
  <c r="T44" i="7"/>
  <c r="T45" i="7" s="1"/>
  <c r="T39" i="7"/>
  <c r="T40" i="7" s="1"/>
  <c r="T19" i="7"/>
  <c r="T20" i="7" s="1"/>
  <c r="T24" i="7"/>
  <c r="T25" i="7" s="1"/>
  <c r="T29" i="7"/>
  <c r="T30" i="7" s="1"/>
  <c r="T35" i="7"/>
  <c r="AC44" i="7"/>
  <c r="AC45" i="7" s="1"/>
  <c r="AC39" i="7"/>
  <c r="AC40" i="7" s="1"/>
  <c r="AC29" i="7"/>
  <c r="AC30" i="7" s="1"/>
  <c r="AC24" i="7"/>
  <c r="AC25" i="7" s="1"/>
  <c r="AC35" i="7"/>
  <c r="AC19" i="7"/>
  <c r="AC20" i="7" s="1"/>
  <c r="AE44" i="7"/>
  <c r="AE45" i="7" s="1"/>
  <c r="AE19" i="7"/>
  <c r="AE20" i="7" s="1"/>
  <c r="AE24" i="7"/>
  <c r="AE25" i="7" s="1"/>
  <c r="AE29" i="7"/>
  <c r="AE30" i="7" s="1"/>
  <c r="AE35" i="7"/>
  <c r="AE39" i="7"/>
  <c r="AE40" i="7" s="1"/>
  <c r="CZ44" i="7"/>
  <c r="CZ45" i="7" s="1"/>
  <c r="CZ19" i="7"/>
  <c r="CZ20" i="7" s="1"/>
  <c r="CZ24" i="7"/>
  <c r="CZ25" i="7" s="1"/>
  <c r="CZ29" i="7"/>
  <c r="CZ30" i="7" s="1"/>
  <c r="CZ35" i="7"/>
  <c r="CZ39" i="7"/>
  <c r="CZ40" i="7" s="1"/>
  <c r="AQ44" i="7"/>
  <c r="AQ45" i="7" s="1"/>
  <c r="AQ39" i="7"/>
  <c r="AQ40" i="7" s="1"/>
  <c r="AQ19" i="7"/>
  <c r="AQ20" i="7" s="1"/>
  <c r="AQ35" i="7"/>
  <c r="AQ24" i="7"/>
  <c r="AQ25" i="7" s="1"/>
  <c r="AQ29" i="7"/>
  <c r="AQ30" i="7" s="1"/>
  <c r="AX44" i="7"/>
  <c r="AX45" i="7" s="1"/>
  <c r="AX29" i="7"/>
  <c r="AX30" i="7" s="1"/>
  <c r="AX19" i="7"/>
  <c r="AX20" i="7" s="1"/>
  <c r="AX39" i="7"/>
  <c r="AX40" i="7" s="1"/>
  <c r="AX35" i="7"/>
  <c r="AX24" i="7"/>
  <c r="AX25" i="7" s="1"/>
  <c r="CU44" i="7"/>
  <c r="CU45" i="7" s="1"/>
  <c r="CU19" i="7"/>
  <c r="CU20" i="7" s="1"/>
  <c r="CU35" i="7"/>
  <c r="CU29" i="7"/>
  <c r="CU30" i="7" s="1"/>
  <c r="CU24" i="7"/>
  <c r="CU25" i="7" s="1"/>
  <c r="CU39" i="7"/>
  <c r="CU40" i="7" s="1"/>
  <c r="X44" i="7"/>
  <c r="X45" i="7" s="1"/>
  <c r="X35" i="7"/>
  <c r="X24" i="7"/>
  <c r="X25" i="7" s="1"/>
  <c r="X39" i="7"/>
  <c r="X40" i="7" s="1"/>
  <c r="X29" i="7"/>
  <c r="X30" i="7" s="1"/>
  <c r="X19" i="7"/>
  <c r="X20" i="7" s="1"/>
  <c r="AW44" i="7"/>
  <c r="AW45" i="7" s="1"/>
  <c r="AW29" i="7"/>
  <c r="AW30" i="7" s="1"/>
  <c r="AW19" i="7"/>
  <c r="AW20" i="7" s="1"/>
  <c r="AW35" i="7"/>
  <c r="AW24" i="7"/>
  <c r="AW25" i="7" s="1"/>
  <c r="AW39" i="7"/>
  <c r="AW40" i="7" s="1"/>
  <c r="CN44" i="7"/>
  <c r="CN45" i="7" s="1"/>
  <c r="CN29" i="7"/>
  <c r="CN30" i="7" s="1"/>
  <c r="CN19" i="7"/>
  <c r="CN20" i="7" s="1"/>
  <c r="CN39" i="7"/>
  <c r="CN40" i="7" s="1"/>
  <c r="CN24" i="7"/>
  <c r="CN25" i="7" s="1"/>
  <c r="CN35" i="7"/>
  <c r="J44" i="7"/>
  <c r="J45" i="7" s="1"/>
  <c r="J35" i="7"/>
  <c r="J39" i="7"/>
  <c r="J40" i="7" s="1"/>
  <c r="J19" i="7"/>
  <c r="J20" i="7" s="1"/>
  <c r="J24" i="7"/>
  <c r="J25" i="7" s="1"/>
  <c r="J29" i="7"/>
  <c r="J30" i="7" s="1"/>
  <c r="CL44" i="7"/>
  <c r="CL45" i="7" s="1"/>
  <c r="CL19" i="7"/>
  <c r="CL20" i="7" s="1"/>
  <c r="CL29" i="7"/>
  <c r="CL30" i="7" s="1"/>
  <c r="CL24" i="7"/>
  <c r="CL25" i="7" s="1"/>
  <c r="CL39" i="7"/>
  <c r="CL40" i="7" s="1"/>
  <c r="CL35" i="7"/>
  <c r="BT44" i="7"/>
  <c r="BT45" i="7" s="1"/>
  <c r="BT35" i="7"/>
  <c r="BT24" i="7"/>
  <c r="BT25" i="7" s="1"/>
  <c r="BT19" i="7"/>
  <c r="BT20" i="7" s="1"/>
  <c r="BT39" i="7"/>
  <c r="BT40" i="7" s="1"/>
  <c r="BT29" i="7"/>
  <c r="BT30" i="7" s="1"/>
  <c r="CY44" i="7"/>
  <c r="CY45" i="7" s="1"/>
  <c r="CY24" i="7"/>
  <c r="CY25" i="7" s="1"/>
  <c r="CY19" i="7"/>
  <c r="CY20" i="7" s="1"/>
  <c r="CY29" i="7"/>
  <c r="CY30" i="7" s="1"/>
  <c r="CY39" i="7"/>
  <c r="CY40" i="7" s="1"/>
  <c r="CY35" i="7"/>
  <c r="BR44" i="7"/>
  <c r="BR45" i="7" s="1"/>
  <c r="BR35" i="7"/>
  <c r="BR24" i="7"/>
  <c r="BR25" i="7" s="1"/>
  <c r="BR29" i="7"/>
  <c r="BR30" i="7" s="1"/>
  <c r="BR19" i="7"/>
  <c r="BR20" i="7" s="1"/>
  <c r="BR39" i="7"/>
  <c r="BR40" i="7" s="1"/>
  <c r="BO44" i="7"/>
  <c r="BO45" i="7" s="1"/>
  <c r="BO19" i="7"/>
  <c r="BO20" i="7" s="1"/>
  <c r="BO29" i="7"/>
  <c r="BO30" i="7" s="1"/>
  <c r="BO35" i="7"/>
  <c r="BO24" i="7"/>
  <c r="BO25" i="7" s="1"/>
  <c r="BO39" i="7"/>
  <c r="BO40" i="7" s="1"/>
  <c r="CI44" i="7"/>
  <c r="CI45" i="7" s="1"/>
  <c r="CI35" i="7"/>
  <c r="CI24" i="7"/>
  <c r="CI25" i="7" s="1"/>
  <c r="CI29" i="7"/>
  <c r="CI30" i="7" s="1"/>
  <c r="CI19" i="7"/>
  <c r="CI20" i="7" s="1"/>
  <c r="CI39" i="7"/>
  <c r="CI40" i="7" s="1"/>
  <c r="Q44" i="7"/>
  <c r="Q45" i="7" s="1"/>
  <c r="Q29" i="7"/>
  <c r="Q30" i="7" s="1"/>
  <c r="Q19" i="7"/>
  <c r="Q20" i="7" s="1"/>
  <c r="Q35" i="7"/>
  <c r="Q24" i="7"/>
  <c r="Q25" i="7" s="1"/>
  <c r="Q39" i="7"/>
  <c r="Q40" i="7" s="1"/>
  <c r="BH44" i="7"/>
  <c r="BH45" i="7" s="1"/>
  <c r="BH35" i="7"/>
  <c r="BH24" i="7"/>
  <c r="BH25" i="7" s="1"/>
  <c r="BH19" i="7"/>
  <c r="BH20" i="7" s="1"/>
  <c r="BH29" i="7"/>
  <c r="BH30" i="7" s="1"/>
  <c r="BH39" i="7"/>
  <c r="BH40" i="7" s="1"/>
  <c r="CB44" i="7"/>
  <c r="CB45" i="7" s="1"/>
  <c r="CB29" i="7"/>
  <c r="CB30" i="7" s="1"/>
  <c r="CB35" i="7"/>
  <c r="CB39" i="7"/>
  <c r="CB40" i="7" s="1"/>
  <c r="CB24" i="7"/>
  <c r="CB25" i="7" s="1"/>
  <c r="CB19" i="7"/>
  <c r="CB20" i="7" s="1"/>
  <c r="BF44" i="7"/>
  <c r="BF45" i="7" s="1"/>
  <c r="BF19" i="7"/>
  <c r="BF20" i="7" s="1"/>
  <c r="BF24" i="7"/>
  <c r="BF25" i="7" s="1"/>
  <c r="BF39" i="7"/>
  <c r="BF40" i="7" s="1"/>
  <c r="BF35" i="7"/>
  <c r="BF29" i="7"/>
  <c r="BF30" i="7" s="1"/>
  <c r="AN44" i="7"/>
  <c r="AN45" i="7" s="1"/>
  <c r="AN35" i="7"/>
  <c r="AN29" i="7"/>
  <c r="AN30" i="7" s="1"/>
  <c r="AN19" i="7"/>
  <c r="AN20" i="7" s="1"/>
  <c r="AN24" i="7"/>
  <c r="AN25" i="7" s="1"/>
  <c r="AN39" i="7"/>
  <c r="AN40" i="7" s="1"/>
  <c r="BS44" i="7"/>
  <c r="BS45" i="7" s="1"/>
  <c r="BS24" i="7"/>
  <c r="BS25" i="7" s="1"/>
  <c r="BS39" i="7"/>
  <c r="BS40" i="7" s="1"/>
  <c r="BS29" i="7"/>
  <c r="BS30" i="7" s="1"/>
  <c r="BS35" i="7"/>
  <c r="BS19" i="7"/>
  <c r="BS20" i="7" s="1"/>
  <c r="N44" i="7"/>
  <c r="N45" i="7" s="1"/>
  <c r="N39" i="7"/>
  <c r="N40" i="7" s="1"/>
  <c r="N19" i="7"/>
  <c r="N20" i="7" s="1"/>
  <c r="N29" i="7"/>
  <c r="N30" i="7" s="1"/>
  <c r="N24" i="7"/>
  <c r="N25" i="7" s="1"/>
  <c r="N35" i="7"/>
  <c r="CP44" i="7"/>
  <c r="CP45" i="7" s="1"/>
  <c r="CP39" i="7"/>
  <c r="CP40" i="7" s="1"/>
  <c r="CP29" i="7"/>
  <c r="CP30" i="7" s="1"/>
  <c r="CP24" i="7"/>
  <c r="CP25" i="7" s="1"/>
  <c r="CP35" i="7"/>
  <c r="CP19" i="7"/>
  <c r="CP20" i="7" s="1"/>
  <c r="AI44" i="7"/>
  <c r="AI45" i="7" s="1"/>
  <c r="AI29" i="7"/>
  <c r="AI30" i="7" s="1"/>
  <c r="AI19" i="7"/>
  <c r="AI20" i="7" s="1"/>
  <c r="AI35" i="7"/>
  <c r="AI24" i="7"/>
  <c r="AI25" i="7" s="1"/>
  <c r="AI39" i="7"/>
  <c r="AI40" i="7" s="1"/>
  <c r="BC44" i="7"/>
  <c r="BC45" i="7" s="1"/>
  <c r="BC24" i="7"/>
  <c r="BC25" i="7" s="1"/>
  <c r="BC35" i="7"/>
  <c r="BC39" i="7"/>
  <c r="BC40" i="7" s="1"/>
  <c r="BC19" i="7"/>
  <c r="BC20" i="7" s="1"/>
  <c r="BC29" i="7"/>
  <c r="BC30" i="7" s="1"/>
  <c r="BD25" i="5"/>
  <c r="DF84" i="5"/>
  <c r="AN34" i="5"/>
  <c r="AH31" i="5"/>
  <c r="DI27" i="5"/>
  <c r="AQ32" i="5"/>
  <c r="CM81" i="5"/>
  <c r="BD71" i="5"/>
  <c r="CC26" i="5"/>
  <c r="AO21" i="5"/>
  <c r="AU80" i="5"/>
  <c r="AY85" i="5"/>
  <c r="CL23" i="5"/>
  <c r="AS35" i="5"/>
  <c r="AM81" i="5"/>
  <c r="CD69" i="5"/>
  <c r="CN29" i="5"/>
  <c r="CD35" i="5"/>
  <c r="AI80" i="5"/>
  <c r="Y37" i="5"/>
  <c r="CS28" i="5"/>
  <c r="BU35" i="5"/>
  <c r="AK38" i="5"/>
  <c r="AD21" i="5"/>
  <c r="BJ79" i="5"/>
  <c r="AO76" i="5"/>
  <c r="BL78" i="5"/>
  <c r="BV76" i="5"/>
  <c r="AM80" i="5"/>
  <c r="DD22" i="5"/>
  <c r="AT28" i="5"/>
  <c r="CO25" i="5"/>
  <c r="AX21" i="5"/>
  <c r="AU38" i="5"/>
  <c r="BE75" i="5"/>
  <c r="DG74" i="5"/>
  <c r="AF77" i="5"/>
  <c r="AE75" i="5"/>
  <c r="Z27" i="5"/>
  <c r="AF24" i="5"/>
  <c r="CX72" i="5"/>
  <c r="AZ25" i="5"/>
  <c r="CY35" i="5"/>
  <c r="CI36" i="5"/>
  <c r="BC75" i="5"/>
  <c r="AU20" i="5"/>
  <c r="CK26" i="5"/>
  <c r="CR85" i="5"/>
  <c r="U35" i="5"/>
  <c r="AK80" i="5"/>
  <c r="S71" i="5"/>
  <c r="AT83" i="5"/>
  <c r="AC71" i="5"/>
  <c r="DA30" i="5"/>
  <c r="BG33" i="5"/>
  <c r="CV69" i="5"/>
  <c r="CI33" i="5"/>
  <c r="AO20" i="5"/>
  <c r="CV82" i="5"/>
  <c r="BR28" i="5"/>
  <c r="DH38" i="5"/>
  <c r="CI75" i="5"/>
  <c r="U79" i="5"/>
  <c r="CR81" i="5"/>
  <c r="W23" i="5"/>
  <c r="CW22" i="5"/>
  <c r="CL73" i="5"/>
  <c r="CO22" i="5"/>
  <c r="CR84" i="5"/>
  <c r="DD30" i="5"/>
  <c r="BG20" i="5"/>
  <c r="CE68" i="5"/>
  <c r="CD72" i="5"/>
  <c r="DL30" i="5"/>
  <c r="BW85" i="5"/>
  <c r="AY24" i="5"/>
  <c r="BU28" i="5"/>
  <c r="DH35" i="5"/>
  <c r="DC24" i="5"/>
  <c r="BW31" i="5"/>
  <c r="BL81" i="5"/>
  <c r="BR25" i="5"/>
  <c r="CB24" i="5"/>
  <c r="DK20" i="5"/>
  <c r="BF73" i="5"/>
  <c r="AQ38" i="5"/>
  <c r="BX38" i="5"/>
  <c r="AF38" i="5"/>
  <c r="AH35" i="5"/>
  <c r="BP22" i="5"/>
  <c r="AC21" i="5"/>
  <c r="AX73" i="5"/>
  <c r="CB75" i="5"/>
  <c r="DM75" i="5"/>
  <c r="BC38" i="5"/>
  <c r="DJ82" i="5"/>
  <c r="CH21" i="5"/>
  <c r="BL67" i="5"/>
  <c r="CY33" i="5"/>
  <c r="CE23" i="5"/>
  <c r="CK32" i="5"/>
  <c r="S73" i="5"/>
  <c r="V82" i="5"/>
  <c r="DD36" i="5"/>
  <c r="AR84" i="5"/>
  <c r="DD32" i="5"/>
  <c r="DL23" i="5"/>
  <c r="BG31" i="5"/>
  <c r="AD77" i="5"/>
  <c r="DH36" i="5"/>
  <c r="CC28" i="5"/>
  <c r="AS38" i="5"/>
  <c r="BT82" i="5"/>
  <c r="CM82" i="5"/>
  <c r="BB23" i="5"/>
  <c r="CU77" i="5"/>
  <c r="W22" i="5"/>
  <c r="BG85" i="5"/>
  <c r="AA29" i="5"/>
  <c r="BI69" i="5"/>
  <c r="BI83" i="5"/>
  <c r="AY68" i="5"/>
  <c r="AH38" i="5"/>
  <c r="BD30" i="5"/>
  <c r="BV38" i="5"/>
  <c r="CV37" i="5"/>
  <c r="BK80" i="5"/>
  <c r="DG77" i="5"/>
  <c r="AU27" i="5"/>
  <c r="BS68" i="5"/>
  <c r="CU21" i="5"/>
  <c r="CL68" i="5"/>
  <c r="BD27" i="5"/>
  <c r="BN85" i="5"/>
  <c r="BX80" i="5"/>
  <c r="CI77" i="5"/>
  <c r="BV24" i="5"/>
  <c r="BG70" i="5"/>
  <c r="CL67" i="5"/>
  <c r="BF29" i="5"/>
  <c r="BU69" i="5"/>
  <c r="CO76" i="5"/>
  <c r="BE38" i="5"/>
  <c r="AR36" i="5"/>
  <c r="CQ68" i="5"/>
  <c r="BS36" i="5"/>
  <c r="AA85" i="5"/>
  <c r="AB77" i="5"/>
  <c r="U67" i="5"/>
  <c r="BI76" i="5"/>
  <c r="BQ69" i="5"/>
  <c r="CI79" i="5"/>
  <c r="BW83" i="5"/>
  <c r="CJ80" i="5"/>
  <c r="CU74" i="5"/>
  <c r="AE38" i="5"/>
  <c r="CD23" i="5"/>
  <c r="BS78" i="5"/>
  <c r="AA27" i="5"/>
  <c r="AI79" i="5"/>
  <c r="BR22" i="5"/>
  <c r="DB75" i="5"/>
  <c r="AG28" i="5"/>
  <c r="AM79" i="5"/>
  <c r="AA20" i="5"/>
  <c r="BK75" i="5"/>
  <c r="CH85" i="5"/>
  <c r="DE37" i="5"/>
  <c r="BY36" i="5"/>
  <c r="AF21" i="5"/>
  <c r="AX23" i="5"/>
  <c r="Z20" i="5"/>
  <c r="CQ85" i="5"/>
  <c r="AU28" i="5"/>
  <c r="BB29" i="5"/>
  <c r="AV81" i="5"/>
  <c r="CZ80" i="5"/>
  <c r="CE24" i="5"/>
  <c r="BR84" i="5"/>
  <c r="CE33" i="5"/>
  <c r="U22" i="5"/>
  <c r="BT22" i="5"/>
  <c r="AP22" i="5"/>
  <c r="AA21" i="5"/>
  <c r="BH83" i="5"/>
  <c r="BC72" i="5"/>
  <c r="CS27" i="5"/>
  <c r="DL32" i="5"/>
  <c r="BO85" i="5"/>
  <c r="Z36" i="5"/>
  <c r="BM25" i="5"/>
  <c r="BF20" i="5"/>
  <c r="AW77" i="5"/>
  <c r="AS29" i="5"/>
  <c r="AB37" i="5"/>
  <c r="AV75" i="5"/>
  <c r="BW21" i="5"/>
  <c r="BN71" i="5"/>
  <c r="DL73" i="5"/>
  <c r="BG36" i="5"/>
  <c r="AU69" i="5"/>
  <c r="Y85" i="5"/>
  <c r="DM82" i="5"/>
  <c r="DA72" i="5"/>
  <c r="AR28" i="5"/>
  <c r="W78" i="5"/>
  <c r="BC80" i="5"/>
  <c r="BZ33" i="5"/>
  <c r="T31" i="5"/>
  <c r="BO22" i="5"/>
  <c r="DD31" i="5"/>
  <c r="BF74" i="5"/>
  <c r="BI38" i="5"/>
  <c r="DI71" i="5"/>
  <c r="CW78" i="5"/>
  <c r="CR26" i="5"/>
  <c r="DG70" i="5"/>
  <c r="AI38" i="5"/>
  <c r="X71" i="5"/>
  <c r="BW82" i="5"/>
  <c r="CP38" i="5"/>
  <c r="AW82" i="5"/>
  <c r="BE37" i="5"/>
  <c r="CJ82" i="5"/>
  <c r="CP26" i="5"/>
  <c r="BJ75" i="5"/>
  <c r="AL82" i="5"/>
  <c r="Z69" i="5"/>
  <c r="CG74" i="5"/>
  <c r="CJ38" i="5"/>
  <c r="CI68" i="5"/>
  <c r="BO70" i="5"/>
  <c r="BL38" i="5"/>
  <c r="BR26" i="5"/>
  <c r="AL22" i="5"/>
  <c r="DE34" i="5"/>
  <c r="AS83" i="5"/>
  <c r="AM75" i="5"/>
  <c r="BS35" i="5"/>
  <c r="AI70" i="5"/>
  <c r="AH33" i="5"/>
  <c r="AV78" i="5"/>
  <c r="CK29" i="5"/>
  <c r="BI68" i="5"/>
  <c r="BW34" i="5"/>
  <c r="CF77" i="5"/>
  <c r="S25" i="5"/>
  <c r="BY22" i="5"/>
  <c r="AR20" i="5"/>
  <c r="CF67" i="5"/>
  <c r="BS34" i="5"/>
  <c r="AY78" i="5"/>
  <c r="S83" i="5"/>
  <c r="CP76" i="5"/>
  <c r="AX85" i="5"/>
  <c r="BT27" i="5"/>
  <c r="DB74" i="5"/>
  <c r="CK20" i="5"/>
  <c r="AO24" i="5"/>
  <c r="BL79" i="5"/>
  <c r="CX32" i="5"/>
  <c r="AW34" i="5"/>
  <c r="AC69" i="5"/>
  <c r="AZ71" i="5"/>
  <c r="CS24" i="5"/>
  <c r="CE72" i="5"/>
  <c r="AI74" i="5"/>
  <c r="CB27" i="5"/>
  <c r="AU70" i="5"/>
  <c r="AV36" i="5"/>
  <c r="DK27" i="5"/>
  <c r="DI78" i="5"/>
  <c r="BQ20" i="5"/>
  <c r="AZ32" i="5"/>
  <c r="CS38" i="5"/>
  <c r="U74" i="5"/>
  <c r="AM27" i="5"/>
  <c r="AN36" i="5"/>
  <c r="AS68" i="5"/>
  <c r="AY67" i="5"/>
  <c r="AW69" i="5"/>
  <c r="AD74" i="5"/>
  <c r="AO25" i="5"/>
  <c r="BD80" i="5"/>
  <c r="CQ71" i="5"/>
  <c r="CH30" i="5"/>
  <c r="AS25" i="5"/>
  <c r="AH32" i="5"/>
  <c r="AV77" i="5"/>
  <c r="CU78" i="5"/>
  <c r="CD81" i="5"/>
  <c r="AP84" i="5"/>
  <c r="BU37" i="5"/>
  <c r="CO79" i="5"/>
  <c r="BY37" i="5"/>
  <c r="AG26" i="5"/>
  <c r="BX32" i="5"/>
  <c r="BO83" i="5"/>
  <c r="AY82" i="5"/>
  <c r="CQ27" i="5"/>
  <c r="AW28" i="5"/>
  <c r="CK74" i="5"/>
  <c r="BT24" i="5"/>
  <c r="AR35" i="5"/>
  <c r="AB74" i="5"/>
  <c r="CT77" i="5"/>
  <c r="AX80" i="5"/>
  <c r="BA20" i="5"/>
  <c r="CS35" i="5"/>
  <c r="CN33" i="5"/>
  <c r="BG27" i="5"/>
  <c r="BZ32" i="5"/>
  <c r="BX70" i="5"/>
  <c r="CY21" i="5"/>
  <c r="BG75" i="5"/>
  <c r="BB82" i="5"/>
  <c r="AD38" i="5"/>
  <c r="CZ29" i="5"/>
  <c r="AR22" i="5"/>
  <c r="CU76" i="5"/>
  <c r="AM68" i="5"/>
  <c r="BG71" i="5"/>
  <c r="AJ37" i="5"/>
  <c r="AE84" i="5"/>
  <c r="BF35" i="5"/>
  <c r="AV67" i="5"/>
  <c r="BV37" i="5"/>
  <c r="AQ26" i="5"/>
  <c r="BV82" i="5"/>
  <c r="CX27" i="5"/>
  <c r="BM32" i="5"/>
  <c r="AW32" i="5"/>
  <c r="DM29" i="5"/>
  <c r="AO80" i="5"/>
  <c r="BT30" i="5"/>
  <c r="AE30" i="5"/>
  <c r="AC34" i="5"/>
  <c r="CO31" i="5"/>
  <c r="CJ78" i="5"/>
  <c r="AJ25" i="5"/>
  <c r="DL75" i="5"/>
  <c r="BN28" i="5"/>
  <c r="AT29" i="5"/>
  <c r="Z79" i="5"/>
  <c r="BQ35" i="5"/>
  <c r="AA23" i="5"/>
  <c r="CT23" i="5"/>
  <c r="BF32" i="5"/>
  <c r="AT80" i="5"/>
  <c r="Z25" i="5"/>
  <c r="DA80" i="5"/>
  <c r="DK36" i="5"/>
  <c r="AM69" i="5"/>
  <c r="BW37" i="5"/>
  <c r="AE81" i="5"/>
  <c r="CB67" i="5"/>
  <c r="BH22" i="5"/>
  <c r="CZ32" i="5"/>
  <c r="BH25" i="5"/>
  <c r="CA26" i="5"/>
  <c r="AU35" i="5"/>
  <c r="BU77" i="5"/>
  <c r="AR78" i="5"/>
  <c r="AM31" i="5"/>
  <c r="DF73" i="5"/>
  <c r="CC71" i="5"/>
  <c r="BM78" i="5"/>
  <c r="CL27" i="5"/>
  <c r="AC30" i="5"/>
  <c r="AM37" i="5"/>
  <c r="AJ82" i="5"/>
  <c r="AW83" i="5"/>
  <c r="V68" i="5"/>
  <c r="V21" i="5"/>
  <c r="CG37" i="5"/>
  <c r="CG84" i="5"/>
  <c r="BJ77" i="5"/>
  <c r="BJ30" i="5"/>
  <c r="CC23" i="5"/>
  <c r="CC70" i="5"/>
  <c r="DE73" i="5"/>
  <c r="DE26" i="5"/>
  <c r="AI25" i="5"/>
  <c r="AZ20" i="5"/>
  <c r="CE73" i="5"/>
  <c r="CL28" i="5"/>
  <c r="BU81" i="5"/>
  <c r="AS37" i="5"/>
  <c r="Y21" i="5"/>
  <c r="DB79" i="5"/>
  <c r="DB32" i="5"/>
  <c r="BM36" i="5"/>
  <c r="BM83" i="5"/>
  <c r="BD38" i="5"/>
  <c r="BD85" i="5"/>
  <c r="CY81" i="5"/>
  <c r="DC37" i="5"/>
  <c r="AH75" i="5"/>
  <c r="AI83" i="5"/>
  <c r="CD78" i="5"/>
  <c r="BB72" i="5"/>
  <c r="BF34" i="5"/>
  <c r="AX67" i="5"/>
  <c r="DJ20" i="5"/>
  <c r="DA67" i="5"/>
  <c r="AF26" i="5"/>
  <c r="CF72" i="5"/>
  <c r="AV29" i="5"/>
  <c r="DK21" i="5"/>
  <c r="CQ29" i="5"/>
  <c r="DC72" i="5"/>
  <c r="CE79" i="5"/>
  <c r="CA78" i="5"/>
  <c r="BG72" i="5"/>
  <c r="AY84" i="5"/>
  <c r="AU81" i="5"/>
  <c r="AQ72" i="5"/>
  <c r="AQ83" i="5"/>
  <c r="AI81" i="5"/>
  <c r="AE72" i="5"/>
  <c r="AD35" i="5"/>
  <c r="DE76" i="5"/>
  <c r="BQ74" i="5"/>
  <c r="BX31" i="5"/>
  <c r="BJ67" i="5"/>
  <c r="BJ20" i="5"/>
  <c r="BA85" i="5"/>
  <c r="CZ25" i="5"/>
  <c r="CZ72" i="5"/>
  <c r="Z85" i="5"/>
  <c r="CW37" i="5"/>
  <c r="BE27" i="5"/>
  <c r="AO23" i="5"/>
  <c r="CB26" i="5"/>
  <c r="CN85" i="5"/>
  <c r="AF84" i="5"/>
  <c r="CF70" i="5"/>
  <c r="AM23" i="5"/>
  <c r="CE35" i="5"/>
  <c r="AA71" i="5"/>
  <c r="BZ28" i="5"/>
  <c r="DH72" i="5"/>
  <c r="DH25" i="5"/>
  <c r="BN81" i="5"/>
  <c r="BN34" i="5"/>
  <c r="DA21" i="5"/>
  <c r="CG72" i="5"/>
  <c r="AQ77" i="5"/>
  <c r="CL69" i="5"/>
  <c r="DI84" i="5"/>
  <c r="DI37" i="5"/>
  <c r="V29" i="5"/>
  <c r="V76" i="5"/>
  <c r="AB68" i="5"/>
  <c r="AB21" i="5"/>
  <c r="BY77" i="5"/>
  <c r="CS84" i="5"/>
  <c r="CI72" i="5"/>
  <c r="DB70" i="5"/>
  <c r="AK74" i="5"/>
  <c r="BL72" i="5"/>
  <c r="CF78" i="5"/>
  <c r="CA68" i="5"/>
  <c r="AP85" i="5"/>
  <c r="AD28" i="5"/>
  <c r="DK24" i="5"/>
  <c r="DC83" i="5"/>
  <c r="BB71" i="5"/>
  <c r="DH76" i="5"/>
  <c r="CY67" i="5"/>
  <c r="DC74" i="5"/>
  <c r="CT26" i="5"/>
  <c r="CL36" i="5"/>
  <c r="AL33" i="5"/>
  <c r="BU29" i="5"/>
  <c r="CO20" i="5"/>
  <c r="BQ81" i="5"/>
  <c r="Y20" i="5"/>
  <c r="CR32" i="5"/>
  <c r="BX20" i="5"/>
  <c r="AN85" i="5"/>
  <c r="BH27" i="5"/>
  <c r="DH22" i="5"/>
  <c r="CU37" i="5"/>
  <c r="DC82" i="5"/>
  <c r="BK22" i="5"/>
  <c r="AH84" i="5"/>
  <c r="BG37" i="5"/>
  <c r="S79" i="5"/>
  <c r="S32" i="5"/>
  <c r="DB67" i="5"/>
  <c r="CL77" i="5"/>
  <c r="BF70" i="5"/>
  <c r="AL84" i="5"/>
  <c r="DM78" i="5"/>
  <c r="AZ29" i="5"/>
  <c r="CT67" i="5"/>
  <c r="CT20" i="5"/>
  <c r="U34" i="5"/>
  <c r="U81" i="5"/>
  <c r="BT32" i="5"/>
  <c r="BT79" i="5"/>
  <c r="DB82" i="5"/>
  <c r="Y36" i="5"/>
  <c r="BP68" i="5"/>
  <c r="DH74" i="5"/>
  <c r="CK83" i="5"/>
  <c r="DE67" i="5"/>
  <c r="CZ28" i="5"/>
  <c r="CJ70" i="5"/>
  <c r="BD21" i="5"/>
  <c r="CV75" i="5"/>
  <c r="W30" i="5"/>
  <c r="AN37" i="5"/>
  <c r="CV79" i="5"/>
  <c r="BA74" i="5"/>
  <c r="AK77" i="5"/>
  <c r="DE30" i="5"/>
  <c r="CZ73" i="5"/>
  <c r="BN26" i="5"/>
  <c r="BN73" i="5"/>
  <c r="AP26" i="5"/>
  <c r="AI68" i="5"/>
  <c r="S68" i="5"/>
  <c r="BV72" i="5"/>
  <c r="BF22" i="5"/>
  <c r="AT24" i="5"/>
  <c r="AG22" i="5"/>
  <c r="CR25" i="5"/>
  <c r="CR72" i="5"/>
  <c r="CC80" i="5"/>
  <c r="CC33" i="5"/>
  <c r="CL24" i="5"/>
  <c r="AD73" i="5"/>
  <c r="DF36" i="5"/>
  <c r="DB37" i="5"/>
  <c r="CW25" i="5"/>
  <c r="U85" i="5"/>
  <c r="U38" i="5"/>
  <c r="BQ37" i="5"/>
  <c r="CS21" i="5"/>
  <c r="BE30" i="5"/>
  <c r="BE77" i="5"/>
  <c r="BH37" i="5"/>
  <c r="DD26" i="5"/>
  <c r="BW22" i="5"/>
  <c r="AP68" i="5"/>
  <c r="AJ68" i="5"/>
  <c r="CV81" i="5"/>
  <c r="CF84" i="5"/>
  <c r="AZ77" i="5"/>
  <c r="CU34" i="5"/>
  <c r="DC73" i="5"/>
  <c r="BS72" i="5"/>
  <c r="BC24" i="5"/>
  <c r="AQ84" i="5"/>
  <c r="CX29" i="5"/>
  <c r="Z71" i="5"/>
  <c r="U23" i="5"/>
  <c r="CJ25" i="5"/>
  <c r="BL23" i="5"/>
  <c r="BH28" i="5"/>
  <c r="BZ82" i="5"/>
  <c r="CF79" i="5"/>
  <c r="BJ76" i="5"/>
  <c r="AW25" i="5"/>
  <c r="CN71" i="5"/>
  <c r="AY76" i="5"/>
  <c r="AB24" i="5"/>
  <c r="BS77" i="5"/>
  <c r="AQ24" i="5"/>
  <c r="CL33" i="5"/>
  <c r="BI67" i="5"/>
  <c r="DI85" i="5"/>
  <c r="AG81" i="5"/>
  <c r="CJ26" i="5"/>
  <c r="AN82" i="5"/>
  <c r="BH73" i="5"/>
  <c r="DH33" i="5"/>
  <c r="W81" i="5"/>
  <c r="DL27" i="5"/>
  <c r="CD32" i="5"/>
  <c r="AO69" i="5"/>
  <c r="CV83" i="5"/>
  <c r="BP26" i="5"/>
  <c r="AE80" i="5"/>
  <c r="AP79" i="5"/>
  <c r="AO85" i="5"/>
  <c r="U80" i="5"/>
  <c r="CR70" i="5"/>
  <c r="AF80" i="5"/>
  <c r="CE20" i="5"/>
  <c r="S37" i="5"/>
  <c r="CK75" i="5"/>
  <c r="BA32" i="5"/>
  <c r="BY82" i="5"/>
  <c r="AG80" i="5"/>
  <c r="CJ29" i="5"/>
  <c r="BL71" i="5"/>
  <c r="BH68" i="5"/>
  <c r="DG33" i="5"/>
  <c r="BZ68" i="5"/>
  <c r="CS72" i="5"/>
  <c r="CI22" i="5"/>
  <c r="DL36" i="5"/>
  <c r="CE34" i="5"/>
  <c r="BB79" i="5"/>
  <c r="AO37" i="5"/>
  <c r="BL35" i="5"/>
  <c r="DG82" i="5"/>
  <c r="AE29" i="5"/>
  <c r="BR67" i="5"/>
  <c r="X83" i="5"/>
  <c r="CF34" i="5"/>
  <c r="CU70" i="5"/>
  <c r="CM71" i="5"/>
  <c r="CE84" i="5"/>
  <c r="CA20" i="5"/>
  <c r="AU37" i="5"/>
  <c r="AA69" i="5"/>
  <c r="AD37" i="5"/>
  <c r="AK20" i="5"/>
  <c r="BX68" i="5"/>
  <c r="AG23" i="5"/>
  <c r="X28" i="5"/>
  <c r="CN82" i="5"/>
  <c r="DB24" i="5"/>
  <c r="CL31" i="5"/>
  <c r="CK24" i="5"/>
  <c r="BI26" i="5"/>
  <c r="CW82" i="5"/>
  <c r="CG31" i="5"/>
  <c r="BS75" i="5"/>
  <c r="AY74" i="5"/>
  <c r="S33" i="5"/>
  <c r="CH75" i="5"/>
  <c r="BZ24" i="5"/>
  <c r="BB22" i="5"/>
  <c r="AP31" i="5"/>
  <c r="AH81" i="5"/>
  <c r="AN22" i="5"/>
  <c r="AB32" i="5"/>
  <c r="CU20" i="5"/>
  <c r="BT26" i="5"/>
  <c r="BD31" i="5"/>
  <c r="DL31" i="5"/>
  <c r="BG79" i="5"/>
  <c r="AQ34" i="5"/>
  <c r="AE71" i="5"/>
  <c r="DF34" i="5"/>
  <c r="BJ70" i="5"/>
  <c r="Z78" i="5"/>
  <c r="V75" i="5"/>
  <c r="BI35" i="5"/>
  <c r="DA75" i="5"/>
  <c r="CG35" i="5"/>
  <c r="U26" i="5"/>
  <c r="CR67" i="5"/>
  <c r="BT38" i="5"/>
  <c r="T27" i="5"/>
  <c r="AM30" i="5"/>
  <c r="BS71" i="5"/>
  <c r="AY30" i="5"/>
  <c r="AU73" i="5"/>
  <c r="CD84" i="5"/>
  <c r="CZ74" i="5"/>
  <c r="BL22" i="5"/>
  <c r="BP76" i="5"/>
  <c r="AY81" i="5"/>
  <c r="CH74" i="5"/>
  <c r="X21" i="5"/>
  <c r="AI84" i="5"/>
  <c r="CT29" i="5"/>
  <c r="BF71" i="5"/>
  <c r="DG68" i="5"/>
  <c r="CE69" i="5"/>
  <c r="AG24" i="5"/>
  <c r="CZ70" i="5"/>
  <c r="CS70" i="5"/>
  <c r="CT72" i="5"/>
  <c r="BH78" i="5"/>
  <c r="DH24" i="5"/>
  <c r="CA71" i="5"/>
  <c r="BV23" i="5"/>
  <c r="AF76" i="5"/>
  <c r="CM32" i="5"/>
  <c r="BO32" i="5"/>
  <c r="BW75" i="5"/>
  <c r="BV69" i="5"/>
  <c r="AP77" i="5"/>
  <c r="AG37" i="5"/>
  <c r="BD70" i="5"/>
  <c r="CY72" i="5"/>
  <c r="DC20" i="5"/>
  <c r="DM22" i="5"/>
  <c r="CT27" i="5"/>
  <c r="BU80" i="5"/>
  <c r="DI81" i="5"/>
  <c r="BQ80" i="5"/>
  <c r="BE35" i="5"/>
  <c r="AG78" i="5"/>
  <c r="BN76" i="5"/>
  <c r="AT79" i="5"/>
  <c r="DJ70" i="5"/>
  <c r="CO85" i="5"/>
  <c r="DF78" i="5"/>
  <c r="CT78" i="5"/>
  <c r="BF21" i="5"/>
  <c r="V85" i="5"/>
  <c r="CF76" i="5"/>
  <c r="CA28" i="5"/>
  <c r="BR74" i="5"/>
  <c r="CI78" i="5"/>
  <c r="BJ33" i="5"/>
  <c r="AL67" i="5"/>
  <c r="DI35" i="5"/>
  <c r="CW81" i="5"/>
  <c r="AN24" i="5"/>
  <c r="CN31" i="5"/>
  <c r="CF68" i="5"/>
  <c r="CU32" i="5"/>
  <c r="DC68" i="5"/>
  <c r="AE26" i="5"/>
  <c r="AP27" i="5"/>
  <c r="W79" i="5"/>
  <c r="BW27" i="5"/>
  <c r="BI75" i="5"/>
  <c r="CT28" i="5"/>
  <c r="AL38" i="5"/>
  <c r="CP30" i="5"/>
  <c r="BN23" i="5"/>
  <c r="AX27" i="5"/>
  <c r="BU32" i="5"/>
  <c r="AC76" i="5"/>
  <c r="CW77" i="5"/>
  <c r="CO34" i="5"/>
  <c r="BQ76" i="5"/>
  <c r="AO28" i="5"/>
  <c r="CZ69" i="5"/>
  <c r="CB82" i="5"/>
  <c r="BL74" i="5"/>
  <c r="AN23" i="5"/>
  <c r="AB36" i="5"/>
  <c r="CV80" i="5"/>
  <c r="W21" i="5"/>
  <c r="CE74" i="5"/>
  <c r="BS80" i="5"/>
  <c r="S34" i="5"/>
  <c r="CH35" i="5"/>
  <c r="AY25" i="5"/>
  <c r="BP38" i="5"/>
  <c r="BP85" i="5"/>
  <c r="DM38" i="5"/>
  <c r="BQ23" i="5"/>
  <c r="T81" i="5"/>
  <c r="DK28" i="5"/>
  <c r="DK75" i="5"/>
  <c r="CU28" i="5"/>
  <c r="CU75" i="5"/>
  <c r="CT81" i="5"/>
  <c r="CT34" i="5"/>
  <c r="AL31" i="5"/>
  <c r="AL78" i="5"/>
  <c r="CJ24" i="5"/>
  <c r="CJ71" i="5"/>
  <c r="AZ74" i="5"/>
  <c r="AZ27" i="5"/>
  <c r="AV37" i="5"/>
  <c r="AV84" i="5"/>
  <c r="BK38" i="5"/>
  <c r="BK85" i="5"/>
  <c r="CG68" i="5"/>
  <c r="CG21" i="5"/>
  <c r="CZ85" i="5"/>
  <c r="CZ38" i="5"/>
  <c r="BL80" i="5"/>
  <c r="BL33" i="5"/>
  <c r="X34" i="5"/>
  <c r="X81" i="5"/>
  <c r="DH73" i="5"/>
  <c r="DH26" i="5"/>
  <c r="CY38" i="5"/>
  <c r="CY85" i="5"/>
  <c r="DH31" i="5"/>
  <c r="DH78" i="5"/>
  <c r="CU80" i="5"/>
  <c r="CU33" i="5"/>
  <c r="CI20" i="5"/>
  <c r="CI67" i="5"/>
  <c r="DI33" i="5"/>
  <c r="AZ81" i="5"/>
  <c r="AJ77" i="5"/>
  <c r="T29" i="5"/>
  <c r="CN22" i="5"/>
  <c r="AV22" i="5"/>
  <c r="DG72" i="5"/>
  <c r="CQ83" i="5"/>
  <c r="AM36" i="5"/>
  <c r="DL29" i="5"/>
  <c r="CA77" i="5"/>
  <c r="BG29" i="5"/>
  <c r="AU21" i="5"/>
  <c r="AA79" i="5"/>
  <c r="BZ83" i="5"/>
  <c r="X77" i="5"/>
  <c r="AM85" i="5"/>
  <c r="CA79" i="5"/>
  <c r="AU72" i="5"/>
  <c r="AD83" i="5"/>
  <c r="BO27" i="5"/>
  <c r="AP35" i="5"/>
  <c r="BA35" i="5"/>
  <c r="BA82" i="5"/>
  <c r="U83" i="5"/>
  <c r="U36" i="5"/>
  <c r="CH34" i="5"/>
  <c r="CH81" i="5"/>
  <c r="CD30" i="5"/>
  <c r="CD77" i="5"/>
  <c r="BV67" i="5"/>
  <c r="BV20" i="5"/>
  <c r="DE69" i="5"/>
  <c r="AS30" i="5"/>
  <c r="CR31" i="5"/>
  <c r="AV72" i="5"/>
  <c r="CQ26" i="5"/>
  <c r="DC22" i="5"/>
  <c r="BK78" i="5"/>
  <c r="AE79" i="5"/>
  <c r="CX26" i="5"/>
  <c r="CX73" i="5"/>
  <c r="AT77" i="5"/>
  <c r="AT30" i="5"/>
  <c r="BM76" i="5"/>
  <c r="BM29" i="5"/>
  <c r="DA69" i="5"/>
  <c r="DA22" i="5"/>
  <c r="DG38" i="5"/>
  <c r="DG85" i="5"/>
  <c r="CM21" i="5"/>
  <c r="DF29" i="5"/>
  <c r="CK21" i="5"/>
  <c r="CG33" i="5"/>
  <c r="CX24" i="5"/>
  <c r="BJ27" i="5"/>
  <c r="AT70" i="5"/>
  <c r="V81" i="5"/>
  <c r="BM85" i="5"/>
  <c r="AW38" i="5"/>
  <c r="DJ79" i="5"/>
  <c r="DM84" i="5"/>
  <c r="CO70" i="5"/>
  <c r="BE68" i="5"/>
  <c r="AG67" i="5"/>
  <c r="CR27" i="5"/>
  <c r="BX81" i="5"/>
  <c r="BD35" i="5"/>
  <c r="AJ70" i="5"/>
  <c r="X20" i="5"/>
  <c r="CV70" i="5"/>
  <c r="BH67" i="5"/>
  <c r="DK22" i="5"/>
  <c r="CU72" i="5"/>
  <c r="BO75" i="5"/>
  <c r="DD29" i="5"/>
  <c r="AY79" i="5"/>
  <c r="BR79" i="5"/>
  <c r="CV72" i="5"/>
  <c r="BO81" i="5"/>
  <c r="DL21" i="5"/>
  <c r="BC70" i="5"/>
  <c r="CH67" i="5"/>
  <c r="BZ74" i="5"/>
  <c r="CF75" i="5"/>
  <c r="BH76" i="5"/>
  <c r="BH29" i="5"/>
  <c r="DF82" i="5"/>
  <c r="DB78" i="5"/>
  <c r="BN22" i="5"/>
  <c r="BN69" i="5"/>
  <c r="CK25" i="5"/>
  <c r="AO35" i="5"/>
  <c r="BT20" i="5"/>
  <c r="BT67" i="5"/>
  <c r="AF75" i="5"/>
  <c r="AF28" i="5"/>
  <c r="CS29" i="5"/>
  <c r="BF80" i="5"/>
  <c r="BA21" i="5"/>
  <c r="AF79" i="5"/>
  <c r="CY75" i="5"/>
  <c r="W35" i="5"/>
  <c r="BW67" i="5"/>
  <c r="AI77" i="5"/>
  <c r="CM75" i="5"/>
  <c r="BO37" i="5"/>
  <c r="AH21" i="5"/>
  <c r="V27" i="5"/>
  <c r="V74" i="5"/>
  <c r="DE23" i="5"/>
  <c r="DE70" i="5"/>
  <c r="AS33" i="5"/>
  <c r="DG67" i="5"/>
  <c r="DG20" i="5"/>
  <c r="CQ84" i="5"/>
  <c r="CQ37" i="5"/>
  <c r="BB34" i="5"/>
  <c r="BB81" i="5"/>
  <c r="AV68" i="5"/>
  <c r="AV21" i="5"/>
  <c r="DG76" i="5"/>
  <c r="DG29" i="5"/>
  <c r="CQ82" i="5"/>
  <c r="CQ35" i="5"/>
  <c r="BP83" i="5"/>
  <c r="CM20" i="5"/>
  <c r="BK70" i="5"/>
  <c r="AA37" i="5"/>
  <c r="AV70" i="5"/>
  <c r="BW24" i="5"/>
  <c r="AU79" i="5"/>
  <c r="Z73" i="5"/>
  <c r="BE67" i="5"/>
  <c r="BE20" i="5"/>
  <c r="CB85" i="5"/>
  <c r="CB38" i="5"/>
  <c r="CI29" i="5"/>
  <c r="W75" i="5"/>
  <c r="CH72" i="5"/>
  <c r="CH25" i="5"/>
  <c r="BZ23" i="5"/>
  <c r="BZ70" i="5"/>
  <c r="AD78" i="5"/>
  <c r="AD31" i="5"/>
  <c r="AS70" i="5"/>
  <c r="AS23" i="5"/>
  <c r="CC79" i="5"/>
  <c r="CC32" i="5"/>
  <c r="CE78" i="5"/>
  <c r="BA84" i="5"/>
  <c r="BA37" i="5"/>
  <c r="DJ75" i="5"/>
  <c r="CG75" i="5"/>
  <c r="AS27" i="5"/>
  <c r="Y75" i="5"/>
  <c r="CJ83" i="5"/>
  <c r="AQ33" i="5"/>
  <c r="CH78" i="5"/>
  <c r="CH31" i="5"/>
  <c r="CX20" i="5"/>
  <c r="CX67" i="5"/>
  <c r="Z75" i="5"/>
  <c r="CH33" i="5"/>
  <c r="BB21" i="5"/>
  <c r="BW33" i="5"/>
  <c r="CX70" i="5"/>
  <c r="V22" i="5"/>
  <c r="BM20" i="5"/>
  <c r="AC84" i="5"/>
  <c r="BZ78" i="5"/>
  <c r="BZ31" i="5"/>
  <c r="CW33" i="5"/>
  <c r="CW80" i="5"/>
  <c r="AR72" i="5"/>
  <c r="AF81" i="5"/>
  <c r="AB26" i="5"/>
  <c r="T83" i="5"/>
  <c r="CV85" i="5"/>
  <c r="CN30" i="5"/>
  <c r="BK72" i="5"/>
  <c r="BC37" i="5"/>
  <c r="AY83" i="5"/>
  <c r="AQ27" i="5"/>
  <c r="AE20" i="5"/>
  <c r="BV77" i="5"/>
  <c r="DL35" i="5"/>
  <c r="CH37" i="5"/>
  <c r="BZ77" i="5"/>
  <c r="AH67" i="5"/>
  <c r="CT85" i="5"/>
  <c r="AX72" i="5"/>
  <c r="AT27" i="5"/>
  <c r="AL79" i="5"/>
  <c r="AL76" i="5"/>
  <c r="CK33" i="5"/>
  <c r="CK80" i="5"/>
  <c r="BA33" i="5"/>
  <c r="DI67" i="5"/>
  <c r="BY38" i="5"/>
  <c r="AS75" i="5"/>
  <c r="U25" i="5"/>
  <c r="CB84" i="5"/>
  <c r="BB37" i="5"/>
  <c r="DF23" i="5"/>
  <c r="CG67" i="5"/>
  <c r="CG20" i="5"/>
  <c r="DF28" i="5"/>
  <c r="CV77" i="5"/>
  <c r="BH79" i="5"/>
  <c r="AV26" i="5"/>
  <c r="DD21" i="5"/>
  <c r="DL81" i="5"/>
  <c r="CA70" i="5"/>
  <c r="BW29" i="5"/>
  <c r="BS20" i="5"/>
  <c r="BK83" i="5"/>
  <c r="BK35" i="5"/>
  <c r="BG21" i="5"/>
  <c r="AA82" i="5"/>
  <c r="BB85" i="5"/>
  <c r="AP71" i="5"/>
  <c r="AH77" i="5"/>
  <c r="AD79" i="5"/>
  <c r="W27" i="5"/>
  <c r="DD85" i="5"/>
  <c r="DC75" i="5"/>
  <c r="CA29" i="5"/>
  <c r="BW32" i="5"/>
  <c r="CV26" i="5"/>
  <c r="DG22" i="5"/>
  <c r="BC27" i="5"/>
  <c r="CP75" i="5"/>
  <c r="CP22" i="5"/>
  <c r="CX81" i="5"/>
  <c r="BN78" i="5"/>
  <c r="BJ36" i="5"/>
  <c r="BF84" i="5"/>
  <c r="AK84" i="5"/>
  <c r="AK37" i="5"/>
  <c r="CO33" i="5"/>
  <c r="CO80" i="5"/>
  <c r="BQ85" i="5"/>
  <c r="AO81" i="5"/>
  <c r="CZ21" i="5"/>
  <c r="BX77" i="5"/>
  <c r="AC85" i="5"/>
  <c r="AC38" i="5"/>
  <c r="CR83" i="5"/>
  <c r="CR36" i="5"/>
  <c r="BM21" i="5"/>
  <c r="BM68" i="5"/>
  <c r="AD22" i="5"/>
  <c r="CP78" i="5"/>
  <c r="CX28" i="5"/>
  <c r="BJ69" i="5"/>
  <c r="AX31" i="5"/>
  <c r="BI23" i="5"/>
  <c r="DE79" i="5"/>
  <c r="BX24" i="5"/>
  <c r="AB29" i="5"/>
  <c r="CS22" i="5"/>
  <c r="CM29" i="5"/>
  <c r="CI35" i="5"/>
  <c r="BO25" i="5"/>
  <c r="AM26" i="5"/>
  <c r="W33" i="5"/>
  <c r="CH22" i="5"/>
  <c r="CD27" i="5"/>
  <c r="BZ81" i="5"/>
  <c r="BZ29" i="5"/>
  <c r="BV36" i="5"/>
  <c r="BB20" i="5"/>
  <c r="BH71" i="5"/>
  <c r="DH79" i="5"/>
  <c r="DK70" i="5"/>
  <c r="CY79" i="5"/>
  <c r="CQ67" i="5"/>
  <c r="CM77" i="5"/>
  <c r="BO35" i="5"/>
  <c r="W83" i="5"/>
  <c r="BB27" i="5"/>
  <c r="CX68" i="5"/>
  <c r="CK23" i="5"/>
  <c r="BM28" i="5"/>
  <c r="DI68" i="5"/>
  <c r="CG32" i="5"/>
  <c r="BE73" i="5"/>
  <c r="Y23" i="5"/>
  <c r="CJ34" i="5"/>
  <c r="DG34" i="5"/>
  <c r="CX36" i="5"/>
  <c r="CT79" i="5"/>
  <c r="CT32" i="5"/>
  <c r="DM67" i="5"/>
  <c r="DA37" i="5"/>
  <c r="DA84" i="5"/>
  <c r="Y77" i="5"/>
  <c r="CP74" i="5"/>
  <c r="AL73" i="5"/>
  <c r="V78" i="5"/>
  <c r="CC68" i="5"/>
  <c r="BR81" i="5"/>
  <c r="AH22" i="5"/>
  <c r="BW23" i="5"/>
  <c r="BN33" i="5"/>
  <c r="V67" i="5"/>
  <c r="AW84" i="5"/>
  <c r="CW20" i="5"/>
  <c r="BY67" i="5"/>
  <c r="AO79" i="5"/>
  <c r="U71" i="5"/>
  <c r="CB22" i="5"/>
  <c r="AP33" i="5"/>
  <c r="BA69" i="5"/>
  <c r="AN67" i="5"/>
  <c r="AN20" i="5"/>
  <c r="CN21" i="5"/>
  <c r="CW83" i="5"/>
  <c r="CW36" i="5"/>
  <c r="AK22" i="5"/>
  <c r="DE75" i="5"/>
  <c r="DA73" i="5"/>
  <c r="BY28" i="5"/>
  <c r="AG32" i="5"/>
  <c r="CZ82" i="5"/>
  <c r="CB34" i="5"/>
  <c r="BD83" i="5"/>
  <c r="AJ74" i="5"/>
  <c r="AF25" i="5"/>
  <c r="T85" i="5"/>
  <c r="BP28" i="5"/>
  <c r="AV32" i="5"/>
  <c r="DK29" i="5"/>
  <c r="DG32" i="5"/>
  <c r="CM25" i="5"/>
  <c r="DD27" i="5"/>
  <c r="DD74" i="5"/>
  <c r="CY23" i="5"/>
  <c r="CY70" i="5"/>
  <c r="BU21" i="5"/>
  <c r="BU68" i="5"/>
  <c r="AW33" i="5"/>
  <c r="AW80" i="5"/>
  <c r="AK23" i="5"/>
  <c r="AK70" i="5"/>
  <c r="AB75" i="5"/>
  <c r="CY26" i="5"/>
  <c r="CY73" i="5"/>
  <c r="AE35" i="5"/>
  <c r="AE82" i="5"/>
  <c r="BO78" i="5"/>
  <c r="BO31" i="5"/>
  <c r="CT35" i="5"/>
  <c r="CT82" i="5"/>
  <c r="DM27" i="5"/>
  <c r="DM74" i="5"/>
  <c r="BT75" i="5"/>
  <c r="BT28" i="5"/>
  <c r="AJ33" i="5"/>
  <c r="AJ80" i="5"/>
  <c r="AB22" i="5"/>
  <c r="AB69" i="5"/>
  <c r="CS80" i="5"/>
  <c r="CS33" i="5"/>
  <c r="DH37" i="5"/>
  <c r="DH84" i="5"/>
  <c r="BZ26" i="5"/>
  <c r="AR34" i="5"/>
  <c r="AJ75" i="5"/>
  <c r="T73" i="5"/>
  <c r="T26" i="5"/>
  <c r="BH33" i="5"/>
  <c r="DH81" i="5"/>
  <c r="DH34" i="5"/>
  <c r="CM80" i="5"/>
  <c r="DL38" i="5"/>
  <c r="BR77" i="5"/>
  <c r="AH74" i="5"/>
  <c r="BM70" i="5"/>
  <c r="Y29" i="5"/>
  <c r="Y76" i="5"/>
  <c r="DJ78" i="5"/>
  <c r="Y79" i="5"/>
  <c r="AJ78" i="5"/>
  <c r="BC77" i="5"/>
  <c r="BC30" i="5"/>
  <c r="AQ35" i="5"/>
  <c r="BX28" i="5"/>
  <c r="AR74" i="5"/>
  <c r="AN73" i="5"/>
  <c r="AN26" i="5"/>
  <c r="BZ84" i="5"/>
  <c r="CP35" i="5"/>
  <c r="DB85" i="5"/>
  <c r="AW27" i="5"/>
  <c r="AK72" i="5"/>
  <c r="CV67" i="5"/>
  <c r="CV20" i="5"/>
  <c r="CK85" i="5"/>
  <c r="DG84" i="5"/>
  <c r="CQ31" i="5"/>
  <c r="BW77" i="5"/>
  <c r="BW30" i="5"/>
  <c r="BK81" i="5"/>
  <c r="AU29" i="5"/>
  <c r="AA31" i="5"/>
  <c r="CD80" i="5"/>
  <c r="BB83" i="5"/>
  <c r="U78" i="5"/>
  <c r="U31" i="5"/>
  <c r="DL72" i="5"/>
  <c r="BC32" i="5"/>
  <c r="CB76" i="5"/>
  <c r="CB29" i="5"/>
  <c r="BV68" i="5"/>
  <c r="BV21" i="5"/>
  <c r="BB75" i="5"/>
  <c r="BB28" i="5"/>
  <c r="AD23" i="5"/>
  <c r="AD70" i="5"/>
  <c r="CL29" i="5"/>
  <c r="V71" i="5"/>
  <c r="DJ33" i="5"/>
  <c r="CN25" i="5"/>
  <c r="CN72" i="5"/>
  <c r="CZ81" i="5"/>
  <c r="CZ34" i="5"/>
  <c r="BN21" i="5"/>
  <c r="BN68" i="5"/>
  <c r="BE32" i="5"/>
  <c r="BE79" i="5"/>
  <c r="AZ21" i="5"/>
  <c r="AZ68" i="5"/>
  <c r="BP72" i="5"/>
  <c r="BP25" i="5"/>
  <c r="DK31" i="5"/>
  <c r="DK78" i="5"/>
  <c r="AY75" i="5"/>
  <c r="AE21" i="5"/>
  <c r="CH29" i="5"/>
  <c r="AZ80" i="5"/>
  <c r="DK33" i="5"/>
  <c r="CU35" i="5"/>
  <c r="CA35" i="5"/>
  <c r="BK21" i="5"/>
  <c r="Y33" i="5"/>
  <c r="BL36" i="5"/>
  <c r="CH73" i="5"/>
  <c r="CP80" i="5"/>
  <c r="AS31" i="5"/>
  <c r="AS78" i="5"/>
  <c r="CB68" i="5"/>
  <c r="CB21" i="5"/>
  <c r="CY31" i="5"/>
  <c r="CY78" i="5"/>
  <c r="BX69" i="5"/>
  <c r="BU72" i="5"/>
  <c r="CN84" i="5"/>
  <c r="DH68" i="5"/>
  <c r="BO30" i="5"/>
  <c r="DL69" i="5"/>
  <c r="S31" i="5"/>
  <c r="CD20" i="5"/>
  <c r="AP23" i="5"/>
  <c r="CZ78" i="5"/>
  <c r="CS73" i="5"/>
  <c r="DC80" i="5"/>
  <c r="DC33" i="5"/>
  <c r="AQ69" i="5"/>
  <c r="AE31" i="5"/>
  <c r="CD71" i="5"/>
  <c r="AJ83" i="5"/>
  <c r="CF71" i="5"/>
  <c r="CQ33" i="5"/>
  <c r="W71" i="5"/>
  <c r="CD73" i="5"/>
  <c r="CD26" i="5"/>
  <c r="AP29" i="5"/>
  <c r="DJ69" i="5"/>
  <c r="DE33" i="5"/>
  <c r="BE31" i="5"/>
  <c r="BE78" i="5"/>
  <c r="CZ71" i="5"/>
  <c r="CZ24" i="5"/>
  <c r="BT76" i="5"/>
  <c r="BT29" i="5"/>
  <c r="AZ84" i="5"/>
  <c r="AZ37" i="5"/>
  <c r="AF20" i="5"/>
  <c r="AF67" i="5"/>
  <c r="X78" i="5"/>
  <c r="X31" i="5"/>
  <c r="BM22" i="5"/>
  <c r="AC32" i="5"/>
  <c r="AI24" i="5"/>
  <c r="AD72" i="5"/>
  <c r="CF82" i="5"/>
  <c r="DC34" i="5"/>
  <c r="AE22" i="5"/>
  <c r="BR82" i="5"/>
  <c r="BX37" i="5"/>
  <c r="CE77" i="5"/>
  <c r="CM36" i="5"/>
  <c r="W20" i="5"/>
  <c r="BC21" i="5"/>
  <c r="AQ23" i="5"/>
  <c r="AP36" i="5"/>
  <c r="AH26" i="5"/>
  <c r="BT72" i="5"/>
  <c r="AJ34" i="5"/>
  <c r="T77" i="5"/>
  <c r="DK26" i="5"/>
  <c r="DD71" i="5"/>
  <c r="BS22" i="5"/>
  <c r="AQ76" i="5"/>
  <c r="BZ38" i="5"/>
  <c r="CB36" i="5"/>
  <c r="AZ28" i="5"/>
  <c r="CF27" i="5"/>
  <c r="CU26" i="5"/>
  <c r="CI37" i="5"/>
  <c r="DL33" i="5"/>
  <c r="BG26" i="5"/>
  <c r="S29" i="5"/>
  <c r="AG29" i="5"/>
  <c r="AF31" i="5"/>
  <c r="CH83" i="5"/>
  <c r="CR75" i="5"/>
  <c r="T72" i="5"/>
  <c r="AA25" i="5"/>
  <c r="AJ79" i="5"/>
  <c r="CY24" i="5"/>
  <c r="CQ77" i="5"/>
  <c r="CM23" i="5"/>
  <c r="BC34" i="5"/>
  <c r="AA36" i="5"/>
  <c r="CR30" i="5"/>
  <c r="BP77" i="5"/>
  <c r="BO20" i="5"/>
  <c r="DD23" i="5"/>
  <c r="DC79" i="5"/>
  <c r="BK29" i="5"/>
  <c r="AQ75" i="5"/>
  <c r="S70" i="5"/>
  <c r="AH71" i="5"/>
  <c r="CR21" i="5"/>
  <c r="AZ26" i="5"/>
  <c r="AN77" i="5"/>
  <c r="DK38" i="5"/>
  <c r="W72" i="5"/>
  <c r="BK67" i="5"/>
  <c r="AU30" i="5"/>
  <c r="CD29" i="5"/>
  <c r="CJ27" i="5"/>
  <c r="CS77" i="5"/>
  <c r="BP78" i="5"/>
  <c r="CU22" i="5"/>
  <c r="BO26" i="5"/>
  <c r="DD75" i="5"/>
  <c r="BC76" i="5"/>
  <c r="AA33" i="5"/>
  <c r="DF77" i="5"/>
  <c r="CZ30" i="5"/>
  <c r="AB38" i="5"/>
  <c r="CV71" i="5"/>
  <c r="AV80" i="5"/>
  <c r="CM31" i="5"/>
  <c r="W73" i="5"/>
  <c r="BC35" i="5"/>
  <c r="AP34" i="5"/>
  <c r="X26" i="5"/>
  <c r="DH23" i="5"/>
  <c r="BS23" i="5"/>
  <c r="Y35" i="5"/>
  <c r="AZ70" i="5"/>
  <c r="CF33" i="5"/>
  <c r="CI81" i="5"/>
  <c r="BK26" i="5"/>
  <c r="DC144" i="4"/>
  <c r="DC191" i="4" s="1"/>
  <c r="DD51" i="5" s="1"/>
  <c r="CD139" i="4"/>
  <c r="CD186" i="4" s="1"/>
  <c r="CE46" i="5" s="1"/>
  <c r="BO135" i="4"/>
  <c r="BO182" i="4" s="1"/>
  <c r="BP89" i="5" s="1"/>
  <c r="BG149" i="4"/>
  <c r="BG196" i="4" s="1"/>
  <c r="BH56" i="5" s="1"/>
  <c r="CT143" i="4"/>
  <c r="CT190" i="4" s="1"/>
  <c r="CU50" i="5" s="1"/>
  <c r="V135" i="4"/>
  <c r="V182" i="4" s="1"/>
  <c r="W42" i="5" s="1"/>
  <c r="AT145" i="4"/>
  <c r="AT192" i="4" s="1"/>
  <c r="AU99" i="5" s="1"/>
  <c r="AH145" i="4"/>
  <c r="AH192" i="4" s="1"/>
  <c r="AI52" i="5" s="1"/>
  <c r="BQ135" i="4"/>
  <c r="BQ182" i="4" s="1"/>
  <c r="BR89" i="5" s="1"/>
  <c r="CO144" i="4"/>
  <c r="CO191" i="4" s="1"/>
  <c r="CP98" i="5" s="1"/>
  <c r="CW140" i="4"/>
  <c r="CW187" i="4" s="1"/>
  <c r="CX94" i="5" s="1"/>
  <c r="BI135" i="4"/>
  <c r="BI182" i="4" s="1"/>
  <c r="BJ89" i="5" s="1"/>
  <c r="AS141" i="4"/>
  <c r="AS188" i="4" s="1"/>
  <c r="AT48" i="5" s="1"/>
  <c r="U140" i="4"/>
  <c r="U187" i="4" s="1"/>
  <c r="V94" i="5" s="1"/>
  <c r="BT142" i="4"/>
  <c r="BT189" i="4" s="1"/>
  <c r="BU96" i="5" s="1"/>
  <c r="CF135" i="4"/>
  <c r="CF182" i="4" s="1"/>
  <c r="CG89" i="5" s="1"/>
  <c r="BP139" i="4"/>
  <c r="BP186" i="4" s="1"/>
  <c r="BQ93" i="5" s="1"/>
  <c r="AR146" i="4"/>
  <c r="AR193" i="4" s="1"/>
  <c r="AS53" i="5" s="1"/>
  <c r="AN148" i="4"/>
  <c r="AN195" i="4" s="1"/>
  <c r="AO102" i="5" s="1"/>
  <c r="AF139" i="4"/>
  <c r="AF186" i="4" s="1"/>
  <c r="AG93" i="5" s="1"/>
  <c r="X133" i="4"/>
  <c r="X180" i="4" s="1"/>
  <c r="Y87" i="5" s="1"/>
  <c r="DG139" i="4"/>
  <c r="DG186" i="4" s="1"/>
  <c r="DH93" i="5" s="1"/>
  <c r="DJ141" i="4"/>
  <c r="DJ188" i="4" s="1"/>
  <c r="DK48" i="5" s="1"/>
  <c r="DF133" i="4"/>
  <c r="DF180" i="4" s="1"/>
  <c r="DG87" i="5" s="1"/>
  <c r="CT141" i="4"/>
  <c r="CT188" i="4" s="1"/>
  <c r="CU95" i="5" s="1"/>
  <c r="BZ144" i="4"/>
  <c r="BZ191" i="4" s="1"/>
  <c r="CA51" i="5" s="1"/>
  <c r="BR147" i="4"/>
  <c r="BR194" i="4" s="1"/>
  <c r="BS54" i="5" s="1"/>
  <c r="BJ135" i="4"/>
  <c r="BJ182" i="4" s="1"/>
  <c r="BK89" i="5" s="1"/>
  <c r="BF138" i="4"/>
  <c r="BF185" i="4" s="1"/>
  <c r="BG92" i="5" s="1"/>
  <c r="BB138" i="4"/>
  <c r="BB185" i="4" s="1"/>
  <c r="BC45" i="5" s="1"/>
  <c r="AX148" i="4"/>
  <c r="AX195" i="4" s="1"/>
  <c r="AY55" i="5" s="1"/>
  <c r="AX144" i="4"/>
  <c r="AX191" i="4" s="1"/>
  <c r="AY98" i="5" s="1"/>
  <c r="AT140" i="4"/>
  <c r="AT187" i="4" s="1"/>
  <c r="AU94" i="5" s="1"/>
  <c r="AP145" i="4"/>
  <c r="AP192" i="4" s="1"/>
  <c r="AQ99" i="5" s="1"/>
  <c r="AD143" i="4"/>
  <c r="AD190" i="4" s="1"/>
  <c r="AE50" i="5" s="1"/>
  <c r="Z133" i="4"/>
  <c r="Z180" i="4" s="1"/>
  <c r="AA87" i="5" s="1"/>
  <c r="AO139" i="4"/>
  <c r="AO186" i="4" s="1"/>
  <c r="AP46" i="5" s="1"/>
  <c r="AC148" i="4"/>
  <c r="AC195" i="4" s="1"/>
  <c r="AD55" i="5" s="1"/>
  <c r="W137" i="4"/>
  <c r="W184" i="4" s="1"/>
  <c r="X44" i="5" s="1"/>
  <c r="CR140" i="4"/>
  <c r="CR187" i="4" s="1"/>
  <c r="CS94" i="5" s="1"/>
  <c r="CU145" i="4"/>
  <c r="CU192" i="4" s="1"/>
  <c r="CV52" i="5" s="1"/>
  <c r="CE136" i="4"/>
  <c r="CE183" i="4" s="1"/>
  <c r="CF90" i="5" s="1"/>
  <c r="AD141" i="4"/>
  <c r="AD188" i="4" s="1"/>
  <c r="AE48" i="5" s="1"/>
  <c r="R145" i="4"/>
  <c r="R192" i="4" s="1"/>
  <c r="S99" i="5" s="1"/>
  <c r="CN144" i="4"/>
  <c r="CN191" i="4" s="1"/>
  <c r="CO51" i="5" s="1"/>
  <c r="CF145" i="4"/>
  <c r="CF192" i="4" s="1"/>
  <c r="CG99" i="5" s="1"/>
  <c r="BP146" i="4"/>
  <c r="BP193" i="4" s="1"/>
  <c r="BQ53" i="5" s="1"/>
  <c r="BP140" i="4"/>
  <c r="BP187" i="4" s="1"/>
  <c r="BQ47" i="5" s="1"/>
  <c r="BD139" i="4"/>
  <c r="BD186" i="4" s="1"/>
  <c r="BE46" i="5" s="1"/>
  <c r="AR141" i="4"/>
  <c r="AR188" i="4" s="1"/>
  <c r="AS95" i="5" s="1"/>
  <c r="AN134" i="4"/>
  <c r="AN181" i="4" s="1"/>
  <c r="AO41" i="5" s="1"/>
  <c r="AF144" i="4"/>
  <c r="AF191" i="4" s="1"/>
  <c r="AG51" i="5" s="1"/>
  <c r="T138" i="4"/>
  <c r="T185" i="4" s="1"/>
  <c r="U45" i="5" s="1"/>
  <c r="CY139" i="4"/>
  <c r="CY186" i="4" s="1"/>
  <c r="CZ46" i="5" s="1"/>
  <c r="CI147" i="4"/>
  <c r="CI194" i="4" s="1"/>
  <c r="CJ101" i="5" s="1"/>
  <c r="BW144" i="4"/>
  <c r="BW191" i="4" s="1"/>
  <c r="BX51" i="5" s="1"/>
  <c r="DF147" i="4"/>
  <c r="DF194" i="4" s="1"/>
  <c r="DG54" i="5" s="1"/>
  <c r="CG144" i="4"/>
  <c r="CG191" i="4" s="1"/>
  <c r="CH51" i="5" s="1"/>
  <c r="CX38" i="5"/>
  <c r="CX85" i="5"/>
  <c r="BM138" i="4"/>
  <c r="BM185" i="4" s="1"/>
  <c r="BN92" i="5" s="1"/>
  <c r="U145" i="4"/>
  <c r="U192" i="4" s="1"/>
  <c r="V52" i="5" s="1"/>
  <c r="CJ133" i="4"/>
  <c r="CJ180" i="4" s="1"/>
  <c r="CK40" i="5" s="1"/>
  <c r="BA71" i="5"/>
  <c r="BA24" i="5"/>
  <c r="AC74" i="5"/>
  <c r="AC27" i="5"/>
  <c r="DL136" i="4"/>
  <c r="DL183" i="4" s="1"/>
  <c r="DM90" i="5" s="1"/>
  <c r="BP141" i="4"/>
  <c r="BP188" i="4" s="1"/>
  <c r="BQ48" i="5" s="1"/>
  <c r="T143" i="4"/>
  <c r="T190" i="4" s="1"/>
  <c r="U97" i="5" s="1"/>
  <c r="CI145" i="4"/>
  <c r="CI192" i="4" s="1"/>
  <c r="CJ52" i="5" s="1"/>
  <c r="BX82" i="5"/>
  <c r="BX35" i="5"/>
  <c r="AZ31" i="5"/>
  <c r="AZ78" i="5"/>
  <c r="X29" i="5"/>
  <c r="X76" i="5"/>
  <c r="CN23" i="5"/>
  <c r="CN70" i="5"/>
  <c r="AC35" i="5"/>
  <c r="AC82" i="5"/>
  <c r="CW26" i="5"/>
  <c r="CW73" i="5"/>
  <c r="DA27" i="5"/>
  <c r="DA74" i="5"/>
  <c r="BQ83" i="5"/>
  <c r="BQ36" i="5"/>
  <c r="AG85" i="5"/>
  <c r="AG38" i="5"/>
  <c r="CZ83" i="5"/>
  <c r="CZ36" i="5"/>
  <c r="BX83" i="5"/>
  <c r="BX36" i="5"/>
  <c r="BD37" i="5"/>
  <c r="BD84" i="5"/>
  <c r="AI144" i="4"/>
  <c r="AI191" i="4" s="1"/>
  <c r="AJ51" i="5" s="1"/>
  <c r="AF70" i="5"/>
  <c r="AF23" i="5"/>
  <c r="CY37" i="5"/>
  <c r="CY84" i="5"/>
  <c r="DK135" i="4"/>
  <c r="DK182" i="4" s="1"/>
  <c r="DL42" i="5" s="1"/>
  <c r="DC78" i="5"/>
  <c r="DC31" i="5"/>
  <c r="BS74" i="5"/>
  <c r="BS27" i="5"/>
  <c r="BA149" i="4"/>
  <c r="BA196" i="4" s="1"/>
  <c r="BB56" i="5" s="1"/>
  <c r="CR22" i="5"/>
  <c r="CR69" i="5"/>
  <c r="CM145" i="4"/>
  <c r="CM192" i="4" s="1"/>
  <c r="CN52" i="5" s="1"/>
  <c r="BH141" i="4"/>
  <c r="BH188" i="4" s="1"/>
  <c r="BI95" i="5" s="1"/>
  <c r="AJ140" i="4"/>
  <c r="AJ187" i="4" s="1"/>
  <c r="AK94" i="5" s="1"/>
  <c r="BS146" i="4"/>
  <c r="BS193" i="4" s="1"/>
  <c r="BT53" i="5" s="1"/>
  <c r="BK142" i="4"/>
  <c r="BK189" i="4" s="1"/>
  <c r="BL49" i="5" s="1"/>
  <c r="BC145" i="4"/>
  <c r="BC192" i="4" s="1"/>
  <c r="BD99" i="5" s="1"/>
  <c r="AQ145" i="4"/>
  <c r="AQ192" i="4" s="1"/>
  <c r="AR52" i="5" s="1"/>
  <c r="AM141" i="4"/>
  <c r="AM188" i="4" s="1"/>
  <c r="AN48" i="5" s="1"/>
  <c r="AI135" i="4"/>
  <c r="AI182" i="4" s="1"/>
  <c r="AJ89" i="5" s="1"/>
  <c r="AA136" i="4"/>
  <c r="AA183" i="4" s="1"/>
  <c r="AB43" i="5" s="1"/>
  <c r="S148" i="4"/>
  <c r="S195" i="4" s="1"/>
  <c r="T102" i="5" s="1"/>
  <c r="CR147" i="4"/>
  <c r="CR194" i="4" s="1"/>
  <c r="CS101" i="5" s="1"/>
  <c r="CM140" i="4"/>
  <c r="CM187" i="4" s="1"/>
  <c r="CN47" i="5" s="1"/>
  <c r="BO133" i="4"/>
  <c r="BO180" i="4" s="1"/>
  <c r="BP40" i="5" s="1"/>
  <c r="BG148" i="4"/>
  <c r="BG195" i="4" s="1"/>
  <c r="BH102" i="5" s="1"/>
  <c r="DG143" i="4"/>
  <c r="DG190" i="4" s="1"/>
  <c r="DH97" i="5" s="1"/>
  <c r="DF149" i="4"/>
  <c r="DF196" i="4" s="1"/>
  <c r="DG56" i="5" s="1"/>
  <c r="CT144" i="4"/>
  <c r="CT191" i="4" s="1"/>
  <c r="CU51" i="5" s="1"/>
  <c r="CL133" i="4"/>
  <c r="CL180" i="4" s="1"/>
  <c r="CM87" i="5" s="1"/>
  <c r="BN147" i="4"/>
  <c r="BN194" i="4" s="1"/>
  <c r="BO54" i="5" s="1"/>
  <c r="CX133" i="4"/>
  <c r="CX180" i="4" s="1"/>
  <c r="CY87" i="5" s="1"/>
  <c r="BV137" i="4"/>
  <c r="BV184" i="4" s="1"/>
  <c r="BW91" i="5" s="1"/>
  <c r="CC144" i="4"/>
  <c r="CC191" i="4" s="1"/>
  <c r="CD51" i="5" s="1"/>
  <c r="AG134" i="4"/>
  <c r="AG181" i="4" s="1"/>
  <c r="AH88" i="5" s="1"/>
  <c r="DA144" i="4"/>
  <c r="DA191" i="4" s="1"/>
  <c r="DB98" i="5" s="1"/>
  <c r="BE138" i="4"/>
  <c r="BE185" i="4" s="1"/>
  <c r="BF92" i="5" s="1"/>
  <c r="AW133" i="4"/>
  <c r="AW180" i="4" s="1"/>
  <c r="AX40" i="5" s="1"/>
  <c r="U144" i="4"/>
  <c r="U191" i="4" s="1"/>
  <c r="V98" i="5" s="1"/>
  <c r="AZ148" i="4"/>
  <c r="AZ195" i="4" s="1"/>
  <c r="BA102" i="5" s="1"/>
  <c r="CV144" i="4"/>
  <c r="CV191" i="4" s="1"/>
  <c r="CW51" i="5" s="1"/>
  <c r="DL142" i="4"/>
  <c r="DL189" i="4" s="1"/>
  <c r="DM49" i="5" s="1"/>
  <c r="DD145" i="4"/>
  <c r="DD192" i="4" s="1"/>
  <c r="DE99" i="5" s="1"/>
  <c r="DD136" i="4"/>
  <c r="DD183" i="4" s="1"/>
  <c r="DE43" i="5" s="1"/>
  <c r="CZ135" i="4"/>
  <c r="CZ182" i="4" s="1"/>
  <c r="DA89" i="5" s="1"/>
  <c r="CN133" i="4"/>
  <c r="CN180" i="4" s="1"/>
  <c r="CO40" i="5" s="1"/>
  <c r="BX135" i="4"/>
  <c r="BX182" i="4" s="1"/>
  <c r="BY89" i="5" s="1"/>
  <c r="BP147" i="4"/>
  <c r="BP194" i="4" s="1"/>
  <c r="BQ101" i="5" s="1"/>
  <c r="BD133" i="4"/>
  <c r="BD180" i="4" s="1"/>
  <c r="BE87" i="5" s="1"/>
  <c r="BC134" i="4"/>
  <c r="BC181" i="4" s="1"/>
  <c r="BD88" i="5" s="1"/>
  <c r="AY140" i="4"/>
  <c r="AY187" i="4" s="1"/>
  <c r="AZ94" i="5" s="1"/>
  <c r="AQ133" i="4"/>
  <c r="AQ180" i="4" s="1"/>
  <c r="AR87" i="5" s="1"/>
  <c r="BG145" i="4"/>
  <c r="BG192" i="4" s="1"/>
  <c r="BH99" i="5" s="1"/>
  <c r="AU139" i="4"/>
  <c r="AU186" i="4" s="1"/>
  <c r="AV93" i="5" s="1"/>
  <c r="CD136" i="4"/>
  <c r="CD183" i="4" s="1"/>
  <c r="CE43" i="5" s="1"/>
  <c r="BA134" i="4"/>
  <c r="BA181" i="4" s="1"/>
  <c r="BB88" i="5" s="1"/>
  <c r="AC134" i="4"/>
  <c r="AC181" i="4" s="1"/>
  <c r="AD41" i="5" s="1"/>
  <c r="CZ134" i="4"/>
  <c r="CZ181" i="4" s="1"/>
  <c r="DA88" i="5" s="1"/>
  <c r="DF25" i="5"/>
  <c r="DF72" i="5"/>
  <c r="DA140" i="4"/>
  <c r="DA187" i="4" s="1"/>
  <c r="DB94" i="5" s="1"/>
  <c r="BJ84" i="5"/>
  <c r="BJ37" i="5"/>
  <c r="AT37" i="5"/>
  <c r="AT84" i="5"/>
  <c r="BT140" i="4"/>
  <c r="BT187" i="4" s="1"/>
  <c r="BU94" i="5" s="1"/>
  <c r="BL138" i="4"/>
  <c r="BL185" i="4" s="1"/>
  <c r="BM45" i="5" s="1"/>
  <c r="AZ137" i="4"/>
  <c r="AZ184" i="4" s="1"/>
  <c r="BA44" i="5" s="1"/>
  <c r="CW38" i="5"/>
  <c r="CW85" i="5"/>
  <c r="BY80" i="5"/>
  <c r="BY33" i="5"/>
  <c r="AS69" i="5"/>
  <c r="AS22" i="5"/>
  <c r="X138" i="4"/>
  <c r="X185" i="4" s="1"/>
  <c r="Y45" i="5" s="1"/>
  <c r="CQ142" i="4"/>
  <c r="CQ189" i="4" s="1"/>
  <c r="CR49" i="5" s="1"/>
  <c r="BW148" i="4"/>
  <c r="BW195" i="4" s="1"/>
  <c r="BX102" i="5" s="1"/>
  <c r="BD76" i="5"/>
  <c r="BD29" i="5"/>
  <c r="AN68" i="5"/>
  <c r="AN21" i="5"/>
  <c r="W142" i="4"/>
  <c r="W189" i="4" s="1"/>
  <c r="X96" i="5" s="1"/>
  <c r="CM136" i="4"/>
  <c r="CM183" i="4" s="1"/>
  <c r="CN43" i="5" s="1"/>
  <c r="CO139" i="4"/>
  <c r="CO186" i="4" s="1"/>
  <c r="CP46" i="5" s="1"/>
  <c r="DE144" i="4"/>
  <c r="DE191" i="4" s="1"/>
  <c r="DF98" i="5" s="1"/>
  <c r="DA137" i="4"/>
  <c r="DA184" i="4" s="1"/>
  <c r="DB44" i="5" s="1"/>
  <c r="CW138" i="4"/>
  <c r="CW185" i="4" s="1"/>
  <c r="CX92" i="5" s="1"/>
  <c r="CS143" i="4"/>
  <c r="CS190" i="4" s="1"/>
  <c r="CT50" i="5" s="1"/>
  <c r="CS144" i="4"/>
  <c r="CS191" i="4" s="1"/>
  <c r="CT98" i="5" s="1"/>
  <c r="CK144" i="4"/>
  <c r="CK191" i="4" s="1"/>
  <c r="CL51" i="5" s="1"/>
  <c r="BI141" i="4"/>
  <c r="BI188" i="4" s="1"/>
  <c r="BJ95" i="5" s="1"/>
  <c r="BE134" i="4"/>
  <c r="BE181" i="4" s="1"/>
  <c r="BF41" i="5" s="1"/>
  <c r="AW136" i="4"/>
  <c r="AW183" i="4" s="1"/>
  <c r="AX90" i="5" s="1"/>
  <c r="AS142" i="4"/>
  <c r="AS189" i="4" s="1"/>
  <c r="AT96" i="5" s="1"/>
  <c r="Y135" i="4"/>
  <c r="Y182" i="4" s="1"/>
  <c r="Z89" i="5" s="1"/>
  <c r="U142" i="4"/>
  <c r="U189" i="4" s="1"/>
  <c r="V96" i="5" s="1"/>
  <c r="CJ145" i="4"/>
  <c r="CJ192" i="4" s="1"/>
  <c r="CK52" i="5" s="1"/>
  <c r="CB136" i="4"/>
  <c r="CB183" i="4" s="1"/>
  <c r="CC43" i="5" s="1"/>
  <c r="BM35" i="5"/>
  <c r="BM82" i="5"/>
  <c r="X140" i="4"/>
  <c r="X187" i="4" s="1"/>
  <c r="Y47" i="5" s="1"/>
  <c r="AB34" i="5"/>
  <c r="AB81" i="5"/>
  <c r="CZ142" i="4"/>
  <c r="CZ189" i="4" s="1"/>
  <c r="DA96" i="5" s="1"/>
  <c r="AR79" i="5"/>
  <c r="DH30" i="5"/>
  <c r="CD149" i="4"/>
  <c r="CD196" i="4" s="1"/>
  <c r="CE103" i="5" s="1"/>
  <c r="CJ149" i="4"/>
  <c r="CJ196" i="4" s="1"/>
  <c r="CK103" i="5" s="1"/>
  <c r="CB135" i="4"/>
  <c r="CB182" i="4" s="1"/>
  <c r="CC42" i="5" s="1"/>
  <c r="AB149" i="4"/>
  <c r="AB196" i="4" s="1"/>
  <c r="AC56" i="5" s="1"/>
  <c r="DI147" i="4"/>
  <c r="DI194" i="4" s="1"/>
  <c r="DJ101" i="5" s="1"/>
  <c r="DH149" i="4"/>
  <c r="DH196" i="4" s="1"/>
  <c r="DI103" i="5" s="1"/>
  <c r="CG22" i="5"/>
  <c r="BQ26" i="5"/>
  <c r="CQ147" i="4"/>
  <c r="CQ194" i="4" s="1"/>
  <c r="CR54" i="5" s="1"/>
  <c r="CQ139" i="4"/>
  <c r="CQ186" i="4" s="1"/>
  <c r="CR93" i="5" s="1"/>
  <c r="CI136" i="4"/>
  <c r="CI183" i="4" s="1"/>
  <c r="CJ90" i="5" s="1"/>
  <c r="CA139" i="4"/>
  <c r="CA186" i="4" s="1"/>
  <c r="CB93" i="5" s="1"/>
  <c r="BW137" i="4"/>
  <c r="BW184" i="4" s="1"/>
  <c r="BX44" i="5" s="1"/>
  <c r="BS133" i="4"/>
  <c r="BS180" i="4" s="1"/>
  <c r="BT87" i="5" s="1"/>
  <c r="BK146" i="4"/>
  <c r="BK193" i="4" s="1"/>
  <c r="BL53" i="5" s="1"/>
  <c r="AJ73" i="5"/>
  <c r="CU143" i="4"/>
  <c r="CU190" i="4" s="1"/>
  <c r="CV50" i="5" s="1"/>
  <c r="CE133" i="4"/>
  <c r="CE180" i="4" s="1"/>
  <c r="CF87" i="5" s="1"/>
  <c r="BP33" i="5"/>
  <c r="DC134" i="4"/>
  <c r="DC181" i="4" s="1"/>
  <c r="DD41" i="5" s="1"/>
  <c r="DK147" i="4"/>
  <c r="DK194" i="4" s="1"/>
  <c r="DL101" i="5" s="1"/>
  <c r="CA80" i="5"/>
  <c r="CG135" i="4"/>
  <c r="CG182" i="4" s="1"/>
  <c r="CH42" i="5" s="1"/>
  <c r="CC140" i="4"/>
  <c r="CC187" i="4" s="1"/>
  <c r="CD47" i="5" s="1"/>
  <c r="BY147" i="4"/>
  <c r="BY194" i="4" s="1"/>
  <c r="BZ101" i="5" s="1"/>
  <c r="BY142" i="4"/>
  <c r="BY189" i="4" s="1"/>
  <c r="BZ49" i="5" s="1"/>
  <c r="BU149" i="4"/>
  <c r="BU196" i="4" s="1"/>
  <c r="BV56" i="5" s="1"/>
  <c r="BR85" i="5"/>
  <c r="V136" i="4"/>
  <c r="V183" i="4" s="1"/>
  <c r="W43" i="5" s="1"/>
  <c r="DK145" i="4"/>
  <c r="DK192" i="4" s="1"/>
  <c r="DL99" i="5" s="1"/>
  <c r="CD148" i="4"/>
  <c r="CD195" i="4" s="1"/>
  <c r="CE55" i="5" s="1"/>
  <c r="BV148" i="4"/>
  <c r="BV195" i="4" s="1"/>
  <c r="BW102" i="5" s="1"/>
  <c r="BR134" i="4"/>
  <c r="BR181" i="4" s="1"/>
  <c r="BS41" i="5" s="1"/>
  <c r="AX137" i="4"/>
  <c r="AX184" i="4" s="1"/>
  <c r="AY91" i="5" s="1"/>
  <c r="AT133" i="4"/>
  <c r="AT180" i="4" s="1"/>
  <c r="AU40" i="5" s="1"/>
  <c r="AH134" i="4"/>
  <c r="AH181" i="4" s="1"/>
  <c r="AI41" i="5" s="1"/>
  <c r="Z137" i="4"/>
  <c r="Z184" i="4" s="1"/>
  <c r="AA44" i="5" s="1"/>
  <c r="BU143" i="4"/>
  <c r="BU190" i="4" s="1"/>
  <c r="BV50" i="5" s="1"/>
  <c r="BT148" i="4"/>
  <c r="BT195" i="4" s="1"/>
  <c r="BU55" i="5" s="1"/>
  <c r="BL133" i="4"/>
  <c r="BL180" i="4" s="1"/>
  <c r="BM87" i="5" s="1"/>
  <c r="DH147" i="4"/>
  <c r="DH194" i="4" s="1"/>
  <c r="DI101" i="5" s="1"/>
  <c r="CV133" i="4"/>
  <c r="CV180" i="4" s="1"/>
  <c r="CW40" i="5" s="1"/>
  <c r="DD143" i="4"/>
  <c r="DD190" i="4" s="1"/>
  <c r="DE97" i="5" s="1"/>
  <c r="DE138" i="4"/>
  <c r="DE185" i="4" s="1"/>
  <c r="DF45" i="5" s="1"/>
  <c r="CL34" i="5"/>
  <c r="CL81" i="5"/>
  <c r="BM142" i="4"/>
  <c r="BM189" i="4" s="1"/>
  <c r="BN96" i="5" s="1"/>
  <c r="AX34" i="5"/>
  <c r="AL68" i="5"/>
  <c r="Z82" i="5"/>
  <c r="Z35" i="5"/>
  <c r="CJ140" i="4"/>
  <c r="CJ187" i="4" s="1"/>
  <c r="CK47" i="5" s="1"/>
  <c r="BU27" i="5"/>
  <c r="BU74" i="5"/>
  <c r="BI30" i="5"/>
  <c r="BI77" i="5"/>
  <c r="AC31" i="5"/>
  <c r="AC78" i="5"/>
  <c r="DE78" i="5"/>
  <c r="DE31" i="5"/>
  <c r="BX146" i="4"/>
  <c r="BX193" i="4" s="1"/>
  <c r="BY53" i="5" s="1"/>
  <c r="AR135" i="4"/>
  <c r="AR182" i="4" s="1"/>
  <c r="AS42" i="5" s="1"/>
  <c r="Y25" i="5"/>
  <c r="Y72" i="5"/>
  <c r="CR76" i="5"/>
  <c r="CR29" i="5"/>
  <c r="BC142" i="4"/>
  <c r="BC189" i="4" s="1"/>
  <c r="BD96" i="5" s="1"/>
  <c r="AM134" i="4"/>
  <c r="AM181" i="4" s="1"/>
  <c r="AN88" i="5" s="1"/>
  <c r="AB25" i="5"/>
  <c r="AB72" i="5"/>
  <c r="CV76" i="5"/>
  <c r="CV29" i="5"/>
  <c r="BR70" i="5"/>
  <c r="AX28" i="5"/>
  <c r="AL70" i="5"/>
  <c r="AK81" i="5"/>
  <c r="AK34" i="5"/>
  <c r="DI70" i="5"/>
  <c r="DI23" i="5"/>
  <c r="DA83" i="5"/>
  <c r="DA36" i="5"/>
  <c r="BY81" i="5"/>
  <c r="BY34" i="5"/>
  <c r="AR142" i="4"/>
  <c r="AR189" i="4" s="1"/>
  <c r="AS49" i="5" s="1"/>
  <c r="AO27" i="5"/>
  <c r="AO74" i="5"/>
  <c r="U29" i="5"/>
  <c r="U76" i="5"/>
  <c r="CB70" i="5"/>
  <c r="CB23" i="5"/>
  <c r="BL37" i="5"/>
  <c r="BL84" i="5"/>
  <c r="AN32" i="5"/>
  <c r="AN79" i="5"/>
  <c r="BG143" i="4"/>
  <c r="BG190" i="4" s="1"/>
  <c r="BH50" i="5" s="1"/>
  <c r="AD148" i="4"/>
  <c r="AD195" i="4" s="1"/>
  <c r="AE102" i="5" s="1"/>
  <c r="Z135" i="4"/>
  <c r="Z182" i="4" s="1"/>
  <c r="AA89" i="5" s="1"/>
  <c r="AQ140" i="4"/>
  <c r="AQ187" i="4" s="1"/>
  <c r="AR47" i="5" s="1"/>
  <c r="X70" i="5"/>
  <c r="X23" i="5"/>
  <c r="W76" i="5"/>
  <c r="W29" i="5"/>
  <c r="BO150" i="4"/>
  <c r="BO197" i="4" s="1"/>
  <c r="BP57" i="5" s="1"/>
  <c r="CH136" i="4"/>
  <c r="CH183" i="4" s="1"/>
  <c r="CI43" i="5" s="1"/>
  <c r="AJ22" i="5"/>
  <c r="AC149" i="4"/>
  <c r="AC196" i="4" s="1"/>
  <c r="AD56" i="5" s="1"/>
  <c r="CO133" i="4"/>
  <c r="CO180" i="4" s="1"/>
  <c r="CP87" i="5" s="1"/>
  <c r="DA143" i="4"/>
  <c r="DA190" i="4" s="1"/>
  <c r="DB50" i="5" s="1"/>
  <c r="CS134" i="4"/>
  <c r="CS181" i="4" s="1"/>
  <c r="CT88" i="5" s="1"/>
  <c r="BM148" i="4"/>
  <c r="BM195" i="4" s="1"/>
  <c r="BN102" i="5" s="1"/>
  <c r="BE143" i="4"/>
  <c r="BE190" i="4" s="1"/>
  <c r="BF50" i="5" s="1"/>
  <c r="AK141" i="4"/>
  <c r="AK188" i="4" s="1"/>
  <c r="AL95" i="5" s="1"/>
  <c r="CJ135" i="4"/>
  <c r="CJ182" i="4" s="1"/>
  <c r="CK42" i="5" s="1"/>
  <c r="BT144" i="4"/>
  <c r="BT191" i="4" s="1"/>
  <c r="BU98" i="5" s="1"/>
  <c r="AZ149" i="4"/>
  <c r="AZ196" i="4" s="1"/>
  <c r="BA56" i="5" s="1"/>
  <c r="AJ139" i="4"/>
  <c r="AJ186" i="4" s="1"/>
  <c r="AK93" i="5" s="1"/>
  <c r="BX142" i="4"/>
  <c r="BX189" i="4" s="1"/>
  <c r="BY49" i="5" s="1"/>
  <c r="BD135" i="4"/>
  <c r="BD182" i="4" s="1"/>
  <c r="BE89" i="5" s="1"/>
  <c r="AN143" i="4"/>
  <c r="AN190" i="4" s="1"/>
  <c r="AO97" i="5" s="1"/>
  <c r="X139" i="4"/>
  <c r="X186" i="4" s="1"/>
  <c r="Y46" i="5" s="1"/>
  <c r="CA146" i="4"/>
  <c r="CA193" i="4" s="1"/>
  <c r="CB100" i="5" s="1"/>
  <c r="BW142" i="4"/>
  <c r="BW189" i="4" s="1"/>
  <c r="BX49" i="5" s="1"/>
  <c r="BS150" i="4"/>
  <c r="BS197" i="4" s="1"/>
  <c r="BT104" i="5" s="1"/>
  <c r="BC147" i="4"/>
  <c r="BC194" i="4" s="1"/>
  <c r="BD101" i="5" s="1"/>
  <c r="AQ143" i="4"/>
  <c r="AQ190" i="4" s="1"/>
  <c r="AR50" i="5" s="1"/>
  <c r="AM142" i="4"/>
  <c r="AM189" i="4" s="1"/>
  <c r="AN49" i="5" s="1"/>
  <c r="CR133" i="4"/>
  <c r="CR180" i="4" s="1"/>
  <c r="CS87" i="5" s="1"/>
  <c r="CM149" i="4"/>
  <c r="CM196" i="4" s="1"/>
  <c r="CN56" i="5" s="1"/>
  <c r="CE135" i="4"/>
  <c r="CE182" i="4" s="1"/>
  <c r="CF89" i="5" s="1"/>
  <c r="DG141" i="4"/>
  <c r="DG188" i="4" s="1"/>
  <c r="DH95" i="5" s="1"/>
  <c r="DJ150" i="4"/>
  <c r="DJ197" i="4" s="1"/>
  <c r="DK104" i="5" s="1"/>
  <c r="DF141" i="4"/>
  <c r="DF188" i="4" s="1"/>
  <c r="DG48" i="5" s="1"/>
  <c r="DF139" i="4"/>
  <c r="DF186" i="4" s="1"/>
  <c r="DG46" i="5" s="1"/>
  <c r="CX143" i="4"/>
  <c r="CX190" i="4" s="1"/>
  <c r="CY50" i="5" s="1"/>
  <c r="CT149" i="4"/>
  <c r="CT196" i="4" s="1"/>
  <c r="CU56" i="5" s="1"/>
  <c r="CP147" i="4"/>
  <c r="CP194" i="4" s="1"/>
  <c r="CQ101" i="5" s="1"/>
  <c r="CL139" i="4"/>
  <c r="CL186" i="4" s="1"/>
  <c r="CM46" i="5" s="1"/>
  <c r="CH137" i="4"/>
  <c r="CH184" i="4" s="1"/>
  <c r="CI44" i="5" s="1"/>
  <c r="AL137" i="4"/>
  <c r="AL184" i="4" s="1"/>
  <c r="AM91" i="5" s="1"/>
  <c r="DC138" i="4"/>
  <c r="DC185" i="4" s="1"/>
  <c r="DD92" i="5" s="1"/>
  <c r="DK137" i="4"/>
  <c r="DK184" i="4" s="1"/>
  <c r="DL44" i="5" s="1"/>
  <c r="DB142" i="4"/>
  <c r="DB189" i="4" s="1"/>
  <c r="DC49" i="5" s="1"/>
  <c r="CD141" i="4"/>
  <c r="CD188" i="4" s="1"/>
  <c r="CE48" i="5" s="1"/>
  <c r="BV138" i="4"/>
  <c r="BV185" i="4" s="1"/>
  <c r="BW92" i="5" s="1"/>
  <c r="BR151" i="4"/>
  <c r="BR198" i="4" s="1"/>
  <c r="BS58" i="5" s="1"/>
  <c r="BJ150" i="4"/>
  <c r="BJ197" i="4" s="1"/>
  <c r="BK57" i="5" s="1"/>
  <c r="BJ143" i="4"/>
  <c r="BJ190" i="4" s="1"/>
  <c r="BK50" i="5" s="1"/>
  <c r="BF143" i="4"/>
  <c r="BF190" i="4" s="1"/>
  <c r="BG97" i="5" s="1"/>
  <c r="BB135" i="4"/>
  <c r="BB182" i="4" s="1"/>
  <c r="BC89" i="5" s="1"/>
  <c r="AP134" i="4"/>
  <c r="AP181" i="4" s="1"/>
  <c r="AQ88" i="5" s="1"/>
  <c r="AP144" i="4"/>
  <c r="AP191" i="4" s="1"/>
  <c r="AQ98" i="5" s="1"/>
  <c r="AH148" i="4"/>
  <c r="AH195" i="4" s="1"/>
  <c r="AI102" i="5" s="1"/>
  <c r="AD140" i="4"/>
  <c r="AD187" i="4" s="1"/>
  <c r="AE47" i="5" s="1"/>
  <c r="Z143" i="4"/>
  <c r="Z190" i="4" s="1"/>
  <c r="AA97" i="5" s="1"/>
  <c r="R148" i="4"/>
  <c r="R195" i="4" s="1"/>
  <c r="S102" i="5" s="1"/>
  <c r="CG136" i="4"/>
  <c r="CG183" i="4" s="1"/>
  <c r="CH43" i="5" s="1"/>
  <c r="CC149" i="4"/>
  <c r="CC196" i="4" s="1"/>
  <c r="CD56" i="5" s="1"/>
  <c r="BY133" i="4"/>
  <c r="BY180" i="4" s="1"/>
  <c r="BZ87" i="5" s="1"/>
  <c r="BU147" i="4"/>
  <c r="BU194" i="4" s="1"/>
  <c r="BV101" i="5" s="1"/>
  <c r="BQ146" i="4"/>
  <c r="BQ193" i="4" s="1"/>
  <c r="BR53" i="5" s="1"/>
  <c r="BA146" i="4"/>
  <c r="BA193" i="4" s="1"/>
  <c r="BB53" i="5" s="1"/>
  <c r="BA143" i="4"/>
  <c r="BA190" i="4" s="1"/>
  <c r="BB97" i="5" s="1"/>
  <c r="AO141" i="4"/>
  <c r="AO188" i="4" s="1"/>
  <c r="AP48" i="5" s="1"/>
  <c r="AG138" i="4"/>
  <c r="AG185" i="4" s="1"/>
  <c r="AH45" i="5" s="1"/>
  <c r="AC137" i="4"/>
  <c r="AC184" i="4" s="1"/>
  <c r="AD91" i="5" s="1"/>
  <c r="BT80" i="5"/>
  <c r="BL29" i="5"/>
  <c r="BD32" i="5"/>
  <c r="AZ38" i="5"/>
  <c r="AN28" i="5"/>
  <c r="AB23" i="5"/>
  <c r="T82" i="5"/>
  <c r="CS34" i="5"/>
  <c r="CN74" i="5"/>
  <c r="BP20" i="5"/>
  <c r="BH35" i="5"/>
  <c r="DG83" i="5"/>
  <c r="BV33" i="5"/>
  <c r="BR83" i="5"/>
  <c r="CR145" i="4"/>
  <c r="CR192" i="4" s="1"/>
  <c r="CS52" i="5" s="1"/>
  <c r="BP79" i="5"/>
  <c r="DG133" i="4"/>
  <c r="DG180" i="4" s="1"/>
  <c r="DH40" i="5" s="1"/>
  <c r="DK77" i="5"/>
  <c r="CP136" i="4"/>
  <c r="CP183" i="4" s="1"/>
  <c r="CQ90" i="5" s="1"/>
  <c r="CI85" i="5"/>
  <c r="CE36" i="5"/>
  <c r="BC26" i="5"/>
  <c r="CO149" i="4"/>
  <c r="CO196" i="4" s="1"/>
  <c r="CP56" i="5" s="1"/>
  <c r="DF79" i="5"/>
  <c r="CS147" i="4"/>
  <c r="CS194" i="4" s="1"/>
  <c r="CT101" i="5" s="1"/>
  <c r="BI151" i="4"/>
  <c r="BI198" i="4" s="1"/>
  <c r="BJ105" i="5" s="1"/>
  <c r="BF25" i="5"/>
  <c r="AK144" i="4"/>
  <c r="AK191" i="4" s="1"/>
  <c r="AL51" i="5" s="1"/>
  <c r="CC22" i="5"/>
  <c r="BA34" i="5"/>
  <c r="AJ148" i="4"/>
  <c r="AJ195" i="4" s="1"/>
  <c r="AK102" i="5" s="1"/>
  <c r="AJ145" i="4"/>
  <c r="AJ192" i="4" s="1"/>
  <c r="AK52" i="5" s="1"/>
  <c r="AC83" i="5"/>
  <c r="DJ81" i="5"/>
  <c r="DI83" i="5"/>
  <c r="T149" i="4"/>
  <c r="T196" i="4" s="1"/>
  <c r="U103" i="5" s="1"/>
  <c r="BL30" i="5"/>
  <c r="AI133" i="4"/>
  <c r="AI180" i="4" s="1"/>
  <c r="AJ40" i="5" s="1"/>
  <c r="AE148" i="4"/>
  <c r="AE195" i="4" s="1"/>
  <c r="AF102" i="5" s="1"/>
  <c r="AA148" i="4"/>
  <c r="AA195" i="4" s="1"/>
  <c r="AB55" i="5" s="1"/>
  <c r="W140" i="4"/>
  <c r="W187" i="4" s="1"/>
  <c r="X94" i="5" s="1"/>
  <c r="W135" i="4"/>
  <c r="W182" i="4" s="1"/>
  <c r="X42" i="5" s="1"/>
  <c r="S150" i="4"/>
  <c r="S197" i="4" s="1"/>
  <c r="T104" i="5" s="1"/>
  <c r="CR135" i="4"/>
  <c r="CR182" i="4" s="1"/>
  <c r="CS42" i="5" s="1"/>
  <c r="CN75" i="5"/>
  <c r="BP81" i="5"/>
  <c r="CL142" i="4"/>
  <c r="CL189" i="4" s="1"/>
  <c r="CM49" i="5" s="1"/>
  <c r="CH148" i="4"/>
  <c r="CH195" i="4" s="1"/>
  <c r="CI102" i="5" s="1"/>
  <c r="BN138" i="4"/>
  <c r="BN185" i="4" s="1"/>
  <c r="BO92" i="5" s="1"/>
  <c r="AL139" i="4"/>
  <c r="AL186" i="4" s="1"/>
  <c r="AM93" i="5" s="1"/>
  <c r="V146" i="4"/>
  <c r="V193" i="4" s="1"/>
  <c r="W53" i="5" s="1"/>
  <c r="DC30" i="5"/>
  <c r="R149" i="4"/>
  <c r="R196" i="4" s="1"/>
  <c r="S56" i="5" s="1"/>
  <c r="AU134" i="4"/>
  <c r="AU181" i="4" s="1"/>
  <c r="AV88" i="5" s="1"/>
  <c r="DG144" i="4"/>
  <c r="DG191" i="4" s="1"/>
  <c r="DH98" i="5" s="1"/>
  <c r="DF142" i="4"/>
  <c r="DF189" i="4" s="1"/>
  <c r="DG96" i="5" s="1"/>
  <c r="CT146" i="4"/>
  <c r="CT193" i="4" s="1"/>
  <c r="CU100" i="5" s="1"/>
  <c r="CP148" i="4"/>
  <c r="CP195" i="4" s="1"/>
  <c r="CQ102" i="5" s="1"/>
  <c r="CH133" i="4"/>
  <c r="CH180" i="4" s="1"/>
  <c r="CI40" i="5" s="1"/>
  <c r="CH24" i="5"/>
  <c r="CM27" i="5"/>
  <c r="DC70" i="5"/>
  <c r="CA37" i="5"/>
  <c r="AQ20" i="5"/>
  <c r="R134" i="4"/>
  <c r="R181" i="4" s="1"/>
  <c r="S88" i="5" s="1"/>
  <c r="BM144" i="4"/>
  <c r="BM191" i="4" s="1"/>
  <c r="BN98" i="5" s="1"/>
  <c r="BI149" i="4"/>
  <c r="BI196" i="4" s="1"/>
  <c r="BJ103" i="5" s="1"/>
  <c r="AW138" i="4"/>
  <c r="AW185" i="4" s="1"/>
  <c r="AX45" i="5" s="1"/>
  <c r="AS140" i="4"/>
  <c r="AS187" i="4" s="1"/>
  <c r="AT94" i="5" s="1"/>
  <c r="AK145" i="4"/>
  <c r="AK192" i="4" s="1"/>
  <c r="AL52" i="5" s="1"/>
  <c r="AK142" i="4"/>
  <c r="AK189" i="4" s="1"/>
  <c r="AL96" i="5" s="1"/>
  <c r="U135" i="4"/>
  <c r="U182" i="4" s="1"/>
  <c r="V89" i="5" s="1"/>
  <c r="CJ139" i="4"/>
  <c r="CJ186" i="4" s="1"/>
  <c r="CK46" i="5" s="1"/>
  <c r="CC81" i="5"/>
  <c r="BU83" i="5"/>
  <c r="AB134" i="4"/>
  <c r="AB181" i="4" s="1"/>
  <c r="AC41" i="5" s="1"/>
  <c r="DJ84" i="5"/>
  <c r="DM81" i="5"/>
  <c r="DB76" i="5"/>
  <c r="DB29" i="5"/>
  <c r="CW133" i="4"/>
  <c r="CW180" i="4" s="1"/>
  <c r="CX40" i="5" s="1"/>
  <c r="CK147" i="4"/>
  <c r="CK194" i="4" s="1"/>
  <c r="CL101" i="5" s="1"/>
  <c r="AX83" i="5"/>
  <c r="AX36" i="5"/>
  <c r="AS145" i="4"/>
  <c r="AS192" i="4" s="1"/>
  <c r="AT99" i="5" s="1"/>
  <c r="AK147" i="4"/>
  <c r="AK194" i="4" s="1"/>
  <c r="AL101" i="5" s="1"/>
  <c r="CC38" i="5"/>
  <c r="CC85" i="5"/>
  <c r="BH143" i="4"/>
  <c r="BH190" i="4" s="1"/>
  <c r="BI97" i="5" s="1"/>
  <c r="AB144" i="4"/>
  <c r="AB191" i="4" s="1"/>
  <c r="AC51" i="5" s="1"/>
  <c r="DI69" i="5"/>
  <c r="DI22" i="5"/>
  <c r="DD144" i="4"/>
  <c r="DD191" i="4" s="1"/>
  <c r="DE51" i="5" s="1"/>
  <c r="CG23" i="5"/>
  <c r="CG70" i="5"/>
  <c r="BE71" i="5"/>
  <c r="BE24" i="5"/>
  <c r="CZ37" i="5"/>
  <c r="CZ84" i="5"/>
  <c r="BX25" i="5"/>
  <c r="BX72" i="5"/>
  <c r="AN31" i="5"/>
  <c r="AN78" i="5"/>
  <c r="AA138" i="4"/>
  <c r="AA185" i="4" s="1"/>
  <c r="AB92" i="5" s="1"/>
  <c r="CU142" i="4"/>
  <c r="CU189" i="4" s="1"/>
  <c r="CV49" i="5" s="1"/>
  <c r="AV135" i="4"/>
  <c r="AV182" i="4" s="1"/>
  <c r="AW89" i="5" s="1"/>
  <c r="T79" i="5"/>
  <c r="T32" i="5"/>
  <c r="BP35" i="5"/>
  <c r="BP82" i="5"/>
  <c r="DC146" i="4"/>
  <c r="DC193" i="4" s="1"/>
  <c r="DD100" i="5" s="1"/>
  <c r="BU145" i="4"/>
  <c r="BU192" i="4" s="1"/>
  <c r="BV99" i="5" s="1"/>
  <c r="BC137" i="4"/>
  <c r="BC184" i="4" s="1"/>
  <c r="BD44" i="5" s="1"/>
  <c r="AB136" i="4"/>
  <c r="AB183" i="4" s="1"/>
  <c r="AC90" i="5" s="1"/>
  <c r="BP138" i="4"/>
  <c r="BP185" i="4" s="1"/>
  <c r="BQ45" i="5" s="1"/>
  <c r="BK134" i="4"/>
  <c r="BK181" i="4" s="1"/>
  <c r="BL41" i="5" s="1"/>
  <c r="AI142" i="4"/>
  <c r="AI189" i="4" s="1"/>
  <c r="AJ49" i="5" s="1"/>
  <c r="BN146" i="4"/>
  <c r="BN193" i="4" s="1"/>
  <c r="BO53" i="5" s="1"/>
  <c r="AT144" i="4"/>
  <c r="AT191" i="4" s="1"/>
  <c r="AU98" i="5" s="1"/>
  <c r="CC147" i="4"/>
  <c r="CC194" i="4" s="1"/>
  <c r="CD54" i="5" s="1"/>
  <c r="AO150" i="4"/>
  <c r="AO197" i="4" s="1"/>
  <c r="AP57" i="5" s="1"/>
  <c r="BO145" i="4"/>
  <c r="BO192" i="4" s="1"/>
  <c r="BP52" i="5" s="1"/>
  <c r="DJ143" i="4"/>
  <c r="DJ190" i="4" s="1"/>
  <c r="DK50" i="5" s="1"/>
  <c r="BF148" i="4"/>
  <c r="BF195" i="4" s="1"/>
  <c r="BG102" i="5" s="1"/>
  <c r="BB139" i="4"/>
  <c r="BB186" i="4" s="1"/>
  <c r="BC46" i="5" s="1"/>
  <c r="BA138" i="4"/>
  <c r="BA185" i="4" s="1"/>
  <c r="BB92" i="5" s="1"/>
  <c r="DE145" i="4"/>
  <c r="DE192" i="4" s="1"/>
  <c r="DF52" i="5" s="1"/>
  <c r="CK149" i="4"/>
  <c r="CK196" i="4" s="1"/>
  <c r="CL56" i="5" s="1"/>
  <c r="Y139" i="4"/>
  <c r="Y186" i="4" s="1"/>
  <c r="Z93" i="5" s="1"/>
  <c r="CO138" i="4"/>
  <c r="CO185" i="4" s="1"/>
  <c r="CP45" i="5" s="1"/>
  <c r="DE140" i="4"/>
  <c r="DE187" i="4" s="1"/>
  <c r="DF47" i="5" s="1"/>
  <c r="CW143" i="4"/>
  <c r="CW190" i="4" s="1"/>
  <c r="CX50" i="5" s="1"/>
  <c r="CK151" i="4"/>
  <c r="CK198" i="4" s="1"/>
  <c r="CL105" i="5" s="1"/>
  <c r="BI144" i="4"/>
  <c r="BI191" i="4" s="1"/>
  <c r="BJ98" i="5" s="1"/>
  <c r="AW145" i="4"/>
  <c r="AW192" i="4" s="1"/>
  <c r="AX52" i="5" s="1"/>
  <c r="AS135" i="4"/>
  <c r="AS182" i="4" s="1"/>
  <c r="AT42" i="5" s="1"/>
  <c r="Y143" i="4"/>
  <c r="Y190" i="4" s="1"/>
  <c r="Z97" i="5" s="1"/>
  <c r="U149" i="4"/>
  <c r="U196" i="4" s="1"/>
  <c r="V56" i="5" s="1"/>
  <c r="CB140" i="4"/>
  <c r="CB187" i="4" s="1"/>
  <c r="CC94" i="5" s="1"/>
  <c r="BI24" i="5"/>
  <c r="AV144" i="4"/>
  <c r="AV191" i="4" s="1"/>
  <c r="AW98" i="5" s="1"/>
  <c r="AJ141" i="4"/>
  <c r="AJ188" i="4" s="1"/>
  <c r="AK95" i="5" s="1"/>
  <c r="DI140" i="4"/>
  <c r="DI187" i="4" s="1"/>
  <c r="DJ47" i="5" s="1"/>
  <c r="DH139" i="4"/>
  <c r="DH186" i="4" s="1"/>
  <c r="DI93" i="5" s="1"/>
  <c r="DL149" i="4"/>
  <c r="DL196" i="4" s="1"/>
  <c r="DM56" i="5" s="1"/>
  <c r="DL146" i="4"/>
  <c r="DL193" i="4" s="1"/>
  <c r="DM53" i="5" s="1"/>
  <c r="DD134" i="4"/>
  <c r="DD181" i="4" s="1"/>
  <c r="DE88" i="5" s="1"/>
  <c r="CN139" i="4"/>
  <c r="CN186" i="4" s="1"/>
  <c r="CO46" i="5" s="1"/>
  <c r="BP137" i="4"/>
  <c r="BP184" i="4" s="1"/>
  <c r="BQ91" i="5" s="1"/>
  <c r="AR139" i="4"/>
  <c r="AR186" i="4" s="1"/>
  <c r="AS46" i="5" s="1"/>
  <c r="AF134" i="4"/>
  <c r="AF181" i="4" s="1"/>
  <c r="AG88" i="5" s="1"/>
  <c r="X144" i="4"/>
  <c r="X191" i="4" s="1"/>
  <c r="Y51" i="5" s="1"/>
  <c r="T141" i="4"/>
  <c r="T188" i="4" s="1"/>
  <c r="U48" i="5" s="1"/>
  <c r="CY133" i="4"/>
  <c r="CY180" i="4" s="1"/>
  <c r="CZ87" i="5" s="1"/>
  <c r="CI134" i="4"/>
  <c r="CI181" i="4" s="1"/>
  <c r="CJ41" i="5" s="1"/>
  <c r="CA138" i="4"/>
  <c r="CA185" i="4" s="1"/>
  <c r="CB92" i="5" s="1"/>
  <c r="AY149" i="4"/>
  <c r="AY196" i="4" s="1"/>
  <c r="AZ56" i="5" s="1"/>
  <c r="AQ139" i="4"/>
  <c r="AQ186" i="4" s="1"/>
  <c r="AR93" i="5" s="1"/>
  <c r="AE149" i="4"/>
  <c r="AE196" i="4" s="1"/>
  <c r="AF56" i="5" s="1"/>
  <c r="W151" i="4"/>
  <c r="W198" i="4" s="1"/>
  <c r="X58" i="5" s="1"/>
  <c r="W145" i="4"/>
  <c r="W192" i="4" s="1"/>
  <c r="X52" i="5" s="1"/>
  <c r="CP72" i="5"/>
  <c r="CP20" i="5"/>
  <c r="DF27" i="5"/>
  <c r="DB77" i="5"/>
  <c r="CX77" i="5"/>
  <c r="CT21" i="5"/>
  <c r="CL37" i="5"/>
  <c r="CL85" i="5"/>
  <c r="BN82" i="5"/>
  <c r="BJ31" i="5"/>
  <c r="BF77" i="5"/>
  <c r="AX79" i="5"/>
  <c r="AT85" i="5"/>
  <c r="AT22" i="5"/>
  <c r="AL28" i="5"/>
  <c r="Z77" i="5"/>
  <c r="V36" i="5"/>
  <c r="CK22" i="5"/>
  <c r="CC27" i="5"/>
  <c r="BU78" i="5"/>
  <c r="BU85" i="5"/>
  <c r="BM27" i="5"/>
  <c r="BA83" i="5"/>
  <c r="AW78" i="5"/>
  <c r="AK75" i="5"/>
  <c r="AK26" i="5"/>
  <c r="AC70" i="5"/>
  <c r="DJ27" i="5"/>
  <c r="DI26" i="5"/>
  <c r="CW70" i="5"/>
  <c r="DM83" i="5"/>
  <c r="DM33" i="5"/>
  <c r="DE21" i="5"/>
  <c r="DA29" i="5"/>
  <c r="CO26" i="5"/>
  <c r="CG85" i="5"/>
  <c r="BY29" i="5"/>
  <c r="BQ72" i="5"/>
  <c r="BQ24" i="5"/>
  <c r="BE22" i="5"/>
  <c r="AS26" i="5"/>
  <c r="AO77" i="5"/>
  <c r="AG68" i="5"/>
  <c r="Y26" i="5"/>
  <c r="Y78" i="5"/>
  <c r="U75" i="5"/>
  <c r="CZ20" i="5"/>
  <c r="CR35" i="5"/>
  <c r="CJ21" i="5"/>
  <c r="CB33" i="5"/>
  <c r="CB72" i="5"/>
  <c r="BX29" i="5"/>
  <c r="BT37" i="5"/>
  <c r="BL68" i="5"/>
  <c r="BD81" i="5"/>
  <c r="AZ36" i="5"/>
  <c r="AR77" i="5"/>
  <c r="AR26" i="5"/>
  <c r="AN76" i="5"/>
  <c r="AJ29" i="5"/>
  <c r="AF83" i="5"/>
  <c r="AB33" i="5"/>
  <c r="X85" i="5"/>
  <c r="X79" i="5"/>
  <c r="CS67" i="5"/>
  <c r="CV78" i="5"/>
  <c r="CN83" i="5"/>
  <c r="CF22" i="5"/>
  <c r="CF85" i="5"/>
  <c r="BP84" i="5"/>
  <c r="BH85" i="5"/>
  <c r="AV85" i="5"/>
  <c r="DH28" i="5"/>
  <c r="DK37" i="5"/>
  <c r="DG75" i="5"/>
  <c r="DG26" i="5"/>
  <c r="CY77" i="5"/>
  <c r="CU83" i="5"/>
  <c r="CQ81" i="5"/>
  <c r="CM26" i="5"/>
  <c r="CI71" i="5"/>
  <c r="CI70" i="5"/>
  <c r="BO33" i="5"/>
  <c r="AM71" i="5"/>
  <c r="W85" i="5"/>
  <c r="DD72" i="5"/>
  <c r="DL37" i="5"/>
  <c r="DL71" i="5"/>
  <c r="DC29" i="5"/>
  <c r="CE28" i="5"/>
  <c r="CA85" i="5"/>
  <c r="BW72" i="5"/>
  <c r="BS85" i="5"/>
  <c r="BK37" i="5"/>
  <c r="BK77" i="5"/>
  <c r="BG30" i="5"/>
  <c r="BC22" i="5"/>
  <c r="AY33" i="5"/>
  <c r="AU31" i="5"/>
  <c r="AQ21" i="5"/>
  <c r="AQ31" i="5"/>
  <c r="AI82" i="5"/>
  <c r="AE27" i="5"/>
  <c r="AA77" i="5"/>
  <c r="S35" i="5"/>
  <c r="CH70" i="5"/>
  <c r="CD83" i="5"/>
  <c r="BZ20" i="5"/>
  <c r="BV81" i="5"/>
  <c r="BR33" i="5"/>
  <c r="BB33" i="5"/>
  <c r="BB77" i="5"/>
  <c r="AP28" i="5"/>
  <c r="AH72" i="5"/>
  <c r="AD24" i="5"/>
  <c r="AY133" i="4"/>
  <c r="AY180" i="4" s="1"/>
  <c r="AZ40" i="5" s="1"/>
  <c r="DK134" i="4"/>
  <c r="DK181" i="4" s="1"/>
  <c r="DL41" i="5" s="1"/>
  <c r="R138" i="4"/>
  <c r="R185" i="4" s="1"/>
  <c r="S92" i="5" s="1"/>
  <c r="CS79" i="5"/>
  <c r="AU137" i="4"/>
  <c r="AU184" i="4" s="1"/>
  <c r="AV91" i="5" s="1"/>
  <c r="DH67" i="5"/>
  <c r="CX142" i="4"/>
  <c r="CX189" i="4" s="1"/>
  <c r="CY49" i="5" s="1"/>
  <c r="CQ70" i="5"/>
  <c r="DC148" i="4"/>
  <c r="DC195" i="4" s="1"/>
  <c r="DD102" i="5" s="1"/>
  <c r="DC85" i="5"/>
  <c r="BR150" i="4"/>
  <c r="BR197" i="4" s="1"/>
  <c r="BS57" i="5" s="1"/>
  <c r="BG82" i="5"/>
  <c r="CO145" i="4"/>
  <c r="CO192" i="4" s="1"/>
  <c r="CP52" i="5" s="1"/>
  <c r="CP83" i="5"/>
  <c r="CW139" i="4"/>
  <c r="CW186" i="4" s="1"/>
  <c r="CX46" i="5" s="1"/>
  <c r="CK137" i="4"/>
  <c r="CK184" i="4" s="1"/>
  <c r="CL91" i="5" s="1"/>
  <c r="BM143" i="4"/>
  <c r="BM190" i="4" s="1"/>
  <c r="BN97" i="5" s="1"/>
  <c r="BJ85" i="5"/>
  <c r="AS143" i="4"/>
  <c r="AS190" i="4" s="1"/>
  <c r="AT97" i="5" s="1"/>
  <c r="U143" i="4"/>
  <c r="U190" i="4" s="1"/>
  <c r="V50" i="5" s="1"/>
  <c r="BL142" i="4"/>
  <c r="BL189" i="4" s="1"/>
  <c r="BM49" i="5" s="1"/>
  <c r="AK79" i="5"/>
  <c r="AN146" i="4"/>
  <c r="AN193" i="4" s="1"/>
  <c r="AO53" i="5" s="1"/>
  <c r="AN136" i="4"/>
  <c r="AN183" i="4" s="1"/>
  <c r="AO90" i="5" s="1"/>
  <c r="AF141" i="4"/>
  <c r="AF188" i="4" s="1"/>
  <c r="AG48" i="5" s="1"/>
  <c r="AF35" i="5"/>
  <c r="AB82" i="5"/>
  <c r="X27" i="5"/>
  <c r="X22" i="5"/>
  <c r="DG135" i="4"/>
  <c r="DG182" i="4" s="1"/>
  <c r="DH42" i="5" s="1"/>
  <c r="DJ134" i="4"/>
  <c r="DJ181" i="4" s="1"/>
  <c r="DK88" i="5" s="1"/>
  <c r="DF136" i="4"/>
  <c r="DF183" i="4" s="1"/>
  <c r="DG90" i="5" s="1"/>
  <c r="CX146" i="4"/>
  <c r="CX193" i="4" s="1"/>
  <c r="CY53" i="5" s="1"/>
  <c r="CT150" i="4"/>
  <c r="CT197" i="4" s="1"/>
  <c r="CU104" i="5" s="1"/>
  <c r="CP142" i="4"/>
  <c r="CP189" i="4" s="1"/>
  <c r="CQ49" i="5" s="1"/>
  <c r="BZ136" i="4"/>
  <c r="BZ183" i="4" s="1"/>
  <c r="CA43" i="5" s="1"/>
  <c r="BV142" i="4"/>
  <c r="BV189" i="4" s="1"/>
  <c r="BW49" i="5" s="1"/>
  <c r="BR133" i="4"/>
  <c r="BR180" i="4" s="1"/>
  <c r="BS87" i="5" s="1"/>
  <c r="BJ149" i="4"/>
  <c r="BJ196" i="4" s="1"/>
  <c r="BK56" i="5" s="1"/>
  <c r="BJ148" i="4"/>
  <c r="BJ195" i="4" s="1"/>
  <c r="BK102" i="5" s="1"/>
  <c r="BF134" i="4"/>
  <c r="BF181" i="4" s="1"/>
  <c r="BG88" i="5" s="1"/>
  <c r="AX150" i="4"/>
  <c r="AX197" i="4" s="1"/>
  <c r="AY57" i="5" s="1"/>
  <c r="AT147" i="4"/>
  <c r="AT194" i="4" s="1"/>
  <c r="AU54" i="5" s="1"/>
  <c r="AP138" i="4"/>
  <c r="AP185" i="4" s="1"/>
  <c r="AQ92" i="5" s="1"/>
  <c r="AP149" i="4"/>
  <c r="AP196" i="4" s="1"/>
  <c r="AQ56" i="5" s="1"/>
  <c r="AH147" i="4"/>
  <c r="AH194" i="4" s="1"/>
  <c r="AI54" i="5" s="1"/>
  <c r="AD138" i="4"/>
  <c r="AD185" i="4" s="1"/>
  <c r="AE45" i="5" s="1"/>
  <c r="AO137" i="4"/>
  <c r="AO184" i="4" s="1"/>
  <c r="AP91" i="5" s="1"/>
  <c r="AG143" i="4"/>
  <c r="AG190" i="4" s="1"/>
  <c r="AH97" i="5" s="1"/>
  <c r="AC145" i="4"/>
  <c r="AC192" i="4" s="1"/>
  <c r="AD52" i="5" s="1"/>
  <c r="AQ138" i="4"/>
  <c r="AQ185" i="4" s="1"/>
  <c r="AR92" i="5" s="1"/>
  <c r="AE147" i="4"/>
  <c r="AE194" i="4" s="1"/>
  <c r="AF54" i="5" s="1"/>
  <c r="AA139" i="4"/>
  <c r="AA186" i="4" s="1"/>
  <c r="AB93" i="5" s="1"/>
  <c r="S149" i="4"/>
  <c r="S196" i="4" s="1"/>
  <c r="T56" i="5" s="1"/>
  <c r="CU151" i="4"/>
  <c r="CU198" i="4" s="1"/>
  <c r="CV58" i="5" s="1"/>
  <c r="CM143" i="4"/>
  <c r="CM190" i="4" s="1"/>
  <c r="CN50" i="5" s="1"/>
  <c r="CQ72" i="5"/>
  <c r="DD67" i="5"/>
  <c r="AY70" i="5"/>
  <c r="CG150" i="4"/>
  <c r="CG197" i="4" s="1"/>
  <c r="CH57" i="5" s="1"/>
  <c r="BY143" i="4"/>
  <c r="BY190" i="4" s="1"/>
  <c r="BZ50" i="5" s="1"/>
  <c r="CO141" i="4"/>
  <c r="CO188" i="4" s="1"/>
  <c r="CP48" i="5" s="1"/>
  <c r="CO135" i="4"/>
  <c r="CO182" i="4" s="1"/>
  <c r="CP42" i="5" s="1"/>
  <c r="DA150" i="4"/>
  <c r="DA197" i="4" s="1"/>
  <c r="DB104" i="5" s="1"/>
  <c r="CW136" i="4"/>
  <c r="CW183" i="4" s="1"/>
  <c r="CX90" i="5" s="1"/>
  <c r="CS140" i="4"/>
  <c r="CS187" i="4" s="1"/>
  <c r="CT94" i="5" s="1"/>
  <c r="CK143" i="4"/>
  <c r="CK190" i="4" s="1"/>
  <c r="CL97" i="5" s="1"/>
  <c r="BM146" i="4"/>
  <c r="BM193" i="4" s="1"/>
  <c r="BN100" i="5" s="1"/>
  <c r="AB147" i="4"/>
  <c r="AB194" i="4" s="1"/>
  <c r="AC54" i="5" s="1"/>
  <c r="CP23" i="5"/>
  <c r="CP70" i="5"/>
  <c r="DE136" i="4"/>
  <c r="DE183" i="4" s="1"/>
  <c r="DF43" i="5" s="1"/>
  <c r="DA142" i="4"/>
  <c r="DA189" i="4" s="1"/>
  <c r="DB96" i="5" s="1"/>
  <c r="BN74" i="5"/>
  <c r="BN27" i="5"/>
  <c r="BE139" i="4"/>
  <c r="BE186" i="4" s="1"/>
  <c r="BF46" i="5" s="1"/>
  <c r="AW149" i="4"/>
  <c r="AW196" i="4" s="1"/>
  <c r="AX56" i="5" s="1"/>
  <c r="AL34" i="5"/>
  <c r="AL81" i="5"/>
  <c r="U134" i="4"/>
  <c r="U181" i="4" s="1"/>
  <c r="V41" i="5" s="1"/>
  <c r="CB151" i="4"/>
  <c r="CB198" i="4" s="1"/>
  <c r="CC58" i="5" s="1"/>
  <c r="BM37" i="5"/>
  <c r="BM84" i="5"/>
  <c r="AJ137" i="4"/>
  <c r="AJ184" i="4" s="1"/>
  <c r="AK91" i="5" s="1"/>
  <c r="DH135" i="4"/>
  <c r="DH182" i="4" s="1"/>
  <c r="DI89" i="5" s="1"/>
  <c r="DE38" i="5"/>
  <c r="DE85" i="5"/>
  <c r="CF136" i="4"/>
  <c r="CF183" i="4" s="1"/>
  <c r="CG90" i="5" s="1"/>
  <c r="BD137" i="4"/>
  <c r="BD184" i="4" s="1"/>
  <c r="BE44" i="5" s="1"/>
  <c r="AG30" i="5"/>
  <c r="AG77" i="5"/>
  <c r="CY150" i="4"/>
  <c r="CY197" i="4" s="1"/>
  <c r="CZ57" i="5" s="1"/>
  <c r="BW138" i="4"/>
  <c r="BW185" i="4" s="1"/>
  <c r="BX92" i="5" s="1"/>
  <c r="BL28" i="5"/>
  <c r="BL75" i="5"/>
  <c r="AM144" i="4"/>
  <c r="AM191" i="4" s="1"/>
  <c r="AN98" i="5" s="1"/>
  <c r="AF69" i="5"/>
  <c r="AF22" i="5"/>
  <c r="T23" i="5"/>
  <c r="T70" i="5"/>
  <c r="AU36" i="5"/>
  <c r="AU83" i="5"/>
  <c r="DJ25" i="5"/>
  <c r="DJ72" i="5"/>
  <c r="DE71" i="5"/>
  <c r="DE24" i="5"/>
  <c r="CG29" i="5"/>
  <c r="CG76" i="5"/>
  <c r="BE33" i="5"/>
  <c r="BE80" i="5"/>
  <c r="U37" i="5"/>
  <c r="U84" i="5"/>
  <c r="CJ20" i="5"/>
  <c r="CJ67" i="5"/>
  <c r="BT70" i="5"/>
  <c r="BT23" i="5"/>
  <c r="AN27" i="5"/>
  <c r="AN74" i="5"/>
  <c r="CP144" i="4"/>
  <c r="CP191" i="4" s="1"/>
  <c r="CQ98" i="5" s="1"/>
  <c r="CL147" i="4"/>
  <c r="CL194" i="4" s="1"/>
  <c r="CM101" i="5" s="1"/>
  <c r="W37" i="5"/>
  <c r="W84" i="5"/>
  <c r="BF133" i="4"/>
  <c r="BF180" i="4" s="1"/>
  <c r="BG40" i="5" s="1"/>
  <c r="BV75" i="5"/>
  <c r="BV28" i="5"/>
  <c r="AE140" i="4"/>
  <c r="AE187" i="4" s="1"/>
  <c r="AF47" i="5" s="1"/>
  <c r="CQ79" i="5"/>
  <c r="CQ32" i="5"/>
  <c r="BG151" i="4"/>
  <c r="BG198" i="4" s="1"/>
  <c r="BH105" i="5" s="1"/>
  <c r="AX146" i="4"/>
  <c r="AX193" i="4" s="1"/>
  <c r="AY53" i="5" s="1"/>
  <c r="CK150" i="4"/>
  <c r="CK197" i="4" s="1"/>
  <c r="CL57" i="5" s="1"/>
  <c r="CU144" i="4"/>
  <c r="CU191" i="4" s="1"/>
  <c r="CV98" i="5" s="1"/>
  <c r="BH137" i="4"/>
  <c r="BH184" i="4" s="1"/>
  <c r="BI91" i="5" s="1"/>
  <c r="CQ137" i="4"/>
  <c r="CQ184" i="4" s="1"/>
  <c r="CR91" i="5" s="1"/>
  <c r="BK139" i="4"/>
  <c r="BK186" i="4" s="1"/>
  <c r="BL46" i="5" s="1"/>
  <c r="BC141" i="4"/>
  <c r="BC188" i="4" s="1"/>
  <c r="BD48" i="5" s="1"/>
  <c r="BC139" i="4"/>
  <c r="BC186" i="4" s="1"/>
  <c r="BD46" i="5" s="1"/>
  <c r="AQ146" i="4"/>
  <c r="AQ193" i="4" s="1"/>
  <c r="AR53" i="5" s="1"/>
  <c r="AI151" i="4"/>
  <c r="AI198" i="4" s="1"/>
  <c r="AJ105" i="5" s="1"/>
  <c r="AE145" i="4"/>
  <c r="AE192" i="4" s="1"/>
  <c r="AF99" i="5" s="1"/>
  <c r="W143" i="4"/>
  <c r="W190" i="4" s="1"/>
  <c r="X50" i="5" s="1"/>
  <c r="S144" i="4"/>
  <c r="S191" i="4" s="1"/>
  <c r="T51" i="5" s="1"/>
  <c r="CU138" i="4"/>
  <c r="CU185" i="4" s="1"/>
  <c r="CV92" i="5" s="1"/>
  <c r="CE143" i="4"/>
  <c r="CE190" i="4" s="1"/>
  <c r="CF50" i="5" s="1"/>
  <c r="BO149" i="4"/>
  <c r="BO196" i="4" s="1"/>
  <c r="BP103" i="5" s="1"/>
  <c r="AU138" i="4"/>
  <c r="AU185" i="4" s="1"/>
  <c r="AV92" i="5" s="1"/>
  <c r="DJ137" i="4"/>
  <c r="DJ184" i="4" s="1"/>
  <c r="DK91" i="5" s="1"/>
  <c r="CX141" i="4"/>
  <c r="CX188" i="4" s="1"/>
  <c r="CY95" i="5" s="1"/>
  <c r="CP139" i="4"/>
  <c r="CP186" i="4" s="1"/>
  <c r="CQ46" i="5" s="1"/>
  <c r="CH141" i="4"/>
  <c r="CH188" i="4" s="1"/>
  <c r="CI48" i="5" s="1"/>
  <c r="BN135" i="4"/>
  <c r="BN182" i="4" s="1"/>
  <c r="BO89" i="5" s="1"/>
  <c r="V148" i="4"/>
  <c r="V195" i="4" s="1"/>
  <c r="W102" i="5" s="1"/>
  <c r="DB135" i="4"/>
  <c r="DB182" i="4" s="1"/>
  <c r="DC42" i="5" s="1"/>
  <c r="BZ145" i="4"/>
  <c r="BZ192" i="4" s="1"/>
  <c r="CA52" i="5" s="1"/>
  <c r="BR144" i="4"/>
  <c r="BR191" i="4" s="1"/>
  <c r="BS98" i="5" s="1"/>
  <c r="BJ136" i="4"/>
  <c r="BJ183" i="4" s="1"/>
  <c r="BK90" i="5" s="1"/>
  <c r="BB136" i="4"/>
  <c r="BB183" i="4" s="1"/>
  <c r="BC43" i="5" s="1"/>
  <c r="AT138" i="4"/>
  <c r="AT185" i="4" s="1"/>
  <c r="AU92" i="5" s="1"/>
  <c r="AH149" i="4"/>
  <c r="AH196" i="4" s="1"/>
  <c r="AI56" i="5" s="1"/>
  <c r="Z150" i="4"/>
  <c r="Z197" i="4" s="1"/>
  <c r="AA57" i="5" s="1"/>
  <c r="BG142" i="4"/>
  <c r="BG189" i="4" s="1"/>
  <c r="BH49" i="5" s="1"/>
  <c r="AV71" i="5"/>
  <c r="DG142" i="4"/>
  <c r="DG189" i="4" s="1"/>
  <c r="DH49" i="5" s="1"/>
  <c r="DF143" i="4"/>
  <c r="DF190" i="4" s="1"/>
  <c r="DG50" i="5" s="1"/>
  <c r="CY76" i="5"/>
  <c r="AL147" i="4"/>
  <c r="AL194" i="4" s="1"/>
  <c r="AM54" i="5" s="1"/>
  <c r="DD35" i="5"/>
  <c r="BZ149" i="4"/>
  <c r="BZ196" i="4" s="1"/>
  <c r="CA56" i="5" s="1"/>
  <c r="BS37" i="5"/>
  <c r="AX139" i="4"/>
  <c r="AX186" i="4" s="1"/>
  <c r="AY46" i="5" s="1"/>
  <c r="AE70" i="5"/>
  <c r="BV27" i="5"/>
  <c r="CP79" i="5"/>
  <c r="CW141" i="4"/>
  <c r="CW188" i="4" s="1"/>
  <c r="CX95" i="5" s="1"/>
  <c r="CK141" i="4"/>
  <c r="CK188" i="4" s="1"/>
  <c r="CL48" i="5" s="1"/>
  <c r="BN77" i="5"/>
  <c r="AW144" i="4"/>
  <c r="AW191" i="4" s="1"/>
  <c r="AX98" i="5" s="1"/>
  <c r="Y146" i="4"/>
  <c r="Y193" i="4" s="1"/>
  <c r="Z53" i="5" s="1"/>
  <c r="V77" i="5"/>
  <c r="AZ143" i="4"/>
  <c r="AZ190" i="4" s="1"/>
  <c r="BA50" i="5" s="1"/>
  <c r="AW71" i="5"/>
  <c r="AK35" i="5"/>
  <c r="CV150" i="4"/>
  <c r="CV197" i="4" s="1"/>
  <c r="CW57" i="5" s="1"/>
  <c r="DL151" i="4"/>
  <c r="DL198" i="4" s="1"/>
  <c r="DM58" i="5" s="1"/>
  <c r="DD133" i="4"/>
  <c r="DD180" i="4" s="1"/>
  <c r="DE40" i="5" s="1"/>
  <c r="CZ133" i="4"/>
  <c r="CZ180" i="4" s="1"/>
  <c r="DA40" i="5" s="1"/>
  <c r="CN145" i="4"/>
  <c r="CN192" i="4" s="1"/>
  <c r="CO52" i="5" s="1"/>
  <c r="CN138" i="4"/>
  <c r="CN185" i="4" s="1"/>
  <c r="CO45" i="5" s="1"/>
  <c r="CF134" i="4"/>
  <c r="CF181" i="4" s="1"/>
  <c r="CG41" i="5" s="1"/>
  <c r="BX150" i="4"/>
  <c r="BX197" i="4" s="1"/>
  <c r="BY57" i="5" s="1"/>
  <c r="BP136" i="4"/>
  <c r="BP183" i="4" s="1"/>
  <c r="BQ43" i="5" s="1"/>
  <c r="BD140" i="4"/>
  <c r="BD187" i="4" s="1"/>
  <c r="BE94" i="5" s="1"/>
  <c r="Y24" i="5"/>
  <c r="CQ145" i="4"/>
  <c r="CQ192" i="4" s="1"/>
  <c r="CR99" i="5" s="1"/>
  <c r="BC135" i="4"/>
  <c r="BC182" i="4" s="1"/>
  <c r="BD89" i="5" s="1"/>
  <c r="AY135" i="4"/>
  <c r="AY182" i="4" s="1"/>
  <c r="AZ42" i="5" s="1"/>
  <c r="AQ136" i="4"/>
  <c r="AQ183" i="4" s="1"/>
  <c r="AR43" i="5" s="1"/>
  <c r="AQ137" i="4"/>
  <c r="AQ184" i="4" s="1"/>
  <c r="AR91" i="5" s="1"/>
  <c r="AM146" i="4"/>
  <c r="AM193" i="4" s="1"/>
  <c r="AN53" i="5" s="1"/>
  <c r="AJ20" i="5"/>
  <c r="BG140" i="4"/>
  <c r="BG187" i="4" s="1"/>
  <c r="BH94" i="5" s="1"/>
  <c r="AU142" i="4"/>
  <c r="AU189" i="4" s="1"/>
  <c r="AV96" i="5" s="1"/>
  <c r="CQ69" i="5"/>
  <c r="DB138" i="4"/>
  <c r="DB185" i="4" s="1"/>
  <c r="DC92" i="5" s="1"/>
  <c r="CD145" i="4"/>
  <c r="CD192" i="4" s="1"/>
  <c r="CE52" i="5" s="1"/>
  <c r="BC67" i="5"/>
  <c r="AA26" i="5"/>
  <c r="BP23" i="5"/>
  <c r="CC134" i="4"/>
  <c r="CC181" i="4" s="1"/>
  <c r="CD41" i="5" s="1"/>
  <c r="BQ147" i="4"/>
  <c r="BQ194" i="4" s="1"/>
  <c r="BR54" i="5" s="1"/>
  <c r="AP72" i="5"/>
  <c r="AC147" i="4"/>
  <c r="AC194" i="4" s="1"/>
  <c r="AD54" i="5" s="1"/>
  <c r="CY22" i="5"/>
  <c r="AM72" i="5"/>
  <c r="DC133" i="4"/>
  <c r="DC180" i="4" s="1"/>
  <c r="DD87" i="5" s="1"/>
  <c r="CD144" i="4"/>
  <c r="CD191" i="4" s="1"/>
  <c r="CE51" i="5" s="1"/>
  <c r="BG22" i="5"/>
  <c r="AX133" i="4"/>
  <c r="AX180" i="4" s="1"/>
  <c r="AY40" i="5" s="1"/>
  <c r="BV26" i="5"/>
  <c r="AP67" i="5"/>
  <c r="AD29" i="5"/>
  <c r="DF20" i="5"/>
  <c r="CO136" i="4"/>
  <c r="CO183" i="4" s="1"/>
  <c r="CP43" i="5" s="1"/>
  <c r="CT83" i="5"/>
  <c r="CT36" i="5"/>
  <c r="CK135" i="4"/>
  <c r="CK182" i="4" s="1"/>
  <c r="CL89" i="5" s="1"/>
  <c r="BM140" i="4"/>
  <c r="BM187" i="4" s="1"/>
  <c r="BN94" i="5" s="1"/>
  <c r="CK84" i="5"/>
  <c r="CK37" i="5"/>
  <c r="BU73" i="5"/>
  <c r="BL150" i="4"/>
  <c r="BL197" i="4" s="1"/>
  <c r="BM104" i="5" s="1"/>
  <c r="AK24" i="5"/>
  <c r="AK71" i="5"/>
  <c r="DJ73" i="5"/>
  <c r="DJ26" i="5"/>
  <c r="DD151" i="4"/>
  <c r="DD198" i="4" s="1"/>
  <c r="DE105" i="5" s="1"/>
  <c r="CO36" i="5"/>
  <c r="CO83" i="5"/>
  <c r="BE83" i="5"/>
  <c r="BE36" i="5"/>
  <c r="AF143" i="4"/>
  <c r="AF190" i="4" s="1"/>
  <c r="AG97" i="5" s="1"/>
  <c r="U68" i="5"/>
  <c r="U21" i="5"/>
  <c r="CB30" i="5"/>
  <c r="CB77" i="5"/>
  <c r="BK141" i="4"/>
  <c r="BK188" i="4" s="1"/>
  <c r="BL48" i="5" s="1"/>
  <c r="AR68" i="5"/>
  <c r="AR21" i="5"/>
  <c r="AE135" i="4"/>
  <c r="AE182" i="4" s="1"/>
  <c r="AF42" i="5" s="1"/>
  <c r="S136" i="4"/>
  <c r="S183" i="4" s="1"/>
  <c r="T43" i="5" s="1"/>
  <c r="AT149" i="4"/>
  <c r="AT196" i="4" s="1"/>
  <c r="AU56" i="5" s="1"/>
  <c r="BA75" i="5"/>
  <c r="BA28" i="5"/>
  <c r="T80" i="5"/>
  <c r="AH144" i="4"/>
  <c r="AH191" i="4" s="1"/>
  <c r="AI51" i="5" s="1"/>
  <c r="AY146" i="4"/>
  <c r="AY193" i="4" s="1"/>
  <c r="AZ100" i="5" s="1"/>
  <c r="CX140" i="4"/>
  <c r="CX187" i="4" s="1"/>
  <c r="BL140" i="4"/>
  <c r="BL187" i="4" s="1"/>
  <c r="BM47" i="5" s="1"/>
  <c r="CV136" i="4"/>
  <c r="CV183" i="4" s="1"/>
  <c r="CW90" i="5" s="1"/>
  <c r="AA146" i="4"/>
  <c r="AA193" i="4" s="1"/>
  <c r="AB53" i="5" s="1"/>
  <c r="S133" i="4"/>
  <c r="S180" i="4" s="1"/>
  <c r="T40" i="5" s="1"/>
  <c r="AK151" i="4"/>
  <c r="AK198" i="4" s="1"/>
  <c r="AL58" i="5" s="1"/>
  <c r="BT145" i="4"/>
  <c r="BT192" i="4" s="1"/>
  <c r="BU52" i="5" s="1"/>
  <c r="BL151" i="4"/>
  <c r="BL198" i="4" s="1"/>
  <c r="BM105" i="5" s="1"/>
  <c r="AB142" i="4"/>
  <c r="AB189" i="4" s="1"/>
  <c r="CZ138" i="4"/>
  <c r="CZ185" i="4" s="1"/>
  <c r="DA45" i="5" s="1"/>
  <c r="CN147" i="4"/>
  <c r="CN194" i="4" s="1"/>
  <c r="CO101" i="5" s="1"/>
  <c r="AR151" i="4"/>
  <c r="AR198" i="4" s="1"/>
  <c r="AS105" i="5" s="1"/>
  <c r="X149" i="4"/>
  <c r="X196" i="4" s="1"/>
  <c r="Y56" i="5" s="1"/>
  <c r="AA149" i="4"/>
  <c r="AA196" i="4" s="1"/>
  <c r="AB56" i="5" s="1"/>
  <c r="S142" i="4"/>
  <c r="S189" i="4" s="1"/>
  <c r="AU135" i="4"/>
  <c r="AU182" i="4" s="1"/>
  <c r="AV42" i="5" s="1"/>
  <c r="CP149" i="4"/>
  <c r="CP196" i="4" s="1"/>
  <c r="AL149" i="4"/>
  <c r="AL196" i="4" s="1"/>
  <c r="AM103" i="5" s="1"/>
  <c r="BR146" i="4"/>
  <c r="BR193" i="4" s="1"/>
  <c r="BS53" i="5" s="1"/>
  <c r="AX145" i="4"/>
  <c r="AX192" i="4" s="1"/>
  <c r="AY52" i="5" s="1"/>
  <c r="R147" i="4"/>
  <c r="R194" i="4" s="1"/>
  <c r="S101" i="5" s="1"/>
  <c r="CG148" i="4"/>
  <c r="CG195" i="4" s="1"/>
  <c r="CH102" i="5" s="1"/>
  <c r="BQ145" i="4"/>
  <c r="BQ192" i="4" s="1"/>
  <c r="BR52" i="5" s="1"/>
  <c r="AO151" i="4"/>
  <c r="AO198" i="4" s="1"/>
  <c r="AP58" i="5" s="1"/>
  <c r="CR71" i="5"/>
  <c r="BL26" i="5"/>
  <c r="BD75" i="5"/>
  <c r="BD26" i="5"/>
  <c r="AR33" i="5"/>
  <c r="AJ85" i="5"/>
  <c r="CG133" i="4"/>
  <c r="CG180" i="4" s="1"/>
  <c r="CH40" i="5" s="1"/>
  <c r="BY140" i="4"/>
  <c r="BY187" i="4" s="1"/>
  <c r="BZ94" i="5" s="1"/>
  <c r="BU150" i="4"/>
  <c r="BU197" i="4" s="1"/>
  <c r="BV104" i="5" s="1"/>
  <c r="BA137" i="4"/>
  <c r="BA184" i="4" s="1"/>
  <c r="BB91" i="5" s="1"/>
  <c r="AG144" i="4"/>
  <c r="AG191" i="4" s="1"/>
  <c r="AH51" i="5" s="1"/>
  <c r="BO151" i="4"/>
  <c r="BO198" i="4" s="1"/>
  <c r="BP58" i="5" s="1"/>
  <c r="BN140" i="4"/>
  <c r="BN187" i="4" s="1"/>
  <c r="BO94" i="5" s="1"/>
  <c r="DB140" i="4"/>
  <c r="DB187" i="4" s="1"/>
  <c r="DC94" i="5" s="1"/>
  <c r="CA83" i="5"/>
  <c r="AI22" i="5"/>
  <c r="CH79" i="5"/>
  <c r="AC135" i="4"/>
  <c r="AC182" i="4" s="1"/>
  <c r="DA141" i="4"/>
  <c r="DA188" i="4" s="1"/>
  <c r="CS139" i="4"/>
  <c r="CS186" i="4" s="1"/>
  <c r="CT93" i="5" s="1"/>
  <c r="BE140" i="4"/>
  <c r="BE187" i="4" s="1"/>
  <c r="BF94" i="5" s="1"/>
  <c r="AK146" i="4"/>
  <c r="AK193" i="4" s="1"/>
  <c r="AL100" i="5" s="1"/>
  <c r="AK139" i="4"/>
  <c r="AK186" i="4" s="1"/>
  <c r="Z33" i="5"/>
  <c r="CB134" i="4"/>
  <c r="CB181" i="4" s="1"/>
  <c r="CC41" i="5" s="1"/>
  <c r="BH136" i="4"/>
  <c r="BH183" i="4" s="1"/>
  <c r="BI90" i="5" s="1"/>
  <c r="BA77" i="5"/>
  <c r="DI133" i="4"/>
  <c r="DI180" i="4" s="1"/>
  <c r="DJ40" i="5" s="1"/>
  <c r="DH137" i="4"/>
  <c r="DH184" i="4" s="1"/>
  <c r="DI91" i="5" s="1"/>
  <c r="X134" i="4"/>
  <c r="X181" i="4" s="1"/>
  <c r="CY141" i="4"/>
  <c r="CY188" i="4" s="1"/>
  <c r="CI137" i="4"/>
  <c r="CI184" i="4" s="1"/>
  <c r="CJ44" i="5" s="1"/>
  <c r="CA151" i="4"/>
  <c r="CA198" i="4" s="1"/>
  <c r="CB105" i="5" s="1"/>
  <c r="BW145" i="4"/>
  <c r="BW192" i="4" s="1"/>
  <c r="BX52" i="5" s="1"/>
  <c r="BW133" i="4"/>
  <c r="BW180" i="4" s="1"/>
  <c r="BS143" i="4"/>
  <c r="BS190" i="4" s="1"/>
  <c r="BT50" i="5" s="1"/>
  <c r="BK133" i="4"/>
  <c r="BK180" i="4" s="1"/>
  <c r="BL40" i="5" s="1"/>
  <c r="BD22" i="5"/>
  <c r="AZ22" i="5"/>
  <c r="AR70" i="5"/>
  <c r="AR24" i="5"/>
  <c r="AN33" i="5"/>
  <c r="CU141" i="4"/>
  <c r="CU188" i="4" s="1"/>
  <c r="CV48" i="5" s="1"/>
  <c r="CM151" i="4"/>
  <c r="CM198" i="4" s="1"/>
  <c r="CN58" i="5" s="1"/>
  <c r="CE138" i="4"/>
  <c r="CE185" i="4" s="1"/>
  <c r="CF92" i="5" s="1"/>
  <c r="DC149" i="4"/>
  <c r="DC196" i="4" s="1"/>
  <c r="DD56" i="5" s="1"/>
  <c r="DK143" i="4"/>
  <c r="DK190" i="4" s="1"/>
  <c r="DL97" i="5" s="1"/>
  <c r="DB148" i="4"/>
  <c r="DB195" i="4" s="1"/>
  <c r="CG147" i="4"/>
  <c r="CG194" i="4" s="1"/>
  <c r="CH101" i="5" s="1"/>
  <c r="CG138" i="4"/>
  <c r="CG185" i="4" s="1"/>
  <c r="CH45" i="5" s="1"/>
  <c r="CC143" i="4"/>
  <c r="CC190" i="4" s="1"/>
  <c r="BY136" i="4"/>
  <c r="BY183" i="4" s="1"/>
  <c r="BZ90" i="5" s="1"/>
  <c r="BU133" i="4"/>
  <c r="BU180" i="4" s="1"/>
  <c r="BV40" i="5" s="1"/>
  <c r="V140" i="4"/>
  <c r="V187" i="4" s="1"/>
  <c r="W47" i="5" s="1"/>
  <c r="DC151" i="4"/>
  <c r="DC198" i="4" s="1"/>
  <c r="DD58" i="5" s="1"/>
  <c r="DB141" i="4"/>
  <c r="DB188" i="4" s="1"/>
  <c r="BZ142" i="4"/>
  <c r="BZ189" i="4" s="1"/>
  <c r="CA96" i="5" s="1"/>
  <c r="BJ138" i="4"/>
  <c r="BJ185" i="4" s="1"/>
  <c r="BK92" i="5" s="1"/>
  <c r="BB150" i="4"/>
  <c r="BB197" i="4" s="1"/>
  <c r="BC104" i="5" s="1"/>
  <c r="AX149" i="4"/>
  <c r="AX196" i="4" s="1"/>
  <c r="AY103" i="5" s="1"/>
  <c r="AP140" i="4"/>
  <c r="AP187" i="4" s="1"/>
  <c r="AQ94" i="5" s="1"/>
  <c r="S85" i="5"/>
  <c r="CD21" i="5"/>
  <c r="AD81" i="5"/>
  <c r="DK79" i="5"/>
  <c r="CI26" i="5"/>
  <c r="BS26" i="5"/>
  <c r="AI26" i="5"/>
  <c r="AA75" i="5"/>
  <c r="BI78" i="5"/>
  <c r="BI31" i="5"/>
  <c r="AV141" i="4"/>
  <c r="AV188" i="4" s="1"/>
  <c r="AW95" i="5" s="1"/>
  <c r="AO146" i="4"/>
  <c r="AO193" i="4" s="1"/>
  <c r="AP100" i="5" s="1"/>
  <c r="DF24" i="5"/>
  <c r="DF71" i="5"/>
  <c r="CW149" i="4"/>
  <c r="CW196" i="4" s="1"/>
  <c r="CX56" i="5" s="1"/>
  <c r="CS149" i="4"/>
  <c r="CS196" i="4" s="1"/>
  <c r="CT56" i="5" s="1"/>
  <c r="BF31" i="5"/>
  <c r="BF78" i="5"/>
  <c r="AW139" i="4"/>
  <c r="AW186" i="4" s="1"/>
  <c r="AX46" i="5" s="1"/>
  <c r="AL30" i="5"/>
  <c r="AL77" i="5"/>
  <c r="Y141" i="4"/>
  <c r="Y188" i="4" s="1"/>
  <c r="CJ150" i="4"/>
  <c r="CJ197" i="4" s="1"/>
  <c r="CK57" i="5" s="1"/>
  <c r="CB146" i="4"/>
  <c r="CB193" i="4" s="1"/>
  <c r="CC53" i="5" s="1"/>
  <c r="BM80" i="5"/>
  <c r="BM33" i="5"/>
  <c r="AW73" i="5"/>
  <c r="AW26" i="5"/>
  <c r="DI139" i="4"/>
  <c r="DI186" i="4" s="1"/>
  <c r="DJ46" i="5" s="1"/>
  <c r="CN149" i="4"/>
  <c r="CN196" i="4" s="1"/>
  <c r="CO103" i="5" s="1"/>
  <c r="BD149" i="4"/>
  <c r="BD196" i="4" s="1"/>
  <c r="BE103" i="5" s="1"/>
  <c r="AO31" i="5"/>
  <c r="AO78" i="5"/>
  <c r="T134" i="4"/>
  <c r="T181" i="4" s="1"/>
  <c r="U41" i="5" s="1"/>
  <c r="CA143" i="4"/>
  <c r="CA190" i="4" s="1"/>
  <c r="BT68" i="5"/>
  <c r="BT21" i="5"/>
  <c r="AQ134" i="4"/>
  <c r="AQ181" i="4" s="1"/>
  <c r="AJ24" i="5"/>
  <c r="AJ71" i="5"/>
  <c r="T71" i="5"/>
  <c r="T24" i="5"/>
  <c r="CF83" i="5"/>
  <c r="CF36" i="5"/>
  <c r="AC33" i="5"/>
  <c r="AC80" i="5"/>
  <c r="DM68" i="5"/>
  <c r="DM21" i="5"/>
  <c r="CO77" i="5"/>
  <c r="CO30" i="5"/>
  <c r="BE72" i="5"/>
  <c r="BE25" i="5"/>
  <c r="Y81" i="5"/>
  <c r="Y34" i="5"/>
  <c r="CR33" i="5"/>
  <c r="CR80" i="5"/>
  <c r="BT81" i="5"/>
  <c r="BT34" i="5"/>
  <c r="AY138" i="4"/>
  <c r="AY185" i="4" s="1"/>
  <c r="AZ92" i="5" s="1"/>
  <c r="AR85" i="5"/>
  <c r="AR38" i="5"/>
  <c r="AA141" i="4"/>
  <c r="AA188" i="4" s="1"/>
  <c r="AB48" i="5" s="1"/>
  <c r="W148" i="4"/>
  <c r="W195" i="4" s="1"/>
  <c r="X55" i="5" s="1"/>
  <c r="BG34" i="5"/>
  <c r="AI29" i="5"/>
  <c r="AI76" i="5"/>
  <c r="CY144" i="4"/>
  <c r="CY191" i="4" s="1"/>
  <c r="CZ51" i="5" s="1"/>
  <c r="CB31" i="5"/>
  <c r="BS149" i="4"/>
  <c r="BS196" i="4" s="1"/>
  <c r="BT103" i="5" s="1"/>
  <c r="CQ148" i="4"/>
  <c r="CQ195" i="4" s="1"/>
  <c r="CR102" i="5" s="1"/>
  <c r="DE142" i="4"/>
  <c r="DE189" i="4" s="1"/>
  <c r="DF96" i="5" s="1"/>
  <c r="CO143" i="4"/>
  <c r="CO190" i="4" s="1"/>
  <c r="CP50" i="5" s="1"/>
  <c r="DA136" i="4"/>
  <c r="DA183" i="4" s="1"/>
  <c r="DB43" i="5" s="1"/>
  <c r="DA148" i="4"/>
  <c r="DA195" i="4" s="1"/>
  <c r="DB102" i="5" s="1"/>
  <c r="CW137" i="4"/>
  <c r="CW184" i="4" s="1"/>
  <c r="CS141" i="4"/>
  <c r="CS188" i="4" s="1"/>
  <c r="CT95" i="5" s="1"/>
  <c r="CK136" i="4"/>
  <c r="CK183" i="4" s="1"/>
  <c r="CL90" i="5" s="1"/>
  <c r="BM136" i="4"/>
  <c r="BM183" i="4" s="1"/>
  <c r="BN43" i="5" s="1"/>
  <c r="BI140" i="4"/>
  <c r="BI187" i="4" s="1"/>
  <c r="BJ47" i="5" s="1"/>
  <c r="BE146" i="4"/>
  <c r="BE193" i="4" s="1"/>
  <c r="BF53" i="5" s="1"/>
  <c r="BE148" i="4"/>
  <c r="BE195" i="4" s="1"/>
  <c r="BF102" i="5" s="1"/>
  <c r="AW140" i="4"/>
  <c r="AW187" i="4" s="1"/>
  <c r="AX94" i="5" s="1"/>
  <c r="AS136" i="4"/>
  <c r="AS183" i="4" s="1"/>
  <c r="Y151" i="4"/>
  <c r="Y198" i="4" s="1"/>
  <c r="Z58" i="5" s="1"/>
  <c r="U148" i="4"/>
  <c r="U195" i="4" s="1"/>
  <c r="V55" i="5" s="1"/>
  <c r="U147" i="4"/>
  <c r="U194" i="4" s="1"/>
  <c r="V101" i="5" s="1"/>
  <c r="CJ134" i="4"/>
  <c r="CJ181" i="4" s="1"/>
  <c r="CK41" i="5" s="1"/>
  <c r="CB141" i="4"/>
  <c r="CB188" i="4" s="1"/>
  <c r="CC48" i="5" s="1"/>
  <c r="BH134" i="4"/>
  <c r="BH181" i="4" s="1"/>
  <c r="BI41" i="5" s="1"/>
  <c r="AZ134" i="4"/>
  <c r="AZ181" i="4" s="1"/>
  <c r="BA41" i="5" s="1"/>
  <c r="AV151" i="4"/>
  <c r="AV198" i="4" s="1"/>
  <c r="DI145" i="4"/>
  <c r="DI192" i="4" s="1"/>
  <c r="DJ52" i="5" s="1"/>
  <c r="DH146" i="4"/>
  <c r="DH193" i="4" s="1"/>
  <c r="DI100" i="5" s="1"/>
  <c r="DH140" i="4"/>
  <c r="DH187" i="4" s="1"/>
  <c r="DI47" i="5" s="1"/>
  <c r="CV143" i="4"/>
  <c r="CV190" i="4" s="1"/>
  <c r="CW97" i="5" s="1"/>
  <c r="DL150" i="4"/>
  <c r="DL197" i="4" s="1"/>
  <c r="DM104" i="5" s="1"/>
  <c r="DD135" i="4"/>
  <c r="DD182" i="4" s="1"/>
  <c r="DE42" i="5" s="1"/>
  <c r="CN136" i="4"/>
  <c r="CN183" i="4" s="1"/>
  <c r="CO43" i="5" s="1"/>
  <c r="CF146" i="4"/>
  <c r="CF193" i="4" s="1"/>
  <c r="BX143" i="4"/>
  <c r="BX190" i="4" s="1"/>
  <c r="BY97" i="5" s="1"/>
  <c r="BP142" i="4"/>
  <c r="BP189" i="4" s="1"/>
  <c r="BQ96" i="5" s="1"/>
  <c r="BD134" i="4"/>
  <c r="BD181" i="4" s="1"/>
  <c r="BE41" i="5" s="1"/>
  <c r="AR143" i="4"/>
  <c r="AR190" i="4" s="1"/>
  <c r="AS97" i="5" s="1"/>
  <c r="AN141" i="4"/>
  <c r="AN188" i="4" s="1"/>
  <c r="AO48" i="5" s="1"/>
  <c r="AF133" i="4"/>
  <c r="AF180" i="4" s="1"/>
  <c r="AG40" i="5" s="1"/>
  <c r="T133" i="4"/>
  <c r="T180" i="4" s="1"/>
  <c r="U40" i="5" s="1"/>
  <c r="CY135" i="4"/>
  <c r="CY182" i="4" s="1"/>
  <c r="CQ140" i="4"/>
  <c r="CQ187" i="4" s="1"/>
  <c r="CR47" i="5" s="1"/>
  <c r="CQ144" i="4"/>
  <c r="CQ191" i="4" s="1"/>
  <c r="CR98" i="5" s="1"/>
  <c r="CI146" i="4"/>
  <c r="CI193" i="4" s="1"/>
  <c r="CJ53" i="5" s="1"/>
  <c r="CA148" i="4"/>
  <c r="CA195" i="4" s="1"/>
  <c r="CB102" i="5" s="1"/>
  <c r="BW147" i="4"/>
  <c r="BW194" i="4" s="1"/>
  <c r="BX54" i="5" s="1"/>
  <c r="BS148" i="4"/>
  <c r="BS195" i="4" s="1"/>
  <c r="BT102" i="5" s="1"/>
  <c r="BK138" i="4"/>
  <c r="BK185" i="4" s="1"/>
  <c r="BL92" i="5" s="1"/>
  <c r="BK140" i="4"/>
  <c r="BK187" i="4" s="1"/>
  <c r="BL94" i="5" s="1"/>
  <c r="BC148" i="4"/>
  <c r="BC195" i="4" s="1"/>
  <c r="BD102" i="5" s="1"/>
  <c r="AY147" i="4"/>
  <c r="AY194" i="4" s="1"/>
  <c r="AZ54" i="5" s="1"/>
  <c r="AQ141" i="4"/>
  <c r="AQ188" i="4" s="1"/>
  <c r="AR48" i="5" s="1"/>
  <c r="AM136" i="4"/>
  <c r="AM183" i="4" s="1"/>
  <c r="AN90" i="5" s="1"/>
  <c r="AI136" i="4"/>
  <c r="AI183" i="4" s="1"/>
  <c r="AI143" i="4"/>
  <c r="AI190" i="4" s="1"/>
  <c r="AJ50" i="5" s="1"/>
  <c r="AE151" i="4"/>
  <c r="AE198" i="4" s="1"/>
  <c r="AF58" i="5" s="1"/>
  <c r="W133" i="4"/>
  <c r="W180" i="4" s="1"/>
  <c r="X87" i="5" s="1"/>
  <c r="CR150" i="4"/>
  <c r="CR197" i="4" s="1"/>
  <c r="CU146" i="4"/>
  <c r="CU193" i="4" s="1"/>
  <c r="CV100" i="5" s="1"/>
  <c r="CU136" i="4"/>
  <c r="CU183" i="4" s="1"/>
  <c r="CV43" i="5" s="1"/>
  <c r="CM135" i="4"/>
  <c r="CM182" i="4" s="1"/>
  <c r="CN89" i="5" s="1"/>
  <c r="CE144" i="4"/>
  <c r="CE191" i="4" s="1"/>
  <c r="CF51" i="5" s="1"/>
  <c r="BO134" i="4"/>
  <c r="BO181" i="4" s="1"/>
  <c r="BP88" i="5" s="1"/>
  <c r="BG133" i="4"/>
  <c r="BG180" i="4" s="1"/>
  <c r="BH87" i="5" s="1"/>
  <c r="AU133" i="4"/>
  <c r="AU180" i="4" s="1"/>
  <c r="AV40" i="5" s="1"/>
  <c r="DG140" i="4"/>
  <c r="DG187" i="4" s="1"/>
  <c r="DH94" i="5" s="1"/>
  <c r="DJ135" i="4"/>
  <c r="DJ182" i="4" s="1"/>
  <c r="DK89" i="5" s="1"/>
  <c r="DF138" i="4"/>
  <c r="DF185" i="4" s="1"/>
  <c r="DG45" i="5" s="1"/>
  <c r="CX147" i="4"/>
  <c r="CX194" i="4" s="1"/>
  <c r="CY54" i="5" s="1"/>
  <c r="CT140" i="4"/>
  <c r="CT187" i="4" s="1"/>
  <c r="CU94" i="5" s="1"/>
  <c r="CT138" i="4"/>
  <c r="CT185" i="4" s="1"/>
  <c r="CU45" i="5" s="1"/>
  <c r="CL148" i="4"/>
  <c r="CL195" i="4" s="1"/>
  <c r="CM102" i="5" s="1"/>
  <c r="CH138" i="4"/>
  <c r="CH185" i="4" s="1"/>
  <c r="CI45" i="5" s="1"/>
  <c r="BN141" i="4"/>
  <c r="BN188" i="4" s="1"/>
  <c r="BO48" i="5" s="1"/>
  <c r="V144" i="4"/>
  <c r="V191" i="4" s="1"/>
  <c r="W98" i="5" s="1"/>
  <c r="V134" i="4"/>
  <c r="V181" i="4" s="1"/>
  <c r="W88" i="5" s="1"/>
  <c r="DC142" i="4"/>
  <c r="DC189" i="4" s="1"/>
  <c r="DD49" i="5" s="1"/>
  <c r="DK142" i="4"/>
  <c r="DK189" i="4" s="1"/>
  <c r="DL49" i="5" s="1"/>
  <c r="DB150" i="4"/>
  <c r="DB197" i="4" s="1"/>
  <c r="DC104" i="5" s="1"/>
  <c r="CD140" i="4"/>
  <c r="CD187" i="4" s="1"/>
  <c r="CE47" i="5" s="1"/>
  <c r="BZ134" i="4"/>
  <c r="BZ181" i="4" s="1"/>
  <c r="CA41" i="5" s="1"/>
  <c r="BZ143" i="4"/>
  <c r="BZ190" i="4" s="1"/>
  <c r="CA97" i="5" s="1"/>
  <c r="BV147" i="4"/>
  <c r="BV194" i="4" s="1"/>
  <c r="BW54" i="5" s="1"/>
  <c r="BJ146" i="4"/>
  <c r="BJ193" i="4" s="1"/>
  <c r="BK100" i="5" s="1"/>
  <c r="BF142" i="4"/>
  <c r="BF189" i="4" s="1"/>
  <c r="BG49" i="5" s="1"/>
  <c r="BB141" i="4"/>
  <c r="BB188" i="4" s="1"/>
  <c r="BC48" i="5" s="1"/>
  <c r="BB146" i="4"/>
  <c r="BB193" i="4" s="1"/>
  <c r="BC53" i="5" s="1"/>
  <c r="AT134" i="4"/>
  <c r="AT181" i="4" s="1"/>
  <c r="AU41" i="5" s="1"/>
  <c r="AP139" i="4"/>
  <c r="AP186" i="4" s="1"/>
  <c r="AQ46" i="5" s="1"/>
  <c r="AH138" i="4"/>
  <c r="AH185" i="4" s="1"/>
  <c r="AI45" i="5" s="1"/>
  <c r="AD151" i="4"/>
  <c r="AD198" i="4" s="1"/>
  <c r="AE105" i="5" s="1"/>
  <c r="Z145" i="4"/>
  <c r="Z192" i="4" s="1"/>
  <c r="AA52" i="5" s="1"/>
  <c r="Z134" i="4"/>
  <c r="Z181" i="4" s="1"/>
  <c r="AA41" i="5" s="1"/>
  <c r="CC136" i="4"/>
  <c r="CC183" i="4" s="1"/>
  <c r="CD90" i="5" s="1"/>
  <c r="BY149" i="4"/>
  <c r="BY196" i="4" s="1"/>
  <c r="BZ56" i="5" s="1"/>
  <c r="BY146" i="4"/>
  <c r="BY193" i="4" s="1"/>
  <c r="BZ53" i="5" s="1"/>
  <c r="BU148" i="4"/>
  <c r="BU195" i="4" s="1"/>
  <c r="BV55" i="5" s="1"/>
  <c r="BA136" i="4"/>
  <c r="BA183" i="4" s="1"/>
  <c r="BB90" i="5" s="1"/>
  <c r="AG141" i="4"/>
  <c r="AG188" i="4" s="1"/>
  <c r="AH95" i="5" s="1"/>
  <c r="AG148" i="4"/>
  <c r="AG195" i="4" s="1"/>
  <c r="AH102" i="5" s="1"/>
  <c r="AC141" i="4"/>
  <c r="AC188" i="4" s="1"/>
  <c r="AD48" i="5" s="1"/>
  <c r="CE141" i="4"/>
  <c r="CE188" i="4" s="1"/>
  <c r="CF95" i="5" s="1"/>
  <c r="AU136" i="4"/>
  <c r="AU183" i="4" s="1"/>
  <c r="AV43" i="5" s="1"/>
  <c r="CL141" i="4"/>
  <c r="CL188" i="4" s="1"/>
  <c r="CM95" i="5" s="1"/>
  <c r="DC135" i="4"/>
  <c r="DC182" i="4" s="1"/>
  <c r="DD89" i="5" s="1"/>
  <c r="BF151" i="4"/>
  <c r="BF198" i="4" s="1"/>
  <c r="BG58" i="5" s="1"/>
  <c r="AY26" i="5"/>
  <c r="Z142" i="4"/>
  <c r="Z189" i="4" s="1"/>
  <c r="AA49" i="5" s="1"/>
  <c r="AO148" i="4"/>
  <c r="AO195" i="4" s="1"/>
  <c r="AP102" i="5" s="1"/>
  <c r="DE148" i="4"/>
  <c r="DE195" i="4" s="1"/>
  <c r="DF55" i="5" s="1"/>
  <c r="BE147" i="4"/>
  <c r="BE194" i="4" s="1"/>
  <c r="BF101" i="5" s="1"/>
  <c r="CJ138" i="4"/>
  <c r="CJ185" i="4" s="1"/>
  <c r="CK92" i="5" s="1"/>
  <c r="BL145" i="4"/>
  <c r="BL192" i="4" s="1"/>
  <c r="BM52" i="5" s="1"/>
  <c r="AV137" i="4"/>
  <c r="AV184" i="4" s="1"/>
  <c r="AW91" i="5" s="1"/>
  <c r="DI76" i="5"/>
  <c r="T145" i="4"/>
  <c r="T192" i="4" s="1"/>
  <c r="U52" i="5" s="1"/>
  <c r="AE139" i="4"/>
  <c r="AE186" i="4" s="1"/>
  <c r="AF46" i="5" s="1"/>
  <c r="AA142" i="4"/>
  <c r="AA189" i="4" s="1"/>
  <c r="AB96" i="5" s="1"/>
  <c r="W147" i="4"/>
  <c r="W194" i="4" s="1"/>
  <c r="X54" i="5" s="1"/>
  <c r="S147" i="4"/>
  <c r="S194" i="4" s="1"/>
  <c r="T101" i="5" s="1"/>
  <c r="CR142" i="4"/>
  <c r="CR189" i="4" s="1"/>
  <c r="CS96" i="5" s="1"/>
  <c r="BP74" i="5"/>
  <c r="CL134" i="4"/>
  <c r="CL181" i="4" s="1"/>
  <c r="CM88" i="5" s="1"/>
  <c r="CH142" i="4"/>
  <c r="CH189" i="4" s="1"/>
  <c r="CI96" i="5" s="1"/>
  <c r="AL145" i="4"/>
  <c r="AL192" i="4" s="1"/>
  <c r="AM99" i="5" s="1"/>
  <c r="V141" i="4"/>
  <c r="V188" i="4" s="1"/>
  <c r="W48" i="5" s="1"/>
  <c r="S28" i="5"/>
  <c r="BR68" i="5"/>
  <c r="BG137" i="4"/>
  <c r="BG184" i="4" s="1"/>
  <c r="BH44" i="5" s="1"/>
  <c r="DG145" i="4"/>
  <c r="DG192" i="4" s="1"/>
  <c r="DH52" i="5" s="1"/>
  <c r="DJ136" i="4"/>
  <c r="DJ183" i="4" s="1"/>
  <c r="DK90" i="5" s="1"/>
  <c r="CP133" i="4"/>
  <c r="CP180" i="4" s="1"/>
  <c r="CQ87" i="5" s="1"/>
  <c r="CL143" i="4"/>
  <c r="CL190" i="4" s="1"/>
  <c r="CM50" i="5" s="1"/>
  <c r="BN148" i="4"/>
  <c r="BN195" i="4" s="1"/>
  <c r="BO102" i="5" s="1"/>
  <c r="CG146" i="4"/>
  <c r="CG193" i="4" s="1"/>
  <c r="CH53" i="5" s="1"/>
  <c r="AG135" i="4"/>
  <c r="AG182" i="4" s="1"/>
  <c r="AH42" i="5" s="1"/>
  <c r="V149" i="4"/>
  <c r="V196" i="4" s="1"/>
  <c r="W103" i="5" s="1"/>
  <c r="AZ146" i="4"/>
  <c r="AZ193" i="4" s="1"/>
  <c r="BA100" i="5" s="1"/>
  <c r="CO151" i="4"/>
  <c r="CO198" i="4" s="1"/>
  <c r="CP58" i="5" s="1"/>
  <c r="DE137" i="4"/>
  <c r="DE184" i="4" s="1"/>
  <c r="DF91" i="5" s="1"/>
  <c r="BN25" i="5"/>
  <c r="BN72" i="5"/>
  <c r="BI133" i="4"/>
  <c r="BI180" i="4" s="1"/>
  <c r="BJ40" i="5" s="1"/>
  <c r="BE144" i="4"/>
  <c r="BE191" i="4" s="1"/>
  <c r="BF51" i="5" s="1"/>
  <c r="AK143" i="4"/>
  <c r="AK190" i="4" s="1"/>
  <c r="AL50" i="5" s="1"/>
  <c r="V32" i="5"/>
  <c r="V79" i="5"/>
  <c r="BL146" i="4"/>
  <c r="BL193" i="4" s="1"/>
  <c r="BM53" i="5" s="1"/>
  <c r="AV139" i="4"/>
  <c r="AV186" i="4" s="1"/>
  <c r="AW46" i="5" s="1"/>
  <c r="AB140" i="4"/>
  <c r="AB187" i="4" s="1"/>
  <c r="AC47" i="5" s="1"/>
  <c r="DM23" i="5"/>
  <c r="DM70" i="5"/>
  <c r="DA38" i="5"/>
  <c r="DA85" i="5"/>
  <c r="BQ28" i="5"/>
  <c r="BQ75" i="5"/>
  <c r="AN144" i="4"/>
  <c r="AN191" i="4" s="1"/>
  <c r="AO51" i="5" s="1"/>
  <c r="U30" i="5"/>
  <c r="U77" i="5"/>
  <c r="CJ32" i="5"/>
  <c r="CJ79" i="5"/>
  <c r="BS134" i="4"/>
  <c r="BS181" i="4" s="1"/>
  <c r="BT41" i="5" s="1"/>
  <c r="AY144" i="4"/>
  <c r="AY191" i="4" s="1"/>
  <c r="AZ98" i="5" s="1"/>
  <c r="AI137" i="4"/>
  <c r="AI184" i="4" s="1"/>
  <c r="AJ44" i="5" s="1"/>
  <c r="S137" i="4"/>
  <c r="S184" i="4" s="1"/>
  <c r="T91" i="5" s="1"/>
  <c r="CE149" i="4"/>
  <c r="CE196" i="4" s="1"/>
  <c r="CF56" i="5" s="1"/>
  <c r="BI27" i="5"/>
  <c r="BI74" i="5"/>
  <c r="AU145" i="4"/>
  <c r="AU192" i="4" s="1"/>
  <c r="AV52" i="5" s="1"/>
  <c r="CU24" i="5"/>
  <c r="CU71" i="5"/>
  <c r="BJ145" i="4"/>
  <c r="BJ192" i="4" s="1"/>
  <c r="BK99" i="5" s="1"/>
  <c r="BH70" i="5"/>
  <c r="BH23" i="5"/>
  <c r="AL151" i="4"/>
  <c r="AL198" i="4" s="1"/>
  <c r="AM105" i="5" s="1"/>
  <c r="DB149" i="4"/>
  <c r="DB196" i="4" s="1"/>
  <c r="DC103" i="5" s="1"/>
  <c r="BV133" i="4"/>
  <c r="BV180" i="4" s="1"/>
  <c r="BW87" i="5" s="1"/>
  <c r="BJ144" i="4"/>
  <c r="BJ191" i="4" s="1"/>
  <c r="BK98" i="5" s="1"/>
  <c r="BF146" i="4"/>
  <c r="BF193" i="4" s="1"/>
  <c r="BG53" i="5" s="1"/>
  <c r="AX138" i="4"/>
  <c r="AX185" i="4" s="1"/>
  <c r="AY92" i="5" s="1"/>
  <c r="AH143" i="4"/>
  <c r="AH190" i="4" s="1"/>
  <c r="AI50" i="5" s="1"/>
  <c r="AD145" i="4"/>
  <c r="AD192" i="4" s="1"/>
  <c r="AE52" i="5" s="1"/>
  <c r="Z140" i="4"/>
  <c r="Z187" i="4" s="1"/>
  <c r="AA47" i="5" s="1"/>
  <c r="BU146" i="4"/>
  <c r="BU193" i="4" s="1"/>
  <c r="BV100" i="5" s="1"/>
  <c r="BQ149" i="4"/>
  <c r="BQ196" i="4" s="1"/>
  <c r="BR56" i="5" s="1"/>
  <c r="CG145" i="4"/>
  <c r="CG192" i="4" s="1"/>
  <c r="CH52" i="5" s="1"/>
  <c r="BU140" i="4"/>
  <c r="BU187" i="4" s="1"/>
  <c r="BV94" i="5" s="1"/>
  <c r="CG137" i="4"/>
  <c r="CG184" i="4" s="1"/>
  <c r="CH91" i="5" s="1"/>
  <c r="BY141" i="4"/>
  <c r="BY188" i="4" s="1"/>
  <c r="BZ48" i="5" s="1"/>
  <c r="AO138" i="4"/>
  <c r="AO185" i="4" s="1"/>
  <c r="AP45" i="5" s="1"/>
  <c r="AP143" i="4"/>
  <c r="AP190" i="4" s="1"/>
  <c r="AQ50" i="5" s="1"/>
  <c r="BY144" i="4"/>
  <c r="BY191" i="4" s="1"/>
  <c r="BZ51" i="5" s="1"/>
  <c r="CS145" i="4"/>
  <c r="CS192" i="4" s="1"/>
  <c r="CT99" i="5" s="1"/>
  <c r="AW147" i="4"/>
  <c r="AW194" i="4" s="1"/>
  <c r="AX54" i="5" s="1"/>
  <c r="AK134" i="4"/>
  <c r="AK181" i="4" s="1"/>
  <c r="AL41" i="5" s="1"/>
  <c r="BT139" i="4"/>
  <c r="BT186" i="4" s="1"/>
  <c r="BU46" i="5" s="1"/>
  <c r="AB151" i="4"/>
  <c r="AB198" i="4" s="1"/>
  <c r="AC105" i="5" s="1"/>
  <c r="DL133" i="4"/>
  <c r="DL180" i="4" s="1"/>
  <c r="DM40" i="5" s="1"/>
  <c r="CZ150" i="4"/>
  <c r="CZ197" i="4" s="1"/>
  <c r="DA104" i="5" s="1"/>
  <c r="AN137" i="4"/>
  <c r="AN184" i="4" s="1"/>
  <c r="AO91" i="5" s="1"/>
  <c r="AF136" i="4"/>
  <c r="AF183" i="4" s="1"/>
  <c r="AG43" i="5" s="1"/>
  <c r="BW135" i="4"/>
  <c r="BW182" i="4" s="1"/>
  <c r="BX42" i="5" s="1"/>
  <c r="BC138" i="4"/>
  <c r="BC185" i="4" s="1"/>
  <c r="BD92" i="5" s="1"/>
  <c r="AI138" i="4"/>
  <c r="AI185" i="4" s="1"/>
  <c r="AJ92" i="5" s="1"/>
  <c r="DI138" i="4"/>
  <c r="DI185" i="4" s="1"/>
  <c r="DJ45" i="5" s="1"/>
  <c r="CM150" i="4"/>
  <c r="CM197" i="4" s="1"/>
  <c r="CN104" i="5" s="1"/>
  <c r="DF150" i="4"/>
  <c r="DF197" i="4" s="1"/>
  <c r="DG57" i="5" s="1"/>
  <c r="BN143" i="4"/>
  <c r="BN190" i="4" s="1"/>
  <c r="BO97" i="5" s="1"/>
  <c r="AM76" i="5"/>
  <c r="AT150" i="4"/>
  <c r="AT197" i="4" s="1"/>
  <c r="AU104" i="5" s="1"/>
  <c r="CC146" i="4"/>
  <c r="CC193" i="4" s="1"/>
  <c r="CD53" i="5" s="1"/>
  <c r="AY148" i="4"/>
  <c r="AY195" i="4" s="1"/>
  <c r="AZ55" i="5" s="1"/>
  <c r="AU148" i="4"/>
  <c r="AU195" i="4" s="1"/>
  <c r="AV102" i="5" s="1"/>
  <c r="CL151" i="4"/>
  <c r="CL198" i="4" s="1"/>
  <c r="CM105" i="5" s="1"/>
  <c r="BB149" i="4"/>
  <c r="BB196" i="4" s="1"/>
  <c r="BC56" i="5" s="1"/>
  <c r="CN81" i="5"/>
  <c r="CW142" i="4"/>
  <c r="CW189" i="4" s="1"/>
  <c r="CX96" i="5" s="1"/>
  <c r="BM134" i="4"/>
  <c r="BM181" i="4" s="1"/>
  <c r="BN88" i="5" s="1"/>
  <c r="AW134" i="4"/>
  <c r="AW181" i="4" s="1"/>
  <c r="AX88" i="5" s="1"/>
  <c r="AT72" i="5"/>
  <c r="CB137" i="4"/>
  <c r="CB184" i="4" s="1"/>
  <c r="CC44" i="5" s="1"/>
  <c r="AV140" i="4"/>
  <c r="AV187" i="4" s="1"/>
  <c r="AW94" i="5" s="1"/>
  <c r="DL140" i="4"/>
  <c r="DL187" i="4" s="1"/>
  <c r="DM47" i="5" s="1"/>
  <c r="BX148" i="4"/>
  <c r="BX195" i="4" s="1"/>
  <c r="BY102" i="5" s="1"/>
  <c r="AR144" i="4"/>
  <c r="AR191" i="4" s="1"/>
  <c r="AS51" i="5" s="1"/>
  <c r="BW136" i="4"/>
  <c r="BW183" i="4" s="1"/>
  <c r="BX43" i="5" s="1"/>
  <c r="BC146" i="4"/>
  <c r="BC193" i="4" s="1"/>
  <c r="BD53" i="5" s="1"/>
  <c r="AM137" i="4"/>
  <c r="AM184" i="4" s="1"/>
  <c r="AN44" i="5" s="1"/>
  <c r="CX144" i="4"/>
  <c r="CX191" i="4" s="1"/>
  <c r="CY98" i="5" s="1"/>
  <c r="BN133" i="4"/>
  <c r="BN180" i="4" s="1"/>
  <c r="BO40" i="5" s="1"/>
  <c r="CD137" i="4"/>
  <c r="CD184" i="4" s="1"/>
  <c r="CE91" i="5" s="1"/>
  <c r="AX143" i="4"/>
  <c r="AX190" i="4" s="1"/>
  <c r="AY50" i="5" s="1"/>
  <c r="CG143" i="4"/>
  <c r="CG190" i="4" s="1"/>
  <c r="CH97" i="5" s="1"/>
  <c r="CA137" i="4"/>
  <c r="CA184" i="4" s="1"/>
  <c r="CB91" i="5" s="1"/>
  <c r="AZ151" i="4"/>
  <c r="AZ198" i="4" s="1"/>
  <c r="BA58" i="5" s="1"/>
  <c r="AZ135" i="4"/>
  <c r="AZ182" i="4" s="1"/>
  <c r="BA89" i="5" s="1"/>
  <c r="AV148" i="4"/>
  <c r="AV195" i="4" s="1"/>
  <c r="AW55" i="5" s="1"/>
  <c r="AJ135" i="4"/>
  <c r="AJ182" i="4" s="1"/>
  <c r="AK89" i="5" s="1"/>
  <c r="DI136" i="4"/>
  <c r="DI183" i="4" s="1"/>
  <c r="DJ43" i="5" s="1"/>
  <c r="DH150" i="4"/>
  <c r="DH197" i="4" s="1"/>
  <c r="DI104" i="5" s="1"/>
  <c r="CV146" i="4"/>
  <c r="CV193" i="4" s="1"/>
  <c r="CW100" i="5" s="1"/>
  <c r="CV135" i="4"/>
  <c r="CV182" i="4" s="1"/>
  <c r="CW42" i="5" s="1"/>
  <c r="DD141" i="4"/>
  <c r="DD188" i="4" s="1"/>
  <c r="DE95" i="5" s="1"/>
  <c r="CN151" i="4"/>
  <c r="CN198" i="4" s="1"/>
  <c r="CO105" i="5" s="1"/>
  <c r="CF150" i="4"/>
  <c r="CF197" i="4" s="1"/>
  <c r="CG57" i="5" s="1"/>
  <c r="CF133" i="4"/>
  <c r="CF180" i="4" s="1"/>
  <c r="CG87" i="5" s="1"/>
  <c r="BX149" i="4"/>
  <c r="BX196" i="4" s="1"/>
  <c r="BY56" i="5" s="1"/>
  <c r="BP150" i="4"/>
  <c r="BP197" i="4" s="1"/>
  <c r="BQ104" i="5" s="1"/>
  <c r="BD150" i="4"/>
  <c r="BD197" i="4" s="1"/>
  <c r="BE104" i="5" s="1"/>
  <c r="AR136" i="4"/>
  <c r="AR183" i="4" s="1"/>
  <c r="AS90" i="5" s="1"/>
  <c r="AN142" i="4"/>
  <c r="AN189" i="4" s="1"/>
  <c r="AO49" i="5" s="1"/>
  <c r="X143" i="4"/>
  <c r="X190" i="4" s="1"/>
  <c r="Y97" i="5" s="1"/>
  <c r="T148" i="4"/>
  <c r="T195" i="4" s="1"/>
  <c r="U102" i="5" s="1"/>
  <c r="CY138" i="4"/>
  <c r="CY185" i="4" s="1"/>
  <c r="CZ45" i="5" s="1"/>
  <c r="CQ149" i="4"/>
  <c r="CQ196" i="4" s="1"/>
  <c r="CR56" i="5" s="1"/>
  <c r="CI148" i="4"/>
  <c r="CI195" i="4" s="1"/>
  <c r="CJ102" i="5" s="1"/>
  <c r="CI144" i="4"/>
  <c r="CI191" i="4" s="1"/>
  <c r="CJ51" i="5" s="1"/>
  <c r="CA141" i="4"/>
  <c r="CA188" i="4" s="1"/>
  <c r="CB48" i="5" s="1"/>
  <c r="BS137" i="4"/>
  <c r="BS184" i="4" s="1"/>
  <c r="BT91" i="5" s="1"/>
  <c r="BK145" i="4"/>
  <c r="BK192" i="4" s="1"/>
  <c r="BL99" i="5" s="1"/>
  <c r="BC140" i="4"/>
  <c r="BC187" i="4" s="1"/>
  <c r="BD94" i="5" s="1"/>
  <c r="AY142" i="4"/>
  <c r="AY189" i="4" s="1"/>
  <c r="AZ96" i="5" s="1"/>
  <c r="AQ148" i="4"/>
  <c r="AQ195" i="4" s="1"/>
  <c r="AR102" i="5" s="1"/>
  <c r="AM133" i="4"/>
  <c r="AM180" i="4" s="1"/>
  <c r="AN40" i="5" s="1"/>
  <c r="AE137" i="4"/>
  <c r="AE184" i="4" s="1"/>
  <c r="AF91" i="5" s="1"/>
  <c r="AE134" i="4"/>
  <c r="AE181" i="4" s="1"/>
  <c r="AF41" i="5" s="1"/>
  <c r="AA140" i="4"/>
  <c r="AA187" i="4" s="1"/>
  <c r="AB94" i="5" s="1"/>
  <c r="W141" i="4"/>
  <c r="W188" i="4" s="1"/>
  <c r="X95" i="5" s="1"/>
  <c r="S134" i="4"/>
  <c r="S181" i="4" s="1"/>
  <c r="T41" i="5" s="1"/>
  <c r="CR134" i="4"/>
  <c r="CR181" i="4" s="1"/>
  <c r="CS88" i="5" s="1"/>
  <c r="CM148" i="4"/>
  <c r="CM195" i="4" s="1"/>
  <c r="CN102" i="5" s="1"/>
  <c r="CM134" i="4"/>
  <c r="CM181" i="4" s="1"/>
  <c r="CN88" i="5" s="1"/>
  <c r="DK141" i="4"/>
  <c r="DK188" i="4" s="1"/>
  <c r="DL48" i="5" s="1"/>
  <c r="AJ146" i="4"/>
  <c r="AJ193" i="4" s="1"/>
  <c r="AK100" i="5" s="1"/>
  <c r="AB135" i="4"/>
  <c r="AB182" i="4" s="1"/>
  <c r="AC89" i="5" s="1"/>
  <c r="DI144" i="4"/>
  <c r="DI191" i="4" s="1"/>
  <c r="DJ51" i="5" s="1"/>
  <c r="CU140" i="4"/>
  <c r="CU187" i="4" s="1"/>
  <c r="CV47" i="5" s="1"/>
  <c r="DJ148" i="4"/>
  <c r="DJ195" i="4" s="1"/>
  <c r="DK102" i="5" s="1"/>
  <c r="BN142" i="4"/>
  <c r="BN189" i="4" s="1"/>
  <c r="BO49" i="5" s="1"/>
  <c r="CD151" i="4"/>
  <c r="CD198" i="4" s="1"/>
  <c r="CE105" i="5" s="1"/>
  <c r="BB143" i="4"/>
  <c r="BB190" i="4" s="1"/>
  <c r="BC50" i="5" s="1"/>
  <c r="AX140" i="4"/>
  <c r="AX187" i="4" s="1"/>
  <c r="AY94" i="5" s="1"/>
  <c r="CG142" i="4"/>
  <c r="CG189" i="4" s="1"/>
  <c r="CH96" i="5" s="1"/>
  <c r="AG142" i="4"/>
  <c r="AG189" i="4" s="1"/>
  <c r="AH49" i="5" s="1"/>
  <c r="CI141" i="4"/>
  <c r="CI188" i="4" s="1"/>
  <c r="CJ95" i="5" s="1"/>
  <c r="BW141" i="4"/>
  <c r="BW188" i="4" s="1"/>
  <c r="BX48" i="5" s="1"/>
  <c r="S141" i="4"/>
  <c r="S188" i="4" s="1"/>
  <c r="T48" i="5" s="1"/>
  <c r="AL150" i="4"/>
  <c r="AL197" i="4" s="1"/>
  <c r="AM104" i="5" s="1"/>
  <c r="DB146" i="4"/>
  <c r="DB193" i="4" s="1"/>
  <c r="DC53" i="5" s="1"/>
  <c r="BV144" i="4"/>
  <c r="BV191" i="4" s="1"/>
  <c r="BW51" i="5" s="1"/>
  <c r="AN151" i="4"/>
  <c r="AN198" i="4" s="1"/>
  <c r="AO58" i="5" s="1"/>
  <c r="CA142" i="4"/>
  <c r="CA189" i="4" s="1"/>
  <c r="CB96" i="5" s="1"/>
  <c r="AM139" i="4"/>
  <c r="AM186" i="4" s="1"/>
  <c r="AN46" i="5" s="1"/>
  <c r="X37" i="5"/>
  <c r="CR136" i="4"/>
  <c r="CR183" i="4" s="1"/>
  <c r="CS43" i="5" s="1"/>
  <c r="DJ140" i="4"/>
  <c r="DJ187" i="4" s="1"/>
  <c r="DK47" i="5" s="1"/>
  <c r="BR138" i="4"/>
  <c r="BR185" i="4" s="1"/>
  <c r="BS92" i="5" s="1"/>
  <c r="AD137" i="4"/>
  <c r="AD184" i="4" s="1"/>
  <c r="AE91" i="5" s="1"/>
  <c r="BQ143" i="4"/>
  <c r="BQ190" i="4" s="1"/>
  <c r="BR50" i="5" s="1"/>
  <c r="DA151" i="4"/>
  <c r="DA198" i="4" s="1"/>
  <c r="DB58" i="5" s="1"/>
  <c r="CK133" i="4"/>
  <c r="CK180" i="4" s="1"/>
  <c r="CL40" i="5" s="1"/>
  <c r="CJ141" i="4"/>
  <c r="CJ188" i="4" s="1"/>
  <c r="CK95" i="5" s="1"/>
  <c r="BT135" i="4"/>
  <c r="BT182" i="4" s="1"/>
  <c r="BU89" i="5" s="1"/>
  <c r="AZ145" i="4"/>
  <c r="AZ192" i="4" s="1"/>
  <c r="BA99" i="5" s="1"/>
  <c r="CV147" i="4"/>
  <c r="CV194" i="4" s="1"/>
  <c r="CW101" i="5" s="1"/>
  <c r="CZ146" i="4"/>
  <c r="CZ193" i="4" s="1"/>
  <c r="DA53" i="5" s="1"/>
  <c r="CF148" i="4"/>
  <c r="CF195" i="4" s="1"/>
  <c r="CG102" i="5" s="1"/>
  <c r="AF146" i="4"/>
  <c r="AF193" i="4" s="1"/>
  <c r="AG53" i="5" s="1"/>
  <c r="CA134" i="4"/>
  <c r="CA181" i="4" s="1"/>
  <c r="CB88" i="5" s="1"/>
  <c r="AM147" i="4"/>
  <c r="AM194" i="4" s="1"/>
  <c r="AN54" i="5" s="1"/>
  <c r="AE144" i="4"/>
  <c r="AE191" i="4" s="1"/>
  <c r="AF98" i="5" s="1"/>
  <c r="AU146" i="4"/>
  <c r="AU193" i="4" s="1"/>
  <c r="AV100" i="5" s="1"/>
  <c r="DF146" i="4"/>
  <c r="DF193" i="4" s="1"/>
  <c r="DG53" i="5" s="1"/>
  <c r="CH145" i="4"/>
  <c r="CH192" i="4" s="1"/>
  <c r="CI99" i="5" s="1"/>
  <c r="DD34" i="5"/>
  <c r="CD134" i="4"/>
  <c r="CD181" i="4" s="1"/>
  <c r="CE41" i="5" s="1"/>
  <c r="BK74" i="5"/>
  <c r="BB134" i="4"/>
  <c r="BB181" i="4" s="1"/>
  <c r="BC88" i="5" s="1"/>
  <c r="AE36" i="5"/>
  <c r="CD28" i="5"/>
  <c r="AO140" i="4"/>
  <c r="AO187" i="4" s="1"/>
  <c r="AP47" i="5" s="1"/>
  <c r="AQ135" i="4"/>
  <c r="AQ182" i="4" s="1"/>
  <c r="AR42" i="5" s="1"/>
  <c r="CI140" i="4"/>
  <c r="CI187" i="4" s="1"/>
  <c r="CJ47" i="5" s="1"/>
  <c r="CM141" i="4"/>
  <c r="CM188" i="4" s="1"/>
  <c r="CN48" i="5" s="1"/>
  <c r="BO147" i="4"/>
  <c r="BO194" i="4" s="1"/>
  <c r="BP54" i="5" s="1"/>
  <c r="BO146" i="4"/>
  <c r="BO193" i="4" s="1"/>
  <c r="BP53" i="5" s="1"/>
  <c r="CH146" i="4"/>
  <c r="CH193" i="4" s="1"/>
  <c r="CI100" i="5" s="1"/>
  <c r="BN149" i="4"/>
  <c r="BN196" i="4" s="1"/>
  <c r="BO103" i="5" s="1"/>
  <c r="BB133" i="4"/>
  <c r="BB180" i="4" s="1"/>
  <c r="BC87" i="5" s="1"/>
  <c r="Z139" i="4"/>
  <c r="Z186" i="4" s="1"/>
  <c r="AA93" i="5" s="1"/>
  <c r="BQ151" i="4"/>
  <c r="BQ198" i="4" s="1"/>
  <c r="BR58" i="5" s="1"/>
  <c r="BA147" i="4"/>
  <c r="BA194" i="4" s="1"/>
  <c r="BB54" i="5" s="1"/>
  <c r="AC139" i="4"/>
  <c r="AC186" i="4" s="1"/>
  <c r="AD46" i="5" s="1"/>
  <c r="CX145" i="4"/>
  <c r="CX192" i="4" s="1"/>
  <c r="CY52" i="5" s="1"/>
  <c r="BV145" i="4"/>
  <c r="BV192" i="4" s="1"/>
  <c r="BW99" i="5" s="1"/>
  <c r="AD133" i="4"/>
  <c r="AD180" i="4" s="1"/>
  <c r="AE40" i="5" s="1"/>
  <c r="R151" i="4"/>
  <c r="R198" i="4" s="1"/>
  <c r="S58" i="5" s="1"/>
  <c r="DG138" i="4"/>
  <c r="DG185" i="4" s="1"/>
  <c r="DH45" i="5" s="1"/>
  <c r="DF135" i="4"/>
  <c r="DF182" i="4" s="1"/>
  <c r="DG89" i="5" s="1"/>
  <c r="CT134" i="4"/>
  <c r="CT181" i="4" s="1"/>
  <c r="CU88" i="5" s="1"/>
  <c r="CP140" i="4"/>
  <c r="CP187" i="4" s="1"/>
  <c r="CQ94" i="5" s="1"/>
  <c r="CH139" i="4"/>
  <c r="CH186" i="4" s="1"/>
  <c r="CI46" i="5" s="1"/>
  <c r="AL138" i="4"/>
  <c r="AL185" i="4" s="1"/>
  <c r="AM92" i="5" s="1"/>
  <c r="DB136" i="4"/>
  <c r="DB183" i="4" s="1"/>
  <c r="DC43" i="5" s="1"/>
  <c r="BZ150" i="4"/>
  <c r="BZ197" i="4" s="1"/>
  <c r="CA104" i="5" s="1"/>
  <c r="BV146" i="4"/>
  <c r="BV193" i="4" s="1"/>
  <c r="BJ141" i="4"/>
  <c r="BJ188" i="4" s="1"/>
  <c r="BK48" i="5" s="1"/>
  <c r="BB140" i="4"/>
  <c r="BB187" i="4" s="1"/>
  <c r="BC47" i="5" s="1"/>
  <c r="AH139" i="4"/>
  <c r="AH186" i="4" s="1"/>
  <c r="AI46" i="5" s="1"/>
  <c r="Z141" i="4"/>
  <c r="Z188" i="4" s="1"/>
  <c r="AA95" i="5" s="1"/>
  <c r="BU139" i="4"/>
  <c r="BU186" i="4" s="1"/>
  <c r="BV46" i="5" s="1"/>
  <c r="AO133" i="4"/>
  <c r="AO180" i="4" s="1"/>
  <c r="AP40" i="5" s="1"/>
  <c r="AC142" i="4"/>
  <c r="AC189" i="4" s="1"/>
  <c r="AD49" i="5" s="1"/>
  <c r="DE133" i="4"/>
  <c r="DE180" i="4" s="1"/>
  <c r="BE150" i="4"/>
  <c r="BE197" i="4" s="1"/>
  <c r="BF104" i="5" s="1"/>
  <c r="Y140" i="4"/>
  <c r="Y187" i="4" s="1"/>
  <c r="Z47" i="5" s="1"/>
  <c r="CB147" i="4"/>
  <c r="CB194" i="4" s="1"/>
  <c r="CC101" i="5" s="1"/>
  <c r="BT149" i="4"/>
  <c r="BT196" i="4" s="1"/>
  <c r="BU103" i="5" s="1"/>
  <c r="BH135" i="4"/>
  <c r="BH182" i="4" s="1"/>
  <c r="AJ143" i="4"/>
  <c r="AJ190" i="4" s="1"/>
  <c r="AK97" i="5" s="1"/>
  <c r="DI150" i="4"/>
  <c r="DI197" i="4" s="1"/>
  <c r="DJ57" i="5" s="1"/>
  <c r="DL147" i="4"/>
  <c r="DL194" i="4" s="1"/>
  <c r="X136" i="4"/>
  <c r="X183" i="4" s="1"/>
  <c r="Y43" i="5" s="1"/>
  <c r="BW134" i="4"/>
  <c r="BW181" i="4" s="1"/>
  <c r="BX41" i="5" s="1"/>
  <c r="AC144" i="4"/>
  <c r="AC191" i="4" s="1"/>
  <c r="AD51" i="5" s="1"/>
  <c r="BQ136" i="4"/>
  <c r="BQ183" i="4" s="1"/>
  <c r="BR90" i="5" s="1"/>
  <c r="AW141" i="4"/>
  <c r="AW188" i="4" s="1"/>
  <c r="AK136" i="4"/>
  <c r="AK183" i="4" s="1"/>
  <c r="AL90" i="5" s="1"/>
  <c r="CJ151" i="4"/>
  <c r="CJ198" i="4" s="1"/>
  <c r="BT141" i="4"/>
  <c r="BT188" i="4" s="1"/>
  <c r="BU48" i="5" s="1"/>
  <c r="S145" i="4"/>
  <c r="S192" i="4" s="1"/>
  <c r="T99" i="5" s="1"/>
  <c r="CR148" i="4"/>
  <c r="CR195" i="4" s="1"/>
  <c r="CV74" i="5"/>
  <c r="DG134" i="4"/>
  <c r="DG181" i="4" s="1"/>
  <c r="DH41" i="5" s="1"/>
  <c r="DK35" i="5"/>
  <c r="CH134" i="4"/>
  <c r="CH181" i="4" s="1"/>
  <c r="BO76" i="5"/>
  <c r="DB144" i="4"/>
  <c r="DB191" i="4" s="1"/>
  <c r="CD150" i="4"/>
  <c r="CD197" i="4" s="1"/>
  <c r="CE57" i="5" s="1"/>
  <c r="CE38" i="5"/>
  <c r="R144" i="4"/>
  <c r="R191" i="4" s="1"/>
  <c r="S98" i="5" s="1"/>
  <c r="AO144" i="4"/>
  <c r="AO191" i="4" s="1"/>
  <c r="AP51" i="5" s="1"/>
  <c r="AH29" i="5"/>
  <c r="CJ75" i="5"/>
  <c r="AZ35" i="5"/>
  <c r="AA147" i="4"/>
  <c r="AA194" i="4" s="1"/>
  <c r="AB54" i="5" s="1"/>
  <c r="T75" i="5"/>
  <c r="AV82" i="5"/>
  <c r="CM85" i="5"/>
  <c r="BC83" i="5"/>
  <c r="S20" i="5"/>
  <c r="AM35" i="5"/>
  <c r="CS148" i="4"/>
  <c r="CS195" i="4" s="1"/>
  <c r="U141" i="4"/>
  <c r="U188" i="4" s="1"/>
  <c r="V48" i="5" s="1"/>
  <c r="BH148" i="4"/>
  <c r="BH195" i="4" s="1"/>
  <c r="DH144" i="4"/>
  <c r="DH191" i="4" s="1"/>
  <c r="DI51" i="5" s="1"/>
  <c r="X142" i="4"/>
  <c r="X189" i="4" s="1"/>
  <c r="Y49" i="5" s="1"/>
  <c r="CI142" i="4"/>
  <c r="CI189" i="4" s="1"/>
  <c r="CJ49" i="5" s="1"/>
  <c r="AQ149" i="4"/>
  <c r="AQ196" i="4" s="1"/>
  <c r="AR103" i="5" s="1"/>
  <c r="W144" i="4"/>
  <c r="W191" i="4" s="1"/>
  <c r="X51" i="5" s="1"/>
  <c r="CE134" i="4"/>
  <c r="CE181" i="4" s="1"/>
  <c r="CF41" i="5" s="1"/>
  <c r="DJ144" i="4"/>
  <c r="DJ191" i="4" s="1"/>
  <c r="DK51" i="5" s="1"/>
  <c r="CL149" i="4"/>
  <c r="CL196" i="4" s="1"/>
  <c r="DB145" i="4"/>
  <c r="DB192" i="4" s="1"/>
  <c r="DC52" i="5" s="1"/>
  <c r="BF144" i="4"/>
  <c r="BF191" i="4" s="1"/>
  <c r="BG51" i="5" s="1"/>
  <c r="R135" i="4"/>
  <c r="R182" i="4" s="1"/>
  <c r="S89" i="5" s="1"/>
  <c r="CE148" i="4"/>
  <c r="CE195" i="4" s="1"/>
  <c r="CF102" i="5" s="1"/>
  <c r="CY145" i="4"/>
  <c r="CY192" i="4" s="1"/>
  <c r="CZ52" i="5" s="1"/>
  <c r="BO139" i="4"/>
  <c r="BO186" i="4" s="1"/>
  <c r="BP46" i="5" s="1"/>
  <c r="CT133" i="4"/>
  <c r="CT180" i="4" s="1"/>
  <c r="CU40" i="5" s="1"/>
  <c r="DK138" i="4"/>
  <c r="DK185" i="4" s="1"/>
  <c r="DL45" i="5" s="1"/>
  <c r="BF136" i="4"/>
  <c r="BF183" i="4" s="1"/>
  <c r="BG90" i="5" s="1"/>
  <c r="AX134" i="4"/>
  <c r="AX181" i="4" s="1"/>
  <c r="AY41" i="5" s="1"/>
  <c r="AD144" i="4"/>
  <c r="AD191" i="4" s="1"/>
  <c r="AE98" i="5" s="1"/>
  <c r="BA142" i="4"/>
  <c r="BA189" i="4" s="1"/>
  <c r="CQ136" i="4"/>
  <c r="CQ183" i="4" s="1"/>
  <c r="CR43" i="5" s="1"/>
  <c r="AY143" i="4"/>
  <c r="AY190" i="4" s="1"/>
  <c r="AZ50" i="5" s="1"/>
  <c r="AI149" i="4"/>
  <c r="AI196" i="4" s="1"/>
  <c r="AJ56" i="5" s="1"/>
  <c r="S139" i="4"/>
  <c r="S186" i="4" s="1"/>
  <c r="T93" i="5" s="1"/>
  <c r="AU147" i="4"/>
  <c r="AU194" i="4" s="1"/>
  <c r="AV54" i="5" s="1"/>
  <c r="CH144" i="4"/>
  <c r="CH191" i="4" s="1"/>
  <c r="CI98" i="5" s="1"/>
  <c r="AL146" i="4"/>
  <c r="AL193" i="4" s="1"/>
  <c r="AM53" i="5" s="1"/>
  <c r="CD133" i="4"/>
  <c r="CD180" i="4" s="1"/>
  <c r="AP150" i="4"/>
  <c r="AP197" i="4" s="1"/>
  <c r="AQ57" i="5" s="1"/>
  <c r="Z136" i="4"/>
  <c r="Z183" i="4" s="1"/>
  <c r="AA43" i="5" s="1"/>
  <c r="BU134" i="4"/>
  <c r="BU181" i="4" s="1"/>
  <c r="BV88" i="5" s="1"/>
  <c r="BA141" i="4"/>
  <c r="BA188" i="4" s="1"/>
  <c r="BB48" i="5" s="1"/>
  <c r="CS136" i="4"/>
  <c r="CS183" i="4" s="1"/>
  <c r="CT90" i="5" s="1"/>
  <c r="BI136" i="4"/>
  <c r="BI183" i="4" s="1"/>
  <c r="BJ90" i="5" s="1"/>
  <c r="Y137" i="4"/>
  <c r="Y184" i="4" s="1"/>
  <c r="Z91" i="5" s="1"/>
  <c r="BL136" i="4"/>
  <c r="BL183" i="4" s="1"/>
  <c r="AV138" i="4"/>
  <c r="AV185" i="4" s="1"/>
  <c r="AW92" i="5" s="1"/>
  <c r="DI148" i="4"/>
  <c r="DI195" i="4" s="1"/>
  <c r="DJ55" i="5" s="1"/>
  <c r="CQ133" i="4"/>
  <c r="CQ180" i="4" s="1"/>
  <c r="CR40" i="5" s="1"/>
  <c r="AY134" i="4"/>
  <c r="AY181" i="4" s="1"/>
  <c r="AZ88" i="5" s="1"/>
  <c r="AI146" i="4"/>
  <c r="AI193" i="4" s="1"/>
  <c r="AJ53" i="5" s="1"/>
  <c r="CM137" i="4"/>
  <c r="CM184" i="4" s="1"/>
  <c r="BO138" i="4"/>
  <c r="BO185" i="4" s="1"/>
  <c r="BP92" i="5" s="1"/>
  <c r="DG151" i="4"/>
  <c r="DG198" i="4" s="1"/>
  <c r="CP134" i="4"/>
  <c r="CP181" i="4" s="1"/>
  <c r="CQ88" i="5" s="1"/>
  <c r="DK139" i="4"/>
  <c r="DK186" i="4" s="1"/>
  <c r="DL46" i="5" s="1"/>
  <c r="BF141" i="4"/>
  <c r="BF188" i="4" s="1"/>
  <c r="BG48" i="5" s="1"/>
  <c r="S69" i="5"/>
  <c r="S22" i="5"/>
  <c r="S30" i="5"/>
  <c r="S77" i="5"/>
  <c r="BL149" i="4"/>
  <c r="BL196" i="4" s="1"/>
  <c r="S146" i="4"/>
  <c r="S193" i="4" s="1"/>
  <c r="T100" i="5" s="1"/>
  <c r="BG139" i="4"/>
  <c r="BG186" i="4" s="1"/>
  <c r="CT137" i="4"/>
  <c r="CT184" i="4" s="1"/>
  <c r="CU44" i="5" s="1"/>
  <c r="BF147" i="4"/>
  <c r="BF194" i="4" s="1"/>
  <c r="BG54" i="5" s="1"/>
  <c r="BQ141" i="4"/>
  <c r="BQ188" i="4" s="1"/>
  <c r="BR95" i="5" s="1"/>
  <c r="V142" i="4"/>
  <c r="V189" i="4" s="1"/>
  <c r="DE139" i="4"/>
  <c r="DE186" i="4" s="1"/>
  <c r="DF46" i="5" s="1"/>
  <c r="DF22" i="5"/>
  <c r="BI146" i="4"/>
  <c r="BI193" i="4" s="1"/>
  <c r="BJ100" i="5" s="1"/>
  <c r="Y138" i="4"/>
  <c r="Y185" i="4" s="1"/>
  <c r="Z92" i="5" s="1"/>
  <c r="AV146" i="4"/>
  <c r="AV193" i="4" s="1"/>
  <c r="AW100" i="5" s="1"/>
  <c r="DI146" i="4"/>
  <c r="DI193" i="4" s="1"/>
  <c r="DJ53" i="5" s="1"/>
  <c r="CO24" i="5"/>
  <c r="AR149" i="4"/>
  <c r="AR196" i="4" s="1"/>
  <c r="AS56" i="5" s="1"/>
  <c r="AO26" i="5"/>
  <c r="AF142" i="4"/>
  <c r="AF189" i="4" s="1"/>
  <c r="AG49" i="5" s="1"/>
  <c r="CY137" i="4"/>
  <c r="CY184" i="4" s="1"/>
  <c r="CZ44" i="5" s="1"/>
  <c r="BC143" i="4"/>
  <c r="BC190" i="4" s="1"/>
  <c r="CU133" i="4"/>
  <c r="CU180" i="4" s="1"/>
  <c r="CV87" i="5" s="1"/>
  <c r="DC145" i="4"/>
  <c r="DC192" i="4" s="1"/>
  <c r="DD52" i="5" s="1"/>
  <c r="BJ142" i="4"/>
  <c r="BJ189" i="4" s="1"/>
  <c r="AX142" i="4"/>
  <c r="AX189" i="4" s="1"/>
  <c r="AY49" i="5" s="1"/>
  <c r="R140" i="4"/>
  <c r="R187" i="4" s="1"/>
  <c r="S47" i="5" s="1"/>
  <c r="BU151" i="4"/>
  <c r="BU198" i="4" s="1"/>
  <c r="BV58" i="5" s="1"/>
  <c r="BD20" i="5"/>
  <c r="BH34" i="5"/>
  <c r="AM149" i="4"/>
  <c r="AM196" i="4" s="1"/>
  <c r="AN103" i="5" s="1"/>
  <c r="BR145" i="4"/>
  <c r="BR192" i="4" s="1"/>
  <c r="BS99" i="5" s="1"/>
  <c r="BB145" i="4"/>
  <c r="BB192" i="4" s="1"/>
  <c r="BC99" i="5" s="1"/>
  <c r="AH133" i="4"/>
  <c r="AH180" i="4" s="1"/>
  <c r="AI40" i="5" s="1"/>
  <c r="CC137" i="4"/>
  <c r="CC184" i="4" s="1"/>
  <c r="CY136" i="4"/>
  <c r="CY183" i="4" s="1"/>
  <c r="CZ43" i="5" s="1"/>
  <c r="BK147" i="4"/>
  <c r="BK194" i="4" s="1"/>
  <c r="BL101" i="5" s="1"/>
  <c r="AQ147" i="4"/>
  <c r="AQ194" i="4" s="1"/>
  <c r="AR101" i="5" s="1"/>
  <c r="CV68" i="5"/>
  <c r="BG146" i="4"/>
  <c r="BG193" i="4" s="1"/>
  <c r="BH53" i="5" s="1"/>
  <c r="DG147" i="4"/>
  <c r="DG194" i="4" s="1"/>
  <c r="DG31" i="5"/>
  <c r="CP146" i="4"/>
  <c r="CP193" i="4" s="1"/>
  <c r="CQ100" i="5" s="1"/>
  <c r="DK144" i="4"/>
  <c r="DK191" i="4" s="1"/>
  <c r="DL98" i="5" s="1"/>
  <c r="BK24" i="5"/>
  <c r="CC139" i="4"/>
  <c r="CC186" i="4" s="1"/>
  <c r="CD93" i="5" s="1"/>
  <c r="CO148" i="4"/>
  <c r="CO195" i="4" s="1"/>
  <c r="CP55" i="5" s="1"/>
  <c r="BM137" i="4"/>
  <c r="BM184" i="4" s="1"/>
  <c r="BN91" i="5" s="1"/>
  <c r="AX77" i="5"/>
  <c r="AK135" i="4"/>
  <c r="AK182" i="4" s="1"/>
  <c r="AL89" i="5" s="1"/>
  <c r="CC25" i="5"/>
  <c r="AB137" i="4"/>
  <c r="AB184" i="4" s="1"/>
  <c r="AC44" i="5" s="1"/>
  <c r="DM71" i="5"/>
  <c r="BY78" i="5"/>
  <c r="BD151" i="4"/>
  <c r="BD198" i="4" s="1"/>
  <c r="BE58" i="5" s="1"/>
  <c r="CY146" i="4"/>
  <c r="CY193" i="4" s="1"/>
  <c r="CZ100" i="5" s="1"/>
  <c r="BX73" i="5"/>
  <c r="BK137" i="4"/>
  <c r="BK184" i="4" s="1"/>
  <c r="BL91" i="5" s="1"/>
  <c r="AE133" i="4"/>
  <c r="AE180" i="4" s="1"/>
  <c r="AB20" i="5"/>
  <c r="T69" i="5"/>
  <c r="CR151" i="4"/>
  <c r="CR198" i="4" s="1"/>
  <c r="CS58" i="5" s="1"/>
  <c r="CY83" i="5"/>
  <c r="BO68" i="5"/>
  <c r="V133" i="4"/>
  <c r="V180" i="4" s="1"/>
  <c r="W87" i="5" s="1"/>
  <c r="DB134" i="4"/>
  <c r="DB181" i="4" s="1"/>
  <c r="DC88" i="5" s="1"/>
  <c r="CA74" i="5"/>
  <c r="BR149" i="4"/>
  <c r="BR196" i="4" s="1"/>
  <c r="AU24" i="5"/>
  <c r="Z138" i="4"/>
  <c r="Z185" i="4" s="1"/>
  <c r="AA45" i="5" s="1"/>
  <c r="S74" i="5"/>
  <c r="S27" i="5"/>
  <c r="BB73" i="5"/>
  <c r="BT31" i="5"/>
  <c r="Y69" i="5"/>
  <c r="Y22" i="5"/>
  <c r="AY141" i="4"/>
  <c r="AY188" i="4" s="1"/>
  <c r="AH135" i="4"/>
  <c r="AH182" i="4" s="1"/>
  <c r="AI89" i="5" s="1"/>
  <c r="AD136" i="4"/>
  <c r="AD183" i="4" s="1"/>
  <c r="BM135" i="4"/>
  <c r="BM182" i="4" s="1"/>
  <c r="BT147" i="4"/>
  <c r="BT194" i="4" s="1"/>
  <c r="BU54" i="5" s="1"/>
  <c r="BH151" i="4"/>
  <c r="BH198" i="4" s="1"/>
  <c r="AZ147" i="4"/>
  <c r="AZ194" i="4" s="1"/>
  <c r="BA54" i="5" s="1"/>
  <c r="AV145" i="4"/>
  <c r="AV192" i="4" s="1"/>
  <c r="AJ151" i="4"/>
  <c r="AJ198" i="4" s="1"/>
  <c r="AK105" i="5" s="1"/>
  <c r="AB143" i="4"/>
  <c r="AB190" i="4" s="1"/>
  <c r="AC97" i="5" s="1"/>
  <c r="DH142" i="4"/>
  <c r="DH189" i="4" s="1"/>
  <c r="DI49" i="5" s="1"/>
  <c r="AR150" i="4"/>
  <c r="AR197" i="4" s="1"/>
  <c r="X137" i="4"/>
  <c r="X184" i="4" s="1"/>
  <c r="Y91" i="5" s="1"/>
  <c r="CY151" i="4"/>
  <c r="CY198" i="4" s="1"/>
  <c r="BK143" i="4"/>
  <c r="BK190" i="4" s="1"/>
  <c r="BL50" i="5" s="1"/>
  <c r="AI139" i="4"/>
  <c r="AI186" i="4" s="1"/>
  <c r="AJ93" i="5" s="1"/>
  <c r="AE141" i="4"/>
  <c r="AE188" i="4" s="1"/>
  <c r="CU135" i="4"/>
  <c r="CU182" i="4" s="1"/>
  <c r="CV42" i="5" s="1"/>
  <c r="BO140" i="4"/>
  <c r="BO187" i="4" s="1"/>
  <c r="BP94" i="5" s="1"/>
  <c r="AU150" i="4"/>
  <c r="AU197" i="4" s="1"/>
  <c r="CP135" i="4"/>
  <c r="CP182" i="4" s="1"/>
  <c r="CQ89" i="5" s="1"/>
  <c r="V143" i="4"/>
  <c r="V190" i="4" s="1"/>
  <c r="W97" i="5" s="1"/>
  <c r="DB143" i="4"/>
  <c r="DB190" i="4" s="1"/>
  <c r="DC50" i="5" s="1"/>
  <c r="BZ146" i="4"/>
  <c r="BZ193" i="4" s="1"/>
  <c r="CA100" i="5" s="1"/>
  <c r="Z148" i="4"/>
  <c r="Z195" i="4" s="1"/>
  <c r="AA55" i="5" s="1"/>
  <c r="R141" i="4"/>
  <c r="R188" i="4" s="1"/>
  <c r="S48" i="5" s="1"/>
  <c r="BQ134" i="4"/>
  <c r="BQ181" i="4" s="1"/>
  <c r="BR88" i="5" s="1"/>
  <c r="BA133" i="4"/>
  <c r="BA180" i="4" s="1"/>
  <c r="BO136" i="4"/>
  <c r="BO183" i="4" s="1"/>
  <c r="BP43" i="5" s="1"/>
  <c r="AL136" i="4"/>
  <c r="AL183" i="4" s="1"/>
  <c r="AM43" i="5" s="1"/>
  <c r="CU139" i="4"/>
  <c r="CU186" i="4" s="1"/>
  <c r="CV46" i="5" s="1"/>
  <c r="DJ145" i="4"/>
  <c r="DJ192" i="4" s="1"/>
  <c r="DK99" i="5" s="1"/>
  <c r="CX135" i="4"/>
  <c r="CX182" i="4" s="1"/>
  <c r="CY89" i="5" s="1"/>
  <c r="CP138" i="4"/>
  <c r="CP185" i="4" s="1"/>
  <c r="CL140" i="4"/>
  <c r="CL187" i="4" s="1"/>
  <c r="CM94" i="5" s="1"/>
  <c r="BN151" i="4"/>
  <c r="BN198" i="4" s="1"/>
  <c r="DK148" i="4"/>
  <c r="DK195" i="4" s="1"/>
  <c r="DL102" i="5" s="1"/>
  <c r="BV136" i="4"/>
  <c r="BV183" i="4" s="1"/>
  <c r="BW90" i="5" s="1"/>
  <c r="BR139" i="4"/>
  <c r="BR186" i="4" s="1"/>
  <c r="BS46" i="5" s="1"/>
  <c r="BF135" i="4"/>
  <c r="BF182" i="4" s="1"/>
  <c r="BG42" i="5" s="1"/>
  <c r="AX136" i="4"/>
  <c r="AX183" i="4" s="1"/>
  <c r="AY90" i="5" s="1"/>
  <c r="AP133" i="4"/>
  <c r="AP180" i="4" s="1"/>
  <c r="AQ40" i="5" s="1"/>
  <c r="BM147" i="4"/>
  <c r="BM194" i="4" s="1"/>
  <c r="BN101" i="5" s="1"/>
  <c r="CJ146" i="4"/>
  <c r="CJ193" i="4" s="1"/>
  <c r="BH144" i="4"/>
  <c r="BH191" i="4" s="1"/>
  <c r="BI51" i="5" s="1"/>
  <c r="AZ150" i="4"/>
  <c r="AZ197" i="4" s="1"/>
  <c r="BA57" i="5" s="1"/>
  <c r="AZ140" i="4"/>
  <c r="AZ187" i="4" s="1"/>
  <c r="BA47" i="5" s="1"/>
  <c r="AV150" i="4"/>
  <c r="AV197" i="4" s="1"/>
  <c r="AJ150" i="4"/>
  <c r="AJ197" i="4" s="1"/>
  <c r="AK104" i="5" s="1"/>
  <c r="AB150" i="4"/>
  <c r="AB197" i="4" s="1"/>
  <c r="AC104" i="5" s="1"/>
  <c r="DI141" i="4"/>
  <c r="DI188" i="4" s="1"/>
  <c r="DJ48" i="5" s="1"/>
  <c r="CZ143" i="4"/>
  <c r="CZ190" i="4" s="1"/>
  <c r="CN146" i="4"/>
  <c r="CN193" i="4" s="1"/>
  <c r="BT138" i="4"/>
  <c r="BT185" i="4" s="1"/>
  <c r="BL134" i="4"/>
  <c r="BL181" i="4" s="1"/>
  <c r="BM41" i="5" s="1"/>
  <c r="BL148" i="4"/>
  <c r="BL195" i="4" s="1"/>
  <c r="BH140" i="4"/>
  <c r="BH187" i="4" s="1"/>
  <c r="BI94" i="5" s="1"/>
  <c r="AZ141" i="4"/>
  <c r="AZ188" i="4" s="1"/>
  <c r="BA48" i="5" s="1"/>
  <c r="AJ147" i="4"/>
  <c r="AJ194" i="4" s="1"/>
  <c r="AK101" i="5" s="1"/>
  <c r="AB148" i="4"/>
  <c r="AB195" i="4" s="1"/>
  <c r="AB146" i="4"/>
  <c r="AB193" i="4" s="1"/>
  <c r="DH136" i="4"/>
  <c r="DH183" i="4" s="1"/>
  <c r="DI90" i="5" s="1"/>
  <c r="CV139" i="4"/>
  <c r="CV186" i="4" s="1"/>
  <c r="CW93" i="5" s="1"/>
  <c r="DL134" i="4"/>
  <c r="DL181" i="4" s="1"/>
  <c r="DD137" i="4"/>
  <c r="DD184" i="4" s="1"/>
  <c r="DE91" i="5" s="1"/>
  <c r="CZ149" i="4"/>
  <c r="CZ196" i="4" s="1"/>
  <c r="DA56" i="5" s="1"/>
  <c r="CZ140" i="4"/>
  <c r="CZ187" i="4" s="1"/>
  <c r="DA47" i="5" s="1"/>
  <c r="CN143" i="4"/>
  <c r="CN190" i="4" s="1"/>
  <c r="CF142" i="4"/>
  <c r="CF189" i="4" s="1"/>
  <c r="BX147" i="4"/>
  <c r="BX194" i="4" s="1"/>
  <c r="BY54" i="5" s="1"/>
  <c r="BP149" i="4"/>
  <c r="BP196" i="4" s="1"/>
  <c r="BQ56" i="5" s="1"/>
  <c r="BD138" i="4"/>
  <c r="BD185" i="4" s="1"/>
  <c r="BE92" i="5" s="1"/>
  <c r="BD146" i="4"/>
  <c r="BD193" i="4" s="1"/>
  <c r="BE53" i="5" s="1"/>
  <c r="AN140" i="4"/>
  <c r="AN187" i="4" s="1"/>
  <c r="AO47" i="5" s="1"/>
  <c r="AF151" i="4"/>
  <c r="AF198" i="4" s="1"/>
  <c r="AG58" i="5" s="1"/>
  <c r="X147" i="4"/>
  <c r="X194" i="4" s="1"/>
  <c r="Y101" i="5" s="1"/>
  <c r="T150" i="4"/>
  <c r="T197" i="4" s="1"/>
  <c r="T142" i="4"/>
  <c r="T189" i="4" s="1"/>
  <c r="U49" i="5" s="1"/>
  <c r="CY149" i="4"/>
  <c r="CY196" i="4" s="1"/>
  <c r="CZ56" i="5" s="1"/>
  <c r="CQ146" i="4"/>
  <c r="CQ193" i="4" s="1"/>
  <c r="CR53" i="5" s="1"/>
  <c r="CI133" i="4"/>
  <c r="CI180" i="4" s="1"/>
  <c r="CJ40" i="5" s="1"/>
  <c r="CA136" i="4"/>
  <c r="CA183" i="4" s="1"/>
  <c r="CB43" i="5" s="1"/>
  <c r="BW149" i="4"/>
  <c r="BW196" i="4" s="1"/>
  <c r="BX56" i="5" s="1"/>
  <c r="BS147" i="4"/>
  <c r="BS194" i="4" s="1"/>
  <c r="BT101" i="5" s="1"/>
  <c r="BS136" i="4"/>
  <c r="BS183" i="4" s="1"/>
  <c r="BK150" i="4"/>
  <c r="BK197" i="4" s="1"/>
  <c r="BL104" i="5" s="1"/>
  <c r="BC150" i="4"/>
  <c r="BC197" i="4" s="1"/>
  <c r="BD104" i="5" s="1"/>
  <c r="AQ151" i="4"/>
  <c r="AQ198" i="4" s="1"/>
  <c r="AR105" i="5" s="1"/>
  <c r="AM140" i="4"/>
  <c r="AM187" i="4" s="1"/>
  <c r="AN47" i="5" s="1"/>
  <c r="AM145" i="4"/>
  <c r="AM192" i="4" s="1"/>
  <c r="AN52" i="5" s="1"/>
  <c r="AE136" i="4"/>
  <c r="AE183" i="4" s="1"/>
  <c r="AF90" i="5" s="1"/>
  <c r="X82" i="5"/>
  <c r="BO148" i="4"/>
  <c r="BO195" i="4" s="1"/>
  <c r="BH30" i="5"/>
  <c r="CX150" i="4"/>
  <c r="CX197" i="4" s="1"/>
  <c r="AL142" i="4"/>
  <c r="AL189" i="4" s="1"/>
  <c r="AM96" i="5" s="1"/>
  <c r="V150" i="4"/>
  <c r="V197" i="4" s="1"/>
  <c r="DD80" i="5"/>
  <c r="BR140" i="4"/>
  <c r="BR187" i="4" s="1"/>
  <c r="BS47" i="5" s="1"/>
  <c r="BK32" i="5"/>
  <c r="AH142" i="4"/>
  <c r="AH189" i="4" s="1"/>
  <c r="AI31" i="5"/>
  <c r="BU141" i="4"/>
  <c r="BU188" i="4" s="1"/>
  <c r="BV95" i="5" s="1"/>
  <c r="BV32" i="5"/>
  <c r="Y27" i="5"/>
  <c r="BT36" i="5"/>
  <c r="AF27" i="5"/>
  <c r="CN79" i="5"/>
  <c r="CY27" i="5"/>
  <c r="BS79" i="5"/>
  <c r="AI20" i="5"/>
  <c r="BU142" i="4"/>
  <c r="BU189" i="4" s="1"/>
  <c r="BV96" i="5" s="1"/>
  <c r="AD33" i="5"/>
  <c r="AB78" i="5"/>
  <c r="AY22" i="5"/>
  <c r="CX80" i="5"/>
  <c r="CK142" i="4"/>
  <c r="CK189" i="4" s="1"/>
  <c r="CL49" i="5" s="1"/>
  <c r="AX76" i="5"/>
  <c r="CC83" i="5"/>
  <c r="BM26" i="5"/>
  <c r="DH148" i="4"/>
  <c r="DH195" i="4" s="1"/>
  <c r="CW76" i="5"/>
  <c r="CZ141" i="4"/>
  <c r="CZ188" i="4" s="1"/>
  <c r="DA81" i="5"/>
  <c r="BY32" i="5"/>
  <c r="BD145" i="4"/>
  <c r="BD192" i="4" s="1"/>
  <c r="BE99" i="5" s="1"/>
  <c r="T139" i="4"/>
  <c r="T186" i="4" s="1"/>
  <c r="CB32" i="5"/>
  <c r="BS151" i="4"/>
  <c r="BS198" i="4" s="1"/>
  <c r="BT105" i="5" s="1"/>
  <c r="AN25" i="5"/>
  <c r="CM138" i="4"/>
  <c r="CM185" i="4" s="1"/>
  <c r="BG144" i="4"/>
  <c r="BG191" i="4" s="1"/>
  <c r="BH98" i="5" s="1"/>
  <c r="AV74" i="5"/>
  <c r="DG71" i="5"/>
  <c r="CU85" i="5"/>
  <c r="CI74" i="5"/>
  <c r="AL135" i="4"/>
  <c r="AL182" i="4" s="1"/>
  <c r="AM89" i="5" s="1"/>
  <c r="CE76" i="5"/>
  <c r="BV150" i="4"/>
  <c r="BV197" i="4" s="1"/>
  <c r="AP141" i="4"/>
  <c r="AP188" i="4" s="1"/>
  <c r="AQ48" i="5" s="1"/>
  <c r="BR31" i="5"/>
  <c r="BX74" i="5"/>
  <c r="CN67" i="5"/>
  <c r="AF150" i="4"/>
  <c r="AF197" i="4" s="1"/>
  <c r="AG57" i="5" s="1"/>
  <c r="BC136" i="4"/>
  <c r="BC183" i="4" s="1"/>
  <c r="BD90" i="5" s="1"/>
  <c r="CC135" i="4"/>
  <c r="CC182" i="4" s="1"/>
  <c r="CD89" i="5" s="1"/>
  <c r="BU138" i="4"/>
  <c r="BU185" i="4" s="1"/>
  <c r="BV45" i="5" s="1"/>
  <c r="BA140" i="4"/>
  <c r="BA187" i="4" s="1"/>
  <c r="AG133" i="4"/>
  <c r="AG180" i="4" s="1"/>
  <c r="AH87" i="5" s="1"/>
  <c r="CG151" i="4"/>
  <c r="CG198" i="4" s="1"/>
  <c r="CH58" i="5" s="1"/>
  <c r="CO142" i="4"/>
  <c r="CO189" i="4" s="1"/>
  <c r="CP96" i="5" s="1"/>
  <c r="DE149" i="4"/>
  <c r="DE196" i="4" s="1"/>
  <c r="DF103" i="5" s="1"/>
  <c r="DA133" i="4"/>
  <c r="DA180" i="4" s="1"/>
  <c r="CW134" i="4"/>
  <c r="CW181" i="4" s="1"/>
  <c r="CW147" i="4"/>
  <c r="CW194" i="4" s="1"/>
  <c r="CX54" i="5" s="1"/>
  <c r="CS151" i="4"/>
  <c r="CS198" i="4" s="1"/>
  <c r="CK134" i="4"/>
  <c r="CK181" i="4" s="1"/>
  <c r="BI145" i="4"/>
  <c r="BI192" i="4" s="1"/>
  <c r="BJ52" i="5" s="1"/>
  <c r="BE135" i="4"/>
  <c r="BE182" i="4" s="1"/>
  <c r="BF89" i="5" s="1"/>
  <c r="BE136" i="4"/>
  <c r="BE183" i="4" s="1"/>
  <c r="AW151" i="4"/>
  <c r="AW198" i="4" s="1"/>
  <c r="AX105" i="5" s="1"/>
  <c r="AS137" i="4"/>
  <c r="AS184" i="4" s="1"/>
  <c r="AT91" i="5" s="1"/>
  <c r="AK150" i="4"/>
  <c r="AK197" i="4" s="1"/>
  <c r="AL57" i="5" s="1"/>
  <c r="Y149" i="4"/>
  <c r="Y196" i="4" s="1"/>
  <c r="U133" i="4"/>
  <c r="U180" i="4" s="1"/>
  <c r="V40" i="5" s="1"/>
  <c r="CJ136" i="4"/>
  <c r="CJ183" i="4" s="1"/>
  <c r="CK90" i="5" s="1"/>
  <c r="CB139" i="4"/>
  <c r="CB186" i="4" s="1"/>
  <c r="CC93" i="5" s="1"/>
  <c r="BT146" i="4"/>
  <c r="BT193" i="4" s="1"/>
  <c r="BL141" i="4"/>
  <c r="BL188" i="4" s="1"/>
  <c r="BM48" i="5" s="1"/>
  <c r="DH134" i="4"/>
  <c r="DH181" i="4" s="1"/>
  <c r="DI41" i="5" s="1"/>
  <c r="DH133" i="4"/>
  <c r="DH180" i="4" s="1"/>
  <c r="DI40" i="5" s="1"/>
  <c r="CV138" i="4"/>
  <c r="CV185" i="4" s="1"/>
  <c r="DL144" i="4"/>
  <c r="DL191" i="4" s="1"/>
  <c r="DM98" i="5" s="1"/>
  <c r="DD142" i="4"/>
  <c r="DD189" i="4" s="1"/>
  <c r="DE49" i="5" s="1"/>
  <c r="CF138" i="4"/>
  <c r="CF185" i="4" s="1"/>
  <c r="CG45" i="5" s="1"/>
  <c r="CF141" i="4"/>
  <c r="CF188" i="4" s="1"/>
  <c r="CG48" i="5" s="1"/>
  <c r="BX133" i="4"/>
  <c r="BX180" i="4" s="1"/>
  <c r="BY87" i="5" s="1"/>
  <c r="BP151" i="4"/>
  <c r="BP198" i="4" s="1"/>
  <c r="BQ58" i="5" s="1"/>
  <c r="BD148" i="4"/>
  <c r="BD195" i="4" s="1"/>
  <c r="BE55" i="5" s="1"/>
  <c r="AR140" i="4"/>
  <c r="AR187" i="4" s="1"/>
  <c r="AN145" i="4"/>
  <c r="AN192" i="4" s="1"/>
  <c r="AO52" i="5" s="1"/>
  <c r="AN147" i="4"/>
  <c r="AN194" i="4" s="1"/>
  <c r="AO101" i="5" s="1"/>
  <c r="AF135" i="4"/>
  <c r="AF182" i="4" s="1"/>
  <c r="AG42" i="5" s="1"/>
  <c r="X141" i="4"/>
  <c r="X188" i="4" s="1"/>
  <c r="Y95" i="5" s="1"/>
  <c r="T137" i="4"/>
  <c r="T184" i="4" s="1"/>
  <c r="U91" i="5" s="1"/>
  <c r="CY134" i="4"/>
  <c r="CY181" i="4" s="1"/>
  <c r="CZ41" i="5" s="1"/>
  <c r="CQ138" i="4"/>
  <c r="CQ185" i="4" s="1"/>
  <c r="CR45" i="5" s="1"/>
  <c r="CI149" i="4"/>
  <c r="CI196" i="4" s="1"/>
  <c r="CA135" i="4"/>
  <c r="CA182" i="4" s="1"/>
  <c r="CB42" i="5" s="1"/>
  <c r="BW143" i="4"/>
  <c r="BW190" i="4" s="1"/>
  <c r="BX50" i="5" s="1"/>
  <c r="BS140" i="4"/>
  <c r="BS187" i="4" s="1"/>
  <c r="AP146" i="4"/>
  <c r="AP193" i="4" s="1"/>
  <c r="AQ100" i="5" s="1"/>
  <c r="CO140" i="4"/>
  <c r="CO187" i="4" s="1"/>
  <c r="CP47" i="5" s="1"/>
  <c r="DE141" i="4"/>
  <c r="DE188" i="4" s="1"/>
  <c r="DF48" i="5" s="1"/>
  <c r="DE150" i="4"/>
  <c r="DE197" i="4" s="1"/>
  <c r="DF57" i="5" s="1"/>
  <c r="DA145" i="4"/>
  <c r="DA192" i="4" s="1"/>
  <c r="CW145" i="4"/>
  <c r="CW192" i="4" s="1"/>
  <c r="CX52" i="5" s="1"/>
  <c r="CS133" i="4"/>
  <c r="CS180" i="4" s="1"/>
  <c r="CT87" i="5" s="1"/>
  <c r="CK139" i="4"/>
  <c r="CK186" i="4" s="1"/>
  <c r="CL93" i="5" s="1"/>
  <c r="BM139" i="4"/>
  <c r="BM186" i="4" s="1"/>
  <c r="BN46" i="5" s="1"/>
  <c r="BM141" i="4"/>
  <c r="BM188" i="4" s="1"/>
  <c r="BN48" i="5" s="1"/>
  <c r="BI143" i="4"/>
  <c r="BI190" i="4" s="1"/>
  <c r="BJ50" i="5" s="1"/>
  <c r="BE133" i="4"/>
  <c r="BE180" i="4" s="1"/>
  <c r="BF87" i="5" s="1"/>
  <c r="AW146" i="4"/>
  <c r="AW193" i="4" s="1"/>
  <c r="AS149" i="4"/>
  <c r="AS196" i="4" s="1"/>
  <c r="AT56" i="5" s="1"/>
  <c r="AK148" i="4"/>
  <c r="AK195" i="4" s="1"/>
  <c r="AL102" i="5" s="1"/>
  <c r="Y145" i="4"/>
  <c r="Y192" i="4" s="1"/>
  <c r="Z99" i="5" s="1"/>
  <c r="Y133" i="4"/>
  <c r="Y180" i="4" s="1"/>
  <c r="Z87" i="5" s="1"/>
  <c r="U151" i="4"/>
  <c r="U198" i="4" s="1"/>
  <c r="V58" i="5" s="1"/>
  <c r="CJ137" i="4"/>
  <c r="CJ184" i="4" s="1"/>
  <c r="CB145" i="4"/>
  <c r="CB192" i="4" s="1"/>
  <c r="CC99" i="5" s="1"/>
  <c r="CE147" i="4"/>
  <c r="CE194" i="4" s="1"/>
  <c r="CX139" i="4"/>
  <c r="CX186" i="4" s="1"/>
  <c r="CY46" i="5" s="1"/>
  <c r="BZ141" i="4"/>
  <c r="BZ188" i="4" s="1"/>
  <c r="CA48" i="5" s="1"/>
  <c r="BV143" i="4"/>
  <c r="BV190" i="4" s="1"/>
  <c r="AP151" i="4"/>
  <c r="AP198" i="4" s="1"/>
  <c r="BY145" i="4"/>
  <c r="BY192" i="4" s="1"/>
  <c r="BZ52" i="5" s="1"/>
  <c r="AC140" i="4"/>
  <c r="AC187" i="4" s="1"/>
  <c r="AD94" i="5" s="1"/>
  <c r="T144" i="4"/>
  <c r="T191" i="4" s="1"/>
  <c r="U98" i="5" s="1"/>
  <c r="CA140" i="4"/>
  <c r="CA187" i="4" s="1"/>
  <c r="AM135" i="4"/>
  <c r="AM182" i="4" s="1"/>
  <c r="AN89" i="5" s="1"/>
  <c r="CU147" i="4"/>
  <c r="CU194" i="4" s="1"/>
  <c r="CV54" i="5" s="1"/>
  <c r="DJ146" i="4"/>
  <c r="DJ193" i="4" s="1"/>
  <c r="CT148" i="4"/>
  <c r="CT195" i="4" s="1"/>
  <c r="CU102" i="5" s="1"/>
  <c r="BN144" i="4"/>
  <c r="BN191" i="4" s="1"/>
  <c r="BO98" i="5" s="1"/>
  <c r="DL67" i="5"/>
  <c r="BZ148" i="4"/>
  <c r="BZ195" i="4" s="1"/>
  <c r="CA55" i="5" s="1"/>
  <c r="AT136" i="4"/>
  <c r="AT183" i="4" s="1"/>
  <c r="AU43" i="5" s="1"/>
  <c r="AA34" i="5"/>
  <c r="BE23" i="5"/>
  <c r="X146" i="4"/>
  <c r="X193" i="4" s="1"/>
  <c r="Y53" i="5" s="1"/>
  <c r="CJ69" i="5"/>
  <c r="BS139" i="4"/>
  <c r="BS186" i="4" s="1"/>
  <c r="BT93" i="5" s="1"/>
  <c r="AI141" i="4"/>
  <c r="AI188" i="4" s="1"/>
  <c r="AJ48" i="5" s="1"/>
  <c r="CS78" i="5"/>
  <c r="CX136" i="4"/>
  <c r="CX183" i="4" s="1"/>
  <c r="CY90" i="5" s="1"/>
  <c r="BO71" i="5"/>
  <c r="V137" i="4"/>
  <c r="V184" i="4" s="1"/>
  <c r="W91" i="5" s="1"/>
  <c r="CA25" i="5"/>
  <c r="BF145" i="4"/>
  <c r="BF192" i="4" s="1"/>
  <c r="BG52" i="5" s="1"/>
  <c r="AP147" i="4"/>
  <c r="AP194" i="4" s="1"/>
  <c r="AQ54" i="5" s="1"/>
  <c r="AI28" i="5"/>
  <c r="R150" i="4"/>
  <c r="R197" i="4" s="1"/>
  <c r="S57" i="5" s="1"/>
  <c r="BR24" i="5"/>
  <c r="AO142" i="4"/>
  <c r="AO189" i="4" s="1"/>
  <c r="AP96" i="5" s="1"/>
  <c r="DB73" i="5"/>
  <c r="CS138" i="4"/>
  <c r="CS185" i="4" s="1"/>
  <c r="CT45" i="5" s="1"/>
  <c r="BI142" i="4"/>
  <c r="BI189" i="4" s="1"/>
  <c r="CK82" i="5"/>
  <c r="BA23" i="5"/>
  <c r="CW74" i="5"/>
  <c r="DD146" i="4"/>
  <c r="DD193" i="4" s="1"/>
  <c r="DE53" i="5" s="1"/>
  <c r="CN142" i="4"/>
  <c r="CN189" i="4" s="1"/>
  <c r="CO96" i="5" s="1"/>
  <c r="CG30" i="5"/>
  <c r="BP133" i="4"/>
  <c r="BP180" i="4" s="1"/>
  <c r="BQ40" i="5" s="1"/>
  <c r="AN138" i="4"/>
  <c r="AN185" i="4" s="1"/>
  <c r="AG25" i="5"/>
  <c r="CQ143" i="4"/>
  <c r="CQ190" i="4" s="1"/>
  <c r="CR50" i="5" s="1"/>
  <c r="CJ30" i="5"/>
  <c r="BS142" i="4"/>
  <c r="BS189" i="4" s="1"/>
  <c r="AR76" i="5"/>
  <c r="X25" i="5"/>
  <c r="CM144" i="4"/>
  <c r="CM191" i="4" s="1"/>
  <c r="CN51" i="5" s="1"/>
  <c r="CF73" i="5"/>
  <c r="BG141" i="4"/>
  <c r="BG188" i="4" s="1"/>
  <c r="DK25" i="5"/>
  <c r="CP137" i="4"/>
  <c r="CP184" i="4" s="1"/>
  <c r="CQ44" i="5" s="1"/>
  <c r="CM69" i="5"/>
  <c r="AL141" i="4"/>
  <c r="AL188" i="4" s="1"/>
  <c r="BZ137" i="4"/>
  <c r="BZ184" i="4" s="1"/>
  <c r="AT135" i="4"/>
  <c r="AT182" i="4" s="1"/>
  <c r="AU89" i="5" s="1"/>
  <c r="AC151" i="4"/>
  <c r="AC198" i="4" s="1"/>
  <c r="AD58" i="5" s="1"/>
  <c r="AR138" i="4"/>
  <c r="AR185" i="4" s="1"/>
  <c r="AS45" i="5" s="1"/>
  <c r="CJ84" i="5"/>
  <c r="CS83" i="5"/>
  <c r="BD141" i="4"/>
  <c r="BD188" i="4" s="1"/>
  <c r="BE48" i="5" s="1"/>
  <c r="BS135" i="4"/>
  <c r="BS182" i="4" s="1"/>
  <c r="BT42" i="5" s="1"/>
  <c r="AE143" i="4"/>
  <c r="AE190" i="4" s="1"/>
  <c r="AF97" i="5" s="1"/>
  <c r="W134" i="4"/>
  <c r="W181" i="4" s="1"/>
  <c r="X41" i="5" s="1"/>
  <c r="CR143" i="4"/>
  <c r="CR190" i="4" s="1"/>
  <c r="CS97" i="5" s="1"/>
  <c r="CE140" i="4"/>
  <c r="CE187" i="4" s="1"/>
  <c r="CF94" i="5" s="1"/>
  <c r="BG138" i="4"/>
  <c r="BG185" i="4" s="1"/>
  <c r="BH45" i="5" s="1"/>
  <c r="DG149" i="4"/>
  <c r="DG196" i="4" s="1"/>
  <c r="DF148" i="4"/>
  <c r="DF195" i="4" s="1"/>
  <c r="DG102" i="5" s="1"/>
  <c r="CT135" i="4"/>
  <c r="CT182" i="4" s="1"/>
  <c r="CU42" i="5" s="1"/>
  <c r="CH150" i="4"/>
  <c r="CH197" i="4" s="1"/>
  <c r="CI57" i="5" s="1"/>
  <c r="DC141" i="4"/>
  <c r="DC188" i="4" s="1"/>
  <c r="DD48" i="5" s="1"/>
  <c r="DB133" i="4"/>
  <c r="DB180" i="4" s="1"/>
  <c r="DC87" i="5" s="1"/>
  <c r="BZ139" i="4"/>
  <c r="BZ186" i="4" s="1"/>
  <c r="CA46" i="5" s="1"/>
  <c r="BR143" i="4"/>
  <c r="BR190" i="4" s="1"/>
  <c r="BS97" i="5" s="1"/>
  <c r="BF139" i="4"/>
  <c r="BF186" i="4" s="1"/>
  <c r="AT146" i="4"/>
  <c r="AT193" i="4" s="1"/>
  <c r="AU53" i="5" s="1"/>
  <c r="AP137" i="4"/>
  <c r="AP184" i="4" s="1"/>
  <c r="AQ91" i="5" s="1"/>
  <c r="AD150" i="4"/>
  <c r="AD197" i="4" s="1"/>
  <c r="Z146" i="4"/>
  <c r="Z193" i="4" s="1"/>
  <c r="AA100" i="5" s="1"/>
  <c r="BQ133" i="4"/>
  <c r="BQ180" i="4" s="1"/>
  <c r="BR87" i="5" s="1"/>
  <c r="AO135" i="4"/>
  <c r="AO182" i="4" s="1"/>
  <c r="AP42" i="5" s="1"/>
  <c r="BL144" i="4"/>
  <c r="BL191" i="4" s="1"/>
  <c r="BM98" i="5" s="1"/>
  <c r="DI137" i="4"/>
  <c r="DI184" i="4" s="1"/>
  <c r="DJ91" i="5" s="1"/>
  <c r="AU143" i="4"/>
  <c r="AU190" i="4" s="1"/>
  <c r="R139" i="4"/>
  <c r="R186" i="4" s="1"/>
  <c r="S46" i="5" s="1"/>
  <c r="DE143" i="4"/>
  <c r="DE190" i="4" s="1"/>
  <c r="DF97" i="5" s="1"/>
  <c r="CS142" i="4"/>
  <c r="CS189" i="4" s="1"/>
  <c r="CT49" i="5" s="1"/>
  <c r="CK146" i="4"/>
  <c r="CK193" i="4" s="1"/>
  <c r="CK140" i="4"/>
  <c r="CK187" i="4" s="1"/>
  <c r="CL47" i="5" s="1"/>
  <c r="BE137" i="4"/>
  <c r="BE184" i="4" s="1"/>
  <c r="BF44" i="5" s="1"/>
  <c r="BT143" i="4"/>
  <c r="BT190" i="4" s="1"/>
  <c r="BU50" i="5" s="1"/>
  <c r="BH133" i="4"/>
  <c r="BH180" i="4" s="1"/>
  <c r="BI87" i="5" s="1"/>
  <c r="AV149" i="4"/>
  <c r="AV196" i="4" s="1"/>
  <c r="AW56" i="5" s="1"/>
  <c r="AJ133" i="4"/>
  <c r="AJ180" i="4" s="1"/>
  <c r="AK87" i="5" s="1"/>
  <c r="DL148" i="4"/>
  <c r="DL195" i="4" s="1"/>
  <c r="DM102" i="5" s="1"/>
  <c r="DL135" i="4"/>
  <c r="DL182" i="4" s="1"/>
  <c r="DM42" i="5" s="1"/>
  <c r="AR134" i="4"/>
  <c r="AR181" i="4" s="1"/>
  <c r="AS41" i="5" s="1"/>
  <c r="AX151" i="4"/>
  <c r="AX198" i="4" s="1"/>
  <c r="AY105" i="5" s="1"/>
  <c r="R133" i="4"/>
  <c r="AA144" i="4"/>
  <c r="AA191" i="4" s="1"/>
  <c r="AB51" i="5" s="1"/>
  <c r="CM147" i="4"/>
  <c r="CM194" i="4" s="1"/>
  <c r="CN54" i="5" s="1"/>
  <c r="AL148" i="4"/>
  <c r="AL195" i="4" s="1"/>
  <c r="AM55" i="5" s="1"/>
  <c r="AX135" i="4"/>
  <c r="AX182" i="4" s="1"/>
  <c r="AY89" i="5" s="1"/>
  <c r="AC136" i="4"/>
  <c r="AC183" i="4" s="1"/>
  <c r="AD43" i="5" s="1"/>
  <c r="DE135" i="4"/>
  <c r="DE182" i="4" s="1"/>
  <c r="DF42" i="5" s="1"/>
  <c r="BE142" i="4"/>
  <c r="BE189" i="4" s="1"/>
  <c r="BF96" i="5" s="1"/>
  <c r="AS138" i="4"/>
  <c r="AS185" i="4" s="1"/>
  <c r="AT92" i="5" s="1"/>
  <c r="BT134" i="4"/>
  <c r="BT181" i="4" s="1"/>
  <c r="BU88" i="5" s="1"/>
  <c r="BL139" i="4"/>
  <c r="BL186" i="4" s="1"/>
  <c r="BM46" i="5" s="1"/>
  <c r="AJ136" i="4"/>
  <c r="AJ183" i="4" s="1"/>
  <c r="CZ147" i="4"/>
  <c r="CZ194" i="4" s="1"/>
  <c r="DA54" i="5" s="1"/>
  <c r="CN137" i="4"/>
  <c r="CN184" i="4" s="1"/>
  <c r="CO91" i="5" s="1"/>
  <c r="AN139" i="4"/>
  <c r="AN186" i="4" s="1"/>
  <c r="AO46" i="5" s="1"/>
  <c r="X150" i="4"/>
  <c r="X197" i="4" s="1"/>
  <c r="Y104" i="5" s="1"/>
  <c r="AI148" i="4"/>
  <c r="AI195" i="4" s="1"/>
  <c r="AJ102" i="5" s="1"/>
  <c r="AA133" i="4"/>
  <c r="AA180" i="4" s="1"/>
  <c r="AB40" i="5" s="1"/>
  <c r="S140" i="4"/>
  <c r="S187" i="4" s="1"/>
  <c r="T94" i="5" s="1"/>
  <c r="CR146" i="4"/>
  <c r="CR193" i="4" s="1"/>
  <c r="BO143" i="4"/>
  <c r="BO190" i="4" s="1"/>
  <c r="BP97" i="5" s="1"/>
  <c r="AU140" i="4"/>
  <c r="AU187" i="4" s="1"/>
  <c r="AV47" i="5" s="1"/>
  <c r="CX134" i="4"/>
  <c r="CX181" i="4" s="1"/>
  <c r="CY41" i="5" s="1"/>
  <c r="CT151" i="4"/>
  <c r="CT198" i="4" s="1"/>
  <c r="CU58" i="5" s="1"/>
  <c r="AD139" i="4"/>
  <c r="AD186" i="4" s="1"/>
  <c r="AE46" i="5" s="1"/>
  <c r="AC138" i="4"/>
  <c r="AC185" i="4" s="1"/>
  <c r="AD92" i="5" s="1"/>
  <c r="AI145" i="4"/>
  <c r="AI192" i="4" s="1"/>
  <c r="AJ52" i="5" s="1"/>
  <c r="CE145" i="4"/>
  <c r="CE192" i="4" s="1"/>
  <c r="CF99" i="5" s="1"/>
  <c r="AX147" i="4"/>
  <c r="AX194" i="4" s="1"/>
  <c r="AY101" i="5" s="1"/>
  <c r="Z149" i="4"/>
  <c r="Z196" i="4" s="1"/>
  <c r="AA103" i="5" s="1"/>
  <c r="CN26" i="5"/>
  <c r="CQ28" i="5"/>
  <c r="AM20" i="5"/>
  <c r="CC151" i="4"/>
  <c r="CC198" i="4" s="1"/>
  <c r="CD105" i="5" s="1"/>
  <c r="BY135" i="4"/>
  <c r="BY182" i="4" s="1"/>
  <c r="BZ42" i="5" s="1"/>
  <c r="AC133" i="4"/>
  <c r="AC180" i="4" s="1"/>
  <c r="AD40" i="5" s="1"/>
  <c r="CO147" i="4"/>
  <c r="CO194" i="4" s="1"/>
  <c r="CP101" i="5" s="1"/>
  <c r="DE134" i="4"/>
  <c r="DE181" i="4" s="1"/>
  <c r="DF41" i="5" s="1"/>
  <c r="DA146" i="4"/>
  <c r="DA193" i="4" s="1"/>
  <c r="DB100" i="5" s="1"/>
  <c r="DA147" i="4"/>
  <c r="DA194" i="4" s="1"/>
  <c r="DB54" i="5" s="1"/>
  <c r="CW148" i="4"/>
  <c r="CW195" i="4" s="1"/>
  <c r="CX55" i="5" s="1"/>
  <c r="CS137" i="4"/>
  <c r="CS184" i="4" s="1"/>
  <c r="CK148" i="4"/>
  <c r="CK195" i="4" s="1"/>
  <c r="BM133" i="4"/>
  <c r="BM180" i="4" s="1"/>
  <c r="BN87" i="5" s="1"/>
  <c r="BI138" i="4"/>
  <c r="BI185" i="4" s="1"/>
  <c r="BJ45" i="5" s="1"/>
  <c r="BI134" i="4"/>
  <c r="BI181" i="4" s="1"/>
  <c r="BJ41" i="5" s="1"/>
  <c r="BE149" i="4"/>
  <c r="BE196" i="4" s="1"/>
  <c r="AW135" i="4"/>
  <c r="AW182" i="4" s="1"/>
  <c r="AX42" i="5" s="1"/>
  <c r="AS134" i="4"/>
  <c r="AS181" i="4" s="1"/>
  <c r="AT41" i="5" s="1"/>
  <c r="AK137" i="4"/>
  <c r="AK184" i="4" s="1"/>
  <c r="AL91" i="5" s="1"/>
  <c r="Y142" i="4"/>
  <c r="Y189" i="4" s="1"/>
  <c r="Z96" i="5" s="1"/>
  <c r="Y147" i="4"/>
  <c r="Y194" i="4" s="1"/>
  <c r="Z101" i="5" s="1"/>
  <c r="U136" i="4"/>
  <c r="U183" i="4" s="1"/>
  <c r="V43" i="5" s="1"/>
  <c r="CJ147" i="4"/>
  <c r="CJ194" i="4" s="1"/>
  <c r="CK54" i="5" s="1"/>
  <c r="CB142" i="4"/>
  <c r="CB189" i="4" s="1"/>
  <c r="CC96" i="5" s="1"/>
  <c r="BT133" i="4"/>
  <c r="BT180" i="4" s="1"/>
  <c r="BH145" i="4"/>
  <c r="BH192" i="4" s="1"/>
  <c r="BI99" i="5" s="1"/>
  <c r="BI37" i="5"/>
  <c r="AZ142" i="4"/>
  <c r="AZ189" i="4" s="1"/>
  <c r="BA49" i="5" s="1"/>
  <c r="AV142" i="4"/>
  <c r="AV189" i="4" s="1"/>
  <c r="AW49" i="5" s="1"/>
  <c r="AJ142" i="4"/>
  <c r="AJ189" i="4" s="1"/>
  <c r="AK49" i="5" s="1"/>
  <c r="AB139" i="4"/>
  <c r="AB186" i="4" s="1"/>
  <c r="AC93" i="5" s="1"/>
  <c r="DI134" i="4"/>
  <c r="DI181" i="4" s="1"/>
  <c r="DJ71" i="5"/>
  <c r="DH138" i="4"/>
  <c r="DH185" i="4" s="1"/>
  <c r="DI92" i="5" s="1"/>
  <c r="CV145" i="4"/>
  <c r="CV192" i="4" s="1"/>
  <c r="DL139" i="4"/>
  <c r="DL186" i="4" s="1"/>
  <c r="DM93" i="5" s="1"/>
  <c r="DD140" i="4"/>
  <c r="DD187" i="4" s="1"/>
  <c r="DE94" i="5" s="1"/>
  <c r="CZ148" i="4"/>
  <c r="CZ195" i="4" s="1"/>
  <c r="DA55" i="5" s="1"/>
  <c r="CZ144" i="4"/>
  <c r="CZ191" i="4" s="1"/>
  <c r="CN141" i="4"/>
  <c r="CN188" i="4" s="1"/>
  <c r="CF137" i="4"/>
  <c r="CF184" i="4" s="1"/>
  <c r="CG44" i="5" s="1"/>
  <c r="BX136" i="4"/>
  <c r="BX183" i="4" s="1"/>
  <c r="BY43" i="5" s="1"/>
  <c r="BP145" i="4"/>
  <c r="BP192" i="4" s="1"/>
  <c r="BQ52" i="5" s="1"/>
  <c r="BD147" i="4"/>
  <c r="BD194" i="4" s="1"/>
  <c r="BE54" i="5" s="1"/>
  <c r="AR145" i="4"/>
  <c r="AR192" i="4" s="1"/>
  <c r="AS52" i="5" s="1"/>
  <c r="AN149" i="4"/>
  <c r="AN196" i="4" s="1"/>
  <c r="AO56" i="5" s="1"/>
  <c r="AF149" i="4"/>
  <c r="AF196" i="4" s="1"/>
  <c r="AG103" i="5" s="1"/>
  <c r="BO137" i="4"/>
  <c r="BO184" i="4" s="1"/>
  <c r="BP44" i="5" s="1"/>
  <c r="BB144" i="4"/>
  <c r="BB191" i="4" s="1"/>
  <c r="BC51" i="5" s="1"/>
  <c r="CO134" i="4"/>
  <c r="CO181" i="4" s="1"/>
  <c r="CP41" i="5" s="1"/>
  <c r="DA134" i="4"/>
  <c r="DA181" i="4" s="1"/>
  <c r="DB88" i="5" s="1"/>
  <c r="CW144" i="4"/>
  <c r="CW191" i="4" s="1"/>
  <c r="CX98" i="5" s="1"/>
  <c r="BM145" i="4"/>
  <c r="BM192" i="4" s="1"/>
  <c r="BN99" i="5" s="1"/>
  <c r="BI139" i="4"/>
  <c r="BI186" i="4" s="1"/>
  <c r="BJ93" i="5" s="1"/>
  <c r="AW137" i="4"/>
  <c r="AW184" i="4" s="1"/>
  <c r="AX91" i="5" s="1"/>
  <c r="AS144" i="4"/>
  <c r="AS191" i="4" s="1"/>
  <c r="AT98" i="5" s="1"/>
  <c r="AS139" i="4"/>
  <c r="AS186" i="4" s="1"/>
  <c r="AT93" i="5" s="1"/>
  <c r="AK140" i="4"/>
  <c r="AK187" i="4" s="1"/>
  <c r="AL47" i="5" s="1"/>
  <c r="Y150" i="4"/>
  <c r="Y197" i="4" s="1"/>
  <c r="Z57" i="5" s="1"/>
  <c r="U146" i="4"/>
  <c r="U193" i="4" s="1"/>
  <c r="V100" i="5" s="1"/>
  <c r="CK77" i="5"/>
  <c r="CB148" i="4"/>
  <c r="CB195" i="4" s="1"/>
  <c r="CC102" i="5" s="1"/>
  <c r="CB143" i="4"/>
  <c r="CB190" i="4" s="1"/>
  <c r="CC50" i="5" s="1"/>
  <c r="BL143" i="4"/>
  <c r="BL190" i="4" s="1"/>
  <c r="BM97" i="5" s="1"/>
  <c r="AZ138" i="4"/>
  <c r="AZ185" i="4" s="1"/>
  <c r="BA45" i="5" s="1"/>
  <c r="AJ149" i="4"/>
  <c r="AJ196" i="4" s="1"/>
  <c r="AK56" i="5" s="1"/>
  <c r="AB141" i="4"/>
  <c r="AB188" i="4" s="1"/>
  <c r="AC95" i="5" s="1"/>
  <c r="DI151" i="4"/>
  <c r="DI198" i="4" s="1"/>
  <c r="DJ58" i="5" s="1"/>
  <c r="DH145" i="4"/>
  <c r="DH192" i="4" s="1"/>
  <c r="DI52" i="5" s="1"/>
  <c r="CV141" i="4"/>
  <c r="CV188" i="4" s="1"/>
  <c r="CW95" i="5" s="1"/>
  <c r="DD148" i="4"/>
  <c r="DD195" i="4" s="1"/>
  <c r="DE102" i="5" s="1"/>
  <c r="CZ137" i="4"/>
  <c r="CZ184" i="4" s="1"/>
  <c r="DA44" i="5" s="1"/>
  <c r="CN134" i="4"/>
  <c r="CN181" i="4" s="1"/>
  <c r="CO88" i="5" s="1"/>
  <c r="CF139" i="4"/>
  <c r="CF186" i="4" s="1"/>
  <c r="CG46" i="5" s="1"/>
  <c r="BX137" i="4"/>
  <c r="BX184" i="4" s="1"/>
  <c r="BX140" i="4"/>
  <c r="BX187" i="4" s="1"/>
  <c r="BY47" i="5" s="1"/>
  <c r="BP143" i="4"/>
  <c r="BP190" i="4" s="1"/>
  <c r="BQ97" i="5" s="1"/>
  <c r="W146" i="4"/>
  <c r="W193" i="4" s="1"/>
  <c r="X100" i="5" s="1"/>
  <c r="CL150" i="4"/>
  <c r="CL197" i="4" s="1"/>
  <c r="CM57" i="5" s="1"/>
  <c r="BZ147" i="4"/>
  <c r="BZ194" i="4" s="1"/>
  <c r="CA101" i="5" s="1"/>
  <c r="AH136" i="4"/>
  <c r="AH183" i="4" s="1"/>
  <c r="AI43" i="5" s="1"/>
  <c r="AD147" i="4"/>
  <c r="AD194" i="4" s="1"/>
  <c r="AE54" i="5" s="1"/>
  <c r="Z151" i="4"/>
  <c r="Z198" i="4" s="1"/>
  <c r="AA105" i="5" s="1"/>
  <c r="R136" i="4"/>
  <c r="R183" i="4" s="1"/>
  <c r="S43" i="5" s="1"/>
  <c r="CG134" i="4"/>
  <c r="CG181" i="4" s="1"/>
  <c r="CC138" i="4"/>
  <c r="CC185" i="4" s="1"/>
  <c r="CD45" i="5" s="1"/>
  <c r="BY148" i="4"/>
  <c r="BY195" i="4" s="1"/>
  <c r="BZ55" i="5" s="1"/>
  <c r="BU136" i="4"/>
  <c r="BU183" i="4" s="1"/>
  <c r="BV43" i="5" s="1"/>
  <c r="BQ150" i="4"/>
  <c r="BQ197" i="4" s="1"/>
  <c r="BR104" i="5" s="1"/>
  <c r="BQ138" i="4"/>
  <c r="BQ185" i="4" s="1"/>
  <c r="BR92" i="5" s="1"/>
  <c r="BA148" i="4"/>
  <c r="BA195" i="4" s="1"/>
  <c r="BB102" i="5" s="1"/>
  <c r="AO149" i="4"/>
  <c r="AO196" i="4" s="1"/>
  <c r="AP56" i="5" s="1"/>
  <c r="AG139" i="4"/>
  <c r="AG186" i="4" s="1"/>
  <c r="X151" i="4"/>
  <c r="X198" i="4" s="1"/>
  <c r="Y105" i="5" s="1"/>
  <c r="CY142" i="4"/>
  <c r="CY189" i="4" s="1"/>
  <c r="CZ49" i="5" s="1"/>
  <c r="CQ134" i="4"/>
  <c r="CQ181" i="4" s="1"/>
  <c r="CR88" i="5" s="1"/>
  <c r="CA133" i="4"/>
  <c r="CA180" i="4" s="1"/>
  <c r="CB87" i="5" s="1"/>
  <c r="BS138" i="4"/>
  <c r="BS185" i="4" s="1"/>
  <c r="BT92" i="5" s="1"/>
  <c r="BK135" i="4"/>
  <c r="BK182" i="4" s="1"/>
  <c r="BL89" i="5" s="1"/>
  <c r="AY139" i="4"/>
  <c r="AY186" i="4" s="1"/>
  <c r="AZ93" i="5" s="1"/>
  <c r="AM143" i="4"/>
  <c r="AM190" i="4" s="1"/>
  <c r="AN97" i="5" s="1"/>
  <c r="AA143" i="4"/>
  <c r="AA190" i="4" s="1"/>
  <c r="AB50" i="5" s="1"/>
  <c r="S143" i="4"/>
  <c r="S190" i="4" s="1"/>
  <c r="T97" i="5" s="1"/>
  <c r="CR138" i="4"/>
  <c r="CR185" i="4" s="1"/>
  <c r="BO142" i="4"/>
  <c r="BO189" i="4" s="1"/>
  <c r="BP49" i="5" s="1"/>
  <c r="BG135" i="4"/>
  <c r="BG182" i="4" s="1"/>
  <c r="BH42" i="5" s="1"/>
  <c r="DJ139" i="4"/>
  <c r="DJ186" i="4" s="1"/>
  <c r="DK93" i="5" s="1"/>
  <c r="DF140" i="4"/>
  <c r="DF187" i="4" s="1"/>
  <c r="DG94" i="5" s="1"/>
  <c r="CT142" i="4"/>
  <c r="CT189" i="4" s="1"/>
  <c r="CU96" i="5" s="1"/>
  <c r="CL145" i="4"/>
  <c r="CL192" i="4" s="1"/>
  <c r="CM52" i="5" s="1"/>
  <c r="CH135" i="4"/>
  <c r="CH182" i="4" s="1"/>
  <c r="CI42" i="5" s="1"/>
  <c r="AL140" i="4"/>
  <c r="AL187" i="4" s="1"/>
  <c r="V138" i="4"/>
  <c r="V185" i="4" s="1"/>
  <c r="W92" i="5" s="1"/>
  <c r="DK149" i="4"/>
  <c r="DK196" i="4" s="1"/>
  <c r="DL56" i="5" s="1"/>
  <c r="CD146" i="4"/>
  <c r="CD193" i="4" s="1"/>
  <c r="CE100" i="5" s="1"/>
  <c r="BV141" i="4"/>
  <c r="BV188" i="4" s="1"/>
  <c r="BW95" i="5" s="1"/>
  <c r="BR135" i="4"/>
  <c r="BR182" i="4" s="1"/>
  <c r="BS89" i="5" s="1"/>
  <c r="BF137" i="4"/>
  <c r="BF184" i="4" s="1"/>
  <c r="BG44" i="5" s="1"/>
  <c r="AT143" i="4"/>
  <c r="AT190" i="4" s="1"/>
  <c r="AU97" i="5" s="1"/>
  <c r="AH146" i="4"/>
  <c r="AH193" i="4" s="1"/>
  <c r="AI53" i="5" s="1"/>
  <c r="CG149" i="4"/>
  <c r="CG196" i="4" s="1"/>
  <c r="CH103" i="5" s="1"/>
  <c r="AG145" i="4"/>
  <c r="AG192" i="4" s="1"/>
  <c r="AH52" i="5" s="1"/>
  <c r="CD85" i="5"/>
  <c r="BZ22" i="5"/>
  <c r="AD20" i="5"/>
  <c r="CP81" i="5"/>
  <c r="DF21" i="5"/>
  <c r="DB33" i="5"/>
  <c r="DB81" i="5"/>
  <c r="CX35" i="5"/>
  <c r="CT24" i="5"/>
  <c r="CL82" i="5"/>
  <c r="BN67" i="5"/>
  <c r="BJ72" i="5"/>
  <c r="BJ21" i="5"/>
  <c r="BF83" i="5"/>
  <c r="AX22" i="5"/>
  <c r="AT68" i="5"/>
  <c r="AL71" i="5"/>
  <c r="Z29" i="5"/>
  <c r="Z81" i="5"/>
  <c r="V70" i="5"/>
  <c r="CK81" i="5"/>
  <c r="CC76" i="5"/>
  <c r="BU67" i="5"/>
  <c r="BI79" i="5"/>
  <c r="BA29" i="5"/>
  <c r="AW76" i="5"/>
  <c r="AK29" i="5"/>
  <c r="AC26" i="5"/>
  <c r="DJ21" i="5"/>
  <c r="DI72" i="5"/>
  <c r="CW79" i="5"/>
  <c r="DM26" i="5"/>
  <c r="DE27" i="5"/>
  <c r="DA82" i="5"/>
  <c r="DA78" i="5"/>
  <c r="CO75" i="5"/>
  <c r="CG24" i="5"/>
  <c r="BY70" i="5"/>
  <c r="BQ79" i="5"/>
  <c r="BE81" i="5"/>
  <c r="AS79" i="5"/>
  <c r="AO83" i="5"/>
  <c r="AG83" i="5"/>
  <c r="BP71" i="5"/>
  <c r="BC31" i="5"/>
  <c r="CP21" i="5"/>
  <c r="DB68" i="5"/>
  <c r="CX31" i="5"/>
  <c r="BN79" i="5"/>
  <c r="BJ26" i="5"/>
  <c r="AX24" i="5"/>
  <c r="AT78" i="5"/>
  <c r="AT26" i="5"/>
  <c r="AL27" i="5"/>
  <c r="Z84" i="5"/>
  <c r="V33" i="5"/>
  <c r="CC35" i="5"/>
  <c r="CC77" i="5"/>
  <c r="BM77" i="5"/>
  <c r="BA72" i="5"/>
  <c r="AK36" i="5"/>
  <c r="AC75" i="5"/>
  <c r="DJ85" i="5"/>
  <c r="DI79" i="5"/>
  <c r="CW75" i="5"/>
  <c r="DE35" i="5"/>
  <c r="DA71" i="5"/>
  <c r="CO21" i="5"/>
  <c r="CG26" i="5"/>
  <c r="BY71" i="5"/>
  <c r="BY27" i="5"/>
  <c r="BQ77" i="5"/>
  <c r="X33" i="5"/>
  <c r="CM37" i="5"/>
  <c r="CA81" i="5"/>
  <c r="BY151" i="4"/>
  <c r="BY198" i="4" s="1"/>
  <c r="BZ105" i="5" s="1"/>
  <c r="BQ148" i="4"/>
  <c r="BQ195" i="4" s="1"/>
  <c r="BR55" i="5" s="1"/>
  <c r="AO143" i="4"/>
  <c r="AO190" i="4" s="1"/>
  <c r="AP50" i="5" s="1"/>
  <c r="T135" i="4"/>
  <c r="T182" i="4" s="1"/>
  <c r="U42" i="5" s="1"/>
  <c r="CQ141" i="4"/>
  <c r="CQ188" i="4" s="1"/>
  <c r="CR95" i="5" s="1"/>
  <c r="AQ150" i="4"/>
  <c r="AQ197" i="4" s="1"/>
  <c r="AA137" i="4"/>
  <c r="AA184" i="4" s="1"/>
  <c r="AB91" i="5" s="1"/>
  <c r="S138" i="4"/>
  <c r="S185" i="4" s="1"/>
  <c r="T45" i="5" s="1"/>
  <c r="CU150" i="4"/>
  <c r="CU197" i="4" s="1"/>
  <c r="CV104" i="5" s="1"/>
  <c r="DJ133" i="4"/>
  <c r="DJ180" i="4" s="1"/>
  <c r="DK40" i="5" s="1"/>
  <c r="CD143" i="4"/>
  <c r="CD190" i="4" s="1"/>
  <c r="CE50" i="5" s="1"/>
  <c r="BH150" i="4"/>
  <c r="BH197" i="4" s="1"/>
  <c r="BI104" i="5" s="1"/>
  <c r="CJ143" i="4"/>
  <c r="CJ190" i="4" s="1"/>
  <c r="CK97" i="5" s="1"/>
  <c r="CC148" i="4"/>
  <c r="CC195" i="4" s="1"/>
  <c r="CD102" i="5" s="1"/>
  <c r="BY139" i="4"/>
  <c r="BY186" i="4" s="1"/>
  <c r="BZ93" i="5" s="1"/>
  <c r="BQ139" i="4"/>
  <c r="BQ186" i="4" s="1"/>
  <c r="AO145" i="4"/>
  <c r="AO192" i="4" s="1"/>
  <c r="AP99" i="5" s="1"/>
  <c r="AC146" i="4"/>
  <c r="AC193" i="4" s="1"/>
  <c r="AD53" i="5" s="1"/>
  <c r="AN150" i="4"/>
  <c r="AN197" i="4" s="1"/>
  <c r="AO57" i="5" s="1"/>
  <c r="X148" i="4"/>
  <c r="X195" i="4" s="1"/>
  <c r="Y102" i="5" s="1"/>
  <c r="CA149" i="4"/>
  <c r="CA196" i="4" s="1"/>
  <c r="CB56" i="5" s="1"/>
  <c r="BW150" i="4"/>
  <c r="BW197" i="4" s="1"/>
  <c r="BX104" i="5" s="1"/>
  <c r="BK148" i="4"/>
  <c r="BK195" i="4" s="1"/>
  <c r="BL55" i="5" s="1"/>
  <c r="AY136" i="4"/>
  <c r="AY183" i="4" s="1"/>
  <c r="AZ90" i="5" s="1"/>
  <c r="AI150" i="4"/>
  <c r="AI197" i="4" s="1"/>
  <c r="AJ104" i="5" s="1"/>
  <c r="CE146" i="4"/>
  <c r="CE193" i="4" s="1"/>
  <c r="CF100" i="5" s="1"/>
  <c r="BO144" i="4"/>
  <c r="BO191" i="4" s="1"/>
  <c r="BP51" i="5" s="1"/>
  <c r="AU144" i="4"/>
  <c r="AU191" i="4" s="1"/>
  <c r="AV51" i="5" s="1"/>
  <c r="CX138" i="4"/>
  <c r="CX185" i="4" s="1"/>
  <c r="CY92" i="5" s="1"/>
  <c r="CT139" i="4"/>
  <c r="CT186" i="4" s="1"/>
  <c r="CU93" i="5" s="1"/>
  <c r="CH147" i="4"/>
  <c r="CH194" i="4" s="1"/>
  <c r="CI54" i="5" s="1"/>
  <c r="BN139" i="4"/>
  <c r="BN186" i="4" s="1"/>
  <c r="BO93" i="5" s="1"/>
  <c r="V145" i="4"/>
  <c r="V192" i="4" s="1"/>
  <c r="W52" i="5" s="1"/>
  <c r="DK146" i="4"/>
  <c r="DK193" i="4" s="1"/>
  <c r="DL100" i="5" s="1"/>
  <c r="BV140" i="4"/>
  <c r="BV187" i="4" s="1"/>
  <c r="BW47" i="5" s="1"/>
  <c r="BJ139" i="4"/>
  <c r="BJ186" i="4" s="1"/>
  <c r="BK93" i="5" s="1"/>
  <c r="BB142" i="4"/>
  <c r="BB189" i="4" s="1"/>
  <c r="BC49" i="5" s="1"/>
  <c r="AT148" i="4"/>
  <c r="AT195" i="4" s="1"/>
  <c r="AU55" i="5" s="1"/>
  <c r="AH150" i="4"/>
  <c r="AH197" i="4" s="1"/>
  <c r="AI104" i="5" s="1"/>
  <c r="AD142" i="4"/>
  <c r="AD189" i="4" s="1"/>
  <c r="AE96" i="5" s="1"/>
  <c r="R142" i="4"/>
  <c r="R189" i="4" s="1"/>
  <c r="S49" i="5" s="1"/>
  <c r="BU144" i="4"/>
  <c r="BU191" i="4" s="1"/>
  <c r="BV98" i="5" s="1"/>
  <c r="CK145" i="4"/>
  <c r="CK192" i="4" s="1"/>
  <c r="CL52" i="5" s="1"/>
  <c r="BE151" i="4"/>
  <c r="BE198" i="4" s="1"/>
  <c r="BF105" i="5" s="1"/>
  <c r="AS147" i="4"/>
  <c r="AS194" i="4" s="1"/>
  <c r="AT54" i="5" s="1"/>
  <c r="Y136" i="4"/>
  <c r="Y183" i="4" s="1"/>
  <c r="Z90" i="5" s="1"/>
  <c r="BT136" i="4"/>
  <c r="BT183" i="4" s="1"/>
  <c r="BU90" i="5" s="1"/>
  <c r="BL147" i="4"/>
  <c r="BL194" i="4" s="1"/>
  <c r="BM54" i="5" s="1"/>
  <c r="AV136" i="4"/>
  <c r="AV183" i="4" s="1"/>
  <c r="AW43" i="5" s="1"/>
  <c r="DL145" i="4"/>
  <c r="DL192" i="4" s="1"/>
  <c r="DM99" i="5" s="1"/>
  <c r="BQ142" i="4"/>
  <c r="BQ189" i="4" s="1"/>
  <c r="BR96" i="5" s="1"/>
  <c r="BI148" i="4"/>
  <c r="BI195" i="4" s="1"/>
  <c r="BJ102" i="5" s="1"/>
  <c r="BE141" i="4"/>
  <c r="BE188" i="4" s="1"/>
  <c r="BF95" i="5" s="1"/>
  <c r="U150" i="4"/>
  <c r="U197" i="4" s="1"/>
  <c r="V104" i="5" s="1"/>
  <c r="CJ142" i="4"/>
  <c r="CJ189" i="4" s="1"/>
  <c r="CK96" i="5" s="1"/>
  <c r="CB144" i="4"/>
  <c r="CB191" i="4" s="1"/>
  <c r="CC51" i="5" s="1"/>
  <c r="AJ134" i="4"/>
  <c r="AJ181" i="4" s="1"/>
  <c r="AK88" i="5" s="1"/>
  <c r="DH141" i="4"/>
  <c r="DH188" i="4" s="1"/>
  <c r="DI95" i="5" s="1"/>
  <c r="CN140" i="4"/>
  <c r="CN187" i="4" s="1"/>
  <c r="CO94" i="5" s="1"/>
  <c r="CX137" i="4"/>
  <c r="CX184" i="4" s="1"/>
  <c r="CY91" i="5" s="1"/>
  <c r="CP143" i="4"/>
  <c r="CP190" i="4" s="1"/>
  <c r="CQ97" i="5" s="1"/>
  <c r="AD135" i="4"/>
  <c r="AD182" i="4" s="1"/>
  <c r="AE42" i="5" s="1"/>
  <c r="R143" i="4"/>
  <c r="R190" i="4" s="1"/>
  <c r="S97" i="5" s="1"/>
  <c r="BY138" i="4"/>
  <c r="BY185" i="4" s="1"/>
  <c r="BZ45" i="5" s="1"/>
  <c r="BA144" i="4"/>
  <c r="BA191" i="4" s="1"/>
  <c r="BB51" i="5" s="1"/>
  <c r="AG149" i="4"/>
  <c r="AG196" i="4" s="1"/>
  <c r="AH103" i="5" s="1"/>
  <c r="CO150" i="4"/>
  <c r="CO197" i="4" s="1"/>
  <c r="CP104" i="5" s="1"/>
  <c r="DE151" i="4"/>
  <c r="DE198" i="4" s="1"/>
  <c r="DF105" i="5" s="1"/>
  <c r="DA135" i="4"/>
  <c r="DA182" i="4" s="1"/>
  <c r="DB42" i="5" s="1"/>
  <c r="CW135" i="4"/>
  <c r="CW182" i="4" s="1"/>
  <c r="CX42" i="5" s="1"/>
  <c r="CS135" i="4"/>
  <c r="CS182" i="4" s="1"/>
  <c r="CT89" i="5" s="1"/>
  <c r="CS146" i="4"/>
  <c r="CS193" i="4" s="1"/>
  <c r="CT53" i="5" s="1"/>
  <c r="BM149" i="4"/>
  <c r="BM196" i="4" s="1"/>
  <c r="BN56" i="5" s="1"/>
  <c r="BI137" i="4"/>
  <c r="BI184" i="4" s="1"/>
  <c r="BJ44" i="5" s="1"/>
  <c r="AW148" i="4"/>
  <c r="AW195" i="4" s="1"/>
  <c r="AX102" i="5" s="1"/>
  <c r="AS148" i="4"/>
  <c r="AS195" i="4" s="1"/>
  <c r="AT55" i="5" s="1"/>
  <c r="AK149" i="4"/>
  <c r="AK196" i="4" s="1"/>
  <c r="AL56" i="5" s="1"/>
  <c r="U138" i="4"/>
  <c r="U185" i="4" s="1"/>
  <c r="V92" i="5" s="1"/>
  <c r="CJ144" i="4"/>
  <c r="CJ191" i="4" s="1"/>
  <c r="CK98" i="5" s="1"/>
  <c r="CB133" i="4"/>
  <c r="CB180" i="4" s="1"/>
  <c r="CC40" i="5" s="1"/>
  <c r="CB150" i="4"/>
  <c r="CB197" i="4" s="1"/>
  <c r="CC57" i="5" s="1"/>
  <c r="BI72" i="5"/>
  <c r="AZ144" i="4"/>
  <c r="AZ191" i="4" s="1"/>
  <c r="BA98" i="5" s="1"/>
  <c r="AW20" i="5"/>
  <c r="AJ144" i="4"/>
  <c r="AJ191" i="4" s="1"/>
  <c r="AK51" i="5" s="1"/>
  <c r="AB138" i="4"/>
  <c r="AB185" i="4" s="1"/>
  <c r="AC45" i="5" s="1"/>
  <c r="DI142" i="4"/>
  <c r="DI189" i="4" s="1"/>
  <c r="DJ49" i="5" s="1"/>
  <c r="DH143" i="4"/>
  <c r="DH190" i="4" s="1"/>
  <c r="DI50" i="5" s="1"/>
  <c r="CV137" i="4"/>
  <c r="CV184" i="4" s="1"/>
  <c r="CW91" i="5" s="1"/>
  <c r="DL143" i="4"/>
  <c r="DL190" i="4" s="1"/>
  <c r="DM50" i="5" s="1"/>
  <c r="DD149" i="4"/>
  <c r="DD196" i="4" s="1"/>
  <c r="DE56" i="5" s="1"/>
  <c r="CZ145" i="4"/>
  <c r="CZ192" i="4" s="1"/>
  <c r="DA99" i="5" s="1"/>
  <c r="CN150" i="4"/>
  <c r="CN197" i="4" s="1"/>
  <c r="CO104" i="5" s="1"/>
  <c r="CF147" i="4"/>
  <c r="CF194" i="4" s="1"/>
  <c r="CG101" i="5" s="1"/>
  <c r="BX139" i="4"/>
  <c r="BX186" i="4" s="1"/>
  <c r="BY46" i="5" s="1"/>
  <c r="BX138" i="4"/>
  <c r="BX185" i="4" s="1"/>
  <c r="BY92" i="5" s="1"/>
  <c r="BP144" i="4"/>
  <c r="BP191" i="4" s="1"/>
  <c r="BQ51" i="5" s="1"/>
  <c r="BD142" i="4"/>
  <c r="BD189" i="4" s="1"/>
  <c r="BE96" i="5" s="1"/>
  <c r="AR137" i="4"/>
  <c r="AR184" i="4" s="1"/>
  <c r="AS91" i="5" s="1"/>
  <c r="AF148" i="4"/>
  <c r="AF195" i="4" s="1"/>
  <c r="AG55" i="5" s="1"/>
  <c r="AF140" i="4"/>
  <c r="AF187" i="4" s="1"/>
  <c r="AG94" i="5" s="1"/>
  <c r="BZ135" i="4"/>
  <c r="BZ182" i="4" s="1"/>
  <c r="CA89" i="5" s="1"/>
  <c r="BV139" i="4"/>
  <c r="BV186" i="4" s="1"/>
  <c r="BW46" i="5" s="1"/>
  <c r="CO137" i="4"/>
  <c r="CO184" i="4" s="1"/>
  <c r="CP91" i="5" s="1"/>
  <c r="DE146" i="4"/>
  <c r="DE193" i="4" s="1"/>
  <c r="DF100" i="5" s="1"/>
  <c r="DA149" i="4"/>
  <c r="DA196" i="4" s="1"/>
  <c r="DB103" i="5" s="1"/>
  <c r="DA138" i="4"/>
  <c r="DA185" i="4" s="1"/>
  <c r="DB92" i="5" s="1"/>
  <c r="CW150" i="4"/>
  <c r="CW197" i="4" s="1"/>
  <c r="CX57" i="5" s="1"/>
  <c r="CS150" i="4"/>
  <c r="CS197" i="4" s="1"/>
  <c r="CT104" i="5" s="1"/>
  <c r="CK138" i="4"/>
  <c r="CK185" i="4" s="1"/>
  <c r="CL45" i="5" s="1"/>
  <c r="BM150" i="4"/>
  <c r="BM197" i="4" s="1"/>
  <c r="BN104" i="5" s="1"/>
  <c r="BI147" i="4"/>
  <c r="BI194" i="4" s="1"/>
  <c r="BJ54" i="5" s="1"/>
  <c r="AW150" i="4"/>
  <c r="AW197" i="4" s="1"/>
  <c r="AX104" i="5" s="1"/>
  <c r="AS133" i="4"/>
  <c r="AS180" i="4" s="1"/>
  <c r="AT87" i="5" s="1"/>
  <c r="AK138" i="4"/>
  <c r="AK185" i="4" s="1"/>
  <c r="AL92" i="5" s="1"/>
  <c r="Y134" i="4"/>
  <c r="Y181" i="4" s="1"/>
  <c r="Z41" i="5" s="1"/>
  <c r="U139" i="4"/>
  <c r="U186" i="4" s="1"/>
  <c r="V46" i="5" s="1"/>
  <c r="BT137" i="4"/>
  <c r="BT184" i="4" s="1"/>
  <c r="BU44" i="5" s="1"/>
  <c r="BM71" i="5"/>
  <c r="BI33" i="5"/>
  <c r="BH147" i="4"/>
  <c r="BH194" i="4" s="1"/>
  <c r="BI101" i="5" s="1"/>
  <c r="AZ139" i="4"/>
  <c r="AZ186" i="4" s="1"/>
  <c r="BA93" i="5" s="1"/>
  <c r="AV134" i="4"/>
  <c r="AV181" i="4" s="1"/>
  <c r="AW41" i="5" s="1"/>
  <c r="AB133" i="4"/>
  <c r="AB180" i="4" s="1"/>
  <c r="AC87" i="5" s="1"/>
  <c r="DI149" i="4"/>
  <c r="DI196" i="4" s="1"/>
  <c r="DJ56" i="5" s="1"/>
  <c r="DI143" i="4"/>
  <c r="DI190" i="4" s="1"/>
  <c r="DJ50" i="5" s="1"/>
  <c r="CV134" i="4"/>
  <c r="CV181" i="4" s="1"/>
  <c r="CW88" i="5" s="1"/>
  <c r="DL138" i="4"/>
  <c r="DL185" i="4" s="1"/>
  <c r="DM45" i="5" s="1"/>
  <c r="DD138" i="4"/>
  <c r="DD185" i="4" s="1"/>
  <c r="DE92" i="5" s="1"/>
  <c r="CZ136" i="4"/>
  <c r="CZ183" i="4" s="1"/>
  <c r="DA43" i="5" s="1"/>
  <c r="CN148" i="4"/>
  <c r="CN195" i="4" s="1"/>
  <c r="CO102" i="5" s="1"/>
  <c r="CF149" i="4"/>
  <c r="CF196" i="4" s="1"/>
  <c r="CG103" i="5" s="1"/>
  <c r="BX134" i="4"/>
  <c r="BX181" i="4" s="1"/>
  <c r="BY41" i="5" s="1"/>
  <c r="BP134" i="4"/>
  <c r="BP181" i="4" s="1"/>
  <c r="BQ88" i="5" s="1"/>
  <c r="AR147" i="4"/>
  <c r="AR194" i="4" s="1"/>
  <c r="AS54" i="5" s="1"/>
  <c r="AR133" i="4"/>
  <c r="AR180" i="4" s="1"/>
  <c r="AS87" i="5" s="1"/>
  <c r="DJ147" i="4"/>
  <c r="DJ194" i="4" s="1"/>
  <c r="DK101" i="5" s="1"/>
  <c r="DC150" i="4"/>
  <c r="DC197" i="4" s="1"/>
  <c r="DD57" i="5" s="1"/>
  <c r="BR142" i="4"/>
  <c r="BR189" i="4" s="1"/>
  <c r="BS49" i="5" s="1"/>
  <c r="AG136" i="4"/>
  <c r="AG183" i="4" s="1"/>
  <c r="AH90" i="5" s="1"/>
  <c r="CF144" i="4"/>
  <c r="CF191" i="4" s="1"/>
  <c r="CG51" i="5" s="1"/>
  <c r="X145" i="4"/>
  <c r="X192" i="4" s="1"/>
  <c r="Y99" i="5" s="1"/>
  <c r="CI151" i="4"/>
  <c r="CI198" i="4" s="1"/>
  <c r="CJ58" i="5" s="1"/>
  <c r="AA150" i="4"/>
  <c r="AA197" i="4" s="1"/>
  <c r="AB57" i="5" s="1"/>
  <c r="AA134" i="4"/>
  <c r="AA181" i="4" s="1"/>
  <c r="AB41" i="5" s="1"/>
  <c r="CU148" i="4"/>
  <c r="CU195" i="4" s="1"/>
  <c r="CV55" i="5" s="1"/>
  <c r="CM142" i="4"/>
  <c r="CM189" i="4" s="1"/>
  <c r="CN49" i="5" s="1"/>
  <c r="CE142" i="4"/>
  <c r="CE189" i="4" s="1"/>
  <c r="CF96" i="5" s="1"/>
  <c r="AU141" i="4"/>
  <c r="AU188" i="4" s="1"/>
  <c r="AV48" i="5" s="1"/>
  <c r="V147" i="4"/>
  <c r="V194" i="4" s="1"/>
  <c r="W54" i="5" s="1"/>
  <c r="DK140" i="4"/>
  <c r="DK187" i="4" s="1"/>
  <c r="DL47" i="5" s="1"/>
  <c r="DB137" i="4"/>
  <c r="DB184" i="4" s="1"/>
  <c r="DC44" i="5" s="1"/>
  <c r="AX141" i="4"/>
  <c r="AX188" i="4" s="1"/>
  <c r="AY48" i="5" s="1"/>
  <c r="AP148" i="4"/>
  <c r="AP195" i="4" s="1"/>
  <c r="AQ55" i="5" s="1"/>
  <c r="BQ140" i="4"/>
  <c r="BQ187" i="4" s="1"/>
  <c r="BR47" i="5" s="1"/>
  <c r="BA135" i="4"/>
  <c r="BA182" i="4" s="1"/>
  <c r="BB89" i="5" s="1"/>
  <c r="AO136" i="4"/>
  <c r="AO183" i="4" s="1"/>
  <c r="AP43" i="5" s="1"/>
  <c r="AG147" i="4"/>
  <c r="AG194" i="4" s="1"/>
  <c r="AH54" i="5" s="1"/>
  <c r="AN135" i="4"/>
  <c r="AN182" i="4" s="1"/>
  <c r="AO89" i="5" s="1"/>
  <c r="CQ135" i="4"/>
  <c r="CQ182" i="4" s="1"/>
  <c r="CR89" i="5" s="1"/>
  <c r="CA144" i="4"/>
  <c r="CA191" i="4" s="1"/>
  <c r="CB98" i="5" s="1"/>
  <c r="BK151" i="4"/>
  <c r="BK198" i="4" s="1"/>
  <c r="BL105" i="5" s="1"/>
  <c r="AI134" i="4"/>
  <c r="AI181" i="4" s="1"/>
  <c r="AJ88" i="5" s="1"/>
  <c r="AA145" i="4"/>
  <c r="AA192" i="4" s="1"/>
  <c r="AB52" i="5" s="1"/>
  <c r="W136" i="4"/>
  <c r="W183" i="4" s="1"/>
  <c r="X90" i="5" s="1"/>
  <c r="CR139" i="4"/>
  <c r="CR186" i="4" s="1"/>
  <c r="CS93" i="5" s="1"/>
  <c r="CU149" i="4"/>
  <c r="CU196" i="4" s="1"/>
  <c r="CV56" i="5" s="1"/>
  <c r="CE150" i="4"/>
  <c r="CE197" i="4" s="1"/>
  <c r="CF57" i="5" s="1"/>
  <c r="BG136" i="4"/>
  <c r="BG183" i="4" s="1"/>
  <c r="BH43" i="5" s="1"/>
  <c r="DG150" i="4"/>
  <c r="DG197" i="4" s="1"/>
  <c r="DH57" i="5" s="1"/>
  <c r="DF134" i="4"/>
  <c r="DF181" i="4" s="1"/>
  <c r="DG41" i="5" s="1"/>
  <c r="CP145" i="4"/>
  <c r="CP192" i="4" s="1"/>
  <c r="CQ52" i="5" s="1"/>
  <c r="CH149" i="4"/>
  <c r="CH196" i="4" s="1"/>
  <c r="CI56" i="5" s="1"/>
  <c r="DC140" i="4"/>
  <c r="DC187" i="4" s="1"/>
  <c r="DD47" i="5" s="1"/>
  <c r="DK133" i="4"/>
  <c r="DK180" i="4" s="1"/>
  <c r="DL40" i="5" s="1"/>
  <c r="CD135" i="4"/>
  <c r="CD182" i="4" s="1"/>
  <c r="CE89" i="5" s="1"/>
  <c r="BJ134" i="4"/>
  <c r="BJ181" i="4" s="1"/>
  <c r="BK41" i="5" s="1"/>
  <c r="AP135" i="4"/>
  <c r="AP182" i="4" s="1"/>
  <c r="AQ42" i="5" s="1"/>
  <c r="AD146" i="4"/>
  <c r="AD193" i="4" s="1"/>
  <c r="AE53" i="5" s="1"/>
  <c r="Z147" i="4"/>
  <c r="Z194" i="4" s="1"/>
  <c r="AA54" i="5" s="1"/>
  <c r="BD136" i="4"/>
  <c r="BD183" i="4" s="1"/>
  <c r="BE43" i="5" s="1"/>
  <c r="AF137" i="4"/>
  <c r="AF184" i="4" s="1"/>
  <c r="AG44" i="5" s="1"/>
  <c r="T146" i="4"/>
  <c r="T193" i="4" s="1"/>
  <c r="U53" i="5" s="1"/>
  <c r="CY147" i="4"/>
  <c r="CY194" i="4" s="1"/>
  <c r="CZ101" i="5" s="1"/>
  <c r="CI135" i="4"/>
  <c r="CI182" i="4" s="1"/>
  <c r="CJ89" i="5" s="1"/>
  <c r="BW151" i="4"/>
  <c r="BW198" i="4" s="1"/>
  <c r="BX105" i="5" s="1"/>
  <c r="BK149" i="4"/>
  <c r="BK196" i="4" s="1"/>
  <c r="BL56" i="5" s="1"/>
  <c r="BC144" i="4"/>
  <c r="BC191" i="4" s="1"/>
  <c r="BD98" i="5" s="1"/>
  <c r="AE146" i="4"/>
  <c r="AE193" i="4" s="1"/>
  <c r="AF53" i="5" s="1"/>
  <c r="W150" i="4"/>
  <c r="W197" i="4" s="1"/>
  <c r="X57" i="5" s="1"/>
  <c r="CR144" i="4"/>
  <c r="CR191" i="4" s="1"/>
  <c r="CS98" i="5" s="1"/>
  <c r="CU134" i="4"/>
  <c r="CU181" i="4" s="1"/>
  <c r="CV88" i="5" s="1"/>
  <c r="CE137" i="4"/>
  <c r="CE184" i="4" s="1"/>
  <c r="CF91" i="5" s="1"/>
  <c r="AU149" i="4"/>
  <c r="AU196" i="4" s="1"/>
  <c r="AV103" i="5" s="1"/>
  <c r="DF144" i="4"/>
  <c r="DF191" i="4" s="1"/>
  <c r="DG98" i="5" s="1"/>
  <c r="CT147" i="4"/>
  <c r="CT194" i="4" s="1"/>
  <c r="CU54" i="5" s="1"/>
  <c r="CL146" i="4"/>
  <c r="CL193" i="4" s="1"/>
  <c r="CM53" i="5" s="1"/>
  <c r="BN137" i="4"/>
  <c r="BN184" i="4" s="1"/>
  <c r="BO44" i="5" s="1"/>
  <c r="DK151" i="4"/>
  <c r="DK198" i="4" s="1"/>
  <c r="DL105" i="5" s="1"/>
  <c r="DB139" i="4"/>
  <c r="DB186" i="4" s="1"/>
  <c r="DC93" i="5" s="1"/>
  <c r="BZ138" i="4"/>
  <c r="BZ185" i="4" s="1"/>
  <c r="CA92" i="5" s="1"/>
  <c r="BJ137" i="4"/>
  <c r="BJ184" i="4" s="1"/>
  <c r="BK44" i="5" s="1"/>
  <c r="BB137" i="4"/>
  <c r="BB184" i="4" s="1"/>
  <c r="BC91" i="5" s="1"/>
  <c r="AH141" i="4"/>
  <c r="AH188" i="4" s="1"/>
  <c r="AI95" i="5" s="1"/>
  <c r="CG139" i="4"/>
  <c r="CG186" i="4" s="1"/>
  <c r="CH46" i="5" s="1"/>
  <c r="BY150" i="4"/>
  <c r="BY197" i="4" s="1"/>
  <c r="BZ104" i="5" s="1"/>
  <c r="BQ137" i="4"/>
  <c r="BQ184" i="4" s="1"/>
  <c r="BR91" i="5" s="1"/>
  <c r="AG140" i="4"/>
  <c r="AG187" i="4" s="1"/>
  <c r="AH47" i="5" s="1"/>
  <c r="CO146" i="4"/>
  <c r="CO193" i="4" s="1"/>
  <c r="CP100" i="5" s="1"/>
  <c r="DE147" i="4"/>
  <c r="DE194" i="4" s="1"/>
  <c r="DF54" i="5" s="1"/>
  <c r="DA139" i="4"/>
  <c r="DA186" i="4" s="1"/>
  <c r="DB46" i="5" s="1"/>
  <c r="CW146" i="4"/>
  <c r="CW193" i="4" s="1"/>
  <c r="CX100" i="5" s="1"/>
  <c r="BE145" i="4"/>
  <c r="BE192" i="4" s="1"/>
  <c r="BF52" i="5" s="1"/>
  <c r="AW142" i="4"/>
  <c r="AW189" i="4" s="1"/>
  <c r="AX49" i="5" s="1"/>
  <c r="AW143" i="4"/>
  <c r="AW190" i="4" s="1"/>
  <c r="AX50" i="5" s="1"/>
  <c r="AS146" i="4"/>
  <c r="AS193" i="4" s="1"/>
  <c r="AT100" i="5" s="1"/>
  <c r="AK133" i="4"/>
  <c r="AK180" i="4" s="1"/>
  <c r="AL40" i="5" s="1"/>
  <c r="Y144" i="4"/>
  <c r="Y191" i="4" s="1"/>
  <c r="Z51" i="5" s="1"/>
  <c r="U137" i="4"/>
  <c r="U184" i="4" s="1"/>
  <c r="V91" i="5" s="1"/>
  <c r="CJ148" i="4"/>
  <c r="CJ195" i="4" s="1"/>
  <c r="CK55" i="5" s="1"/>
  <c r="CB149" i="4"/>
  <c r="CB196" i="4" s="1"/>
  <c r="CC56" i="5" s="1"/>
  <c r="CB138" i="4"/>
  <c r="CB185" i="4" s="1"/>
  <c r="CC45" i="5" s="1"/>
  <c r="BL135" i="4"/>
  <c r="BL182" i="4" s="1"/>
  <c r="BM42" i="5" s="1"/>
  <c r="BH142" i="4"/>
  <c r="BH189" i="4" s="1"/>
  <c r="BI96" i="5" s="1"/>
  <c r="AZ136" i="4"/>
  <c r="AZ183" i="4" s="1"/>
  <c r="BA43" i="5" s="1"/>
  <c r="AJ138" i="4"/>
  <c r="AJ185" i="4" s="1"/>
  <c r="AK45" i="5" s="1"/>
  <c r="AB145" i="4"/>
  <c r="AB192" i="4" s="1"/>
  <c r="AC52" i="5" s="1"/>
  <c r="DI135" i="4"/>
  <c r="DI182" i="4" s="1"/>
  <c r="DJ89" i="5" s="1"/>
  <c r="CV140" i="4"/>
  <c r="CV187" i="4" s="1"/>
  <c r="CW94" i="5" s="1"/>
  <c r="CV142" i="4"/>
  <c r="CV189" i="4" s="1"/>
  <c r="CW49" i="5" s="1"/>
  <c r="DL137" i="4"/>
  <c r="DL184" i="4" s="1"/>
  <c r="DM91" i="5" s="1"/>
  <c r="DD147" i="4"/>
  <c r="DD194" i="4" s="1"/>
  <c r="DE101" i="5" s="1"/>
  <c r="CF143" i="4"/>
  <c r="CF190" i="4" s="1"/>
  <c r="CG97" i="5" s="1"/>
  <c r="BX145" i="4"/>
  <c r="BX192" i="4" s="1"/>
  <c r="BY99" i="5" s="1"/>
  <c r="BX144" i="4"/>
  <c r="BX191" i="4" s="1"/>
  <c r="BY98" i="5" s="1"/>
  <c r="BP135" i="4"/>
  <c r="BP182" i="4" s="1"/>
  <c r="BQ89" i="5" s="1"/>
  <c r="BD144" i="4"/>
  <c r="BD191" i="4" s="1"/>
  <c r="BE98" i="5" s="1"/>
  <c r="AF138" i="4"/>
  <c r="AF185" i="4" s="1"/>
  <c r="AG92" i="5" s="1"/>
  <c r="T136" i="4"/>
  <c r="T183" i="4" s="1"/>
  <c r="U90" i="5" s="1"/>
  <c r="CY143" i="4"/>
  <c r="CY190" i="4" s="1"/>
  <c r="CZ97" i="5" s="1"/>
  <c r="CI138" i="4"/>
  <c r="CI185" i="4" s="1"/>
  <c r="CJ45" i="5" s="1"/>
  <c r="CI143" i="4"/>
  <c r="CI190" i="4" s="1"/>
  <c r="CJ97" i="5" s="1"/>
  <c r="CA145" i="4"/>
  <c r="CA192" i="4" s="1"/>
  <c r="CB52" i="5" s="1"/>
  <c r="BW139" i="4"/>
  <c r="BW186" i="4" s="1"/>
  <c r="BX93" i="5" s="1"/>
  <c r="BS141" i="4"/>
  <c r="BS188" i="4" s="1"/>
  <c r="BT48" i="5" s="1"/>
  <c r="BK136" i="4"/>
  <c r="BK183" i="4" s="1"/>
  <c r="BL90" i="5" s="1"/>
  <c r="AY145" i="4"/>
  <c r="AY192" i="4" s="1"/>
  <c r="AZ52" i="5" s="1"/>
  <c r="AY150" i="4"/>
  <c r="AY197" i="4" s="1"/>
  <c r="AZ104" i="5" s="1"/>
  <c r="AQ142" i="4"/>
  <c r="AQ189" i="4" s="1"/>
  <c r="AR49" i="5" s="1"/>
  <c r="AM138" i="4"/>
  <c r="AM185" i="4" s="1"/>
  <c r="AN45" i="5" s="1"/>
  <c r="AA135" i="4"/>
  <c r="AA182" i="4" s="1"/>
  <c r="AB42" i="5" s="1"/>
  <c r="AA151" i="4"/>
  <c r="AA198" i="4" s="1"/>
  <c r="AB58" i="5" s="1"/>
  <c r="W138" i="4"/>
  <c r="W185" i="4" s="1"/>
  <c r="X45" i="5" s="1"/>
  <c r="S135" i="4"/>
  <c r="S182" i="4" s="1"/>
  <c r="T42" i="5" s="1"/>
  <c r="CR141" i="4"/>
  <c r="CR188" i="4" s="1"/>
  <c r="CS48" i="5" s="1"/>
  <c r="CU137" i="4"/>
  <c r="CU184" i="4" s="1"/>
  <c r="CV44" i="5" s="1"/>
  <c r="CE139" i="4"/>
  <c r="CE186" i="4" s="1"/>
  <c r="CF46" i="5" s="1"/>
  <c r="BG134" i="4"/>
  <c r="BG181" i="4" s="1"/>
  <c r="BH88" i="5" s="1"/>
  <c r="DG137" i="4"/>
  <c r="DG184" i="4" s="1"/>
  <c r="DH91" i="5" s="1"/>
  <c r="DJ149" i="4"/>
  <c r="DJ196" i="4" s="1"/>
  <c r="DK103" i="5" s="1"/>
  <c r="DJ138" i="4"/>
  <c r="DJ185" i="4" s="1"/>
  <c r="DK92" i="5" s="1"/>
  <c r="DF137" i="4"/>
  <c r="DF184" i="4" s="1"/>
  <c r="DG44" i="5" s="1"/>
  <c r="CX149" i="4"/>
  <c r="CX196" i="4" s="1"/>
  <c r="CY56" i="5" s="1"/>
  <c r="CT145" i="4"/>
  <c r="CT192" i="4" s="1"/>
  <c r="CU99" i="5" s="1"/>
  <c r="CL144" i="4"/>
  <c r="CL191" i="4" s="1"/>
  <c r="CM51" i="5" s="1"/>
  <c r="CL135" i="4"/>
  <c r="CL182" i="4" s="1"/>
  <c r="CM89" i="5" s="1"/>
  <c r="CH140" i="4"/>
  <c r="CH187" i="4" s="1"/>
  <c r="CI94" i="5" s="1"/>
  <c r="BN134" i="4"/>
  <c r="BN181" i="4" s="1"/>
  <c r="BO88" i="5" s="1"/>
  <c r="AL143" i="4"/>
  <c r="AL190" i="4" s="1"/>
  <c r="AM50" i="5" s="1"/>
  <c r="V139" i="4"/>
  <c r="V186" i="4" s="1"/>
  <c r="W93" i="5" s="1"/>
  <c r="DC136" i="4"/>
  <c r="DC183" i="4" s="1"/>
  <c r="DD43" i="5" s="1"/>
  <c r="DC147" i="4"/>
  <c r="DC194" i="4" s="1"/>
  <c r="DD54" i="5" s="1"/>
  <c r="DK136" i="4"/>
  <c r="DK183" i="4" s="1"/>
  <c r="DL90" i="5" s="1"/>
  <c r="CD142" i="4"/>
  <c r="CD189" i="4" s="1"/>
  <c r="CE96" i="5" s="1"/>
  <c r="BZ140" i="4"/>
  <c r="BZ187" i="4" s="1"/>
  <c r="CA47" i="5" s="1"/>
  <c r="BV149" i="4"/>
  <c r="BV196" i="4" s="1"/>
  <c r="BW103" i="5" s="1"/>
  <c r="BR148" i="4"/>
  <c r="BR195" i="4" s="1"/>
  <c r="BS102" i="5" s="1"/>
  <c r="BR137" i="4"/>
  <c r="BR184" i="4" s="1"/>
  <c r="BS44" i="5" s="1"/>
  <c r="BJ140" i="4"/>
  <c r="BJ187" i="4" s="1"/>
  <c r="BK47" i="5" s="1"/>
  <c r="BF149" i="4"/>
  <c r="BF196" i="4" s="1"/>
  <c r="BG103" i="5" s="1"/>
  <c r="BB148" i="4"/>
  <c r="BB195" i="4" s="1"/>
  <c r="BC102" i="5" s="1"/>
  <c r="AT137" i="4"/>
  <c r="AT184" i="4" s="1"/>
  <c r="AU44" i="5" s="1"/>
  <c r="AT139" i="4"/>
  <c r="AT186" i="4" s="1"/>
  <c r="AU93" i="5" s="1"/>
  <c r="AP136" i="4"/>
  <c r="AP183" i="4" s="1"/>
  <c r="AQ90" i="5" s="1"/>
  <c r="AH137" i="4"/>
  <c r="AH184" i="4" s="1"/>
  <c r="AI44" i="5" s="1"/>
  <c r="AD149" i="4"/>
  <c r="AD196" i="4" s="1"/>
  <c r="AE56" i="5" s="1"/>
  <c r="CC141" i="4"/>
  <c r="CC188" i="4" s="1"/>
  <c r="CD48" i="5" s="1"/>
  <c r="CC150" i="4"/>
  <c r="CC197" i="4" s="1"/>
  <c r="CD104" i="5" s="1"/>
  <c r="BY134" i="4"/>
  <c r="BY181" i="4" s="1"/>
  <c r="BZ88" i="5" s="1"/>
  <c r="BQ144" i="4"/>
  <c r="BQ191" i="4" s="1"/>
  <c r="BR51" i="5" s="1"/>
  <c r="BA139" i="4"/>
  <c r="BA186" i="4" s="1"/>
  <c r="BB46" i="5" s="1"/>
  <c r="AO147" i="4"/>
  <c r="AO194" i="4" s="1"/>
  <c r="AP54" i="5" s="1"/>
  <c r="AG137" i="4"/>
  <c r="AG184" i="4" s="1"/>
  <c r="AH91" i="5" s="1"/>
  <c r="T140" i="4"/>
  <c r="T187" i="4" s="1"/>
  <c r="U94" i="5" s="1"/>
  <c r="CY140" i="4"/>
  <c r="CY187" i="4" s="1"/>
  <c r="CZ94" i="5" s="1"/>
  <c r="CI150" i="4"/>
  <c r="CI197" i="4" s="1"/>
  <c r="CJ57" i="5" s="1"/>
  <c r="BW140" i="4"/>
  <c r="BW187" i="4" s="1"/>
  <c r="BX94" i="5" s="1"/>
  <c r="BS144" i="4"/>
  <c r="BS191" i="4" s="1"/>
  <c r="BT98" i="5" s="1"/>
  <c r="BC133" i="4"/>
  <c r="BC180" i="4" s="1"/>
  <c r="BD87" i="5" s="1"/>
  <c r="AI147" i="4"/>
  <c r="AI194" i="4" s="1"/>
  <c r="AJ54" i="5" s="1"/>
  <c r="AE142" i="4"/>
  <c r="AE189" i="4" s="1"/>
  <c r="AF49" i="5" s="1"/>
  <c r="W139" i="4"/>
  <c r="W186" i="4" s="1"/>
  <c r="X46" i="5" s="1"/>
  <c r="CR149" i="4"/>
  <c r="CR196" i="4" s="1"/>
  <c r="CS56" i="5" s="1"/>
  <c r="CM133" i="4"/>
  <c r="CM180" i="4" s="1"/>
  <c r="CN87" i="5" s="1"/>
  <c r="BG147" i="4"/>
  <c r="BG194" i="4" s="1"/>
  <c r="BH101" i="5" s="1"/>
  <c r="DG136" i="4"/>
  <c r="DG183" i="4" s="1"/>
  <c r="DH90" i="5" s="1"/>
  <c r="DJ151" i="4"/>
  <c r="DJ198" i="4" s="1"/>
  <c r="DK58" i="5" s="1"/>
  <c r="CL136" i="4"/>
  <c r="CL183" i="4" s="1"/>
  <c r="CM90" i="5" s="1"/>
  <c r="BN145" i="4"/>
  <c r="BN192" i="4" s="1"/>
  <c r="BO52" i="5" s="1"/>
  <c r="AL134" i="4"/>
  <c r="AL181" i="4" s="1"/>
  <c r="AM41" i="5" s="1"/>
  <c r="DC137" i="4"/>
  <c r="DC184" i="4" s="1"/>
  <c r="DD91" i="5" s="1"/>
  <c r="DB147" i="4"/>
  <c r="DB194" i="4" s="1"/>
  <c r="DC101" i="5" s="1"/>
  <c r="CD147" i="4"/>
  <c r="CD194" i="4" s="1"/>
  <c r="CE54" i="5" s="1"/>
  <c r="BR136" i="4"/>
  <c r="BR183" i="4" s="1"/>
  <c r="BS43" i="5" s="1"/>
  <c r="BJ133" i="4"/>
  <c r="BJ180" i="4" s="1"/>
  <c r="BK87" i="5" s="1"/>
  <c r="BB147" i="4"/>
  <c r="BB194" i="4" s="1"/>
  <c r="BC101" i="5" s="1"/>
  <c r="AT151" i="4"/>
  <c r="AT198" i="4" s="1"/>
  <c r="AU58" i="5" s="1"/>
  <c r="AP142" i="4"/>
  <c r="AP189" i="4" s="1"/>
  <c r="AQ96" i="5" s="1"/>
  <c r="BZ72" i="5"/>
  <c r="BV78" i="5"/>
  <c r="BB78" i="5"/>
  <c r="AH36" i="5"/>
  <c r="CP37" i="5"/>
  <c r="DF85" i="5"/>
  <c r="DB22" i="5"/>
  <c r="CX22" i="5"/>
  <c r="CT22" i="5"/>
  <c r="CT33" i="5"/>
  <c r="CL79" i="5"/>
  <c r="BN83" i="5"/>
  <c r="BJ71" i="5"/>
  <c r="BF85" i="5"/>
  <c r="AX82" i="5"/>
  <c r="AT81" i="5"/>
  <c r="AT35" i="5"/>
  <c r="AL36" i="5"/>
  <c r="Z70" i="5"/>
  <c r="V72" i="5"/>
  <c r="CK78" i="5"/>
  <c r="CC67" i="5"/>
  <c r="CC37" i="5"/>
  <c r="BU70" i="5"/>
  <c r="BM81" i="5"/>
  <c r="BA78" i="5"/>
  <c r="AW70" i="5"/>
  <c r="AK31" i="5"/>
  <c r="AC72" i="5"/>
  <c r="DJ29" i="5"/>
  <c r="DI77" i="5"/>
  <c r="CW24" i="5"/>
  <c r="DM77" i="5"/>
  <c r="DM79" i="5"/>
  <c r="DE83" i="5"/>
  <c r="DA79" i="5"/>
  <c r="CO37" i="5"/>
  <c r="CG81" i="5"/>
  <c r="BY26" i="5"/>
  <c r="BY72" i="5"/>
  <c r="BQ78" i="5"/>
  <c r="BE29" i="5"/>
  <c r="AS24" i="5"/>
  <c r="AG82" i="5"/>
  <c r="AG27" i="5"/>
  <c r="CA22" i="5"/>
  <c r="BR76" i="5"/>
  <c r="BW26" i="5"/>
  <c r="CP24" i="5"/>
  <c r="DF33" i="5"/>
  <c r="DB83" i="5"/>
  <c r="DB72" i="5"/>
  <c r="CX37" i="5"/>
  <c r="CT37" i="5"/>
  <c r="CL72" i="5"/>
  <c r="BN37" i="5"/>
  <c r="BJ82" i="5"/>
  <c r="BJ81" i="5"/>
  <c r="BF75" i="5"/>
  <c r="AX84" i="5"/>
  <c r="AT20" i="5"/>
  <c r="AL72" i="5"/>
  <c r="Z21" i="5"/>
  <c r="V37" i="5"/>
  <c r="V26" i="5"/>
  <c r="CC78" i="5"/>
  <c r="BU24" i="5"/>
  <c r="BI81" i="5"/>
  <c r="BA26" i="5"/>
  <c r="AW21" i="5"/>
  <c r="AK21" i="5"/>
  <c r="AC67" i="5"/>
  <c r="DJ36" i="5"/>
  <c r="DJ77" i="5"/>
  <c r="DI75" i="5"/>
  <c r="CW21" i="5"/>
  <c r="DM72" i="5"/>
  <c r="DE72" i="5"/>
  <c r="DA70" i="5"/>
  <c r="CO35" i="5"/>
  <c r="CO27" i="5"/>
  <c r="CG83" i="5"/>
  <c r="BY21" i="5"/>
  <c r="BQ21" i="5"/>
  <c r="AS81" i="5"/>
  <c r="AS20" i="5"/>
  <c r="DK81" i="5"/>
  <c r="DD37" i="5"/>
  <c r="BS29" i="5"/>
  <c r="AH70" i="5"/>
  <c r="BH139" i="4"/>
  <c r="BH186" i="4" s="1"/>
  <c r="BI46" i="5" s="1"/>
  <c r="AZ133" i="4"/>
  <c r="AZ180" i="4" s="1"/>
  <c r="BA87" i="5" s="1"/>
  <c r="AV147" i="4"/>
  <c r="AV194" i="4" s="1"/>
  <c r="AW54" i="5" s="1"/>
  <c r="AV143" i="4"/>
  <c r="AV190" i="4" s="1"/>
  <c r="AW97" i="5" s="1"/>
  <c r="DH151" i="4"/>
  <c r="DH198" i="4" s="1"/>
  <c r="DI58" i="5" s="1"/>
  <c r="CV149" i="4"/>
  <c r="CV196" i="4" s="1"/>
  <c r="CW103" i="5" s="1"/>
  <c r="CV148" i="4"/>
  <c r="CV195" i="4" s="1"/>
  <c r="CW102" i="5" s="1"/>
  <c r="DL141" i="4"/>
  <c r="DL188" i="4" s="1"/>
  <c r="DM95" i="5" s="1"/>
  <c r="DD139" i="4"/>
  <c r="DD186" i="4" s="1"/>
  <c r="DE46" i="5" s="1"/>
  <c r="CZ139" i="4"/>
  <c r="CZ186" i="4" s="1"/>
  <c r="DA46" i="5" s="1"/>
  <c r="CN135" i="4"/>
  <c r="CN182" i="4" s="1"/>
  <c r="CO42" i="5" s="1"/>
  <c r="CF140" i="4"/>
  <c r="CF187" i="4" s="1"/>
  <c r="CG47" i="5" s="1"/>
  <c r="BX141" i="4"/>
  <c r="BX188" i="4" s="1"/>
  <c r="BY48" i="5" s="1"/>
  <c r="BP148" i="4"/>
  <c r="BP195" i="4" s="1"/>
  <c r="BQ55" i="5" s="1"/>
  <c r="BD143" i="4"/>
  <c r="BD190" i="4" s="1"/>
  <c r="BE50" i="5" s="1"/>
  <c r="AR148" i="4"/>
  <c r="AR195" i="4" s="1"/>
  <c r="AS55" i="5" s="1"/>
  <c r="AN133" i="4"/>
  <c r="AN180" i="4" s="1"/>
  <c r="AO87" i="5" s="1"/>
  <c r="AF145" i="4"/>
  <c r="AF192" i="4" s="1"/>
  <c r="AG52" i="5" s="1"/>
  <c r="AF147" i="4"/>
  <c r="AF194" i="4" s="1"/>
  <c r="AG54" i="5" s="1"/>
  <c r="T147" i="4"/>
  <c r="T194" i="4" s="1"/>
  <c r="U54" i="5" s="1"/>
  <c r="CY148" i="4"/>
  <c r="CY195" i="4" s="1"/>
  <c r="CZ102" i="5" s="1"/>
  <c r="CQ150" i="4"/>
  <c r="CQ197" i="4" s="1"/>
  <c r="CR57" i="5" s="1"/>
  <c r="CI139" i="4"/>
  <c r="CI186" i="4" s="1"/>
  <c r="CJ46" i="5" s="1"/>
  <c r="CA147" i="4"/>
  <c r="CA194" i="4" s="1"/>
  <c r="CB54" i="5" s="1"/>
  <c r="BW146" i="4"/>
  <c r="BW193" i="4" s="1"/>
  <c r="BX53" i="5" s="1"/>
  <c r="BS145" i="4"/>
  <c r="BS192" i="4" s="1"/>
  <c r="BT52" i="5" s="1"/>
  <c r="BK144" i="4"/>
  <c r="BK191" i="4" s="1"/>
  <c r="BL51" i="5" s="1"/>
  <c r="BC149" i="4"/>
  <c r="BC196" i="4" s="1"/>
  <c r="BD103" i="5" s="1"/>
  <c r="BC151" i="4"/>
  <c r="BC198" i="4" s="1"/>
  <c r="BD105" i="5" s="1"/>
  <c r="AY137" i="4"/>
  <c r="AY184" i="4" s="1"/>
  <c r="AZ44" i="5" s="1"/>
  <c r="AQ144" i="4"/>
  <c r="AQ191" i="4" s="1"/>
  <c r="AR51" i="5" s="1"/>
  <c r="AM148" i="4"/>
  <c r="AM195" i="4" s="1"/>
  <c r="AN55" i="5" s="1"/>
  <c r="AI140" i="4"/>
  <c r="AI187" i="4" s="1"/>
  <c r="AJ94" i="5" s="1"/>
  <c r="AE138" i="4"/>
  <c r="AE185" i="4" s="1"/>
  <c r="AF45" i="5" s="1"/>
  <c r="W149" i="4"/>
  <c r="W196" i="4" s="1"/>
  <c r="X56" i="5" s="1"/>
  <c r="S151" i="4"/>
  <c r="S198" i="4" s="1"/>
  <c r="T105" i="5" s="1"/>
  <c r="CR137" i="4"/>
  <c r="CR184" i="4" s="1"/>
  <c r="CS44" i="5" s="1"/>
  <c r="CM146" i="4"/>
  <c r="CM193" i="4" s="1"/>
  <c r="CN100" i="5" s="1"/>
  <c r="BO141" i="4"/>
  <c r="BO188" i="4" s="1"/>
  <c r="BP48" i="5" s="1"/>
  <c r="BG150" i="4"/>
  <c r="BG197" i="4" s="1"/>
  <c r="BH104" i="5" s="1"/>
  <c r="DG146" i="4"/>
  <c r="DG193" i="4" s="1"/>
  <c r="DH100" i="5" s="1"/>
  <c r="DG148" i="4"/>
  <c r="DG195" i="4" s="1"/>
  <c r="DH102" i="5" s="1"/>
  <c r="DJ142" i="4"/>
  <c r="DJ189" i="4" s="1"/>
  <c r="DK49" i="5" s="1"/>
  <c r="DF145" i="4"/>
  <c r="DF192" i="4" s="1"/>
  <c r="DG99" i="5" s="1"/>
  <c r="CX148" i="4"/>
  <c r="CX195" i="4" s="1"/>
  <c r="CY102" i="5" s="1"/>
  <c r="CT136" i="4"/>
  <c r="CT183" i="4" s="1"/>
  <c r="CU90" i="5" s="1"/>
  <c r="CP151" i="4"/>
  <c r="CP198" i="4" s="1"/>
  <c r="CQ105" i="5" s="1"/>
  <c r="CL138" i="4"/>
  <c r="CL185" i="4" s="1"/>
  <c r="CM92" i="5" s="1"/>
  <c r="CL137" i="4"/>
  <c r="CL184" i="4" s="1"/>
  <c r="CM44" i="5" s="1"/>
  <c r="CH143" i="4"/>
  <c r="CH190" i="4" s="1"/>
  <c r="CI50" i="5" s="1"/>
  <c r="BN136" i="4"/>
  <c r="BN183" i="4" s="1"/>
  <c r="BO90" i="5" s="1"/>
  <c r="AL144" i="4"/>
  <c r="AL191" i="4" s="1"/>
  <c r="AM51" i="5" s="1"/>
  <c r="DC139" i="4"/>
  <c r="DC186" i="4" s="1"/>
  <c r="DD46" i="5" s="1"/>
  <c r="DC143" i="4"/>
  <c r="DC190" i="4" s="1"/>
  <c r="DD97" i="5" s="1"/>
  <c r="CD138" i="4"/>
  <c r="CD185" i="4" s="1"/>
  <c r="CE92" i="5" s="1"/>
  <c r="BZ133" i="4"/>
  <c r="BZ180" i="4" s="1"/>
  <c r="CA40" i="5" s="1"/>
  <c r="BV134" i="4"/>
  <c r="BV181" i="4" s="1"/>
  <c r="BW41" i="5" s="1"/>
  <c r="BV135" i="4"/>
  <c r="BV182" i="4" s="1"/>
  <c r="BW89" i="5" s="1"/>
  <c r="BR141" i="4"/>
  <c r="BR188" i="4" s="1"/>
  <c r="BS48" i="5" s="1"/>
  <c r="BJ147" i="4"/>
  <c r="BJ194" i="4" s="1"/>
  <c r="BK101" i="5" s="1"/>
  <c r="BF140" i="4"/>
  <c r="BF187" i="4" s="1"/>
  <c r="BG94" i="5" s="1"/>
  <c r="BB151" i="4"/>
  <c r="BB198" i="4" s="1"/>
  <c r="BC105" i="5" s="1"/>
  <c r="AT141" i="4"/>
  <c r="AT188" i="4" s="1"/>
  <c r="AU48" i="5" s="1"/>
  <c r="AT142" i="4"/>
  <c r="AT189" i="4" s="1"/>
  <c r="AU49" i="5" s="1"/>
  <c r="AH140" i="4"/>
  <c r="AH187" i="4" s="1"/>
  <c r="AI94" i="5" s="1"/>
  <c r="AD134" i="4"/>
  <c r="AD181" i="4" s="1"/>
  <c r="AE41" i="5" s="1"/>
  <c r="Z144" i="4"/>
  <c r="Z191" i="4" s="1"/>
  <c r="AA98" i="5" s="1"/>
  <c r="R137" i="4"/>
  <c r="R184" i="4" s="1"/>
  <c r="S44" i="5" s="1"/>
  <c r="R146" i="4"/>
  <c r="R193" i="4" s="1"/>
  <c r="S53" i="5" s="1"/>
  <c r="CG141" i="4"/>
  <c r="CG188" i="4" s="1"/>
  <c r="CH95" i="5" s="1"/>
  <c r="CC145" i="4"/>
  <c r="CC192" i="4" s="1"/>
  <c r="CD52" i="5" s="1"/>
  <c r="CC133" i="4"/>
  <c r="CC180" i="4" s="1"/>
  <c r="CD87" i="5" s="1"/>
  <c r="BY137" i="4"/>
  <c r="BY184" i="4" s="1"/>
  <c r="BZ91" i="5" s="1"/>
  <c r="BU137" i="4"/>
  <c r="BU184" i="4" s="1"/>
  <c r="BV44" i="5" s="1"/>
  <c r="AO134" i="4"/>
  <c r="AO181" i="4" s="1"/>
  <c r="AP41" i="5" s="1"/>
  <c r="AC150" i="4"/>
  <c r="AC197" i="4" s="1"/>
  <c r="AD57" i="5" s="1"/>
  <c r="AG151" i="4"/>
  <c r="AG198" i="4" s="1"/>
  <c r="AH105" i="5" s="1"/>
  <c r="CG140" i="4"/>
  <c r="CG187" i="4" s="1"/>
  <c r="CH47" i="5" s="1"/>
  <c r="CC142" i="4"/>
  <c r="CC189" i="4" s="1"/>
  <c r="CD49" i="5" s="1"/>
  <c r="BU135" i="4"/>
  <c r="BU182" i="4" s="1"/>
  <c r="BV89" i="5" s="1"/>
  <c r="BA145" i="4"/>
  <c r="BA192" i="4" s="1"/>
  <c r="BB52" i="5" s="1"/>
  <c r="AG146" i="4"/>
  <c r="AG193" i="4" s="1"/>
  <c r="AH100" i="5" s="1"/>
  <c r="AC143" i="4"/>
  <c r="AC190" i="4" s="1"/>
  <c r="AD97" i="5" s="1"/>
  <c r="X135" i="4"/>
  <c r="X182" i="4" s="1"/>
  <c r="Y89" i="5" s="1"/>
  <c r="CM139" i="4"/>
  <c r="CM186" i="4" s="1"/>
  <c r="CN93" i="5" s="1"/>
  <c r="CP141" i="4"/>
  <c r="CP188" i="4" s="1"/>
  <c r="CQ95" i="5" s="1"/>
  <c r="AL133" i="4"/>
  <c r="AL180" i="4" s="1"/>
  <c r="AM40" i="5" s="1"/>
  <c r="BH138" i="4"/>
  <c r="BH185" i="4" s="1"/>
  <c r="BI45" i="5" s="1"/>
  <c r="AV133" i="4"/>
  <c r="AV180" i="4" s="1"/>
  <c r="AW40" i="5" s="1"/>
  <c r="BL137" i="4"/>
  <c r="BL184" i="4" s="1"/>
  <c r="BM91" i="5" s="1"/>
  <c r="BH146" i="4"/>
  <c r="BH193" i="4" s="1"/>
  <c r="BI53" i="5" s="1"/>
  <c r="BH149" i="4" l="1"/>
  <c r="BH196" i="4" s="1"/>
  <c r="BI56" i="5" s="1"/>
  <c r="V151" i="4"/>
  <c r="V198" i="4" s="1"/>
  <c r="W58" i="5" s="1"/>
  <c r="AB41" i="1"/>
  <c r="Y41" i="1"/>
  <c r="DD150" i="4"/>
  <c r="DD197" i="4" s="1"/>
  <c r="DE57" i="5" s="1"/>
  <c r="AC41" i="1"/>
  <c r="CV151" i="4"/>
  <c r="CV198" i="4" s="1"/>
  <c r="CW105" i="5" s="1"/>
  <c r="S103" i="7"/>
  <c r="O103" i="7"/>
  <c r="T103" i="7"/>
  <c r="P103" i="7"/>
  <c r="AH28" i="1"/>
  <c r="AF28" i="1"/>
  <c r="AG28" i="1"/>
  <c r="Y33" i="1"/>
  <c r="AC33" i="1"/>
  <c r="V79" i="1" s="1"/>
  <c r="AA33" i="1"/>
  <c r="AB33" i="1"/>
  <c r="Z33" i="1"/>
  <c r="T19" i="5"/>
  <c r="CE151" i="4"/>
  <c r="CE198" i="4" s="1"/>
  <c r="CF105" i="5" s="1"/>
  <c r="DK150" i="4"/>
  <c r="DK197" i="4" s="1"/>
  <c r="DL57" i="5" s="1"/>
  <c r="BT151" i="4"/>
  <c r="BT198" i="4" s="1"/>
  <c r="BU58" i="5" s="1"/>
  <c r="CF151" i="4"/>
  <c r="CF198" i="4" s="1"/>
  <c r="CG105" i="5" s="1"/>
  <c r="BZ151" i="4"/>
  <c r="BZ198" i="4" s="1"/>
  <c r="CA105" i="5" s="1"/>
  <c r="CW151" i="4"/>
  <c r="CW198" i="4" s="1"/>
  <c r="CX58" i="5" s="1"/>
  <c r="AS151" i="4"/>
  <c r="AS198" i="4" s="1"/>
  <c r="AT58" i="5" s="1"/>
  <c r="T66" i="5"/>
  <c r="AD41" i="1"/>
  <c r="Z41" i="1"/>
  <c r="AG150" i="4"/>
  <c r="AG197" i="4" s="1"/>
  <c r="AH57" i="5" s="1"/>
  <c r="Q180" i="5"/>
  <c r="BM151" i="4"/>
  <c r="BM198" i="4" s="1"/>
  <c r="BN58" i="5" s="1"/>
  <c r="F73" i="7"/>
  <c r="CP150" i="4"/>
  <c r="CP197" i="4" s="1"/>
  <c r="CQ104" i="5" s="1"/>
  <c r="AU151" i="4"/>
  <c r="AU198" i="4" s="1"/>
  <c r="AV58" i="5" s="1"/>
  <c r="BF150" i="4"/>
  <c r="BF197" i="4" s="1"/>
  <c r="BG57" i="5" s="1"/>
  <c r="AM150" i="4"/>
  <c r="AM197" i="4" s="1"/>
  <c r="AN57" i="5" s="1"/>
  <c r="BT150" i="4"/>
  <c r="BT197" i="4" s="1"/>
  <c r="BU57" i="5" s="1"/>
  <c r="BN150" i="4"/>
  <c r="BN197" i="4" s="1"/>
  <c r="BO104" i="5" s="1"/>
  <c r="CQ151" i="4"/>
  <c r="CQ198" i="4" s="1"/>
  <c r="CR58" i="5" s="1"/>
  <c r="BI150" i="4"/>
  <c r="BI197" i="4" s="1"/>
  <c r="BJ104" i="5" s="1"/>
  <c r="DF151" i="4"/>
  <c r="DF198" i="4" s="1"/>
  <c r="DG105" i="5" s="1"/>
  <c r="BA151" i="4"/>
  <c r="BA198" i="4" s="1"/>
  <c r="BB58" i="5" s="1"/>
  <c r="AM151" i="4"/>
  <c r="AM198" i="4" s="1"/>
  <c r="AN58" i="5" s="1"/>
  <c r="CA150" i="4"/>
  <c r="CA197" i="4" s="1"/>
  <c r="CB104" i="5" s="1"/>
  <c r="CH151" i="4"/>
  <c r="CH198" i="4" s="1"/>
  <c r="CI105" i="5" s="1"/>
  <c r="DB151" i="4"/>
  <c r="DB198" i="4" s="1"/>
  <c r="DC58" i="5" s="1"/>
  <c r="AE150" i="4"/>
  <c r="AE197" i="4" s="1"/>
  <c r="AF104" i="5" s="1"/>
  <c r="AH151" i="4"/>
  <c r="AH198" i="4" s="1"/>
  <c r="AI58" i="5" s="1"/>
  <c r="AY151" i="4"/>
  <c r="AY198" i="4" s="1"/>
  <c r="AZ58" i="5" s="1"/>
  <c r="T151" i="4"/>
  <c r="T198" i="4" s="1"/>
  <c r="U58" i="5" s="1"/>
  <c r="BX151" i="4"/>
  <c r="BX198" i="4" s="1"/>
  <c r="BY58" i="5" s="1"/>
  <c r="BV151" i="4"/>
  <c r="BV198" i="4" s="1"/>
  <c r="BW58" i="5" s="1"/>
  <c r="CX151" i="4"/>
  <c r="CX198" i="4" s="1"/>
  <c r="CY105" i="5" s="1"/>
  <c r="CZ151" i="4"/>
  <c r="CZ198" i="4" s="1"/>
  <c r="DA58" i="5" s="1"/>
  <c r="AS150" i="4"/>
  <c r="AS197" i="4" s="1"/>
  <c r="AT104" i="5" s="1"/>
  <c r="BA150" i="4"/>
  <c r="BA197" i="4" s="1"/>
  <c r="BB104" i="5" s="1"/>
  <c r="BJ151" i="4"/>
  <c r="BJ198" i="4" s="1"/>
  <c r="BK58" i="5" s="1"/>
  <c r="S149" i="5"/>
  <c r="S133" i="5" s="1"/>
  <c r="S112" i="5" s="1"/>
  <c r="R38" i="4"/>
  <c r="R17" i="4" s="1"/>
  <c r="DE149" i="5"/>
  <c r="DE133" i="5" s="1"/>
  <c r="DE112" i="5" s="1"/>
  <c r="DE163" i="5" s="1"/>
  <c r="DF160" i="5" s="1"/>
  <c r="DD38" i="4"/>
  <c r="DD17" i="4" s="1"/>
  <c r="AV149" i="5"/>
  <c r="AV133" i="5" s="1"/>
  <c r="AV112" i="5" s="1"/>
  <c r="AV163" i="5" s="1"/>
  <c r="AW160" i="5" s="1"/>
  <c r="AU38" i="4"/>
  <c r="AU17" i="4" s="1"/>
  <c r="CY149" i="5"/>
  <c r="CY133" i="5" s="1"/>
  <c r="CY112" i="5" s="1"/>
  <c r="CY163" i="5" s="1"/>
  <c r="CZ160" i="5" s="1"/>
  <c r="CX38" i="4"/>
  <c r="CX17" i="4" s="1"/>
  <c r="Y149" i="5"/>
  <c r="Y133" i="5" s="1"/>
  <c r="Y112" i="5" s="1"/>
  <c r="Y163" i="5" s="1"/>
  <c r="Z160" i="5" s="1"/>
  <c r="X38" i="4"/>
  <c r="X17" i="4" s="1"/>
  <c r="CE149" i="5"/>
  <c r="CE133" i="5" s="1"/>
  <c r="CE112" i="5" s="1"/>
  <c r="CE163" i="5" s="1"/>
  <c r="CF160" i="5" s="1"/>
  <c r="CD38" i="4"/>
  <c r="CD17" i="4" s="1"/>
  <c r="BF149" i="5"/>
  <c r="BF133" i="5" s="1"/>
  <c r="BF112" i="5" s="1"/>
  <c r="BF163" i="5" s="1"/>
  <c r="BG160" i="5" s="1"/>
  <c r="BE38" i="4"/>
  <c r="BE17" i="4" s="1"/>
  <c r="CR149" i="5"/>
  <c r="CR133" i="5" s="1"/>
  <c r="CR112" i="5" s="1"/>
  <c r="CR163" i="5" s="1"/>
  <c r="CS160" i="5" s="1"/>
  <c r="CQ38" i="4"/>
  <c r="CQ17" i="4" s="1"/>
  <c r="BZ149" i="5"/>
  <c r="BZ133" i="5" s="1"/>
  <c r="BZ112" i="5" s="1"/>
  <c r="BZ163" i="5" s="1"/>
  <c r="CA160" i="5" s="1"/>
  <c r="BY38" i="4"/>
  <c r="BY17" i="4" s="1"/>
  <c r="BA149" i="5"/>
  <c r="BA133" i="5" s="1"/>
  <c r="BA112" i="5" s="1"/>
  <c r="BA163" i="5" s="1"/>
  <c r="BB160" i="5" s="1"/>
  <c r="AZ38" i="4"/>
  <c r="AZ17" i="4" s="1"/>
  <c r="CM149" i="5"/>
  <c r="CM133" i="5" s="1"/>
  <c r="CM112" i="5" s="1"/>
  <c r="CM163" i="5" s="1"/>
  <c r="CN160" i="5" s="1"/>
  <c r="CL38" i="4"/>
  <c r="CL17" i="4" s="1"/>
  <c r="AZ149" i="5"/>
  <c r="AZ133" i="5" s="1"/>
  <c r="AZ112" i="5" s="1"/>
  <c r="AZ163" i="5" s="1"/>
  <c r="BA160" i="5" s="1"/>
  <c r="AY38" i="4"/>
  <c r="AY17" i="4" s="1"/>
  <c r="BO149" i="5"/>
  <c r="BO133" i="5" s="1"/>
  <c r="BO112" i="5" s="1"/>
  <c r="BO163" i="5" s="1"/>
  <c r="BP160" i="5" s="1"/>
  <c r="BN38" i="4"/>
  <c r="BN17" i="4" s="1"/>
  <c r="CC149" i="5"/>
  <c r="CC133" i="5" s="1"/>
  <c r="CC112" i="5" s="1"/>
  <c r="CC163" i="5" s="1"/>
  <c r="CD160" i="5" s="1"/>
  <c r="CB38" i="4"/>
  <c r="CB17" i="4" s="1"/>
  <c r="AB149" i="5"/>
  <c r="AB133" i="5" s="1"/>
  <c r="AB112" i="5" s="1"/>
  <c r="AB163" i="5" s="1"/>
  <c r="AC160" i="5" s="1"/>
  <c r="AA38" i="4"/>
  <c r="AA17" i="4" s="1"/>
  <c r="DI149" i="5"/>
  <c r="DI133" i="5" s="1"/>
  <c r="DI112" i="5" s="1"/>
  <c r="DI163" i="5" s="1"/>
  <c r="DJ160" i="5" s="1"/>
  <c r="DH38" i="4"/>
  <c r="DH17" i="4" s="1"/>
  <c r="CO149" i="5"/>
  <c r="CO133" i="5" s="1"/>
  <c r="CO112" i="5" s="1"/>
  <c r="CO163" i="5" s="1"/>
  <c r="CP160" i="5" s="1"/>
  <c r="CN38" i="4"/>
  <c r="CN17" i="4" s="1"/>
  <c r="CB149" i="5"/>
  <c r="CB133" i="5" s="1"/>
  <c r="CB112" i="5" s="1"/>
  <c r="CB163" i="5" s="1"/>
  <c r="CC160" i="5" s="1"/>
  <c r="CA38" i="4"/>
  <c r="CA17" i="4" s="1"/>
  <c r="AD149" i="5"/>
  <c r="AD133" i="5" s="1"/>
  <c r="AD112" i="5" s="1"/>
  <c r="AD163" i="5" s="1"/>
  <c r="AE160" i="5" s="1"/>
  <c r="AC38" i="4"/>
  <c r="AC17" i="4" s="1"/>
  <c r="CV149" i="5"/>
  <c r="CV133" i="5" s="1"/>
  <c r="CV112" i="5" s="1"/>
  <c r="CV163" i="5" s="1"/>
  <c r="CW160" i="5" s="1"/>
  <c r="CU38" i="4"/>
  <c r="CU17" i="4" s="1"/>
  <c r="AE149" i="5"/>
  <c r="AE133" i="5" s="1"/>
  <c r="AE112" i="5" s="1"/>
  <c r="AE163" i="5" s="1"/>
  <c r="AF160" i="5" s="1"/>
  <c r="AD38" i="4"/>
  <c r="AD17" i="4" s="1"/>
  <c r="AK149" i="5"/>
  <c r="AK133" i="5" s="1"/>
  <c r="AK112" i="5" s="1"/>
  <c r="AK163" i="5" s="1"/>
  <c r="AL160" i="5" s="1"/>
  <c r="AJ38" i="4"/>
  <c r="AJ17" i="4" s="1"/>
  <c r="AF149" i="5"/>
  <c r="AF133" i="5" s="1"/>
  <c r="AF112" i="5" s="1"/>
  <c r="AF163" i="5" s="1"/>
  <c r="AG160" i="5" s="1"/>
  <c r="AE38" i="4"/>
  <c r="AE17" i="4" s="1"/>
  <c r="DH149" i="5"/>
  <c r="DH133" i="5" s="1"/>
  <c r="DH112" i="5" s="1"/>
  <c r="DH163" i="5" s="1"/>
  <c r="DI160" i="5" s="1"/>
  <c r="DG38" i="4"/>
  <c r="DG17" i="4" s="1"/>
  <c r="CI149" i="5"/>
  <c r="CI133" i="5" s="1"/>
  <c r="CI112" i="5" s="1"/>
  <c r="CI163" i="5" s="1"/>
  <c r="CJ160" i="5" s="1"/>
  <c r="CH38" i="4"/>
  <c r="CH17" i="4" s="1"/>
  <c r="AT149" i="5"/>
  <c r="AT133" i="5" s="1"/>
  <c r="AT112" i="5" s="1"/>
  <c r="AT163" i="5" s="1"/>
  <c r="AU160" i="5" s="1"/>
  <c r="AS38" i="4"/>
  <c r="AS17" i="4" s="1"/>
  <c r="AO149" i="5"/>
  <c r="AO133" i="5" s="1"/>
  <c r="AO112" i="5" s="1"/>
  <c r="AO163" i="5" s="1"/>
  <c r="AP160" i="5" s="1"/>
  <c r="AN38" i="4"/>
  <c r="AN17" i="4" s="1"/>
  <c r="BC149" i="5"/>
  <c r="BC133" i="5" s="1"/>
  <c r="BC112" i="5" s="1"/>
  <c r="BB38" i="4"/>
  <c r="BB17" i="4" s="1"/>
  <c r="BU149" i="5"/>
  <c r="BU133" i="5" s="1"/>
  <c r="BU112" i="5" s="1"/>
  <c r="BU163" i="5" s="1"/>
  <c r="BV160" i="5" s="1"/>
  <c r="BT38" i="4"/>
  <c r="BT17" i="4" s="1"/>
  <c r="W149" i="5"/>
  <c r="W133" i="5" s="1"/>
  <c r="W112" i="5" s="1"/>
  <c r="W163" i="5" s="1"/>
  <c r="X160" i="5" s="1"/>
  <c r="V38" i="4"/>
  <c r="V17" i="4" s="1"/>
  <c r="CH149" i="5"/>
  <c r="CH133" i="5" s="1"/>
  <c r="CH112" i="5" s="1"/>
  <c r="CH163" i="5" s="1"/>
  <c r="CI160" i="5" s="1"/>
  <c r="CG38" i="4"/>
  <c r="CG17" i="4" s="1"/>
  <c r="AN149" i="5"/>
  <c r="AN133" i="5" s="1"/>
  <c r="AN112" i="5" s="1"/>
  <c r="AN163" i="5" s="1"/>
  <c r="AO160" i="5" s="1"/>
  <c r="AM38" i="4"/>
  <c r="AM17" i="4" s="1"/>
  <c r="AI149" i="5"/>
  <c r="AI133" i="5" s="1"/>
  <c r="AI112" i="5" s="1"/>
  <c r="AI163" i="5" s="1"/>
  <c r="AJ160" i="5" s="1"/>
  <c r="AH38" i="4"/>
  <c r="AH17" i="4" s="1"/>
  <c r="V149" i="5"/>
  <c r="V133" i="5" s="1"/>
  <c r="V112" i="5" s="1"/>
  <c r="V163" i="5" s="1"/>
  <c r="W160" i="5" s="1"/>
  <c r="U38" i="4"/>
  <c r="U17" i="4" s="1"/>
  <c r="AJ149" i="5"/>
  <c r="AJ133" i="5" s="1"/>
  <c r="AJ112" i="5" s="1"/>
  <c r="AJ163" i="5" s="1"/>
  <c r="AK160" i="5" s="1"/>
  <c r="AI38" i="4"/>
  <c r="AI17" i="4" s="1"/>
  <c r="CF149" i="5"/>
  <c r="CF133" i="5" s="1"/>
  <c r="CF112" i="5" s="1"/>
  <c r="CF163" i="5" s="1"/>
  <c r="CG160" i="5" s="1"/>
  <c r="CE38" i="4"/>
  <c r="CE17" i="4" s="1"/>
  <c r="CL149" i="5"/>
  <c r="CL133" i="5" s="1"/>
  <c r="CL112" i="5" s="1"/>
  <c r="CL163" i="5" s="1"/>
  <c r="CM160" i="5" s="1"/>
  <c r="CK38" i="4"/>
  <c r="CK17" i="4" s="1"/>
  <c r="BB149" i="5"/>
  <c r="BB133" i="5" s="1"/>
  <c r="BB112" i="5" s="1"/>
  <c r="BB163" i="5" s="1"/>
  <c r="BC160" i="5" s="1"/>
  <c r="BA38" i="4"/>
  <c r="BA17" i="4" s="1"/>
  <c r="BE149" i="5"/>
  <c r="BE133" i="5" s="1"/>
  <c r="BE112" i="5" s="1"/>
  <c r="BE163" i="5" s="1"/>
  <c r="BF160" i="5" s="1"/>
  <c r="BD38" i="4"/>
  <c r="BD17" i="4" s="1"/>
  <c r="BG149" i="5"/>
  <c r="BG133" i="5" s="1"/>
  <c r="BG112" i="5" s="1"/>
  <c r="BG163" i="5" s="1"/>
  <c r="BH160" i="5" s="1"/>
  <c r="BF38" i="4"/>
  <c r="BF17" i="4" s="1"/>
  <c r="AL149" i="5"/>
  <c r="AL133" i="5" s="1"/>
  <c r="AL112" i="5" s="1"/>
  <c r="AL163" i="5" s="1"/>
  <c r="AM160" i="5" s="1"/>
  <c r="AK38" i="4"/>
  <c r="AK17" i="4" s="1"/>
  <c r="CS149" i="5"/>
  <c r="CS133" i="5" s="1"/>
  <c r="CS112" i="5" s="1"/>
  <c r="CS163" i="5" s="1"/>
  <c r="CT160" i="5" s="1"/>
  <c r="CR38" i="4"/>
  <c r="CR17" i="4" s="1"/>
  <c r="AU149" i="5"/>
  <c r="AU133" i="5" s="1"/>
  <c r="AU112" i="5" s="1"/>
  <c r="AU163" i="5" s="1"/>
  <c r="AV160" i="5" s="1"/>
  <c r="AT38" i="4"/>
  <c r="AT17" i="4" s="1"/>
  <c r="U149" i="5"/>
  <c r="U133" i="5" s="1"/>
  <c r="U112" i="5" s="1"/>
  <c r="U163" i="5" s="1"/>
  <c r="V160" i="5" s="1"/>
  <c r="T38" i="4"/>
  <c r="T17" i="4" s="1"/>
  <c r="CQ149" i="5"/>
  <c r="CQ133" i="5" s="1"/>
  <c r="CQ112" i="5" s="1"/>
  <c r="CQ163" i="5" s="1"/>
  <c r="CR160" i="5" s="1"/>
  <c r="CP38" i="4"/>
  <c r="CP17" i="4" s="1"/>
  <c r="BJ149" i="5"/>
  <c r="BJ133" i="5" s="1"/>
  <c r="BJ112" i="5" s="1"/>
  <c r="BJ163" i="5" s="1"/>
  <c r="BK160" i="5" s="1"/>
  <c r="BI38" i="4"/>
  <c r="BI17" i="4" s="1"/>
  <c r="CX149" i="5"/>
  <c r="CX133" i="5" s="1"/>
  <c r="CX112" i="5" s="1"/>
  <c r="CX163" i="5" s="1"/>
  <c r="CY160" i="5" s="1"/>
  <c r="CW38" i="4"/>
  <c r="CW17" i="4" s="1"/>
  <c r="CN149" i="5"/>
  <c r="CN133" i="5" s="1"/>
  <c r="CN112" i="5" s="1"/>
  <c r="CN163" i="5" s="1"/>
  <c r="CO160" i="5" s="1"/>
  <c r="CM38" i="4"/>
  <c r="CM17" i="4" s="1"/>
  <c r="DF149" i="5"/>
  <c r="DF133" i="5" s="1"/>
  <c r="DF112" i="5" s="1"/>
  <c r="DF163" i="5" s="1"/>
  <c r="DG160" i="5" s="1"/>
  <c r="DE38" i="4"/>
  <c r="DE17" i="4" s="1"/>
  <c r="CP149" i="5"/>
  <c r="CP133" i="5" s="1"/>
  <c r="CP112" i="5" s="1"/>
  <c r="CP163" i="5" s="1"/>
  <c r="CQ160" i="5" s="1"/>
  <c r="CO38" i="4"/>
  <c r="CO17" i="4" s="1"/>
  <c r="CK149" i="5"/>
  <c r="CK133" i="5" s="1"/>
  <c r="CK112" i="5" s="1"/>
  <c r="CK163" i="5" s="1"/>
  <c r="CL160" i="5" s="1"/>
  <c r="CJ38" i="4"/>
  <c r="CJ17" i="4" s="1"/>
  <c r="CA149" i="5"/>
  <c r="CA133" i="5" s="1"/>
  <c r="CA112" i="5" s="1"/>
  <c r="CA163" i="5" s="1"/>
  <c r="CB160" i="5" s="1"/>
  <c r="BZ38" i="4"/>
  <c r="BZ17" i="4" s="1"/>
  <c r="DB149" i="5"/>
  <c r="DB133" i="5" s="1"/>
  <c r="DB112" i="5" s="1"/>
  <c r="DB163" i="5" s="1"/>
  <c r="DC160" i="5" s="1"/>
  <c r="DA38" i="4"/>
  <c r="DA17" i="4" s="1"/>
  <c r="DL149" i="5"/>
  <c r="DL133" i="5" s="1"/>
  <c r="DL112" i="5" s="1"/>
  <c r="DL163" i="5" s="1"/>
  <c r="DM160" i="5" s="1"/>
  <c r="DK38" i="4"/>
  <c r="DK17" i="4" s="1"/>
  <c r="BK149" i="5"/>
  <c r="BK133" i="5" s="1"/>
  <c r="BK112" i="5" s="1"/>
  <c r="BK163" i="5" s="1"/>
  <c r="BL160" i="5" s="1"/>
  <c r="BJ38" i="4"/>
  <c r="BJ17" i="4" s="1"/>
  <c r="BY149" i="5"/>
  <c r="BY133" i="5" s="1"/>
  <c r="BY112" i="5" s="1"/>
  <c r="BY163" i="5" s="1"/>
  <c r="BZ160" i="5" s="1"/>
  <c r="BX38" i="4"/>
  <c r="BX17" i="4" s="1"/>
  <c r="BL149" i="5"/>
  <c r="BL133" i="5" s="1"/>
  <c r="BL112" i="5" s="1"/>
  <c r="BL163" i="5" s="1"/>
  <c r="BM160" i="5" s="1"/>
  <c r="BK38" i="4"/>
  <c r="BK17" i="4" s="1"/>
  <c r="BN149" i="5"/>
  <c r="BN133" i="5" s="1"/>
  <c r="BN112" i="5" s="1"/>
  <c r="BN163" i="5" s="1"/>
  <c r="BO160" i="5" s="1"/>
  <c r="BM38" i="4"/>
  <c r="BM17" i="4" s="1"/>
  <c r="CT149" i="5"/>
  <c r="CT133" i="5" s="1"/>
  <c r="CT112" i="5" s="1"/>
  <c r="CT163" i="5" s="1"/>
  <c r="CU160" i="5" s="1"/>
  <c r="CS38" i="4"/>
  <c r="CS17" i="4" s="1"/>
  <c r="AS149" i="5"/>
  <c r="AS133" i="5" s="1"/>
  <c r="AS112" i="5" s="1"/>
  <c r="AS163" i="5" s="1"/>
  <c r="AT160" i="5" s="1"/>
  <c r="AR38" i="4"/>
  <c r="AR17" i="4" s="1"/>
  <c r="AX149" i="5"/>
  <c r="AX133" i="5" s="1"/>
  <c r="AX112" i="5" s="1"/>
  <c r="AX163" i="5" s="1"/>
  <c r="AY160" i="5" s="1"/>
  <c r="AW38" i="4"/>
  <c r="AW17" i="4" s="1"/>
  <c r="BP149" i="5"/>
  <c r="BP133" i="5" s="1"/>
  <c r="BP112" i="5" s="1"/>
  <c r="BP163" i="5" s="1"/>
  <c r="BQ160" i="5" s="1"/>
  <c r="BO38" i="4"/>
  <c r="BO17" i="4" s="1"/>
  <c r="AY149" i="5"/>
  <c r="AY133" i="5" s="1"/>
  <c r="AY112" i="5" s="1"/>
  <c r="AY163" i="5" s="1"/>
  <c r="AZ160" i="5" s="1"/>
  <c r="AX38" i="4"/>
  <c r="AX17" i="4" s="1"/>
  <c r="Z149" i="5"/>
  <c r="Z133" i="5" s="1"/>
  <c r="Z112" i="5" s="1"/>
  <c r="Z163" i="5" s="1"/>
  <c r="AA160" i="5" s="1"/>
  <c r="Y38" i="4"/>
  <c r="Y17" i="4" s="1"/>
  <c r="AM149" i="5"/>
  <c r="AM133" i="5" s="1"/>
  <c r="AM112" i="5" s="1"/>
  <c r="AM163" i="5" s="1"/>
  <c r="AN160" i="5" s="1"/>
  <c r="AL38" i="4"/>
  <c r="AL17" i="4" s="1"/>
  <c r="AH149" i="5"/>
  <c r="AH133" i="5" s="1"/>
  <c r="AH112" i="5" s="1"/>
  <c r="AH163" i="5" s="1"/>
  <c r="AG38" i="4"/>
  <c r="AG17" i="4" s="1"/>
  <c r="T149" i="5"/>
  <c r="T133" i="5" s="1"/>
  <c r="T112" i="5" s="1"/>
  <c r="T163" i="5" s="1"/>
  <c r="T162" i="5" s="1"/>
  <c r="S38" i="4"/>
  <c r="S17" i="4" s="1"/>
  <c r="BW149" i="5"/>
  <c r="BW133" i="5" s="1"/>
  <c r="BW112" i="5" s="1"/>
  <c r="BW163" i="5" s="1"/>
  <c r="BX160" i="5" s="1"/>
  <c r="BV38" i="4"/>
  <c r="BV17" i="4" s="1"/>
  <c r="DA149" i="5"/>
  <c r="DA133" i="5" s="1"/>
  <c r="DA112" i="5" s="1"/>
  <c r="DA163" i="5" s="1"/>
  <c r="DB160" i="5" s="1"/>
  <c r="DB164" i="5" s="1"/>
  <c r="CZ38" i="4"/>
  <c r="CZ17" i="4" s="1"/>
  <c r="BX149" i="5"/>
  <c r="BX133" i="5" s="1"/>
  <c r="BX112" i="5" s="1"/>
  <c r="BX163" i="5" s="1"/>
  <c r="BY160" i="5" s="1"/>
  <c r="BW38" i="4"/>
  <c r="BW17" i="4" s="1"/>
  <c r="BV149" i="5"/>
  <c r="BV133" i="5" s="1"/>
  <c r="BV112" i="5" s="1"/>
  <c r="BV163" i="5" s="1"/>
  <c r="BW160" i="5" s="1"/>
  <c r="BU38" i="4"/>
  <c r="BU17" i="4" s="1"/>
  <c r="AA149" i="5"/>
  <c r="AA133" i="5" s="1"/>
  <c r="AA112" i="5" s="1"/>
  <c r="AA163" i="5" s="1"/>
  <c r="AB160" i="5" s="1"/>
  <c r="Z38" i="4"/>
  <c r="Z17" i="4" s="1"/>
  <c r="DM149" i="5"/>
  <c r="DM133" i="5" s="1"/>
  <c r="DM112" i="5" s="1"/>
  <c r="DM163" i="5" s="1"/>
  <c r="DL38" i="4"/>
  <c r="DL17" i="4" s="1"/>
  <c r="AP149" i="5"/>
  <c r="AP133" i="5" s="1"/>
  <c r="AP112" i="5" s="1"/>
  <c r="AP163" i="5" s="1"/>
  <c r="AQ160" i="5" s="1"/>
  <c r="AO38" i="4"/>
  <c r="AO17" i="4" s="1"/>
  <c r="X149" i="5"/>
  <c r="X133" i="5" s="1"/>
  <c r="X112" i="5" s="1"/>
  <c r="X163" i="5" s="1"/>
  <c r="Y160" i="5" s="1"/>
  <c r="W38" i="4"/>
  <c r="W17" i="4" s="1"/>
  <c r="CJ149" i="5"/>
  <c r="CJ133" i="5" s="1"/>
  <c r="CJ112" i="5" s="1"/>
  <c r="CJ163" i="5" s="1"/>
  <c r="CK160" i="5" s="1"/>
  <c r="CI38" i="4"/>
  <c r="CI17" i="4" s="1"/>
  <c r="DJ149" i="5"/>
  <c r="DJ133" i="5" s="1"/>
  <c r="DJ112" i="5" s="1"/>
  <c r="DJ163" i="5" s="1"/>
  <c r="DK160" i="5" s="1"/>
  <c r="DI38" i="4"/>
  <c r="DI17" i="4" s="1"/>
  <c r="BH149" i="5"/>
  <c r="BH133" i="5" s="1"/>
  <c r="BH112" i="5" s="1"/>
  <c r="BH163" i="5" s="1"/>
  <c r="BI160" i="5" s="1"/>
  <c r="BG38" i="4"/>
  <c r="BG17" i="4" s="1"/>
  <c r="DD149" i="5"/>
  <c r="DD133" i="5" s="1"/>
  <c r="DD112" i="5" s="1"/>
  <c r="DD163" i="5" s="1"/>
  <c r="DE160" i="5" s="1"/>
  <c r="DC38" i="4"/>
  <c r="DC17" i="4" s="1"/>
  <c r="CG149" i="5"/>
  <c r="CG133" i="5" s="1"/>
  <c r="CG112" i="5" s="1"/>
  <c r="CG163" i="5" s="1"/>
  <c r="CH160" i="5" s="1"/>
  <c r="CF38" i="4"/>
  <c r="CF17" i="4" s="1"/>
  <c r="DK149" i="5"/>
  <c r="DK133" i="5" s="1"/>
  <c r="DK112" i="5" s="1"/>
  <c r="DK163" i="5" s="1"/>
  <c r="DL160" i="5" s="1"/>
  <c r="DJ38" i="4"/>
  <c r="DJ17" i="4" s="1"/>
  <c r="AW149" i="5"/>
  <c r="AW133" i="5" s="1"/>
  <c r="AW112" i="5" s="1"/>
  <c r="AW163" i="5" s="1"/>
  <c r="AX160" i="5" s="1"/>
  <c r="AV38" i="4"/>
  <c r="AV17" i="4" s="1"/>
  <c r="AR149" i="5"/>
  <c r="AR133" i="5" s="1"/>
  <c r="AR112" i="5" s="1"/>
  <c r="AR163" i="5" s="1"/>
  <c r="AS160" i="5" s="1"/>
  <c r="AQ38" i="4"/>
  <c r="AQ17" i="4" s="1"/>
  <c r="CD149" i="5"/>
  <c r="CD133" i="5" s="1"/>
  <c r="CD112" i="5" s="1"/>
  <c r="CD163" i="5" s="1"/>
  <c r="CE160" i="5" s="1"/>
  <c r="CC38" i="4"/>
  <c r="CC17" i="4" s="1"/>
  <c r="BS149" i="5"/>
  <c r="BS133" i="5" s="1"/>
  <c r="BS112" i="5" s="1"/>
  <c r="BS163" i="5" s="1"/>
  <c r="BT160" i="5" s="1"/>
  <c r="BR38" i="4"/>
  <c r="BR17" i="4" s="1"/>
  <c r="CW149" i="5"/>
  <c r="CW133" i="5" s="1"/>
  <c r="CW112" i="5" s="1"/>
  <c r="CW163" i="5" s="1"/>
  <c r="CX160" i="5" s="1"/>
  <c r="CV38" i="4"/>
  <c r="CV17" i="4" s="1"/>
  <c r="BR149" i="5"/>
  <c r="BR133" i="5" s="1"/>
  <c r="BR112" i="5" s="1"/>
  <c r="BR163" i="5" s="1"/>
  <c r="BS160" i="5" s="1"/>
  <c r="BQ38" i="4"/>
  <c r="BQ17" i="4" s="1"/>
  <c r="AG149" i="5"/>
  <c r="AG133" i="5" s="1"/>
  <c r="AG112" i="5" s="1"/>
  <c r="AG163" i="5" s="1"/>
  <c r="AH160" i="5" s="1"/>
  <c r="AF38" i="4"/>
  <c r="AF17" i="4" s="1"/>
  <c r="CZ149" i="5"/>
  <c r="CZ133" i="5" s="1"/>
  <c r="CZ112" i="5" s="1"/>
  <c r="CZ163" i="5" s="1"/>
  <c r="DA160" i="5" s="1"/>
  <c r="CY38" i="4"/>
  <c r="CY17" i="4" s="1"/>
  <c r="CU149" i="5"/>
  <c r="CU133" i="5" s="1"/>
  <c r="CU112" i="5" s="1"/>
  <c r="CU163" i="5" s="1"/>
  <c r="CV160" i="5" s="1"/>
  <c r="CT38" i="4"/>
  <c r="CT17" i="4" s="1"/>
  <c r="BD149" i="5"/>
  <c r="BD133" i="5" s="1"/>
  <c r="BD112" i="5" s="1"/>
  <c r="BD163" i="5" s="1"/>
  <c r="BE160" i="5" s="1"/>
  <c r="BC38" i="4"/>
  <c r="BC17" i="4" s="1"/>
  <c r="AQ149" i="5"/>
  <c r="AQ133" i="5" s="1"/>
  <c r="AQ112" i="5" s="1"/>
  <c r="AQ163" i="5" s="1"/>
  <c r="AR160" i="5" s="1"/>
  <c r="AP38" i="4"/>
  <c r="AP17" i="4" s="1"/>
  <c r="BM149" i="5"/>
  <c r="BM133" i="5" s="1"/>
  <c r="BM112" i="5" s="1"/>
  <c r="BM163" i="5" s="1"/>
  <c r="BN160" i="5" s="1"/>
  <c r="BL38" i="4"/>
  <c r="BL17" i="4" s="1"/>
  <c r="BT149" i="5"/>
  <c r="BT133" i="5" s="1"/>
  <c r="BT112" i="5" s="1"/>
  <c r="BT163" i="5" s="1"/>
  <c r="BU160" i="5" s="1"/>
  <c r="BS38" i="4"/>
  <c r="BS17" i="4" s="1"/>
  <c r="BI149" i="5"/>
  <c r="BI133" i="5" s="1"/>
  <c r="BI112" i="5" s="1"/>
  <c r="BI163" i="5" s="1"/>
  <c r="BJ160" i="5" s="1"/>
  <c r="BH38" i="4"/>
  <c r="BH17" i="4" s="1"/>
  <c r="BQ149" i="5"/>
  <c r="BQ133" i="5" s="1"/>
  <c r="BQ112" i="5" s="1"/>
  <c r="BQ163" i="5" s="1"/>
  <c r="BR160" i="5" s="1"/>
  <c r="BP38" i="4"/>
  <c r="BP17" i="4" s="1"/>
  <c r="DG149" i="5"/>
  <c r="DG133" i="5" s="1"/>
  <c r="DG112" i="5" s="1"/>
  <c r="DG163" i="5" s="1"/>
  <c r="DH160" i="5" s="1"/>
  <c r="DF38" i="4"/>
  <c r="DF17" i="4" s="1"/>
  <c r="DC149" i="5"/>
  <c r="DC133" i="5" s="1"/>
  <c r="DC112" i="5" s="1"/>
  <c r="DC163" i="5" s="1"/>
  <c r="DD160" i="5" s="1"/>
  <c r="DB38" i="4"/>
  <c r="DB17" i="4" s="1"/>
  <c r="AC149" i="5"/>
  <c r="AC133" i="5" s="1"/>
  <c r="AC112" i="5" s="1"/>
  <c r="AC163" i="5" s="1"/>
  <c r="AD160" i="5" s="1"/>
  <c r="AB38" i="4"/>
  <c r="AB17" i="4" s="1"/>
  <c r="R180" i="4"/>
  <c r="S40" i="5" s="1"/>
  <c r="AH73" i="1"/>
  <c r="AD38" i="1"/>
  <c r="AE37" i="1"/>
  <c r="AE35" i="1"/>
  <c r="AE40" i="1"/>
  <c r="AD39" i="1"/>
  <c r="AD37" i="1"/>
  <c r="AE38" i="1"/>
  <c r="AE39" i="1"/>
  <c r="AE36" i="1"/>
  <c r="AD35" i="1"/>
  <c r="AD36" i="1"/>
  <c r="AD40" i="1"/>
  <c r="J64" i="10"/>
  <c r="H120" i="8"/>
  <c r="I117" i="8"/>
  <c r="U24" i="10"/>
  <c r="L26" i="10"/>
  <c r="N21" i="10"/>
  <c r="V25" i="10"/>
  <c r="V22" i="10"/>
  <c r="S21" i="10"/>
  <c r="V21" i="10"/>
  <c r="R24" i="10"/>
  <c r="R23" i="10"/>
  <c r="O21" i="10"/>
  <c r="V23" i="10"/>
  <c r="W24" i="10"/>
  <c r="V24" i="10"/>
  <c r="U23" i="10"/>
  <c r="N24" i="10"/>
  <c r="K21" i="10"/>
  <c r="T24" i="10"/>
  <c r="M21" i="10"/>
  <c r="W26" i="10"/>
  <c r="J22" i="10"/>
  <c r="K26" i="10"/>
  <c r="O24" i="10"/>
  <c r="T21" i="10"/>
  <c r="M24" i="10"/>
  <c r="U22" i="10"/>
  <c r="N23" i="10"/>
  <c r="Q22" i="10"/>
  <c r="O22" i="10"/>
  <c r="T22" i="10"/>
  <c r="P25" i="10"/>
  <c r="L21" i="10"/>
  <c r="L22" i="10"/>
  <c r="U21" i="10"/>
  <c r="N26" i="10"/>
  <c r="S23" i="10"/>
  <c r="Q25" i="10"/>
  <c r="O26" i="10"/>
  <c r="T26" i="10"/>
  <c r="P26" i="10"/>
  <c r="M26" i="10"/>
  <c r="W25" i="10"/>
  <c r="L25" i="10"/>
  <c r="U25" i="10"/>
  <c r="S24" i="10"/>
  <c r="K24" i="10"/>
  <c r="R21" i="10"/>
  <c r="Q23" i="10"/>
  <c r="P21" i="10"/>
  <c r="L23" i="10"/>
  <c r="M23" i="10"/>
  <c r="W21" i="10"/>
  <c r="V26" i="10"/>
  <c r="U26" i="10"/>
  <c r="S25" i="10"/>
  <c r="K25" i="10"/>
  <c r="R25" i="10"/>
  <c r="Q24" i="10"/>
  <c r="M25" i="10"/>
  <c r="J25" i="10"/>
  <c r="J26" i="10"/>
  <c r="W23" i="10"/>
  <c r="N22" i="10"/>
  <c r="S22" i="10"/>
  <c r="K23" i="10"/>
  <c r="R22" i="10"/>
  <c r="Q21" i="10"/>
  <c r="P22" i="10"/>
  <c r="O23" i="10"/>
  <c r="T25" i="10"/>
  <c r="P23" i="10"/>
  <c r="L24" i="10"/>
  <c r="J23" i="10"/>
  <c r="W22" i="10"/>
  <c r="N25" i="10"/>
  <c r="S26" i="10"/>
  <c r="K22" i="10"/>
  <c r="R26" i="10"/>
  <c r="Q26" i="10"/>
  <c r="O25" i="10"/>
  <c r="T23" i="10"/>
  <c r="P24" i="10"/>
  <c r="M22" i="10"/>
  <c r="J24" i="10"/>
  <c r="J21" i="10"/>
  <c r="V9" i="5"/>
  <c r="H69" i="1" s="1"/>
  <c r="K10" i="10"/>
  <c r="AC39" i="1"/>
  <c r="AA36" i="1"/>
  <c r="Z39" i="1"/>
  <c r="AC35" i="1"/>
  <c r="Z37" i="1"/>
  <c r="Y39" i="1"/>
  <c r="AC36" i="1"/>
  <c r="AB37" i="1"/>
  <c r="Z38" i="1"/>
  <c r="Y37" i="1"/>
  <c r="AA39" i="1"/>
  <c r="AB38" i="1"/>
  <c r="Y38" i="1"/>
  <c r="Y35" i="1"/>
  <c r="AA38" i="1"/>
  <c r="AB35" i="1"/>
  <c r="Y36" i="1"/>
  <c r="AA35" i="1"/>
  <c r="AB36" i="1"/>
  <c r="AA37" i="1"/>
  <c r="AC37" i="1"/>
  <c r="AB39" i="1"/>
  <c r="Z35" i="1"/>
  <c r="Z36" i="1"/>
  <c r="AC38" i="1"/>
  <c r="AF34" i="1"/>
  <c r="AG34" i="1"/>
  <c r="AH34" i="1"/>
  <c r="Z40" i="1"/>
  <c r="AA40" i="1"/>
  <c r="AB40" i="1"/>
  <c r="Y40" i="1"/>
  <c r="AC40" i="1"/>
  <c r="Q62" i="5"/>
  <c r="Q106" i="5"/>
  <c r="Q110" i="5"/>
  <c r="Q59" i="5"/>
  <c r="Q107" i="5"/>
  <c r="Q109" i="5"/>
  <c r="Q63" i="5"/>
  <c r="Q60" i="5"/>
  <c r="CK19" i="5"/>
  <c r="S19" i="5"/>
  <c r="AE31" i="1"/>
  <c r="AC32" i="1"/>
  <c r="V78" i="1" s="1"/>
  <c r="AD32" i="1"/>
  <c r="AE32" i="1"/>
  <c r="AD31" i="1"/>
  <c r="AB32" i="1"/>
  <c r="AB31" i="1"/>
  <c r="AC31" i="1"/>
  <c r="V77" i="1" s="1"/>
  <c r="T54" i="5"/>
  <c r="Z43" i="5"/>
  <c r="U56" i="5"/>
  <c r="AT50" i="5"/>
  <c r="Z45" i="5"/>
  <c r="AR58" i="5"/>
  <c r="Z31" i="1"/>
  <c r="Y32" i="1"/>
  <c r="Z42" i="5"/>
  <c r="T53" i="5"/>
  <c r="T55" i="5"/>
  <c r="Z44" i="5"/>
  <c r="AT49" i="5"/>
  <c r="BC57" i="5"/>
  <c r="AT51" i="5"/>
  <c r="T52" i="5"/>
  <c r="K9" i="9"/>
  <c r="Z32" i="1"/>
  <c r="K9" i="8"/>
  <c r="AA31" i="1"/>
  <c r="AA32" i="1"/>
  <c r="Y31" i="1"/>
  <c r="BZ66" i="5"/>
  <c r="AD66" i="5"/>
  <c r="CT66" i="5"/>
  <c r="BW66" i="5"/>
  <c r="BU19" i="5"/>
  <c r="BW19" i="5"/>
  <c r="BG66" i="5"/>
  <c r="BB19" i="5"/>
  <c r="CE19" i="5"/>
  <c r="DC19" i="5"/>
  <c r="CB66" i="5"/>
  <c r="Q175" i="5"/>
  <c r="Q170" i="5"/>
  <c r="DC66" i="5"/>
  <c r="W66" i="5"/>
  <c r="AN66" i="5"/>
  <c r="AH66" i="5"/>
  <c r="AB19" i="5"/>
  <c r="AY19" i="5"/>
  <c r="BK66" i="5"/>
  <c r="BH66" i="5"/>
  <c r="CR19" i="5"/>
  <c r="CD66" i="5"/>
  <c r="DG66" i="5"/>
  <c r="BS66" i="5"/>
  <c r="CS19" i="5"/>
  <c r="BN19" i="5"/>
  <c r="CI66" i="5"/>
  <c r="Y66" i="5"/>
  <c r="BF19" i="5"/>
  <c r="AU66" i="5"/>
  <c r="CL19" i="5"/>
  <c r="F40" i="7"/>
  <c r="F35" i="7"/>
  <c r="F25" i="7"/>
  <c r="F30" i="7"/>
  <c r="F45" i="7"/>
  <c r="F20" i="7"/>
  <c r="Q36" i="5"/>
  <c r="Q84" i="5"/>
  <c r="Q21" i="5"/>
  <c r="Q24" i="5"/>
  <c r="Q67" i="5"/>
  <c r="Q80" i="5"/>
  <c r="Q82" i="5"/>
  <c r="Q81" i="5"/>
  <c r="Q38" i="5"/>
  <c r="Q75" i="5"/>
  <c r="AA66" i="5"/>
  <c r="Q26" i="5"/>
  <c r="Q23" i="5"/>
  <c r="Q76" i="5"/>
  <c r="Q72" i="5"/>
  <c r="Q78" i="5"/>
  <c r="Q70" i="5"/>
  <c r="Q20" i="5"/>
  <c r="Q25" i="5"/>
  <c r="Q77" i="5"/>
  <c r="Q31" i="5"/>
  <c r="Q73" i="5"/>
  <c r="Q30" i="5"/>
  <c r="Q34" i="5"/>
  <c r="Q68" i="5"/>
  <c r="Q83" i="5"/>
  <c r="Q27" i="5"/>
  <c r="Q22" i="5"/>
  <c r="Q28" i="5"/>
  <c r="Q85" i="5"/>
  <c r="Q29" i="5"/>
  <c r="Q33" i="5"/>
  <c r="Q74" i="5"/>
  <c r="Q69" i="5"/>
  <c r="AJ66" i="5"/>
  <c r="Q35" i="5"/>
  <c r="Q32" i="5"/>
  <c r="Q71" i="5"/>
  <c r="Q37" i="5"/>
  <c r="Q79" i="5"/>
  <c r="AZ57" i="5"/>
  <c r="BK103" i="5"/>
  <c r="CB19" i="5"/>
  <c r="BM19" i="5"/>
  <c r="BV19" i="5"/>
  <c r="CR66" i="5"/>
  <c r="AK66" i="5"/>
  <c r="BG19" i="5"/>
  <c r="AF66" i="5"/>
  <c r="W19" i="5"/>
  <c r="DL19" i="5"/>
  <c r="BO19" i="5"/>
  <c r="AU95" i="5"/>
  <c r="AI66" i="5"/>
  <c r="AY66" i="5"/>
  <c r="CV19" i="5"/>
  <c r="BQ19" i="5"/>
  <c r="AU19" i="5"/>
  <c r="DA19" i="5"/>
  <c r="DK66" i="5"/>
  <c r="BR66" i="5"/>
  <c r="CQ19" i="5"/>
  <c r="DL66" i="5"/>
  <c r="CE66" i="5"/>
  <c r="CX66" i="5"/>
  <c r="AO19" i="5"/>
  <c r="BP66" i="5"/>
  <c r="CO66" i="5"/>
  <c r="AC19" i="5"/>
  <c r="CN19" i="5"/>
  <c r="AF19" i="5"/>
  <c r="DH66" i="5"/>
  <c r="AP19" i="5"/>
  <c r="CF66" i="5"/>
  <c r="AB66" i="5"/>
  <c r="CU19" i="5"/>
  <c r="CI19" i="5"/>
  <c r="AE66" i="5"/>
  <c r="CH19" i="5"/>
  <c r="BD66" i="5"/>
  <c r="AQ66" i="5"/>
  <c r="BI19" i="5"/>
  <c r="DI19" i="5"/>
  <c r="CA19" i="5"/>
  <c r="S100" i="5"/>
  <c r="BD19" i="5"/>
  <c r="BO51" i="5"/>
  <c r="AW66" i="5"/>
  <c r="CD19" i="5"/>
  <c r="X102" i="5"/>
  <c r="BS40" i="5"/>
  <c r="AV46" i="5"/>
  <c r="S50" i="5"/>
  <c r="DK46" i="5"/>
  <c r="BT66" i="5"/>
  <c r="CU66" i="5"/>
  <c r="DJ98" i="5"/>
  <c r="CX43" i="5"/>
  <c r="CN96" i="5"/>
  <c r="X47" i="5"/>
  <c r="BH51" i="5"/>
  <c r="AY42" i="5"/>
  <c r="CQ47" i="5"/>
  <c r="CS90" i="5"/>
  <c r="BG96" i="5"/>
  <c r="AC94" i="5"/>
  <c r="DA41" i="5"/>
  <c r="CN46" i="5"/>
  <c r="BX100" i="5"/>
  <c r="AS88" i="5"/>
  <c r="AO43" i="5"/>
  <c r="AE89" i="5"/>
  <c r="CK49" i="5"/>
  <c r="S91" i="5"/>
  <c r="AB87" i="5"/>
  <c r="Y100" i="5"/>
  <c r="AG96" i="5"/>
  <c r="BJ53" i="5"/>
  <c r="CE102" i="5"/>
  <c r="U55" i="5"/>
  <c r="BO99" i="5"/>
  <c r="U47" i="5"/>
  <c r="U66" i="5"/>
  <c r="BY50" i="5"/>
  <c r="CG88" i="5"/>
  <c r="AF92" i="5"/>
  <c r="AE103" i="5"/>
  <c r="BY90" i="5"/>
  <c r="BV48" i="5"/>
  <c r="AA102" i="5"/>
  <c r="BL95" i="5"/>
  <c r="AX51" i="5"/>
  <c r="BL54" i="5"/>
  <c r="DJ102" i="5"/>
  <c r="BZ98" i="5"/>
  <c r="DB55" i="5"/>
  <c r="BI43" i="5"/>
  <c r="BX98" i="5"/>
  <c r="AX96" i="5"/>
  <c r="CM66" i="5"/>
  <c r="BT44" i="5"/>
  <c r="DE41" i="5"/>
  <c r="BY51" i="5"/>
  <c r="DJ95" i="5"/>
  <c r="T95" i="5"/>
  <c r="BG105" i="5"/>
  <c r="AV89" i="5"/>
  <c r="X97" i="5"/>
  <c r="CQ96" i="5"/>
  <c r="BG50" i="5"/>
  <c r="AS96" i="5"/>
  <c r="AS100" i="5"/>
  <c r="CX47" i="5"/>
  <c r="AE101" i="5"/>
  <c r="AD87" i="5"/>
  <c r="AT103" i="5"/>
  <c r="DE96" i="5"/>
  <c r="BR48" i="5"/>
  <c r="AB101" i="5"/>
  <c r="BO56" i="5"/>
  <c r="AP94" i="5"/>
  <c r="BD95" i="5"/>
  <c r="DH87" i="5"/>
  <c r="CN103" i="5"/>
  <c r="AY44" i="5"/>
  <c r="BS101" i="5"/>
  <c r="BD100" i="5"/>
  <c r="CT48" i="5"/>
  <c r="CG43" i="5"/>
  <c r="DL88" i="5"/>
  <c r="Y93" i="5"/>
  <c r="BU51" i="5"/>
  <c r="BZ44" i="5"/>
  <c r="BA40" i="5"/>
  <c r="DG91" i="5"/>
  <c r="CI101" i="5"/>
  <c r="CE53" i="5"/>
  <c r="DG47" i="5"/>
  <c r="AB97" i="5"/>
  <c r="CZ96" i="5"/>
  <c r="BO66" i="5"/>
  <c r="DM51" i="5"/>
  <c r="CN66" i="5"/>
  <c r="AD93" i="5"/>
  <c r="BQ57" i="5"/>
  <c r="AA94" i="5"/>
  <c r="AL97" i="5"/>
  <c r="BA53" i="5"/>
  <c r="DM48" i="5"/>
  <c r="DE54" i="5"/>
  <c r="BC44" i="5"/>
  <c r="CU101" i="5"/>
  <c r="X104" i="5"/>
  <c r="BE49" i="5"/>
  <c r="CG91" i="5"/>
  <c r="CD58" i="5"/>
  <c r="BU97" i="5"/>
  <c r="V105" i="5"/>
  <c r="AA88" i="5"/>
  <c r="BH47" i="5"/>
  <c r="CX93" i="5"/>
  <c r="AR46" i="5"/>
  <c r="CI91" i="5"/>
  <c r="CO87" i="5"/>
  <c r="S55" i="5"/>
  <c r="DG51" i="5"/>
  <c r="BU91" i="5"/>
  <c r="BN57" i="5"/>
  <c r="AD45" i="5"/>
  <c r="AQ95" i="5"/>
  <c r="BT99" i="5"/>
  <c r="U101" i="5"/>
  <c r="CC92" i="5"/>
  <c r="AN42" i="5"/>
  <c r="AN94" i="5"/>
  <c r="AO94" i="5"/>
  <c r="DA94" i="5"/>
  <c r="BP93" i="5"/>
  <c r="BV102" i="5"/>
  <c r="U88" i="5"/>
  <c r="AE92" i="5"/>
  <c r="DH19" i="5"/>
  <c r="BB45" i="5"/>
  <c r="AU87" i="5"/>
  <c r="BV57" i="5"/>
  <c r="AB102" i="5"/>
  <c r="AL87" i="5"/>
  <c r="BJ101" i="5"/>
  <c r="DB89" i="5"/>
  <c r="Y55" i="5"/>
  <c r="CH56" i="5"/>
  <c r="DA102" i="5"/>
  <c r="AC46" i="5"/>
  <c r="BI40" i="5"/>
  <c r="BE105" i="5"/>
  <c r="DE48" i="5"/>
  <c r="CB53" i="5"/>
  <c r="BL100" i="5"/>
  <c r="DF49" i="5"/>
  <c r="DF94" i="5"/>
  <c r="AL49" i="5"/>
  <c r="DG103" i="5"/>
  <c r="AM19" i="5"/>
  <c r="DK19" i="5"/>
  <c r="AD99" i="5"/>
  <c r="CN90" i="5"/>
  <c r="CD40" i="5"/>
  <c r="CV91" i="5"/>
  <c r="AH94" i="5"/>
  <c r="CR42" i="5"/>
  <c r="AI57" i="5"/>
  <c r="AD19" i="5"/>
  <c r="BZ102" i="5"/>
  <c r="CV66" i="5"/>
  <c r="BW98" i="5"/>
  <c r="AH96" i="5"/>
  <c r="CN41" i="5"/>
  <c r="AP92" i="5"/>
  <c r="BO55" i="5"/>
  <c r="AN43" i="5"/>
  <c r="AX47" i="5"/>
  <c r="CC100" i="5"/>
  <c r="AJ58" i="5"/>
  <c r="BB100" i="5"/>
  <c r="DL91" i="5"/>
  <c r="AR97" i="5"/>
  <c r="BA91" i="5"/>
  <c r="BW93" i="5"/>
  <c r="BP96" i="5"/>
  <c r="AQ87" i="5"/>
  <c r="DL51" i="5"/>
  <c r="CI51" i="5"/>
  <c r="AE51" i="5"/>
  <c r="BR43" i="5"/>
  <c r="CA57" i="5"/>
  <c r="BB101" i="5"/>
  <c r="Y50" i="5"/>
  <c r="DI57" i="5"/>
  <c r="BO95" i="5"/>
  <c r="CC95" i="5"/>
  <c r="BM44" i="5"/>
  <c r="CI97" i="5"/>
  <c r="DG52" i="5"/>
  <c r="AU105" i="5"/>
  <c r="AM88" i="5"/>
  <c r="CG50" i="5"/>
  <c r="DC46" i="5"/>
  <c r="BE90" i="5"/>
  <c r="U89" i="5"/>
  <c r="BL42" i="5"/>
  <c r="AG95" i="5"/>
  <c r="CL54" i="5"/>
  <c r="AJ87" i="5"/>
  <c r="AK55" i="5"/>
  <c r="BH103" i="5"/>
  <c r="BD58" i="5"/>
  <c r="DE93" i="5"/>
  <c r="BZ41" i="5"/>
  <c r="CA94" i="5"/>
  <c r="BL103" i="5"/>
  <c r="W101" i="5"/>
  <c r="DM92" i="5"/>
  <c r="CX104" i="5"/>
  <c r="AT88" i="5"/>
  <c r="CY88" i="5"/>
  <c r="AW103" i="5"/>
  <c r="DC40" i="5"/>
  <c r="BT46" i="5"/>
  <c r="BY40" i="5"/>
  <c r="CY42" i="5"/>
  <c r="DI96" i="5"/>
  <c r="CQ53" i="5"/>
  <c r="AR56" i="5"/>
  <c r="AY47" i="5"/>
  <c r="CJ55" i="5"/>
  <c r="AV87" i="5"/>
  <c r="AI98" i="5"/>
  <c r="BA97" i="5"/>
  <c r="AU45" i="5"/>
  <c r="CL50" i="5"/>
  <c r="AY104" i="5"/>
  <c r="DK41" i="5"/>
  <c r="CC89" i="5"/>
  <c r="BB41" i="5"/>
  <c r="DK95" i="5"/>
  <c r="V19" i="5"/>
  <c r="CJ104" i="5"/>
  <c r="BG56" i="5"/>
  <c r="DK45" i="5"/>
  <c r="BN95" i="5"/>
  <c r="BE100" i="5"/>
  <c r="DL93" i="5"/>
  <c r="BC40" i="5"/>
  <c r="AE99" i="5"/>
  <c r="BF93" i="5"/>
  <c r="AE55" i="5"/>
  <c r="AN41" i="5"/>
  <c r="BN49" i="5"/>
  <c r="DE50" i="5"/>
  <c r="AA91" i="5"/>
  <c r="BT40" i="5"/>
  <c r="AZ47" i="5"/>
  <c r="AK47" i="5"/>
  <c r="S52" i="5"/>
  <c r="AU96" i="5"/>
  <c r="AN102" i="5"/>
  <c r="AW50" i="5"/>
  <c r="AQ49" i="5"/>
  <c r="DK105" i="5"/>
  <c r="AI91" i="5"/>
  <c r="CM98" i="5"/>
  <c r="BI49" i="5"/>
  <c r="BF99" i="5"/>
  <c r="CA45" i="5"/>
  <c r="CE42" i="5"/>
  <c r="BA46" i="5"/>
  <c r="Z88" i="5"/>
  <c r="AX55" i="5"/>
  <c r="AZ43" i="5"/>
  <c r="AP52" i="5"/>
  <c r="BW48" i="5"/>
  <c r="AZ46" i="5"/>
  <c r="BE101" i="5"/>
  <c r="AL44" i="5"/>
  <c r="BN40" i="5"/>
  <c r="BH92" i="5"/>
  <c r="BE95" i="5"/>
  <c r="AG89" i="5"/>
  <c r="BQ105" i="5"/>
  <c r="AT44" i="5"/>
  <c r="BP47" i="5"/>
  <c r="BS52" i="5"/>
  <c r="S94" i="5"/>
  <c r="CT43" i="5"/>
  <c r="AM100" i="5"/>
  <c r="DL92" i="5"/>
  <c r="X98" i="5"/>
  <c r="V95" i="5"/>
  <c r="S51" i="5"/>
  <c r="BX88" i="5"/>
  <c r="BU56" i="5"/>
  <c r="DM94" i="5"/>
  <c r="AZ102" i="5"/>
  <c r="CI49" i="5"/>
  <c r="DH47" i="5"/>
  <c r="CN42" i="5"/>
  <c r="AY99" i="5"/>
  <c r="BD42" i="5"/>
  <c r="W55" i="5"/>
  <c r="BP56" i="5"/>
  <c r="CR44" i="5"/>
  <c r="CQ51" i="5"/>
  <c r="AN51" i="5"/>
  <c r="BE91" i="5"/>
  <c r="CZ40" i="5"/>
  <c r="DJ94" i="5"/>
  <c r="CU53" i="5"/>
  <c r="AN96" i="5"/>
  <c r="CK99" i="5"/>
  <c r="CN94" i="5"/>
  <c r="AR99" i="5"/>
  <c r="CJ99" i="5"/>
  <c r="BY45" i="5"/>
  <c r="CP57" i="5"/>
  <c r="BW94" i="5"/>
  <c r="BM50" i="5"/>
  <c r="AT46" i="5"/>
  <c r="AH41" i="5"/>
  <c r="BY95" i="5"/>
  <c r="BH54" i="5"/>
  <c r="DD94" i="5"/>
  <c r="BX57" i="5"/>
  <c r="AU100" i="5"/>
  <c r="CP94" i="5"/>
  <c r="AO99" i="5"/>
  <c r="V87" i="5"/>
  <c r="AC57" i="5"/>
  <c r="Z94" i="5"/>
  <c r="AA96" i="5"/>
  <c r="AV90" i="5"/>
  <c r="DJ99" i="5"/>
  <c r="BZ47" i="5"/>
  <c r="Y98" i="5"/>
  <c r="DF92" i="5"/>
  <c r="AG45" i="5"/>
  <c r="AH58" i="5"/>
  <c r="AG99" i="5"/>
  <c r="BI66" i="5"/>
  <c r="AU91" i="5"/>
  <c r="AN92" i="5"/>
  <c r="BX46" i="5"/>
  <c r="DF101" i="5"/>
  <c r="BS96" i="5"/>
  <c r="BP98" i="5"/>
  <c r="BB55" i="5"/>
  <c r="AW96" i="5"/>
  <c r="AY54" i="5"/>
  <c r="BU41" i="5"/>
  <c r="AM102" i="5"/>
  <c r="X88" i="5"/>
  <c r="AQ101" i="5"/>
  <c r="BZ99" i="5"/>
  <c r="CZ88" i="5"/>
  <c r="CG95" i="5"/>
  <c r="BF42" i="5"/>
  <c r="CW46" i="5"/>
  <c r="AJ46" i="5"/>
  <c r="AI42" i="5"/>
  <c r="DD99" i="5"/>
  <c r="AA90" i="5"/>
  <c r="AV101" i="5"/>
  <c r="DK98" i="5"/>
  <c r="CE104" i="5"/>
  <c r="DJ104" i="5"/>
  <c r="AI93" i="5"/>
  <c r="S105" i="5"/>
  <c r="CI53" i="5"/>
  <c r="CI52" i="5"/>
  <c r="AC42" i="5"/>
  <c r="AN87" i="5"/>
  <c r="AM66" i="5"/>
  <c r="BM99" i="5"/>
  <c r="BH40" i="5"/>
  <c r="AS50" i="5"/>
  <c r="BF100" i="5"/>
  <c r="DD105" i="5"/>
  <c r="CT46" i="5"/>
  <c r="BO47" i="5"/>
  <c r="DB49" i="5"/>
  <c r="BZ97" i="5"/>
  <c r="CL58" i="5"/>
  <c r="AP104" i="5"/>
  <c r="BD54" i="5"/>
  <c r="AB90" i="5"/>
  <c r="AZ66" i="5"/>
  <c r="Z66" i="5"/>
  <c r="CX99" i="5"/>
  <c r="AX41" i="5"/>
  <c r="AV55" i="5"/>
  <c r="T103" i="5"/>
  <c r="AH50" i="5"/>
  <c r="CH66" i="5"/>
  <c r="BI92" i="5"/>
  <c r="AI47" i="5"/>
  <c r="AM98" i="5"/>
  <c r="CQ58" i="5"/>
  <c r="AO40" i="5"/>
  <c r="CN40" i="5"/>
  <c r="BB93" i="5"/>
  <c r="BE51" i="5"/>
  <c r="AH101" i="5"/>
  <c r="DA90" i="5"/>
  <c r="BZ92" i="5"/>
  <c r="BA96" i="5"/>
  <c r="DB53" i="5"/>
  <c r="CZ103" i="5"/>
  <c r="BR41" i="5"/>
  <c r="AJ100" i="5"/>
  <c r="BG43" i="5"/>
  <c r="CF88" i="5"/>
  <c r="BC94" i="5"/>
  <c r="BO96" i="5"/>
  <c r="AK53" i="5"/>
  <c r="T88" i="5"/>
  <c r="DG104" i="5"/>
  <c r="CK45" i="5"/>
  <c r="CF48" i="5"/>
  <c r="BL47" i="5"/>
  <c r="CR94" i="5"/>
  <c r="DM57" i="5"/>
  <c r="BJ94" i="5"/>
  <c r="AR19" i="5"/>
  <c r="CO56" i="5"/>
  <c r="W94" i="5"/>
  <c r="CJ91" i="5"/>
  <c r="DG95" i="5"/>
  <c r="CJ54" i="5"/>
  <c r="CU48" i="5"/>
  <c r="CA87" i="5"/>
  <c r="CM45" i="5"/>
  <c r="BV42" i="5"/>
  <c r="BV91" i="5"/>
  <c r="CD99" i="5"/>
  <c r="CS91" i="5"/>
  <c r="AJ47" i="5"/>
  <c r="CB101" i="5"/>
  <c r="DA93" i="5"/>
  <c r="DI105" i="5"/>
  <c r="BI93" i="5"/>
  <c r="CU52" i="5"/>
  <c r="DK56" i="5"/>
  <c r="AR96" i="5"/>
  <c r="CM100" i="5"/>
  <c r="BX58" i="5"/>
  <c r="AJ41" i="5"/>
  <c r="CV102" i="5"/>
  <c r="AH43" i="5"/>
  <c r="BQ41" i="5"/>
  <c r="BQ98" i="5"/>
  <c r="AW90" i="5"/>
  <c r="BF58" i="5"/>
  <c r="AV98" i="5"/>
  <c r="CR41" i="5"/>
  <c r="AS99" i="5"/>
  <c r="DE47" i="5"/>
  <c r="BI52" i="5"/>
  <c r="Z54" i="5"/>
  <c r="AK40" i="5"/>
  <c r="DG55" i="5"/>
  <c r="CS50" i="5"/>
  <c r="AP49" i="5"/>
  <c r="BG99" i="5"/>
  <c r="AJ95" i="5"/>
  <c r="CY93" i="5"/>
  <c r="AQ53" i="5"/>
  <c r="CR92" i="5"/>
  <c r="Y48" i="5"/>
  <c r="AX58" i="5"/>
  <c r="AH40" i="5"/>
  <c r="DA103" i="5"/>
  <c r="BI58" i="5"/>
  <c r="BI105" i="5"/>
  <c r="DC98" i="5"/>
  <c r="DC51" i="5"/>
  <c r="Y42" i="5"/>
  <c r="BG47" i="5"/>
  <c r="BD56" i="5"/>
  <c r="BK40" i="5"/>
  <c r="DH43" i="5"/>
  <c r="X93" i="5"/>
  <c r="AP101" i="5"/>
  <c r="CI47" i="5"/>
  <c r="CB99" i="5"/>
  <c r="BY52" i="5"/>
  <c r="CW96" i="5"/>
  <c r="CK102" i="5"/>
  <c r="AP90" i="5"/>
  <c r="DA52" i="5"/>
  <c r="CC87" i="5"/>
  <c r="DI48" i="5"/>
  <c r="AU102" i="5"/>
  <c r="BL102" i="5"/>
  <c r="AO104" i="5"/>
  <c r="AI100" i="5"/>
  <c r="CM99" i="5"/>
  <c r="X53" i="5"/>
  <c r="V53" i="5"/>
  <c r="BC98" i="5"/>
  <c r="BZ89" i="5"/>
  <c r="AE93" i="5"/>
  <c r="T47" i="5"/>
  <c r="AQ44" i="5"/>
  <c r="Z40" i="5"/>
  <c r="CL46" i="5"/>
  <c r="DF104" i="5"/>
  <c r="CG92" i="5"/>
  <c r="BS94" i="5"/>
  <c r="BL57" i="5"/>
  <c r="BQ103" i="5"/>
  <c r="BU92" i="5"/>
  <c r="BU45" i="5"/>
  <c r="AK57" i="5"/>
  <c r="CA53" i="5"/>
  <c r="CV89" i="5"/>
  <c r="DC41" i="5"/>
  <c r="BD97" i="5"/>
  <c r="BD50" i="5"/>
  <c r="BH46" i="5"/>
  <c r="BH93" i="5"/>
  <c r="BI89" i="5"/>
  <c r="BI42" i="5"/>
  <c r="CX41" i="5"/>
  <c r="CX88" i="5"/>
  <c r="DE44" i="5"/>
  <c r="W49" i="5"/>
  <c r="W96" i="5"/>
  <c r="AF96" i="5"/>
  <c r="BS55" i="5"/>
  <c r="CM42" i="5"/>
  <c r="BH41" i="5"/>
  <c r="CW47" i="5"/>
  <c r="V44" i="5"/>
  <c r="CH93" i="5"/>
  <c r="CZ54" i="5"/>
  <c r="AQ89" i="5"/>
  <c r="CS46" i="5"/>
  <c r="BB42" i="5"/>
  <c r="AB104" i="5"/>
  <c r="DF53" i="5"/>
  <c r="CT100" i="5"/>
  <c r="AK41" i="5"/>
  <c r="BR49" i="5"/>
  <c r="BV90" i="5"/>
  <c r="BQ50" i="5"/>
  <c r="BN52" i="5"/>
  <c r="BP91" i="5"/>
  <c r="CT96" i="5"/>
  <c r="S104" i="5"/>
  <c r="W44" i="5"/>
  <c r="Z52" i="5"/>
  <c r="BJ97" i="5"/>
  <c r="CT40" i="5"/>
  <c r="DF95" i="5"/>
  <c r="BM95" i="5"/>
  <c r="BF43" i="5"/>
  <c r="BF90" i="5"/>
  <c r="BV92" i="5"/>
  <c r="AM42" i="5"/>
  <c r="BE52" i="5"/>
  <c r="AK54" i="5"/>
  <c r="AW57" i="5"/>
  <c r="AW104" i="5"/>
  <c r="AY43" i="5"/>
  <c r="CQ92" i="5"/>
  <c r="CQ45" i="5"/>
  <c r="AF95" i="5"/>
  <c r="AF48" i="5"/>
  <c r="AE90" i="5"/>
  <c r="AE43" i="5"/>
  <c r="DM97" i="5"/>
  <c r="BK46" i="5"/>
  <c r="CC97" i="5"/>
  <c r="BR40" i="5"/>
  <c r="AU42" i="5"/>
  <c r="CB89" i="5"/>
  <c r="U44" i="5"/>
  <c r="DM88" i="5"/>
  <c r="DM41" i="5"/>
  <c r="AX95" i="5"/>
  <c r="AX48" i="5"/>
  <c r="AH53" i="5"/>
  <c r="DD93" i="5"/>
  <c r="CZ55" i="5"/>
  <c r="CE101" i="5"/>
  <c r="BC55" i="5"/>
  <c r="CJ92" i="5"/>
  <c r="CP53" i="5"/>
  <c r="BI100" i="5"/>
  <c r="CM91" i="5"/>
  <c r="CY55" i="5"/>
  <c r="BP95" i="5"/>
  <c r="CG94" i="5"/>
  <c r="DA66" i="5"/>
  <c r="AK19" i="5"/>
  <c r="Z19" i="5"/>
  <c r="CL66" i="5"/>
  <c r="DB19" i="5"/>
  <c r="AJ101" i="5"/>
  <c r="BR98" i="5"/>
  <c r="BW56" i="5"/>
  <c r="W46" i="5"/>
  <c r="CF93" i="5"/>
  <c r="DJ42" i="5"/>
  <c r="Z98" i="5"/>
  <c r="AI48" i="5"/>
  <c r="X43" i="5"/>
  <c r="CO55" i="5"/>
  <c r="DJ97" i="5"/>
  <c r="CT57" i="5"/>
  <c r="CP44" i="5"/>
  <c r="BY93" i="5"/>
  <c r="BA51" i="5"/>
  <c r="DM52" i="5"/>
  <c r="AE49" i="5"/>
  <c r="BR102" i="5"/>
  <c r="AH99" i="5"/>
  <c r="BS42" i="5"/>
  <c r="W45" i="5"/>
  <c r="CX51" i="5"/>
  <c r="AG56" i="5"/>
  <c r="BQ99" i="5"/>
  <c r="V90" i="5"/>
  <c r="CP54" i="5"/>
  <c r="AJ55" i="5"/>
  <c r="DF50" i="5"/>
  <c r="CI104" i="5"/>
  <c r="CP49" i="5"/>
  <c r="CD42" i="5"/>
  <c r="U96" i="5"/>
  <c r="S95" i="5"/>
  <c r="AS102" i="5"/>
  <c r="CY104" i="5"/>
  <c r="CY57" i="5"/>
  <c r="AW99" i="5"/>
  <c r="AW52" i="5"/>
  <c r="AZ48" i="5"/>
  <c r="AZ95" i="5"/>
  <c r="U51" i="5"/>
  <c r="CK43" i="5"/>
  <c r="BD43" i="5"/>
  <c r="BT58" i="5"/>
  <c r="CB90" i="5"/>
  <c r="DI43" i="5"/>
  <c r="BM55" i="5"/>
  <c r="BM102" i="5"/>
  <c r="CZ105" i="5"/>
  <c r="CZ58" i="5"/>
  <c r="BS103" i="5"/>
  <c r="BS56" i="5"/>
  <c r="CP102" i="5"/>
  <c r="CN44" i="5"/>
  <c r="CN91" i="5"/>
  <c r="CU97" i="5"/>
  <c r="AV19" i="5"/>
  <c r="AU88" i="5"/>
  <c r="CY101" i="5"/>
  <c r="Z105" i="5"/>
  <c r="CH92" i="5"/>
  <c r="AB100" i="5"/>
  <c r="CZ104" i="5"/>
  <c r="V88" i="5"/>
  <c r="AC101" i="5"/>
  <c r="AU101" i="5"/>
  <c r="S45" i="5"/>
  <c r="DK97" i="5"/>
  <c r="AP95" i="5"/>
  <c r="BV54" i="5"/>
  <c r="W105" i="5"/>
  <c r="BN55" i="5"/>
  <c r="CI90" i="5"/>
  <c r="BU102" i="5"/>
  <c r="CD94" i="5"/>
  <c r="AC103" i="5"/>
  <c r="CX45" i="5"/>
  <c r="CR96" i="5"/>
  <c r="Z102" i="5"/>
  <c r="BY42" i="5"/>
  <c r="DM96" i="5"/>
  <c r="DL89" i="5"/>
  <c r="AD102" i="5"/>
  <c r="BL44" i="5"/>
  <c r="AI87" i="5"/>
  <c r="CZ91" i="5"/>
  <c r="T46" i="5"/>
  <c r="AY88" i="5"/>
  <c r="AD96" i="5"/>
  <c r="CN95" i="5"/>
  <c r="CL87" i="5"/>
  <c r="CH49" i="5"/>
  <c r="X48" i="5"/>
  <c r="CE44" i="5"/>
  <c r="CD100" i="5"/>
  <c r="AO44" i="5"/>
  <c r="BZ95" i="5"/>
  <c r="CH99" i="5"/>
  <c r="BT88" i="5"/>
  <c r="AW93" i="5"/>
  <c r="AP55" i="5"/>
  <c r="CA50" i="5"/>
  <c r="CI92" i="5"/>
  <c r="BL45" i="5"/>
  <c r="AO95" i="5"/>
  <c r="CK104" i="5"/>
  <c r="CF45" i="5"/>
  <c r="BL19" i="5"/>
  <c r="AG50" i="5"/>
  <c r="AY87" i="5"/>
  <c r="CU57" i="5"/>
  <c r="V103" i="5"/>
  <c r="AL54" i="5"/>
  <c r="CQ55" i="5"/>
  <c r="AI55" i="5"/>
  <c r="CU103" i="5"/>
  <c r="DL52" i="5"/>
  <c r="DA49" i="5"/>
  <c r="X49" i="5"/>
  <c r="CY40" i="5"/>
  <c r="BB103" i="5"/>
  <c r="DG101" i="5"/>
  <c r="CZ93" i="5"/>
  <c r="AS48" i="5"/>
  <c r="V47" i="5"/>
  <c r="AN56" i="5"/>
  <c r="BG101" i="5"/>
  <c r="CC54" i="5"/>
  <c r="AM45" i="5"/>
  <c r="AV53" i="5"/>
  <c r="AI97" i="5"/>
  <c r="AM58" i="5"/>
  <c r="AD95" i="5"/>
  <c r="BZ100" i="5"/>
  <c r="DD96" i="5"/>
  <c r="T57" i="5"/>
  <c r="DH88" i="5"/>
  <c r="AB47" i="5"/>
  <c r="AH89" i="5"/>
  <c r="AF93" i="5"/>
  <c r="CA88" i="5"/>
  <c r="CM55" i="5"/>
  <c r="CO90" i="5"/>
  <c r="CH54" i="5"/>
  <c r="CN105" i="5"/>
  <c r="AP105" i="5"/>
  <c r="BM58" i="5"/>
  <c r="DC45" i="5"/>
  <c r="AN100" i="5"/>
  <c r="CO99" i="5"/>
  <c r="BH96" i="5"/>
  <c r="X105" i="5"/>
  <c r="CJ88" i="5"/>
  <c r="CY97" i="5"/>
  <c r="Y19" i="5"/>
  <c r="CU91" i="5"/>
  <c r="BP45" i="5"/>
  <c r="AP98" i="5"/>
  <c r="AL43" i="5"/>
  <c r="AD98" i="5"/>
  <c r="BV93" i="5"/>
  <c r="AF51" i="5"/>
  <c r="BD47" i="5"/>
  <c r="BA105" i="5"/>
  <c r="BO87" i="5"/>
  <c r="AJ45" i="5"/>
  <c r="CF103" i="5"/>
  <c r="CK88" i="5"/>
  <c r="BE56" i="5"/>
  <c r="BE47" i="5"/>
  <c r="AI101" i="5"/>
  <c r="AZ87" i="5"/>
  <c r="CP92" i="5"/>
  <c r="BC93" i="5"/>
  <c r="BW45" i="5"/>
  <c r="BY96" i="5"/>
  <c r="BI103" i="5"/>
  <c r="AY102" i="5"/>
  <c r="BJ42" i="5"/>
  <c r="AO96" i="5"/>
  <c r="AQ93" i="5"/>
  <c r="CE94" i="5"/>
  <c r="AF105" i="5"/>
  <c r="CB55" i="5"/>
  <c r="U87" i="5"/>
  <c r="BR99" i="5"/>
  <c r="AS58" i="5"/>
  <c r="DD40" i="5"/>
  <c r="DK44" i="5"/>
  <c r="DM100" i="5"/>
  <c r="Y94" i="5"/>
  <c r="V51" i="5"/>
  <c r="AE95" i="5"/>
  <c r="AA48" i="5"/>
  <c r="BU42" i="5"/>
  <c r="BL52" i="5"/>
  <c r="BU93" i="5"/>
  <c r="BK51" i="5"/>
  <c r="U99" i="5"/>
  <c r="CD43" i="5"/>
  <c r="CP97" i="5"/>
  <c r="AZ53" i="5"/>
  <c r="DA87" i="5"/>
  <c r="BX45" i="5"/>
  <c r="AS93" i="5"/>
  <c r="AU51" i="5"/>
  <c r="BV52" i="5"/>
  <c r="CS99" i="5"/>
  <c r="AD88" i="5"/>
  <c r="DE52" i="5"/>
  <c r="BC92" i="5"/>
  <c r="CG42" i="5"/>
  <c r="CE93" i="5"/>
  <c r="BW42" i="5"/>
  <c r="BX47" i="5"/>
  <c r="BB99" i="5"/>
  <c r="AE88" i="5"/>
  <c r="CE45" i="5"/>
  <c r="BH57" i="5"/>
  <c r="T58" i="5"/>
  <c r="BF66" i="5"/>
  <c r="BC54" i="5"/>
  <c r="DC54" i="5"/>
  <c r="CM43" i="5"/>
  <c r="AH44" i="5"/>
  <c r="BS91" i="5"/>
  <c r="CE49" i="5"/>
  <c r="DH44" i="5"/>
  <c r="AB89" i="5"/>
  <c r="CZ50" i="5"/>
  <c r="BQ42" i="5"/>
  <c r="BA90" i="5"/>
  <c r="CC103" i="5"/>
  <c r="BZ57" i="5"/>
  <c r="BK91" i="5"/>
  <c r="BO91" i="5"/>
  <c r="AV56" i="5"/>
  <c r="AG91" i="5"/>
  <c r="CI103" i="5"/>
  <c r="CF104" i="5"/>
  <c r="BR94" i="5"/>
  <c r="Y52" i="5"/>
  <c r="DD104" i="5"/>
  <c r="AC40" i="5"/>
  <c r="AT40" i="5"/>
  <c r="CL92" i="5"/>
  <c r="DB56" i="5"/>
  <c r="CW44" i="5"/>
  <c r="CK51" i="5"/>
  <c r="AT102" i="5"/>
  <c r="CT42" i="5"/>
  <c r="DF58" i="5"/>
  <c r="CO47" i="5"/>
  <c r="BU43" i="5"/>
  <c r="CL99" i="5"/>
  <c r="CU46" i="5"/>
  <c r="BR93" i="5"/>
  <c r="BR46" i="5"/>
  <c r="DK87" i="5"/>
  <c r="CR48" i="5"/>
  <c r="BZ58" i="5"/>
  <c r="BG91" i="5"/>
  <c r="AN50" i="5"/>
  <c r="CB40" i="5"/>
  <c r="Y58" i="5"/>
  <c r="CM104" i="5"/>
  <c r="CG93" i="5"/>
  <c r="CW48" i="5"/>
  <c r="BA92" i="5"/>
  <c r="CC55" i="5"/>
  <c r="BJ46" i="5"/>
  <c r="DA51" i="5"/>
  <c r="DA98" i="5"/>
  <c r="DI45" i="5"/>
  <c r="BU87" i="5"/>
  <c r="BU40" i="5"/>
  <c r="BF56" i="5"/>
  <c r="BF103" i="5"/>
  <c r="CX102" i="5"/>
  <c r="AV50" i="5"/>
  <c r="AV97" i="5"/>
  <c r="AF50" i="5"/>
  <c r="AD105" i="5"/>
  <c r="DK53" i="5"/>
  <c r="DK100" i="5"/>
  <c r="AD47" i="5"/>
  <c r="DI102" i="5"/>
  <c r="DI55" i="5"/>
  <c r="BP55" i="5"/>
  <c r="BP102" i="5"/>
  <c r="CU49" i="5"/>
  <c r="CH88" i="5"/>
  <c r="CH41" i="5"/>
  <c r="CP88" i="5"/>
  <c r="AO103" i="5"/>
  <c r="CC49" i="5"/>
  <c r="Y57" i="5"/>
  <c r="DJ44" i="5"/>
  <c r="AE57" i="5"/>
  <c r="AE104" i="5"/>
  <c r="CA93" i="5"/>
  <c r="CU89" i="5"/>
  <c r="CF47" i="5"/>
  <c r="CA102" i="5"/>
  <c r="CT19" i="5"/>
  <c r="DL43" i="5"/>
  <c r="T89" i="5"/>
  <c r="BL43" i="5"/>
  <c r="CF44" i="5"/>
  <c r="AQ102" i="5"/>
  <c r="CG98" i="5"/>
  <c r="CG56" i="5"/>
  <c r="AW88" i="5"/>
  <c r="DI97" i="5"/>
  <c r="V45" i="5"/>
  <c r="CX89" i="5"/>
  <c r="AH93" i="5"/>
  <c r="AH46" i="5"/>
  <c r="CS100" i="5"/>
  <c r="CS53" i="5"/>
  <c r="CL53" i="5"/>
  <c r="CL100" i="5"/>
  <c r="BH95" i="5"/>
  <c r="BH48" i="5"/>
  <c r="BT47" i="5"/>
  <c r="BT94" i="5"/>
  <c r="CL41" i="5"/>
  <c r="CL88" i="5"/>
  <c r="CN45" i="5"/>
  <c r="CN92" i="5"/>
  <c r="DH55" i="5"/>
  <c r="AM87" i="5"/>
  <c r="AD50" i="5"/>
  <c r="AD104" i="5"/>
  <c r="BW88" i="5"/>
  <c r="AR98" i="5"/>
  <c r="CJ93" i="5"/>
  <c r="BE97" i="5"/>
  <c r="CW55" i="5"/>
  <c r="AC66" i="5"/>
  <c r="CX19" i="5"/>
  <c r="BD40" i="5"/>
  <c r="CD57" i="5"/>
  <c r="AQ43" i="5"/>
  <c r="AM97" i="5"/>
  <c r="CJ50" i="5"/>
  <c r="AC99" i="5"/>
  <c r="AT53" i="5"/>
  <c r="CX53" i="5"/>
  <c r="AF100" i="5"/>
  <c r="DG88" i="5"/>
  <c r="BL58" i="5"/>
  <c r="AV95" i="5"/>
  <c r="AS40" i="5"/>
  <c r="AG102" i="5"/>
  <c r="V57" i="5"/>
  <c r="BO46" i="5"/>
  <c r="CV57" i="5"/>
  <c r="DA91" i="5"/>
  <c r="DJ105" i="5"/>
  <c r="DJ88" i="5"/>
  <c r="DJ41" i="5"/>
  <c r="W104" i="5"/>
  <c r="W57" i="5"/>
  <c r="CS92" i="5"/>
  <c r="CS45" i="5"/>
  <c r="CD96" i="5"/>
  <c r="BK54" i="5"/>
  <c r="DH53" i="5"/>
  <c r="BT51" i="5"/>
  <c r="AU46" i="5"/>
  <c r="DD101" i="5"/>
  <c r="BO41" i="5"/>
  <c r="X92" i="5"/>
  <c r="BT95" i="5"/>
  <c r="AK92" i="5"/>
  <c r="DB93" i="5"/>
  <c r="CV41" i="5"/>
  <c r="BD51" i="5"/>
  <c r="AE100" i="5"/>
  <c r="DH104" i="5"/>
  <c r="DC91" i="5"/>
  <c r="CF49" i="5"/>
  <c r="DJ96" i="5"/>
  <c r="AL103" i="5"/>
  <c r="AM47" i="5"/>
  <c r="AM94" i="5"/>
  <c r="DE55" i="5"/>
  <c r="AC48" i="5"/>
  <c r="AX44" i="5"/>
  <c r="CL55" i="5"/>
  <c r="CL102" i="5"/>
  <c r="CF52" i="5"/>
  <c r="DM89" i="5"/>
  <c r="CA91" i="5"/>
  <c r="CA44" i="5"/>
  <c r="AQ105" i="5"/>
  <c r="AQ58" i="5"/>
  <c r="CK91" i="5"/>
  <c r="CK44" i="5"/>
  <c r="AK96" i="5"/>
  <c r="CT91" i="5"/>
  <c r="CT44" i="5"/>
  <c r="AK90" i="5"/>
  <c r="AK43" i="5"/>
  <c r="AD90" i="5"/>
  <c r="AB98" i="5"/>
  <c r="AM95" i="5"/>
  <c r="AM48" i="5"/>
  <c r="BW97" i="5"/>
  <c r="BW50" i="5"/>
  <c r="AR57" i="5"/>
  <c r="AR104" i="5"/>
  <c r="BR45" i="5"/>
  <c r="BY44" i="5"/>
  <c r="BY91" i="5"/>
  <c r="AL94" i="5"/>
  <c r="DB41" i="5"/>
  <c r="CO95" i="5"/>
  <c r="CO48" i="5"/>
  <c r="CW52" i="5"/>
  <c r="CW99" i="5"/>
  <c r="BU53" i="5"/>
  <c r="BU100" i="5"/>
  <c r="DB87" i="5"/>
  <c r="DB40" i="5"/>
  <c r="CX101" i="5"/>
  <c r="DF56" i="5"/>
  <c r="AG104" i="5"/>
  <c r="BV49" i="5"/>
  <c r="AM49" i="5"/>
  <c r="AF43" i="5"/>
  <c r="AG105" i="5"/>
  <c r="BE45" i="5"/>
  <c r="BI47" i="5"/>
  <c r="BA104" i="5"/>
  <c r="BW43" i="5"/>
  <c r="AM90" i="5"/>
  <c r="W50" i="5"/>
  <c r="AK58" i="5"/>
  <c r="AA92" i="5"/>
  <c r="BC52" i="5"/>
  <c r="CF55" i="5"/>
  <c r="BW52" i="5"/>
  <c r="CB49" i="5"/>
  <c r="BE57" i="5"/>
  <c r="CG104" i="5"/>
  <c r="CW53" i="5"/>
  <c r="AW102" i="5"/>
  <c r="CX49" i="5"/>
  <c r="DJ92" i="5"/>
  <c r="DM87" i="5"/>
  <c r="AZ51" i="5"/>
  <c r="W56" i="5"/>
  <c r="CM97" i="5"/>
  <c r="BH91" i="5"/>
  <c r="AM52" i="5"/>
  <c r="BB43" i="5"/>
  <c r="BC95" i="5"/>
  <c r="CG100" i="5"/>
  <c r="CG53" i="5"/>
  <c r="BA88" i="5"/>
  <c r="AZ45" i="5"/>
  <c r="AX93" i="5"/>
  <c r="Y88" i="5"/>
  <c r="Y41" i="5"/>
  <c r="DB48" i="5"/>
  <c r="DB95" i="5"/>
  <c r="CB97" i="5"/>
  <c r="CB50" i="5"/>
  <c r="DC48" i="5"/>
  <c r="DC95" i="5"/>
  <c r="DC55" i="5"/>
  <c r="DC102" i="5"/>
  <c r="BX40" i="5"/>
  <c r="BX87" i="5"/>
  <c r="AD89" i="5"/>
  <c r="AD42" i="5"/>
  <c r="CY94" i="5"/>
  <c r="CY47" i="5"/>
  <c r="DB101" i="5"/>
  <c r="DA101" i="5"/>
  <c r="CQ91" i="5"/>
  <c r="CO49" i="5"/>
  <c r="CG55" i="5"/>
  <c r="BR97" i="5"/>
  <c r="CO58" i="5"/>
  <c r="BA42" i="5"/>
  <c r="BV47" i="5"/>
  <c r="BG100" i="5"/>
  <c r="CP105" i="5"/>
  <c r="CZ89" i="5"/>
  <c r="CZ42" i="5"/>
  <c r="CX44" i="5"/>
  <c r="CX91" i="5"/>
  <c r="CD97" i="5"/>
  <c r="CD50" i="5"/>
  <c r="AL46" i="5"/>
  <c r="AL93" i="5"/>
  <c r="CQ103" i="5"/>
  <c r="CQ56" i="5"/>
  <c r="BR19" i="5"/>
  <c r="CJ87" i="5"/>
  <c r="BY101" i="5"/>
  <c r="BA95" i="5"/>
  <c r="BM88" i="5"/>
  <c r="BN54" i="5"/>
  <c r="BG89" i="5"/>
  <c r="CM47" i="5"/>
  <c r="DK52" i="5"/>
  <c r="DJ100" i="5"/>
  <c r="AZ97" i="5"/>
  <c r="BG98" i="5"/>
  <c r="Y96" i="5"/>
  <c r="AK50" i="5"/>
  <c r="AP87" i="5"/>
  <c r="DC90" i="5"/>
  <c r="CU41" i="5"/>
  <c r="AE87" i="5"/>
  <c r="BP101" i="5"/>
  <c r="DA100" i="5"/>
  <c r="CK48" i="5"/>
  <c r="AE44" i="5"/>
  <c r="CN57" i="5"/>
  <c r="DA57" i="5"/>
  <c r="AQ97" i="5"/>
  <c r="DH99" i="5"/>
  <c r="W95" i="5"/>
  <c r="AT43" i="5"/>
  <c r="AT90" i="5"/>
  <c r="BT54" i="5"/>
  <c r="BA94" i="5"/>
  <c r="AC50" i="5"/>
  <c r="CS105" i="5"/>
  <c r="AL42" i="5"/>
  <c r="BK19" i="5"/>
  <c r="BH100" i="5"/>
  <c r="CV40" i="5"/>
  <c r="AN93" i="5"/>
  <c r="BX90" i="5"/>
  <c r="AW47" i="5"/>
  <c r="BN41" i="5"/>
  <c r="BD45" i="5"/>
  <c r="AL88" i="5"/>
  <c r="BJ87" i="5"/>
  <c r="AJ90" i="5"/>
  <c r="AJ43" i="5"/>
  <c r="Z48" i="5"/>
  <c r="Z95" i="5"/>
  <c r="CY19" i="5"/>
  <c r="CS104" i="5"/>
  <c r="CS57" i="5"/>
  <c r="AW105" i="5"/>
  <c r="AW58" i="5"/>
  <c r="AR41" i="5"/>
  <c r="AR88" i="5"/>
  <c r="T49" i="5"/>
  <c r="T96" i="5"/>
  <c r="AC96" i="5"/>
  <c r="AC49" i="5"/>
  <c r="DI88" i="5"/>
  <c r="CC46" i="5"/>
  <c r="AL104" i="5"/>
  <c r="BX103" i="5"/>
  <c r="CR100" i="5"/>
  <c r="AW53" i="5"/>
  <c r="S66" i="5"/>
  <c r="AM57" i="5"/>
  <c r="CE58" i="5"/>
  <c r="DL95" i="5"/>
  <c r="AF44" i="5"/>
  <c r="CJ98" i="5"/>
  <c r="CH50" i="5"/>
  <c r="AS98" i="5"/>
  <c r="CC91" i="5"/>
  <c r="AI92" i="5"/>
  <c r="DL96" i="5"/>
  <c r="CU47" i="5"/>
  <c r="CF98" i="5"/>
  <c r="X40" i="5"/>
  <c r="CW50" i="5"/>
  <c r="BT19" i="5"/>
  <c r="CZ48" i="5"/>
  <c r="CZ95" i="5"/>
  <c r="CC88" i="5"/>
  <c r="AZ19" i="5"/>
  <c r="AA19" i="5"/>
  <c r="CQ66" i="5"/>
  <c r="AR44" i="5"/>
  <c r="DM105" i="5"/>
  <c r="CY66" i="5"/>
  <c r="AA104" i="5"/>
  <c r="BS51" i="5"/>
  <c r="BD93" i="5"/>
  <c r="BI44" i="5"/>
  <c r="BH58" i="5"/>
  <c r="CC105" i="5"/>
  <c r="BK55" i="5"/>
  <c r="DG43" i="5"/>
  <c r="BN50" i="5"/>
  <c r="BS104" i="5"/>
  <c r="AF103" i="5"/>
  <c r="AG41" i="5"/>
  <c r="BL88" i="5"/>
  <c r="DD53" i="5"/>
  <c r="AB45" i="5"/>
  <c r="AC98" i="5"/>
  <c r="V42" i="5"/>
  <c r="AX92" i="5"/>
  <c r="W100" i="5"/>
  <c r="CM96" i="5"/>
  <c r="X89" i="5"/>
  <c r="AL98" i="5"/>
  <c r="CP103" i="5"/>
  <c r="CQ43" i="5"/>
  <c r="AH92" i="5"/>
  <c r="CH90" i="5"/>
  <c r="AE94" i="5"/>
  <c r="BS105" i="5"/>
  <c r="DH48" i="5"/>
  <c r="CP40" i="5"/>
  <c r="BP104" i="5"/>
  <c r="CK94" i="5"/>
  <c r="BM40" i="5"/>
  <c r="W90" i="5"/>
  <c r="CV97" i="5"/>
  <c r="V49" i="5"/>
  <c r="BJ48" i="5"/>
  <c r="CT97" i="5"/>
  <c r="CP93" i="5"/>
  <c r="AN19" i="5"/>
  <c r="Y92" i="5"/>
  <c r="CE90" i="5"/>
  <c r="AR40" i="5"/>
  <c r="DB51" i="5"/>
  <c r="CU98" i="5"/>
  <c r="CS47" i="5"/>
  <c r="BR42" i="5"/>
  <c r="W89" i="5"/>
  <c r="DG97" i="5"/>
  <c r="CI95" i="5"/>
  <c r="DI42" i="5"/>
  <c r="CV105" i="5"/>
  <c r="DH51" i="5"/>
  <c r="AK99" i="5"/>
  <c r="BR100" i="5"/>
  <c r="BF97" i="5"/>
  <c r="AI88" i="5"/>
  <c r="CZ66" i="5"/>
  <c r="CK87" i="5"/>
  <c r="BQ100" i="5"/>
  <c r="AE97" i="5"/>
  <c r="AY51" i="5"/>
  <c r="BK42" i="5"/>
  <c r="DG40" i="5"/>
  <c r="DM43" i="5"/>
  <c r="AO88" i="5"/>
  <c r="X91" i="5"/>
  <c r="AO55" i="5"/>
  <c r="AI99" i="5"/>
  <c r="DD103" i="5"/>
  <c r="BB44" i="5"/>
  <c r="T90" i="5"/>
  <c r="CE99" i="5"/>
  <c r="DC89" i="5"/>
  <c r="CM54" i="5"/>
  <c r="AK44" i="5"/>
  <c r="DL54" i="5"/>
  <c r="CJ43" i="5"/>
  <c r="DI56" i="5"/>
  <c r="BT100" i="5"/>
  <c r="BU99" i="5"/>
  <c r="BR101" i="5"/>
  <c r="CA103" i="5"/>
  <c r="AV66" i="5"/>
  <c r="CF97" i="5"/>
  <c r="CL104" i="5"/>
  <c r="DB57" i="5"/>
  <c r="DH89" i="5"/>
  <c r="AE19" i="5"/>
  <c r="BJ51" i="5"/>
  <c r="BP99" i="5"/>
  <c r="BX66" i="5"/>
  <c r="S103" i="5"/>
  <c r="BO45" i="5"/>
  <c r="CT54" i="5"/>
  <c r="AQ51" i="5"/>
  <c r="BK97" i="5"/>
  <c r="AM44" i="5"/>
  <c r="CF42" i="5"/>
  <c r="CK89" i="5"/>
  <c r="BH97" i="5"/>
  <c r="BY100" i="5"/>
  <c r="BV97" i="5"/>
  <c r="CY96" i="5"/>
  <c r="DI46" i="5"/>
  <c r="CC47" i="5"/>
  <c r="AJ96" i="5"/>
  <c r="BX19" i="5"/>
  <c r="AT47" i="5"/>
  <c r="DK57" i="5"/>
  <c r="BZ54" i="5"/>
  <c r="CR46" i="5"/>
  <c r="CE56" i="5"/>
  <c r="CL98" i="5"/>
  <c r="U19" i="5"/>
  <c r="BL66" i="5"/>
  <c r="X66" i="5"/>
  <c r="AT95" i="5"/>
  <c r="BD55" i="5"/>
  <c r="BX101" i="5"/>
  <c r="AB103" i="5"/>
  <c r="AL105" i="5"/>
  <c r="AP66" i="5"/>
  <c r="CR52" i="5"/>
  <c r="T98" i="5"/>
  <c r="BG87" i="5"/>
  <c r="AX103" i="5"/>
  <c r="CP95" i="5"/>
  <c r="DG19" i="5"/>
  <c r="CF19" i="5"/>
  <c r="CR101" i="5"/>
  <c r="BP87" i="5"/>
  <c r="BQ94" i="5"/>
  <c r="AA40" i="5"/>
  <c r="CA98" i="5"/>
  <c r="Y40" i="5"/>
  <c r="BQ46" i="5"/>
  <c r="CQ48" i="5"/>
  <c r="CH94" i="5"/>
  <c r="AP88" i="5"/>
  <c r="CH48" i="5"/>
  <c r="AA51" i="5"/>
  <c r="BC58" i="5"/>
  <c r="BS95" i="5"/>
  <c r="DD50" i="5"/>
  <c r="BO43" i="5"/>
  <c r="CU43" i="5"/>
  <c r="DK96" i="5"/>
  <c r="CN53" i="5"/>
  <c r="X103" i="5"/>
  <c r="AZ91" i="5"/>
  <c r="BL98" i="5"/>
  <c r="CR104" i="5"/>
  <c r="AG101" i="5"/>
  <c r="BQ102" i="5"/>
  <c r="CO89" i="5"/>
  <c r="CW56" i="5"/>
  <c r="AW101" i="5"/>
  <c r="BY19" i="5"/>
  <c r="BS90" i="5"/>
  <c r="DD44" i="5"/>
  <c r="CS103" i="5"/>
  <c r="CZ47" i="5"/>
  <c r="CD95" i="5"/>
  <c r="BK94" i="5"/>
  <c r="DD90" i="5"/>
  <c r="CY103" i="5"/>
  <c r="CS95" i="5"/>
  <c r="AZ99" i="5"/>
  <c r="U43" i="5"/>
  <c r="DM44" i="5"/>
  <c r="BM89" i="5"/>
  <c r="AX97" i="5"/>
  <c r="BR44" i="5"/>
  <c r="DL58" i="5"/>
  <c r="CS51" i="5"/>
  <c r="U100" i="5"/>
  <c r="DL87" i="5"/>
  <c r="CV103" i="5"/>
  <c r="AO42" i="5"/>
  <c r="DL94" i="5"/>
  <c r="CJ105" i="5"/>
  <c r="AS101" i="5"/>
  <c r="CW41" i="5"/>
  <c r="AL45" i="5"/>
  <c r="DB45" i="5"/>
  <c r="CA42" i="5"/>
  <c r="AS44" i="5"/>
  <c r="CG54" i="5"/>
  <c r="DE103" i="5"/>
  <c r="AC92" i="5"/>
  <c r="BJ91" i="5"/>
  <c r="AH56" i="5"/>
  <c r="CQ50" i="5"/>
  <c r="BF48" i="5"/>
  <c r="BV51" i="5"/>
  <c r="DL53" i="5"/>
  <c r="CF53" i="5"/>
  <c r="BZ46" i="5"/>
  <c r="CK50" i="5"/>
  <c r="T92" i="5"/>
  <c r="BA66" i="5"/>
  <c r="V66" i="5"/>
  <c r="AU50" i="5"/>
  <c r="CI89" i="5"/>
  <c r="T50" i="5"/>
  <c r="CD92" i="5"/>
  <c r="AA58" i="5"/>
  <c r="CA54" i="5"/>
  <c r="Z104" i="5"/>
  <c r="DM46" i="5"/>
  <c r="CK101" i="5"/>
  <c r="Z49" i="5"/>
  <c r="AX89" i="5"/>
  <c r="AJ99" i="5"/>
  <c r="CU105" i="5"/>
  <c r="BP50" i="5"/>
  <c r="BM93" i="5"/>
  <c r="BM51" i="5"/>
  <c r="AA53" i="5"/>
  <c r="CR97" i="5"/>
  <c r="CT92" i="5"/>
  <c r="CU55" i="5"/>
  <c r="DB52" i="5"/>
  <c r="DB99" i="5"/>
  <c r="Z56" i="5"/>
  <c r="Z103" i="5"/>
  <c r="AI19" i="5"/>
  <c r="AN99" i="5"/>
  <c r="CG49" i="5"/>
  <c r="CG96" i="5"/>
  <c r="DM19" i="5"/>
  <c r="AB105" i="5"/>
  <c r="AA101" i="5"/>
  <c r="CQ99" i="5"/>
  <c r="AB99" i="5"/>
  <c r="BN66" i="5"/>
  <c r="DF88" i="5"/>
  <c r="AA56" i="5"/>
  <c r="CO44" i="5"/>
  <c r="DF89" i="5"/>
  <c r="DM55" i="5"/>
  <c r="S93" i="5"/>
  <c r="BG46" i="5"/>
  <c r="BG93" i="5"/>
  <c r="DD95" i="5"/>
  <c r="BT89" i="5"/>
  <c r="CY43" i="5"/>
  <c r="AL55" i="5"/>
  <c r="CO97" i="5"/>
  <c r="CO50" i="5"/>
  <c r="AC100" i="5"/>
  <c r="AC53" i="5"/>
  <c r="BB96" i="5"/>
  <c r="BB49" i="5"/>
  <c r="AH19" i="5"/>
  <c r="CI41" i="5"/>
  <c r="CI88" i="5"/>
  <c r="DM66" i="5"/>
  <c r="BV66" i="5"/>
  <c r="X19" i="5"/>
  <c r="CW66" i="5"/>
  <c r="DI66" i="5"/>
  <c r="CJ42" i="5"/>
  <c r="BK88" i="5"/>
  <c r="BH90" i="5"/>
  <c r="CB51" i="5"/>
  <c r="AY95" i="5"/>
  <c r="AB88" i="5"/>
  <c r="DK54" i="5"/>
  <c r="DE45" i="5"/>
  <c r="BI54" i="5"/>
  <c r="V93" i="5"/>
  <c r="AG47" i="5"/>
  <c r="CO57" i="5"/>
  <c r="AK98" i="5"/>
  <c r="CC104" i="5"/>
  <c r="BN103" i="5"/>
  <c r="BB98" i="5"/>
  <c r="CY44" i="5"/>
  <c r="BJ55" i="5"/>
  <c r="S96" i="5"/>
  <c r="W99" i="5"/>
  <c r="AJ57" i="5"/>
  <c r="CD55" i="5"/>
  <c r="BI57" i="5"/>
  <c r="AB44" i="5"/>
  <c r="AY58" i="5"/>
  <c r="AP89" i="5"/>
  <c r="BS50" i="5"/>
  <c r="CN98" i="5"/>
  <c r="DE100" i="5"/>
  <c r="CB94" i="5"/>
  <c r="CB47" i="5"/>
  <c r="CJ56" i="5"/>
  <c r="CJ103" i="5"/>
  <c r="CT58" i="5"/>
  <c r="CT105" i="5"/>
  <c r="U46" i="5"/>
  <c r="U93" i="5"/>
  <c r="AC55" i="5"/>
  <c r="AC102" i="5"/>
  <c r="CO53" i="5"/>
  <c r="CO100" i="5"/>
  <c r="BN42" i="5"/>
  <c r="BN89" i="5"/>
  <c r="AF87" i="5"/>
  <c r="AF40" i="5"/>
  <c r="CE87" i="5"/>
  <c r="CE40" i="5"/>
  <c r="CM103" i="5"/>
  <c r="CM56" i="5"/>
  <c r="BI55" i="5"/>
  <c r="BI102" i="5"/>
  <c r="DF66" i="5"/>
  <c r="BS19" i="5"/>
  <c r="AO66" i="5"/>
  <c r="AS66" i="5"/>
  <c r="DE19" i="5"/>
  <c r="AL66" i="5"/>
  <c r="BY94" i="5"/>
  <c r="CO41" i="5"/>
  <c r="CN101" i="5"/>
  <c r="DH56" i="5"/>
  <c r="DH103" i="5"/>
  <c r="AG19" i="5"/>
  <c r="DA97" i="5"/>
  <c r="DA50" i="5"/>
  <c r="AS57" i="5"/>
  <c r="AS104" i="5"/>
  <c r="BK96" i="5"/>
  <c r="BK49" i="5"/>
  <c r="CK105" i="5"/>
  <c r="CK58" i="5"/>
  <c r="DM101" i="5"/>
  <c r="DM54" i="5"/>
  <c r="DF40" i="5"/>
  <c r="DF87" i="5"/>
  <c r="BW100" i="5"/>
  <c r="BW53" i="5"/>
  <c r="AT66" i="5"/>
  <c r="CK66" i="5"/>
  <c r="AO92" i="5"/>
  <c r="AO45" i="5"/>
  <c r="CF101" i="5"/>
  <c r="CF54" i="5"/>
  <c r="AS94" i="5"/>
  <c r="AS47" i="5"/>
  <c r="BB94" i="5"/>
  <c r="BB47" i="5"/>
  <c r="AI49" i="5"/>
  <c r="AI96" i="5"/>
  <c r="BT90" i="5"/>
  <c r="BT43" i="5"/>
  <c r="CK100" i="5"/>
  <c r="CK53" i="5"/>
  <c r="BO58" i="5"/>
  <c r="BO105" i="5"/>
  <c r="BB87" i="5"/>
  <c r="BB40" i="5"/>
  <c r="AV104" i="5"/>
  <c r="AV57" i="5"/>
  <c r="BM103" i="5"/>
  <c r="BM56" i="5"/>
  <c r="CP66" i="5"/>
  <c r="AG66" i="5"/>
  <c r="BE66" i="5"/>
  <c r="AS19" i="5"/>
  <c r="DE66" i="5"/>
  <c r="CG66" i="5"/>
  <c r="CC66" i="5"/>
  <c r="AW19" i="5"/>
  <c r="DB66" i="5"/>
  <c r="BU66" i="5"/>
  <c r="AX19" i="5"/>
  <c r="S90" i="5"/>
  <c r="AI90" i="5"/>
  <c r="BJ88" i="5"/>
  <c r="AV94" i="5"/>
  <c r="AT45" i="5"/>
  <c r="BF91" i="5"/>
  <c r="BQ87" i="5"/>
  <c r="BA19" i="5"/>
  <c r="CV101" i="5"/>
  <c r="CC52" i="5"/>
  <c r="BX97" i="5"/>
  <c r="BE102" i="5"/>
  <c r="BJ99" i="5"/>
  <c r="BW104" i="5"/>
  <c r="BW57" i="5"/>
  <c r="BB66" i="5"/>
  <c r="CC19" i="5"/>
  <c r="DH54" i="5"/>
  <c r="DH101" i="5"/>
  <c r="BM43" i="5"/>
  <c r="BM90" i="5"/>
  <c r="DD19" i="5"/>
  <c r="BH19" i="5"/>
  <c r="BC19" i="5"/>
  <c r="CG19" i="5"/>
  <c r="AW87" i="5"/>
  <c r="BY88" i="5"/>
  <c r="DJ103" i="5"/>
  <c r="BM66" i="5"/>
  <c r="AX57" i="5"/>
  <c r="CC98" i="5"/>
  <c r="BM101" i="5"/>
  <c r="AT101" i="5"/>
  <c r="BC96" i="5"/>
  <c r="CY45" i="5"/>
  <c r="CB103" i="5"/>
  <c r="AD100" i="5"/>
  <c r="CE97" i="5"/>
  <c r="AP97" i="5"/>
  <c r="AL19" i="5"/>
  <c r="BY66" i="5"/>
  <c r="DL103" i="5"/>
  <c r="BH89" i="5"/>
  <c r="BT45" i="5"/>
  <c r="DI99" i="5"/>
  <c r="AK103" i="5"/>
  <c r="BT49" i="5"/>
  <c r="BT96" i="5"/>
  <c r="AX53" i="5"/>
  <c r="AX100" i="5"/>
  <c r="BN93" i="5"/>
  <c r="CW92" i="5"/>
  <c r="CW45" i="5"/>
  <c r="AX66" i="5"/>
  <c r="U104" i="5"/>
  <c r="U57" i="5"/>
  <c r="CA66" i="5"/>
  <c r="CD44" i="5"/>
  <c r="CD91" i="5"/>
  <c r="DH58" i="5"/>
  <c r="DH105" i="5"/>
  <c r="CT55" i="5"/>
  <c r="CT102" i="5"/>
  <c r="CM19" i="5"/>
  <c r="AT19" i="5"/>
  <c r="BJ66" i="5"/>
  <c r="CW19" i="5"/>
  <c r="CO19" i="5"/>
  <c r="DJ19" i="5"/>
  <c r="BJ19" i="5"/>
  <c r="AP103" i="5"/>
  <c r="BR57" i="5"/>
  <c r="DJ66" i="5"/>
  <c r="BJ92" i="5"/>
  <c r="AO93" i="5"/>
  <c r="BF49" i="5"/>
  <c r="CL94" i="5"/>
  <c r="AS92" i="5"/>
  <c r="BJ49" i="5"/>
  <c r="BJ96" i="5"/>
  <c r="AU90" i="5"/>
  <c r="CA95" i="5"/>
  <c r="BF40" i="5"/>
  <c r="AO54" i="5"/>
  <c r="DI87" i="5"/>
  <c r="CH105" i="5"/>
  <c r="DA48" i="5"/>
  <c r="DA95" i="5"/>
  <c r="CL96" i="5"/>
  <c r="BD57" i="5"/>
  <c r="Y54" i="5"/>
  <c r="CS55" i="5"/>
  <c r="CS102" i="5"/>
  <c r="BE19" i="5"/>
  <c r="DH92" i="5"/>
  <c r="AA46" i="5"/>
  <c r="AR89" i="5"/>
  <c r="BC41" i="5"/>
  <c r="CB41" i="5"/>
  <c r="BA52" i="5"/>
  <c r="DK94" i="5"/>
  <c r="CJ48" i="5"/>
  <c r="CV94" i="5"/>
  <c r="CS41" i="5"/>
  <c r="AZ49" i="5"/>
  <c r="CZ92" i="5"/>
  <c r="CG40" i="5"/>
  <c r="AK42" i="5"/>
  <c r="AN91" i="5"/>
  <c r="CM58" i="5"/>
  <c r="BO50" i="5"/>
  <c r="AG90" i="5"/>
  <c r="CT52" i="5"/>
  <c r="BV53" i="5"/>
  <c r="DC56" i="5"/>
  <c r="BK52" i="5"/>
  <c r="AJ91" i="5"/>
  <c r="DK43" i="5"/>
  <c r="CS49" i="5"/>
  <c r="AB49" i="5"/>
  <c r="DF102" i="5"/>
  <c r="CM48" i="5"/>
  <c r="AH48" i="5"/>
  <c r="AE58" i="5"/>
  <c r="BW101" i="5"/>
  <c r="W51" i="5"/>
  <c r="DK42" i="5"/>
  <c r="CV53" i="5"/>
  <c r="AZ101" i="5"/>
  <c r="CR51" i="5"/>
  <c r="BQ49" i="5"/>
  <c r="DI53" i="5"/>
  <c r="V102" i="5"/>
  <c r="CL43" i="5"/>
  <c r="BT56" i="5"/>
  <c r="AW48" i="5"/>
  <c r="AY56" i="5"/>
  <c r="CA49" i="5"/>
  <c r="BZ43" i="5"/>
  <c r="DL50" i="5"/>
  <c r="CB58" i="5"/>
  <c r="BF47" i="5"/>
  <c r="AH98" i="5"/>
  <c r="AM56" i="5"/>
  <c r="DA92" i="5"/>
  <c r="BM94" i="5"/>
  <c r="DE58" i="5"/>
  <c r="CL42" i="5"/>
  <c r="CE98" i="5"/>
  <c r="AD101" i="5"/>
  <c r="AV49" i="5"/>
  <c r="AZ89" i="5"/>
  <c r="BY104" i="5"/>
  <c r="CX48" i="5"/>
  <c r="BK43" i="5"/>
  <c r="CY48" i="5"/>
  <c r="AF52" i="5"/>
  <c r="CV51" i="5"/>
  <c r="BN53" i="5"/>
  <c r="CH104" i="5"/>
  <c r="AB46" i="5"/>
  <c r="BQ66" i="5"/>
  <c r="AK48" i="5"/>
  <c r="Z50" i="5"/>
  <c r="Z46" i="5"/>
  <c r="BQ92" i="5"/>
  <c r="BI50" i="5"/>
  <c r="AT52" i="5"/>
  <c r="CX87" i="5"/>
  <c r="AC88" i="5"/>
  <c r="BJ56" i="5"/>
  <c r="AQ19" i="5"/>
  <c r="DG49" i="5"/>
  <c r="AM46" i="5"/>
  <c r="BB50" i="5"/>
  <c r="AA50" i="5"/>
  <c r="BK104" i="5"/>
  <c r="DD45" i="5"/>
  <c r="DG93" i="5"/>
  <c r="CS40" i="5"/>
  <c r="AO50" i="5"/>
  <c r="AL48" i="5"/>
  <c r="BD49" i="5"/>
  <c r="CW58" i="5"/>
  <c r="DE104" i="5"/>
  <c r="BX91" i="5"/>
  <c r="CK56" i="5"/>
  <c r="AX43" i="5"/>
  <c r="DB91" i="5"/>
  <c r="BM92" i="5"/>
  <c r="DB47" i="5"/>
  <c r="BH52" i="5"/>
  <c r="BE40" i="5"/>
  <c r="CW98" i="5"/>
  <c r="CD98" i="5"/>
  <c r="DH50" i="5"/>
  <c r="BD52" i="5"/>
  <c r="BI48" i="5"/>
  <c r="AJ98" i="5"/>
  <c r="U50" i="5"/>
  <c r="CH98" i="5"/>
  <c r="U92" i="5"/>
  <c r="CG52" i="5"/>
  <c r="CF43" i="5"/>
  <c r="AQ52" i="5"/>
  <c r="DH46" i="5"/>
  <c r="AG46" i="5"/>
  <c r="BU49" i="5"/>
  <c r="AU52" i="5"/>
  <c r="BP42" i="5"/>
  <c r="BZ19" i="5"/>
  <c r="CJ66" i="5"/>
  <c r="AF101" i="5"/>
  <c r="AQ103" i="5"/>
  <c r="BW96" i="5"/>
  <c r="BM96" i="5"/>
  <c r="AZ103" i="5"/>
  <c r="BQ44" i="5"/>
  <c r="AW51" i="5"/>
  <c r="AT89" i="5"/>
  <c r="CL103" i="5"/>
  <c r="AC43" i="5"/>
  <c r="AW42" i="5"/>
  <c r="BN51" i="5"/>
  <c r="BE42" i="5"/>
  <c r="CW87" i="5"/>
  <c r="BS88" i="5"/>
  <c r="BV103" i="5"/>
  <c r="CF40" i="5"/>
  <c r="CB46" i="5"/>
  <c r="CC90" i="5"/>
  <c r="BF88" i="5"/>
  <c r="DF51" i="5"/>
  <c r="BX55" i="5"/>
  <c r="BU47" i="5"/>
  <c r="BQ54" i="5"/>
  <c r="BA55" i="5"/>
  <c r="BW44" i="5"/>
  <c r="BH55" i="5"/>
  <c r="BL96" i="5"/>
  <c r="BQ95" i="5"/>
  <c r="BN45" i="5"/>
  <c r="AG98" i="5"/>
  <c r="CO98" i="5"/>
  <c r="CV99" i="5"/>
  <c r="AP93" i="5"/>
  <c r="AU47" i="5"/>
  <c r="AZ41" i="5"/>
  <c r="BB95" i="5"/>
  <c r="CI93" i="5"/>
  <c r="CY99" i="5"/>
  <c r="BP100" i="5"/>
  <c r="CE88" i="5"/>
  <c r="DG100" i="5"/>
  <c r="AG100" i="5"/>
  <c r="DB105" i="5"/>
  <c r="DC100" i="5"/>
  <c r="BC97" i="5"/>
  <c r="AF88" i="5"/>
  <c r="CB95" i="5"/>
  <c r="AS43" i="5"/>
  <c r="CW89" i="5"/>
  <c r="AY97" i="5"/>
  <c r="BY55" i="5"/>
  <c r="AU57" i="5"/>
  <c r="AC58" i="5"/>
  <c r="CH44" i="5"/>
  <c r="AY45" i="5"/>
  <c r="BM100" i="5"/>
  <c r="BF98" i="5"/>
  <c r="DF44" i="5"/>
  <c r="CH100" i="5"/>
  <c r="CM41" i="5"/>
  <c r="AW44" i="5"/>
  <c r="BZ103" i="5"/>
  <c r="BC100" i="5"/>
  <c r="DC57" i="5"/>
  <c r="CU92" i="5"/>
  <c r="BP41" i="5"/>
  <c r="AJ97" i="5"/>
  <c r="BT55" i="5"/>
  <c r="AG87" i="5"/>
  <c r="DE89" i="5"/>
  <c r="BI88" i="5"/>
  <c r="BF55" i="5"/>
  <c r="DB90" i="5"/>
  <c r="CZ98" i="5"/>
  <c r="DJ93" i="5"/>
  <c r="CT103" i="5"/>
  <c r="AP53" i="5"/>
  <c r="CV95" i="5"/>
  <c r="BL87" i="5"/>
  <c r="DI44" i="5"/>
  <c r="CH87" i="5"/>
  <c r="CH55" i="5"/>
  <c r="CJ19" i="5"/>
  <c r="DD66" i="5"/>
  <c r="BZ40" i="5"/>
  <c r="AQ41" i="5"/>
  <c r="CE95" i="5"/>
  <c r="CM93" i="5"/>
  <c r="BT57" i="5"/>
  <c r="AK46" i="5"/>
  <c r="CT41" i="5"/>
  <c r="AR94" i="5"/>
  <c r="BD41" i="5"/>
  <c r="DA42" i="5"/>
  <c r="AX87" i="5"/>
  <c r="BO101" i="5"/>
  <c r="CS54" i="5"/>
  <c r="AJ42" i="5"/>
  <c r="CN99" i="5"/>
  <c r="V99" i="5"/>
  <c r="BE93" i="5"/>
  <c r="BI98" i="5"/>
  <c r="DL55" i="5"/>
  <c r="BP90" i="5"/>
  <c r="CQ42" i="5"/>
  <c r="Y44" i="5"/>
  <c r="BU101" i="5"/>
  <c r="W40" i="5"/>
  <c r="CD46" i="5"/>
  <c r="CZ90" i="5"/>
  <c r="AY96" i="5"/>
  <c r="AS103" i="5"/>
  <c r="DF93" i="5"/>
  <c r="CQ41" i="5"/>
  <c r="AW45" i="5"/>
  <c r="BJ43" i="5"/>
  <c r="AQ104" i="5"/>
  <c r="CR90" i="5"/>
  <c r="DC99" i="5"/>
  <c r="DI98" i="5"/>
  <c r="BU95" i="5"/>
  <c r="Y90" i="5"/>
  <c r="BF57" i="5"/>
  <c r="BK95" i="5"/>
  <c r="DG42" i="5"/>
  <c r="BR105" i="5"/>
  <c r="CJ94" i="5"/>
  <c r="AN101" i="5"/>
  <c r="CW54" i="5"/>
  <c r="BS45" i="5"/>
  <c r="AO105" i="5"/>
  <c r="BX95" i="5"/>
  <c r="DK55" i="5"/>
  <c r="CN55" i="5"/>
  <c r="AR55" i="5"/>
  <c r="CR103" i="5"/>
  <c r="BY103" i="5"/>
  <c r="DJ90" i="5"/>
  <c r="CB44" i="5"/>
  <c r="CY51" i="5"/>
  <c r="BC103" i="5"/>
  <c r="BX89" i="5"/>
  <c r="AX101" i="5"/>
  <c r="BR103" i="5"/>
  <c r="BW40" i="5"/>
  <c r="AV99" i="5"/>
  <c r="T44" i="5"/>
  <c r="AO98" i="5"/>
  <c r="CQ40" i="5"/>
  <c r="X101" i="5"/>
  <c r="BF54" i="5"/>
  <c r="DD42" i="5"/>
  <c r="AH55" i="5"/>
  <c r="AA99" i="5"/>
  <c r="BK53" i="5"/>
  <c r="W41" i="5"/>
  <c r="DG92" i="5"/>
  <c r="CV90" i="5"/>
  <c r="AR95" i="5"/>
  <c r="CJ100" i="5"/>
  <c r="BE88" i="5"/>
  <c r="DI94" i="5"/>
  <c r="V54" i="5"/>
  <c r="BN90" i="5"/>
  <c r="CR55" i="5"/>
  <c r="AB95" i="5"/>
  <c r="AQ47" i="5"/>
  <c r="BK45" i="5"/>
  <c r="BV87" i="5"/>
  <c r="BX99" i="5"/>
  <c r="AL53" i="5"/>
  <c r="BP105" i="5"/>
  <c r="BS100" i="5"/>
  <c r="CO54" i="5"/>
  <c r="CW43" i="5"/>
  <c r="AF89" i="5"/>
  <c r="BN47" i="5"/>
  <c r="CP90" i="5"/>
  <c r="AR90" i="5"/>
  <c r="BQ90" i="5"/>
  <c r="CW104" i="5"/>
  <c r="CL95" i="5"/>
  <c r="DH96" i="5"/>
  <c r="BC90" i="5"/>
  <c r="CQ93" i="5"/>
  <c r="CS66" i="5"/>
  <c r="CP19" i="5"/>
  <c r="BP19" i="5"/>
  <c r="AJ19" i="5"/>
  <c r="CO92" i="5"/>
  <c r="Z100" i="5"/>
  <c r="AY93" i="5"/>
  <c r="AM101" i="5"/>
  <c r="CA99" i="5"/>
  <c r="AV45" i="5"/>
  <c r="AR100" i="5"/>
  <c r="AY100" i="5"/>
  <c r="AF94" i="5"/>
  <c r="DF90" i="5"/>
  <c r="CT47" i="5"/>
  <c r="AR45" i="5"/>
  <c r="AQ45" i="5"/>
  <c r="CA90" i="5"/>
  <c r="V97" i="5"/>
  <c r="CP99" i="5"/>
  <c r="DD55" i="5"/>
  <c r="AV44" i="5"/>
  <c r="CB45" i="5"/>
  <c r="CO93" i="5"/>
  <c r="AX99" i="5"/>
  <c r="DF99" i="5"/>
  <c r="BD91" i="5"/>
  <c r="CK93" i="5"/>
  <c r="S41" i="5"/>
  <c r="AV41" i="5"/>
  <c r="CI55" i="5"/>
  <c r="AF55" i="5"/>
  <c r="BJ58" i="5"/>
  <c r="AD103" i="5"/>
  <c r="DI54" i="5"/>
  <c r="BW55" i="5"/>
  <c r="BZ96" i="5"/>
  <c r="BS93" i="5"/>
  <c r="CV93" i="5"/>
  <c r="DC97" i="5"/>
  <c r="BL97" i="5"/>
  <c r="BA101" i="5"/>
  <c r="CZ53" i="5"/>
  <c r="AC91" i="5"/>
  <c r="BN44" i="5"/>
  <c r="AR54" i="5"/>
  <c r="BV105" i="5"/>
  <c r="BG95" i="5"/>
  <c r="CR87" i="5"/>
  <c r="BV41" i="5"/>
  <c r="AJ103" i="5"/>
  <c r="CU87" i="5"/>
  <c r="CZ99" i="5"/>
  <c r="S42" i="5"/>
  <c r="CJ96" i="5"/>
  <c r="CX103" i="5"/>
  <c r="BT97" i="5"/>
  <c r="DJ87" i="5"/>
  <c r="DC47" i="5"/>
  <c r="S54" i="5"/>
  <c r="Y103" i="5"/>
  <c r="T87" i="5"/>
  <c r="AU103" i="5"/>
  <c r="BM57" i="5"/>
  <c r="CD88" i="5"/>
  <c r="BC66" i="5"/>
  <c r="DE87" i="5"/>
  <c r="AI103" i="5"/>
  <c r="BO42" i="5"/>
  <c r="CV45" i="5"/>
  <c r="BL93" i="5"/>
  <c r="CP89" i="5"/>
  <c r="CN97" i="5"/>
  <c r="AP44" i="5"/>
  <c r="BG41" i="5"/>
  <c r="CY100" i="5"/>
  <c r="AO100" i="5"/>
  <c r="CL44" i="5"/>
  <c r="X99" i="5"/>
  <c r="U95" i="5"/>
  <c r="DM103" i="5"/>
  <c r="BU105" i="5"/>
  <c r="CX97" i="5"/>
  <c r="BG55" i="5"/>
  <c r="CD101" i="5"/>
  <c r="BO100" i="5"/>
  <c r="CV96" i="5"/>
  <c r="DE98" i="5"/>
  <c r="AL99" i="5"/>
  <c r="CI87" i="5"/>
  <c r="CS89" i="5"/>
  <c r="AD44" i="5"/>
  <c r="CD103" i="5"/>
  <c r="BC42" i="5"/>
  <c r="DC96" i="5"/>
  <c r="CQ54" i="5"/>
  <c r="CF58" i="5"/>
  <c r="BX96" i="5"/>
  <c r="BA103" i="5"/>
  <c r="DB97" i="5"/>
  <c r="AA42" i="5"/>
  <c r="AS89" i="5"/>
  <c r="CH89" i="5"/>
  <c r="DD88" i="5"/>
  <c r="DJ54" i="5"/>
  <c r="CT51" i="5"/>
  <c r="DE90" i="5"/>
  <c r="BF45" i="5"/>
  <c r="CM40" i="5"/>
  <c r="AN95" i="5"/>
  <c r="BG45" i="5"/>
  <c r="CP51" i="5"/>
  <c r="DD98" i="5"/>
  <c r="DF19" i="5"/>
  <c r="CZ19" i="5"/>
  <c r="AR66" i="5"/>
  <c r="W78" i="1" l="1"/>
  <c r="W77" i="1"/>
  <c r="X77" i="1" s="1"/>
  <c r="CG58" i="5"/>
  <c r="CG39" i="5" s="1"/>
  <c r="CG18" i="5" s="1"/>
  <c r="DL104" i="5"/>
  <c r="DL86" i="5" s="1"/>
  <c r="X33" i="1"/>
  <c r="W33" i="1" s="1"/>
  <c r="AV105" i="5"/>
  <c r="AV86" i="5" s="1"/>
  <c r="AT105" i="5"/>
  <c r="AT86" i="5" s="1"/>
  <c r="CX105" i="5"/>
  <c r="CX86" i="5" s="1"/>
  <c r="BB105" i="5"/>
  <c r="BB86" i="5" s="1"/>
  <c r="AA39" i="5"/>
  <c r="AA18" i="5" s="1"/>
  <c r="CA58" i="5"/>
  <c r="CA39" i="5" s="1"/>
  <c r="CA18" i="5" s="1"/>
  <c r="W164" i="5"/>
  <c r="BJ57" i="5"/>
  <c r="BJ39" i="5" s="1"/>
  <c r="BJ18" i="5" s="1"/>
  <c r="AH104" i="5"/>
  <c r="AH86" i="5" s="1"/>
  <c r="CQ57" i="5"/>
  <c r="CQ39" i="5" s="1"/>
  <c r="CQ18" i="5" s="1"/>
  <c r="BG104" i="5"/>
  <c r="BG86" i="5" s="1"/>
  <c r="X41" i="1"/>
  <c r="BU104" i="5"/>
  <c r="BU86" i="5" s="1"/>
  <c r="T39" i="5"/>
  <c r="T18" i="5" s="1"/>
  <c r="BO57" i="5"/>
  <c r="BO39" i="5" s="1"/>
  <c r="BO18" i="5" s="1"/>
  <c r="DA105" i="5"/>
  <c r="DA86" i="5" s="1"/>
  <c r="BN105" i="5"/>
  <c r="BN86" i="5" s="1"/>
  <c r="CY58" i="5"/>
  <c r="CY39" i="5" s="1"/>
  <c r="CY18" i="5" s="1"/>
  <c r="BB57" i="5"/>
  <c r="BB39" i="5" s="1"/>
  <c r="BB18" i="5" s="1"/>
  <c r="CR105" i="5"/>
  <c r="CR86" i="5" s="1"/>
  <c r="AF57" i="5"/>
  <c r="AF39" i="5" s="1"/>
  <c r="AF18" i="5" s="1"/>
  <c r="R64" i="1"/>
  <c r="DG58" i="5"/>
  <c r="DG39" i="5" s="1"/>
  <c r="DG18" i="5" s="1"/>
  <c r="AI105" i="5"/>
  <c r="AI86" i="5" s="1"/>
  <c r="AN104" i="5"/>
  <c r="AN105" i="5"/>
  <c r="AZ105" i="5"/>
  <c r="AZ86" i="5" s="1"/>
  <c r="BW105" i="5"/>
  <c r="BW86" i="5" s="1"/>
  <c r="CB57" i="5"/>
  <c r="CB39" i="5" s="1"/>
  <c r="CB18" i="5" s="1"/>
  <c r="DC105" i="5"/>
  <c r="DC86" i="5" s="1"/>
  <c r="CI58" i="5"/>
  <c r="U105" i="5"/>
  <c r="U86" i="5" s="1"/>
  <c r="BY105" i="5"/>
  <c r="BY86" i="5" s="1"/>
  <c r="BK105" i="5"/>
  <c r="BK86" i="5" s="1"/>
  <c r="CX164" i="5"/>
  <c r="AT57" i="5"/>
  <c r="AT39" i="5" s="1"/>
  <c r="AT18" i="5" s="1"/>
  <c r="S87" i="5"/>
  <c r="S86" i="5" s="1"/>
  <c r="CV164" i="5"/>
  <c r="AQ164" i="5"/>
  <c r="AH161" i="5"/>
  <c r="AA164" i="5"/>
  <c r="DH164" i="5"/>
  <c r="AX164" i="5"/>
  <c r="BO164" i="5"/>
  <c r="CO164" i="5"/>
  <c r="BB164" i="5"/>
  <c r="CN164" i="5"/>
  <c r="BL164" i="5"/>
  <c r="V162" i="5"/>
  <c r="CU164" i="5"/>
  <c r="BI162" i="5"/>
  <c r="BR164" i="5"/>
  <c r="BQ164" i="5"/>
  <c r="H19" i="8"/>
  <c r="I105" i="7"/>
  <c r="K105" i="7"/>
  <c r="K19" i="8" s="1"/>
  <c r="AE34" i="1"/>
  <c r="V87" i="1"/>
  <c r="X87" i="1" s="1"/>
  <c r="V89" i="1"/>
  <c r="W89" i="1" s="1"/>
  <c r="X89" i="1" s="1"/>
  <c r="AD34" i="1"/>
  <c r="V86" i="1"/>
  <c r="W86" i="1" s="1"/>
  <c r="X86" i="1" s="1"/>
  <c r="V84" i="1"/>
  <c r="W84" i="1" s="1"/>
  <c r="X84" i="1" s="1"/>
  <c r="V88" i="1"/>
  <c r="W88" i="1" s="1"/>
  <c r="X88" i="1" s="1"/>
  <c r="V85" i="1"/>
  <c r="W85" i="1" s="1"/>
  <c r="X85" i="1" s="1"/>
  <c r="K12" i="10"/>
  <c r="K53" i="10"/>
  <c r="H121" i="8"/>
  <c r="H122" i="8" s="1"/>
  <c r="H144" i="8"/>
  <c r="I119" i="8"/>
  <c r="J117" i="8" s="1"/>
  <c r="H24" i="10"/>
  <c r="H21" i="10"/>
  <c r="H22" i="10"/>
  <c r="H25" i="10"/>
  <c r="H26" i="10"/>
  <c r="H23" i="10"/>
  <c r="AF42" i="1"/>
  <c r="AF43" i="1" s="1"/>
  <c r="AG42" i="1"/>
  <c r="AG43" i="1" s="1"/>
  <c r="V10" i="5"/>
  <c r="H70" i="1" s="1"/>
  <c r="H121" i="1" s="1"/>
  <c r="L9" i="10"/>
  <c r="CS164" i="5"/>
  <c r="X39" i="1"/>
  <c r="BC163" i="5"/>
  <c r="BD160" i="5" s="1"/>
  <c r="BD162" i="5" s="1"/>
  <c r="X37" i="1"/>
  <c r="AC34" i="1"/>
  <c r="X36" i="1"/>
  <c r="X38" i="1"/>
  <c r="AA34" i="1"/>
  <c r="AH42" i="1"/>
  <c r="AH43" i="1" s="1"/>
  <c r="X35" i="1"/>
  <c r="AB34" i="1"/>
  <c r="Z34" i="1"/>
  <c r="X40" i="1"/>
  <c r="Y34" i="1"/>
  <c r="Y44" i="1" s="1"/>
  <c r="AC164" i="5"/>
  <c r="CF164" i="5"/>
  <c r="AH164" i="5"/>
  <c r="CD86" i="5"/>
  <c r="CT86" i="5"/>
  <c r="CQ86" i="5"/>
  <c r="BE86" i="5"/>
  <c r="BS86" i="5"/>
  <c r="AO86" i="5"/>
  <c r="BI86" i="5"/>
  <c r="AC86" i="5"/>
  <c r="AR86" i="5"/>
  <c r="AK86" i="5"/>
  <c r="CY86" i="5"/>
  <c r="CV86" i="5"/>
  <c r="CF86" i="5"/>
  <c r="Z86" i="5"/>
  <c r="CZ86" i="5"/>
  <c r="BP39" i="5"/>
  <c r="BP18" i="5" s="1"/>
  <c r="DI86" i="5"/>
  <c r="DD86" i="5"/>
  <c r="AL39" i="5"/>
  <c r="AL18" i="5" s="1"/>
  <c r="AE86" i="5"/>
  <c r="DG86" i="5"/>
  <c r="CB86" i="5"/>
  <c r="AA86" i="5"/>
  <c r="BM86" i="5"/>
  <c r="BT86" i="5"/>
  <c r="CN86" i="5"/>
  <c r="CU39" i="5"/>
  <c r="CU18" i="5" s="1"/>
  <c r="BR86" i="5"/>
  <c r="BA86" i="5"/>
  <c r="CP86" i="5"/>
  <c r="BZ86" i="5"/>
  <c r="X86" i="5"/>
  <c r="AS86" i="5"/>
  <c r="BC86" i="5"/>
  <c r="Y86" i="5"/>
  <c r="S39" i="5"/>
  <c r="S18" i="5" s="1"/>
  <c r="CU86" i="5"/>
  <c r="BF86" i="5"/>
  <c r="CS86" i="5"/>
  <c r="BD86" i="5"/>
  <c r="BH86" i="5"/>
  <c r="W86" i="5"/>
  <c r="CM86" i="5"/>
  <c r="CG86" i="5"/>
  <c r="BI161" i="5"/>
  <c r="DH39" i="5"/>
  <c r="DH18" i="5" s="1"/>
  <c r="AY39" i="5"/>
  <c r="AY18" i="5" s="1"/>
  <c r="AK164" i="5"/>
  <c r="CR39" i="5"/>
  <c r="CR18" i="5" s="1"/>
  <c r="DK39" i="5"/>
  <c r="DK18" i="5" s="1"/>
  <c r="BA164" i="5"/>
  <c r="AJ39" i="5"/>
  <c r="AJ18" i="5" s="1"/>
  <c r="CA86" i="5"/>
  <c r="CI86" i="5"/>
  <c r="AP39" i="5"/>
  <c r="AP18" i="5" s="1"/>
  <c r="DJ86" i="5"/>
  <c r="BV39" i="5"/>
  <c r="BV18" i="5" s="1"/>
  <c r="BL86" i="5"/>
  <c r="AW39" i="5"/>
  <c r="AW18" i="5" s="1"/>
  <c r="AW86" i="5"/>
  <c r="AG39" i="5"/>
  <c r="AG18" i="5" s="1"/>
  <c r="AP86" i="5"/>
  <c r="BX86" i="5"/>
  <c r="DM86" i="5"/>
  <c r="AM86" i="5"/>
  <c r="AX39" i="5"/>
  <c r="AX18" i="5" s="1"/>
  <c r="AN39" i="5"/>
  <c r="AN18" i="5" s="1"/>
  <c r="AL86" i="5"/>
  <c r="CO86" i="5"/>
  <c r="DH86" i="5"/>
  <c r="AD86" i="5"/>
  <c r="AB86" i="5"/>
  <c r="DA39" i="5"/>
  <c r="DA18" i="5" s="1"/>
  <c r="DC164" i="5"/>
  <c r="CK39" i="5"/>
  <c r="CK18" i="5" s="1"/>
  <c r="AJ86" i="5"/>
  <c r="AF86" i="5"/>
  <c r="AX86" i="5"/>
  <c r="DF86" i="5"/>
  <c r="U39" i="5"/>
  <c r="U18" i="5" s="1"/>
  <c r="AY86" i="5"/>
  <c r="AG86" i="5"/>
  <c r="AB39" i="5"/>
  <c r="AB18" i="5" s="1"/>
  <c r="DE39" i="5"/>
  <c r="DE18" i="5" s="1"/>
  <c r="V39" i="5"/>
  <c r="V18" i="5" s="1"/>
  <c r="CC39" i="5"/>
  <c r="CC18" i="5" s="1"/>
  <c r="DJ39" i="5"/>
  <c r="DJ18" i="5" s="1"/>
  <c r="AS39" i="5"/>
  <c r="AS18" i="5" s="1"/>
  <c r="DL39" i="5"/>
  <c r="DL18" i="5" s="1"/>
  <c r="DM39" i="5"/>
  <c r="DM18" i="5" s="1"/>
  <c r="CX39" i="5"/>
  <c r="CX18" i="5" s="1"/>
  <c r="AK39" i="5"/>
  <c r="AK18" i="5" s="1"/>
  <c r="AI39" i="5"/>
  <c r="AI18" i="5" s="1"/>
  <c r="CJ86" i="5"/>
  <c r="CL39" i="5"/>
  <c r="CL18" i="5" s="1"/>
  <c r="CH86" i="5"/>
  <c r="BP86" i="5"/>
  <c r="CH39" i="5"/>
  <c r="CH18" i="5" s="1"/>
  <c r="BO86" i="5"/>
  <c r="BV86" i="5"/>
  <c r="CW39" i="5"/>
  <c r="CW18" i="5" s="1"/>
  <c r="CK86" i="5"/>
  <c r="BJ86" i="5"/>
  <c r="DB86" i="5"/>
  <c r="BL39" i="5"/>
  <c r="BL18" i="5" s="1"/>
  <c r="AE39" i="5"/>
  <c r="AE18" i="5" s="1"/>
  <c r="CC86" i="5"/>
  <c r="AU86" i="5"/>
  <c r="BN164" i="5"/>
  <c r="AD39" i="5"/>
  <c r="AD18" i="5" s="1"/>
  <c r="AU39" i="5"/>
  <c r="AU18" i="5" s="1"/>
  <c r="AM39" i="5"/>
  <c r="AM18" i="5" s="1"/>
  <c r="V86" i="5"/>
  <c r="V65" i="5" s="1"/>
  <c r="BG39" i="5"/>
  <c r="BG18" i="5" s="1"/>
  <c r="DE86" i="5"/>
  <c r="CO39" i="5"/>
  <c r="CO18" i="5" s="1"/>
  <c r="AQ39" i="5"/>
  <c r="AQ18" i="5" s="1"/>
  <c r="CJ39" i="5"/>
  <c r="CJ18" i="5" s="1"/>
  <c r="DK86" i="5"/>
  <c r="BZ39" i="5"/>
  <c r="BZ18" i="5" s="1"/>
  <c r="BW39" i="5"/>
  <c r="BW18" i="5" s="1"/>
  <c r="BQ86" i="5"/>
  <c r="T86" i="5"/>
  <c r="AV39" i="5"/>
  <c r="AV18" i="5" s="1"/>
  <c r="AZ39" i="5"/>
  <c r="AZ18" i="5" s="1"/>
  <c r="CW86" i="5"/>
  <c r="CE86" i="5"/>
  <c r="DI39" i="5"/>
  <c r="DI18" i="5" s="1"/>
  <c r="CL86" i="5"/>
  <c r="BQ39" i="5"/>
  <c r="BQ18" i="5" s="1"/>
  <c r="AQ86" i="5"/>
  <c r="Y39" i="5"/>
  <c r="Y18" i="5" s="1"/>
  <c r="CF39" i="5"/>
  <c r="CF18" i="5" s="1"/>
  <c r="BM39" i="5"/>
  <c r="BM18" i="5" s="1"/>
  <c r="BX39" i="5"/>
  <c r="BX18" i="5" s="1"/>
  <c r="BI39" i="5"/>
  <c r="BI18" i="5" s="1"/>
  <c r="BS39" i="5"/>
  <c r="BS18" i="5" s="1"/>
  <c r="DM164" i="5"/>
  <c r="BN39" i="5"/>
  <c r="BN18" i="5" s="1"/>
  <c r="CD39" i="5"/>
  <c r="CD18" i="5" s="1"/>
  <c r="CT39" i="5"/>
  <c r="CT18" i="5" s="1"/>
  <c r="CZ39" i="5"/>
  <c r="CZ18" i="5" s="1"/>
  <c r="BT39" i="5"/>
  <c r="BT18" i="5" s="1"/>
  <c r="BC39" i="5"/>
  <c r="BC18" i="5" s="1"/>
  <c r="BY39" i="5"/>
  <c r="BY18" i="5" s="1"/>
  <c r="CS39" i="5"/>
  <c r="CS18" i="5" s="1"/>
  <c r="AR39" i="5"/>
  <c r="AR18" i="5" s="1"/>
  <c r="BD39" i="5"/>
  <c r="BD18" i="5" s="1"/>
  <c r="BK39" i="5"/>
  <c r="BK18" i="5" s="1"/>
  <c r="CN39" i="5"/>
  <c r="CN18" i="5" s="1"/>
  <c r="DC39" i="5"/>
  <c r="DC18" i="5" s="1"/>
  <c r="BA39" i="5"/>
  <c r="BA18" i="5" s="1"/>
  <c r="DB39" i="5"/>
  <c r="DB18" i="5" s="1"/>
  <c r="CP39" i="5"/>
  <c r="CP18" i="5" s="1"/>
  <c r="BF39" i="5"/>
  <c r="BF18" i="5" s="1"/>
  <c r="BR39" i="5"/>
  <c r="BR18" i="5" s="1"/>
  <c r="AH39" i="5"/>
  <c r="AH18" i="5" s="1"/>
  <c r="AO39" i="5"/>
  <c r="AO18" i="5" s="1"/>
  <c r="BH39" i="5"/>
  <c r="BH18" i="5" s="1"/>
  <c r="BW164" i="5"/>
  <c r="CV39" i="5"/>
  <c r="CV18" i="5" s="1"/>
  <c r="DD39" i="5"/>
  <c r="DD18" i="5" s="1"/>
  <c r="CE39" i="5"/>
  <c r="CE18" i="5" s="1"/>
  <c r="CM39" i="5"/>
  <c r="CM18" i="5" s="1"/>
  <c r="Z39" i="5"/>
  <c r="Z18" i="5" s="1"/>
  <c r="W39" i="5"/>
  <c r="W18" i="5" s="1"/>
  <c r="BE39" i="5"/>
  <c r="BE18" i="5" s="1"/>
  <c r="DF39" i="5"/>
  <c r="DF18" i="5" s="1"/>
  <c r="X39" i="5"/>
  <c r="X18" i="5" s="1"/>
  <c r="BU39" i="5"/>
  <c r="BU18" i="5" s="1"/>
  <c r="AC39" i="5"/>
  <c r="AC18" i="5" s="1"/>
  <c r="BF164" i="5"/>
  <c r="AE164" i="5"/>
  <c r="AI160" i="5"/>
  <c r="AI162" i="5" s="1"/>
  <c r="CW164" i="5"/>
  <c r="DA164" i="5"/>
  <c r="BI164" i="5"/>
  <c r="AM164" i="5"/>
  <c r="DE164" i="5"/>
  <c r="AN164" i="5"/>
  <c r="BG164" i="5"/>
  <c r="CA164" i="5"/>
  <c r="AY164" i="5"/>
  <c r="AH162" i="5"/>
  <c r="CI164" i="5"/>
  <c r="BV164" i="5"/>
  <c r="Y164" i="5"/>
  <c r="CC164" i="5"/>
  <c r="BE164" i="5"/>
  <c r="DJ164" i="5"/>
  <c r="BK164" i="5"/>
  <c r="CB164" i="5"/>
  <c r="CM164" i="5"/>
  <c r="AO164" i="5"/>
  <c r="DF164" i="5"/>
  <c r="CH164" i="5"/>
  <c r="CJ164" i="5"/>
  <c r="CR164" i="5"/>
  <c r="Y162" i="5"/>
  <c r="CQ164" i="5"/>
  <c r="CZ164" i="5"/>
  <c r="AW164" i="5"/>
  <c r="CD164" i="5"/>
  <c r="AR164" i="5"/>
  <c r="AL164" i="5"/>
  <c r="DL164" i="5"/>
  <c r="CA162" i="5"/>
  <c r="BT164" i="5"/>
  <c r="Y161" i="5"/>
  <c r="CA161" i="5"/>
  <c r="DG164" i="5"/>
  <c r="CK164" i="5"/>
  <c r="BY164" i="5"/>
  <c r="BS164" i="5"/>
  <c r="AW162" i="5"/>
  <c r="AW161" i="5"/>
  <c r="DK164" i="5"/>
  <c r="BM164" i="5"/>
  <c r="CG164" i="5"/>
  <c r="AP164" i="5"/>
  <c r="AJ164" i="5"/>
  <c r="DD164" i="5"/>
  <c r="CL164" i="5"/>
  <c r="AF164" i="5"/>
  <c r="AB164" i="5"/>
  <c r="AD164" i="5"/>
  <c r="BU164" i="5"/>
  <c r="BJ164" i="5"/>
  <c r="CY164" i="5"/>
  <c r="BP164" i="5"/>
  <c r="BX164" i="5"/>
  <c r="AS164" i="5"/>
  <c r="AU164" i="5"/>
  <c r="CT164" i="5"/>
  <c r="DI164" i="5"/>
  <c r="AZ164" i="5"/>
  <c r="CP164" i="5"/>
  <c r="CE164" i="5"/>
  <c r="U160" i="5"/>
  <c r="U162" i="5" s="1"/>
  <c r="T161" i="5"/>
  <c r="T165" i="5" s="1"/>
  <c r="I46" i="8" s="1"/>
  <c r="T164" i="5"/>
  <c r="Z164" i="5"/>
  <c r="AT164" i="5"/>
  <c r="V164" i="5"/>
  <c r="V161" i="5"/>
  <c r="X32" i="1"/>
  <c r="W32" i="1" s="1"/>
  <c r="X31" i="1"/>
  <c r="W31" i="1" s="1"/>
  <c r="K10" i="8"/>
  <c r="H13" i="9"/>
  <c r="N13" i="9"/>
  <c r="U13" i="9"/>
  <c r="AG13" i="9"/>
  <c r="AR13" i="9"/>
  <c r="BB13" i="9"/>
  <c r="BN13" i="9"/>
  <c r="BW13" i="9"/>
  <c r="CF13" i="9"/>
  <c r="CO13" i="9"/>
  <c r="CX13" i="9"/>
  <c r="BS13" i="9"/>
  <c r="BK13" i="9"/>
  <c r="O13" i="9"/>
  <c r="W13" i="9"/>
  <c r="AJ13" i="9"/>
  <c r="AT13" i="9"/>
  <c r="BC13" i="9"/>
  <c r="BO13" i="9"/>
  <c r="BX13" i="9"/>
  <c r="CG13" i="9"/>
  <c r="CP13" i="9"/>
  <c r="CZ13" i="9"/>
  <c r="CQ13" i="9"/>
  <c r="BL13" i="9"/>
  <c r="P13" i="9"/>
  <c r="Y13" i="9"/>
  <c r="AK13" i="9"/>
  <c r="AV13" i="9"/>
  <c r="BD13" i="9"/>
  <c r="BP13" i="9"/>
  <c r="BY13" i="9"/>
  <c r="CI13" i="9"/>
  <c r="CR13" i="9"/>
  <c r="DA13" i="9"/>
  <c r="AU13" i="9"/>
  <c r="X13" i="9"/>
  <c r="Q13" i="9"/>
  <c r="Z13" i="9"/>
  <c r="AM13" i="9"/>
  <c r="AW13" i="9"/>
  <c r="BG13" i="9"/>
  <c r="BQ13" i="9"/>
  <c r="BZ13" i="9"/>
  <c r="CJ13" i="9"/>
  <c r="CS13" i="9"/>
  <c r="DB13" i="9"/>
  <c r="CH13" i="9"/>
  <c r="AS13" i="9"/>
  <c r="I13" i="9"/>
  <c r="R13" i="9"/>
  <c r="AA13" i="9"/>
  <c r="AL13" i="9"/>
  <c r="AX13" i="9"/>
  <c r="BH13" i="9"/>
  <c r="BR13" i="9"/>
  <c r="CA13" i="9"/>
  <c r="CK13" i="9"/>
  <c r="CT13" i="9"/>
  <c r="CE13" i="9"/>
  <c r="L13" i="9"/>
  <c r="AF13" i="9"/>
  <c r="J13" i="9"/>
  <c r="T13" i="9"/>
  <c r="AC13" i="9"/>
  <c r="AN13" i="9"/>
  <c r="AY13" i="9"/>
  <c r="BI13" i="9"/>
  <c r="BT13" i="9"/>
  <c r="CB13" i="9"/>
  <c r="CL13" i="9"/>
  <c r="CU13" i="9"/>
  <c r="BE13" i="9"/>
  <c r="CY13" i="9"/>
  <c r="AH13" i="9"/>
  <c r="K13" i="9"/>
  <c r="S13" i="9"/>
  <c r="AD13" i="9"/>
  <c r="AO13" i="9"/>
  <c r="AZ13" i="9"/>
  <c r="BJ13" i="9"/>
  <c r="BU13" i="9"/>
  <c r="CD13" i="9"/>
  <c r="CM13" i="9"/>
  <c r="CV13" i="9"/>
  <c r="AB13" i="9"/>
  <c r="AI13" i="9"/>
  <c r="M13" i="9"/>
  <c r="V13" i="9"/>
  <c r="AE13" i="9"/>
  <c r="AQ13" i="9"/>
  <c r="BA13" i="9"/>
  <c r="BM13" i="9"/>
  <c r="BV13" i="9"/>
  <c r="CC13" i="9"/>
  <c r="CN13" i="9"/>
  <c r="CW13" i="9"/>
  <c r="AP13" i="9"/>
  <c r="BF13" i="9"/>
  <c r="K10" i="9"/>
  <c r="CI162" i="5"/>
  <c r="CE162" i="5"/>
  <c r="CI161" i="5"/>
  <c r="CE161" i="5"/>
  <c r="AZ162" i="5"/>
  <c r="AO162" i="5"/>
  <c r="AR162" i="5"/>
  <c r="DH161" i="5"/>
  <c r="AD162" i="5"/>
  <c r="DA161" i="5"/>
  <c r="AD161" i="5"/>
  <c r="DA162" i="5"/>
  <c r="BL162" i="5"/>
  <c r="BS162" i="5"/>
  <c r="BG162" i="5"/>
  <c r="BF162" i="5"/>
  <c r="BP162" i="5"/>
  <c r="CO161" i="5"/>
  <c r="DF162" i="5"/>
  <c r="BP161" i="5"/>
  <c r="BS161" i="5"/>
  <c r="CY161" i="5"/>
  <c r="BF161" i="5"/>
  <c r="CM162" i="5"/>
  <c r="CJ162" i="5"/>
  <c r="BX162" i="5"/>
  <c r="DH162" i="5"/>
  <c r="BW161" i="5"/>
  <c r="CV162" i="5"/>
  <c r="BO161" i="5"/>
  <c r="AL161" i="5"/>
  <c r="BW162" i="5"/>
  <c r="CV161" i="5"/>
  <c r="BO162" i="5"/>
  <c r="AR161" i="5"/>
  <c r="AU161" i="5"/>
  <c r="AC162" i="5"/>
  <c r="AO161" i="5"/>
  <c r="CQ162" i="5"/>
  <c r="CX161" i="5"/>
  <c r="BT162" i="5"/>
  <c r="BM162" i="5"/>
  <c r="CU161" i="5"/>
  <c r="AJ161" i="5"/>
  <c r="AT161" i="5"/>
  <c r="BT161" i="5"/>
  <c r="AQ161" i="5"/>
  <c r="CC161" i="5"/>
  <c r="BM161" i="5"/>
  <c r="CU162" i="5"/>
  <c r="CZ161" i="5"/>
  <c r="DK162" i="5"/>
  <c r="CC162" i="5"/>
  <c r="BX161" i="5"/>
  <c r="AZ161" i="5"/>
  <c r="BL161" i="5"/>
  <c r="DE162" i="5"/>
  <c r="CZ162" i="5"/>
  <c r="BV161" i="5"/>
  <c r="CY162" i="5"/>
  <c r="BY162" i="5"/>
  <c r="AT162" i="5"/>
  <c r="AU162" i="5"/>
  <c r="AP161" i="5"/>
  <c r="AM161" i="5"/>
  <c r="CD161" i="5"/>
  <c r="AM162" i="5"/>
  <c r="DB162" i="5"/>
  <c r="CT162" i="5"/>
  <c r="CJ161" i="5"/>
  <c r="DB161" i="5"/>
  <c r="DE161" i="5"/>
  <c r="CX162" i="5"/>
  <c r="CT161" i="5"/>
  <c r="CP161" i="5"/>
  <c r="AB161" i="5"/>
  <c r="BU161" i="5"/>
  <c r="DM162" i="5"/>
  <c r="CW161" i="5"/>
  <c r="AK161" i="5"/>
  <c r="BQ162" i="5"/>
  <c r="CG162" i="5"/>
  <c r="AB162" i="5"/>
  <c r="DF161" i="5"/>
  <c r="CD162" i="5"/>
  <c r="DM161" i="5"/>
  <c r="CW162" i="5"/>
  <c r="AK162" i="5"/>
  <c r="CG161" i="5"/>
  <c r="CP162" i="5"/>
  <c r="BK161" i="5"/>
  <c r="CM161" i="5"/>
  <c r="AG164" i="5"/>
  <c r="AG162" i="5"/>
  <c r="AG161" i="5"/>
  <c r="CR162" i="5"/>
  <c r="BY161" i="5"/>
  <c r="AX161" i="5"/>
  <c r="AJ162" i="5"/>
  <c r="AE161" i="5"/>
  <c r="BG161" i="5"/>
  <c r="DC162" i="5"/>
  <c r="AP162" i="5"/>
  <c r="DK161" i="5"/>
  <c r="BE161" i="5"/>
  <c r="Z162" i="5"/>
  <c r="DC161" i="5"/>
  <c r="AS162" i="5"/>
  <c r="BE162" i="5"/>
  <c r="BZ164" i="5"/>
  <c r="BZ161" i="5"/>
  <c r="BZ162" i="5"/>
  <c r="W161" i="5"/>
  <c r="CB162" i="5"/>
  <c r="BH164" i="5"/>
  <c r="BH161" i="5"/>
  <c r="BH162" i="5"/>
  <c r="AS161" i="5"/>
  <c r="BQ161" i="5"/>
  <c r="DI161" i="5"/>
  <c r="Z161" i="5"/>
  <c r="W162" i="5"/>
  <c r="CB161" i="5"/>
  <c r="AV164" i="5"/>
  <c r="AV161" i="5"/>
  <c r="AV162" i="5"/>
  <c r="CQ161" i="5"/>
  <c r="CH162" i="5"/>
  <c r="DL162" i="5"/>
  <c r="CK162" i="5"/>
  <c r="AL162" i="5"/>
  <c r="X164" i="5"/>
  <c r="X161" i="5"/>
  <c r="X162" i="5"/>
  <c r="BN162" i="5"/>
  <c r="CH161" i="5"/>
  <c r="AA162" i="5"/>
  <c r="DL161" i="5"/>
  <c r="CL161" i="5"/>
  <c r="CK161" i="5"/>
  <c r="DI162" i="5"/>
  <c r="DJ162" i="5"/>
  <c r="BJ161" i="5"/>
  <c r="DG161" i="5"/>
  <c r="CN161" i="5"/>
  <c r="CF162" i="5"/>
  <c r="BB161" i="5"/>
  <c r="DD162" i="5"/>
  <c r="AA161" i="5"/>
  <c r="AY162" i="5"/>
  <c r="AQ162" i="5"/>
  <c r="CS161" i="5"/>
  <c r="CL162" i="5"/>
  <c r="AF161" i="5"/>
  <c r="AX162" i="5"/>
  <c r="BA161" i="5"/>
  <c r="CO162" i="5"/>
  <c r="CN162" i="5"/>
  <c r="AN161" i="5"/>
  <c r="CF161" i="5"/>
  <c r="BK162" i="5"/>
  <c r="AC161" i="5"/>
  <c r="BN161" i="5"/>
  <c r="DD161" i="5"/>
  <c r="BV162" i="5"/>
  <c r="AY161" i="5"/>
  <c r="CS162" i="5"/>
  <c r="BR161" i="5"/>
  <c r="AF162" i="5"/>
  <c r="DJ161" i="5"/>
  <c r="CR161" i="5"/>
  <c r="BJ162" i="5"/>
  <c r="DG162" i="5"/>
  <c r="BA162" i="5"/>
  <c r="AN162" i="5"/>
  <c r="AE162" i="5"/>
  <c r="BB162" i="5"/>
  <c r="BU162" i="5"/>
  <c r="BR162" i="5"/>
  <c r="Q102" i="5"/>
  <c r="Q98" i="5"/>
  <c r="Q56" i="5"/>
  <c r="Q88" i="5"/>
  <c r="Q101" i="5"/>
  <c r="Q49" i="5"/>
  <c r="Q89" i="5"/>
  <c r="Q92" i="5"/>
  <c r="Q48" i="5"/>
  <c r="Q47" i="5"/>
  <c r="Q97" i="5"/>
  <c r="Q99" i="5"/>
  <c r="Q46" i="5"/>
  <c r="Q43" i="5"/>
  <c r="Q53" i="5"/>
  <c r="Q44" i="5"/>
  <c r="Q40" i="5"/>
  <c r="Q103" i="5"/>
  <c r="Q100" i="5"/>
  <c r="Q52" i="5"/>
  <c r="Q94" i="5"/>
  <c r="Q91" i="5"/>
  <c r="Q51" i="5"/>
  <c r="Q42" i="5"/>
  <c r="Q54" i="5"/>
  <c r="Q41" i="5"/>
  <c r="Q45" i="5"/>
  <c r="Q95" i="5"/>
  <c r="Q90" i="5"/>
  <c r="Q93" i="5"/>
  <c r="Q96" i="5"/>
  <c r="Q55" i="5"/>
  <c r="Q50" i="5"/>
  <c r="Q66" i="5"/>
  <c r="Q19" i="5"/>
  <c r="AH44" i="1" l="1"/>
  <c r="I19" i="8"/>
  <c r="Q104" i="5"/>
  <c r="Q58" i="5"/>
  <c r="AN86" i="5"/>
  <c r="Q86" i="5" s="1"/>
  <c r="Q105" i="5"/>
  <c r="CI39" i="5"/>
  <c r="CI18" i="5" s="1"/>
  <c r="AD29" i="1" s="1"/>
  <c r="Q57" i="5"/>
  <c r="BI165" i="5"/>
  <c r="AX46" i="8" s="1"/>
  <c r="Q87" i="5"/>
  <c r="AH165" i="5"/>
  <c r="W46" i="8" s="1"/>
  <c r="V165" i="5"/>
  <c r="K46" i="8" s="1"/>
  <c r="M27" i="1"/>
  <c r="M105" i="7"/>
  <c r="M19" i="8" s="1"/>
  <c r="L105" i="7"/>
  <c r="L19" i="8" s="1"/>
  <c r="O105" i="7"/>
  <c r="O19" i="8" s="1"/>
  <c r="X90" i="1"/>
  <c r="V90" i="1"/>
  <c r="I120" i="8"/>
  <c r="I121" i="8" s="1"/>
  <c r="I122" i="8" s="1"/>
  <c r="K64" i="10"/>
  <c r="J119" i="8"/>
  <c r="K117" i="8" s="1"/>
  <c r="W9" i="5"/>
  <c r="I69" i="1" s="1"/>
  <c r="L10" i="10"/>
  <c r="BC162" i="5"/>
  <c r="BC164" i="5"/>
  <c r="BD161" i="5"/>
  <c r="BD165" i="5" s="1"/>
  <c r="AS46" i="8" s="1"/>
  <c r="BC161" i="5"/>
  <c r="BD164" i="5"/>
  <c r="X34" i="1"/>
  <c r="AI161" i="5"/>
  <c r="AI165" i="5" s="1"/>
  <c r="X46" i="8" s="1"/>
  <c r="AI164" i="5"/>
  <c r="AW165" i="5"/>
  <c r="AL46" i="8" s="1"/>
  <c r="CJ165" i="5"/>
  <c r="BY46" i="8" s="1"/>
  <c r="Y165" i="5"/>
  <c r="N46" i="8" s="1"/>
  <c r="DE165" i="5"/>
  <c r="CT46" i="8" s="1"/>
  <c r="CA165" i="5"/>
  <c r="BP46" i="8" s="1"/>
  <c r="BY165" i="5"/>
  <c r="BN46" i="8" s="1"/>
  <c r="U161" i="5"/>
  <c r="U165" i="5" s="1"/>
  <c r="J46" i="8" s="1"/>
  <c r="U164" i="5"/>
  <c r="CG165" i="5"/>
  <c r="BV46" i="8" s="1"/>
  <c r="BL165" i="5"/>
  <c r="BA46" i="8" s="1"/>
  <c r="BF165" i="5"/>
  <c r="AU46" i="8" s="1"/>
  <c r="AB29" i="1"/>
  <c r="CI165" i="5"/>
  <c r="BX46" i="8" s="1"/>
  <c r="AE29" i="1"/>
  <c r="BQ165" i="5"/>
  <c r="BF46" i="8" s="1"/>
  <c r="AC29" i="1"/>
  <c r="CE165" i="5"/>
  <c r="BT46" i="8" s="1"/>
  <c r="BV165" i="5"/>
  <c r="BK46" i="8" s="1"/>
  <c r="AR165" i="5"/>
  <c r="AG46" i="8" s="1"/>
  <c r="CC165" i="5"/>
  <c r="BR46" i="8" s="1"/>
  <c r="AD165" i="5"/>
  <c r="S46" i="8" s="1"/>
  <c r="CT165" i="5"/>
  <c r="CI46" i="8" s="1"/>
  <c r="AA29" i="1"/>
  <c r="H36" i="9"/>
  <c r="H28" i="9"/>
  <c r="H32" i="9"/>
  <c r="H20" i="9"/>
  <c r="H24" i="9"/>
  <c r="L9" i="9"/>
  <c r="L9" i="8"/>
  <c r="AZ165" i="5"/>
  <c r="AO46" i="8" s="1"/>
  <c r="AT165" i="5"/>
  <c r="AI46" i="8" s="1"/>
  <c r="DH165" i="5"/>
  <c r="CW46" i="8" s="1"/>
  <c r="Y29" i="1"/>
  <c r="Z29" i="1"/>
  <c r="DK165" i="5"/>
  <c r="CZ46" i="8" s="1"/>
  <c r="AG165" i="5"/>
  <c r="V46" i="8" s="1"/>
  <c r="AO165" i="5"/>
  <c r="AD46" i="8" s="1"/>
  <c r="DF165" i="5"/>
  <c r="CU46" i="8" s="1"/>
  <c r="DB165" i="5"/>
  <c r="CQ46" i="8" s="1"/>
  <c r="BT165" i="5"/>
  <c r="BI46" i="8" s="1"/>
  <c r="BP165" i="5"/>
  <c r="BE46" i="8" s="1"/>
  <c r="DA165" i="5"/>
  <c r="CP46" i="8" s="1"/>
  <c r="AM165" i="5"/>
  <c r="AB46" i="8" s="1"/>
  <c r="CO165" i="5"/>
  <c r="CD46" i="8" s="1"/>
  <c r="CQ165" i="5"/>
  <c r="CF46" i="8" s="1"/>
  <c r="CM165" i="5"/>
  <c r="CB46" i="8" s="1"/>
  <c r="BW165" i="5"/>
  <c r="BL46" i="8" s="1"/>
  <c r="CY165" i="5"/>
  <c r="CN46" i="8" s="1"/>
  <c r="BS165" i="5"/>
  <c r="BH46" i="8" s="1"/>
  <c r="AU165" i="5"/>
  <c r="AJ46" i="8" s="1"/>
  <c r="CD165" i="5"/>
  <c r="BS46" i="8" s="1"/>
  <c r="DM165" i="5"/>
  <c r="DB46" i="8" s="1"/>
  <c r="CU165" i="5"/>
  <c r="CJ46" i="8" s="1"/>
  <c r="CV165" i="5"/>
  <c r="CK46" i="8" s="1"/>
  <c r="BG165" i="5"/>
  <c r="AV46" i="8" s="1"/>
  <c r="AJ165" i="5"/>
  <c r="Y46" i="8" s="1"/>
  <c r="BM165" i="5"/>
  <c r="BB46" i="8" s="1"/>
  <c r="AP165" i="5"/>
  <c r="AE46" i="8" s="1"/>
  <c r="AY165" i="5"/>
  <c r="AN46" i="8" s="1"/>
  <c r="BK165" i="5"/>
  <c r="AZ46" i="8" s="1"/>
  <c r="AL165" i="5"/>
  <c r="AA46" i="8" s="1"/>
  <c r="BX165" i="5"/>
  <c r="BM46" i="8" s="1"/>
  <c r="DJ165" i="5"/>
  <c r="CY46" i="8" s="1"/>
  <c r="AC165" i="5"/>
  <c r="R46" i="8" s="1"/>
  <c r="CS165" i="5"/>
  <c r="CH46" i="8" s="1"/>
  <c r="DD165" i="5"/>
  <c r="CS46" i="8" s="1"/>
  <c r="AQ165" i="5"/>
  <c r="AF46" i="8" s="1"/>
  <c r="BO165" i="5"/>
  <c r="BD46" i="8" s="1"/>
  <c r="BU165" i="5"/>
  <c r="BJ46" i="8" s="1"/>
  <c r="CH165" i="5"/>
  <c r="BW46" i="8" s="1"/>
  <c r="CZ165" i="5"/>
  <c r="CO46" i="8" s="1"/>
  <c r="AB165" i="5"/>
  <c r="Q46" i="8" s="1"/>
  <c r="CP165" i="5"/>
  <c r="CE46" i="8" s="1"/>
  <c r="W165" i="5"/>
  <c r="L46" i="8" s="1"/>
  <c r="CX165" i="5"/>
  <c r="CM46" i="8" s="1"/>
  <c r="CN165" i="5"/>
  <c r="CC46" i="8" s="1"/>
  <c r="BA165" i="5"/>
  <c r="AP46" i="8" s="1"/>
  <c r="CB165" i="5"/>
  <c r="BQ46" i="8" s="1"/>
  <c r="AK165" i="5"/>
  <c r="Z46" i="8" s="1"/>
  <c r="BR165" i="5"/>
  <c r="BG46" i="8" s="1"/>
  <c r="CK165" i="5"/>
  <c r="BZ46" i="8" s="1"/>
  <c r="CW165" i="5"/>
  <c r="CL46" i="8" s="1"/>
  <c r="AV165" i="5"/>
  <c r="AK46" i="8" s="1"/>
  <c r="Z165" i="5"/>
  <c r="O46" i="8" s="1"/>
  <c r="AX165" i="5"/>
  <c r="AM46" i="8" s="1"/>
  <c r="BB165" i="5"/>
  <c r="AQ46" i="8" s="1"/>
  <c r="CL165" i="5"/>
  <c r="CA46" i="8" s="1"/>
  <c r="BZ165" i="5"/>
  <c r="BO46" i="8" s="1"/>
  <c r="DC165" i="5"/>
  <c r="CR46" i="8" s="1"/>
  <c r="AS165" i="5"/>
  <c r="AH46" i="8" s="1"/>
  <c r="CF165" i="5"/>
  <c r="BU46" i="8" s="1"/>
  <c r="AA165" i="5"/>
  <c r="P46" i="8" s="1"/>
  <c r="DG165" i="5"/>
  <c r="CV46" i="8" s="1"/>
  <c r="BH165" i="5"/>
  <c r="AW46" i="8" s="1"/>
  <c r="AE165" i="5"/>
  <c r="T46" i="8" s="1"/>
  <c r="AN165" i="5"/>
  <c r="AC46" i="8" s="1"/>
  <c r="X165" i="5"/>
  <c r="M46" i="8" s="1"/>
  <c r="DI165" i="5"/>
  <c r="CX46" i="8" s="1"/>
  <c r="BE165" i="5"/>
  <c r="AT46" i="8" s="1"/>
  <c r="CR165" i="5"/>
  <c r="CG46" i="8" s="1"/>
  <c r="BN165" i="5"/>
  <c r="BC46" i="8" s="1"/>
  <c r="AF165" i="5"/>
  <c r="U46" i="8" s="1"/>
  <c r="BJ165" i="5"/>
  <c r="AY46" i="8" s="1"/>
  <c r="DL165" i="5"/>
  <c r="DA46" i="8" s="1"/>
  <c r="Q39" i="5" l="1"/>
  <c r="Q18" i="5"/>
  <c r="I144" i="8"/>
  <c r="Q105" i="7"/>
  <c r="Q19" i="8" s="1"/>
  <c r="P105" i="7"/>
  <c r="P19" i="8" s="1"/>
  <c r="S105" i="7"/>
  <c r="S19" i="8" s="1"/>
  <c r="L12" i="10"/>
  <c r="L53" i="10"/>
  <c r="J120" i="8"/>
  <c r="K119" i="8"/>
  <c r="L117" i="8" s="1"/>
  <c r="BC165" i="5"/>
  <c r="AR46" i="8" s="1"/>
  <c r="F46" i="8" s="1"/>
  <c r="W10" i="5"/>
  <c r="I70" i="1" s="1"/>
  <c r="I121" i="1" s="1"/>
  <c r="M9" i="10"/>
  <c r="I20" i="9"/>
  <c r="H38" i="9"/>
  <c r="L10" i="8"/>
  <c r="I32" i="9"/>
  <c r="I28" i="9"/>
  <c r="L10" i="9"/>
  <c r="I36" i="9"/>
  <c r="I24" i="9"/>
  <c r="X29" i="1"/>
  <c r="T65" i="5"/>
  <c r="T182" i="5" s="1"/>
  <c r="S65" i="5"/>
  <c r="S182" i="5" s="1"/>
  <c r="U65" i="5"/>
  <c r="U182" i="5" s="1"/>
  <c r="V182" i="5"/>
  <c r="W65" i="5"/>
  <c r="W182" i="5" s="1"/>
  <c r="X65" i="5"/>
  <c r="X182" i="5" s="1"/>
  <c r="Y65" i="5"/>
  <c r="Y182" i="5" s="1"/>
  <c r="Z65" i="5"/>
  <c r="Z182" i="5" s="1"/>
  <c r="AA65" i="5"/>
  <c r="AA182" i="5" s="1"/>
  <c r="AB65" i="5"/>
  <c r="AB182" i="5" s="1"/>
  <c r="AC65" i="5"/>
  <c r="AC182" i="5" s="1"/>
  <c r="AD65" i="5"/>
  <c r="AD182" i="5" s="1"/>
  <c r="AE65" i="5"/>
  <c r="AE182" i="5" s="1"/>
  <c r="AF65" i="5"/>
  <c r="AF182" i="5" s="1"/>
  <c r="AG65" i="5"/>
  <c r="AG182" i="5" s="1"/>
  <c r="AH65" i="5"/>
  <c r="AH182" i="5" s="1"/>
  <c r="AI65" i="5"/>
  <c r="AI182" i="5" s="1"/>
  <c r="AJ65" i="5"/>
  <c r="AJ182" i="5" s="1"/>
  <c r="AK65" i="5"/>
  <c r="AK182" i="5" s="1"/>
  <c r="AL65" i="5"/>
  <c r="AL182" i="5" s="1"/>
  <c r="AM65" i="5"/>
  <c r="AM182" i="5" s="1"/>
  <c r="AN65" i="5"/>
  <c r="AN182" i="5" s="1"/>
  <c r="AO65" i="5"/>
  <c r="AO182" i="5" s="1"/>
  <c r="AP65" i="5"/>
  <c r="AP182" i="5" s="1"/>
  <c r="AQ65" i="5"/>
  <c r="AQ182" i="5" s="1"/>
  <c r="AR65" i="5"/>
  <c r="AR182" i="5" s="1"/>
  <c r="AS65" i="5"/>
  <c r="AS182" i="5" s="1"/>
  <c r="AT65" i="5"/>
  <c r="AT182" i="5" s="1"/>
  <c r="AU65" i="5"/>
  <c r="AU182" i="5" s="1"/>
  <c r="AV65" i="5"/>
  <c r="AV182" i="5" s="1"/>
  <c r="AW65" i="5"/>
  <c r="AW182" i="5" s="1"/>
  <c r="AX65" i="5"/>
  <c r="AX182" i="5" s="1"/>
  <c r="AY65" i="5"/>
  <c r="AY182" i="5" s="1"/>
  <c r="AZ65" i="5"/>
  <c r="AZ182" i="5" s="1"/>
  <c r="BA65" i="5"/>
  <c r="BA182" i="5" s="1"/>
  <c r="BB65" i="5"/>
  <c r="BB182" i="5" s="1"/>
  <c r="BC65" i="5"/>
  <c r="BC182" i="5" s="1"/>
  <c r="BD65" i="5"/>
  <c r="BD182" i="5" s="1"/>
  <c r="BE65" i="5"/>
  <c r="BE182" i="5" s="1"/>
  <c r="BF65" i="5"/>
  <c r="BF182" i="5" s="1"/>
  <c r="BG65" i="5"/>
  <c r="BG182" i="5" s="1"/>
  <c r="BH65" i="5"/>
  <c r="BH182" i="5" s="1"/>
  <c r="BI65" i="5"/>
  <c r="BI182" i="5" s="1"/>
  <c r="BJ65" i="5"/>
  <c r="BJ182" i="5" s="1"/>
  <c r="BK65" i="5"/>
  <c r="BK182" i="5" s="1"/>
  <c r="BL65" i="5"/>
  <c r="BL182" i="5" s="1"/>
  <c r="BM65" i="5"/>
  <c r="BM182" i="5" s="1"/>
  <c r="BN65" i="5"/>
  <c r="BN182" i="5" s="1"/>
  <c r="BO65" i="5"/>
  <c r="BO182" i="5" s="1"/>
  <c r="BP65" i="5"/>
  <c r="BP182" i="5" s="1"/>
  <c r="BQ65" i="5"/>
  <c r="BQ182" i="5" s="1"/>
  <c r="BR65" i="5"/>
  <c r="BR182" i="5" s="1"/>
  <c r="BS65" i="5"/>
  <c r="BS182" i="5" s="1"/>
  <c r="BT65" i="5"/>
  <c r="BT182" i="5" s="1"/>
  <c r="BU65" i="5"/>
  <c r="BU182" i="5" s="1"/>
  <c r="BV65" i="5"/>
  <c r="BV182" i="5" s="1"/>
  <c r="BW65" i="5"/>
  <c r="BW182" i="5" s="1"/>
  <c r="BX65" i="5"/>
  <c r="BX182" i="5" s="1"/>
  <c r="BY65" i="5"/>
  <c r="BY182" i="5" s="1"/>
  <c r="BZ65" i="5"/>
  <c r="BZ182" i="5" s="1"/>
  <c r="CA65" i="5"/>
  <c r="CA182" i="5" s="1"/>
  <c r="CB65" i="5"/>
  <c r="CB182" i="5" s="1"/>
  <c r="CC65" i="5"/>
  <c r="CC182" i="5" s="1"/>
  <c r="CD65" i="5"/>
  <c r="CD182" i="5" s="1"/>
  <c r="CE65" i="5"/>
  <c r="CE182" i="5" s="1"/>
  <c r="CF65" i="5"/>
  <c r="CF182" i="5" s="1"/>
  <c r="CG65" i="5"/>
  <c r="CG182" i="5" s="1"/>
  <c r="CH65" i="5"/>
  <c r="CH182" i="5" s="1"/>
  <c r="CI65" i="5"/>
  <c r="CI182" i="5" s="1"/>
  <c r="CJ65" i="5"/>
  <c r="CJ182" i="5" s="1"/>
  <c r="CK65" i="5"/>
  <c r="CK182" i="5" s="1"/>
  <c r="CL65" i="5"/>
  <c r="CL182" i="5" s="1"/>
  <c r="CM65" i="5"/>
  <c r="CM182" i="5" s="1"/>
  <c r="CN65" i="5"/>
  <c r="CN182" i="5" s="1"/>
  <c r="CO65" i="5"/>
  <c r="CO182" i="5" s="1"/>
  <c r="CP65" i="5"/>
  <c r="CP182" i="5" s="1"/>
  <c r="CQ65" i="5"/>
  <c r="CQ182" i="5" s="1"/>
  <c r="CR65" i="5"/>
  <c r="CR182" i="5" s="1"/>
  <c r="CS65" i="5"/>
  <c r="CS182" i="5" s="1"/>
  <c r="CT65" i="5"/>
  <c r="CT182" i="5" s="1"/>
  <c r="CU65" i="5"/>
  <c r="CU182" i="5" s="1"/>
  <c r="CV65" i="5"/>
  <c r="CV182" i="5" s="1"/>
  <c r="CW65" i="5"/>
  <c r="CW182" i="5" s="1"/>
  <c r="CX65" i="5"/>
  <c r="CX182" i="5" s="1"/>
  <c r="CY65" i="5"/>
  <c r="CY182" i="5" s="1"/>
  <c r="CZ65" i="5"/>
  <c r="CZ182" i="5" s="1"/>
  <c r="DA65" i="5"/>
  <c r="DA182" i="5" s="1"/>
  <c r="DB65" i="5"/>
  <c r="DB182" i="5" s="1"/>
  <c r="DC65" i="5"/>
  <c r="DC182" i="5" s="1"/>
  <c r="DD65" i="5"/>
  <c r="DD182" i="5" s="1"/>
  <c r="DE65" i="5"/>
  <c r="DE182" i="5" s="1"/>
  <c r="DF65" i="5"/>
  <c r="DF182" i="5" s="1"/>
  <c r="DG65" i="5"/>
  <c r="DG182" i="5" s="1"/>
  <c r="DH65" i="5"/>
  <c r="DH182" i="5" s="1"/>
  <c r="DI65" i="5"/>
  <c r="DI182" i="5" s="1"/>
  <c r="DJ65" i="5"/>
  <c r="DJ182" i="5" s="1"/>
  <c r="DK65" i="5"/>
  <c r="DK182" i="5" s="1"/>
  <c r="DL65" i="5"/>
  <c r="DL182" i="5" s="1"/>
  <c r="DM65" i="5"/>
  <c r="DM182" i="5" s="1"/>
  <c r="W29" i="1" l="1"/>
  <c r="W105" i="7"/>
  <c r="W19" i="8" s="1"/>
  <c r="T105" i="7"/>
  <c r="T19" i="8" s="1"/>
  <c r="U105" i="7"/>
  <c r="U19" i="8" s="1"/>
  <c r="BW18" i="8"/>
  <c r="AY18" i="8"/>
  <c r="AI18" i="8"/>
  <c r="S18" i="8"/>
  <c r="K18" i="8"/>
  <c r="CU18" i="8"/>
  <c r="CM18" i="8"/>
  <c r="CE18" i="8"/>
  <c r="BO18" i="8"/>
  <c r="BG18" i="8"/>
  <c r="AQ18" i="8"/>
  <c r="AA18" i="8"/>
  <c r="DB18" i="8"/>
  <c r="CT18" i="8"/>
  <c r="CL18" i="8"/>
  <c r="CD18" i="8"/>
  <c r="BV18" i="8"/>
  <c r="BN18" i="8"/>
  <c r="BF18" i="8"/>
  <c r="AX18" i="8"/>
  <c r="AP18" i="8"/>
  <c r="AH18" i="8"/>
  <c r="Z18" i="8"/>
  <c r="R18" i="8"/>
  <c r="J18" i="8"/>
  <c r="DA18" i="8"/>
  <c r="CS18" i="8"/>
  <c r="CK18" i="8"/>
  <c r="BU18" i="8"/>
  <c r="BM18" i="8"/>
  <c r="AW18" i="8"/>
  <c r="AO18" i="8"/>
  <c r="Y18" i="8"/>
  <c r="Q18" i="8"/>
  <c r="CZ18" i="8"/>
  <c r="CR18" i="8"/>
  <c r="CJ18" i="8"/>
  <c r="CB18" i="8"/>
  <c r="BT18" i="8"/>
  <c r="BL18" i="8"/>
  <c r="BD18" i="8"/>
  <c r="AV18" i="8"/>
  <c r="AN18" i="8"/>
  <c r="AF18" i="8"/>
  <c r="X18" i="8"/>
  <c r="P18" i="8"/>
  <c r="CY18" i="8"/>
  <c r="CQ18" i="8"/>
  <c r="CI18" i="8"/>
  <c r="CA18" i="8"/>
  <c r="BS18" i="8"/>
  <c r="BK18" i="8"/>
  <c r="BC18" i="8"/>
  <c r="AU18" i="8"/>
  <c r="AM18" i="8"/>
  <c r="AE18" i="8"/>
  <c r="W18" i="8"/>
  <c r="O18" i="8"/>
  <c r="CX18" i="8"/>
  <c r="CP18" i="8"/>
  <c r="CH18" i="8"/>
  <c r="BZ18" i="8"/>
  <c r="BR18" i="8"/>
  <c r="BJ18" i="8"/>
  <c r="BB18" i="8"/>
  <c r="AT18" i="8"/>
  <c r="AL18" i="8"/>
  <c r="AD18" i="8"/>
  <c r="V18" i="8"/>
  <c r="N18" i="8"/>
  <c r="CW18" i="8"/>
  <c r="CO18" i="8"/>
  <c r="CG18" i="8"/>
  <c r="BY18" i="8"/>
  <c r="BI18" i="8"/>
  <c r="BA18" i="8"/>
  <c r="AK18" i="8"/>
  <c r="AC18" i="8"/>
  <c r="M18" i="8"/>
  <c r="CV18" i="8"/>
  <c r="CN18" i="8"/>
  <c r="CF18" i="8"/>
  <c r="BX18" i="8"/>
  <c r="BP18" i="8"/>
  <c r="BH18" i="8"/>
  <c r="AZ18" i="8"/>
  <c r="AR18" i="8"/>
  <c r="AJ18" i="8"/>
  <c r="AB18" i="8"/>
  <c r="T18" i="8"/>
  <c r="L18" i="8"/>
  <c r="L64" i="10"/>
  <c r="K120" i="8"/>
  <c r="K121" i="8" s="1"/>
  <c r="J121" i="8"/>
  <c r="J122" i="8" s="1"/>
  <c r="J144" i="8"/>
  <c r="L119" i="8"/>
  <c r="M117" i="8" s="1"/>
  <c r="X9" i="5"/>
  <c r="J69" i="1" s="1"/>
  <c r="M10" i="10"/>
  <c r="H18" i="8"/>
  <c r="CC18" i="8"/>
  <c r="AE30" i="1"/>
  <c r="BE18" i="8"/>
  <c r="AC30" i="1"/>
  <c r="AC28" i="1" s="1"/>
  <c r="BQ18" i="8"/>
  <c r="AD30" i="1"/>
  <c r="AS18" i="8"/>
  <c r="AB30" i="1"/>
  <c r="J24" i="9"/>
  <c r="J36" i="9"/>
  <c r="M9" i="9"/>
  <c r="J32" i="9"/>
  <c r="K32" i="9" s="1"/>
  <c r="I38" i="9"/>
  <c r="M9" i="8"/>
  <c r="J20" i="9"/>
  <c r="J28" i="9"/>
  <c r="H20" i="8"/>
  <c r="AG18" i="8"/>
  <c r="AA30" i="1"/>
  <c r="I18" i="8"/>
  <c r="Y30" i="1"/>
  <c r="Y28" i="1" s="1"/>
  <c r="U18" i="8"/>
  <c r="Z30" i="1"/>
  <c r="Q65" i="5"/>
  <c r="AF44" i="1" l="1"/>
  <c r="G27" i="1" s="1"/>
  <c r="Z28" i="1"/>
  <c r="Z42" i="1" s="1"/>
  <c r="Z43" i="1" s="1"/>
  <c r="AA28" i="1"/>
  <c r="AA42" i="1" s="1"/>
  <c r="AE28" i="1"/>
  <c r="AE42" i="1" s="1"/>
  <c r="AE43" i="1" s="1"/>
  <c r="AD28" i="1"/>
  <c r="AB28" i="1"/>
  <c r="AB42" i="1" s="1"/>
  <c r="AB43" i="1" s="1"/>
  <c r="Y105" i="7"/>
  <c r="Y19" i="8" s="1"/>
  <c r="AA105" i="7"/>
  <c r="AA19" i="8" s="1"/>
  <c r="X105" i="7"/>
  <c r="X19" i="8" s="1"/>
  <c r="Q182" i="5"/>
  <c r="K144" i="8"/>
  <c r="M12" i="10"/>
  <c r="M53" i="10"/>
  <c r="K122" i="8"/>
  <c r="L120" i="8"/>
  <c r="M119" i="8"/>
  <c r="N117" i="8" s="1"/>
  <c r="H155" i="8"/>
  <c r="F18" i="8"/>
  <c r="AC42" i="1"/>
  <c r="AC43" i="1" s="1"/>
  <c r="X10" i="5"/>
  <c r="J70" i="1" s="1"/>
  <c r="J121" i="1" s="1"/>
  <c r="N9" i="10"/>
  <c r="Y42" i="1"/>
  <c r="X30" i="1"/>
  <c r="W30" i="1" s="1"/>
  <c r="K28" i="9"/>
  <c r="L28" i="9" s="1"/>
  <c r="K36" i="9"/>
  <c r="L36" i="9" s="1"/>
  <c r="M10" i="9"/>
  <c r="N9" i="9" s="1"/>
  <c r="N10" i="9" s="1"/>
  <c r="O9" i="9" s="1"/>
  <c r="O10" i="9" s="1"/>
  <c r="P9" i="9" s="1"/>
  <c r="P10" i="9" s="1"/>
  <c r="Q9" i="9" s="1"/>
  <c r="Q10" i="9" s="1"/>
  <c r="R9" i="9" s="1"/>
  <c r="R10" i="9" s="1"/>
  <c r="S9" i="9" s="1"/>
  <c r="S10" i="9" s="1"/>
  <c r="T9" i="9" s="1"/>
  <c r="T10" i="9" s="1"/>
  <c r="U9" i="9" s="1"/>
  <c r="U10" i="9" s="1"/>
  <c r="V9" i="9" s="1"/>
  <c r="V10" i="9" s="1"/>
  <c r="W9" i="9" s="1"/>
  <c r="W10" i="9" s="1"/>
  <c r="X9" i="9" s="1"/>
  <c r="H16" i="9" s="1"/>
  <c r="J38" i="9"/>
  <c r="J20" i="8" s="1"/>
  <c r="K20" i="9"/>
  <c r="L32" i="9"/>
  <c r="M32" i="9" s="1"/>
  <c r="N32" i="9" s="1"/>
  <c r="I20" i="8"/>
  <c r="I155" i="8" s="1"/>
  <c r="M10" i="8"/>
  <c r="N9" i="8" s="1"/>
  <c r="N10" i="8" s="1"/>
  <c r="O9" i="8" s="1"/>
  <c r="O10" i="8" s="1"/>
  <c r="P9" i="8" s="1"/>
  <c r="P10" i="8" s="1"/>
  <c r="Q9" i="8" s="1"/>
  <c r="Q10" i="8" s="1"/>
  <c r="R9" i="8" s="1"/>
  <c r="R10" i="8" s="1"/>
  <c r="S9" i="8" s="1"/>
  <c r="S10" i="8" s="1"/>
  <c r="T9" i="8" s="1"/>
  <c r="T10" i="8" s="1"/>
  <c r="U9" i="8" s="1"/>
  <c r="U10" i="8" s="1"/>
  <c r="V9" i="8" s="1"/>
  <c r="V10" i="8" s="1"/>
  <c r="W9" i="8" s="1"/>
  <c r="W10" i="8" s="1"/>
  <c r="X9" i="8" s="1"/>
  <c r="W15" i="8" s="1"/>
  <c r="K24" i="9"/>
  <c r="X28" i="1" l="1"/>
  <c r="R62" i="1"/>
  <c r="R65" i="1" s="1"/>
  <c r="AA43" i="1"/>
  <c r="AD42" i="1"/>
  <c r="AD43" i="1" s="1"/>
  <c r="AB105" i="7"/>
  <c r="AB19" i="8" s="1"/>
  <c r="AE105" i="7"/>
  <c r="AE19" i="8" s="1"/>
  <c r="AC105" i="7"/>
  <c r="AC19" i="8" s="1"/>
  <c r="M120" i="8"/>
  <c r="M121" i="8" s="1"/>
  <c r="M64" i="10"/>
  <c r="L121" i="8"/>
  <c r="L122" i="8" s="1"/>
  <c r="L144" i="8"/>
  <c r="N119" i="8"/>
  <c r="O117" i="8" s="1"/>
  <c r="H156" i="8"/>
  <c r="I156" i="8" s="1"/>
  <c r="Y9" i="5"/>
  <c r="K69" i="1" s="1"/>
  <c r="N10" i="10"/>
  <c r="Y43" i="1"/>
  <c r="M23" i="1"/>
  <c r="X16" i="9"/>
  <c r="T16" i="9"/>
  <c r="S16" i="9"/>
  <c r="M16" i="9"/>
  <c r="Q16" i="9"/>
  <c r="M28" i="9"/>
  <c r="N28" i="9" s="1"/>
  <c r="O28" i="9" s="1"/>
  <c r="I15" i="8"/>
  <c r="N16" i="9"/>
  <c r="K16" i="9"/>
  <c r="L15" i="8"/>
  <c r="AV15" i="8"/>
  <c r="O15" i="8"/>
  <c r="S15" i="8"/>
  <c r="K15" i="8"/>
  <c r="O16" i="9"/>
  <c r="V16" i="9"/>
  <c r="M15" i="8"/>
  <c r="H15" i="8"/>
  <c r="Q15" i="8"/>
  <c r="P16" i="9"/>
  <c r="I16" i="9"/>
  <c r="O32" i="9"/>
  <c r="L24" i="9"/>
  <c r="J15" i="8"/>
  <c r="X10" i="8"/>
  <c r="CX15" i="8" s="1"/>
  <c r="BH15" i="8"/>
  <c r="X15" i="8"/>
  <c r="R15" i="8"/>
  <c r="AN15" i="8"/>
  <c r="AH15" i="8"/>
  <c r="CD15" i="8"/>
  <c r="AC15" i="8"/>
  <c r="CS15" i="8"/>
  <c r="AR15" i="8"/>
  <c r="AP15" i="8"/>
  <c r="CG15" i="8"/>
  <c r="AZ15" i="8"/>
  <c r="T15" i="8"/>
  <c r="AQ15" i="8"/>
  <c r="AW15" i="8"/>
  <c r="BZ15" i="8"/>
  <c r="AK15" i="8"/>
  <c r="AG15" i="8"/>
  <c r="AB15" i="8"/>
  <c r="AL15" i="8"/>
  <c r="AD15" i="8"/>
  <c r="BR15" i="8"/>
  <c r="AE15" i="8"/>
  <c r="CN15" i="8"/>
  <c r="BX15" i="8"/>
  <c r="AT15" i="8"/>
  <c r="BF15" i="8"/>
  <c r="CR15" i="8"/>
  <c r="V15" i="8"/>
  <c r="BC15" i="8"/>
  <c r="U15" i="8"/>
  <c r="AM15" i="8"/>
  <c r="BA15" i="8"/>
  <c r="CL15" i="8"/>
  <c r="AO15" i="8"/>
  <c r="AX15" i="8"/>
  <c r="AY15" i="8"/>
  <c r="BV15" i="8"/>
  <c r="CC15" i="8"/>
  <c r="Z15" i="8"/>
  <c r="CA15" i="8"/>
  <c r="CI15" i="8"/>
  <c r="Y15" i="8"/>
  <c r="P15" i="8"/>
  <c r="N15" i="8"/>
  <c r="K38" i="9"/>
  <c r="L20" i="9"/>
  <c r="X10" i="9"/>
  <c r="CY16" i="9" s="1"/>
  <c r="Y16" i="9"/>
  <c r="U16" i="9"/>
  <c r="BQ16" i="9"/>
  <c r="BB16" i="9"/>
  <c r="R16" i="9"/>
  <c r="AR16" i="9"/>
  <c r="L16" i="9"/>
  <c r="J16" i="9"/>
  <c r="BE16" i="9"/>
  <c r="AP16" i="9"/>
  <c r="CL16" i="9"/>
  <c r="CO16" i="9"/>
  <c r="AC16" i="9"/>
  <c r="AH16" i="9"/>
  <c r="CH16" i="9"/>
  <c r="AM16" i="9"/>
  <c r="AB16" i="9"/>
  <c r="AK16" i="9"/>
  <c r="W16" i="9"/>
  <c r="CR16" i="9"/>
  <c r="BF16" i="9"/>
  <c r="Z16" i="9"/>
  <c r="AY16" i="9"/>
  <c r="CQ16" i="9"/>
  <c r="BD16" i="9"/>
  <c r="AS16" i="9"/>
  <c r="BJ16" i="9"/>
  <c r="AF16" i="9"/>
  <c r="AD16" i="9"/>
  <c r="AU16" i="9"/>
  <c r="AE16" i="9"/>
  <c r="AV16" i="9"/>
  <c r="BN16" i="9"/>
  <c r="M36" i="9"/>
  <c r="X42" i="1" l="1"/>
  <c r="AG105" i="7"/>
  <c r="AG19" i="8" s="1"/>
  <c r="AI105" i="7"/>
  <c r="AI19" i="8" s="1"/>
  <c r="AF105" i="7"/>
  <c r="AF19" i="8" s="1"/>
  <c r="M144" i="8"/>
  <c r="N12" i="10"/>
  <c r="N53" i="10"/>
  <c r="M122" i="8"/>
  <c r="N120" i="8"/>
  <c r="O119" i="8"/>
  <c r="P117" i="8" s="1"/>
  <c r="BY16" i="9"/>
  <c r="CK16" i="9"/>
  <c r="BB15" i="8"/>
  <c r="CJ15" i="8"/>
  <c r="CP15" i="8"/>
  <c r="CB15" i="8"/>
  <c r="CM15" i="8"/>
  <c r="BY15" i="8"/>
  <c r="BQ15" i="8"/>
  <c r="BM16" i="9"/>
  <c r="BX16" i="9"/>
  <c r="CK15" i="8"/>
  <c r="CQ15" i="8"/>
  <c r="CF15" i="8"/>
  <c r="CO15" i="8"/>
  <c r="BU16" i="9"/>
  <c r="BN15" i="8"/>
  <c r="BI15" i="8"/>
  <c r="CT15" i="8"/>
  <c r="CB16" i="9"/>
  <c r="BI16" i="9"/>
  <c r="CA16" i="9"/>
  <c r="BK15" i="8"/>
  <c r="BW15" i="8"/>
  <c r="BS15" i="8"/>
  <c r="BE15" i="8"/>
  <c r="CP16" i="9"/>
  <c r="CF16" i="9"/>
  <c r="CD16" i="9"/>
  <c r="BT15" i="8"/>
  <c r="CH15" i="8"/>
  <c r="BP15" i="8"/>
  <c r="BL15" i="8"/>
  <c r="CE15" i="8"/>
  <c r="Y10" i="5"/>
  <c r="K70" i="1" s="1"/>
  <c r="K121" i="1" s="1"/>
  <c r="O9" i="10"/>
  <c r="CW15" i="8"/>
  <c r="CX16" i="9"/>
  <c r="CV15" i="8"/>
  <c r="DA16" i="9"/>
  <c r="CV16" i="9"/>
  <c r="CU16" i="9"/>
  <c r="L38" i="9"/>
  <c r="L20" i="8" s="1"/>
  <c r="L155" i="8" s="1"/>
  <c r="M20" i="9"/>
  <c r="N20" i="9" s="1"/>
  <c r="CU15" i="8"/>
  <c r="BH16" i="9"/>
  <c r="AZ16" i="9"/>
  <c r="CG16" i="9"/>
  <c r="AO16" i="9"/>
  <c r="AN16" i="9"/>
  <c r="BR16" i="9"/>
  <c r="DB16" i="9"/>
  <c r="AI16" i="9"/>
  <c r="BW16" i="9"/>
  <c r="BT16" i="9"/>
  <c r="CC16" i="9"/>
  <c r="BZ16" i="9"/>
  <c r="CN16" i="9"/>
  <c r="AQ16" i="9"/>
  <c r="BA16" i="9"/>
  <c r="BS16" i="9"/>
  <c r="AX16" i="9"/>
  <c r="CE16" i="9"/>
  <c r="AJ16" i="9"/>
  <c r="BG16" i="9"/>
  <c r="AL16" i="9"/>
  <c r="AW16" i="9"/>
  <c r="BL16" i="9"/>
  <c r="BP16" i="9"/>
  <c r="BC16" i="9"/>
  <c r="CI16" i="9"/>
  <c r="CS16" i="9"/>
  <c r="BK16" i="9"/>
  <c r="BV16" i="9"/>
  <c r="BO16" i="9"/>
  <c r="AA16" i="9"/>
  <c r="AG16" i="9"/>
  <c r="CM16" i="9"/>
  <c r="CZ16" i="9"/>
  <c r="CT16" i="9"/>
  <c r="CJ16" i="9"/>
  <c r="AT16" i="9"/>
  <c r="CW16" i="9"/>
  <c r="DA15" i="8"/>
  <c r="N36" i="9"/>
  <c r="O36" i="9" s="1"/>
  <c r="P36" i="9" s="1"/>
  <c r="Q36" i="9" s="1"/>
  <c r="R36" i="9" s="1"/>
  <c r="S36" i="9" s="1"/>
  <c r="T36" i="9" s="1"/>
  <c r="U36" i="9" s="1"/>
  <c r="V36" i="9" s="1"/>
  <c r="W36" i="9" s="1"/>
  <c r="X36" i="9" s="1"/>
  <c r="Y36" i="9" s="1"/>
  <c r="Z36" i="9" s="1"/>
  <c r="AA36" i="9" s="1"/>
  <c r="AB36" i="9" s="1"/>
  <c r="AC36" i="9" s="1"/>
  <c r="AD36" i="9" s="1"/>
  <c r="AE36" i="9" s="1"/>
  <c r="AF36" i="9" s="1"/>
  <c r="AG36" i="9" s="1"/>
  <c r="AH36" i="9" s="1"/>
  <c r="AI36" i="9" s="1"/>
  <c r="AJ36" i="9" s="1"/>
  <c r="AK36" i="9" s="1"/>
  <c r="AL36" i="9" s="1"/>
  <c r="AM36" i="9" s="1"/>
  <c r="AN36" i="9" s="1"/>
  <c r="AO36" i="9" s="1"/>
  <c r="AP36" i="9" s="1"/>
  <c r="AQ36" i="9" s="1"/>
  <c r="AR36" i="9" s="1"/>
  <c r="AS36" i="9" s="1"/>
  <c r="AT36" i="9" s="1"/>
  <c r="AU36" i="9" s="1"/>
  <c r="AV36" i="9" s="1"/>
  <c r="AW36" i="9" s="1"/>
  <c r="AX36" i="9" s="1"/>
  <c r="AY36" i="9" s="1"/>
  <c r="AZ36" i="9" s="1"/>
  <c r="BA36" i="9" s="1"/>
  <c r="BB36" i="9" s="1"/>
  <c r="BC36" i="9" s="1"/>
  <c r="BD36" i="9" s="1"/>
  <c r="BE36" i="9" s="1"/>
  <c r="BF36" i="9" s="1"/>
  <c r="BG36" i="9" s="1"/>
  <c r="BH36" i="9" s="1"/>
  <c r="BI36" i="9" s="1"/>
  <c r="BJ36" i="9" s="1"/>
  <c r="BK36" i="9" s="1"/>
  <c r="BL36" i="9" s="1"/>
  <c r="BM36" i="9" s="1"/>
  <c r="BN36" i="9" s="1"/>
  <c r="BO36" i="9" s="1"/>
  <c r="BP36" i="9" s="1"/>
  <c r="BQ36" i="9" s="1"/>
  <c r="BR36" i="9" s="1"/>
  <c r="BS36" i="9" s="1"/>
  <c r="BT36" i="9" s="1"/>
  <c r="BU36" i="9" s="1"/>
  <c r="BV36" i="9" s="1"/>
  <c r="BW36" i="9" s="1"/>
  <c r="BX36" i="9" s="1"/>
  <c r="BY36" i="9" s="1"/>
  <c r="BZ36" i="9" s="1"/>
  <c r="CA36" i="9" s="1"/>
  <c r="CB36" i="9" s="1"/>
  <c r="CC36" i="9" s="1"/>
  <c r="CD36" i="9" s="1"/>
  <c r="CE36" i="9" s="1"/>
  <c r="CF36" i="9" s="1"/>
  <c r="CG36" i="9" s="1"/>
  <c r="CH36" i="9" s="1"/>
  <c r="CI36" i="9" s="1"/>
  <c r="CJ36" i="9" s="1"/>
  <c r="CK36" i="9" s="1"/>
  <c r="CL36" i="9" s="1"/>
  <c r="DB15" i="8"/>
  <c r="BD15" i="8"/>
  <c r="BU15" i="8"/>
  <c r="AI15" i="8"/>
  <c r="AU15" i="8"/>
  <c r="AJ15" i="8"/>
  <c r="BM15" i="8"/>
  <c r="AS15" i="8"/>
  <c r="AF15" i="8"/>
  <c r="AA15" i="8"/>
  <c r="BG15" i="8"/>
  <c r="BO15" i="8"/>
  <c r="BJ15" i="8"/>
  <c r="CZ15" i="8"/>
  <c r="CY15" i="8"/>
  <c r="M24" i="9"/>
  <c r="P32" i="9"/>
  <c r="K20" i="8"/>
  <c r="P28" i="9"/>
  <c r="AK105" i="7" l="1"/>
  <c r="AK19" i="8" s="1"/>
  <c r="AM105" i="7"/>
  <c r="AM19" i="8" s="1"/>
  <c r="AJ105" i="7"/>
  <c r="AJ19" i="8" s="1"/>
  <c r="L100" i="1"/>
  <c r="Q72" i="1"/>
  <c r="E100" i="1"/>
  <c r="S72" i="1"/>
  <c r="O120" i="8"/>
  <c r="R72" i="1"/>
  <c r="M72" i="1"/>
  <c r="F100" i="1"/>
  <c r="E102" i="1"/>
  <c r="L102" i="1"/>
  <c r="P102" i="1"/>
  <c r="Q93" i="1"/>
  <c r="K87" i="1"/>
  <c r="K133" i="1" s="1"/>
  <c r="I87" i="1"/>
  <c r="I133" i="1" s="1"/>
  <c r="G86" i="1"/>
  <c r="G123" i="1" s="1"/>
  <c r="O103" i="1"/>
  <c r="H86" i="1"/>
  <c r="H123" i="1" s="1"/>
  <c r="E103" i="1"/>
  <c r="K103" i="1"/>
  <c r="P80" i="1"/>
  <c r="M86" i="1"/>
  <c r="M123" i="1" s="1"/>
  <c r="M80" i="1"/>
  <c r="R91" i="1"/>
  <c r="I72" i="1"/>
  <c r="M100" i="1"/>
  <c r="F93" i="1"/>
  <c r="I93" i="1"/>
  <c r="M93" i="1"/>
  <c r="S93" i="1"/>
  <c r="L87" i="1"/>
  <c r="L133" i="1" s="1"/>
  <c r="M87" i="1"/>
  <c r="M133" i="1" s="1"/>
  <c r="O86" i="1"/>
  <c r="O123" i="1" s="1"/>
  <c r="L91" i="1"/>
  <c r="M91" i="1"/>
  <c r="F91" i="1"/>
  <c r="K86" i="1"/>
  <c r="K123" i="1" s="1"/>
  <c r="S103" i="1"/>
  <c r="R80" i="1"/>
  <c r="H72" i="1"/>
  <c r="G72" i="1"/>
  <c r="O100" i="1"/>
  <c r="S100" i="1"/>
  <c r="I102" i="1"/>
  <c r="M102" i="1"/>
  <c r="Q102" i="1"/>
  <c r="E93" i="1"/>
  <c r="P87" i="1"/>
  <c r="P133" i="1" s="1"/>
  <c r="R87" i="1"/>
  <c r="R133" i="1" s="1"/>
  <c r="N91" i="1"/>
  <c r="S86" i="1"/>
  <c r="S123" i="1" s="1"/>
  <c r="E80" i="1"/>
  <c r="L103" i="1"/>
  <c r="F103" i="1"/>
  <c r="P72" i="1"/>
  <c r="L72" i="1"/>
  <c r="O72" i="1"/>
  <c r="N100" i="1"/>
  <c r="Q100" i="1"/>
  <c r="F102" i="1"/>
  <c r="J93" i="1"/>
  <c r="N93" i="1"/>
  <c r="R93" i="1"/>
  <c r="G87" i="1"/>
  <c r="G133" i="1" s="1"/>
  <c r="Q87" i="1"/>
  <c r="Q133" i="1" s="1"/>
  <c r="Q86" i="1"/>
  <c r="Q123" i="1" s="1"/>
  <c r="I86" i="1"/>
  <c r="I123" i="1" s="1"/>
  <c r="L86" i="1"/>
  <c r="L123" i="1" s="1"/>
  <c r="R86" i="1"/>
  <c r="R123" i="1" s="1"/>
  <c r="I91" i="1"/>
  <c r="F86" i="1"/>
  <c r="F123" i="1" s="1"/>
  <c r="N103" i="1"/>
  <c r="J100" i="1"/>
  <c r="I100" i="1"/>
  <c r="H102" i="1"/>
  <c r="N102" i="1"/>
  <c r="R102" i="1"/>
  <c r="J102" i="1"/>
  <c r="F87" i="1"/>
  <c r="F133" i="1" s="1"/>
  <c r="J80" i="1"/>
  <c r="K91" i="1"/>
  <c r="H103" i="1"/>
  <c r="I103" i="1"/>
  <c r="F80" i="1"/>
  <c r="G91" i="1"/>
  <c r="N80" i="1"/>
  <c r="I80" i="1"/>
  <c r="Q91" i="1"/>
  <c r="N86" i="1"/>
  <c r="N123" i="1" s="1"/>
  <c r="E72" i="1"/>
  <c r="N72" i="1"/>
  <c r="K100" i="1"/>
  <c r="G100" i="1"/>
  <c r="H100" i="1"/>
  <c r="G93" i="1"/>
  <c r="K93" i="1"/>
  <c r="O93" i="1"/>
  <c r="E87" i="1"/>
  <c r="E133" i="1" s="1"/>
  <c r="H87" i="1"/>
  <c r="H133" i="1" s="1"/>
  <c r="K80" i="1"/>
  <c r="S91" i="1"/>
  <c r="P103" i="1"/>
  <c r="Q103" i="1"/>
  <c r="J103" i="1"/>
  <c r="O91" i="1"/>
  <c r="J86" i="1"/>
  <c r="J123" i="1" s="1"/>
  <c r="Q80" i="1"/>
  <c r="K102" i="1"/>
  <c r="O102" i="1"/>
  <c r="S102" i="1"/>
  <c r="O87" i="1"/>
  <c r="O133" i="1" s="1"/>
  <c r="S87" i="1"/>
  <c r="S133" i="1" s="1"/>
  <c r="S80" i="1"/>
  <c r="P86" i="1"/>
  <c r="P123" i="1" s="1"/>
  <c r="R103" i="1"/>
  <c r="O80" i="1"/>
  <c r="G80" i="1"/>
  <c r="H91" i="1"/>
  <c r="E91" i="1"/>
  <c r="J72" i="1"/>
  <c r="K72" i="1"/>
  <c r="R100" i="1"/>
  <c r="F72" i="1"/>
  <c r="P100" i="1"/>
  <c r="G102" i="1"/>
  <c r="H93" i="1"/>
  <c r="L93" i="1"/>
  <c r="P93" i="1"/>
  <c r="J87" i="1"/>
  <c r="J133" i="1" s="1"/>
  <c r="N87" i="1"/>
  <c r="N133" i="1" s="1"/>
  <c r="G103" i="1"/>
  <c r="L80" i="1"/>
  <c r="E86" i="1"/>
  <c r="E123" i="1" s="1"/>
  <c r="H80" i="1"/>
  <c r="P91" i="1"/>
  <c r="M103" i="1"/>
  <c r="J91" i="1"/>
  <c r="N64" i="10"/>
  <c r="O121" i="8"/>
  <c r="O144" i="8"/>
  <c r="N121" i="8"/>
  <c r="N144" i="8"/>
  <c r="P119" i="8"/>
  <c r="Q117" i="8" s="1"/>
  <c r="K155" i="8"/>
  <c r="J30" i="10"/>
  <c r="S32" i="10"/>
  <c r="J32" i="10"/>
  <c r="O32" i="10"/>
  <c r="R32" i="10"/>
  <c r="J28" i="10"/>
  <c r="T32" i="10"/>
  <c r="K32" i="10"/>
  <c r="J31" i="10"/>
  <c r="M32" i="10"/>
  <c r="U32" i="10"/>
  <c r="L32" i="10"/>
  <c r="P32" i="10"/>
  <c r="V32" i="10"/>
  <c r="N32" i="10"/>
  <c r="Q32" i="10"/>
  <c r="Z9" i="5"/>
  <c r="L69" i="1" s="1"/>
  <c r="O10" i="10"/>
  <c r="CM36" i="9"/>
  <c r="CN36" i="9" s="1"/>
  <c r="CO36" i="9" s="1"/>
  <c r="CP36" i="9" s="1"/>
  <c r="CQ36" i="9" s="1"/>
  <c r="CR36" i="9" s="1"/>
  <c r="CS36" i="9" s="1"/>
  <c r="CT36" i="9" s="1"/>
  <c r="CU36" i="9" s="1"/>
  <c r="CV36" i="9" s="1"/>
  <c r="CW36" i="9" s="1"/>
  <c r="CX36" i="9" s="1"/>
  <c r="CY36" i="9" s="1"/>
  <c r="CZ36" i="9" s="1"/>
  <c r="DA36" i="9" s="1"/>
  <c r="DB36" i="9" s="1"/>
  <c r="F36" i="9" s="1"/>
  <c r="D36" i="9" s="1"/>
  <c r="Q32" i="9"/>
  <c r="R32" i="9" s="1"/>
  <c r="S32" i="9" s="1"/>
  <c r="T32" i="9" s="1"/>
  <c r="U32" i="9" s="1"/>
  <c r="O20" i="9"/>
  <c r="M38" i="9"/>
  <c r="N24" i="9"/>
  <c r="Q28" i="9"/>
  <c r="AQ105" i="7" l="1"/>
  <c r="AQ19" i="8" s="1"/>
  <c r="AN105" i="7"/>
  <c r="AN19" i="8" s="1"/>
  <c r="AO105" i="7"/>
  <c r="AO19" i="8" s="1"/>
  <c r="N122" i="8"/>
  <c r="O122" i="8" s="1"/>
  <c r="O12" i="10"/>
  <c r="O53" i="10"/>
  <c r="O64" i="10" s="1"/>
  <c r="P120" i="8"/>
  <c r="P121" i="8" s="1"/>
  <c r="Q119" i="8"/>
  <c r="R117" i="8" s="1"/>
  <c r="K31" i="10"/>
  <c r="V32" i="9"/>
  <c r="W32" i="9" s="1"/>
  <c r="X32" i="9" s="1"/>
  <c r="Y32" i="9" s="1"/>
  <c r="Z32" i="9" s="1"/>
  <c r="AA32" i="9" s="1"/>
  <c r="W32" i="10"/>
  <c r="H32" i="10" s="1"/>
  <c r="Z10" i="5"/>
  <c r="L70" i="1" s="1"/>
  <c r="L121" i="1" s="1"/>
  <c r="P9" i="10"/>
  <c r="O24" i="9"/>
  <c r="R28" i="9"/>
  <c r="S28" i="9" s="1"/>
  <c r="T28" i="9" s="1"/>
  <c r="U28" i="9" s="1"/>
  <c r="M20" i="8"/>
  <c r="P20" i="9"/>
  <c r="N38" i="9"/>
  <c r="N20" i="8" s="1"/>
  <c r="AR105" i="7" l="1"/>
  <c r="AR19" i="8" s="1"/>
  <c r="AS105" i="7"/>
  <c r="AS19" i="8" s="1"/>
  <c r="AU105" i="7"/>
  <c r="AU19" i="8" s="1"/>
  <c r="F74" i="1"/>
  <c r="P144" i="8"/>
  <c r="P122" i="8"/>
  <c r="Q120" i="8"/>
  <c r="R119" i="8"/>
  <c r="S117" i="8" s="1"/>
  <c r="M155" i="8"/>
  <c r="L31" i="10"/>
  <c r="V28" i="9"/>
  <c r="W28" i="9" s="1"/>
  <c r="X28" i="9" s="1"/>
  <c r="Y28" i="9" s="1"/>
  <c r="Z28" i="9" s="1"/>
  <c r="AA28" i="9" s="1"/>
  <c r="P24" i="9"/>
  <c r="Q24" i="9" s="1"/>
  <c r="R24" i="9" s="1"/>
  <c r="S24" i="9" s="1"/>
  <c r="T24" i="9" s="1"/>
  <c r="U24" i="9" s="1"/>
  <c r="AB32" i="9"/>
  <c r="AA9" i="5"/>
  <c r="M69" i="1" s="1"/>
  <c r="P10" i="10"/>
  <c r="O38" i="9"/>
  <c r="O20" i="8" s="1"/>
  <c r="Q20" i="9"/>
  <c r="AY105" i="7" l="1"/>
  <c r="AY19" i="8" s="1"/>
  <c r="AW105" i="7"/>
  <c r="AW19" i="8" s="1"/>
  <c r="AV105" i="7"/>
  <c r="AV19" i="8" s="1"/>
  <c r="O155" i="8"/>
  <c r="L30" i="10"/>
  <c r="P12" i="10"/>
  <c r="P53" i="10"/>
  <c r="P64" i="10" s="1"/>
  <c r="Q121" i="8"/>
  <c r="Q122" i="8" s="1"/>
  <c r="Q144" i="8"/>
  <c r="R120" i="8"/>
  <c r="S119" i="8"/>
  <c r="T117" i="8" s="1"/>
  <c r="K29" i="10"/>
  <c r="P38" i="9"/>
  <c r="P20" i="8" s="1"/>
  <c r="P155" i="8" s="1"/>
  <c r="AC32" i="9"/>
  <c r="V24" i="9"/>
  <c r="AB28" i="9"/>
  <c r="AC28" i="9" s="1"/>
  <c r="AD28" i="9" s="1"/>
  <c r="AE28" i="9" s="1"/>
  <c r="AF28" i="9" s="1"/>
  <c r="AG28" i="9" s="1"/>
  <c r="AA10" i="5"/>
  <c r="M70" i="1" s="1"/>
  <c r="M121" i="1" s="1"/>
  <c r="Q9" i="10"/>
  <c r="Q38" i="9"/>
  <c r="Q20" i="8" s="1"/>
  <c r="Q155" i="8" s="1"/>
  <c r="R20" i="9"/>
  <c r="AZ105" i="7" l="1"/>
  <c r="AZ19" i="8" s="1"/>
  <c r="BA105" i="7"/>
  <c r="BA19" i="8" s="1"/>
  <c r="BC105" i="7"/>
  <c r="BC19" i="8" s="1"/>
  <c r="R121" i="8"/>
  <c r="R122" i="8" s="1"/>
  <c r="R144" i="8"/>
  <c r="S120" i="8"/>
  <c r="T119" i="8"/>
  <c r="U117" i="8" s="1"/>
  <c r="M30" i="10"/>
  <c r="AH28" i="9"/>
  <c r="AI28" i="9" s="1"/>
  <c r="AJ28" i="9" s="1"/>
  <c r="AK28" i="9" s="1"/>
  <c r="AL28" i="9" s="1"/>
  <c r="AM28" i="9" s="1"/>
  <c r="W24" i="9"/>
  <c r="AD32" i="9"/>
  <c r="AB9" i="5"/>
  <c r="N69" i="1" s="1"/>
  <c r="Q10" i="10"/>
  <c r="R38" i="9"/>
  <c r="R20" i="8" s="1"/>
  <c r="S20" i="9"/>
  <c r="BE105" i="7" l="1"/>
  <c r="BE19" i="8" s="1"/>
  <c r="BD105" i="7"/>
  <c r="BD19" i="8" s="1"/>
  <c r="BG105" i="7"/>
  <c r="BG19" i="8" s="1"/>
  <c r="T120" i="8"/>
  <c r="T121" i="8" s="1"/>
  <c r="Q12" i="10"/>
  <c r="Q53" i="10"/>
  <c r="Q64" i="10" s="1"/>
  <c r="S121" i="8"/>
  <c r="S122" i="8" s="1"/>
  <c r="S144" i="8"/>
  <c r="U119" i="8"/>
  <c r="V117" i="8" s="1"/>
  <c r="N30" i="10"/>
  <c r="AE32" i="9"/>
  <c r="AF32" i="9" s="1"/>
  <c r="AG32" i="9" s="1"/>
  <c r="X24" i="9"/>
  <c r="Y24" i="9" s="1"/>
  <c r="Z24" i="9" s="1"/>
  <c r="AA24" i="9" s="1"/>
  <c r="AN28" i="9"/>
  <c r="AO28" i="9" s="1"/>
  <c r="AP28" i="9" s="1"/>
  <c r="AQ28" i="9" s="1"/>
  <c r="AR28" i="9" s="1"/>
  <c r="AS28" i="9" s="1"/>
  <c r="AB10" i="5"/>
  <c r="N70" i="1" s="1"/>
  <c r="N121" i="1" s="1"/>
  <c r="R9" i="10"/>
  <c r="S38" i="9"/>
  <c r="S20" i="8" s="1"/>
  <c r="S155" i="8" s="1"/>
  <c r="T20" i="9"/>
  <c r="BK105" i="7" l="1"/>
  <c r="BK19" i="8" s="1"/>
  <c r="BH105" i="7"/>
  <c r="BH19" i="8" s="1"/>
  <c r="BI105" i="7"/>
  <c r="BI19" i="8" s="1"/>
  <c r="T122" i="8"/>
  <c r="T144" i="8"/>
  <c r="U120" i="8"/>
  <c r="V119" i="8"/>
  <c r="W117" i="8" s="1"/>
  <c r="L29" i="10"/>
  <c r="AT28" i="9"/>
  <c r="AU28" i="9" s="1"/>
  <c r="AV28" i="9" s="1"/>
  <c r="AW28" i="9" s="1"/>
  <c r="AX28" i="9" s="1"/>
  <c r="AY28" i="9" s="1"/>
  <c r="AB24" i="9"/>
  <c r="AC24" i="9" s="1"/>
  <c r="AD24" i="9" s="1"/>
  <c r="AE24" i="9" s="1"/>
  <c r="AF24" i="9" s="1"/>
  <c r="AG24" i="9" s="1"/>
  <c r="AH32" i="9"/>
  <c r="O30" i="10"/>
  <c r="AC9" i="5"/>
  <c r="O69" i="1" s="1"/>
  <c r="R10" i="10"/>
  <c r="T38" i="9"/>
  <c r="T20" i="8" s="1"/>
  <c r="U20" i="9"/>
  <c r="BO105" i="7" l="1"/>
  <c r="BO19" i="8" s="1"/>
  <c r="BL105" i="7"/>
  <c r="BL19" i="8" s="1"/>
  <c r="BM105" i="7"/>
  <c r="BM19" i="8" s="1"/>
  <c r="T155" i="8"/>
  <c r="G74" i="1"/>
  <c r="R12" i="10"/>
  <c r="R53" i="10"/>
  <c r="R64" i="10" s="1"/>
  <c r="U121" i="8"/>
  <c r="U122" i="8" s="1"/>
  <c r="U144" i="8"/>
  <c r="V120" i="8"/>
  <c r="W119" i="8"/>
  <c r="X117" i="8" s="1"/>
  <c r="P30" i="10"/>
  <c r="M29" i="10"/>
  <c r="AH24" i="9"/>
  <c r="AI24" i="9" s="1"/>
  <c r="AJ24" i="9" s="1"/>
  <c r="AK24" i="9" s="1"/>
  <c r="AL24" i="9" s="1"/>
  <c r="AM24" i="9" s="1"/>
  <c r="AI32" i="9"/>
  <c r="AZ28" i="9"/>
  <c r="BA28" i="9" s="1"/>
  <c r="BB28" i="9" s="1"/>
  <c r="BC28" i="9" s="1"/>
  <c r="BD28" i="9" s="1"/>
  <c r="BE28" i="9" s="1"/>
  <c r="AC10" i="5"/>
  <c r="O70" i="1" s="1"/>
  <c r="O121" i="1" s="1"/>
  <c r="S9" i="10"/>
  <c r="U38" i="9"/>
  <c r="U20" i="8" s="1"/>
  <c r="V20" i="9"/>
  <c r="BP105" i="7" l="1"/>
  <c r="BP19" i="8" s="1"/>
  <c r="BS105" i="7"/>
  <c r="BS19" i="8" s="1"/>
  <c r="BQ105" i="7"/>
  <c r="BQ19" i="8" s="1"/>
  <c r="U155" i="8"/>
  <c r="V121" i="8"/>
  <c r="V122" i="8" s="1"/>
  <c r="V144" i="8"/>
  <c r="W120" i="8"/>
  <c r="X119" i="8"/>
  <c r="Y117" i="8" s="1"/>
  <c r="Q30" i="10"/>
  <c r="BF28" i="9"/>
  <c r="BG28" i="9" s="1"/>
  <c r="BH28" i="9" s="1"/>
  <c r="BI28" i="9" s="1"/>
  <c r="BJ28" i="9" s="1"/>
  <c r="BK28" i="9" s="1"/>
  <c r="AJ32" i="9"/>
  <c r="AK32" i="9" s="1"/>
  <c r="AL32" i="9" s="1"/>
  <c r="AM32" i="9" s="1"/>
  <c r="N29" i="10"/>
  <c r="AN24" i="9"/>
  <c r="AO24" i="9" s="1"/>
  <c r="AP24" i="9" s="1"/>
  <c r="AQ24" i="9" s="1"/>
  <c r="AR24" i="9" s="1"/>
  <c r="AS24" i="9" s="1"/>
  <c r="AD9" i="5"/>
  <c r="P69" i="1" s="1"/>
  <c r="S10" i="10"/>
  <c r="V38" i="9"/>
  <c r="V20" i="8" s="1"/>
  <c r="W20" i="9"/>
  <c r="BU105" i="7" l="1"/>
  <c r="BU19" i="8" s="1"/>
  <c r="BT105" i="7"/>
  <c r="BT19" i="8" s="1"/>
  <c r="BW105" i="7"/>
  <c r="BW19" i="8" s="1"/>
  <c r="S12" i="10"/>
  <c r="S53" i="10"/>
  <c r="S64" i="10" s="1"/>
  <c r="W121" i="8"/>
  <c r="W122" i="8" s="1"/>
  <c r="W144" i="8"/>
  <c r="X120" i="8"/>
  <c r="Y119" i="8"/>
  <c r="Z117" i="8" s="1"/>
  <c r="R30" i="10"/>
  <c r="AN32" i="9"/>
  <c r="AO32" i="9" s="1"/>
  <c r="AP32" i="9" s="1"/>
  <c r="AQ32" i="9" s="1"/>
  <c r="AR32" i="9" s="1"/>
  <c r="AS32" i="9" s="1"/>
  <c r="AT24" i="9"/>
  <c r="AU24" i="9" s="1"/>
  <c r="AV24" i="9" s="1"/>
  <c r="AW24" i="9" s="1"/>
  <c r="AX24" i="9" s="1"/>
  <c r="AY24" i="9" s="1"/>
  <c r="BL28" i="9"/>
  <c r="BM28" i="9" s="1"/>
  <c r="BN28" i="9" s="1"/>
  <c r="BO28" i="9" s="1"/>
  <c r="BP28" i="9" s="1"/>
  <c r="BQ28" i="9" s="1"/>
  <c r="O29" i="10"/>
  <c r="AD10" i="5"/>
  <c r="P70" i="1" s="1"/>
  <c r="P121" i="1" s="1"/>
  <c r="T9" i="10"/>
  <c r="W38" i="9"/>
  <c r="W20" i="8" s="1"/>
  <c r="X20" i="9"/>
  <c r="BY105" i="7" l="1"/>
  <c r="BY19" i="8" s="1"/>
  <c r="CA105" i="7"/>
  <c r="CA19" i="8" s="1"/>
  <c r="BX105" i="7"/>
  <c r="BX19" i="8" s="1"/>
  <c r="W155" i="8"/>
  <c r="Y120" i="8"/>
  <c r="Y121" i="8" s="1"/>
  <c r="X121" i="8"/>
  <c r="X122" i="8" s="1"/>
  <c r="X144" i="8"/>
  <c r="Z119" i="8"/>
  <c r="AA117" i="8" s="1"/>
  <c r="P29" i="10"/>
  <c r="O31" i="10"/>
  <c r="AZ24" i="9"/>
  <c r="BA24" i="9" s="1"/>
  <c r="BB24" i="9" s="1"/>
  <c r="BC24" i="9" s="1"/>
  <c r="BD24" i="9" s="1"/>
  <c r="BE24" i="9" s="1"/>
  <c r="BR28" i="9"/>
  <c r="BS28" i="9" s="1"/>
  <c r="BT28" i="9" s="1"/>
  <c r="BU28" i="9" s="1"/>
  <c r="BV28" i="9" s="1"/>
  <c r="BW28" i="9" s="1"/>
  <c r="AT32" i="9"/>
  <c r="AU32" i="9" s="1"/>
  <c r="AV32" i="9" s="1"/>
  <c r="AW32" i="9" s="1"/>
  <c r="AX32" i="9" s="1"/>
  <c r="AY32" i="9" s="1"/>
  <c r="S30" i="10"/>
  <c r="AE9" i="5"/>
  <c r="Q69" i="1" s="1"/>
  <c r="T10" i="10"/>
  <c r="X38" i="9"/>
  <c r="X20" i="8" s="1"/>
  <c r="X155" i="8" s="1"/>
  <c r="Y20" i="9"/>
  <c r="CB105" i="7" l="1"/>
  <c r="CB19" i="8" s="1"/>
  <c r="CE105" i="7"/>
  <c r="CE19" i="8" s="1"/>
  <c r="CC105" i="7"/>
  <c r="CC19" i="8" s="1"/>
  <c r="Y144" i="8"/>
  <c r="Y122" i="8"/>
  <c r="T12" i="10"/>
  <c r="T53" i="10"/>
  <c r="T64" i="10" s="1"/>
  <c r="Z120" i="8"/>
  <c r="AA119" i="8"/>
  <c r="AB117" i="8" s="1"/>
  <c r="T30" i="10"/>
  <c r="P31" i="10"/>
  <c r="Q29" i="10"/>
  <c r="AZ32" i="9"/>
  <c r="BA32" i="9" s="1"/>
  <c r="BB32" i="9" s="1"/>
  <c r="BC32" i="9" s="1"/>
  <c r="BD32" i="9" s="1"/>
  <c r="BE32" i="9" s="1"/>
  <c r="BX28" i="9"/>
  <c r="BY28" i="9" s="1"/>
  <c r="BZ28" i="9" s="1"/>
  <c r="CA28" i="9" s="1"/>
  <c r="CB28" i="9" s="1"/>
  <c r="CC28" i="9" s="1"/>
  <c r="BF24" i="9"/>
  <c r="BG24" i="9" s="1"/>
  <c r="BH24" i="9" s="1"/>
  <c r="BI24" i="9" s="1"/>
  <c r="BJ24" i="9" s="1"/>
  <c r="BK24" i="9" s="1"/>
  <c r="AE10" i="5"/>
  <c r="Q70" i="1" s="1"/>
  <c r="Q121" i="1" s="1"/>
  <c r="U9" i="10"/>
  <c r="Y38" i="9"/>
  <c r="Y20" i="8" s="1"/>
  <c r="Z20" i="9"/>
  <c r="CG105" i="7" l="1"/>
  <c r="CG19" i="8" s="1"/>
  <c r="CI105" i="7"/>
  <c r="CI19" i="8" s="1"/>
  <c r="CF105" i="7"/>
  <c r="CF19" i="8" s="1"/>
  <c r="Y155" i="8"/>
  <c r="Z121" i="8"/>
  <c r="Z122" i="8" s="1"/>
  <c r="Z144" i="8"/>
  <c r="AA120" i="8"/>
  <c r="AB119" i="8"/>
  <c r="AC117" i="8" s="1"/>
  <c r="Q31" i="10"/>
  <c r="U30" i="10"/>
  <c r="R29" i="10"/>
  <c r="BL24" i="9"/>
  <c r="BM24" i="9" s="1"/>
  <c r="BN24" i="9" s="1"/>
  <c r="BO24" i="9" s="1"/>
  <c r="BP24" i="9" s="1"/>
  <c r="BQ24" i="9" s="1"/>
  <c r="CD28" i="9"/>
  <c r="CE28" i="9" s="1"/>
  <c r="CF28" i="9" s="1"/>
  <c r="CG28" i="9" s="1"/>
  <c r="CH28" i="9" s="1"/>
  <c r="CI28" i="9" s="1"/>
  <c r="BF32" i="9"/>
  <c r="BG32" i="9" s="1"/>
  <c r="BH32" i="9" s="1"/>
  <c r="BI32" i="9" s="1"/>
  <c r="BJ32" i="9" s="1"/>
  <c r="BK32" i="9" s="1"/>
  <c r="AF9" i="5"/>
  <c r="R69" i="1" s="1"/>
  <c r="U10" i="10"/>
  <c r="Z38" i="9"/>
  <c r="Z20" i="8" s="1"/>
  <c r="AA20" i="9"/>
  <c r="CM105" i="7" l="1"/>
  <c r="CM19" i="8" s="1"/>
  <c r="CK105" i="7"/>
  <c r="CK19" i="8" s="1"/>
  <c r="CJ105" i="7"/>
  <c r="CJ19" i="8" s="1"/>
  <c r="H74" i="1"/>
  <c r="U12" i="10"/>
  <c r="U53" i="10"/>
  <c r="U64" i="10" s="1"/>
  <c r="AA121" i="8"/>
  <c r="AA122" i="8" s="1"/>
  <c r="AA144" i="8"/>
  <c r="AC119" i="8"/>
  <c r="AD117" i="8" s="1"/>
  <c r="AB120" i="8"/>
  <c r="S29" i="10"/>
  <c r="R31" i="10"/>
  <c r="V30" i="10"/>
  <c r="CJ28" i="9"/>
  <c r="CK28" i="9" s="1"/>
  <c r="CL28" i="9" s="1"/>
  <c r="CM28" i="9" s="1"/>
  <c r="CN28" i="9" s="1"/>
  <c r="CO28" i="9" s="1"/>
  <c r="CP28" i="9" s="1"/>
  <c r="CQ28" i="9" s="1"/>
  <c r="CR28" i="9" s="1"/>
  <c r="CS28" i="9" s="1"/>
  <c r="CT28" i="9" s="1"/>
  <c r="CU28" i="9" s="1"/>
  <c r="CV28" i="9" s="1"/>
  <c r="CW28" i="9" s="1"/>
  <c r="CX28" i="9" s="1"/>
  <c r="CY28" i="9" s="1"/>
  <c r="CZ28" i="9" s="1"/>
  <c r="DA28" i="9" s="1"/>
  <c r="DB28" i="9" s="1"/>
  <c r="BL32" i="9"/>
  <c r="BM32" i="9" s="1"/>
  <c r="BN32" i="9" s="1"/>
  <c r="BO32" i="9" s="1"/>
  <c r="BP32" i="9" s="1"/>
  <c r="BQ32" i="9" s="1"/>
  <c r="BR24" i="9"/>
  <c r="BS24" i="9" s="1"/>
  <c r="BT24" i="9" s="1"/>
  <c r="BU24" i="9" s="1"/>
  <c r="BV24" i="9" s="1"/>
  <c r="BW24" i="9" s="1"/>
  <c r="AF10" i="5"/>
  <c r="R70" i="1" s="1"/>
  <c r="R121" i="1" s="1"/>
  <c r="V9" i="10"/>
  <c r="AA38" i="9"/>
  <c r="AA20" i="8" s="1"/>
  <c r="AB20" i="9"/>
  <c r="CN105" i="7" l="1"/>
  <c r="CN19" i="8" s="1"/>
  <c r="CQ105" i="7"/>
  <c r="CQ19" i="8" s="1"/>
  <c r="CO105" i="7"/>
  <c r="CO19" i="8" s="1"/>
  <c r="AA155" i="8"/>
  <c r="AC120" i="8"/>
  <c r="AC121" i="8" s="1"/>
  <c r="AB121" i="8"/>
  <c r="AB122" i="8" s="1"/>
  <c r="AB144" i="8"/>
  <c r="AD119" i="8"/>
  <c r="AE117" i="8" s="1"/>
  <c r="W30" i="10"/>
  <c r="S31" i="10"/>
  <c r="BX24" i="9"/>
  <c r="BY24" i="9" s="1"/>
  <c r="BZ24" i="9" s="1"/>
  <c r="CA24" i="9" s="1"/>
  <c r="CB24" i="9" s="1"/>
  <c r="CC24" i="9" s="1"/>
  <c r="F28" i="9"/>
  <c r="D28" i="9" s="1"/>
  <c r="K30" i="10"/>
  <c r="T29" i="10"/>
  <c r="BR32" i="9"/>
  <c r="BS32" i="9" s="1"/>
  <c r="BT32" i="9" s="1"/>
  <c r="BU32" i="9" s="1"/>
  <c r="BV32" i="9" s="1"/>
  <c r="BW32" i="9" s="1"/>
  <c r="AG9" i="5"/>
  <c r="S69" i="1" s="1"/>
  <c r="V10" i="10"/>
  <c r="AB38" i="9"/>
  <c r="AB20" i="8" s="1"/>
  <c r="AB155" i="8" s="1"/>
  <c r="AC20" i="9"/>
  <c r="CS105" i="7" l="1"/>
  <c r="CS19" i="8" s="1"/>
  <c r="CR105" i="7"/>
  <c r="CR19" i="8" s="1"/>
  <c r="CU105" i="7"/>
  <c r="CU19" i="8" s="1"/>
  <c r="AC144" i="8"/>
  <c r="V12" i="10"/>
  <c r="V53" i="10"/>
  <c r="V64" i="10" s="1"/>
  <c r="AC122" i="8"/>
  <c r="H30" i="10"/>
  <c r="AE119" i="8"/>
  <c r="AF117" i="8" s="1"/>
  <c r="AD120" i="8"/>
  <c r="U29" i="10"/>
  <c r="T31" i="10"/>
  <c r="BX32" i="9"/>
  <c r="BY32" i="9" s="1"/>
  <c r="BZ32" i="9" s="1"/>
  <c r="CA32" i="9" s="1"/>
  <c r="CB32" i="9" s="1"/>
  <c r="CC32" i="9" s="1"/>
  <c r="CD24" i="9"/>
  <c r="CE24" i="9" s="1"/>
  <c r="CF24" i="9" s="1"/>
  <c r="CG24" i="9" s="1"/>
  <c r="CH24" i="9" s="1"/>
  <c r="CI24" i="9" s="1"/>
  <c r="AG10" i="5"/>
  <c r="S70" i="1" s="1"/>
  <c r="S121" i="1" s="1"/>
  <c r="W9" i="10"/>
  <c r="AC38" i="9"/>
  <c r="AC20" i="8" s="1"/>
  <c r="AC155" i="8" s="1"/>
  <c r="AD20" i="9"/>
  <c r="CV105" i="7" l="1"/>
  <c r="CV19" i="8" s="1"/>
  <c r="CW105" i="7"/>
  <c r="CW19" i="8" s="1"/>
  <c r="CY105" i="7"/>
  <c r="CY19" i="8" s="1"/>
  <c r="AE120" i="8"/>
  <c r="AE121" i="8" s="1"/>
  <c r="AD121" i="8"/>
  <c r="AD122" i="8" s="1"/>
  <c r="AD144" i="8"/>
  <c r="AF119" i="8"/>
  <c r="AG117" i="8" s="1"/>
  <c r="V29" i="10"/>
  <c r="U31" i="10"/>
  <c r="CJ24" i="9"/>
  <c r="CK24" i="9" s="1"/>
  <c r="CL24" i="9" s="1"/>
  <c r="CM24" i="9" s="1"/>
  <c r="CN24" i="9" s="1"/>
  <c r="CO24" i="9" s="1"/>
  <c r="CP24" i="9" s="1"/>
  <c r="CQ24" i="9" s="1"/>
  <c r="CR24" i="9" s="1"/>
  <c r="CS24" i="9" s="1"/>
  <c r="CT24" i="9" s="1"/>
  <c r="CU24" i="9" s="1"/>
  <c r="CV24" i="9" s="1"/>
  <c r="CW24" i="9" s="1"/>
  <c r="CX24" i="9" s="1"/>
  <c r="CY24" i="9" s="1"/>
  <c r="CZ24" i="9" s="1"/>
  <c r="DA24" i="9" s="1"/>
  <c r="DB24" i="9" s="1"/>
  <c r="CD32" i="9"/>
  <c r="CE32" i="9" s="1"/>
  <c r="CF32" i="9" s="1"/>
  <c r="CG32" i="9" s="1"/>
  <c r="CH32" i="9" s="1"/>
  <c r="CI32" i="9" s="1"/>
  <c r="AH9" i="5"/>
  <c r="AH10" i="5" s="1"/>
  <c r="AI9" i="5" s="1"/>
  <c r="W10" i="10"/>
  <c r="AD38" i="9"/>
  <c r="AD20" i="8" s="1"/>
  <c r="AE20" i="9"/>
  <c r="F24" i="9" l="1"/>
  <c r="D24" i="9" s="1"/>
  <c r="J29" i="10"/>
  <c r="CZ105" i="7"/>
  <c r="CZ19" i="8" s="1"/>
  <c r="DA105" i="7"/>
  <c r="DA19" i="8" s="1"/>
  <c r="AE144" i="8"/>
  <c r="AE122" i="8"/>
  <c r="W29" i="10"/>
  <c r="W12" i="10"/>
  <c r="W53" i="10"/>
  <c r="AD52" i="8"/>
  <c r="CC51" i="8"/>
  <c r="AN51" i="8"/>
  <c r="AU51" i="8"/>
  <c r="BC52" i="8"/>
  <c r="AG51" i="8"/>
  <c r="CP52" i="8"/>
  <c r="CP51" i="8"/>
  <c r="AG52" i="8"/>
  <c r="K51" i="8"/>
  <c r="P52" i="8"/>
  <c r="AE51" i="8"/>
  <c r="CG51" i="8"/>
  <c r="Q52" i="8"/>
  <c r="BL52" i="8"/>
  <c r="BW51" i="8"/>
  <c r="BY51" i="8"/>
  <c r="BB52" i="8"/>
  <c r="Y52" i="8"/>
  <c r="AI51" i="8"/>
  <c r="S52" i="8"/>
  <c r="CM51" i="8"/>
  <c r="CC52" i="8"/>
  <c r="AA52" i="8"/>
  <c r="BH51" i="8"/>
  <c r="S51" i="8"/>
  <c r="W52" i="8"/>
  <c r="BK51" i="8"/>
  <c r="AJ51" i="8"/>
  <c r="O51" i="8"/>
  <c r="CY51" i="8"/>
  <c r="BY52" i="8"/>
  <c r="AW51" i="8"/>
  <c r="CM52" i="8"/>
  <c r="AB51" i="8"/>
  <c r="BH52" i="8"/>
  <c r="BG52" i="8"/>
  <c r="CT51" i="8"/>
  <c r="AK52" i="8"/>
  <c r="BI51" i="8"/>
  <c r="CQ51" i="8"/>
  <c r="J52" i="8"/>
  <c r="CX51" i="8"/>
  <c r="CL52" i="8"/>
  <c r="BF52" i="8"/>
  <c r="BZ51" i="8"/>
  <c r="L51" i="8"/>
  <c r="DB52" i="8"/>
  <c r="BS51" i="8"/>
  <c r="BU51" i="8"/>
  <c r="AC52" i="8"/>
  <c r="AZ52" i="8"/>
  <c r="Y51" i="8"/>
  <c r="DA52" i="8"/>
  <c r="BC51" i="8"/>
  <c r="AC51" i="8"/>
  <c r="BR52" i="8"/>
  <c r="BW52" i="8"/>
  <c r="CU51" i="8"/>
  <c r="AQ52" i="8"/>
  <c r="CO51" i="8"/>
  <c r="CF52" i="8"/>
  <c r="CA51" i="8"/>
  <c r="X51" i="8"/>
  <c r="H51" i="8"/>
  <c r="CZ51" i="8"/>
  <c r="CF51" i="8"/>
  <c r="M52" i="8"/>
  <c r="BT52" i="8"/>
  <c r="I52" i="8"/>
  <c r="CE52" i="8"/>
  <c r="AO51" i="8"/>
  <c r="AZ51" i="8"/>
  <c r="AP52" i="8"/>
  <c r="CT52" i="8"/>
  <c r="O52" i="8"/>
  <c r="Q51" i="8"/>
  <c r="CS52" i="8"/>
  <c r="BQ51" i="8"/>
  <c r="BX51" i="8"/>
  <c r="BQ52" i="8"/>
  <c r="AO52" i="8"/>
  <c r="X52" i="8"/>
  <c r="AN52" i="8"/>
  <c r="K52" i="8"/>
  <c r="P51" i="8"/>
  <c r="U52" i="8"/>
  <c r="V52" i="8"/>
  <c r="BL51" i="8"/>
  <c r="M51" i="8"/>
  <c r="AM52" i="8"/>
  <c r="BA52" i="8"/>
  <c r="J51" i="8"/>
  <c r="AS51" i="8"/>
  <c r="BG51" i="8"/>
  <c r="BR51" i="8"/>
  <c r="BU52" i="8"/>
  <c r="L52" i="8"/>
  <c r="AQ51" i="8"/>
  <c r="BF51" i="8"/>
  <c r="AP51" i="8"/>
  <c r="AV52" i="8"/>
  <c r="DB51" i="8"/>
  <c r="I51" i="8"/>
  <c r="CI52" i="8"/>
  <c r="AH52" i="8"/>
  <c r="AY52" i="8"/>
  <c r="V51" i="8"/>
  <c r="BK52" i="8"/>
  <c r="BE52" i="8"/>
  <c r="AD51" i="8"/>
  <c r="CZ52" i="8"/>
  <c r="CR51" i="8"/>
  <c r="CU52" i="8"/>
  <c r="AT51" i="8"/>
  <c r="W51" i="8"/>
  <c r="AK51" i="8"/>
  <c r="BO51" i="8"/>
  <c r="AB52" i="8"/>
  <c r="CR52" i="8"/>
  <c r="BI52" i="8"/>
  <c r="R51" i="8"/>
  <c r="CO52" i="8"/>
  <c r="CW51" i="8"/>
  <c r="AS52" i="8"/>
  <c r="BS52" i="8"/>
  <c r="AU52" i="8"/>
  <c r="AV51" i="8"/>
  <c r="DA51" i="8"/>
  <c r="AW52" i="8"/>
  <c r="CS51" i="8"/>
  <c r="AH51" i="8"/>
  <c r="CK52" i="8"/>
  <c r="BE51" i="8"/>
  <c r="CJ51" i="8"/>
  <c r="AI52" i="8"/>
  <c r="BM51" i="8"/>
  <c r="CD51" i="8"/>
  <c r="BT51" i="8"/>
  <c r="AY51" i="8"/>
  <c r="CQ52" i="8"/>
  <c r="CY52" i="8"/>
  <c r="BZ52" i="8"/>
  <c r="CG52" i="8"/>
  <c r="U51" i="8"/>
  <c r="BX52" i="8"/>
  <c r="R52" i="8"/>
  <c r="CX52" i="8"/>
  <c r="CK51" i="8"/>
  <c r="BM52" i="8"/>
  <c r="AE52" i="8"/>
  <c r="CJ52" i="8"/>
  <c r="CE51" i="8"/>
  <c r="CV51" i="8"/>
  <c r="BN51" i="8"/>
  <c r="BN52" i="8"/>
  <c r="AJ52" i="8"/>
  <c r="CI51" i="8"/>
  <c r="CD52" i="8"/>
  <c r="H52" i="8"/>
  <c r="BB51" i="8"/>
  <c r="BB128" i="8" s="1"/>
  <c r="CW52" i="8"/>
  <c r="BO52" i="8"/>
  <c r="CL51" i="8"/>
  <c r="CL128" i="8" s="1"/>
  <c r="AM51" i="8"/>
  <c r="BA51" i="8"/>
  <c r="CV52" i="8"/>
  <c r="CA52" i="8"/>
  <c r="AT52" i="8"/>
  <c r="AA51" i="8"/>
  <c r="AF120" i="8"/>
  <c r="AG119" i="8"/>
  <c r="AH117" i="8" s="1"/>
  <c r="V31" i="10"/>
  <c r="CJ32" i="9"/>
  <c r="CK32" i="9" s="1"/>
  <c r="CL32" i="9" s="1"/>
  <c r="CM32" i="9" s="1"/>
  <c r="CN32" i="9" s="1"/>
  <c r="CO32" i="9" s="1"/>
  <c r="CP32" i="9" s="1"/>
  <c r="CQ32" i="9" s="1"/>
  <c r="CR32" i="9" s="1"/>
  <c r="CS32" i="9" s="1"/>
  <c r="CT32" i="9" s="1"/>
  <c r="CU32" i="9" s="1"/>
  <c r="CV32" i="9" s="1"/>
  <c r="CW32" i="9" s="1"/>
  <c r="CX32" i="9" s="1"/>
  <c r="CY32" i="9" s="1"/>
  <c r="CZ32" i="9" s="1"/>
  <c r="DA32" i="9" s="1"/>
  <c r="DB32" i="9" s="1"/>
  <c r="AI10" i="5"/>
  <c r="AK15" i="5"/>
  <c r="AI15" i="5"/>
  <c r="AJ15" i="5"/>
  <c r="U15" i="5"/>
  <c r="W15" i="5"/>
  <c r="X15" i="5"/>
  <c r="Y15" i="5"/>
  <c r="AG15" i="5"/>
  <c r="AC15" i="5"/>
  <c r="AF15" i="5"/>
  <c r="AH15" i="5"/>
  <c r="Z15" i="5"/>
  <c r="AA15" i="5"/>
  <c r="V15" i="5"/>
  <c r="AD15" i="5"/>
  <c r="S15" i="5"/>
  <c r="T15" i="5"/>
  <c r="AE15" i="5"/>
  <c r="AB15" i="5"/>
  <c r="AE38" i="9"/>
  <c r="AE20" i="8" s="1"/>
  <c r="AE155" i="8" s="1"/>
  <c r="AF20" i="9"/>
  <c r="H29" i="10" l="1"/>
  <c r="P128" i="8"/>
  <c r="BL128" i="8"/>
  <c r="BC128" i="8"/>
  <c r="AA128" i="8"/>
  <c r="E106" i="1"/>
  <c r="E134" i="1" s="1"/>
  <c r="AD128" i="8"/>
  <c r="AK128" i="8"/>
  <c r="BE128" i="8"/>
  <c r="E105" i="1"/>
  <c r="CE128" i="8"/>
  <c r="U128" i="8"/>
  <c r="W31" i="10"/>
  <c r="BT128" i="8"/>
  <c r="CK128" i="8"/>
  <c r="DB128" i="8"/>
  <c r="CR128" i="8"/>
  <c r="BA128" i="8"/>
  <c r="AG120" i="8"/>
  <c r="AG121" i="8" s="1"/>
  <c r="AM128" i="8"/>
  <c r="CP128" i="8"/>
  <c r="BG128" i="8"/>
  <c r="AY128" i="8"/>
  <c r="W128" i="8"/>
  <c r="BF128" i="8"/>
  <c r="V128" i="8"/>
  <c r="CI128" i="8"/>
  <c r="BO128" i="8"/>
  <c r="CM128" i="8"/>
  <c r="AP128" i="8"/>
  <c r="J128" i="8"/>
  <c r="Y128" i="8"/>
  <c r="AH128" i="8"/>
  <c r="CW128" i="8"/>
  <c r="AT128" i="8"/>
  <c r="CU128" i="8"/>
  <c r="BR128" i="8"/>
  <c r="AS128" i="8"/>
  <c r="BZ128" i="8"/>
  <c r="O128" i="8"/>
  <c r="CS128" i="8"/>
  <c r="AQ128" i="8"/>
  <c r="CF128" i="8"/>
  <c r="AB128" i="8"/>
  <c r="M128" i="8"/>
  <c r="CC128" i="8"/>
  <c r="AZ128" i="8"/>
  <c r="H128" i="8"/>
  <c r="BH128" i="8"/>
  <c r="AO128" i="8"/>
  <c r="BW128" i="8"/>
  <c r="CT128" i="8"/>
  <c r="AG128" i="8"/>
  <c r="Q128" i="8"/>
  <c r="CO128" i="8"/>
  <c r="AJ128" i="8"/>
  <c r="CG128" i="8"/>
  <c r="BK128" i="8"/>
  <c r="AI128" i="8"/>
  <c r="AE128" i="8"/>
  <c r="AU128" i="8"/>
  <c r="AN128" i="8"/>
  <c r="CX128" i="8"/>
  <c r="CV128" i="8"/>
  <c r="CD128" i="8"/>
  <c r="R128" i="8"/>
  <c r="CZ128" i="8"/>
  <c r="BU128" i="8"/>
  <c r="S128" i="8"/>
  <c r="K128" i="8"/>
  <c r="BN128" i="8"/>
  <c r="BM128" i="8"/>
  <c r="DA128" i="8"/>
  <c r="BS128" i="8"/>
  <c r="CQ128" i="8"/>
  <c r="AW128" i="8"/>
  <c r="BY128" i="8"/>
  <c r="AV128" i="8"/>
  <c r="I128" i="8"/>
  <c r="BX128" i="8"/>
  <c r="X128" i="8"/>
  <c r="AC128" i="8"/>
  <c r="BI128" i="8"/>
  <c r="W64" i="10"/>
  <c r="BE54" i="8"/>
  <c r="AQ42" i="8"/>
  <c r="BB42" i="8"/>
  <c r="CQ41" i="8"/>
  <c r="AW54" i="8"/>
  <c r="CA54" i="8"/>
  <c r="CW42" i="8"/>
  <c r="CC54" i="8"/>
  <c r="CU41" i="8"/>
  <c r="CU54" i="8"/>
  <c r="CZ42" i="8"/>
  <c r="X41" i="8"/>
  <c r="CG41" i="8"/>
  <c r="BZ42" i="8"/>
  <c r="Y42" i="8"/>
  <c r="AS41" i="8"/>
  <c r="X54" i="8"/>
  <c r="AG54" i="8"/>
  <c r="BB54" i="8"/>
  <c r="V42" i="8"/>
  <c r="AW41" i="8"/>
  <c r="CV42" i="8"/>
  <c r="CP42" i="8"/>
  <c r="BA54" i="8"/>
  <c r="H42" i="8"/>
  <c r="AC42" i="8"/>
  <c r="CS42" i="8"/>
  <c r="AB55" i="8"/>
  <c r="BA42" i="8"/>
  <c r="BW42" i="8"/>
  <c r="BI41" i="8"/>
  <c r="AM54" i="8"/>
  <c r="AV41" i="8"/>
  <c r="U54" i="8"/>
  <c r="H54" i="8"/>
  <c r="X55" i="8"/>
  <c r="AT55" i="8"/>
  <c r="AW55" i="8"/>
  <c r="BM42" i="8"/>
  <c r="O55" i="8"/>
  <c r="K55" i="8"/>
  <c r="BS54" i="8"/>
  <c r="AU55" i="8"/>
  <c r="CI54" i="8"/>
  <c r="BH54" i="8"/>
  <c r="CQ42" i="8"/>
  <c r="AG41" i="8"/>
  <c r="CQ55" i="8"/>
  <c r="CE54" i="8"/>
  <c r="P41" i="8"/>
  <c r="BU42" i="8"/>
  <c r="BF55" i="8"/>
  <c r="DB41" i="8"/>
  <c r="BN54" i="8"/>
  <c r="H55" i="8"/>
  <c r="M55" i="8"/>
  <c r="BX54" i="8"/>
  <c r="BA41" i="8"/>
  <c r="BE42" i="8"/>
  <c r="AO54" i="8"/>
  <c r="AC54" i="8"/>
  <c r="AV55" i="8"/>
  <c r="CF55" i="8"/>
  <c r="AE55" i="8"/>
  <c r="CT42" i="8"/>
  <c r="CF42" i="8"/>
  <c r="I55" i="8"/>
  <c r="AY54" i="8"/>
  <c r="CT55" i="8"/>
  <c r="CR42" i="8"/>
  <c r="J41" i="8"/>
  <c r="I41" i="8"/>
  <c r="CW54" i="8"/>
  <c r="BC41" i="8"/>
  <c r="AE54" i="8"/>
  <c r="CK54" i="8"/>
  <c r="BW41" i="8"/>
  <c r="CC41" i="8"/>
  <c r="CJ41" i="8"/>
  <c r="BE41" i="8"/>
  <c r="BL55" i="8"/>
  <c r="DB54" i="8"/>
  <c r="CG42" i="8"/>
  <c r="CO42" i="8"/>
  <c r="CP41" i="8"/>
  <c r="L42" i="8"/>
  <c r="CE55" i="8"/>
  <c r="BI55" i="8"/>
  <c r="BQ55" i="8"/>
  <c r="BC55" i="8"/>
  <c r="CX54" i="8"/>
  <c r="CR41" i="8"/>
  <c r="BW54" i="8"/>
  <c r="Y41" i="8"/>
  <c r="BY42" i="8"/>
  <c r="AM55" i="8"/>
  <c r="CE41" i="8"/>
  <c r="AH41" i="8"/>
  <c r="CU42" i="8"/>
  <c r="CI42" i="8"/>
  <c r="BH41" i="8"/>
  <c r="I54" i="8"/>
  <c r="K42" i="8"/>
  <c r="BG41" i="8"/>
  <c r="S42" i="8"/>
  <c r="X42" i="8"/>
  <c r="J55" i="8"/>
  <c r="AD55" i="8"/>
  <c r="CO55" i="8"/>
  <c r="AU42" i="8"/>
  <c r="CJ55" i="8"/>
  <c r="P54" i="8"/>
  <c r="CF41" i="8"/>
  <c r="AT54" i="8"/>
  <c r="AY41" i="8"/>
  <c r="CM54" i="8"/>
  <c r="CA41" i="8"/>
  <c r="AK55" i="8"/>
  <c r="BS55" i="8"/>
  <c r="AI41" i="8"/>
  <c r="S54" i="8"/>
  <c r="O42" i="8"/>
  <c r="CS55" i="8"/>
  <c r="AP54" i="8"/>
  <c r="CT41" i="8"/>
  <c r="AB42" i="8"/>
  <c r="CY54" i="8"/>
  <c r="AJ54" i="8"/>
  <c r="CO41" i="8"/>
  <c r="AE42" i="8"/>
  <c r="BR42" i="8"/>
  <c r="CD55" i="8"/>
  <c r="AI54" i="8"/>
  <c r="BL42" i="8"/>
  <c r="CL54" i="8"/>
  <c r="BZ41" i="8"/>
  <c r="BH42" i="8"/>
  <c r="AI55" i="8"/>
  <c r="CC42" i="8"/>
  <c r="AQ55" i="8"/>
  <c r="J54" i="8"/>
  <c r="BQ42" i="8"/>
  <c r="AA54" i="8"/>
  <c r="AU54" i="8"/>
  <c r="Y55" i="8"/>
  <c r="I42" i="8"/>
  <c r="BT54" i="8"/>
  <c r="CV55" i="8"/>
  <c r="AC55" i="8"/>
  <c r="V55" i="8"/>
  <c r="P55" i="8"/>
  <c r="CY55" i="8"/>
  <c r="DB55" i="8"/>
  <c r="BW55" i="8"/>
  <c r="BZ55" i="8"/>
  <c r="CX42" i="8"/>
  <c r="AG55" i="8"/>
  <c r="AS54" i="8"/>
  <c r="AQ41" i="8"/>
  <c r="Q41" i="8"/>
  <c r="M41" i="8"/>
  <c r="BQ41" i="8"/>
  <c r="BR41" i="8"/>
  <c r="AP42" i="8"/>
  <c r="AZ42" i="8"/>
  <c r="DA42" i="8"/>
  <c r="AN55" i="8"/>
  <c r="CM42" i="8"/>
  <c r="AA41" i="8"/>
  <c r="Q55" i="8"/>
  <c r="CD42" i="8"/>
  <c r="CG55" i="8"/>
  <c r="CX41" i="8"/>
  <c r="CM41" i="8"/>
  <c r="CV41" i="8"/>
  <c r="BU55" i="8"/>
  <c r="W55" i="8"/>
  <c r="BI42" i="8"/>
  <c r="CR54" i="8"/>
  <c r="AB41" i="8"/>
  <c r="AM42" i="8"/>
  <c r="CW41" i="8"/>
  <c r="CS54" i="8"/>
  <c r="BM55" i="8"/>
  <c r="AT41" i="8"/>
  <c r="H41" i="8"/>
  <c r="CY42" i="8"/>
  <c r="CL42" i="8"/>
  <c r="CX55" i="8"/>
  <c r="AW42" i="8"/>
  <c r="BZ54" i="8"/>
  <c r="S41" i="8"/>
  <c r="CV54" i="8"/>
  <c r="CJ54" i="8"/>
  <c r="CT54" i="8"/>
  <c r="BH55" i="8"/>
  <c r="W41" i="8"/>
  <c r="M42" i="8"/>
  <c r="AB54" i="8"/>
  <c r="AO42" i="8"/>
  <c r="BN55" i="8"/>
  <c r="BE55" i="8"/>
  <c r="AO55" i="8"/>
  <c r="BS42" i="8"/>
  <c r="DA41" i="8"/>
  <c r="CZ55" i="8"/>
  <c r="CE42" i="8"/>
  <c r="CZ41" i="8"/>
  <c r="AK42" i="8"/>
  <c r="O54" i="8"/>
  <c r="BG55" i="8"/>
  <c r="BG42" i="8"/>
  <c r="AP55" i="8"/>
  <c r="U41" i="8"/>
  <c r="AV54" i="8"/>
  <c r="BU41" i="8"/>
  <c r="BF54" i="8"/>
  <c r="AA55" i="8"/>
  <c r="V54" i="8"/>
  <c r="L55" i="8"/>
  <c r="AV42" i="8"/>
  <c r="BF41" i="8"/>
  <c r="L41" i="8"/>
  <c r="W54" i="8"/>
  <c r="L54" i="8"/>
  <c r="AH55" i="8"/>
  <c r="CL41" i="8"/>
  <c r="Y54" i="8"/>
  <c r="AA42" i="8"/>
  <c r="AC41" i="8"/>
  <c r="BB55" i="8"/>
  <c r="R41" i="8"/>
  <c r="BK42" i="8"/>
  <c r="BS41" i="8"/>
  <c r="AE41" i="8"/>
  <c r="DB42" i="8"/>
  <c r="Q42" i="8"/>
  <c r="Q54" i="8"/>
  <c r="BR55" i="8"/>
  <c r="CW55" i="8"/>
  <c r="BY55" i="8"/>
  <c r="U55" i="8"/>
  <c r="CL55" i="8"/>
  <c r="K54" i="8"/>
  <c r="AS42" i="8"/>
  <c r="P42" i="8"/>
  <c r="AU41" i="8"/>
  <c r="BM54" i="8"/>
  <c r="CI41" i="8"/>
  <c r="AH42" i="8"/>
  <c r="AD54" i="8"/>
  <c r="W42" i="8"/>
  <c r="BL54" i="8"/>
  <c r="CA42" i="8"/>
  <c r="AY42" i="8"/>
  <c r="BT41" i="8"/>
  <c r="CK42" i="8"/>
  <c r="BG54" i="8"/>
  <c r="CJ42" i="8"/>
  <c r="BK55" i="8"/>
  <c r="AJ42" i="8"/>
  <c r="BB41" i="8"/>
  <c r="DA54" i="8"/>
  <c r="BF42" i="8"/>
  <c r="O41" i="8"/>
  <c r="AZ41" i="8"/>
  <c r="BK54" i="8"/>
  <c r="CR55" i="8"/>
  <c r="AD42" i="8"/>
  <c r="BX42" i="8"/>
  <c r="BI54" i="8"/>
  <c r="CP54" i="8"/>
  <c r="BO55" i="8"/>
  <c r="R55" i="8"/>
  <c r="K41" i="8"/>
  <c r="CS41" i="8"/>
  <c r="BO41" i="8"/>
  <c r="CM55" i="8"/>
  <c r="BO54" i="8"/>
  <c r="BA55" i="8"/>
  <c r="AO41" i="8"/>
  <c r="AZ54" i="8"/>
  <c r="BX55" i="8"/>
  <c r="BX41" i="8"/>
  <c r="CO54" i="8"/>
  <c r="AP41" i="8"/>
  <c r="BY41" i="8"/>
  <c r="BY126" i="8" s="1"/>
  <c r="BO42" i="8"/>
  <c r="AD41" i="8"/>
  <c r="AK41" i="8"/>
  <c r="BR54" i="8"/>
  <c r="BY54" i="8"/>
  <c r="CG54" i="8"/>
  <c r="U42" i="8"/>
  <c r="DA55" i="8"/>
  <c r="CY41" i="8"/>
  <c r="AY55" i="8"/>
  <c r="AN42" i="8"/>
  <c r="CK41" i="8"/>
  <c r="AJ41" i="8"/>
  <c r="AG42" i="8"/>
  <c r="BN42" i="8"/>
  <c r="CC55" i="8"/>
  <c r="AJ55" i="8"/>
  <c r="R42" i="8"/>
  <c r="R54" i="8"/>
  <c r="CD54" i="8"/>
  <c r="CK55" i="8"/>
  <c r="AZ55" i="8"/>
  <c r="AT42" i="8"/>
  <c r="CU55" i="8"/>
  <c r="AS55" i="8"/>
  <c r="V41" i="8"/>
  <c r="CQ54" i="8"/>
  <c r="BM41" i="8"/>
  <c r="CF54" i="8"/>
  <c r="AN41" i="8"/>
  <c r="BC42" i="8"/>
  <c r="AH54" i="8"/>
  <c r="AM41" i="8"/>
  <c r="BN41" i="8"/>
  <c r="CD41" i="8"/>
  <c r="CZ54" i="8"/>
  <c r="J42" i="8"/>
  <c r="BQ54" i="8"/>
  <c r="M54" i="8"/>
  <c r="CP55" i="8"/>
  <c r="CI55" i="8"/>
  <c r="AN54" i="8"/>
  <c r="BK41" i="8"/>
  <c r="AQ54" i="8"/>
  <c r="AK54" i="8"/>
  <c r="BT55" i="8"/>
  <c r="BU54" i="8"/>
  <c r="BL41" i="8"/>
  <c r="CA55" i="8"/>
  <c r="AI42" i="8"/>
  <c r="S55" i="8"/>
  <c r="BT42" i="8"/>
  <c r="BC54" i="8"/>
  <c r="CJ128" i="8"/>
  <c r="BQ128" i="8"/>
  <c r="CA128" i="8"/>
  <c r="L128" i="8"/>
  <c r="CY128" i="8"/>
  <c r="AF121" i="8"/>
  <c r="AF122" i="8" s="1"/>
  <c r="AF144" i="8"/>
  <c r="AH119" i="8"/>
  <c r="AI117" i="8" s="1"/>
  <c r="F32" i="9"/>
  <c r="D32" i="9" s="1"/>
  <c r="M31" i="10"/>
  <c r="N31" i="10"/>
  <c r="CF15" i="5"/>
  <c r="BL15" i="5"/>
  <c r="CC15" i="5"/>
  <c r="CP15" i="5"/>
  <c r="CK15" i="5"/>
  <c r="AU15" i="5"/>
  <c r="BY15" i="5"/>
  <c r="CR15" i="5"/>
  <c r="BT15" i="5"/>
  <c r="BG15" i="5"/>
  <c r="CB15" i="5"/>
  <c r="BO15" i="5"/>
  <c r="CJ15" i="5"/>
  <c r="DJ15" i="5"/>
  <c r="CD15" i="5"/>
  <c r="AY15" i="5"/>
  <c r="CW15" i="5"/>
  <c r="DB15" i="5"/>
  <c r="BM15" i="5"/>
  <c r="DL15" i="5"/>
  <c r="CA15" i="5"/>
  <c r="CQ15" i="5"/>
  <c r="AP15" i="5"/>
  <c r="BB15" i="5"/>
  <c r="BV15" i="5"/>
  <c r="DG15" i="5"/>
  <c r="DK15" i="5"/>
  <c r="AV15" i="5"/>
  <c r="CL15" i="5"/>
  <c r="BU15" i="5"/>
  <c r="BS15" i="5"/>
  <c r="DF15" i="5"/>
  <c r="AO15" i="5"/>
  <c r="CH15" i="5"/>
  <c r="CM15" i="5"/>
  <c r="BE15" i="5"/>
  <c r="CT15" i="5"/>
  <c r="BA15" i="5"/>
  <c r="DI15" i="5"/>
  <c r="DA15" i="5"/>
  <c r="CI15" i="5"/>
  <c r="BK15" i="5"/>
  <c r="AM15" i="5"/>
  <c r="CY15" i="5"/>
  <c r="CE15" i="5"/>
  <c r="AR15" i="5"/>
  <c r="BX15" i="5"/>
  <c r="BC15" i="5"/>
  <c r="AL15" i="5"/>
  <c r="AT15" i="5"/>
  <c r="BN15" i="5"/>
  <c r="BQ15" i="5"/>
  <c r="BW15" i="5"/>
  <c r="BP15" i="5"/>
  <c r="BH15" i="5"/>
  <c r="AZ15" i="5"/>
  <c r="AX15" i="5"/>
  <c r="AW15" i="5"/>
  <c r="DE15" i="5"/>
  <c r="DD15" i="5"/>
  <c r="DC15" i="5"/>
  <c r="CU15" i="5"/>
  <c r="DH15" i="5"/>
  <c r="BF15" i="5"/>
  <c r="AS15" i="5"/>
  <c r="BD15" i="5"/>
  <c r="CG15" i="5"/>
  <c r="CX15" i="5"/>
  <c r="DM15" i="5"/>
  <c r="BI15" i="5"/>
  <c r="BR15" i="5"/>
  <c r="CV15" i="5"/>
  <c r="CN15" i="5"/>
  <c r="AN15" i="5"/>
  <c r="AQ15" i="5"/>
  <c r="CS15" i="5"/>
  <c r="CO15" i="5"/>
  <c r="BJ15" i="5"/>
  <c r="BZ15" i="5"/>
  <c r="CZ15" i="5"/>
  <c r="AF38" i="9"/>
  <c r="AF20" i="8" s="1"/>
  <c r="AG20" i="9"/>
  <c r="BR126" i="8" l="1"/>
  <c r="L19" i="10"/>
  <c r="W19" i="10"/>
  <c r="P19" i="10"/>
  <c r="T19" i="10"/>
  <c r="Q19" i="10"/>
  <c r="M19" i="10"/>
  <c r="J19" i="10"/>
  <c r="U19" i="10"/>
  <c r="R19" i="10"/>
  <c r="N19" i="10"/>
  <c r="K19" i="10"/>
  <c r="V19" i="10"/>
  <c r="S19" i="10"/>
  <c r="O19" i="10"/>
  <c r="E124" i="1"/>
  <c r="E144" i="1"/>
  <c r="E95" i="1"/>
  <c r="E108" i="1"/>
  <c r="E96" i="1"/>
  <c r="E136" i="1" s="1"/>
  <c r="AG144" i="8"/>
  <c r="E109" i="1"/>
  <c r="E135" i="1" s="1"/>
  <c r="AF155" i="8"/>
  <c r="I74" i="1"/>
  <c r="AN126" i="8"/>
  <c r="CX126" i="8"/>
  <c r="AC126" i="8"/>
  <c r="BL126" i="8"/>
  <c r="AU126" i="8"/>
  <c r="L126" i="8"/>
  <c r="CV126" i="8"/>
  <c r="V126" i="8"/>
  <c r="AO126" i="8"/>
  <c r="BO126" i="8"/>
  <c r="AE126" i="8"/>
  <c r="CL126" i="8"/>
  <c r="BB126" i="8"/>
  <c r="CM126" i="8"/>
  <c r="AP126" i="8"/>
  <c r="BF126" i="8"/>
  <c r="CC126" i="8"/>
  <c r="W126" i="8"/>
  <c r="CI126" i="8"/>
  <c r="CO126" i="8"/>
  <c r="AQ126" i="8"/>
  <c r="CJ126" i="8"/>
  <c r="J126" i="8"/>
  <c r="BI126" i="8"/>
  <c r="AG126" i="8"/>
  <c r="CT126" i="8"/>
  <c r="BH126" i="8"/>
  <c r="DB126" i="8"/>
  <c r="CG126" i="8"/>
  <c r="CK126" i="8"/>
  <c r="BK126" i="8"/>
  <c r="AK126" i="8"/>
  <c r="BS126" i="8"/>
  <c r="H126" i="8"/>
  <c r="CW126" i="8"/>
  <c r="DA126" i="8"/>
  <c r="CA126" i="8"/>
  <c r="CP126" i="8"/>
  <c r="BW126" i="8"/>
  <c r="AW126" i="8"/>
  <c r="AJ126" i="8"/>
  <c r="BX126" i="8"/>
  <c r="CS126" i="8"/>
  <c r="AB126" i="8"/>
  <c r="CR126" i="8"/>
  <c r="X126" i="8"/>
  <c r="CQ126" i="8"/>
  <c r="AY126" i="8"/>
  <c r="BC126" i="8"/>
  <c r="BA126" i="8"/>
  <c r="P126" i="8"/>
  <c r="U126" i="8"/>
  <c r="Y126" i="8"/>
  <c r="K126" i="8"/>
  <c r="AZ126" i="8"/>
  <c r="AH126" i="8"/>
  <c r="BN126" i="8"/>
  <c r="AD126" i="8"/>
  <c r="O126" i="8"/>
  <c r="AT126" i="8"/>
  <c r="AA126" i="8"/>
  <c r="M126" i="8"/>
  <c r="CF126" i="8"/>
  <c r="CE126" i="8"/>
  <c r="AV126" i="8"/>
  <c r="CU126" i="8"/>
  <c r="BM126" i="8"/>
  <c r="CD126" i="8"/>
  <c r="BQ126" i="8"/>
  <c r="AM126" i="8"/>
  <c r="CY126" i="8"/>
  <c r="BT126" i="8"/>
  <c r="R126" i="8"/>
  <c r="BU126" i="8"/>
  <c r="CZ126" i="8"/>
  <c r="S126" i="8"/>
  <c r="Q126" i="8"/>
  <c r="BZ126" i="8"/>
  <c r="AI126" i="8"/>
  <c r="BG126" i="8"/>
  <c r="BE126" i="8"/>
  <c r="I126" i="8"/>
  <c r="AS126" i="8"/>
  <c r="AG122" i="8"/>
  <c r="AH120" i="8"/>
  <c r="AI119" i="8"/>
  <c r="AJ117" i="8" s="1"/>
  <c r="R18" i="10"/>
  <c r="M15" i="10"/>
  <c r="P16" i="10"/>
  <c r="K17" i="10"/>
  <c r="T17" i="10"/>
  <c r="O18" i="10"/>
  <c r="M16" i="10"/>
  <c r="P18" i="10"/>
  <c r="U15" i="10"/>
  <c r="J17" i="10"/>
  <c r="S17" i="10"/>
  <c r="N18" i="10"/>
  <c r="W18" i="10"/>
  <c r="U16" i="10"/>
  <c r="L15" i="10"/>
  <c r="O16" i="10"/>
  <c r="R17" i="10"/>
  <c r="M18" i="10"/>
  <c r="V18" i="10"/>
  <c r="N15" i="10"/>
  <c r="O17" i="10"/>
  <c r="T15" i="10"/>
  <c r="W16" i="10"/>
  <c r="L18" i="10"/>
  <c r="U18" i="10"/>
  <c r="Q15" i="10"/>
  <c r="R15" i="10"/>
  <c r="W17" i="10"/>
  <c r="N16" i="10"/>
  <c r="T18" i="10"/>
  <c r="P15" i="10"/>
  <c r="K16" i="10"/>
  <c r="T16" i="10"/>
  <c r="Q18" i="10"/>
  <c r="V16" i="10"/>
  <c r="Q17" i="10"/>
  <c r="O15" i="10"/>
  <c r="H31" i="10"/>
  <c r="S18" i="10"/>
  <c r="W15" i="10"/>
  <c r="R16" i="10"/>
  <c r="M17" i="10"/>
  <c r="K15" i="10"/>
  <c r="L16" i="10"/>
  <c r="J18" i="10"/>
  <c r="K18" i="10"/>
  <c r="J16" i="10"/>
  <c r="S16" i="10"/>
  <c r="V17" i="10"/>
  <c r="P17" i="10"/>
  <c r="V15" i="10"/>
  <c r="Q16" i="10"/>
  <c r="L17" i="10"/>
  <c r="U17" i="10"/>
  <c r="S15" i="10"/>
  <c r="N17" i="10"/>
  <c r="AG38" i="9"/>
  <c r="AG20" i="8" s="1"/>
  <c r="AH20" i="9"/>
  <c r="H19" i="10" l="1"/>
  <c r="L14" i="10"/>
  <c r="P14" i="10"/>
  <c r="V14" i="10"/>
  <c r="T14" i="10"/>
  <c r="O14" i="10"/>
  <c r="K14" i="10"/>
  <c r="J14" i="10"/>
  <c r="W14" i="10"/>
  <c r="U14" i="10"/>
  <c r="S14" i="10"/>
  <c r="N14" i="10"/>
  <c r="R14" i="10"/>
  <c r="Q14" i="10"/>
  <c r="M14" i="10"/>
  <c r="E125" i="1"/>
  <c r="E145" i="1"/>
  <c r="E126" i="1"/>
  <c r="E146" i="1"/>
  <c r="AG155" i="8"/>
  <c r="AH121" i="8"/>
  <c r="AH122" i="8" s="1"/>
  <c r="AH144" i="8"/>
  <c r="AI120" i="8"/>
  <c r="AJ119" i="8"/>
  <c r="AK117" i="8" s="1"/>
  <c r="H18" i="10"/>
  <c r="H16" i="10"/>
  <c r="H15" i="10"/>
  <c r="H17" i="10"/>
  <c r="AH38" i="9"/>
  <c r="AH20" i="8" s="1"/>
  <c r="AI20" i="9"/>
  <c r="E127" i="1" l="1"/>
  <c r="AI121" i="8"/>
  <c r="AI122" i="8" s="1"/>
  <c r="AI144" i="8"/>
  <c r="AJ120" i="8"/>
  <c r="AK119" i="8"/>
  <c r="AL117" i="8" s="1"/>
  <c r="H14" i="10"/>
  <c r="AI38" i="9"/>
  <c r="AI20" i="8" s="1"/>
  <c r="AJ20" i="9"/>
  <c r="AI155" i="8" l="1"/>
  <c r="AJ121" i="8"/>
  <c r="AJ122" i="8" s="1"/>
  <c r="AJ144" i="8"/>
  <c r="AK120" i="8"/>
  <c r="AL119" i="8"/>
  <c r="AM117" i="8" s="1"/>
  <c r="AJ38" i="9"/>
  <c r="AJ20" i="8" s="1"/>
  <c r="AJ155" i="8" s="1"/>
  <c r="AK20" i="9"/>
  <c r="AK121" i="8" l="1"/>
  <c r="AK122" i="8" s="1"/>
  <c r="AK144" i="8"/>
  <c r="AM119" i="8"/>
  <c r="AN117" i="8" s="1"/>
  <c r="AL120" i="8"/>
  <c r="AK38" i="9"/>
  <c r="AK20" i="8" s="1"/>
  <c r="AL20" i="9"/>
  <c r="AK155" i="8" l="1"/>
  <c r="AL121" i="8"/>
  <c r="AL122" i="8" s="1"/>
  <c r="AL144" i="8"/>
  <c r="AM120" i="8"/>
  <c r="AN119" i="8"/>
  <c r="AO117" i="8" s="1"/>
  <c r="AL38" i="9"/>
  <c r="AL20" i="8" s="1"/>
  <c r="AM20" i="9"/>
  <c r="J74" i="1" l="1"/>
  <c r="AM121" i="8"/>
  <c r="AM122" i="8" s="1"/>
  <c r="AM144" i="8"/>
  <c r="AN120" i="8"/>
  <c r="AO119" i="8"/>
  <c r="AP117" i="8" s="1"/>
  <c r="AM38" i="9"/>
  <c r="AM20" i="8" s="1"/>
  <c r="AN20" i="9"/>
  <c r="AM155" i="8" l="1"/>
  <c r="AN121" i="8"/>
  <c r="AN122" i="8" s="1"/>
  <c r="AN144" i="8"/>
  <c r="AO120" i="8"/>
  <c r="AP119" i="8"/>
  <c r="AQ117" i="8" s="1"/>
  <c r="AN38" i="9"/>
  <c r="AN20" i="8" s="1"/>
  <c r="AN155" i="8" s="1"/>
  <c r="AO20" i="9"/>
  <c r="AO121" i="8" l="1"/>
  <c r="AO122" i="8" s="1"/>
  <c r="AO144" i="8"/>
  <c r="AQ119" i="8"/>
  <c r="AR117" i="8" s="1"/>
  <c r="AP120" i="8"/>
  <c r="AO38" i="9"/>
  <c r="AO20" i="8" s="1"/>
  <c r="AP20" i="9"/>
  <c r="AO155" i="8" l="1"/>
  <c r="AQ120" i="8"/>
  <c r="AQ121" i="8" s="1"/>
  <c r="AP121" i="8"/>
  <c r="AP122" i="8" s="1"/>
  <c r="AP144" i="8"/>
  <c r="AR119" i="8"/>
  <c r="AS117" i="8" s="1"/>
  <c r="AP38" i="9"/>
  <c r="AP20" i="8" s="1"/>
  <c r="AQ20" i="9"/>
  <c r="AQ144" i="8" l="1"/>
  <c r="AQ122" i="8"/>
  <c r="AR120" i="8"/>
  <c r="AS119" i="8"/>
  <c r="AT117" i="8" s="1"/>
  <c r="AQ38" i="9"/>
  <c r="AQ20" i="8" s="1"/>
  <c r="AR20" i="9"/>
  <c r="AQ155" i="8" l="1"/>
  <c r="AR121" i="8"/>
  <c r="AR122" i="8" s="1"/>
  <c r="AR144" i="8"/>
  <c r="AS120" i="8"/>
  <c r="AT119" i="8"/>
  <c r="AU117" i="8" s="1"/>
  <c r="AR38" i="9"/>
  <c r="AR20" i="8" s="1"/>
  <c r="AR155" i="8" s="1"/>
  <c r="AS20" i="9"/>
  <c r="K74" i="1" l="1"/>
  <c r="AT120" i="8"/>
  <c r="AT121" i="8" s="1"/>
  <c r="AS121" i="8"/>
  <c r="AS122" i="8" s="1"/>
  <c r="AS144" i="8"/>
  <c r="AU119" i="8"/>
  <c r="AV117" i="8" s="1"/>
  <c r="AS38" i="9"/>
  <c r="AS20" i="8" s="1"/>
  <c r="AT20" i="9"/>
  <c r="AS155" i="8" l="1"/>
  <c r="AT144" i="8"/>
  <c r="AU120" i="8"/>
  <c r="AU121" i="8" s="1"/>
  <c r="AT122" i="8"/>
  <c r="AV119" i="8"/>
  <c r="AW117" i="8" s="1"/>
  <c r="AT38" i="9"/>
  <c r="AT20" i="8" s="1"/>
  <c r="AU20" i="9"/>
  <c r="AU122" i="8" l="1"/>
  <c r="AU144" i="8"/>
  <c r="AV120" i="8"/>
  <c r="AW119" i="8"/>
  <c r="AX117" i="8" s="1"/>
  <c r="AU38" i="9"/>
  <c r="AU20" i="8" s="1"/>
  <c r="AV20" i="9"/>
  <c r="AU155" i="8" l="1"/>
  <c r="AV121" i="8"/>
  <c r="AV122" i="8" s="1"/>
  <c r="AV144" i="8"/>
  <c r="AW120" i="8"/>
  <c r="AX119" i="8"/>
  <c r="AY117" i="8" s="1"/>
  <c r="AV38" i="9"/>
  <c r="AV20" i="8" s="1"/>
  <c r="AV155" i="8" s="1"/>
  <c r="AW20" i="9"/>
  <c r="AW121" i="8" l="1"/>
  <c r="AW122" i="8" s="1"/>
  <c r="AW144" i="8"/>
  <c r="AX120" i="8"/>
  <c r="AY119" i="8"/>
  <c r="AZ117" i="8" s="1"/>
  <c r="AW38" i="9"/>
  <c r="AW20" i="8" s="1"/>
  <c r="AX20" i="9"/>
  <c r="AW155" i="8" l="1"/>
  <c r="AY120" i="8"/>
  <c r="AY121" i="8" s="1"/>
  <c r="AX121" i="8"/>
  <c r="AX122" i="8" s="1"/>
  <c r="AX144" i="8"/>
  <c r="AZ119" i="8"/>
  <c r="BA117" i="8" s="1"/>
  <c r="AX38" i="9"/>
  <c r="AX20" i="8" s="1"/>
  <c r="AY20" i="9"/>
  <c r="L74" i="1" l="1"/>
  <c r="AY144" i="8"/>
  <c r="AZ120" i="8"/>
  <c r="AZ121" i="8" s="1"/>
  <c r="AY122" i="8"/>
  <c r="BA119" i="8"/>
  <c r="BB117" i="8" s="1"/>
  <c r="AY38" i="9"/>
  <c r="AY20" i="8" s="1"/>
  <c r="AZ20" i="9"/>
  <c r="AY155" i="8" l="1"/>
  <c r="AZ144" i="8"/>
  <c r="AZ122" i="8"/>
  <c r="BA120" i="8"/>
  <c r="BB119" i="8"/>
  <c r="BC117" i="8" s="1"/>
  <c r="AZ38" i="9"/>
  <c r="AZ20" i="8" s="1"/>
  <c r="AZ155" i="8" s="1"/>
  <c r="BA20" i="9"/>
  <c r="BA121" i="8" l="1"/>
  <c r="BA122" i="8" s="1"/>
  <c r="BA144" i="8"/>
  <c r="BC119" i="8"/>
  <c r="BD117" i="8" s="1"/>
  <c r="BB120" i="8"/>
  <c r="BA38" i="9"/>
  <c r="BA20" i="8" s="1"/>
  <c r="BB20" i="9"/>
  <c r="BA155" i="8" l="1"/>
  <c r="BB121" i="8"/>
  <c r="BB122" i="8" s="1"/>
  <c r="BB144" i="8"/>
  <c r="BC120" i="8"/>
  <c r="BD119" i="8"/>
  <c r="BE117" i="8" s="1"/>
  <c r="BB38" i="9"/>
  <c r="BB20" i="8" s="1"/>
  <c r="BC20" i="9"/>
  <c r="BC121" i="8" l="1"/>
  <c r="BC122" i="8" s="1"/>
  <c r="BC144" i="8"/>
  <c r="BE119" i="8"/>
  <c r="BF117" i="8" s="1"/>
  <c r="BD120" i="8"/>
  <c r="BC38" i="9"/>
  <c r="BC20" i="8" s="1"/>
  <c r="BD20" i="9"/>
  <c r="BC155" i="8" l="1"/>
  <c r="BD121" i="8"/>
  <c r="BD122" i="8" s="1"/>
  <c r="BD144" i="8"/>
  <c r="BE120" i="8"/>
  <c r="BF119" i="8"/>
  <c r="BG117" i="8" s="1"/>
  <c r="BD38" i="9"/>
  <c r="BD20" i="8" s="1"/>
  <c r="BD155" i="8" s="1"/>
  <c r="BE20" i="9"/>
  <c r="M74" i="1" l="1"/>
  <c r="BE121" i="8"/>
  <c r="BE122" i="8" s="1"/>
  <c r="BE144" i="8"/>
  <c r="BF120" i="8"/>
  <c r="BG119" i="8"/>
  <c r="BH117" i="8" s="1"/>
  <c r="BE38" i="9"/>
  <c r="BE20" i="8" s="1"/>
  <c r="BF20" i="9"/>
  <c r="BE155" i="8" l="1"/>
  <c r="BG120" i="8"/>
  <c r="BG121" i="8" s="1"/>
  <c r="BF121" i="8"/>
  <c r="BF122" i="8" s="1"/>
  <c r="BF144" i="8"/>
  <c r="BH119" i="8"/>
  <c r="BI117" i="8" s="1"/>
  <c r="BF38" i="9"/>
  <c r="BF20" i="8" s="1"/>
  <c r="BG20" i="9"/>
  <c r="BG144" i="8" l="1"/>
  <c r="BG122" i="8"/>
  <c r="BH120" i="8"/>
  <c r="BH121" i="8" s="1"/>
  <c r="BI119" i="8"/>
  <c r="BJ117" i="8" s="1"/>
  <c r="BG38" i="9"/>
  <c r="BG20" i="8" s="1"/>
  <c r="BH20" i="9"/>
  <c r="BH122" i="8" l="1"/>
  <c r="BH144" i="8"/>
  <c r="BG155" i="8"/>
  <c r="BI120" i="8"/>
  <c r="BJ119" i="8"/>
  <c r="BK117" i="8" s="1"/>
  <c r="BH38" i="9"/>
  <c r="BH20" i="8" s="1"/>
  <c r="BH155" i="8" s="1"/>
  <c r="BI20" i="9"/>
  <c r="BI121" i="8" l="1"/>
  <c r="BI122" i="8" s="1"/>
  <c r="BI144" i="8"/>
  <c r="BJ120" i="8"/>
  <c r="BK119" i="8"/>
  <c r="BL117" i="8" s="1"/>
  <c r="BI38" i="9"/>
  <c r="BI20" i="8" s="1"/>
  <c r="BJ20" i="9"/>
  <c r="BI155" i="8" l="1"/>
  <c r="BJ121" i="8"/>
  <c r="BJ122" i="8" s="1"/>
  <c r="BJ144" i="8"/>
  <c r="BL119" i="8"/>
  <c r="BM117" i="8" s="1"/>
  <c r="BK120" i="8"/>
  <c r="BJ38" i="9"/>
  <c r="BJ20" i="8" s="1"/>
  <c r="BK20" i="9"/>
  <c r="N74" i="1" l="1"/>
  <c r="BK121" i="8"/>
  <c r="BK122" i="8" s="1"/>
  <c r="BK144" i="8"/>
  <c r="BL120" i="8"/>
  <c r="BM119" i="8"/>
  <c r="BN117" i="8" s="1"/>
  <c r="BK38" i="9"/>
  <c r="BK20" i="8" s="1"/>
  <c r="BL20" i="9"/>
  <c r="BK155" i="8" l="1"/>
  <c r="BL121" i="8"/>
  <c r="BL122" i="8" s="1"/>
  <c r="BL144" i="8"/>
  <c r="BM120" i="8"/>
  <c r="BN119" i="8"/>
  <c r="BO117" i="8" s="1"/>
  <c r="BL38" i="9"/>
  <c r="BL20" i="8" s="1"/>
  <c r="BL155" i="8" s="1"/>
  <c r="BM20" i="9"/>
  <c r="BM121" i="8" l="1"/>
  <c r="BM122" i="8" s="1"/>
  <c r="BM144" i="8"/>
  <c r="BN120" i="8"/>
  <c r="BO119" i="8"/>
  <c r="BP117" i="8" s="1"/>
  <c r="BM38" i="9"/>
  <c r="BM20" i="8" s="1"/>
  <c r="BN20" i="9"/>
  <c r="BM155" i="8" l="1"/>
  <c r="BN121" i="8"/>
  <c r="BN122" i="8" s="1"/>
  <c r="BN144" i="8"/>
  <c r="BO120" i="8"/>
  <c r="BP119" i="8"/>
  <c r="BQ117" i="8" s="1"/>
  <c r="BN38" i="9"/>
  <c r="BN20" i="8" s="1"/>
  <c r="BO20" i="9"/>
  <c r="BO121" i="8" l="1"/>
  <c r="BO122" i="8" s="1"/>
  <c r="BO144" i="8"/>
  <c r="BP120" i="8"/>
  <c r="BQ119" i="8"/>
  <c r="BR117" i="8" s="1"/>
  <c r="BO38" i="9"/>
  <c r="BO20" i="8" s="1"/>
  <c r="BP20" i="9"/>
  <c r="BO155" i="8" l="1"/>
  <c r="BP121" i="8"/>
  <c r="BP122" i="8" s="1"/>
  <c r="BP144" i="8"/>
  <c r="BQ120" i="8"/>
  <c r="BR119" i="8"/>
  <c r="BS117" i="8" s="1"/>
  <c r="BP38" i="9"/>
  <c r="BP20" i="8" s="1"/>
  <c r="BP155" i="8" s="1"/>
  <c r="BQ20" i="9"/>
  <c r="O74" i="1" l="1"/>
  <c r="BQ121" i="8"/>
  <c r="BQ122" i="8" s="1"/>
  <c r="BQ144" i="8"/>
  <c r="BR120" i="8"/>
  <c r="BS119" i="8"/>
  <c r="BT117" i="8" s="1"/>
  <c r="BQ38" i="9"/>
  <c r="BQ20" i="8" s="1"/>
  <c r="BR20" i="9"/>
  <c r="BQ155" i="8" l="1"/>
  <c r="BR121" i="8"/>
  <c r="BR122" i="8" s="1"/>
  <c r="BR144" i="8"/>
  <c r="BT119" i="8"/>
  <c r="BU117" i="8" s="1"/>
  <c r="BS120" i="8"/>
  <c r="BR38" i="9"/>
  <c r="BR20" i="8" s="1"/>
  <c r="BS20" i="9"/>
  <c r="BT120" i="8" l="1"/>
  <c r="BT121" i="8" s="1"/>
  <c r="BS121" i="8"/>
  <c r="BS122" i="8" s="1"/>
  <c r="BS144" i="8"/>
  <c r="BU119" i="8"/>
  <c r="BV117" i="8" s="1"/>
  <c r="BS38" i="9"/>
  <c r="BS20" i="8" s="1"/>
  <c r="BT20" i="9"/>
  <c r="BS155" i="8" l="1"/>
  <c r="BT122" i="8"/>
  <c r="BT144" i="8"/>
  <c r="BU120" i="8"/>
  <c r="BV119" i="8"/>
  <c r="BW117" i="8" s="1"/>
  <c r="BT38" i="9"/>
  <c r="BT20" i="8" s="1"/>
  <c r="BT155" i="8" s="1"/>
  <c r="BU20" i="9"/>
  <c r="BU121" i="8" l="1"/>
  <c r="BU122" i="8" s="1"/>
  <c r="BU144" i="8"/>
  <c r="BV120" i="8"/>
  <c r="BW119" i="8"/>
  <c r="BX117" i="8" s="1"/>
  <c r="BU38" i="9"/>
  <c r="BU20" i="8" s="1"/>
  <c r="BV20" i="9"/>
  <c r="BU155" i="8" l="1"/>
  <c r="BV121" i="8"/>
  <c r="BV122" i="8" s="1"/>
  <c r="BV144" i="8"/>
  <c r="BW120" i="8"/>
  <c r="BX119" i="8"/>
  <c r="BY117" i="8" s="1"/>
  <c r="BV38" i="9"/>
  <c r="BV20" i="8" s="1"/>
  <c r="BW20" i="9"/>
  <c r="P74" i="1" l="1"/>
  <c r="BW121" i="8"/>
  <c r="BW122" i="8" s="1"/>
  <c r="BW144" i="8"/>
  <c r="BX120" i="8"/>
  <c r="BY119" i="8"/>
  <c r="BZ117" i="8" s="1"/>
  <c r="BW38" i="9"/>
  <c r="BW20" i="8" s="1"/>
  <c r="BX20" i="9"/>
  <c r="BW155" i="8" l="1"/>
  <c r="BX121" i="8"/>
  <c r="BX122" i="8" s="1"/>
  <c r="BX144" i="8"/>
  <c r="BY120" i="8"/>
  <c r="BZ119" i="8"/>
  <c r="CA117" i="8" s="1"/>
  <c r="BX38" i="9"/>
  <c r="BX20" i="8" s="1"/>
  <c r="BX155" i="8" s="1"/>
  <c r="BY20" i="9"/>
  <c r="BY121" i="8" l="1"/>
  <c r="BY122" i="8" s="1"/>
  <c r="BY144" i="8"/>
  <c r="BZ120" i="8"/>
  <c r="CA119" i="8"/>
  <c r="CB117" i="8" s="1"/>
  <c r="BY38" i="9"/>
  <c r="BY20" i="8" s="1"/>
  <c r="BZ20" i="9"/>
  <c r="BY155" i="8" l="1"/>
  <c r="BZ121" i="8"/>
  <c r="BZ122" i="8" s="1"/>
  <c r="BZ144" i="8"/>
  <c r="CA120" i="8"/>
  <c r="CB119" i="8"/>
  <c r="CC117" i="8" s="1"/>
  <c r="BZ38" i="9"/>
  <c r="BZ20" i="8" s="1"/>
  <c r="CA20" i="9"/>
  <c r="CA121" i="8" l="1"/>
  <c r="CA122" i="8" s="1"/>
  <c r="CA144" i="8"/>
  <c r="CB120" i="8"/>
  <c r="CC119" i="8"/>
  <c r="CD117" i="8" s="1"/>
  <c r="CA38" i="9"/>
  <c r="CA20" i="8" s="1"/>
  <c r="CB20" i="9"/>
  <c r="CA155" i="8" l="1"/>
  <c r="CB121" i="8"/>
  <c r="CB122" i="8" s="1"/>
  <c r="CB144" i="8"/>
  <c r="CC120" i="8"/>
  <c r="CD119" i="8"/>
  <c r="CE117" i="8" s="1"/>
  <c r="CB38" i="9"/>
  <c r="CB20" i="8" s="1"/>
  <c r="CB155" i="8" s="1"/>
  <c r="CC20" i="9"/>
  <c r="Q74" i="1" l="1"/>
  <c r="CC121" i="8"/>
  <c r="CC122" i="8" s="1"/>
  <c r="CC144" i="8"/>
  <c r="CD120" i="8"/>
  <c r="CE119" i="8"/>
  <c r="CF117" i="8" s="1"/>
  <c r="CC38" i="9"/>
  <c r="CC20" i="8" s="1"/>
  <c r="CD20" i="9"/>
  <c r="CC155" i="8" l="1"/>
  <c r="CD121" i="8"/>
  <c r="CD122" i="8" s="1"/>
  <c r="CD144" i="8"/>
  <c r="CE120" i="8"/>
  <c r="CF119" i="8"/>
  <c r="CG117" i="8" s="1"/>
  <c r="CD38" i="9"/>
  <c r="CD20" i="8" s="1"/>
  <c r="CE20" i="9"/>
  <c r="CE121" i="8" l="1"/>
  <c r="CE122" i="8" s="1"/>
  <c r="CE144" i="8"/>
  <c r="CF120" i="8"/>
  <c r="CG119" i="8"/>
  <c r="CH117" i="8" s="1"/>
  <c r="CE38" i="9"/>
  <c r="CE20" i="8" s="1"/>
  <c r="CF20" i="9"/>
  <c r="CE155" i="8" l="1"/>
  <c r="CF121" i="8"/>
  <c r="CF122" i="8" s="1"/>
  <c r="CF144" i="8"/>
  <c r="CG120" i="8"/>
  <c r="CH119" i="8"/>
  <c r="CI117" i="8" s="1"/>
  <c r="CF38" i="9"/>
  <c r="CF20" i="8" s="1"/>
  <c r="CF155" i="8" s="1"/>
  <c r="CG20" i="9"/>
  <c r="CG121" i="8" l="1"/>
  <c r="CG122" i="8" s="1"/>
  <c r="CG144" i="8"/>
  <c r="CH120" i="8"/>
  <c r="CI119" i="8"/>
  <c r="CJ117" i="8" s="1"/>
  <c r="CG38" i="9"/>
  <c r="CG20" i="8" s="1"/>
  <c r="CH20" i="9"/>
  <c r="CG155" i="8" l="1"/>
  <c r="CH121" i="8"/>
  <c r="CH122" i="8" s="1"/>
  <c r="CH144" i="8"/>
  <c r="CI120" i="8"/>
  <c r="CJ119" i="8"/>
  <c r="CK117" i="8" s="1"/>
  <c r="CH38" i="9"/>
  <c r="CH20" i="8" s="1"/>
  <c r="CI20" i="9"/>
  <c r="R74" i="1" l="1"/>
  <c r="CI121" i="8"/>
  <c r="CI122" i="8" s="1"/>
  <c r="CI144" i="8"/>
  <c r="CK119" i="8"/>
  <c r="CL117" i="8" s="1"/>
  <c r="CJ120" i="8"/>
  <c r="CI38" i="9"/>
  <c r="CI20" i="8" s="1"/>
  <c r="CJ20" i="9"/>
  <c r="CI155" i="8" l="1"/>
  <c r="CK120" i="8"/>
  <c r="CK121" i="8" s="1"/>
  <c r="CJ121" i="8"/>
  <c r="CJ122" i="8" s="1"/>
  <c r="CJ144" i="8"/>
  <c r="CL119" i="8"/>
  <c r="CM117" i="8" s="1"/>
  <c r="CJ38" i="9"/>
  <c r="CJ20" i="8" s="1"/>
  <c r="CJ155" i="8" s="1"/>
  <c r="CK20" i="9"/>
  <c r="CL120" i="8" l="1"/>
  <c r="CL121" i="8" s="1"/>
  <c r="CK144" i="8"/>
  <c r="CK122" i="8"/>
  <c r="CM119" i="8"/>
  <c r="CN117" i="8" s="1"/>
  <c r="CK38" i="9"/>
  <c r="CK20" i="8" s="1"/>
  <c r="CL20" i="9"/>
  <c r="CL122" i="8" l="1"/>
  <c r="CL144" i="8"/>
  <c r="CK155" i="8"/>
  <c r="CM120" i="8"/>
  <c r="CM144" i="8" s="1"/>
  <c r="CN119" i="8"/>
  <c r="CO117" i="8" s="1"/>
  <c r="CL38" i="9"/>
  <c r="CL20" i="8" s="1"/>
  <c r="CM20" i="9"/>
  <c r="CM121" i="8" l="1"/>
  <c r="CM122" i="8" s="1"/>
  <c r="CO119" i="8"/>
  <c r="CP117" i="8" s="1"/>
  <c r="CN120" i="8"/>
  <c r="CM38" i="9"/>
  <c r="CM20" i="8" s="1"/>
  <c r="CN20" i="9"/>
  <c r="CM155" i="8" l="1"/>
  <c r="CN121" i="8"/>
  <c r="CN122" i="8" s="1"/>
  <c r="CN144" i="8"/>
  <c r="CO120" i="8"/>
  <c r="CP119" i="8"/>
  <c r="CQ117" i="8" s="1"/>
  <c r="CN38" i="9"/>
  <c r="CN20" i="8" s="1"/>
  <c r="CN155" i="8" s="1"/>
  <c r="CO20" i="9"/>
  <c r="S74" i="1" l="1"/>
  <c r="CO121" i="8"/>
  <c r="CO122" i="8" s="1"/>
  <c r="CO144" i="8"/>
  <c r="CP120" i="8"/>
  <c r="CQ119" i="8"/>
  <c r="CR117" i="8" s="1"/>
  <c r="CO38" i="9"/>
  <c r="CO20" i="8" s="1"/>
  <c r="CO155" i="8" s="1"/>
  <c r="CP20" i="9"/>
  <c r="CP121" i="8" l="1"/>
  <c r="CP122" i="8" s="1"/>
  <c r="CP144" i="8"/>
  <c r="CQ120" i="8"/>
  <c r="CR119" i="8"/>
  <c r="CS117" i="8" s="1"/>
  <c r="CP38" i="9"/>
  <c r="CP20" i="8" s="1"/>
  <c r="CQ20" i="9"/>
  <c r="CQ121" i="8" l="1"/>
  <c r="CQ122" i="8" s="1"/>
  <c r="CQ144" i="8"/>
  <c r="CR120" i="8"/>
  <c r="CS119" i="8"/>
  <c r="CT117" i="8" s="1"/>
  <c r="CQ38" i="9"/>
  <c r="CQ20" i="8" s="1"/>
  <c r="CQ155" i="8" s="1"/>
  <c r="CR20" i="9"/>
  <c r="CR121" i="8" l="1"/>
  <c r="CR122" i="8" s="1"/>
  <c r="CR144" i="8"/>
  <c r="CS120" i="8"/>
  <c r="CT119" i="8"/>
  <c r="CU117" i="8" s="1"/>
  <c r="CR38" i="9"/>
  <c r="CR20" i="8" s="1"/>
  <c r="CR155" i="8" s="1"/>
  <c r="CS20" i="9"/>
  <c r="CS121" i="8" l="1"/>
  <c r="CS122" i="8" s="1"/>
  <c r="CS144" i="8"/>
  <c r="CT120" i="8"/>
  <c r="CU119" i="8"/>
  <c r="CV117" i="8" s="1"/>
  <c r="CS38" i="9"/>
  <c r="CS20" i="8" s="1"/>
  <c r="CS155" i="8" s="1"/>
  <c r="CT20" i="9"/>
  <c r="CT121" i="8" l="1"/>
  <c r="CT122" i="8" s="1"/>
  <c r="CT144" i="8"/>
  <c r="CU120" i="8"/>
  <c r="CV119" i="8"/>
  <c r="CW117" i="8" s="1"/>
  <c r="CT38" i="9"/>
  <c r="CT20" i="8" s="1"/>
  <c r="CU20" i="9"/>
  <c r="CU121" i="8" l="1"/>
  <c r="CU122" i="8" s="1"/>
  <c r="CU144" i="8"/>
  <c r="CW119" i="8"/>
  <c r="CX117" i="8" s="1"/>
  <c r="CV120" i="8"/>
  <c r="CU38" i="9"/>
  <c r="CU20" i="8" s="1"/>
  <c r="CU155" i="8" s="1"/>
  <c r="CV20" i="9"/>
  <c r="CV121" i="8" l="1"/>
  <c r="CV122" i="8" s="1"/>
  <c r="CV144" i="8"/>
  <c r="CW120" i="8"/>
  <c r="CX119" i="8"/>
  <c r="CY117" i="8" s="1"/>
  <c r="CV38" i="9"/>
  <c r="CV20" i="8" s="1"/>
  <c r="CV155" i="8" s="1"/>
  <c r="CW20" i="9"/>
  <c r="CW121" i="8" l="1"/>
  <c r="CW122" i="8" s="1"/>
  <c r="CW144" i="8"/>
  <c r="CX120" i="8"/>
  <c r="CY119" i="8"/>
  <c r="CZ117" i="8" s="1"/>
  <c r="CW38" i="9"/>
  <c r="CW20" i="8" s="1"/>
  <c r="CW155" i="8" s="1"/>
  <c r="CX20" i="9"/>
  <c r="CX121" i="8" l="1"/>
  <c r="CX122" i="8" s="1"/>
  <c r="CX144" i="8"/>
  <c r="CY120" i="8"/>
  <c r="CZ119" i="8"/>
  <c r="DA117" i="8" s="1"/>
  <c r="CX38" i="9"/>
  <c r="CX20" i="8" s="1"/>
  <c r="CY20" i="9"/>
  <c r="CY121" i="8" l="1"/>
  <c r="CY122" i="8" s="1"/>
  <c r="CY144" i="8"/>
  <c r="CZ120" i="8"/>
  <c r="DA119" i="8"/>
  <c r="DB117" i="8" s="1"/>
  <c r="DB119" i="8" s="1"/>
  <c r="DB120" i="8" s="1"/>
  <c r="CY38" i="9"/>
  <c r="CY20" i="8" s="1"/>
  <c r="CY155" i="8" s="1"/>
  <c r="CZ20" i="9"/>
  <c r="DA120" i="8" l="1"/>
  <c r="DA121" i="8" s="1"/>
  <c r="CZ121" i="8"/>
  <c r="CZ122" i="8" s="1"/>
  <c r="CZ144" i="8"/>
  <c r="DB121" i="8"/>
  <c r="DB144" i="8"/>
  <c r="CZ38" i="9"/>
  <c r="CZ20" i="8" s="1"/>
  <c r="CZ155" i="8" s="1"/>
  <c r="DA20" i="9"/>
  <c r="DA144" i="8" l="1"/>
  <c r="DA122" i="8"/>
  <c r="DB122" i="8" s="1"/>
  <c r="DA38" i="9"/>
  <c r="DA20" i="8" s="1"/>
  <c r="DB20" i="9"/>
  <c r="DA155" i="8" l="1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DB38" i="9"/>
  <c r="F20" i="9"/>
  <c r="D20" i="9" s="1"/>
  <c r="H28" i="10" l="1"/>
  <c r="DB20" i="8"/>
  <c r="E74" i="1" s="1"/>
  <c r="F38" i="9"/>
  <c r="F20" i="8" l="1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CG36" i="8"/>
  <c r="CH36" i="8"/>
  <c r="CI36" i="8"/>
  <c r="CJ36" i="8"/>
  <c r="CK36" i="8"/>
  <c r="CL36" i="8"/>
  <c r="CM36" i="8"/>
  <c r="CN36" i="8"/>
  <c r="CO36" i="8"/>
  <c r="CP36" i="8"/>
  <c r="CQ36" i="8"/>
  <c r="CR36" i="8"/>
  <c r="CS36" i="8"/>
  <c r="CT36" i="8"/>
  <c r="CU36" i="8"/>
  <c r="CV36" i="8"/>
  <c r="CW36" i="8"/>
  <c r="CX36" i="8"/>
  <c r="CY36" i="8"/>
  <c r="CZ36" i="8"/>
  <c r="DA36" i="8"/>
  <c r="DB36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AL45" i="8"/>
  <c r="AM45" i="8"/>
  <c r="AN45" i="8"/>
  <c r="AO45" i="8"/>
  <c r="AP45" i="8"/>
  <c r="AQ45" i="8"/>
  <c r="AR45" i="8"/>
  <c r="AS45" i="8"/>
  <c r="AT45" i="8"/>
  <c r="AU45" i="8"/>
  <c r="AV45" i="8"/>
  <c r="AW45" i="8"/>
  <c r="AX45" i="8"/>
  <c r="AY45" i="8"/>
  <c r="AZ45" i="8"/>
  <c r="BA45" i="8"/>
  <c r="BB45" i="8"/>
  <c r="BC45" i="8"/>
  <c r="BD45" i="8"/>
  <c r="BE45" i="8"/>
  <c r="BF45" i="8"/>
  <c r="BG45" i="8"/>
  <c r="BH45" i="8"/>
  <c r="BI45" i="8"/>
  <c r="BJ45" i="8"/>
  <c r="BK45" i="8"/>
  <c r="BL45" i="8"/>
  <c r="BM45" i="8"/>
  <c r="BN45" i="8"/>
  <c r="BO45" i="8"/>
  <c r="BP45" i="8"/>
  <c r="BQ45" i="8"/>
  <c r="BR45" i="8"/>
  <c r="BS45" i="8"/>
  <c r="BT45" i="8"/>
  <c r="BU45" i="8"/>
  <c r="BV45" i="8"/>
  <c r="BW45" i="8"/>
  <c r="BX45" i="8"/>
  <c r="BY45" i="8"/>
  <c r="BZ45" i="8"/>
  <c r="CA45" i="8"/>
  <c r="CB45" i="8"/>
  <c r="CC45" i="8"/>
  <c r="CD45" i="8"/>
  <c r="CE45" i="8"/>
  <c r="CF45" i="8"/>
  <c r="CG45" i="8"/>
  <c r="CH45" i="8"/>
  <c r="CI45" i="8"/>
  <c r="CJ45" i="8"/>
  <c r="CK45" i="8"/>
  <c r="CL45" i="8"/>
  <c r="CM45" i="8"/>
  <c r="CN45" i="8"/>
  <c r="CO45" i="8"/>
  <c r="CP45" i="8"/>
  <c r="CQ45" i="8"/>
  <c r="CR45" i="8"/>
  <c r="CS45" i="8"/>
  <c r="CT45" i="8"/>
  <c r="CU45" i="8"/>
  <c r="CV45" i="8"/>
  <c r="CW45" i="8"/>
  <c r="CX45" i="8"/>
  <c r="CY45" i="8"/>
  <c r="CZ45" i="8"/>
  <c r="DA45" i="8"/>
  <c r="DB45" i="8"/>
  <c r="N90" i="1" l="1"/>
  <c r="R90" i="1"/>
  <c r="E99" i="1"/>
  <c r="J90" i="1"/>
  <c r="F90" i="1"/>
  <c r="G90" i="1"/>
  <c r="L99" i="1"/>
  <c r="S90" i="1"/>
  <c r="E90" i="1"/>
  <c r="Q90" i="1"/>
  <c r="M90" i="1"/>
  <c r="I90" i="1"/>
  <c r="R99" i="1"/>
  <c r="S99" i="1"/>
  <c r="O99" i="1"/>
  <c r="K99" i="1"/>
  <c r="G99" i="1"/>
  <c r="H99" i="1"/>
  <c r="O90" i="1"/>
  <c r="Q99" i="1"/>
  <c r="M99" i="1"/>
  <c r="I99" i="1"/>
  <c r="K90" i="1"/>
  <c r="P90" i="1"/>
  <c r="L90" i="1"/>
  <c r="H90" i="1"/>
  <c r="P99" i="1"/>
  <c r="N99" i="1"/>
  <c r="J99" i="1"/>
  <c r="F99" i="1"/>
  <c r="CY88" i="8"/>
  <c r="CQ88" i="8"/>
  <c r="CI88" i="8"/>
  <c r="CA88" i="8"/>
  <c r="BS88" i="8"/>
  <c r="BK88" i="8"/>
  <c r="BC88" i="8"/>
  <c r="AU88" i="8"/>
  <c r="AM88" i="8"/>
  <c r="AE88" i="8"/>
  <c r="W88" i="8"/>
  <c r="O88" i="8"/>
  <c r="M88" i="8"/>
  <c r="CD88" i="8"/>
  <c r="BY88" i="8"/>
  <c r="BA88" i="8"/>
  <c r="AS88" i="8"/>
  <c r="AK88" i="8"/>
  <c r="CF88" i="8"/>
  <c r="BH88" i="8"/>
  <c r="AJ88" i="8"/>
  <c r="BF88" i="8"/>
  <c r="DB88" i="8"/>
  <c r="CT88" i="8"/>
  <c r="DA88" i="8"/>
  <c r="CK88" i="8"/>
  <c r="BM88" i="8"/>
  <c r="AO88" i="8"/>
  <c r="AG88" i="8"/>
  <c r="Q88" i="8"/>
  <c r="CV88" i="8"/>
  <c r="CN88" i="8"/>
  <c r="BX88" i="8"/>
  <c r="BP88" i="8"/>
  <c r="AZ88" i="8"/>
  <c r="AR88" i="8"/>
  <c r="AB88" i="8"/>
  <c r="T88" i="8"/>
  <c r="L88" i="8"/>
  <c r="CZ88" i="8"/>
  <c r="CR88" i="8"/>
  <c r="CJ88" i="8"/>
  <c r="CB88" i="8"/>
  <c r="BT88" i="8"/>
  <c r="BL88" i="8"/>
  <c r="BD88" i="8"/>
  <c r="AV88" i="8"/>
  <c r="AN88" i="8"/>
  <c r="AF88" i="8"/>
  <c r="X88" i="8"/>
  <c r="P88" i="8"/>
  <c r="H88" i="8"/>
  <c r="H89" i="8" s="1"/>
  <c r="I87" i="8" s="1"/>
  <c r="K88" i="8"/>
  <c r="CL88" i="8"/>
  <c r="BV88" i="8"/>
  <c r="BN88" i="8"/>
  <c r="AX88" i="8"/>
  <c r="AP88" i="8"/>
  <c r="AH88" i="8"/>
  <c r="Z88" i="8"/>
  <c r="R88" i="8"/>
  <c r="J88" i="8"/>
  <c r="CH88" i="8"/>
  <c r="BJ88" i="8"/>
  <c r="CW88" i="8"/>
  <c r="CO88" i="8"/>
  <c r="CG88" i="8"/>
  <c r="BQ88" i="8"/>
  <c r="BI88" i="8"/>
  <c r="AC88" i="8"/>
  <c r="U88" i="8"/>
  <c r="CE88" i="8"/>
  <c r="AY88" i="8"/>
  <c r="AI88" i="8"/>
  <c r="CP88" i="8"/>
  <c r="CS88" i="8"/>
  <c r="CC88" i="8"/>
  <c r="BU88" i="8"/>
  <c r="BE88" i="8"/>
  <c r="AW88" i="8"/>
  <c r="Y88" i="8"/>
  <c r="I88" i="8"/>
  <c r="CU88" i="8"/>
  <c r="BO88" i="8"/>
  <c r="AQ88" i="8"/>
  <c r="S88" i="8"/>
  <c r="CM88" i="8"/>
  <c r="BW88" i="8"/>
  <c r="BG88" i="8"/>
  <c r="AA88" i="8"/>
  <c r="CX88" i="8"/>
  <c r="BZ88" i="8"/>
  <c r="BR88" i="8"/>
  <c r="BB88" i="8"/>
  <c r="AT88" i="8"/>
  <c r="AL88" i="8"/>
  <c r="AD88" i="8"/>
  <c r="V88" i="8"/>
  <c r="N88" i="8"/>
  <c r="F45" i="8"/>
  <c r="F36" i="8"/>
  <c r="H90" i="8" l="1"/>
  <c r="H91" i="8" s="1"/>
  <c r="I89" i="8"/>
  <c r="J87" i="8" s="1"/>
  <c r="H92" i="8" l="1"/>
  <c r="H142" i="8"/>
  <c r="I90" i="8"/>
  <c r="J89" i="8"/>
  <c r="K87" i="8" s="1"/>
  <c r="I91" i="8" l="1"/>
  <c r="I92" i="8" s="1"/>
  <c r="I142" i="8"/>
  <c r="J90" i="8"/>
  <c r="J142" i="8" s="1"/>
  <c r="K89" i="8"/>
  <c r="L87" i="8" s="1"/>
  <c r="J91" i="8" l="1"/>
  <c r="J92" i="8" s="1"/>
  <c r="L89" i="8"/>
  <c r="M87" i="8" s="1"/>
  <c r="K90" i="8"/>
  <c r="K142" i="8" s="1"/>
  <c r="L90" i="8" l="1"/>
  <c r="K91" i="8"/>
  <c r="M89" i="8"/>
  <c r="N87" i="8" s="1"/>
  <c r="L91" i="8" l="1"/>
  <c r="L142" i="8"/>
  <c r="M90" i="8"/>
  <c r="N89" i="8"/>
  <c r="O87" i="8" s="1"/>
  <c r="K92" i="8"/>
  <c r="L92" i="8" l="1"/>
  <c r="M91" i="8"/>
  <c r="M142" i="8"/>
  <c r="N90" i="8"/>
  <c r="N142" i="8" s="1"/>
  <c r="O89" i="8"/>
  <c r="P87" i="8" s="1"/>
  <c r="M92" i="8" l="1"/>
  <c r="N91" i="8"/>
  <c r="P89" i="8"/>
  <c r="Q87" i="8" s="1"/>
  <c r="O90" i="8"/>
  <c r="O142" i="8" s="1"/>
  <c r="N92" i="8" l="1"/>
  <c r="O91" i="8"/>
  <c r="Q89" i="8"/>
  <c r="R87" i="8" s="1"/>
  <c r="P90" i="8"/>
  <c r="P142" i="8" s="1"/>
  <c r="Q90" i="8" l="1"/>
  <c r="Q142" i="8" s="1"/>
  <c r="P91" i="8"/>
  <c r="R89" i="8"/>
  <c r="S87" i="8" s="1"/>
  <c r="O92" i="8"/>
  <c r="Q91" i="8" l="1"/>
  <c r="P92" i="8"/>
  <c r="R90" i="8"/>
  <c r="R142" i="8" s="1"/>
  <c r="S89" i="8"/>
  <c r="T87" i="8" s="1"/>
  <c r="Q92" i="8" l="1"/>
  <c r="R91" i="8"/>
  <c r="T89" i="8"/>
  <c r="U87" i="8" s="1"/>
  <c r="S90" i="8"/>
  <c r="S142" i="8" s="1"/>
  <c r="R92" i="8" l="1"/>
  <c r="S91" i="8"/>
  <c r="U89" i="8"/>
  <c r="V87" i="8" s="1"/>
  <c r="T90" i="8"/>
  <c r="T142" i="8" s="1"/>
  <c r="S92" i="8" l="1"/>
  <c r="T91" i="8"/>
  <c r="V89" i="8"/>
  <c r="W87" i="8" s="1"/>
  <c r="U90" i="8"/>
  <c r="U142" i="8" s="1"/>
  <c r="T92" i="8" l="1"/>
  <c r="V90" i="8"/>
  <c r="V142" i="8" s="1"/>
  <c r="U91" i="8"/>
  <c r="W89" i="8"/>
  <c r="X87" i="8" s="1"/>
  <c r="U92" i="8" l="1"/>
  <c r="V91" i="8"/>
  <c r="X89" i="8"/>
  <c r="Y87" i="8" s="1"/>
  <c r="W90" i="8"/>
  <c r="W142" i="8" s="1"/>
  <c r="V92" i="8" l="1"/>
  <c r="X90" i="8"/>
  <c r="X142" i="8" s="1"/>
  <c r="W91" i="8"/>
  <c r="W92" i="8" s="1"/>
  <c r="Y89" i="8"/>
  <c r="Z87" i="8" s="1"/>
  <c r="X91" i="8" l="1"/>
  <c r="X92" i="8" s="1"/>
  <c r="Z89" i="8"/>
  <c r="AA87" i="8" s="1"/>
  <c r="Y90" i="8"/>
  <c r="Y142" i="8" s="1"/>
  <c r="Z90" i="8" l="1"/>
  <c r="Y91" i="8"/>
  <c r="Y92" i="8" s="1"/>
  <c r="AA89" i="8"/>
  <c r="AB87" i="8" s="1"/>
  <c r="Z91" i="8" l="1"/>
  <c r="Z92" i="8" s="1"/>
  <c r="Z142" i="8"/>
  <c r="AA90" i="8"/>
  <c r="AB89" i="8"/>
  <c r="AC87" i="8" s="1"/>
  <c r="AA91" i="8" l="1"/>
  <c r="AA92" i="8" s="1"/>
  <c r="AA142" i="8"/>
  <c r="AB90" i="8"/>
  <c r="AB142" i="8" s="1"/>
  <c r="AC89" i="8"/>
  <c r="AD87" i="8" s="1"/>
  <c r="AB91" i="8" l="1"/>
  <c r="AB92" i="8" s="1"/>
  <c r="AC90" i="8"/>
  <c r="AC142" i="8" s="1"/>
  <c r="AD89" i="8"/>
  <c r="AE87" i="8" s="1"/>
  <c r="AC91" i="8" l="1"/>
  <c r="AC92" i="8" s="1"/>
  <c r="AD90" i="8"/>
  <c r="AE89" i="8"/>
  <c r="AF87" i="8" s="1"/>
  <c r="AD91" i="8" l="1"/>
  <c r="AD92" i="8" s="1"/>
  <c r="AD142" i="8"/>
  <c r="AF89" i="8"/>
  <c r="AG87" i="8" s="1"/>
  <c r="AE90" i="8"/>
  <c r="AE142" i="8" s="1"/>
  <c r="AF90" i="8" l="1"/>
  <c r="AE91" i="8"/>
  <c r="AE92" i="8" s="1"/>
  <c r="AG89" i="8"/>
  <c r="AH87" i="8" s="1"/>
  <c r="AF91" i="8" l="1"/>
  <c r="AF92" i="8" s="1"/>
  <c r="AF142" i="8"/>
  <c r="AH89" i="8"/>
  <c r="AI87" i="8" s="1"/>
  <c r="AG90" i="8"/>
  <c r="AG142" i="8" s="1"/>
  <c r="AH90" i="8" l="1"/>
  <c r="AG91" i="8"/>
  <c r="AG92" i="8" s="1"/>
  <c r="AI89" i="8"/>
  <c r="AJ87" i="8" s="1"/>
  <c r="AH91" i="8" l="1"/>
  <c r="AH92" i="8" s="1"/>
  <c r="AH142" i="8"/>
  <c r="AJ89" i="8"/>
  <c r="AK87" i="8" s="1"/>
  <c r="AI90" i="8"/>
  <c r="AI142" i="8" s="1"/>
  <c r="AK89" i="8" l="1"/>
  <c r="AL87" i="8" s="1"/>
  <c r="AI91" i="8"/>
  <c r="AI92" i="8" s="1"/>
  <c r="AJ90" i="8"/>
  <c r="AJ142" i="8" s="1"/>
  <c r="AJ91" i="8" l="1"/>
  <c r="AJ92" i="8" s="1"/>
  <c r="AL89" i="8"/>
  <c r="AM87" i="8" s="1"/>
  <c r="AK90" i="8"/>
  <c r="AK142" i="8" s="1"/>
  <c r="AL90" i="8" l="1"/>
  <c r="AK91" i="8"/>
  <c r="AK92" i="8" s="1"/>
  <c r="AM89" i="8"/>
  <c r="AN87" i="8" s="1"/>
  <c r="AL91" i="8" l="1"/>
  <c r="AL92" i="8" s="1"/>
  <c r="AL142" i="8"/>
  <c r="AN89" i="8"/>
  <c r="AO87" i="8" s="1"/>
  <c r="AM90" i="8"/>
  <c r="AM142" i="8" s="1"/>
  <c r="AN90" i="8" l="1"/>
  <c r="AN142" i="8" s="1"/>
  <c r="AM91" i="8"/>
  <c r="AM92" i="8" s="1"/>
  <c r="AO89" i="8"/>
  <c r="AP87" i="8" s="1"/>
  <c r="AN91" i="8" l="1"/>
  <c r="AN92" i="8" s="1"/>
  <c r="AO90" i="8"/>
  <c r="AO142" i="8" s="1"/>
  <c r="AP89" i="8"/>
  <c r="AQ87" i="8" s="1"/>
  <c r="AO91" i="8" l="1"/>
  <c r="AO92" i="8" s="1"/>
  <c r="AP90" i="8"/>
  <c r="AP142" i="8" s="1"/>
  <c r="AQ89" i="8"/>
  <c r="AR87" i="8" s="1"/>
  <c r="AP91" i="8" l="1"/>
  <c r="AP92" i="8" s="1"/>
  <c r="AR89" i="8"/>
  <c r="AS87" i="8" s="1"/>
  <c r="AQ90" i="8"/>
  <c r="AQ142" i="8" s="1"/>
  <c r="AQ91" i="8" l="1"/>
  <c r="AQ92" i="8" s="1"/>
  <c r="AS89" i="8"/>
  <c r="AT87" i="8" s="1"/>
  <c r="AR90" i="8"/>
  <c r="AR142" i="8" s="1"/>
  <c r="AS90" i="8" l="1"/>
  <c r="AT89" i="8"/>
  <c r="AU87" i="8" s="1"/>
  <c r="AR91" i="8"/>
  <c r="AR92" i="8" s="1"/>
  <c r="AS91" i="8" l="1"/>
  <c r="AS92" i="8" s="1"/>
  <c r="AS142" i="8"/>
  <c r="AU89" i="8"/>
  <c r="AV87" i="8" s="1"/>
  <c r="AT90" i="8"/>
  <c r="AT142" i="8" s="1"/>
  <c r="AT91" i="8" l="1"/>
  <c r="AT92" i="8" s="1"/>
  <c r="AV89" i="8"/>
  <c r="AW87" i="8" s="1"/>
  <c r="AU90" i="8"/>
  <c r="AU142" i="8" s="1"/>
  <c r="AV90" i="8" l="1"/>
  <c r="AV142" i="8" s="1"/>
  <c r="AU91" i="8"/>
  <c r="AU92" i="8" s="1"/>
  <c r="AW89" i="8"/>
  <c r="AX87" i="8" s="1"/>
  <c r="AW90" i="8" l="1"/>
  <c r="AV91" i="8"/>
  <c r="AV92" i="8" s="1"/>
  <c r="AX89" i="8"/>
  <c r="AY87" i="8" s="1"/>
  <c r="AW91" i="8" l="1"/>
  <c r="AW92" i="8" s="1"/>
  <c r="AW142" i="8"/>
  <c r="AX90" i="8"/>
  <c r="AY89" i="8"/>
  <c r="AZ87" i="8" s="1"/>
  <c r="AX91" i="8" l="1"/>
  <c r="AX92" i="8" s="1"/>
  <c r="AX142" i="8"/>
  <c r="AZ89" i="8"/>
  <c r="BA87" i="8" s="1"/>
  <c r="AY90" i="8"/>
  <c r="AY142" i="8" s="1"/>
  <c r="AY91" i="8" l="1"/>
  <c r="AY92" i="8" s="1"/>
  <c r="BA89" i="8"/>
  <c r="BB87" i="8" s="1"/>
  <c r="AZ90" i="8"/>
  <c r="AZ142" i="8" s="1"/>
  <c r="AZ91" i="8" l="1"/>
  <c r="AZ92" i="8" s="1"/>
  <c r="BB89" i="8"/>
  <c r="BC87" i="8" s="1"/>
  <c r="BA90" i="8"/>
  <c r="BA142" i="8" s="1"/>
  <c r="BA91" i="8" l="1"/>
  <c r="BA92" i="8" s="1"/>
  <c r="BC89" i="8"/>
  <c r="BD87" i="8" s="1"/>
  <c r="BB90" i="8"/>
  <c r="BB142" i="8" s="1"/>
  <c r="BB91" i="8" l="1"/>
  <c r="BB92" i="8" s="1"/>
  <c r="BD89" i="8"/>
  <c r="BE87" i="8" s="1"/>
  <c r="BC90" i="8"/>
  <c r="BC142" i="8" s="1"/>
  <c r="BD90" i="8" l="1"/>
  <c r="BD142" i="8" s="1"/>
  <c r="BC91" i="8"/>
  <c r="BC92" i="8" s="1"/>
  <c r="BE89" i="8"/>
  <c r="BF87" i="8" s="1"/>
  <c r="BD91" i="8" l="1"/>
  <c r="BD92" i="8" s="1"/>
  <c r="BE90" i="8"/>
  <c r="BF89" i="8"/>
  <c r="BG87" i="8" s="1"/>
  <c r="BE91" i="8" l="1"/>
  <c r="BE92" i="8" s="1"/>
  <c r="BE142" i="8"/>
  <c r="BF90" i="8"/>
  <c r="BG89" i="8"/>
  <c r="BH87" i="8" s="1"/>
  <c r="BF91" i="8" l="1"/>
  <c r="BF92" i="8" s="1"/>
  <c r="BF142" i="8"/>
  <c r="BG90" i="8"/>
  <c r="BH89" i="8"/>
  <c r="BI87" i="8" s="1"/>
  <c r="BG91" i="8" l="1"/>
  <c r="BG92" i="8" s="1"/>
  <c r="BG142" i="8"/>
  <c r="BI89" i="8"/>
  <c r="BJ87" i="8" s="1"/>
  <c r="BH90" i="8"/>
  <c r="BH142" i="8" s="1"/>
  <c r="BH91" i="8" l="1"/>
  <c r="BH92" i="8" s="1"/>
  <c r="BJ89" i="8"/>
  <c r="BK87" i="8" s="1"/>
  <c r="BI90" i="8"/>
  <c r="BI142" i="8" s="1"/>
  <c r="BI91" i="8" l="1"/>
  <c r="BI92" i="8" s="1"/>
  <c r="BK89" i="8"/>
  <c r="BL87" i="8" s="1"/>
  <c r="BJ90" i="8"/>
  <c r="BJ142" i="8" s="1"/>
  <c r="BK90" i="8" l="1"/>
  <c r="BK142" i="8" s="1"/>
  <c r="BJ91" i="8"/>
  <c r="BJ92" i="8" s="1"/>
  <c r="BL89" i="8"/>
  <c r="BM87" i="8" s="1"/>
  <c r="BK91" i="8" l="1"/>
  <c r="BK92" i="8" s="1"/>
  <c r="BM89" i="8"/>
  <c r="BN87" i="8" s="1"/>
  <c r="BL90" i="8"/>
  <c r="BL142" i="8" s="1"/>
  <c r="BL91" i="8" l="1"/>
  <c r="BL92" i="8" s="1"/>
  <c r="BN89" i="8"/>
  <c r="BO87" i="8" s="1"/>
  <c r="BM90" i="8"/>
  <c r="BM142" i="8" s="1"/>
  <c r="BN90" i="8" l="1"/>
  <c r="BN142" i="8" s="1"/>
  <c r="BM91" i="8"/>
  <c r="BM92" i="8" s="1"/>
  <c r="BO89" i="8"/>
  <c r="BP87" i="8" s="1"/>
  <c r="BN91" i="8" l="1"/>
  <c r="BN92" i="8" s="1"/>
  <c r="BP89" i="8"/>
  <c r="BQ87" i="8" s="1"/>
  <c r="BO90" i="8"/>
  <c r="BO142" i="8" s="1"/>
  <c r="BP90" i="8" l="1"/>
  <c r="BP142" i="8" s="1"/>
  <c r="BO91" i="8"/>
  <c r="BO92" i="8" s="1"/>
  <c r="BQ89" i="8"/>
  <c r="BR87" i="8" s="1"/>
  <c r="BP91" i="8" l="1"/>
  <c r="BP92" i="8"/>
  <c r="BR89" i="8"/>
  <c r="BS87" i="8" s="1"/>
  <c r="BQ90" i="8"/>
  <c r="BQ142" i="8" s="1"/>
  <c r="BR90" i="8" l="1"/>
  <c r="BR142" i="8" s="1"/>
  <c r="BQ91" i="8"/>
  <c r="BQ92" i="8" s="1"/>
  <c r="BS89" i="8"/>
  <c r="BT87" i="8" s="1"/>
  <c r="BR91" i="8" l="1"/>
  <c r="BR92" i="8" s="1"/>
  <c r="BT89" i="8"/>
  <c r="BU87" i="8" s="1"/>
  <c r="BS90" i="8"/>
  <c r="BS142" i="8" s="1"/>
  <c r="BU89" i="8" l="1"/>
  <c r="BV87" i="8" s="1"/>
  <c r="BS91" i="8"/>
  <c r="BS92" i="8" s="1"/>
  <c r="BT90" i="8"/>
  <c r="BT142" i="8" s="1"/>
  <c r="BU90" i="8" l="1"/>
  <c r="BT91" i="8"/>
  <c r="BT92" i="8" s="1"/>
  <c r="BV89" i="8"/>
  <c r="BW87" i="8" s="1"/>
  <c r="BU91" i="8" l="1"/>
  <c r="BU92" i="8" s="1"/>
  <c r="BU142" i="8"/>
  <c r="BV90" i="8"/>
  <c r="BW89" i="8"/>
  <c r="BX87" i="8" s="1"/>
  <c r="BV91" i="8" l="1"/>
  <c r="BV92" i="8" s="1"/>
  <c r="BV142" i="8"/>
  <c r="BW90" i="8"/>
  <c r="BW142" i="8" s="1"/>
  <c r="BX89" i="8"/>
  <c r="BY87" i="8" s="1"/>
  <c r="BX90" i="8" l="1"/>
  <c r="BY89" i="8"/>
  <c r="BZ87" i="8" s="1"/>
  <c r="BW91" i="8"/>
  <c r="BW92" i="8" s="1"/>
  <c r="BX91" i="8" l="1"/>
  <c r="BX92" i="8" s="1"/>
  <c r="BX142" i="8"/>
  <c r="BY90" i="8"/>
  <c r="BZ89" i="8"/>
  <c r="CA87" i="8" s="1"/>
  <c r="BY91" i="8" l="1"/>
  <c r="BY92" i="8" s="1"/>
  <c r="BY142" i="8"/>
  <c r="CA89" i="8"/>
  <c r="CB87" i="8" s="1"/>
  <c r="BZ90" i="8"/>
  <c r="BZ142" i="8" s="1"/>
  <c r="CB89" i="8" l="1"/>
  <c r="CC87" i="8" s="1"/>
  <c r="BZ91" i="8"/>
  <c r="BZ92" i="8" s="1"/>
  <c r="CA90" i="8"/>
  <c r="CA142" i="8" s="1"/>
  <c r="CB90" i="8" l="1"/>
  <c r="CA91" i="8"/>
  <c r="CA92" i="8" s="1"/>
  <c r="CC89" i="8"/>
  <c r="CD87" i="8" s="1"/>
  <c r="CB91" i="8" l="1"/>
  <c r="CB92" i="8" s="1"/>
  <c r="CB142" i="8"/>
  <c r="CD89" i="8"/>
  <c r="CE87" i="8" s="1"/>
  <c r="CC90" i="8"/>
  <c r="CC142" i="8" s="1"/>
  <c r="CD90" i="8" l="1"/>
  <c r="CD142" i="8" s="1"/>
  <c r="CC91" i="8"/>
  <c r="CC92" i="8" s="1"/>
  <c r="CE89" i="8"/>
  <c r="CF87" i="8" s="1"/>
  <c r="CD91" i="8" l="1"/>
  <c r="CD92" i="8" s="1"/>
  <c r="CF89" i="8"/>
  <c r="CG87" i="8" s="1"/>
  <c r="CE90" i="8"/>
  <c r="CE142" i="8" s="1"/>
  <c r="CF90" i="8" l="1"/>
  <c r="CF142" i="8" s="1"/>
  <c r="CE91" i="8"/>
  <c r="CE92" i="8" s="1"/>
  <c r="CG89" i="8"/>
  <c r="CH87" i="8" s="1"/>
  <c r="CG90" i="8" l="1"/>
  <c r="CF91" i="8"/>
  <c r="CF92" i="8" s="1"/>
  <c r="CH89" i="8"/>
  <c r="CI87" i="8" s="1"/>
  <c r="CG91" i="8" l="1"/>
  <c r="CG92" i="8" s="1"/>
  <c r="CG142" i="8"/>
  <c r="CH90" i="8"/>
  <c r="CH142" i="8" s="1"/>
  <c r="CI89" i="8"/>
  <c r="CJ87" i="8" s="1"/>
  <c r="CH91" i="8" l="1"/>
  <c r="CH92" i="8" s="1"/>
  <c r="CI90" i="8"/>
  <c r="CJ89" i="8"/>
  <c r="CK87" i="8" s="1"/>
  <c r="CI91" i="8" l="1"/>
  <c r="CI92" i="8" s="1"/>
  <c r="CI142" i="8"/>
  <c r="CK89" i="8"/>
  <c r="CL87" i="8" s="1"/>
  <c r="CJ90" i="8"/>
  <c r="CJ142" i="8" s="1"/>
  <c r="CL89" i="8" l="1"/>
  <c r="CM87" i="8" s="1"/>
  <c r="CJ91" i="8"/>
  <c r="CJ92" i="8" s="1"/>
  <c r="CK90" i="8"/>
  <c r="CK142" i="8" s="1"/>
  <c r="CL90" i="8" l="1"/>
  <c r="CL142" i="8" s="1"/>
  <c r="CK91" i="8"/>
  <c r="CK92" i="8" s="1"/>
  <c r="CM89" i="8"/>
  <c r="CN87" i="8" s="1"/>
  <c r="CL91" i="8" l="1"/>
  <c r="CL92" i="8" s="1"/>
  <c r="CM90" i="8"/>
  <c r="CN89" i="8"/>
  <c r="CO87" i="8" s="1"/>
  <c r="CM91" i="8" l="1"/>
  <c r="CM92" i="8" s="1"/>
  <c r="CM142" i="8"/>
  <c r="CN90" i="8"/>
  <c r="CN142" i="8" s="1"/>
  <c r="CO89" i="8"/>
  <c r="CP87" i="8" s="1"/>
  <c r="CP89" i="8" l="1"/>
  <c r="CQ87" i="8" s="1"/>
  <c r="CO90" i="8"/>
  <c r="CO142" i="8" s="1"/>
  <c r="CN91" i="8"/>
  <c r="CN92" i="8" s="1"/>
  <c r="CP90" i="8" l="1"/>
  <c r="CO91" i="8"/>
  <c r="CO92" i="8" s="1"/>
  <c r="CQ89" i="8"/>
  <c r="CR87" i="8" s="1"/>
  <c r="CP91" i="8" l="1"/>
  <c r="CP92" i="8" s="1"/>
  <c r="CP142" i="8"/>
  <c r="CQ90" i="8"/>
  <c r="CQ142" i="8" s="1"/>
  <c r="CR89" i="8"/>
  <c r="CS87" i="8" s="1"/>
  <c r="CR90" i="8" l="1"/>
  <c r="CR142" i="8" s="1"/>
  <c r="CQ91" i="8"/>
  <c r="CQ92" i="8" s="1"/>
  <c r="CS89" i="8"/>
  <c r="CT87" i="8" s="1"/>
  <c r="CR91" i="8" l="1"/>
  <c r="CR92" i="8" s="1"/>
  <c r="CT89" i="8"/>
  <c r="CU87" i="8" s="1"/>
  <c r="CS90" i="8"/>
  <c r="CS142" i="8" s="1"/>
  <c r="CT90" i="8" l="1"/>
  <c r="CT142" i="8" s="1"/>
  <c r="CS91" i="8"/>
  <c r="CS92" i="8" s="1"/>
  <c r="CU89" i="8"/>
  <c r="CV87" i="8" s="1"/>
  <c r="CT91" i="8" l="1"/>
  <c r="CT92" i="8" s="1"/>
  <c r="CV89" i="8"/>
  <c r="CW87" i="8" s="1"/>
  <c r="CU90" i="8"/>
  <c r="CU142" i="8" s="1"/>
  <c r="CV90" i="8" l="1"/>
  <c r="CV142" i="8" s="1"/>
  <c r="CU91" i="8"/>
  <c r="CU92" i="8" s="1"/>
  <c r="CW89" i="8"/>
  <c r="CX87" i="8" s="1"/>
  <c r="CW90" i="8" l="1"/>
  <c r="CV91" i="8"/>
  <c r="CV92" i="8" s="1"/>
  <c r="CX89" i="8"/>
  <c r="CY87" i="8" s="1"/>
  <c r="CW91" i="8" l="1"/>
  <c r="CW92" i="8" s="1"/>
  <c r="CW142" i="8"/>
  <c r="CX90" i="8"/>
  <c r="CY89" i="8"/>
  <c r="CZ87" i="8" s="1"/>
  <c r="CX91" i="8" l="1"/>
  <c r="CX92" i="8" s="1"/>
  <c r="CX142" i="8"/>
  <c r="CZ89" i="8"/>
  <c r="DA87" i="8" s="1"/>
  <c r="CY90" i="8"/>
  <c r="CY142" i="8" s="1"/>
  <c r="CY91" i="8" l="1"/>
  <c r="CY92" i="8" s="1"/>
  <c r="CZ90" i="8"/>
  <c r="CZ142" i="8" s="1"/>
  <c r="DA89" i="8"/>
  <c r="DB87" i="8" s="1"/>
  <c r="DB89" i="8" l="1"/>
  <c r="DB90" i="8" s="1"/>
  <c r="DB142" i="8" s="1"/>
  <c r="DA90" i="8"/>
  <c r="DA142" i="8" s="1"/>
  <c r="CZ91" i="8"/>
  <c r="CZ92" i="8" s="1"/>
  <c r="DA91" i="8" l="1"/>
  <c r="DA92" i="8" s="1"/>
  <c r="DB91" i="8"/>
  <c r="DB92" i="8" l="1"/>
  <c r="F92" i="8" s="1"/>
  <c r="F91" i="8"/>
  <c r="F121" i="8" l="1"/>
  <c r="F122" i="8"/>
  <c r="E137" i="1"/>
  <c r="E147" i="1" l="1"/>
  <c r="H77" i="8"/>
  <c r="H107" i="8"/>
  <c r="H157" i="8" l="1"/>
  <c r="H158" i="8" s="1"/>
  <c r="E116" i="1" s="1"/>
  <c r="X78" i="1" l="1"/>
  <c r="X79" i="1"/>
  <c r="V80" i="1"/>
  <c r="X80" i="1" l="1"/>
  <c r="AG89" i="1" s="1"/>
  <c r="AG90" i="1" l="1"/>
  <c r="AG93" i="1"/>
  <c r="V105" i="7"/>
  <c r="V19" i="8" s="1"/>
  <c r="K27" i="10"/>
  <c r="K20" i="10" s="1"/>
  <c r="K33" i="10" s="1"/>
  <c r="R105" i="7"/>
  <c r="R19" i="8" s="1"/>
  <c r="Z105" i="7"/>
  <c r="Z19" i="8" s="1"/>
  <c r="AG94" i="1" l="1"/>
  <c r="AB98" i="1"/>
  <c r="AB97" i="1"/>
  <c r="Z155" i="8"/>
  <c r="R155" i="8"/>
  <c r="G73" i="1"/>
  <c r="L27" i="10"/>
  <c r="L20" i="10" s="1"/>
  <c r="L33" i="10" s="1"/>
  <c r="H73" i="1"/>
  <c r="V155" i="8"/>
  <c r="M27" i="10" l="1"/>
  <c r="M20" i="10" s="1"/>
  <c r="M33" i="10" s="1"/>
  <c r="AD105" i="7"/>
  <c r="AD19" i="8" s="1"/>
  <c r="AH105" i="7" l="1"/>
  <c r="AH19" i="8" s="1"/>
  <c r="AL105" i="7"/>
  <c r="AL19" i="8" s="1"/>
  <c r="AD155" i="8"/>
  <c r="I73" i="1"/>
  <c r="AL155" i="8" l="1"/>
  <c r="N27" i="10"/>
  <c r="N20" i="10" s="1"/>
  <c r="N33" i="10" s="1"/>
  <c r="J73" i="1"/>
  <c r="AH155" i="8"/>
  <c r="O27" i="10" l="1"/>
  <c r="O20" i="10" s="1"/>
  <c r="O33" i="10" s="1"/>
  <c r="AP105" i="7"/>
  <c r="AP19" i="8" s="1"/>
  <c r="AX105" i="7" l="1"/>
  <c r="AX19" i="8" s="1"/>
  <c r="K73" i="1"/>
  <c r="AP155" i="8"/>
  <c r="P27" i="10"/>
  <c r="P20" i="10" s="1"/>
  <c r="P33" i="10" s="1"/>
  <c r="AT105" i="7"/>
  <c r="AT19" i="8" s="1"/>
  <c r="L73" i="1" l="1"/>
  <c r="AT155" i="8"/>
  <c r="AX155" i="8"/>
  <c r="BB105" i="7" l="1"/>
  <c r="BB19" i="8" s="1"/>
  <c r="Q27" i="10"/>
  <c r="Q20" i="10" s="1"/>
  <c r="Q33" i="10" s="1"/>
  <c r="BJ105" i="7" l="1"/>
  <c r="BJ19" i="8" s="1"/>
  <c r="BB155" i="8"/>
  <c r="M73" i="1"/>
  <c r="R27" i="10"/>
  <c r="R20" i="10" s="1"/>
  <c r="R33" i="10" s="1"/>
  <c r="BF105" i="7"/>
  <c r="BF19" i="8" s="1"/>
  <c r="BF155" i="8" l="1"/>
  <c r="N73" i="1"/>
  <c r="BJ155" i="8"/>
  <c r="BN105" i="7" l="1"/>
  <c r="BN19" i="8" s="1"/>
  <c r="S27" i="10"/>
  <c r="S20" i="10" s="1"/>
  <c r="S33" i="10" s="1"/>
  <c r="BR105" i="7" l="1"/>
  <c r="BR19" i="8" s="1"/>
  <c r="BV105" i="7"/>
  <c r="BV19" i="8" s="1"/>
  <c r="BN155" i="8"/>
  <c r="O73" i="1"/>
  <c r="BV155" i="8" l="1"/>
  <c r="P73" i="1"/>
  <c r="BR155" i="8"/>
  <c r="T27" i="10"/>
  <c r="T20" i="10" s="1"/>
  <c r="T33" i="10" s="1"/>
  <c r="U27" i="10" l="1"/>
  <c r="U20" i="10" s="1"/>
  <c r="U33" i="10" s="1"/>
  <c r="BZ105" i="7"/>
  <c r="BZ19" i="8" s="1"/>
  <c r="CH105" i="7" l="1"/>
  <c r="CH19" i="8" s="1"/>
  <c r="Q73" i="1"/>
  <c r="BZ155" i="8"/>
  <c r="V27" i="10"/>
  <c r="V20" i="10" s="1"/>
  <c r="V33" i="10" s="1"/>
  <c r="CD105" i="7"/>
  <c r="CD19" i="8" s="1"/>
  <c r="R73" i="1" l="1"/>
  <c r="CD155" i="8"/>
  <c r="CH155" i="8"/>
  <c r="W27" i="10" l="1"/>
  <c r="W20" i="10" s="1"/>
  <c r="W33" i="10" s="1"/>
  <c r="CL105" i="7"/>
  <c r="CL19" i="8" s="1"/>
  <c r="CP105" i="7"/>
  <c r="CP19" i="8" s="1"/>
  <c r="CP155" i="8" l="1"/>
  <c r="CT105" i="7"/>
  <c r="CT19" i="8" s="1"/>
  <c r="CL155" i="8"/>
  <c r="S73" i="1"/>
  <c r="CX105" i="7" l="1"/>
  <c r="CX19" i="8" s="1"/>
  <c r="CT155" i="8"/>
  <c r="CX155" i="8" l="1"/>
  <c r="DB105" i="7"/>
  <c r="DB19" i="8" s="1"/>
  <c r="DB155" i="8" l="1"/>
  <c r="E73" i="1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N105" i="7" l="1"/>
  <c r="N19" i="8" s="1"/>
  <c r="J105" i="7" l="1"/>
  <c r="F103" i="7"/>
  <c r="N155" i="8"/>
  <c r="F101" i="7"/>
  <c r="J19" i="8" l="1"/>
  <c r="F105" i="7"/>
  <c r="J20" i="10"/>
  <c r="H27" i="10"/>
  <c r="H20" i="10" l="1"/>
  <c r="J33" i="10"/>
  <c r="J155" i="8"/>
  <c r="F19" i="8"/>
  <c r="F73" i="1"/>
  <c r="J156" i="8" l="1"/>
  <c r="H33" i="10"/>
  <c r="K156" i="8" l="1"/>
  <c r="L156" i="8" l="1"/>
  <c r="M156" i="8" s="1"/>
  <c r="N156" i="8" l="1"/>
  <c r="O156" i="8" l="1"/>
  <c r="P156" i="8" l="1"/>
  <c r="Q156" i="8" s="1"/>
  <c r="R156" i="8" l="1"/>
  <c r="S156" i="8" l="1"/>
  <c r="T156" i="8" l="1"/>
  <c r="U156" i="8" l="1"/>
  <c r="V156" i="8" l="1"/>
  <c r="W156" i="8" l="1"/>
  <c r="X156" i="8" l="1"/>
  <c r="Y156" i="8" l="1"/>
  <c r="Z156" i="8" l="1"/>
  <c r="AA156" i="8" l="1"/>
  <c r="AB156" i="8" l="1"/>
  <c r="AC156" i="8" l="1"/>
  <c r="AD156" i="8" l="1"/>
  <c r="AE156" i="8" l="1"/>
  <c r="AF156" i="8" l="1"/>
  <c r="AG156" i="8" l="1"/>
  <c r="AH156" i="8" l="1"/>
  <c r="AI156" i="8" l="1"/>
  <c r="AJ156" i="8" l="1"/>
  <c r="AK156" i="8" l="1"/>
  <c r="AL156" i="8" l="1"/>
  <c r="AM156" i="8" l="1"/>
  <c r="AN156" i="8" l="1"/>
  <c r="AO156" i="8" l="1"/>
  <c r="AP156" i="8" l="1"/>
  <c r="AQ156" i="8" l="1"/>
  <c r="AR156" i="8" l="1"/>
  <c r="AS156" i="8" l="1"/>
  <c r="AT156" i="8" l="1"/>
  <c r="AU156" i="8" l="1"/>
  <c r="AV156" i="8" l="1"/>
  <c r="AW156" i="8" l="1"/>
  <c r="AX156" i="8" l="1"/>
  <c r="AY156" i="8" l="1"/>
  <c r="AZ156" i="8" l="1"/>
  <c r="BA156" i="8" l="1"/>
  <c r="BB156" i="8" l="1"/>
  <c r="BC156" i="8" l="1"/>
  <c r="BD156" i="8" l="1"/>
  <c r="BE156" i="8" l="1"/>
  <c r="BF156" i="8" l="1"/>
  <c r="BG156" i="8" l="1"/>
  <c r="BH156" i="8" l="1"/>
  <c r="BI156" i="8" l="1"/>
  <c r="BJ156" i="8" l="1"/>
  <c r="BK156" i="8" l="1"/>
  <c r="BL156" i="8" l="1"/>
  <c r="BM156" i="8" l="1"/>
  <c r="BN156" i="8" l="1"/>
  <c r="BO156" i="8" l="1"/>
  <c r="BP156" i="8" l="1"/>
  <c r="BQ156" i="8" l="1"/>
  <c r="BR156" i="8" l="1"/>
  <c r="BS156" i="8" l="1"/>
  <c r="BT156" i="8" l="1"/>
  <c r="BU156" i="8" l="1"/>
  <c r="BV156" i="8" l="1"/>
  <c r="BW156" i="8" l="1"/>
  <c r="BX156" i="8" l="1"/>
  <c r="BY156" i="8" l="1"/>
  <c r="BZ156" i="8" l="1"/>
  <c r="CA156" i="8" l="1"/>
  <c r="CB156" i="8" l="1"/>
  <c r="CC156" i="8" l="1"/>
  <c r="CD156" i="8" l="1"/>
  <c r="CE156" i="8" l="1"/>
  <c r="CF156" i="8" l="1"/>
  <c r="CG156" i="8" l="1"/>
  <c r="CH156" i="8" l="1"/>
  <c r="CI156" i="8" l="1"/>
  <c r="CJ156" i="8" l="1"/>
  <c r="CK156" i="8" l="1"/>
  <c r="CL156" i="8" l="1"/>
  <c r="CM156" i="8" l="1"/>
  <c r="CN156" i="8" l="1"/>
  <c r="CO156" i="8" l="1"/>
  <c r="CP156" i="8" l="1"/>
  <c r="CQ156" i="8" l="1"/>
  <c r="CR156" i="8" l="1"/>
  <c r="CS156" i="8" l="1"/>
  <c r="CT156" i="8" l="1"/>
  <c r="CU156" i="8" l="1"/>
  <c r="CV156" i="8" l="1"/>
  <c r="CW156" i="8" l="1"/>
  <c r="CX156" i="8" l="1"/>
  <c r="CY156" i="8" l="1"/>
  <c r="CZ156" i="8" l="1"/>
  <c r="DA156" i="8" l="1"/>
  <c r="DB156" i="8" l="1"/>
  <c r="H22" i="8" l="1"/>
  <c r="H125" i="8"/>
  <c r="H130" i="8"/>
  <c r="H133" i="8"/>
  <c r="H134" i="8"/>
  <c r="H135" i="8"/>
  <c r="H136" i="8"/>
  <c r="H138" i="8"/>
  <c r="H21" i="8"/>
  <c r="I132" i="8"/>
  <c r="I134" i="8"/>
  <c r="J132" i="8"/>
  <c r="J134" i="8"/>
  <c r="K132" i="8"/>
  <c r="K134" i="8"/>
  <c r="L132" i="8"/>
  <c r="L134" i="8"/>
  <c r="M132" i="8"/>
  <c r="M134" i="8"/>
  <c r="N132" i="8"/>
  <c r="N134" i="8"/>
  <c r="O132" i="8"/>
  <c r="O134" i="8"/>
  <c r="P132" i="8"/>
  <c r="P134" i="8"/>
  <c r="Q132" i="8"/>
  <c r="Q134" i="8"/>
  <c r="R132" i="8"/>
  <c r="R134" i="8"/>
  <c r="S132" i="8"/>
  <c r="S134" i="8"/>
  <c r="T132" i="8"/>
  <c r="T134" i="8"/>
  <c r="U132" i="8"/>
  <c r="U134" i="8"/>
  <c r="V132" i="8"/>
  <c r="V134" i="8"/>
  <c r="W132" i="8"/>
  <c r="W134" i="8"/>
  <c r="X132" i="8"/>
  <c r="X134" i="8"/>
  <c r="Y132" i="8"/>
  <c r="Y134" i="8"/>
  <c r="Z132" i="8"/>
  <c r="Z134" i="8"/>
  <c r="AA132" i="8"/>
  <c r="AA134" i="8"/>
  <c r="AB132" i="8"/>
  <c r="AB134" i="8"/>
  <c r="AC132" i="8"/>
  <c r="AC134" i="8"/>
  <c r="AD132" i="8"/>
  <c r="AD134" i="8"/>
  <c r="AE132" i="8"/>
  <c r="AE134" i="8"/>
  <c r="AF132" i="8"/>
  <c r="AF134" i="8"/>
  <c r="AG132" i="8"/>
  <c r="AG134" i="8"/>
  <c r="AH132" i="8"/>
  <c r="AH134" i="8"/>
  <c r="AI132" i="8"/>
  <c r="AI134" i="8"/>
  <c r="AJ132" i="8"/>
  <c r="AJ134" i="8"/>
  <c r="AK132" i="8"/>
  <c r="AK134" i="8"/>
  <c r="AL132" i="8"/>
  <c r="AL134" i="8"/>
  <c r="AM132" i="8"/>
  <c r="AM134" i="8"/>
  <c r="AN132" i="8"/>
  <c r="AN134" i="8"/>
  <c r="AO132" i="8"/>
  <c r="AO134" i="8"/>
  <c r="AP132" i="8"/>
  <c r="AP134" i="8"/>
  <c r="AQ132" i="8"/>
  <c r="AQ134" i="8"/>
  <c r="AR132" i="8"/>
  <c r="AR134" i="8"/>
  <c r="AS132" i="8"/>
  <c r="AS134" i="8"/>
  <c r="AT132" i="8"/>
  <c r="AT134" i="8"/>
  <c r="AU132" i="8"/>
  <c r="AU134" i="8"/>
  <c r="AV132" i="8"/>
  <c r="AV134" i="8"/>
  <c r="AW132" i="8"/>
  <c r="AW134" i="8"/>
  <c r="AX132" i="8"/>
  <c r="AX134" i="8"/>
  <c r="AY132" i="8"/>
  <c r="AY134" i="8"/>
  <c r="AZ132" i="8"/>
  <c r="AZ134" i="8"/>
  <c r="BA132" i="8"/>
  <c r="BA134" i="8"/>
  <c r="BB132" i="8"/>
  <c r="BB134" i="8"/>
  <c r="BC132" i="8"/>
  <c r="BC134" i="8"/>
  <c r="BD132" i="8"/>
  <c r="BD134" i="8"/>
  <c r="BE132" i="8"/>
  <c r="BE134" i="8"/>
  <c r="BF132" i="8"/>
  <c r="BF134" i="8"/>
  <c r="BG132" i="8"/>
  <c r="BG134" i="8"/>
  <c r="BH132" i="8"/>
  <c r="BH134" i="8"/>
  <c r="BI132" i="8"/>
  <c r="BI134" i="8"/>
  <c r="BJ132" i="8"/>
  <c r="BJ134" i="8"/>
  <c r="BK132" i="8"/>
  <c r="BK134" i="8"/>
  <c r="BL132" i="8"/>
  <c r="BL134" i="8"/>
  <c r="BM132" i="8"/>
  <c r="BM134" i="8"/>
  <c r="BN132" i="8"/>
  <c r="BN134" i="8"/>
  <c r="BO132" i="8"/>
  <c r="BO134" i="8"/>
  <c r="BP132" i="8"/>
  <c r="BP135" i="8"/>
  <c r="BP136" i="8"/>
  <c r="BP138" i="8"/>
  <c r="BP21" i="8"/>
  <c r="BP22" i="8"/>
  <c r="BP61" i="8"/>
  <c r="G52" i="10"/>
  <c r="O54" i="10"/>
  <c r="O59" i="10"/>
  <c r="O63" i="10"/>
  <c r="O67" i="10"/>
  <c r="O69" i="10"/>
  <c r="O75" i="10"/>
  <c r="AR55" i="8"/>
  <c r="K109" i="1"/>
  <c r="K135" i="1"/>
  <c r="K54" i="10"/>
  <c r="K57" i="10"/>
  <c r="K74" i="10"/>
  <c r="T54" i="8"/>
  <c r="G108" i="1"/>
  <c r="G125" i="1"/>
  <c r="I135" i="8"/>
  <c r="I136" i="8"/>
  <c r="I138" i="8"/>
  <c r="J34" i="10"/>
  <c r="J36" i="10"/>
  <c r="J39" i="10"/>
  <c r="J42" i="10"/>
  <c r="J44" i="10"/>
  <c r="N51" i="8"/>
  <c r="F105" i="1"/>
  <c r="F144" i="1"/>
  <c r="D144" i="1"/>
  <c r="E149" i="1"/>
  <c r="S54" i="10"/>
  <c r="S57" i="10"/>
  <c r="S74" i="10"/>
  <c r="BP54" i="8"/>
  <c r="O108" i="1"/>
  <c r="O125" i="1"/>
  <c r="O135" i="8"/>
  <c r="O136" i="8"/>
  <c r="O138" i="8"/>
  <c r="O21" i="8"/>
  <c r="G75" i="1"/>
  <c r="G76" i="1"/>
  <c r="G112" i="1"/>
  <c r="G114" i="1"/>
  <c r="H113" i="1"/>
  <c r="BP134" i="8"/>
  <c r="BQ132" i="8"/>
  <c r="BQ135" i="8"/>
  <c r="BQ136" i="8"/>
  <c r="BQ138" i="8"/>
  <c r="BQ21" i="8"/>
  <c r="P75" i="1"/>
  <c r="P76" i="1"/>
  <c r="P112" i="1"/>
  <c r="P114" i="1"/>
  <c r="Q113" i="1"/>
  <c r="I21" i="8"/>
  <c r="F75" i="1"/>
  <c r="F76" i="1"/>
  <c r="F112" i="1"/>
  <c r="F114" i="1"/>
  <c r="G113" i="1"/>
  <c r="F124" i="1"/>
  <c r="F127" i="1"/>
  <c r="E131" i="1"/>
  <c r="W109" i="1"/>
  <c r="BK135" i="8"/>
  <c r="BK136" i="8"/>
  <c r="BK138" i="8"/>
  <c r="S34" i="10"/>
  <c r="S36" i="10"/>
  <c r="S39" i="10"/>
  <c r="S47" i="10"/>
  <c r="S48" i="10"/>
  <c r="BP52" i="8"/>
  <c r="O106" i="1"/>
  <c r="O134" i="1"/>
  <c r="O138" i="1"/>
  <c r="K34" i="10"/>
  <c r="K36" i="10"/>
  <c r="K39" i="10"/>
  <c r="K47" i="10"/>
  <c r="K48" i="10"/>
  <c r="T52" i="8"/>
  <c r="G106" i="1"/>
  <c r="G134" i="1"/>
  <c r="G138" i="1"/>
  <c r="W54" i="10"/>
  <c r="W59" i="10"/>
  <c r="W63" i="10"/>
  <c r="W67" i="10"/>
  <c r="W71" i="10"/>
  <c r="O71" i="10"/>
  <c r="U54" i="10"/>
  <c r="U59" i="10"/>
  <c r="U63" i="10"/>
  <c r="U65" i="10"/>
  <c r="U77" i="10"/>
  <c r="CB41" i="8"/>
  <c r="Q95" i="1"/>
  <c r="Q126" i="1"/>
  <c r="L54" i="10"/>
  <c r="L59" i="10"/>
  <c r="L63" i="10"/>
  <c r="L65" i="10"/>
  <c r="L77" i="10"/>
  <c r="Z41" i="8"/>
  <c r="H95" i="1"/>
  <c r="H126" i="1"/>
  <c r="BK21" i="8"/>
  <c r="O75" i="1"/>
  <c r="O76" i="1"/>
  <c r="O112" i="1"/>
  <c r="O114" i="1"/>
  <c r="P113" i="1"/>
  <c r="AS135" i="8"/>
  <c r="AS136" i="8"/>
  <c r="AS138" i="8"/>
  <c r="P34" i="10"/>
  <c r="P36" i="10"/>
  <c r="P39" i="10"/>
  <c r="P42" i="10"/>
  <c r="P44" i="10"/>
  <c r="AX51" i="8"/>
  <c r="L105" i="1"/>
  <c r="L144" i="1"/>
  <c r="L147" i="1"/>
  <c r="N54" i="10"/>
  <c r="N59" i="10"/>
  <c r="N63" i="10"/>
  <c r="N65" i="10"/>
  <c r="N77" i="10"/>
  <c r="AL41" i="8"/>
  <c r="J95" i="1"/>
  <c r="J146" i="1"/>
  <c r="T54" i="10"/>
  <c r="T57" i="10"/>
  <c r="T74" i="10"/>
  <c r="BV54" i="8"/>
  <c r="P108" i="1"/>
  <c r="P145" i="1"/>
  <c r="BQ134" i="8"/>
  <c r="BR132" i="8"/>
  <c r="BR134" i="8"/>
  <c r="BS132" i="8"/>
  <c r="BS134" i="8"/>
  <c r="BT132" i="8"/>
  <c r="BT134" i="8"/>
  <c r="BU132" i="8"/>
  <c r="BU134" i="8"/>
  <c r="BV132" i="8"/>
  <c r="BV134" i="8"/>
  <c r="BW132" i="8"/>
  <c r="BW135" i="8"/>
  <c r="BW136" i="8"/>
  <c r="BW138" i="8"/>
  <c r="U34" i="10"/>
  <c r="U36" i="10"/>
  <c r="U39" i="10"/>
  <c r="U47" i="10"/>
  <c r="U48" i="10"/>
  <c r="CB52" i="8"/>
  <c r="Q106" i="1"/>
  <c r="P54" i="10"/>
  <c r="P59" i="10"/>
  <c r="P63" i="10"/>
  <c r="P67" i="10"/>
  <c r="P69" i="10"/>
  <c r="P75" i="10"/>
  <c r="AX55" i="8"/>
  <c r="S42" i="10"/>
  <c r="S44" i="10"/>
  <c r="BP51" i="8"/>
  <c r="O105" i="1"/>
  <c r="BW134" i="8"/>
  <c r="BX132" i="8"/>
  <c r="BX134" i="8"/>
  <c r="BY132" i="8"/>
  <c r="BY134" i="8"/>
  <c r="BZ132" i="8"/>
  <c r="BZ134" i="8"/>
  <c r="CA132" i="8"/>
  <c r="CA134" i="8"/>
  <c r="CB132" i="8"/>
  <c r="CB134" i="8"/>
  <c r="CC132" i="8"/>
  <c r="CC134" i="8"/>
  <c r="CD132" i="8"/>
  <c r="CD134" i="8"/>
  <c r="CE132" i="8"/>
  <c r="CE134" i="8"/>
  <c r="CF132" i="8"/>
  <c r="CF134" i="8"/>
  <c r="CG132" i="8"/>
  <c r="CG134" i="8"/>
  <c r="CH132" i="8"/>
  <c r="CH134" i="8"/>
  <c r="CI132" i="8"/>
  <c r="CI135" i="8"/>
  <c r="CI136" i="8"/>
  <c r="CI138" i="8"/>
  <c r="W34" i="10"/>
  <c r="W36" i="10"/>
  <c r="W39" i="10"/>
  <c r="W42" i="10"/>
  <c r="W44" i="10"/>
  <c r="CN51" i="8"/>
  <c r="S105" i="1"/>
  <c r="U42" i="10"/>
  <c r="U44" i="10"/>
  <c r="CB51" i="8"/>
  <c r="Q105" i="1"/>
  <c r="AA135" i="8"/>
  <c r="AA136" i="8"/>
  <c r="AA138" i="8"/>
  <c r="M34" i="10"/>
  <c r="M36" i="10"/>
  <c r="M39" i="10"/>
  <c r="M42" i="10"/>
  <c r="M44" i="10"/>
  <c r="AF51" i="8"/>
  <c r="I105" i="1"/>
  <c r="I144" i="1"/>
  <c r="I148" i="1"/>
  <c r="E43" i="1"/>
  <c r="E45" i="1"/>
  <c r="E52" i="1"/>
  <c r="E33" i="1"/>
  <c r="E32" i="1"/>
  <c r="E55" i="1"/>
  <c r="E56" i="1"/>
  <c r="BE135" i="8"/>
  <c r="BE136" i="8"/>
  <c r="BE138" i="8"/>
  <c r="R34" i="10"/>
  <c r="R36" i="10"/>
  <c r="R39" i="10"/>
  <c r="R47" i="10"/>
  <c r="R48" i="10"/>
  <c r="BJ52" i="8"/>
  <c r="N106" i="1"/>
  <c r="N134" i="1"/>
  <c r="N138" i="1"/>
  <c r="N67" i="10"/>
  <c r="N71" i="10"/>
  <c r="BE21" i="8"/>
  <c r="N75" i="1"/>
  <c r="T34" i="10"/>
  <c r="T36" i="10"/>
  <c r="T39" i="10"/>
  <c r="T42" i="10"/>
  <c r="T44" i="10"/>
  <c r="BV51" i="8"/>
  <c r="P105" i="1"/>
  <c r="P124" i="1"/>
  <c r="P127" i="1"/>
  <c r="U135" i="8"/>
  <c r="U136" i="8"/>
  <c r="U138" i="8"/>
  <c r="L34" i="10"/>
  <c r="L36" i="10"/>
  <c r="L39" i="10"/>
  <c r="CC135" i="8"/>
  <c r="CC136" i="8"/>
  <c r="CC138" i="8"/>
  <c r="CC21" i="8"/>
  <c r="R75" i="1"/>
  <c r="R76" i="1"/>
  <c r="R112" i="1"/>
  <c r="R114" i="1"/>
  <c r="S113" i="1"/>
  <c r="AG135" i="8"/>
  <c r="AG136" i="8"/>
  <c r="AG138" i="8"/>
  <c r="AG21" i="8"/>
  <c r="J75" i="1"/>
  <c r="L67" i="10"/>
  <c r="L69" i="10"/>
  <c r="L75" i="10"/>
  <c r="Z55" i="8"/>
  <c r="Q146" i="1"/>
  <c r="H146" i="1"/>
  <c r="H35" i="8"/>
  <c r="H73" i="8"/>
  <c r="H74" i="8"/>
  <c r="I72" i="8"/>
  <c r="I76" i="8"/>
  <c r="CH77" i="8"/>
  <c r="CH157" i="8"/>
  <c r="CH158" i="8"/>
  <c r="I147" i="1"/>
  <c r="N137" i="1"/>
  <c r="V54" i="10"/>
  <c r="V59" i="10"/>
  <c r="V63" i="10"/>
  <c r="V67" i="10"/>
  <c r="V71" i="10"/>
  <c r="V72" i="10"/>
  <c r="V78" i="10"/>
  <c r="CH42" i="8"/>
  <c r="Z77" i="8"/>
  <c r="Z157" i="8"/>
  <c r="Z158" i="8"/>
  <c r="H116" i="1"/>
  <c r="T59" i="10"/>
  <c r="T63" i="10"/>
  <c r="T65" i="10"/>
  <c r="T77" i="10"/>
  <c r="BV41" i="8"/>
  <c r="P95" i="1"/>
  <c r="O145" i="8"/>
  <c r="CB128" i="8"/>
  <c r="CI134" i="8"/>
  <c r="CJ132" i="8"/>
  <c r="CJ134" i="8"/>
  <c r="CK132" i="8"/>
  <c r="CK134" i="8"/>
  <c r="CL132" i="8"/>
  <c r="CL134" i="8"/>
  <c r="CM132" i="8"/>
  <c r="CM134" i="8"/>
  <c r="CN132" i="8"/>
  <c r="CN135" i="8"/>
  <c r="CN136" i="8"/>
  <c r="CN138" i="8"/>
  <c r="CN21" i="8"/>
  <c r="CN22" i="8"/>
  <c r="CN58" i="8"/>
  <c r="CN60" i="8"/>
  <c r="CO59" i="8"/>
  <c r="CO129" i="8"/>
  <c r="AX135" i="8"/>
  <c r="AX136" i="8"/>
  <c r="AX138" i="8"/>
  <c r="AX21" i="8"/>
  <c r="AX22" i="8"/>
  <c r="AX58" i="8"/>
  <c r="AX60" i="8"/>
  <c r="N77" i="8"/>
  <c r="BQ35" i="8"/>
  <c r="P89" i="1"/>
  <c r="I44" i="8"/>
  <c r="F98" i="1"/>
  <c r="O25" i="8"/>
  <c r="G79" i="1"/>
  <c r="G82" i="1"/>
  <c r="AG101" i="1"/>
  <c r="AG102" i="1"/>
  <c r="AG104" i="1"/>
  <c r="AB99" i="1"/>
  <c r="AB100" i="1"/>
  <c r="BE27" i="8"/>
  <c r="E58" i="1"/>
  <c r="AM47" i="8"/>
  <c r="K101" i="1"/>
  <c r="I74" i="8"/>
  <c r="J72" i="8"/>
  <c r="J74" i="8"/>
  <c r="K72" i="8"/>
  <c r="K74" i="8"/>
  <c r="L72" i="8"/>
  <c r="L74" i="8"/>
  <c r="M72" i="8"/>
  <c r="M74" i="8"/>
  <c r="N72" i="8"/>
  <c r="N74" i="8"/>
  <c r="O72" i="8"/>
  <c r="O74" i="8"/>
  <c r="P72" i="8"/>
  <c r="P74" i="8"/>
  <c r="Q72" i="8"/>
  <c r="Q74" i="8"/>
  <c r="R72" i="8"/>
  <c r="R74" i="8"/>
  <c r="S72" i="8"/>
  <c r="S74" i="8"/>
  <c r="T72" i="8"/>
  <c r="T74" i="8"/>
  <c r="U72" i="8"/>
  <c r="U74" i="8"/>
  <c r="V72" i="8"/>
  <c r="V74" i="8"/>
  <c r="W72" i="8"/>
  <c r="W74" i="8"/>
  <c r="X72" i="8"/>
  <c r="X74" i="8"/>
  <c r="Y72" i="8"/>
  <c r="Y74" i="8"/>
  <c r="Z72" i="8"/>
  <c r="Z74" i="8"/>
  <c r="AA72" i="8"/>
  <c r="AA74" i="8"/>
  <c r="AB72" i="8"/>
  <c r="AB74" i="8"/>
  <c r="AC72" i="8"/>
  <c r="AC74" i="8"/>
  <c r="AD72" i="8"/>
  <c r="AD74" i="8"/>
  <c r="AE72" i="8"/>
  <c r="AE74" i="8"/>
  <c r="AF72" i="8"/>
  <c r="AF74" i="8"/>
  <c r="AG72" i="8"/>
  <c r="AG74" i="8"/>
  <c r="AH72" i="8"/>
  <c r="AH74" i="8"/>
  <c r="AI72" i="8"/>
  <c r="AI74" i="8"/>
  <c r="AJ72" i="8"/>
  <c r="AJ74" i="8"/>
  <c r="AK72" i="8"/>
  <c r="AK74" i="8"/>
  <c r="AL72" i="8"/>
  <c r="AL74" i="8"/>
  <c r="AM72" i="8"/>
  <c r="AM74" i="8"/>
  <c r="AN72" i="8"/>
  <c r="AN74" i="8"/>
  <c r="AO72" i="8"/>
  <c r="AO74" i="8"/>
  <c r="AP72" i="8"/>
  <c r="AP74" i="8"/>
  <c r="AQ72" i="8"/>
  <c r="AQ74" i="8"/>
  <c r="AR72" i="8"/>
  <c r="AR74" i="8"/>
  <c r="AS72" i="8"/>
  <c r="AS74" i="8"/>
  <c r="AT72" i="8"/>
  <c r="AT74" i="8"/>
  <c r="AU72" i="8"/>
  <c r="AU74" i="8"/>
  <c r="AV72" i="8"/>
  <c r="AV74" i="8"/>
  <c r="AW72" i="8"/>
  <c r="AW74" i="8"/>
  <c r="AX72" i="8"/>
  <c r="AX74" i="8"/>
  <c r="AY72" i="8"/>
  <c r="AY74" i="8"/>
  <c r="AJ135" i="8"/>
  <c r="AJ136" i="8"/>
  <c r="AJ138" i="8"/>
  <c r="AJ21" i="8"/>
  <c r="AE44" i="8"/>
  <c r="P77" i="8"/>
  <c r="CN134" i="8"/>
  <c r="CO132" i="8"/>
  <c r="CO135" i="8"/>
  <c r="CO136" i="8"/>
  <c r="CO138" i="8"/>
  <c r="CO21" i="8"/>
  <c r="AO77" i="8"/>
  <c r="AE77" i="8"/>
  <c r="AM135" i="8"/>
  <c r="AM136" i="8"/>
  <c r="AM138" i="8"/>
  <c r="AM21" i="8"/>
  <c r="AM22" i="8"/>
  <c r="AM58" i="8"/>
  <c r="AM60" i="8"/>
  <c r="BY135" i="8"/>
  <c r="BY136" i="8"/>
  <c r="BY138" i="8"/>
  <c r="L61" i="10"/>
  <c r="BY35" i="8"/>
  <c r="CB77" i="8"/>
  <c r="CB157" i="8"/>
  <c r="CB158" i="8"/>
  <c r="Q116" i="1"/>
  <c r="AQ35" i="8"/>
  <c r="CD135" i="8"/>
  <c r="CD136" i="8"/>
  <c r="CD138" i="8"/>
  <c r="CD21" i="8"/>
  <c r="CD22" i="8"/>
  <c r="CD58" i="8"/>
  <c r="CD60" i="8"/>
  <c r="CE59" i="8"/>
  <c r="CE129" i="8"/>
  <c r="I22" i="8"/>
  <c r="CP35" i="8"/>
  <c r="N35" i="8"/>
  <c r="BQ38" i="8"/>
  <c r="CP77" i="8"/>
  <c r="CG135" i="8"/>
  <c r="CO134" i="8"/>
  <c r="CP132" i="8"/>
  <c r="CP134" i="8"/>
  <c r="CQ132" i="8"/>
  <c r="CQ134" i="8"/>
  <c r="CR132" i="8"/>
  <c r="CR134" i="8"/>
  <c r="CS132" i="8"/>
  <c r="CS134" i="8"/>
  <c r="CT132" i="8"/>
  <c r="CT134" i="8"/>
  <c r="CU132" i="8"/>
  <c r="CU134" i="8"/>
  <c r="CV132" i="8"/>
  <c r="CV134" i="8"/>
  <c r="CW132" i="8"/>
  <c r="CW134" i="8"/>
  <c r="CX132" i="8"/>
  <c r="CX134" i="8"/>
  <c r="CY132" i="8"/>
  <c r="CY135" i="8"/>
  <c r="CY136" i="8"/>
  <c r="CY138" i="8"/>
  <c r="CD25" i="8"/>
  <c r="BX25" i="8"/>
  <c r="R42" i="10"/>
  <c r="P144" i="1"/>
  <c r="P148" i="1"/>
  <c r="CC44" i="8"/>
  <c r="BM135" i="8"/>
  <c r="P71" i="10"/>
  <c r="BH35" i="8"/>
  <c r="Y35" i="8"/>
  <c r="CU77" i="8"/>
  <c r="CJ38" i="8"/>
  <c r="BC44" i="8"/>
  <c r="R135" i="8"/>
  <c r="R136" i="8"/>
  <c r="R138" i="8"/>
  <c r="R21" i="8"/>
  <c r="R22" i="8"/>
  <c r="R58" i="8"/>
  <c r="R60" i="8"/>
  <c r="O49" i="1"/>
  <c r="CQ47" i="8"/>
  <c r="X47" i="8"/>
  <c r="DA44" i="8"/>
  <c r="AU27" i="8"/>
  <c r="N27" i="8"/>
  <c r="BN38" i="8"/>
  <c r="BJ25" i="8"/>
  <c r="CR47" i="8"/>
  <c r="AL77" i="8"/>
  <c r="CD38" i="8"/>
  <c r="BL38" i="8"/>
  <c r="BY127" i="8"/>
  <c r="CH27" i="8"/>
  <c r="BJ28" i="8"/>
  <c r="BY21" i="8"/>
  <c r="BY22" i="8"/>
  <c r="BY58" i="8"/>
  <c r="BY60" i="8"/>
  <c r="R27" i="8"/>
  <c r="BO77" i="8"/>
  <c r="BZ47" i="8"/>
  <c r="CB44" i="8"/>
  <c r="DB27" i="8"/>
  <c r="AC77" i="8"/>
  <c r="Y135" i="8"/>
  <c r="CB27" i="8"/>
  <c r="AS76" i="8"/>
  <c r="AC27" i="8"/>
  <c r="W47" i="10"/>
  <c r="W48" i="10"/>
  <c r="CN52" i="8"/>
  <c r="S106" i="1"/>
  <c r="S134" i="1"/>
  <c r="S137" i="1"/>
  <c r="N61" i="10"/>
  <c r="O34" i="10"/>
  <c r="O36" i="10"/>
  <c r="O39" i="10"/>
  <c r="O42" i="10"/>
  <c r="O44" i="10"/>
  <c r="AR51" i="8"/>
  <c r="CI145" i="8"/>
  <c r="AS47" i="8"/>
  <c r="CI47" i="8"/>
  <c r="L38" i="8"/>
  <c r="K38" i="8"/>
  <c r="V27" i="8"/>
  <c r="CM27" i="8"/>
  <c r="Y27" i="8"/>
  <c r="O28" i="8"/>
  <c r="K27" i="8"/>
  <c r="AI27" i="8"/>
  <c r="CA135" i="8"/>
  <c r="CA136" i="8"/>
  <c r="CA138" i="8"/>
  <c r="CV135" i="8"/>
  <c r="CV136" i="8"/>
  <c r="CV138" i="8"/>
  <c r="CV21" i="8"/>
  <c r="CM135" i="8"/>
  <c r="CM136" i="8"/>
  <c r="CM138" i="8"/>
  <c r="CM21" i="8"/>
  <c r="CM22" i="8"/>
  <c r="T135" i="8"/>
  <c r="W135" i="8"/>
  <c r="W136" i="8"/>
  <c r="W138" i="8"/>
  <c r="W21" i="8"/>
  <c r="BV135" i="8"/>
  <c r="AV75" i="8"/>
  <c r="BU35" i="8"/>
  <c r="M35" i="8"/>
  <c r="BN25" i="8"/>
  <c r="AU25" i="8"/>
  <c r="BG25" i="8"/>
  <c r="CQ25" i="8"/>
  <c r="S25" i="8"/>
  <c r="BD44" i="8"/>
  <c r="CA44" i="8"/>
  <c r="BP25" i="8"/>
  <c r="W61" i="10"/>
  <c r="AB135" i="8"/>
  <c r="AB136" i="8"/>
  <c r="AB138" i="8"/>
  <c r="AB21" i="8"/>
  <c r="AB22" i="8"/>
  <c r="AB58" i="8"/>
  <c r="AB60" i="8"/>
  <c r="BS77" i="8"/>
  <c r="BS157" i="8"/>
  <c r="BS158" i="8"/>
  <c r="AQ77" i="8"/>
  <c r="AQ157" i="8"/>
  <c r="AQ158" i="8"/>
  <c r="CK77" i="8"/>
  <c r="CK157" i="8"/>
  <c r="CK158" i="8"/>
  <c r="CB126" i="8"/>
  <c r="BZ77" i="8"/>
  <c r="M77" i="8"/>
  <c r="CM61" i="8"/>
  <c r="Q135" i="8"/>
  <c r="Q136" i="8"/>
  <c r="Q138" i="8"/>
  <c r="Q21" i="8"/>
  <c r="Q22" i="8"/>
  <c r="I40" i="1"/>
  <c r="DA47" i="8"/>
  <c r="J47" i="8"/>
  <c r="CH47" i="8"/>
  <c r="BS44" i="8"/>
  <c r="CI44" i="8"/>
  <c r="CL77" i="8"/>
  <c r="AM75" i="8"/>
  <c r="M25" i="8"/>
  <c r="CW47" i="8"/>
  <c r="S44" i="8"/>
  <c r="AA21" i="8"/>
  <c r="AA22" i="8"/>
  <c r="AA125" i="8"/>
  <c r="AA130" i="8"/>
  <c r="AS38" i="8"/>
  <c r="BI77" i="8"/>
  <c r="O77" i="8"/>
  <c r="AT75" i="8"/>
  <c r="AF128" i="8"/>
  <c r="BJ135" i="8"/>
  <c r="M38" i="8"/>
  <c r="AI75" i="8"/>
  <c r="BG38" i="8"/>
  <c r="CK35" i="8"/>
  <c r="BH135" i="8"/>
  <c r="BH136" i="8"/>
  <c r="BH138" i="8"/>
  <c r="BW35" i="8"/>
  <c r="BB35" i="8"/>
  <c r="BI27" i="8"/>
  <c r="AB27" i="8"/>
  <c r="K59" i="10"/>
  <c r="K63" i="10"/>
  <c r="K67" i="10"/>
  <c r="K69" i="10"/>
  <c r="K75" i="10"/>
  <c r="T55" i="8"/>
  <c r="I25" i="8"/>
  <c r="BK35" i="8"/>
  <c r="O89" i="1"/>
  <c r="AA44" i="8"/>
  <c r="DB38" i="8"/>
  <c r="BF135" i="8"/>
  <c r="BF136" i="8"/>
  <c r="BF138" i="8"/>
  <c r="BF21" i="8"/>
  <c r="BF22" i="8"/>
  <c r="BF125" i="8"/>
  <c r="CA21" i="8"/>
  <c r="CA22" i="8"/>
  <c r="CA125" i="8"/>
  <c r="P135" i="8"/>
  <c r="P136" i="8"/>
  <c r="P138" i="8"/>
  <c r="P21" i="8"/>
  <c r="P22" i="8"/>
  <c r="P125" i="8"/>
  <c r="P130" i="8"/>
  <c r="BT35" i="8"/>
  <c r="AV35" i="8"/>
  <c r="W22" i="8"/>
  <c r="W125" i="8"/>
  <c r="W130" i="8"/>
  <c r="AM61" i="8"/>
  <c r="CE35" i="8"/>
  <c r="J35" i="8"/>
  <c r="H47" i="8"/>
  <c r="BX35" i="8"/>
  <c r="BE47" i="8"/>
  <c r="CA145" i="8"/>
  <c r="K65" i="10"/>
  <c r="K77" i="10"/>
  <c r="T41" i="8"/>
  <c r="T126" i="8"/>
  <c r="BN77" i="8"/>
  <c r="BN157" i="8"/>
  <c r="CS25" i="8"/>
  <c r="CT38" i="8"/>
  <c r="CY38" i="8"/>
  <c r="AW25" i="8"/>
  <c r="AL25" i="8"/>
  <c r="AJ47" i="8"/>
  <c r="AQ44" i="8"/>
  <c r="AX44" i="8"/>
  <c r="BT44" i="8"/>
  <c r="CT103" i="8"/>
  <c r="AF135" i="8"/>
  <c r="AF136" i="8"/>
  <c r="AF138" i="8"/>
  <c r="AF21" i="8"/>
  <c r="AF22" i="8"/>
  <c r="AF58" i="8"/>
  <c r="AF60" i="8"/>
  <c r="AG59" i="8"/>
  <c r="CZ27" i="8"/>
  <c r="BW25" i="8"/>
  <c r="O50" i="1"/>
  <c r="N76" i="1"/>
  <c r="O47" i="10"/>
  <c r="O48" i="10"/>
  <c r="AR52" i="8"/>
  <c r="K106" i="1"/>
  <c r="K134" i="1"/>
  <c r="K137" i="1"/>
  <c r="I124" i="1"/>
  <c r="I127" i="1"/>
  <c r="AY135" i="8"/>
  <c r="AY136" i="8"/>
  <c r="AY138" i="8"/>
  <c r="AY21" i="8"/>
  <c r="M75" i="1"/>
  <c r="M76" i="1"/>
  <c r="M112" i="1"/>
  <c r="M114" i="1"/>
  <c r="K42" i="10"/>
  <c r="K44" i="10"/>
  <c r="T51" i="8"/>
  <c r="G105" i="1"/>
  <c r="G144" i="1"/>
  <c r="G148" i="1"/>
  <c r="U57" i="10"/>
  <c r="U74" i="10"/>
  <c r="CB54" i="8"/>
  <c r="Q108" i="1"/>
  <c r="P47" i="10"/>
  <c r="P48" i="10"/>
  <c r="AX52" i="8"/>
  <c r="L106" i="1"/>
  <c r="V34" i="10"/>
  <c r="V36" i="10"/>
  <c r="V39" i="10"/>
  <c r="V47" i="10"/>
  <c r="V48" i="10"/>
  <c r="CH52" i="8"/>
  <c r="R106" i="1"/>
  <c r="R134" i="1"/>
  <c r="R137" i="1"/>
  <c r="D124" i="1"/>
  <c r="E130" i="1" a="1"/>
  <c r="AQ75" i="8"/>
  <c r="AQ141" i="8"/>
  <c r="AQ146" i="8"/>
  <c r="V42" i="10"/>
  <c r="V44" i="10"/>
  <c r="CH51" i="8"/>
  <c r="R105" i="1"/>
  <c r="R124" i="1"/>
  <c r="R128" i="1"/>
  <c r="N34" i="10"/>
  <c r="N36" i="10"/>
  <c r="N39" i="10"/>
  <c r="N42" i="10"/>
  <c r="N44" i="10"/>
  <c r="AL51" i="8"/>
  <c r="J105" i="1"/>
  <c r="J124" i="1"/>
  <c r="J128" i="1"/>
  <c r="L42" i="10"/>
  <c r="L44" i="10"/>
  <c r="Z51" i="8"/>
  <c r="H105" i="1"/>
  <c r="H124" i="1"/>
  <c r="H127" i="1"/>
  <c r="S59" i="10"/>
  <c r="S63" i="10"/>
  <c r="S65" i="10"/>
  <c r="S77" i="10"/>
  <c r="BP41" i="8"/>
  <c r="O95" i="1"/>
  <c r="J54" i="10"/>
  <c r="J57" i="10"/>
  <c r="J74" i="10"/>
  <c r="N54" i="8"/>
  <c r="F108" i="1"/>
  <c r="F125" i="1"/>
  <c r="D125" i="1"/>
  <c r="BJ77" i="8"/>
  <c r="BJ157" i="8"/>
  <c r="BJ158" i="8"/>
  <c r="N116" i="1"/>
  <c r="J76" i="1"/>
  <c r="J112" i="1"/>
  <c r="J114" i="1"/>
  <c r="K113" i="1"/>
  <c r="AH77" i="8"/>
  <c r="AH157" i="8"/>
  <c r="AH158" i="8"/>
  <c r="BP128" i="8"/>
  <c r="CK27" i="8"/>
  <c r="BK27" i="8"/>
  <c r="BX27" i="8"/>
  <c r="BL27" i="8"/>
  <c r="AJ35" i="8"/>
  <c r="L109" i="1"/>
  <c r="AQ76" i="8"/>
  <c r="K138" i="1"/>
  <c r="CH128" i="8"/>
  <c r="AP76" i="8"/>
  <c r="BV128" i="8"/>
  <c r="BV126" i="8"/>
  <c r="AL128" i="8"/>
  <c r="F35" i="8"/>
  <c r="BP126" i="8"/>
  <c r="Q145" i="1"/>
  <c r="G147" i="1"/>
  <c r="AG145" i="8"/>
  <c r="AN76" i="8"/>
  <c r="BW28" i="8"/>
  <c r="T61" i="10"/>
  <c r="R138" i="1"/>
  <c r="CC25" i="8"/>
  <c r="R79" i="1"/>
  <c r="R82" i="1"/>
  <c r="L135" i="1"/>
  <c r="AZ72" i="8"/>
  <c r="AZ74" i="8"/>
  <c r="BA72" i="8"/>
  <c r="BA74" i="8"/>
  <c r="BB72" i="8"/>
  <c r="BB74" i="8"/>
  <c r="BC72" i="8"/>
  <c r="BC74" i="8"/>
  <c r="BD72" i="8"/>
  <c r="BD74" i="8"/>
  <c r="BE72" i="8"/>
  <c r="BE74" i="8"/>
  <c r="BF72" i="8"/>
  <c r="BF74" i="8"/>
  <c r="BG72" i="8"/>
  <c r="BG74" i="8"/>
  <c r="BH72" i="8"/>
  <c r="BH74" i="8"/>
  <c r="BI72" i="8"/>
  <c r="BI74" i="8"/>
  <c r="BJ72" i="8"/>
  <c r="BJ74" i="8"/>
  <c r="BK72" i="8"/>
  <c r="BK74" i="8"/>
  <c r="BL72" i="8"/>
  <c r="BL74" i="8"/>
  <c r="BM72" i="8"/>
  <c r="BM74" i="8"/>
  <c r="BN72" i="8"/>
  <c r="BN74" i="8"/>
  <c r="BO72" i="8"/>
  <c r="BO74" i="8"/>
  <c r="BP72" i="8"/>
  <c r="BP74" i="8"/>
  <c r="BQ72" i="8"/>
  <c r="BQ74" i="8"/>
  <c r="BR72" i="8"/>
  <c r="BR74" i="8"/>
  <c r="BS72" i="8"/>
  <c r="BS74" i="8"/>
  <c r="BT72" i="8"/>
  <c r="BT74" i="8"/>
  <c r="BU72" i="8"/>
  <c r="BU74" i="8"/>
  <c r="BV72" i="8"/>
  <c r="BV74" i="8"/>
  <c r="BW72" i="8"/>
  <c r="BW74" i="8"/>
  <c r="BX72" i="8"/>
  <c r="BX74" i="8"/>
  <c r="BY72" i="8"/>
  <c r="BY74" i="8"/>
  <c r="BZ72" i="8"/>
  <c r="BZ74" i="8"/>
  <c r="CA72" i="8"/>
  <c r="CA74" i="8"/>
  <c r="CB72" i="8"/>
  <c r="CB74" i="8"/>
  <c r="CC72" i="8"/>
  <c r="CC74" i="8"/>
  <c r="CD72" i="8"/>
  <c r="CD74" i="8"/>
  <c r="CE72" i="8"/>
  <c r="CE74" i="8"/>
  <c r="CF72" i="8"/>
  <c r="CF74" i="8"/>
  <c r="CG72" i="8"/>
  <c r="CG74" i="8"/>
  <c r="CH72" i="8"/>
  <c r="CH74" i="8"/>
  <c r="CI72" i="8"/>
  <c r="CI74" i="8"/>
  <c r="CJ72" i="8"/>
  <c r="CJ74" i="8"/>
  <c r="CK72" i="8"/>
  <c r="CK74" i="8"/>
  <c r="CL72" i="8"/>
  <c r="CL74" i="8"/>
  <c r="CM72" i="8"/>
  <c r="CM74" i="8"/>
  <c r="CN72" i="8"/>
  <c r="CN74" i="8"/>
  <c r="CO72" i="8"/>
  <c r="CO74" i="8"/>
  <c r="CP72" i="8"/>
  <c r="CP74" i="8"/>
  <c r="CQ72" i="8"/>
  <c r="CQ74" i="8"/>
  <c r="CR72" i="8"/>
  <c r="CR74" i="8"/>
  <c r="CS72" i="8"/>
  <c r="CS74" i="8"/>
  <c r="CT72" i="8"/>
  <c r="CT74" i="8"/>
  <c r="CU72" i="8"/>
  <c r="CU74" i="8"/>
  <c r="CV72" i="8"/>
  <c r="CV74" i="8"/>
  <c r="CW72" i="8"/>
  <c r="CW74" i="8"/>
  <c r="CX72" i="8"/>
  <c r="CX74" i="8"/>
  <c r="CY72" i="8"/>
  <c r="CY75" i="8"/>
  <c r="CY141" i="8"/>
  <c r="CY146" i="8"/>
  <c r="BY75" i="8"/>
  <c r="BY141" i="8"/>
  <c r="BE75" i="8"/>
  <c r="BE141" i="8"/>
  <c r="BE146" i="8"/>
  <c r="AD75" i="8"/>
  <c r="AD141" i="8"/>
  <c r="AD146" i="8"/>
  <c r="AP135" i="8"/>
  <c r="AP136" i="8"/>
  <c r="AP138" i="8"/>
  <c r="AP21" i="8"/>
  <c r="AP22" i="8"/>
  <c r="AP125" i="8"/>
  <c r="AP130" i="8"/>
  <c r="AG47" i="8"/>
  <c r="J101" i="1"/>
  <c r="AM27" i="8"/>
  <c r="K81" i="1"/>
  <c r="I27" i="1"/>
  <c r="I43" i="1"/>
  <c r="BT77" i="8"/>
  <c r="BT157" i="8"/>
  <c r="BT158" i="8"/>
  <c r="AT77" i="8"/>
  <c r="AT157" i="8"/>
  <c r="AT158" i="8"/>
  <c r="CQ75" i="8"/>
  <c r="CQ141" i="8"/>
  <c r="CQ146" i="8"/>
  <c r="AW75" i="8"/>
  <c r="AW141" i="8"/>
  <c r="AW146" i="8"/>
  <c r="V75" i="8"/>
  <c r="V141" i="8"/>
  <c r="V146" i="8"/>
  <c r="BQ47" i="8"/>
  <c r="P101" i="1"/>
  <c r="AG44" i="8"/>
  <c r="J98" i="1"/>
  <c r="CI25" i="8"/>
  <c r="S79" i="1"/>
  <c r="S82" i="1"/>
  <c r="AM25" i="8"/>
  <c r="K79" i="1"/>
  <c r="K82" i="1"/>
  <c r="CC27" i="8"/>
  <c r="R81" i="1"/>
  <c r="AG27" i="8"/>
  <c r="J81" i="1"/>
  <c r="CM77" i="8"/>
  <c r="CM157" i="8"/>
  <c r="CM158" i="8"/>
  <c r="AS77" i="8"/>
  <c r="AS157" i="8"/>
  <c r="AS158" i="8"/>
  <c r="R77" i="8"/>
  <c r="R157" i="8"/>
  <c r="R158" i="8"/>
  <c r="CP75" i="8"/>
  <c r="CP141" i="8"/>
  <c r="CP146" i="8"/>
  <c r="BP75" i="8"/>
  <c r="BP141" i="8"/>
  <c r="BP146" i="8"/>
  <c r="AU75" i="8"/>
  <c r="AU141" i="8"/>
  <c r="AU146" i="8"/>
  <c r="U75" i="8"/>
  <c r="U141" i="8"/>
  <c r="U146" i="8"/>
  <c r="H38" i="8"/>
  <c r="H103" i="8"/>
  <c r="H104" i="8"/>
  <c r="I102" i="8"/>
  <c r="I104" i="8"/>
  <c r="J102" i="8"/>
  <c r="J104" i="8"/>
  <c r="K102" i="8"/>
  <c r="K104" i="8"/>
  <c r="L102" i="8"/>
  <c r="L104" i="8"/>
  <c r="M102" i="8"/>
  <c r="M104" i="8"/>
  <c r="N102" i="8"/>
  <c r="N104" i="8"/>
  <c r="O102" i="8"/>
  <c r="O104" i="8"/>
  <c r="P102" i="8"/>
  <c r="P104" i="8"/>
  <c r="Q102" i="8"/>
  <c r="Q104" i="8"/>
  <c r="R102" i="8"/>
  <c r="R104" i="8"/>
  <c r="S102" i="8"/>
  <c r="S104" i="8"/>
  <c r="T102" i="8"/>
  <c r="T104" i="8"/>
  <c r="U102" i="8"/>
  <c r="U104" i="8"/>
  <c r="V102" i="8"/>
  <c r="V104" i="8"/>
  <c r="W102" i="8"/>
  <c r="W104" i="8"/>
  <c r="X102" i="8"/>
  <c r="X104" i="8"/>
  <c r="Y102" i="8"/>
  <c r="Y104" i="8"/>
  <c r="Z102" i="8"/>
  <c r="Z104" i="8"/>
  <c r="AA102" i="8"/>
  <c r="AA104" i="8"/>
  <c r="AB102" i="8"/>
  <c r="AB104" i="8"/>
  <c r="AC102" i="8"/>
  <c r="AC104" i="8"/>
  <c r="AD102" i="8"/>
  <c r="AD104" i="8"/>
  <c r="AE102" i="8"/>
  <c r="AE104" i="8"/>
  <c r="AF102" i="8"/>
  <c r="AF104" i="8"/>
  <c r="AG102" i="8"/>
  <c r="AG104" i="8"/>
  <c r="AH102" i="8"/>
  <c r="AH104" i="8"/>
  <c r="AI102" i="8"/>
  <c r="AI104" i="8"/>
  <c r="AJ102" i="8"/>
  <c r="AJ104" i="8"/>
  <c r="AK102" i="8"/>
  <c r="AK104" i="8"/>
  <c r="AL102" i="8"/>
  <c r="AL104" i="8"/>
  <c r="AM102" i="8"/>
  <c r="AM104" i="8"/>
  <c r="AN102" i="8"/>
  <c r="AN104" i="8"/>
  <c r="AO102" i="8"/>
  <c r="AO104" i="8"/>
  <c r="AP102" i="8"/>
  <c r="AP104" i="8"/>
  <c r="AQ102" i="8"/>
  <c r="AQ104" i="8"/>
  <c r="AR102" i="8"/>
  <c r="AR104" i="8"/>
  <c r="AS102" i="8"/>
  <c r="AS104" i="8"/>
  <c r="AT102" i="8"/>
  <c r="AT104" i="8"/>
  <c r="AU102" i="8"/>
  <c r="AU104" i="8"/>
  <c r="AV102" i="8"/>
  <c r="AV104" i="8"/>
  <c r="AW102" i="8"/>
  <c r="AW104" i="8"/>
  <c r="AX102" i="8"/>
  <c r="AX104" i="8"/>
  <c r="AY102" i="8"/>
  <c r="AY104" i="8"/>
  <c r="AZ102" i="8"/>
  <c r="AZ104" i="8"/>
  <c r="BA102" i="8"/>
  <c r="BA104" i="8"/>
  <c r="BB102" i="8"/>
  <c r="BB104" i="8"/>
  <c r="BC102" i="8"/>
  <c r="BC104" i="8"/>
  <c r="BD102" i="8"/>
  <c r="BD104" i="8"/>
  <c r="BE102" i="8"/>
  <c r="BE104" i="8"/>
  <c r="BF102" i="8"/>
  <c r="BF104" i="8"/>
  <c r="BG102" i="8"/>
  <c r="BG104" i="8"/>
  <c r="BH102" i="8"/>
  <c r="BH104" i="8"/>
  <c r="BI102" i="8"/>
  <c r="BI104" i="8"/>
  <c r="BJ102" i="8"/>
  <c r="BJ104" i="8"/>
  <c r="BK102" i="8"/>
  <c r="BK104" i="8"/>
  <c r="BL102" i="8"/>
  <c r="BL104" i="8"/>
  <c r="BM102" i="8"/>
  <c r="BM104" i="8"/>
  <c r="BN102" i="8"/>
  <c r="BN104" i="8"/>
  <c r="BO102" i="8"/>
  <c r="BO104" i="8"/>
  <c r="BP102" i="8"/>
  <c r="BP104" i="8"/>
  <c r="BQ102" i="8"/>
  <c r="BQ104" i="8"/>
  <c r="BR102" i="8"/>
  <c r="BR104" i="8"/>
  <c r="BS102" i="8"/>
  <c r="BS104" i="8"/>
  <c r="BT102" i="8"/>
  <c r="BT104" i="8"/>
  <c r="BU102" i="8"/>
  <c r="BU104" i="8"/>
  <c r="BV102" i="8"/>
  <c r="BV104" i="8"/>
  <c r="BW102" i="8"/>
  <c r="BW104" i="8"/>
  <c r="BX102" i="8"/>
  <c r="BX104" i="8"/>
  <c r="BY102" i="8"/>
  <c r="BY104" i="8"/>
  <c r="BZ102" i="8"/>
  <c r="BZ104" i="8"/>
  <c r="CA102" i="8"/>
  <c r="CA104" i="8"/>
  <c r="CB102" i="8"/>
  <c r="CC47" i="8"/>
  <c r="AS27" i="8"/>
  <c r="H105" i="8"/>
  <c r="AZ38" i="8"/>
  <c r="CE38" i="8"/>
  <c r="O106" i="8"/>
  <c r="CZ38" i="8"/>
  <c r="N106" i="8"/>
  <c r="CY25" i="8"/>
  <c r="CT44" i="8"/>
  <c r="CN27" i="8"/>
  <c r="AU135" i="8"/>
  <c r="AU136" i="8"/>
  <c r="AU138" i="8"/>
  <c r="AU21" i="8"/>
  <c r="AU22" i="8"/>
  <c r="Y136" i="8"/>
  <c r="Y138" i="8"/>
  <c r="Y21" i="8"/>
  <c r="Y22" i="8"/>
  <c r="Y58" i="8"/>
  <c r="Y60" i="8"/>
  <c r="Z59" i="8"/>
  <c r="K106" i="8"/>
  <c r="CX27" i="8"/>
  <c r="AU106" i="8"/>
  <c r="N57" i="10"/>
  <c r="CR77" i="8"/>
  <c r="CR157" i="8"/>
  <c r="K105" i="1"/>
  <c r="K144" i="1"/>
  <c r="K148" i="1"/>
  <c r="T47" i="10"/>
  <c r="T48" i="10"/>
  <c r="CU135" i="8"/>
  <c r="CU136" i="8"/>
  <c r="CU138" i="8"/>
  <c r="CU21" i="8"/>
  <c r="CU22" i="8"/>
  <c r="CU58" i="8"/>
  <c r="CU60" i="8"/>
  <c r="BV77" i="8"/>
  <c r="BV157" i="8"/>
  <c r="BV158" i="8"/>
  <c r="BP77" i="8"/>
  <c r="BP157" i="8"/>
  <c r="BP158" i="8"/>
  <c r="BJ75" i="8"/>
  <c r="BR25" i="8"/>
  <c r="H44" i="8"/>
  <c r="Q25" i="8"/>
  <c r="CK47" i="8"/>
  <c r="Y47" i="8"/>
  <c r="BS47" i="8"/>
  <c r="CU44" i="8"/>
  <c r="Z44" i="8"/>
  <c r="G145" i="1"/>
  <c r="Q54" i="10"/>
  <c r="Q59" i="10"/>
  <c r="Q63" i="10"/>
  <c r="Q67" i="10"/>
  <c r="Q71" i="10"/>
  <c r="Q72" i="10"/>
  <c r="Q78" i="10"/>
  <c r="CA58" i="8"/>
  <c r="CA60" i="8"/>
  <c r="CB59" i="8"/>
  <c r="H58" i="8"/>
  <c r="CV22" i="8"/>
  <c r="CM125" i="8"/>
  <c r="CM130" i="8"/>
  <c r="AD135" i="8"/>
  <c r="AD136" i="8"/>
  <c r="AD138" i="8"/>
  <c r="AD21" i="8"/>
  <c r="AD22" i="8"/>
  <c r="AD125" i="8"/>
  <c r="AD130" i="8"/>
  <c r="T136" i="8"/>
  <c r="T138" i="8"/>
  <c r="T21" i="8"/>
  <c r="T22" i="8"/>
  <c r="T125" i="8"/>
  <c r="T130" i="8"/>
  <c r="BW21" i="8"/>
  <c r="BW22" i="8"/>
  <c r="BW58" i="8"/>
  <c r="BV136" i="8"/>
  <c r="BV138" i="8"/>
  <c r="BV21" i="8"/>
  <c r="BV22" i="8"/>
  <c r="BV58" i="8"/>
  <c r="BV60" i="8"/>
  <c r="BW59" i="8"/>
  <c r="AV141" i="8"/>
  <c r="CY134" i="8"/>
  <c r="CZ132" i="8"/>
  <c r="CZ135" i="8"/>
  <c r="CZ136" i="8"/>
  <c r="CZ138" i="8"/>
  <c r="CZ21" i="8"/>
  <c r="CZ22" i="8"/>
  <c r="CZ58" i="8"/>
  <c r="CZ60" i="8"/>
  <c r="E134" i="8"/>
  <c r="BO25" i="8"/>
  <c r="AD25" i="8"/>
  <c r="BZ25" i="8"/>
  <c r="AO25" i="8"/>
  <c r="AX25" i="8"/>
  <c r="X44" i="8"/>
  <c r="J47" i="10"/>
  <c r="Y77" i="8"/>
  <c r="CO22" i="8"/>
  <c r="CM75" i="8"/>
  <c r="CL75" i="8"/>
  <c r="BC38" i="8"/>
  <c r="CS27" i="8"/>
  <c r="Q58" i="8"/>
  <c r="AP35" i="8"/>
  <c r="AW35" i="8"/>
  <c r="BV35" i="8"/>
  <c r="CI27" i="8"/>
  <c r="BN75" i="8"/>
  <c r="AL105" i="8"/>
  <c r="BV127" i="8"/>
  <c r="CR38" i="8"/>
  <c r="BI135" i="8"/>
  <c r="AV135" i="8"/>
  <c r="AV136" i="8"/>
  <c r="BW38" i="8"/>
  <c r="CA77" i="8"/>
  <c r="AT141" i="8"/>
  <c r="X35" i="8"/>
  <c r="BJ136" i="8"/>
  <c r="CR135" i="8"/>
  <c r="CR136" i="8"/>
  <c r="CR138" i="8"/>
  <c r="CU125" i="8"/>
  <c r="AD58" i="8"/>
  <c r="CI35" i="8"/>
  <c r="O65" i="10"/>
  <c r="BS135" i="8"/>
  <c r="BW127" i="8"/>
  <c r="M54" i="10"/>
  <c r="M59" i="10"/>
  <c r="M63" i="10"/>
  <c r="F79" i="1"/>
  <c r="BD135" i="8"/>
  <c r="BD136" i="8"/>
  <c r="BD138" i="8"/>
  <c r="BD21" i="8"/>
  <c r="BD22" i="8"/>
  <c r="BD58" i="8"/>
  <c r="BD60" i="8"/>
  <c r="BE59" i="8"/>
  <c r="S144" i="1"/>
  <c r="S81" i="1"/>
  <c r="AF105" i="8"/>
  <c r="CW135" i="8"/>
  <c r="AL38" i="8"/>
  <c r="AT135" i="8"/>
  <c r="AT136" i="8"/>
  <c r="AT138" i="8"/>
  <c r="AT21" i="8"/>
  <c r="AT22" i="8"/>
  <c r="DB77" i="8"/>
  <c r="AY77" i="8"/>
  <c r="AP77" i="8"/>
  <c r="BV75" i="8"/>
  <c r="CI127" i="8"/>
  <c r="AF61" i="8"/>
  <c r="BS136" i="8"/>
  <c r="BS138" i="8"/>
  <c r="BS21" i="8"/>
  <c r="BS22" i="8"/>
  <c r="BS125" i="8"/>
  <c r="BS130" i="8"/>
  <c r="BS133" i="8"/>
  <c r="I98" i="1"/>
  <c r="AF106" i="8"/>
  <c r="AE38" i="8"/>
  <c r="AB44" i="8"/>
  <c r="AP27" i="8"/>
  <c r="S67" i="10"/>
  <c r="S71" i="10"/>
  <c r="S72" i="10"/>
  <c r="S78" i="10"/>
  <c r="BG106" i="8"/>
  <c r="BJ138" i="8"/>
  <c r="BJ21" i="8"/>
  <c r="BJ22" i="8"/>
  <c r="L27" i="8"/>
  <c r="CD44" i="8"/>
  <c r="BM44" i="8"/>
  <c r="F21" i="8"/>
  <c r="CC38" i="8"/>
  <c r="CJ75" i="8"/>
  <c r="BL75" i="8"/>
  <c r="BL141" i="8"/>
  <c r="BL146" i="8"/>
  <c r="BB56" i="8"/>
  <c r="AW106" i="8"/>
  <c r="Q65" i="10"/>
  <c r="AI25" i="8"/>
  <c r="AP47" i="8"/>
  <c r="BD47" i="8"/>
  <c r="AJ44" i="8"/>
  <c r="CP135" i="8"/>
  <c r="CP136" i="8"/>
  <c r="CP138" i="8"/>
  <c r="CP21" i="8"/>
  <c r="CP22" i="8"/>
  <c r="CP125" i="8"/>
  <c r="CP130" i="8"/>
  <c r="CO77" i="8"/>
  <c r="F82" i="1"/>
  <c r="CV59" i="8"/>
  <c r="CV129" i="8"/>
  <c r="AB38" i="8"/>
  <c r="CJ76" i="8"/>
  <c r="AT76" i="8"/>
  <c r="W27" i="8"/>
  <c r="BW60" i="8"/>
  <c r="H128" i="1"/>
  <c r="P61" i="10"/>
  <c r="AS44" i="8"/>
  <c r="AV105" i="8"/>
  <c r="T38" i="8"/>
  <c r="CI56" i="8"/>
  <c r="AO75" i="8"/>
  <c r="CE75" i="8"/>
  <c r="AN25" i="8"/>
  <c r="DA25" i="8"/>
  <c r="BJ47" i="8"/>
  <c r="BP44" i="8"/>
  <c r="F138" i="8"/>
  <c r="CQ135" i="8"/>
  <c r="CQ136" i="8"/>
  <c r="CQ138" i="8"/>
  <c r="CQ21" i="8"/>
  <c r="CQ22" i="8"/>
  <c r="CQ58" i="8"/>
  <c r="CQ60" i="8"/>
  <c r="CJ141" i="8"/>
  <c r="CN128" i="8"/>
  <c r="BG35" i="8"/>
  <c r="AX106" i="8"/>
  <c r="BP35" i="8"/>
  <c r="BM105" i="8"/>
  <c r="Z135" i="8"/>
  <c r="Z136" i="8"/>
  <c r="Z138" i="8"/>
  <c r="Z21" i="8"/>
  <c r="Z22" i="8"/>
  <c r="Z58" i="8"/>
  <c r="Z60" i="8"/>
  <c r="AA59" i="8"/>
  <c r="BC25" i="8"/>
  <c r="S47" i="8"/>
  <c r="BF44" i="8"/>
  <c r="AB25" i="8"/>
  <c r="I35" i="8"/>
  <c r="AR77" i="8"/>
  <c r="AR157" i="8"/>
  <c r="AR158" i="8"/>
  <c r="K116" i="1"/>
  <c r="O54" i="1"/>
  <c r="AW47" i="8"/>
  <c r="G124" i="1"/>
  <c r="CK75" i="8"/>
  <c r="AP145" i="8"/>
  <c r="F128" i="1"/>
  <c r="AX76" i="8"/>
  <c r="CZ25" i="8"/>
  <c r="CO25" i="8"/>
  <c r="BX44" i="8"/>
  <c r="P61" i="8"/>
  <c r="BM136" i="8"/>
  <c r="BM138" i="8"/>
  <c r="BM21" i="8"/>
  <c r="Q34" i="10"/>
  <c r="Q36" i="10"/>
  <c r="Q39" i="10"/>
  <c r="Q42" i="10"/>
  <c r="Q44" i="10"/>
  <c r="BD51" i="8"/>
  <c r="M105" i="1"/>
  <c r="M124" i="1"/>
  <c r="M127" i="1"/>
  <c r="S124" i="1"/>
  <c r="BS27" i="8"/>
  <c r="CB104" i="8"/>
  <c r="CC102" i="8"/>
  <c r="CC104" i="8"/>
  <c r="CD102" i="8"/>
  <c r="CD104" i="8"/>
  <c r="CE102" i="8"/>
  <c r="CE104" i="8"/>
  <c r="CF102" i="8"/>
  <c r="CF104" i="8"/>
  <c r="CG102" i="8"/>
  <c r="CG104" i="8"/>
  <c r="CH102" i="8"/>
  <c r="CH104" i="8"/>
  <c r="CI102" i="8"/>
  <c r="CI104" i="8"/>
  <c r="CJ102" i="8"/>
  <c r="CJ104" i="8"/>
  <c r="CK102" i="8"/>
  <c r="CK104" i="8"/>
  <c r="CL102" i="8"/>
  <c r="CL104" i="8"/>
  <c r="CM102" i="8"/>
  <c r="CM104" i="8"/>
  <c r="CN102" i="8"/>
  <c r="CN104" i="8"/>
  <c r="CO102" i="8"/>
  <c r="CO104" i="8"/>
  <c r="CP102" i="8"/>
  <c r="CP104" i="8"/>
  <c r="CQ102" i="8"/>
  <c r="CQ104" i="8"/>
  <c r="CR102" i="8"/>
  <c r="CR104" i="8"/>
  <c r="CS102" i="8"/>
  <c r="CS104" i="8"/>
  <c r="CT102" i="8"/>
  <c r="CT104" i="8"/>
  <c r="CU102" i="8"/>
  <c r="CU105" i="8"/>
  <c r="CU143" i="8"/>
  <c r="BS105" i="8"/>
  <c r="BS143" i="8"/>
  <c r="AO105" i="8"/>
  <c r="AO143" i="8"/>
  <c r="Q105" i="8"/>
  <c r="Q143" i="8"/>
  <c r="BK47" i="8"/>
  <c r="O101" i="1"/>
  <c r="O47" i="8"/>
  <c r="G101" i="1"/>
  <c r="BW44" i="8"/>
  <c r="Q98" i="1"/>
  <c r="AG25" i="8"/>
  <c r="J79" i="1"/>
  <c r="J82" i="1"/>
  <c r="BW27" i="8"/>
  <c r="Q81" i="1"/>
  <c r="BL77" i="8"/>
  <c r="BL157" i="8"/>
  <c r="BL158" i="8"/>
  <c r="BR105" i="8"/>
  <c r="BR143" i="8"/>
  <c r="CI21" i="8"/>
  <c r="CI22" i="8"/>
  <c r="CI58" i="8"/>
  <c r="CI60" i="8"/>
  <c r="BQ44" i="8"/>
  <c r="P98" i="1"/>
  <c r="AA25" i="8"/>
  <c r="I79" i="1"/>
  <c r="I82" i="1"/>
  <c r="BQ27" i="8"/>
  <c r="P81" i="1"/>
  <c r="BN135" i="8"/>
  <c r="BN136" i="8"/>
  <c r="BN138" i="8"/>
  <c r="BN21" i="8"/>
  <c r="BN22" i="8"/>
  <c r="BN58" i="8"/>
  <c r="BN60" i="8"/>
  <c r="BO59" i="8"/>
  <c r="BO129" i="8"/>
  <c r="S77" i="8"/>
  <c r="S157" i="8"/>
  <c r="S158" i="8"/>
  <c r="J77" i="8"/>
  <c r="J157" i="8"/>
  <c r="J158" i="8"/>
  <c r="BQ75" i="8"/>
  <c r="BQ141" i="8"/>
  <c r="BQ146" i="8"/>
  <c r="BH75" i="8"/>
  <c r="BH141" i="8"/>
  <c r="BH146" i="8"/>
  <c r="AY75" i="8"/>
  <c r="AY141" i="8"/>
  <c r="AY146" i="8"/>
  <c r="AP75" i="8"/>
  <c r="AP141" i="8"/>
  <c r="AP146" i="8"/>
  <c r="BO135" i="8"/>
  <c r="BO136" i="8"/>
  <c r="BO138" i="8"/>
  <c r="BO21" i="8"/>
  <c r="BO22" i="8"/>
  <c r="BO58" i="8"/>
  <c r="BO60" i="8"/>
  <c r="BP59" i="8"/>
  <c r="BP129" i="8"/>
  <c r="BG135" i="8"/>
  <c r="BG136" i="8"/>
  <c r="BG138" i="8"/>
  <c r="BG21" i="8"/>
  <c r="BG22" i="8"/>
  <c r="BG58" i="8"/>
  <c r="BG60" i="8"/>
  <c r="BH59" i="8"/>
  <c r="BH129" i="8"/>
  <c r="BX135" i="8"/>
  <c r="BX136" i="8"/>
  <c r="BX138" i="8"/>
  <c r="BX21" i="8"/>
  <c r="BX22" i="8"/>
  <c r="BX125" i="8"/>
  <c r="BX130" i="8"/>
  <c r="BD125" i="8"/>
  <c r="BD130" i="8"/>
  <c r="AI135" i="8"/>
  <c r="AI136" i="8"/>
  <c r="AI138" i="8"/>
  <c r="AI21" i="8"/>
  <c r="AI22" i="8"/>
  <c r="AI125" i="8"/>
  <c r="AI130" i="8"/>
  <c r="M135" i="8"/>
  <c r="M136" i="8"/>
  <c r="M138" i="8"/>
  <c r="M21" i="8"/>
  <c r="M22" i="8"/>
  <c r="M125" i="8"/>
  <c r="M130" i="8"/>
  <c r="CS135" i="8"/>
  <c r="CS136" i="8"/>
  <c r="CS138" i="8"/>
  <c r="CS21" i="8"/>
  <c r="CS22" i="8"/>
  <c r="CS58" i="8"/>
  <c r="CS60" i="8"/>
  <c r="CT59" i="8"/>
  <c r="CT129" i="8"/>
  <c r="AQ38" i="8"/>
  <c r="CL135" i="8"/>
  <c r="CL136" i="8"/>
  <c r="CL138" i="8"/>
  <c r="CG105" i="8"/>
  <c r="CK135" i="8"/>
  <c r="CK136" i="8"/>
  <c r="CK138" i="8"/>
  <c r="Z126" i="8"/>
  <c r="U38" i="8"/>
  <c r="U103" i="8"/>
  <c r="CD125" i="8"/>
  <c r="AO135" i="8"/>
  <c r="BG145" i="8"/>
  <c r="V105" i="8"/>
  <c r="AD38" i="8"/>
  <c r="BO106" i="8"/>
  <c r="P38" i="8"/>
  <c r="BG61" i="8"/>
  <c r="AL106" i="8"/>
  <c r="V106" i="8"/>
  <c r="W38" i="8"/>
  <c r="CG25" i="8"/>
  <c r="AF25" i="8"/>
  <c r="CO47" i="8"/>
  <c r="AZ47" i="8"/>
  <c r="BL44" i="8"/>
  <c r="CY27" i="8"/>
  <c r="BJ27" i="8"/>
  <c r="BN27" i="8"/>
  <c r="BB135" i="8"/>
  <c r="BB136" i="8"/>
  <c r="BB138" i="8"/>
  <c r="I75" i="8"/>
  <c r="I141" i="8"/>
  <c r="I146" i="8"/>
  <c r="AQ135" i="8"/>
  <c r="V143" i="8"/>
  <c r="O55" i="1"/>
  <c r="BT75" i="8"/>
  <c r="BG125" i="8"/>
  <c r="BG130" i="8"/>
  <c r="AW135" i="8"/>
  <c r="AW136" i="8"/>
  <c r="AW138" i="8"/>
  <c r="CE135" i="8"/>
  <c r="J135" i="8"/>
  <c r="J136" i="8"/>
  <c r="J138" i="8"/>
  <c r="J21" i="8"/>
  <c r="J22" i="8"/>
  <c r="J58" i="8"/>
  <c r="J60" i="8"/>
  <c r="BR35" i="8"/>
  <c r="AA35" i="8"/>
  <c r="AS35" i="8"/>
  <c r="CC35" i="8"/>
  <c r="AE27" i="8"/>
  <c r="CH135" i="8"/>
  <c r="CH136" i="8"/>
  <c r="CH138" i="8"/>
  <c r="CH21" i="8"/>
  <c r="K35" i="8"/>
  <c r="BF35" i="8"/>
  <c r="AW77" i="8"/>
  <c r="S35" i="8"/>
  <c r="CC76" i="8"/>
  <c r="CV35" i="8"/>
  <c r="BG75" i="8"/>
  <c r="BI105" i="8"/>
  <c r="CK145" i="8"/>
  <c r="CS105" i="8"/>
  <c r="CS143" i="8"/>
  <c r="Y105" i="8"/>
  <c r="O105" i="8"/>
  <c r="BA135" i="8"/>
  <c r="BA136" i="8"/>
  <c r="S27" i="8"/>
  <c r="Y25" i="8"/>
  <c r="CY47" i="8"/>
  <c r="CM47" i="8"/>
  <c r="P47" i="8"/>
  <c r="BB47" i="8"/>
  <c r="AP44" i="8"/>
  <c r="AR25" i="8"/>
  <c r="U67" i="10"/>
  <c r="U71" i="10"/>
  <c r="U72" i="10"/>
  <c r="U78" i="10"/>
  <c r="CB42" i="8"/>
  <c r="N47" i="10"/>
  <c r="N48" i="10"/>
  <c r="AL52" i="8"/>
  <c r="J106" i="1"/>
  <c r="J134" i="1"/>
  <c r="T67" i="10"/>
  <c r="T71" i="10"/>
  <c r="T72" i="10"/>
  <c r="T78" i="10"/>
  <c r="BV42" i="8"/>
  <c r="AR135" i="8"/>
  <c r="AR136" i="8"/>
  <c r="AR138" i="8"/>
  <c r="AR21" i="8"/>
  <c r="AR22" i="8"/>
  <c r="AR58" i="8"/>
  <c r="AR60" i="8"/>
  <c r="AS59" i="8"/>
  <c r="CU75" i="8"/>
  <c r="Q75" i="1"/>
  <c r="Q76" i="1"/>
  <c r="Q112" i="1"/>
  <c r="Q114" i="1"/>
  <c r="R113" i="1"/>
  <c r="E89" i="1"/>
  <c r="E110" i="1"/>
  <c r="I75" i="1"/>
  <c r="I76" i="1"/>
  <c r="I112" i="1"/>
  <c r="I114" i="1"/>
  <c r="J113" i="1"/>
  <c r="E150" i="1" a="1"/>
  <c r="N69" i="10"/>
  <c r="N75" i="10"/>
  <c r="AL55" i="8"/>
  <c r="J109" i="1"/>
  <c r="AE106" i="8"/>
  <c r="BO76" i="8"/>
  <c r="AB47" i="8"/>
  <c r="AF27" i="8"/>
  <c r="AU58" i="8"/>
  <c r="AU60" i="8"/>
  <c r="AV59" i="8"/>
  <c r="N74" i="10"/>
  <c r="AS127" i="8"/>
  <c r="CR158" i="8"/>
  <c r="BE22" i="8"/>
  <c r="BE58" i="8"/>
  <c r="BE60" i="8"/>
  <c r="R116" i="1"/>
  <c r="L105" i="8"/>
  <c r="CF105" i="8"/>
  <c r="BK105" i="8"/>
  <c r="CW136" i="8"/>
  <c r="CW138" i="8"/>
  <c r="CW21" i="8"/>
  <c r="CW22" i="8"/>
  <c r="CW58" i="8"/>
  <c r="CW60" i="8"/>
  <c r="R44" i="10"/>
  <c r="BJ51" i="8"/>
  <c r="N105" i="1"/>
  <c r="N124" i="1"/>
  <c r="N128" i="1"/>
  <c r="CO75" i="8"/>
  <c r="BU38" i="8"/>
  <c r="CC56" i="8"/>
  <c r="BF58" i="8"/>
  <c r="CS77" i="8"/>
  <c r="AY22" i="8"/>
  <c r="CM58" i="8"/>
  <c r="AM77" i="8"/>
  <c r="K75" i="1"/>
  <c r="BR135" i="8"/>
  <c r="N44" i="8"/>
  <c r="AZ135" i="8"/>
  <c r="AZ136" i="8"/>
  <c r="AZ138" i="8"/>
  <c r="AZ21" i="8"/>
  <c r="BG141" i="8"/>
  <c r="AU77" i="8"/>
  <c r="CX135" i="8"/>
  <c r="CX136" i="8"/>
  <c r="CX138" i="8"/>
  <c r="CX21" i="8"/>
  <c r="CX22" i="8"/>
  <c r="BM38" i="8"/>
  <c r="CC73" i="8"/>
  <c r="AV106" i="8"/>
  <c r="BP47" i="8"/>
  <c r="O22" i="8"/>
  <c r="O58" i="8"/>
  <c r="O60" i="8"/>
  <c r="CS125" i="8"/>
  <c r="AD35" i="8"/>
  <c r="AZ27" i="8"/>
  <c r="R144" i="1"/>
  <c r="BX59" i="8"/>
  <c r="AJ73" i="8"/>
  <c r="J43" i="10"/>
  <c r="K41" i="10"/>
  <c r="K43" i="10"/>
  <c r="L41" i="10"/>
  <c r="L43" i="10"/>
  <c r="M41" i="10"/>
  <c r="M43" i="10"/>
  <c r="N41" i="10"/>
  <c r="N43" i="10"/>
  <c r="O41" i="10"/>
  <c r="O43" i="10"/>
  <c r="P41" i="10"/>
  <c r="P43" i="10"/>
  <c r="Q41" i="10"/>
  <c r="Q43" i="10"/>
  <c r="R41" i="10"/>
  <c r="R43" i="10"/>
  <c r="S41" i="10"/>
  <c r="S43" i="10"/>
  <c r="T41" i="10"/>
  <c r="T43" i="10"/>
  <c r="U41" i="10"/>
  <c r="K47" i="8"/>
  <c r="CB105" i="8"/>
  <c r="V35" i="8"/>
  <c r="CR25" i="8"/>
  <c r="AX28" i="8"/>
  <c r="AK47" i="8"/>
  <c r="CZ44" i="8"/>
  <c r="CC103" i="8"/>
  <c r="BT141" i="8"/>
  <c r="AO35" i="8"/>
  <c r="CV58" i="8"/>
  <c r="BU135" i="8"/>
  <c r="BU136" i="8"/>
  <c r="BU138" i="8"/>
  <c r="BU21" i="8"/>
  <c r="BU22" i="8"/>
  <c r="BU58" i="8"/>
  <c r="BU60" i="8"/>
  <c r="BV59" i="8"/>
  <c r="BV129" i="8"/>
  <c r="BR44" i="8"/>
  <c r="AW157" i="8"/>
  <c r="BD35" i="8"/>
  <c r="L89" i="1"/>
  <c r="AT27" i="8"/>
  <c r="AD27" i="8"/>
  <c r="CZ125" i="8"/>
  <c r="CZ130" i="8"/>
  <c r="CZ133" i="8"/>
  <c r="M58" i="1"/>
  <c r="M59" i="1"/>
  <c r="V77" i="8"/>
  <c r="AJ75" i="8"/>
  <c r="BC77" i="8"/>
  <c r="BV38" i="8"/>
  <c r="V56" i="8"/>
  <c r="BC103" i="8"/>
  <c r="BB44" i="8"/>
  <c r="G128" i="1"/>
  <c r="AR28" i="8"/>
  <c r="F145" i="1"/>
  <c r="BM22" i="8"/>
  <c r="BM58" i="8"/>
  <c r="BM60" i="8"/>
  <c r="P59" i="8"/>
  <c r="BX73" i="8"/>
  <c r="N112" i="1"/>
  <c r="CD105" i="8"/>
  <c r="CU106" i="8"/>
  <c r="DA38" i="8"/>
  <c r="CV76" i="8"/>
  <c r="CD106" i="8"/>
  <c r="BD38" i="8"/>
  <c r="BS38" i="8"/>
  <c r="AE25" i="8"/>
  <c r="AC25" i="8"/>
  <c r="AT47" i="8"/>
  <c r="R44" i="8"/>
  <c r="AL44" i="8"/>
  <c r="AO44" i="8"/>
  <c r="J27" i="8"/>
  <c r="CJ27" i="8"/>
  <c r="BV27" i="8"/>
  <c r="BL135" i="8"/>
  <c r="AG106" i="8"/>
  <c r="N47" i="8"/>
  <c r="DA103" i="8"/>
  <c r="AS21" i="8"/>
  <c r="L75" i="1"/>
  <c r="L76" i="1"/>
  <c r="L112" i="1"/>
  <c r="L114" i="1"/>
  <c r="CB135" i="8"/>
  <c r="CB136" i="8"/>
  <c r="CB138" i="8"/>
  <c r="CB21" i="8"/>
  <c r="CB22" i="8"/>
  <c r="BD133" i="8"/>
  <c r="CV38" i="8"/>
  <c r="Y38" i="8"/>
  <c r="CK21" i="8"/>
  <c r="CK22" i="8"/>
  <c r="CK125" i="8"/>
  <c r="CK130" i="8"/>
  <c r="W47" i="8"/>
  <c r="CN25" i="8"/>
  <c r="CT35" i="8"/>
  <c r="CT73" i="8"/>
  <c r="BZ35" i="8"/>
  <c r="BZ73" i="8"/>
  <c r="BN35" i="8"/>
  <c r="AT35" i="8"/>
  <c r="O35" i="8"/>
  <c r="BN61" i="8"/>
  <c r="CG35" i="8"/>
  <c r="BA35" i="8"/>
  <c r="CQ35" i="8"/>
  <c r="BO35" i="8"/>
  <c r="CT75" i="8"/>
  <c r="BX61" i="8"/>
  <c r="CO35" i="8"/>
  <c r="BM35" i="8"/>
  <c r="S75" i="1"/>
  <c r="S76" i="1"/>
  <c r="S112" i="1"/>
  <c r="S114" i="1"/>
  <c r="AA47" i="8"/>
  <c r="F147" i="1"/>
  <c r="O144" i="1"/>
  <c r="O148" i="1"/>
  <c r="AG35" i="8"/>
  <c r="J89" i="1"/>
  <c r="BR75" i="8"/>
  <c r="CA25" i="8"/>
  <c r="BL25" i="8"/>
  <c r="AS25" i="8"/>
  <c r="AH25" i="8"/>
  <c r="BV47" i="8"/>
  <c r="CL47" i="8"/>
  <c r="CZ47" i="8"/>
  <c r="BG47" i="8"/>
  <c r="BM47" i="8"/>
  <c r="CB47" i="8"/>
  <c r="AE47" i="8"/>
  <c r="AC47" i="8"/>
  <c r="AH44" i="8"/>
  <c r="AD44" i="8"/>
  <c r="AW44" i="8"/>
  <c r="G68" i="10"/>
  <c r="V57" i="10"/>
  <c r="V74" i="10"/>
  <c r="AY47" i="8"/>
  <c r="BT105" i="8"/>
  <c r="U47" i="8"/>
  <c r="BF38" i="8"/>
  <c r="BE125" i="8"/>
  <c r="BE130" i="8"/>
  <c r="AA105" i="8"/>
  <c r="CT135" i="8"/>
  <c r="CT136" i="8"/>
  <c r="CT138" i="8"/>
  <c r="CT21" i="8"/>
  <c r="CT22" i="8"/>
  <c r="AG22" i="8"/>
  <c r="BB38" i="8"/>
  <c r="BP76" i="8"/>
  <c r="BJ38" i="8"/>
  <c r="CU76" i="8"/>
  <c r="CZ134" i="8"/>
  <c r="DA132" i="8"/>
  <c r="DA134" i="8"/>
  <c r="DB132" i="8"/>
  <c r="DB135" i="8"/>
  <c r="DB136" i="8"/>
  <c r="DB138" i="8"/>
  <c r="DB21" i="8"/>
  <c r="DB22" i="8"/>
  <c r="BE105" i="8"/>
  <c r="AY106" i="8"/>
  <c r="AP38" i="8"/>
  <c r="BS76" i="8"/>
  <c r="BV76" i="8"/>
  <c r="BF76" i="8"/>
  <c r="BN127" i="8"/>
  <c r="K25" i="8"/>
  <c r="BY44" i="8"/>
  <c r="BH44" i="8"/>
  <c r="R68" i="10"/>
  <c r="AL126" i="8"/>
  <c r="BX77" i="8"/>
  <c r="L77" i="8"/>
  <c r="P75" i="8"/>
  <c r="P141" i="8"/>
  <c r="P146" i="8"/>
  <c r="BT135" i="8"/>
  <c r="BT136" i="8"/>
  <c r="BT138" i="8"/>
  <c r="BT21" i="8"/>
  <c r="BT22" i="8"/>
  <c r="BT58" i="8"/>
  <c r="BT60" i="8"/>
  <c r="BU59" i="8"/>
  <c r="CL35" i="8"/>
  <c r="BI35" i="8"/>
  <c r="DA135" i="8"/>
  <c r="DA136" i="8"/>
  <c r="DA138" i="8"/>
  <c r="DA21" i="8"/>
  <c r="DA22" i="8"/>
  <c r="DA125" i="8"/>
  <c r="DA130" i="8"/>
  <c r="CT27" i="8"/>
  <c r="AO136" i="8"/>
  <c r="AO138" i="8"/>
  <c r="AO21" i="8"/>
  <c r="AO22" i="8"/>
  <c r="AO125" i="8"/>
  <c r="AO130" i="8"/>
  <c r="J125" i="8"/>
  <c r="J130" i="8"/>
  <c r="P65" i="10"/>
  <c r="P77" i="10"/>
  <c r="AX41" i="8"/>
  <c r="CC22" i="8"/>
  <c r="CC125" i="8"/>
  <c r="CC130" i="8"/>
  <c r="AN135" i="8"/>
  <c r="AN136" i="8"/>
  <c r="AN138" i="8"/>
  <c r="AN21" i="8"/>
  <c r="AN22" i="8"/>
  <c r="AN125" i="8"/>
  <c r="AN130" i="8"/>
  <c r="AC135" i="8"/>
  <c r="AC136" i="8"/>
  <c r="AL135" i="8"/>
  <c r="V135" i="8"/>
  <c r="N135" i="8"/>
  <c r="N136" i="8"/>
  <c r="N138" i="8"/>
  <c r="CY35" i="8"/>
  <c r="CY127" i="8"/>
  <c r="CA35" i="8"/>
  <c r="BS35" i="8"/>
  <c r="BS127" i="8"/>
  <c r="W35" i="8"/>
  <c r="W127" i="8"/>
  <c r="W65" i="10"/>
  <c r="W77" i="10"/>
  <c r="CN41" i="8"/>
  <c r="BD61" i="8"/>
  <c r="BS75" i="8"/>
  <c r="BZ135" i="8"/>
  <c r="BZ136" i="8"/>
  <c r="BZ138" i="8"/>
  <c r="BZ21" i="8"/>
  <c r="BZ22" i="8"/>
  <c r="BZ125" i="8"/>
  <c r="BZ130" i="8"/>
  <c r="AN61" i="8"/>
  <c r="CF106" i="8"/>
  <c r="AZ106" i="8"/>
  <c r="AJ106" i="8"/>
  <c r="T106" i="8"/>
  <c r="L106" i="8"/>
  <c r="BK38" i="8"/>
  <c r="AM38" i="8"/>
  <c r="O38" i="8"/>
  <c r="BQ73" i="8"/>
  <c r="BE35" i="8"/>
  <c r="CI61" i="8"/>
  <c r="BK22" i="8"/>
  <c r="BC135" i="8"/>
  <c r="BC136" i="8"/>
  <c r="BC138" i="8"/>
  <c r="BC21" i="8"/>
  <c r="BC22" i="8"/>
  <c r="BC125" i="8"/>
  <c r="BC130" i="8"/>
  <c r="BK58" i="8"/>
  <c r="BO38" i="8"/>
  <c r="CP38" i="8"/>
  <c r="BE56" i="8"/>
  <c r="AD106" i="8"/>
  <c r="AU76" i="8"/>
  <c r="V25" i="8"/>
  <c r="AZ44" i="8"/>
  <c r="CQ27" i="8"/>
  <c r="BB21" i="8"/>
  <c r="BB22" i="8"/>
  <c r="BB125" i="8"/>
  <c r="BB130" i="8"/>
  <c r="BB133" i="8"/>
  <c r="AQ136" i="8"/>
  <c r="AQ138" i="8"/>
  <c r="AQ21" i="8"/>
  <c r="AQ22" i="8"/>
  <c r="AQ58" i="8"/>
  <c r="BO145" i="8"/>
  <c r="BI106" i="8"/>
  <c r="CP76" i="8"/>
  <c r="BA27" i="8"/>
  <c r="W103" i="8"/>
  <c r="DA27" i="8"/>
  <c r="AB35" i="8"/>
  <c r="BD75" i="8"/>
  <c r="AE135" i="8"/>
  <c r="CD35" i="8"/>
  <c r="CI125" i="8"/>
  <c r="CO27" i="8"/>
  <c r="CH22" i="8"/>
  <c r="AS22" i="8"/>
  <c r="J59" i="10"/>
  <c r="T35" i="8"/>
  <c r="BO105" i="8"/>
  <c r="BA138" i="8"/>
  <c r="BF27" i="8"/>
  <c r="Z47" i="8"/>
  <c r="J44" i="8"/>
  <c r="Q47" i="10"/>
  <c r="Q48" i="10"/>
  <c r="BD52" i="8"/>
  <c r="M106" i="1"/>
  <c r="M134" i="1"/>
  <c r="M137" i="1"/>
  <c r="J137" i="1"/>
  <c r="AN77" i="8"/>
  <c r="AC105" i="8"/>
  <c r="AK77" i="8"/>
  <c r="BO103" i="8"/>
  <c r="AR76" i="8"/>
  <c r="Z106" i="8"/>
  <c r="CA27" i="8"/>
  <c r="CB76" i="8"/>
  <c r="BR106" i="8"/>
  <c r="AU38" i="8"/>
  <c r="CR44" i="8"/>
  <c r="CE77" i="8"/>
  <c r="AC157" i="8"/>
  <c r="BZ133" i="8"/>
  <c r="CG76" i="8"/>
  <c r="CE106" i="8"/>
  <c r="CC127" i="8"/>
  <c r="AL54" i="8"/>
  <c r="J108" i="1"/>
  <c r="J125" i="1"/>
  <c r="R101" i="1"/>
  <c r="W105" i="8"/>
  <c r="BN47" i="8"/>
  <c r="BX47" i="8"/>
  <c r="BO125" i="8"/>
  <c r="BD42" i="8"/>
  <c r="BN145" i="8"/>
  <c r="AL27" i="8"/>
  <c r="CI28" i="8"/>
  <c r="CL27" i="8"/>
  <c r="BK145" i="8"/>
  <c r="CV125" i="8"/>
  <c r="W58" i="8"/>
  <c r="I34" i="1"/>
  <c r="DA59" i="8"/>
  <c r="DA129" i="8"/>
  <c r="AS145" i="8"/>
  <c r="AE35" i="8"/>
  <c r="J25" i="8"/>
  <c r="Q44" i="8"/>
  <c r="AJ25" i="8"/>
  <c r="J48" i="10"/>
  <c r="N52" i="8"/>
  <c r="F106" i="1"/>
  <c r="F134" i="1"/>
  <c r="F137" i="1"/>
  <c r="CT77" i="8"/>
  <c r="BO75" i="8"/>
  <c r="BO141" i="8"/>
  <c r="BO146" i="8"/>
  <c r="CY74" i="8"/>
  <c r="CZ72" i="8"/>
  <c r="CZ74" i="8"/>
  <c r="DA72" i="8"/>
  <c r="DA74" i="8"/>
  <c r="DB72" i="8"/>
  <c r="DB75" i="8"/>
  <c r="CS75" i="8"/>
  <c r="CS141" i="8"/>
  <c r="CS146" i="8"/>
  <c r="BE38" i="8"/>
  <c r="CO125" i="8"/>
  <c r="CO130" i="8"/>
  <c r="R54" i="10"/>
  <c r="R59" i="10"/>
  <c r="R63" i="10"/>
  <c r="AO157" i="8"/>
  <c r="AF125" i="8"/>
  <c r="Z75" i="8"/>
  <c r="Z141" i="8"/>
  <c r="BC47" i="8"/>
  <c r="CX75" i="8"/>
  <c r="AL136" i="8"/>
  <c r="AL138" i="8"/>
  <c r="AL21" i="8"/>
  <c r="AL22" i="8"/>
  <c r="N21" i="8"/>
  <c r="N22" i="8"/>
  <c r="CS145" i="8"/>
  <c r="G109" i="1"/>
  <c r="AU44" i="8"/>
  <c r="BP42" i="8"/>
  <c r="AZ22" i="8"/>
  <c r="AZ58" i="8"/>
  <c r="AZ60" i="8"/>
  <c r="BA59" i="8"/>
  <c r="CB75" i="8"/>
  <c r="S135" i="8"/>
  <c r="BM25" i="8"/>
  <c r="BG146" i="8"/>
  <c r="CC75" i="8"/>
  <c r="R25" i="8"/>
  <c r="AU47" i="8"/>
  <c r="CX77" i="8"/>
  <c r="CU104" i="8"/>
  <c r="CV102" i="8"/>
  <c r="CV104" i="8"/>
  <c r="CW102" i="8"/>
  <c r="CW104" i="8"/>
  <c r="CX102" i="8"/>
  <c r="CX104" i="8"/>
  <c r="CY102" i="8"/>
  <c r="CY105" i="8"/>
  <c r="BX38" i="8"/>
  <c r="BR76" i="8"/>
  <c r="U145" i="8"/>
  <c r="AO27" i="8"/>
  <c r="AY35" i="8"/>
  <c r="AS58" i="8"/>
  <c r="I38" i="8"/>
  <c r="BU61" i="8"/>
  <c r="AW27" i="8"/>
  <c r="CC61" i="8"/>
  <c r="CC145" i="8"/>
  <c r="BU76" i="8"/>
  <c r="AR35" i="8"/>
  <c r="AX35" i="8"/>
  <c r="AH135" i="8"/>
  <c r="AH136" i="8"/>
  <c r="AH138" i="8"/>
  <c r="AH21" i="8"/>
  <c r="AH22" i="8"/>
  <c r="AH125" i="8"/>
  <c r="AH130" i="8"/>
  <c r="BL136" i="8"/>
  <c r="BL138" i="8"/>
  <c r="BL21" i="8"/>
  <c r="BL22" i="8"/>
  <c r="BL58" i="8"/>
  <c r="CX44" i="8"/>
  <c r="CO56" i="8"/>
  <c r="N72" i="10"/>
  <c r="BX58" i="8"/>
  <c r="N105" i="8"/>
  <c r="BH21" i="8"/>
  <c r="BH22" i="8"/>
  <c r="CP47" i="8"/>
  <c r="CW27" i="8"/>
  <c r="I89" i="1"/>
  <c r="CQ77" i="8"/>
  <c r="K71" i="10"/>
  <c r="K72" i="10"/>
  <c r="AJ141" i="8"/>
  <c r="CZ77" i="8"/>
  <c r="K75" i="8"/>
  <c r="K141" i="8"/>
  <c r="H25" i="8"/>
  <c r="CW38" i="8"/>
  <c r="P96" i="1"/>
  <c r="BF127" i="8"/>
  <c r="AB73" i="8"/>
  <c r="BT27" i="8"/>
  <c r="BB145" i="8"/>
  <c r="BR56" i="8"/>
  <c r="AK105" i="8"/>
  <c r="AD133" i="8"/>
  <c r="BT47" i="8"/>
  <c r="K124" i="1"/>
  <c r="M65" i="10"/>
  <c r="M77" i="10"/>
  <c r="AF41" i="8"/>
  <c r="AI35" i="8"/>
  <c r="O73" i="8"/>
  <c r="CG56" i="8"/>
  <c r="AF35" i="8"/>
  <c r="CD61" i="8"/>
  <c r="U77" i="8"/>
  <c r="BN125" i="8"/>
  <c r="AV138" i="8"/>
  <c r="AV21" i="8"/>
  <c r="AV22" i="8"/>
  <c r="AV58" i="8"/>
  <c r="AV60" i="8"/>
  <c r="AC44" i="8"/>
  <c r="M47" i="10"/>
  <c r="M101" i="1"/>
  <c r="AV145" i="8"/>
  <c r="CJ59" i="8"/>
  <c r="CJ129" i="8"/>
  <c r="U44" i="8"/>
  <c r="U27" i="8"/>
  <c r="H81" i="1"/>
  <c r="CJ105" i="8"/>
  <c r="Q38" i="8"/>
  <c r="AG58" i="8"/>
  <c r="Z38" i="8"/>
  <c r="BH76" i="8"/>
  <c r="BF105" i="8"/>
  <c r="AH106" i="8"/>
  <c r="AN38" i="8"/>
  <c r="AE73" i="8"/>
  <c r="S106" i="8"/>
  <c r="DB125" i="8"/>
  <c r="M56" i="8"/>
  <c r="CE25" i="8"/>
  <c r="T75" i="8"/>
  <c r="T141" i="8"/>
  <c r="CW125" i="8"/>
  <c r="CW130" i="8"/>
  <c r="BF103" i="8"/>
  <c r="CR21" i="8"/>
  <c r="CR22" i="8"/>
  <c r="CR125" i="8"/>
  <c r="L135" i="8"/>
  <c r="L136" i="8"/>
  <c r="L138" i="8"/>
  <c r="L21" i="8"/>
  <c r="L22" i="8"/>
  <c r="L125" i="8"/>
  <c r="L130" i="8"/>
  <c r="CJ143" i="8"/>
  <c r="AH58" i="8"/>
  <c r="AH60" i="8"/>
  <c r="AI59" i="8"/>
  <c r="Q103" i="8"/>
  <c r="AK75" i="8"/>
  <c r="AK141" i="8"/>
  <c r="AB75" i="8"/>
  <c r="AB141" i="8"/>
  <c r="AB146" i="8"/>
  <c r="AW38" i="8"/>
  <c r="V38" i="8"/>
  <c r="AP105" i="8"/>
  <c r="CO38" i="8"/>
  <c r="R106" i="8"/>
  <c r="BT38" i="8"/>
  <c r="BU127" i="8"/>
  <c r="BZ106" i="8"/>
  <c r="CY76" i="8"/>
  <c r="CA76" i="8"/>
  <c r="CL76" i="8"/>
  <c r="CD76" i="8"/>
  <c r="CX76" i="8"/>
  <c r="CO76" i="8"/>
  <c r="AT127" i="8"/>
  <c r="AU28" i="8"/>
  <c r="BY25" i="8"/>
  <c r="BA47" i="8"/>
  <c r="AK44" i="8"/>
  <c r="CV25" i="8"/>
  <c r="CG75" i="8"/>
  <c r="CG141" i="8"/>
  <c r="CG146" i="8"/>
  <c r="Q75" i="8"/>
  <c r="Q141" i="8"/>
  <c r="Q146" i="8"/>
  <c r="AC138" i="8"/>
  <c r="AC21" i="8"/>
  <c r="AC22" i="8"/>
  <c r="AC125" i="8"/>
  <c r="AC130" i="8"/>
  <c r="AP58" i="8"/>
  <c r="CF77" i="8"/>
  <c r="AJ77" i="8"/>
  <c r="AJ157" i="8"/>
  <c r="AJ158" i="8"/>
  <c r="CR75" i="8"/>
  <c r="X75" i="8"/>
  <c r="X141" i="8"/>
  <c r="X146" i="8"/>
  <c r="CT125" i="8"/>
  <c r="CO58" i="8"/>
  <c r="CO60" i="8"/>
  <c r="BU129" i="8"/>
  <c r="BR127" i="8"/>
  <c r="CD56" i="8"/>
  <c r="R35" i="8"/>
  <c r="M67" i="10"/>
  <c r="M69" i="10"/>
  <c r="M75" i="10"/>
  <c r="CG27" i="8"/>
  <c r="U21" i="8"/>
  <c r="U22" i="8"/>
  <c r="U58" i="8"/>
  <c r="U60" i="8"/>
  <c r="V59" i="8"/>
  <c r="V129" i="8"/>
  <c r="BO27" i="8"/>
  <c r="BF73" i="8"/>
  <c r="T56" i="8"/>
  <c r="CN28" i="8"/>
  <c r="CI77" i="8"/>
  <c r="CI157" i="8"/>
  <c r="CI158" i="8"/>
  <c r="BD103" i="8"/>
  <c r="Y75" i="8"/>
  <c r="Y141" i="8"/>
  <c r="DA58" i="8"/>
  <c r="DA60" i="8"/>
  <c r="DB59" i="8"/>
  <c r="DB129" i="8"/>
  <c r="CZ145" i="8"/>
  <c r="V136" i="8"/>
  <c r="V138" i="8"/>
  <c r="V21" i="8"/>
  <c r="V22" i="8"/>
  <c r="V125" i="8"/>
  <c r="V130" i="8"/>
  <c r="V133" i="8"/>
  <c r="V28" i="8"/>
  <c r="CV61" i="8"/>
  <c r="CE136" i="8"/>
  <c r="CE138" i="8"/>
  <c r="CE21" i="8"/>
  <c r="CE22" i="8"/>
  <c r="CE125" i="8"/>
  <c r="CE130" i="8"/>
  <c r="CE133" i="8"/>
  <c r="Q124" i="1"/>
  <c r="Q127" i="1"/>
  <c r="CL38" i="8"/>
  <c r="AR105" i="8"/>
  <c r="H75" i="1"/>
  <c r="H76" i="1"/>
  <c r="H112" i="1"/>
  <c r="H114" i="1"/>
  <c r="I113" i="1"/>
  <c r="R89" i="1"/>
  <c r="S89" i="1"/>
  <c r="BW47" i="8"/>
  <c r="P125" i="1"/>
  <c r="K127" i="1"/>
  <c r="L57" i="10"/>
  <c r="L74" i="10"/>
  <c r="Z54" i="8"/>
  <c r="Q96" i="1"/>
  <c r="CM105" i="8"/>
  <c r="CM143" i="8"/>
  <c r="BP145" i="8"/>
  <c r="R38" i="8"/>
  <c r="BP105" i="8"/>
  <c r="AH105" i="8"/>
  <c r="CF135" i="8"/>
  <c r="CF136" i="8"/>
  <c r="CF138" i="8"/>
  <c r="CF21" i="8"/>
  <c r="CF22" i="8"/>
  <c r="CF58" i="8"/>
  <c r="CF60" i="8"/>
  <c r="K103" i="8"/>
  <c r="V61" i="8"/>
  <c r="CN145" i="8"/>
  <c r="AA73" i="8"/>
  <c r="AN106" i="8"/>
  <c r="Q106" i="8"/>
  <c r="E92" i="1"/>
  <c r="AC143" i="8"/>
  <c r="CF143" i="8"/>
  <c r="BA105" i="8"/>
  <c r="U105" i="8"/>
  <c r="CF125" i="8"/>
  <c r="CF130" i="8"/>
  <c r="CF133" i="8"/>
  <c r="CG38" i="8"/>
  <c r="CB58" i="8"/>
  <c r="CB60" i="8"/>
  <c r="CC59" i="8"/>
  <c r="AN59" i="8"/>
  <c r="AT38" i="8"/>
  <c r="AK135" i="8"/>
  <c r="AK136" i="8"/>
  <c r="AK138" i="8"/>
  <c r="AK21" i="8"/>
  <c r="AK22" i="8"/>
  <c r="AK58" i="8"/>
  <c r="AK60" i="8"/>
  <c r="P105" i="8"/>
  <c r="P143" i="8"/>
  <c r="S136" i="8"/>
  <c r="S138" i="8"/>
  <c r="S21" i="8"/>
  <c r="S22" i="8"/>
  <c r="S58" i="8"/>
  <c r="S60" i="8"/>
  <c r="T59" i="8"/>
  <c r="T129" i="8"/>
  <c r="CU61" i="8"/>
  <c r="Y103" i="8"/>
  <c r="CH105" i="8"/>
  <c r="CE145" i="8"/>
  <c r="CM106" i="8"/>
  <c r="AM106" i="8"/>
  <c r="J38" i="8"/>
  <c r="R105" i="8"/>
  <c r="S38" i="8"/>
  <c r="BA106" i="8"/>
  <c r="AV38" i="8"/>
  <c r="BB127" i="8"/>
  <c r="BU56" i="8"/>
  <c r="CQ38" i="8"/>
  <c r="G92" i="1"/>
  <c r="AD47" i="8"/>
  <c r="CN44" i="8"/>
  <c r="BA44" i="8"/>
  <c r="L44" i="8"/>
  <c r="CQ44" i="8"/>
  <c r="T25" i="8"/>
  <c r="CF27" i="8"/>
  <c r="BR27" i="8"/>
  <c r="R57" i="10"/>
  <c r="R74" i="10"/>
  <c r="BJ54" i="8"/>
  <c r="N108" i="1"/>
  <c r="N145" i="1"/>
  <c r="N125" i="1"/>
  <c r="P57" i="10"/>
  <c r="P74" i="10"/>
  <c r="AX54" i="8"/>
  <c r="L108" i="1"/>
  <c r="L125" i="1"/>
  <c r="L71" i="10"/>
  <c r="L72" i="10"/>
  <c r="L78" i="10"/>
  <c r="Z42" i="8"/>
  <c r="H96" i="1"/>
  <c r="CR27" i="8"/>
  <c r="L81" i="1"/>
  <c r="P58" i="8"/>
  <c r="P60" i="8"/>
  <c r="CY104" i="8"/>
  <c r="CZ102" i="8"/>
  <c r="CZ104" i="8"/>
  <c r="DA102" i="8"/>
  <c r="DA105" i="8"/>
  <c r="DA143" i="8"/>
  <c r="BD106" i="8"/>
  <c r="H56" i="8"/>
  <c r="BA21" i="8"/>
  <c r="BA22" i="8"/>
  <c r="BA58" i="8"/>
  <c r="BA60" i="8"/>
  <c r="BB59" i="8"/>
  <c r="BB129" i="8"/>
  <c r="W60" i="8"/>
  <c r="X59" i="8"/>
  <c r="CG59" i="8"/>
  <c r="CG129" i="8"/>
  <c r="CX105" i="8"/>
  <c r="CX143" i="8"/>
  <c r="CK133" i="8"/>
  <c r="AY58" i="8"/>
  <c r="AY60" i="8"/>
  <c r="AZ59" i="8"/>
  <c r="AZ129" i="8"/>
  <c r="X106" i="8"/>
  <c r="AZ103" i="8"/>
  <c r="P106" i="8"/>
  <c r="W106" i="8"/>
  <c r="CO106" i="8"/>
  <c r="AC106" i="8"/>
  <c r="CM76" i="8"/>
  <c r="BY27" i="8"/>
  <c r="Z27" i="8"/>
  <c r="Q28" i="8"/>
  <c r="BZ27" i="8"/>
  <c r="AE145" i="8"/>
  <c r="BO61" i="8"/>
  <c r="J63" i="10"/>
  <c r="J67" i="10"/>
  <c r="J71" i="10"/>
  <c r="J72" i="10"/>
  <c r="J78" i="10"/>
  <c r="N42" i="8"/>
  <c r="F42" i="8"/>
  <c r="CV56" i="8"/>
  <c r="AW21" i="8"/>
  <c r="AW22" i="8"/>
  <c r="AW58" i="8"/>
  <c r="AW60" i="8"/>
  <c r="AX59" i="8"/>
  <c r="AX129" i="8"/>
  <c r="CG77" i="8"/>
  <c r="F44" i="8"/>
  <c r="BX28" i="8"/>
  <c r="Q77" i="10"/>
  <c r="BD41" i="8"/>
  <c r="M95" i="1"/>
  <c r="M126" i="1"/>
  <c r="BS145" i="8"/>
  <c r="P103" i="8"/>
  <c r="BS103" i="8"/>
  <c r="T127" i="8"/>
  <c r="BH27" i="8"/>
  <c r="L47" i="10"/>
  <c r="L48" i="10"/>
  <c r="Z52" i="8"/>
  <c r="AS60" i="8"/>
  <c r="DB61" i="8"/>
  <c r="AA61" i="8"/>
  <c r="CC106" i="8"/>
  <c r="AO76" i="8"/>
  <c r="O61" i="10"/>
  <c r="CJ106" i="8"/>
  <c r="U69" i="10"/>
  <c r="U75" i="10"/>
  <c r="CB55" i="8"/>
  <c r="Q109" i="1"/>
  <c r="Q135" i="1"/>
  <c r="S147" i="1"/>
  <c r="BQ25" i="8"/>
  <c r="BN73" i="8"/>
  <c r="CR61" i="8"/>
  <c r="BN44" i="8"/>
  <c r="BW75" i="8"/>
  <c r="BY125" i="8"/>
  <c r="BF77" i="8"/>
  <c r="CG145" i="8"/>
  <c r="CG73" i="8"/>
  <c r="BY130" i="8"/>
  <c r="BY133" i="8"/>
  <c r="BV25" i="8"/>
  <c r="BH47" i="8"/>
  <c r="Y44" i="8"/>
  <c r="BD141" i="8"/>
  <c r="CU145" i="8"/>
  <c r="CM35" i="8"/>
  <c r="AH35" i="8"/>
  <c r="CV60" i="8"/>
  <c r="BL60" i="8"/>
  <c r="BZ127" i="8"/>
  <c r="O57" i="10"/>
  <c r="O74" i="10"/>
  <c r="AR54" i="8"/>
  <c r="K108" i="1"/>
  <c r="BZ56" i="8"/>
  <c r="AX27" i="8"/>
  <c r="AR61" i="8"/>
  <c r="R67" i="10"/>
  <c r="R69" i="10"/>
  <c r="R75" i="10"/>
  <c r="BJ55" i="8"/>
  <c r="N109" i="1"/>
  <c r="I77" i="8"/>
  <c r="I157" i="8"/>
  <c r="I158" i="8"/>
  <c r="F159" i="8"/>
  <c r="D117" i="1"/>
  <c r="AJ146" i="8"/>
  <c r="BR145" i="8"/>
  <c r="BC157" i="8"/>
  <c r="AB105" i="8"/>
  <c r="CV130" i="8"/>
  <c r="CB106" i="8"/>
  <c r="CP27" i="8"/>
  <c r="AJ38" i="8"/>
  <c r="AZ125" i="8"/>
  <c r="AZ130" i="8"/>
  <c r="BS73" i="8"/>
  <c r="CN47" i="8"/>
  <c r="AJ27" i="8"/>
  <c r="BO143" i="8"/>
  <c r="AC133" i="8"/>
  <c r="O143" i="1"/>
  <c r="CD130" i="8"/>
  <c r="CN77" i="8"/>
  <c r="CN157" i="8"/>
  <c r="CN158" i="8"/>
  <c r="S116" i="1"/>
  <c r="W117" i="1"/>
  <c r="O137" i="1"/>
  <c r="G137" i="1"/>
  <c r="W72" i="10"/>
  <c r="W78" i="10"/>
  <c r="CN42" i="8"/>
  <c r="S96" i="1"/>
  <c r="AL75" i="8"/>
  <c r="AL141" i="8"/>
  <c r="AL146" i="8"/>
  <c r="L75" i="8"/>
  <c r="L141" i="8"/>
  <c r="L146" i="8"/>
  <c r="CL105" i="8"/>
  <c r="CL143" i="8"/>
  <c r="BK75" i="8"/>
  <c r="BK141" i="8"/>
  <c r="BK146" i="8"/>
  <c r="AR145" i="8"/>
  <c r="BZ105" i="8"/>
  <c r="AJ105" i="8"/>
  <c r="CN125" i="8"/>
  <c r="CN130" i="8"/>
  <c r="BX60" i="8"/>
  <c r="BY59" i="8"/>
  <c r="BY129" i="8"/>
  <c r="CR105" i="8"/>
  <c r="X105" i="8"/>
  <c r="BQ22" i="8"/>
  <c r="BQ58" i="8"/>
  <c r="BQ60" i="8"/>
  <c r="BR59" i="8"/>
  <c r="BL105" i="8"/>
  <c r="H75" i="8"/>
  <c r="H141" i="8"/>
  <c r="H146" i="8"/>
  <c r="BP125" i="8"/>
  <c r="BP130" i="8"/>
  <c r="BP133" i="8"/>
  <c r="AN58" i="8"/>
  <c r="AJ22" i="8"/>
  <c r="AJ125" i="8"/>
  <c r="AJ130" i="8"/>
  <c r="AJ133" i="8"/>
  <c r="CX38" i="8"/>
  <c r="BX133" i="8"/>
  <c r="AU105" i="8"/>
  <c r="N38" i="8"/>
  <c r="BT145" i="8"/>
  <c r="Z145" i="8"/>
  <c r="CK105" i="8"/>
  <c r="X127" i="8"/>
  <c r="BP38" i="8"/>
  <c r="K135" i="8"/>
  <c r="K136" i="8"/>
  <c r="K138" i="8"/>
  <c r="K21" i="8"/>
  <c r="K22" i="8"/>
  <c r="K58" i="8"/>
  <c r="K60" i="8"/>
  <c r="L59" i="8"/>
  <c r="L129" i="8"/>
  <c r="BW145" i="8"/>
  <c r="AX105" i="8"/>
  <c r="CA56" i="8"/>
  <c r="BB106" i="8"/>
  <c r="BN76" i="8"/>
  <c r="BN56" i="8"/>
  <c r="M47" i="8"/>
  <c r="AZ25" i="8"/>
  <c r="AW127" i="8"/>
  <c r="BM27" i="8"/>
  <c r="CA61" i="8"/>
  <c r="BI143" i="8"/>
  <c r="AD77" i="8"/>
  <c r="AD157" i="8"/>
  <c r="BG27" i="8"/>
  <c r="AU35" i="8"/>
  <c r="CF35" i="8"/>
  <c r="AB56" i="8"/>
  <c r="J69" i="10"/>
  <c r="J75" i="10"/>
  <c r="N55" i="8"/>
  <c r="F109" i="1"/>
  <c r="F135" i="1"/>
  <c r="D135" i="1"/>
  <c r="Q69" i="10"/>
  <c r="Q75" i="10"/>
  <c r="BD55" i="8"/>
  <c r="L124" i="1"/>
  <c r="L128" i="1"/>
  <c r="M57" i="10"/>
  <c r="M74" i="10"/>
  <c r="AF54" i="8"/>
  <c r="I108" i="1"/>
  <c r="J110" i="1"/>
  <c r="T77" i="8"/>
  <c r="T157" i="8"/>
  <c r="T158" i="8"/>
  <c r="BK44" i="8"/>
  <c r="O44" i="8"/>
  <c r="P79" i="1"/>
  <c r="BQ77" i="8"/>
  <c r="BQ157" i="8"/>
  <c r="BG77" i="8"/>
  <c r="BG157" i="8"/>
  <c r="AO158" i="8"/>
  <c r="W77" i="8"/>
  <c r="W157" i="8"/>
  <c r="W158" i="8"/>
  <c r="CV75" i="8"/>
  <c r="AQ106" i="8"/>
  <c r="AH38" i="8"/>
  <c r="CY77" i="8"/>
  <c r="CY157" i="8"/>
  <c r="AV77" i="8"/>
  <c r="AV157" i="8"/>
  <c r="BI75" i="8"/>
  <c r="O75" i="8"/>
  <c r="O141" i="8"/>
  <c r="O146" i="8"/>
  <c r="AK125" i="8"/>
  <c r="F38" i="8"/>
  <c r="CJ25" i="8"/>
  <c r="AY25" i="8"/>
  <c r="X25" i="8"/>
  <c r="BU25" i="8"/>
  <c r="AT25" i="8"/>
  <c r="CL25" i="8"/>
  <c r="BB25" i="8"/>
  <c r="Z25" i="8"/>
  <c r="CK25" i="8"/>
  <c r="BA25" i="8"/>
  <c r="P25" i="8"/>
  <c r="H61" i="8"/>
  <c r="F22" i="8"/>
  <c r="CS47" i="8"/>
  <c r="BF47" i="8"/>
  <c r="AH47" i="8"/>
  <c r="CE47" i="8"/>
  <c r="AI47" i="8"/>
  <c r="R47" i="8"/>
  <c r="Q47" i="8"/>
  <c r="BL47" i="8"/>
  <c r="AF47" i="8"/>
  <c r="CA47" i="8"/>
  <c r="CX47" i="8"/>
  <c r="V47" i="8"/>
  <c r="AR47" i="8"/>
  <c r="BG44" i="8"/>
  <c r="T44" i="8"/>
  <c r="CM44" i="8"/>
  <c r="CL44" i="8"/>
  <c r="DB44" i="8"/>
  <c r="CF44" i="8"/>
  <c r="AT44" i="8"/>
  <c r="AV44" i="8"/>
  <c r="BH25" i="8"/>
  <c r="L25" i="8"/>
  <c r="V68" i="10"/>
  <c r="H36" i="10"/>
  <c r="M48" i="10"/>
  <c r="AF52" i="8"/>
  <c r="I106" i="1"/>
  <c r="I134" i="1"/>
  <c r="I137" i="1"/>
  <c r="P147" i="1"/>
  <c r="N144" i="1"/>
  <c r="N147" i="1"/>
  <c r="L95" i="1"/>
  <c r="M144" i="1"/>
  <c r="M147" i="1"/>
  <c r="S95" i="1"/>
  <c r="BU77" i="8"/>
  <c r="BU157" i="8"/>
  <c r="BU158" i="8"/>
  <c r="BA77" i="8"/>
  <c r="BA157" i="8"/>
  <c r="BA158" i="8"/>
  <c r="CX141" i="8"/>
  <c r="AX75" i="8"/>
  <c r="AX141" i="8"/>
  <c r="AX146" i="8"/>
  <c r="AC75" i="8"/>
  <c r="AC141" i="8"/>
  <c r="AC146" i="8"/>
  <c r="CB143" i="8"/>
  <c r="T105" i="8"/>
  <c r="U125" i="8"/>
  <c r="U130" i="8"/>
  <c r="AM44" i="8"/>
  <c r="L79" i="1"/>
  <c r="CA130" i="8"/>
  <c r="Y125" i="8"/>
  <c r="BC58" i="8"/>
  <c r="BC60" i="8"/>
  <c r="BD59" i="8"/>
  <c r="AA58" i="8"/>
  <c r="AA60" i="8"/>
  <c r="AB59" i="8"/>
  <c r="S59" i="8"/>
  <c r="BJ35" i="8"/>
  <c r="K77" i="8"/>
  <c r="CT141" i="8"/>
  <c r="CT146" i="8"/>
  <c r="CJ135" i="8"/>
  <c r="CJ136" i="8"/>
  <c r="CJ138" i="8"/>
  <c r="CJ21" i="8"/>
  <c r="CJ22" i="8"/>
  <c r="CJ125" i="8"/>
  <c r="CJ130" i="8"/>
  <c r="U43" i="10"/>
  <c r="V41" i="10"/>
  <c r="V43" i="10"/>
  <c r="S69" i="10"/>
  <c r="S75" i="10"/>
  <c r="BP55" i="8"/>
  <c r="O109" i="1"/>
  <c r="AK25" i="8"/>
  <c r="I28" i="8"/>
  <c r="CU25" i="8"/>
  <c r="BO130" i="8"/>
  <c r="CA75" i="8"/>
  <c r="CA141" i="8"/>
  <c r="CA146" i="8"/>
  <c r="AG105" i="8"/>
  <c r="AK130" i="8"/>
  <c r="BH58" i="8"/>
  <c r="BH60" i="8"/>
  <c r="BI59" i="8"/>
  <c r="AN60" i="8"/>
  <c r="AO59" i="8"/>
  <c r="AO129" i="8"/>
  <c r="Q57" i="10"/>
  <c r="Q74" i="10"/>
  <c r="BD54" i="8"/>
  <c r="M108" i="1"/>
  <c r="M145" i="1"/>
  <c r="CC77" i="8"/>
  <c r="CC157" i="8"/>
  <c r="CC158" i="8"/>
  <c r="DA75" i="8"/>
  <c r="DA141" i="8"/>
  <c r="DA146" i="8"/>
  <c r="CF75" i="8"/>
  <c r="CF141" i="8"/>
  <c r="CF146" i="8"/>
  <c r="BF75" i="8"/>
  <c r="BH105" i="8"/>
  <c r="BY146" i="8"/>
  <c r="CC105" i="8"/>
  <c r="AZ105" i="8"/>
  <c r="AP133" i="8"/>
  <c r="AL143" i="8"/>
  <c r="I28" i="1"/>
  <c r="BM77" i="8"/>
  <c r="BM157" i="8"/>
  <c r="BM158" i="8"/>
  <c r="CO105" i="8"/>
  <c r="BK143" i="8"/>
  <c r="AR125" i="8"/>
  <c r="AI133" i="8"/>
  <c r="CH145" i="8"/>
  <c r="BW125" i="8"/>
  <c r="BW130" i="8"/>
  <c r="AG125" i="8"/>
  <c r="AR38" i="8"/>
  <c r="O27" i="8"/>
  <c r="CH125" i="8"/>
  <c r="CH130" i="8"/>
  <c r="BS58" i="8"/>
  <c r="BS60" i="8"/>
  <c r="BT59" i="8"/>
  <c r="L92" i="1"/>
  <c r="CR106" i="8"/>
  <c r="BA38" i="8"/>
  <c r="AQ145" i="8"/>
  <c r="CP105" i="8"/>
  <c r="AE105" i="8"/>
  <c r="M105" i="8"/>
  <c r="CM56" i="8"/>
  <c r="V103" i="8"/>
  <c r="AA127" i="8"/>
  <c r="BJ127" i="8"/>
  <c r="CJ103" i="8"/>
  <c r="CE76" i="8"/>
  <c r="BX76" i="8"/>
  <c r="BW73" i="8"/>
  <c r="CI73" i="8"/>
  <c r="CH106" i="8"/>
  <c r="CE73" i="8"/>
  <c r="BM73" i="8"/>
  <c r="BO28" i="8"/>
  <c r="AV25" i="8"/>
  <c r="BF25" i="8"/>
  <c r="BD25" i="8"/>
  <c r="BH127" i="8"/>
  <c r="BI47" i="8"/>
  <c r="M53" i="1"/>
  <c r="BO44" i="8"/>
  <c r="BI44" i="8"/>
  <c r="BU44" i="8"/>
  <c r="AF44" i="8"/>
  <c r="AK27" i="8"/>
  <c r="CV27" i="8"/>
  <c r="M27" i="8"/>
  <c r="T68" i="10"/>
  <c r="N127" i="1"/>
  <c r="CK28" i="8"/>
  <c r="BB27" i="8"/>
  <c r="L145" i="1"/>
  <c r="T69" i="10"/>
  <c r="T75" i="10"/>
  <c r="L110" i="1"/>
  <c r="E151" i="1"/>
  <c r="CD145" i="8"/>
  <c r="BI141" i="8"/>
  <c r="AZ75" i="8"/>
  <c r="AZ141" i="8"/>
  <c r="AZ146" i="8"/>
  <c r="BK25" i="8"/>
  <c r="O79" i="1"/>
  <c r="O82" i="1"/>
  <c r="AY105" i="8"/>
  <c r="AY143" i="8"/>
  <c r="N92" i="1"/>
  <c r="BD145" i="8"/>
  <c r="S145" i="8"/>
  <c r="BI76" i="8"/>
  <c r="DB103" i="8"/>
  <c r="AP103" i="8"/>
  <c r="BZ76" i="8"/>
  <c r="AS56" i="8"/>
  <c r="BT56" i="8"/>
  <c r="CL106" i="8"/>
  <c r="BF106" i="8"/>
  <c r="BY106" i="8"/>
  <c r="BM106" i="8"/>
  <c r="Y106" i="8"/>
  <c r="BQ103" i="8"/>
  <c r="S73" i="8"/>
  <c r="P27" i="8"/>
  <c r="AK133" i="8"/>
  <c r="AB145" i="8"/>
  <c r="AS28" i="8"/>
  <c r="AQ47" i="8"/>
  <c r="K128" i="1"/>
  <c r="CV141" i="8"/>
  <c r="AN157" i="8"/>
  <c r="N89" i="1"/>
  <c r="BQ127" i="8"/>
  <c r="AT106" i="8"/>
  <c r="V44" i="8"/>
  <c r="DA145" i="8"/>
  <c r="F55" i="8"/>
  <c r="BZ59" i="8"/>
  <c r="AC28" i="8"/>
  <c r="AK143" i="8"/>
  <c r="P126" i="1"/>
  <c r="I95" i="1"/>
  <c r="O77" i="10"/>
  <c r="AR41" i="8"/>
  <c r="AR126" i="8"/>
  <c r="M103" i="8"/>
  <c r="F76" i="8"/>
  <c r="F54" i="8"/>
  <c r="Y127" i="8"/>
  <c r="S136" i="1"/>
  <c r="X73" i="8"/>
  <c r="CR58" i="8"/>
  <c r="CR60" i="8"/>
  <c r="CS59" i="8"/>
  <c r="CS129" i="8"/>
  <c r="L103" i="8"/>
  <c r="BQ125" i="8"/>
  <c r="BQ130" i="8"/>
  <c r="BQ133" i="8"/>
  <c r="AX127" i="8"/>
  <c r="BJ58" i="8"/>
  <c r="BJ60" i="8"/>
  <c r="BK59" i="8"/>
  <c r="BK129" i="8"/>
  <c r="BV28" i="8"/>
  <c r="CH54" i="8"/>
  <c r="R108" i="1"/>
  <c r="R145" i="1"/>
  <c r="Y143" i="8"/>
  <c r="AA145" i="8"/>
  <c r="H127" i="8"/>
  <c r="T128" i="8"/>
  <c r="AG56" i="8"/>
  <c r="BN130" i="8"/>
  <c r="BN133" i="8"/>
  <c r="AT56" i="8"/>
  <c r="BO56" i="8"/>
  <c r="AL76" i="8"/>
  <c r="S68" i="10"/>
  <c r="BR73" i="8"/>
  <c r="CH61" i="8"/>
  <c r="AG73" i="8"/>
  <c r="AD158" i="8"/>
  <c r="N113" i="1"/>
  <c r="BE145" i="8"/>
  <c r="J144" i="1"/>
  <c r="J148" i="1"/>
  <c r="S61" i="10"/>
  <c r="S138" i="1"/>
  <c r="L134" i="1"/>
  <c r="L137" i="1"/>
  <c r="J127" i="1"/>
  <c r="F52" i="8"/>
  <c r="AM76" i="8"/>
  <c r="J65" i="10"/>
  <c r="J77" i="10"/>
  <c r="N41" i="8"/>
  <c r="N126" i="8"/>
  <c r="AJ56" i="8"/>
  <c r="I128" i="1"/>
  <c r="BF141" i="8"/>
  <c r="BF146" i="8"/>
  <c r="AE75" i="8"/>
  <c r="AE141" i="8"/>
  <c r="AE146" i="8"/>
  <c r="Q128" i="1"/>
  <c r="Y28" i="8"/>
  <c r="BV55" i="8"/>
  <c r="P109" i="1"/>
  <c r="P135" i="1"/>
  <c r="AB125" i="8"/>
  <c r="AB130" i="8"/>
  <c r="AB133" i="8"/>
  <c r="Q125" i="1"/>
  <c r="J138" i="1"/>
  <c r="O146" i="1"/>
  <c r="T56" i="10"/>
  <c r="M61" i="10"/>
  <c r="AJ127" i="8"/>
  <c r="AJ103" i="8"/>
  <c r="AM35" i="8"/>
  <c r="K89" i="1"/>
  <c r="K110" i="1"/>
  <c r="BO133" i="8"/>
  <c r="AU157" i="8"/>
  <c r="AU158" i="8"/>
  <c r="AN129" i="8"/>
  <c r="Q59" i="8"/>
  <c r="Q129" i="8"/>
  <c r="DA104" i="8"/>
  <c r="DB102" i="8"/>
  <c r="DB105" i="8"/>
  <c r="DB143" i="8"/>
  <c r="Q92" i="1"/>
  <c r="AY28" i="8"/>
  <c r="M79" i="1"/>
  <c r="M82" i="1"/>
  <c r="T143" i="8"/>
  <c r="T146" i="8"/>
  <c r="AI129" i="8"/>
  <c r="BR77" i="8"/>
  <c r="BR157" i="8"/>
  <c r="BR158" i="8"/>
  <c r="BU103" i="8"/>
  <c r="BV125" i="8"/>
  <c r="BV130" i="8"/>
  <c r="BV133" i="8"/>
  <c r="S126" i="1"/>
  <c r="BD128" i="8"/>
  <c r="CP59" i="8"/>
  <c r="CP129" i="8"/>
  <c r="CE58" i="8"/>
  <c r="CE60" i="8"/>
  <c r="CF59" i="8"/>
  <c r="CF129" i="8"/>
  <c r="K61" i="8"/>
  <c r="CL73" i="8"/>
  <c r="CM60" i="8"/>
  <c r="CN59" i="8"/>
  <c r="CN129" i="8"/>
  <c r="BR141" i="8"/>
  <c r="BR146" i="8"/>
  <c r="AR143" i="8"/>
  <c r="M96" i="1"/>
  <c r="M136" i="1"/>
  <c r="Q101" i="1"/>
  <c r="AE28" i="8"/>
  <c r="AR73" i="8"/>
  <c r="P82" i="1"/>
  <c r="CB145" i="8"/>
  <c r="CS28" i="8"/>
  <c r="U143" i="8"/>
  <c r="H136" i="1"/>
  <c r="CQ103" i="8"/>
  <c r="S127" i="1"/>
  <c r="G95" i="1"/>
  <c r="G126" i="1"/>
  <c r="M125" i="1"/>
  <c r="F138" i="1"/>
  <c r="BW141" i="8"/>
  <c r="BW146" i="8"/>
  <c r="BC145" i="8"/>
  <c r="CS61" i="8"/>
  <c r="G146" i="1"/>
  <c r="AM145" i="8"/>
  <c r="AF130" i="8"/>
  <c r="AF133" i="8"/>
  <c r="Z146" i="8"/>
  <c r="CK58" i="8"/>
  <c r="CK60" i="8"/>
  <c r="CL59" i="8"/>
  <c r="CL129" i="8"/>
  <c r="X56" i="8"/>
  <c r="BG103" i="8"/>
  <c r="CK73" i="8"/>
  <c r="AB61" i="8"/>
  <c r="BW56" i="8"/>
  <c r="AQ56" i="8"/>
  <c r="AM125" i="8"/>
  <c r="AM130" i="8"/>
  <c r="AM133" i="8"/>
  <c r="AE127" i="8"/>
  <c r="AP127" i="8"/>
  <c r="BV73" i="8"/>
  <c r="R28" i="8"/>
  <c r="V69" i="10"/>
  <c r="V75" i="10"/>
  <c r="CH55" i="8"/>
  <c r="R109" i="1"/>
  <c r="R135" i="1"/>
  <c r="CM73" i="8"/>
  <c r="V73" i="8"/>
  <c r="CY103" i="8"/>
  <c r="BM127" i="8"/>
  <c r="AI28" i="8"/>
  <c r="L61" i="8"/>
  <c r="CA105" i="8"/>
  <c r="CA143" i="8"/>
  <c r="AY145" i="8"/>
  <c r="Z128" i="8"/>
  <c r="BK125" i="8"/>
  <c r="BK130" i="8"/>
  <c r="BK133" i="8"/>
  <c r="CT56" i="8"/>
  <c r="O127" i="8"/>
  <c r="BD73" i="8"/>
  <c r="BP73" i="8"/>
  <c r="K145" i="1"/>
  <c r="AL103" i="8"/>
  <c r="Z105" i="8"/>
  <c r="Z143" i="8"/>
  <c r="BD56" i="8"/>
  <c r="Q61" i="10"/>
  <c r="N114" i="1"/>
  <c r="O113" i="1"/>
  <c r="F41" i="8"/>
  <c r="K61" i="10"/>
  <c r="S128" i="1"/>
  <c r="BC158" i="8"/>
  <c r="K146" i="8"/>
  <c r="AG130" i="8"/>
  <c r="AG133" i="8"/>
  <c r="Q56" i="10"/>
  <c r="P72" i="10"/>
  <c r="P78" i="10"/>
  <c r="AX42" i="8"/>
  <c r="L96" i="1"/>
  <c r="L136" i="1"/>
  <c r="CZ157" i="8"/>
  <c r="CZ158" i="8"/>
  <c r="AH143" i="8"/>
  <c r="J147" i="1"/>
  <c r="R147" i="1"/>
  <c r="CJ146" i="8"/>
  <c r="K59" i="8"/>
  <c r="K129" i="8"/>
  <c r="BA73" i="8"/>
  <c r="AN28" i="8"/>
  <c r="BK73" i="8"/>
  <c r="BK56" i="8"/>
  <c r="AP56" i="8"/>
  <c r="BY73" i="8"/>
  <c r="BO73" i="8"/>
  <c r="T145" i="8"/>
  <c r="U61" i="8"/>
  <c r="BV56" i="8"/>
  <c r="K147" i="1"/>
  <c r="BB103" i="8"/>
  <c r="BG105" i="8"/>
  <c r="BG143" i="8"/>
  <c r="J68" i="10"/>
  <c r="K78" i="10"/>
  <c r="T42" i="8"/>
  <c r="G96" i="1"/>
  <c r="G136" i="1"/>
  <c r="CH133" i="8"/>
  <c r="AB103" i="8"/>
  <c r="AG127" i="8"/>
  <c r="BP127" i="8"/>
  <c r="BH143" i="8"/>
  <c r="CO143" i="8"/>
  <c r="AK145" i="8"/>
  <c r="AZ133" i="8"/>
  <c r="N78" i="10"/>
  <c r="AL42" i="8"/>
  <c r="J96" i="1"/>
  <c r="J136" i="1"/>
  <c r="BB28" i="8"/>
  <c r="M140" i="8"/>
  <c r="CT145" i="8"/>
  <c r="AG129" i="8"/>
  <c r="I73" i="8"/>
  <c r="AP143" i="8"/>
  <c r="L68" i="10"/>
  <c r="CG157" i="8"/>
  <c r="Q125" i="8"/>
  <c r="Q130" i="8"/>
  <c r="Q133" i="8"/>
  <c r="K125" i="1"/>
  <c r="AR130" i="8"/>
  <c r="AR133" i="8"/>
  <c r="AA133" i="8"/>
  <c r="AO127" i="8"/>
  <c r="CB61" i="8"/>
  <c r="I101" i="1"/>
  <c r="AV28" i="8"/>
  <c r="AS75" i="8"/>
  <c r="AS141" i="8"/>
  <c r="AS146" i="8"/>
  <c r="BH28" i="8"/>
  <c r="K98" i="1"/>
  <c r="AR56" i="8"/>
  <c r="CF145" i="8"/>
  <c r="CP157" i="8"/>
  <c r="CP158" i="8"/>
  <c r="BI129" i="8"/>
  <c r="BN59" i="8"/>
  <c r="BN129" i="8"/>
  <c r="CP143" i="8"/>
  <c r="BI56" i="8"/>
  <c r="BL103" i="8"/>
  <c r="CU141" i="8"/>
  <c r="CU146" i="8"/>
  <c r="L28" i="8"/>
  <c r="U133" i="8"/>
  <c r="BD129" i="8"/>
  <c r="AV73" i="8"/>
  <c r="CV28" i="8"/>
  <c r="R65" i="10"/>
  <c r="R77" i="10"/>
  <c r="BJ41" i="8"/>
  <c r="N95" i="1"/>
  <c r="N126" i="1"/>
  <c r="BD126" i="8"/>
  <c r="CZ105" i="8"/>
  <c r="CZ143" i="8"/>
  <c r="CO28" i="8"/>
  <c r="AX143" i="8"/>
  <c r="BG56" i="8"/>
  <c r="AF127" i="8"/>
  <c r="BL28" i="8"/>
  <c r="AH61" i="8"/>
  <c r="CY21" i="8"/>
  <c r="CY22" i="8"/>
  <c r="CY61" i="8"/>
  <c r="BP56" i="8"/>
  <c r="K56" i="10"/>
  <c r="CW77" i="8"/>
  <c r="CW157" i="8"/>
  <c r="CW158" i="8"/>
  <c r="BR38" i="8"/>
  <c r="BE77" i="8"/>
  <c r="H60" i="8"/>
  <c r="I59" i="8"/>
  <c r="L58" i="8"/>
  <c r="L60" i="8"/>
  <c r="CF38" i="8"/>
  <c r="O48" i="1"/>
  <c r="BA127" i="8"/>
  <c r="AO141" i="8"/>
  <c r="CR130" i="8"/>
  <c r="I145" i="8"/>
  <c r="BE157" i="8"/>
  <c r="BE158" i="8"/>
  <c r="CE141" i="8"/>
  <c r="S75" i="8"/>
  <c r="S141" i="8"/>
  <c r="CM38" i="8"/>
  <c r="BZ38" i="8"/>
  <c r="BQ145" i="8"/>
  <c r="BN106" i="8"/>
  <c r="CR76" i="8"/>
  <c r="BR136" i="8"/>
  <c r="BR138" i="8"/>
  <c r="BR21" i="8"/>
  <c r="BR22" i="8"/>
  <c r="BR58" i="8"/>
  <c r="BR60" i="8"/>
  <c r="CA38" i="8"/>
  <c r="CT76" i="8"/>
  <c r="AI56" i="8"/>
  <c r="CH25" i="8"/>
  <c r="CF47" i="8"/>
  <c r="M44" i="8"/>
  <c r="CY44" i="8"/>
  <c r="AH28" i="8"/>
  <c r="CF157" i="8"/>
  <c r="BX157" i="8"/>
  <c r="AB77" i="8"/>
  <c r="CR141" i="8"/>
  <c r="CT130" i="8"/>
  <c r="CB125" i="8"/>
  <c r="CB130" i="8"/>
  <c r="AL125" i="8"/>
  <c r="AL130" i="8"/>
  <c r="AA56" i="8"/>
  <c r="AX56" i="8"/>
  <c r="AS73" i="8"/>
  <c r="Q68" i="10"/>
  <c r="AF55" i="8"/>
  <c r="BU27" i="8"/>
  <c r="AB143" i="8"/>
  <c r="L28" i="1"/>
  <c r="BJ145" i="8"/>
  <c r="W68" i="10"/>
  <c r="W61" i="8"/>
  <c r="CC28" i="8"/>
  <c r="BB77" i="8"/>
  <c r="BB157" i="8"/>
  <c r="BB158" i="8"/>
  <c r="CW75" i="8"/>
  <c r="CW141" i="8"/>
  <c r="CW146" i="8"/>
  <c r="M59" i="8"/>
  <c r="M129" i="8"/>
  <c r="BT76" i="8"/>
  <c r="BJ106" i="8"/>
  <c r="BE106" i="8"/>
  <c r="BN28" i="8"/>
  <c r="AA75" i="8"/>
  <c r="AA141" i="8"/>
  <c r="AA146" i="8"/>
  <c r="H92" i="1"/>
  <c r="BU106" i="8"/>
  <c r="AO106" i="8"/>
  <c r="DB76" i="8"/>
  <c r="BY56" i="8"/>
  <c r="U68" i="10"/>
  <c r="I125" i="8"/>
  <c r="I130" i="8"/>
  <c r="I133" i="8"/>
  <c r="CV77" i="8"/>
  <c r="CV157" i="8"/>
  <c r="CV158" i="8"/>
  <c r="CF158" i="8"/>
  <c r="X129" i="8"/>
  <c r="AI145" i="8"/>
  <c r="F92" i="1"/>
  <c r="AG61" i="8"/>
  <c r="AA28" i="8"/>
  <c r="AB28" i="8"/>
  <c r="E98" i="1"/>
  <c r="L82" i="1"/>
  <c r="L133" i="8"/>
  <c r="BA28" i="8"/>
  <c r="AJ76" i="8"/>
  <c r="V76" i="8"/>
  <c r="AO28" i="8"/>
  <c r="AI77" i="8"/>
  <c r="AI157" i="8"/>
  <c r="AI158" i="8"/>
  <c r="BL125" i="8"/>
  <c r="BL130" i="8"/>
  <c r="BL133" i="8"/>
  <c r="S127" i="8"/>
  <c r="BM103" i="8"/>
  <c r="BX103" i="8"/>
  <c r="AI73" i="8"/>
  <c r="Y73" i="8"/>
  <c r="BT61" i="8"/>
  <c r="AR75" i="8"/>
  <c r="AR141" i="8"/>
  <c r="AR146" i="8"/>
  <c r="AD61" i="8"/>
  <c r="AD145" i="8"/>
  <c r="E141" i="1"/>
  <c r="W126" i="1"/>
  <c r="W134" i="1"/>
  <c r="L98" i="1"/>
  <c r="R98" i="1"/>
  <c r="O92" i="1"/>
  <c r="AJ28" i="8"/>
  <c r="G98" i="1"/>
  <c r="AL133" i="8"/>
  <c r="AR128" i="8"/>
  <c r="CF61" i="8"/>
  <c r="AC61" i="8"/>
  <c r="BA145" i="8"/>
  <c r="BC28" i="8"/>
  <c r="P145" i="8"/>
  <c r="M146" i="1"/>
  <c r="CU28" i="8"/>
  <c r="M148" i="1"/>
  <c r="T73" i="8"/>
  <c r="R92" i="1"/>
  <c r="BK77" i="8"/>
  <c r="BK157" i="8"/>
  <c r="BK158" i="8"/>
  <c r="AK61" i="8"/>
  <c r="CR133" i="8"/>
  <c r="CU130" i="8"/>
  <c r="CU133" i="8"/>
  <c r="BB58" i="8"/>
  <c r="BB60" i="8"/>
  <c r="BC59" i="8"/>
  <c r="BC129" i="8"/>
  <c r="R56" i="10"/>
  <c r="M56" i="10"/>
  <c r="AT28" i="8"/>
  <c r="S125" i="8"/>
  <c r="S130" i="8"/>
  <c r="S133" i="8"/>
  <c r="AO56" i="8"/>
  <c r="AH56" i="8"/>
  <c r="G116" i="1"/>
  <c r="AK28" i="8"/>
  <c r="CP73" i="8"/>
  <c r="BM28" i="8"/>
  <c r="BH145" i="8"/>
  <c r="CE56" i="8"/>
  <c r="BV52" i="8"/>
  <c r="P106" i="1"/>
  <c r="P134" i="1"/>
  <c r="P138" i="1"/>
  <c r="CN75" i="8"/>
  <c r="CN141" i="8"/>
  <c r="CN146" i="8"/>
  <c r="S146" i="1"/>
  <c r="CB133" i="8"/>
  <c r="L127" i="1"/>
  <c r="AU143" i="8"/>
  <c r="V157" i="8"/>
  <c r="V158" i="8"/>
  <c r="BN158" i="8"/>
  <c r="I61" i="8"/>
  <c r="BX158" i="8"/>
  <c r="CT133" i="8"/>
  <c r="CH28" i="8"/>
  <c r="AB76" i="8"/>
  <c r="AK76" i="8"/>
  <c r="CM103" i="8"/>
  <c r="CA103" i="8"/>
  <c r="I129" i="8"/>
  <c r="BZ103" i="8"/>
  <c r="AC59" i="8"/>
  <c r="CT157" i="8"/>
  <c r="CT158" i="8"/>
  <c r="Y157" i="8"/>
  <c r="P157" i="8"/>
  <c r="CH75" i="8"/>
  <c r="DB141" i="8"/>
  <c r="DB146" i="8"/>
  <c r="CI75" i="8"/>
  <c r="AG75" i="8"/>
  <c r="AG141" i="8"/>
  <c r="W75" i="8"/>
  <c r="W141" i="8"/>
  <c r="W146" i="8"/>
  <c r="N75" i="8"/>
  <c r="N141" i="8"/>
  <c r="AA38" i="8"/>
  <c r="BZ157" i="8"/>
  <c r="CM141" i="8"/>
  <c r="BB75" i="8"/>
  <c r="BB141" i="8"/>
  <c r="BB146" i="8"/>
  <c r="M157" i="8"/>
  <c r="M158" i="8"/>
  <c r="BC105" i="8"/>
  <c r="H144" i="1"/>
  <c r="V145" i="8"/>
  <c r="BY77" i="8"/>
  <c r="BY157" i="8"/>
  <c r="BY158" i="8"/>
  <c r="O53" i="1"/>
  <c r="CD77" i="8"/>
  <c r="AE157" i="8"/>
  <c r="CP106" i="8"/>
  <c r="CV73" i="8"/>
  <c r="AR27" i="8"/>
  <c r="W57" i="10"/>
  <c r="W74" i="10"/>
  <c r="CN54" i="8"/>
  <c r="CJ44" i="8"/>
  <c r="DA77" i="8"/>
  <c r="DA157" i="8"/>
  <c r="BZ158" i="8"/>
  <c r="BU75" i="8"/>
  <c r="AT105" i="8"/>
  <c r="BH38" i="8"/>
  <c r="AH75" i="8"/>
  <c r="AH141" i="8"/>
  <c r="N145" i="8"/>
  <c r="BW105" i="8"/>
  <c r="DB25" i="8"/>
  <c r="CM25" i="8"/>
  <c r="BS25" i="8"/>
  <c r="AX47" i="8"/>
  <c r="CU47" i="8"/>
  <c r="AO47" i="8"/>
  <c r="AR44" i="8"/>
  <c r="CO44" i="8"/>
  <c r="S105" i="8"/>
  <c r="AM105" i="8"/>
  <c r="AA27" i="8"/>
  <c r="BM125" i="8"/>
  <c r="BM130" i="8"/>
  <c r="AP73" i="8"/>
  <c r="AE136" i="8"/>
  <c r="AE138" i="8"/>
  <c r="AE21" i="8"/>
  <c r="AE22" i="8"/>
  <c r="AE58" i="8"/>
  <c r="AE60" i="8"/>
  <c r="CK38" i="8"/>
  <c r="CN76" i="8"/>
  <c r="W145" i="8"/>
  <c r="T27" i="8"/>
  <c r="AT125" i="8"/>
  <c r="AT130" i="8"/>
  <c r="BP58" i="8"/>
  <c r="BP60" i="8"/>
  <c r="AV125" i="8"/>
  <c r="BW103" i="8"/>
  <c r="BI157" i="8"/>
  <c r="AG77" i="8"/>
  <c r="X77" i="8"/>
  <c r="BQ105" i="8"/>
  <c r="V65" i="10"/>
  <c r="V77" i="10"/>
  <c r="CH41" i="8"/>
  <c r="AO133" i="8"/>
  <c r="AX126" i="8"/>
  <c r="AN133" i="8"/>
  <c r="AL58" i="8"/>
  <c r="AL60" i="8"/>
  <c r="AM59" i="8"/>
  <c r="N58" i="8"/>
  <c r="CA127" i="8"/>
  <c r="CZ61" i="8"/>
  <c r="CL141" i="8"/>
  <c r="AI141" i="8"/>
  <c r="AG38" i="8"/>
  <c r="BX106" i="8"/>
  <c r="BH106" i="8"/>
  <c r="AR106" i="8"/>
  <c r="AB106" i="8"/>
  <c r="P35" i="8"/>
  <c r="DB35" i="8"/>
  <c r="BL35" i="8"/>
  <c r="AU125" i="8"/>
  <c r="AU130" i="8"/>
  <c r="H106" i="1"/>
  <c r="H134" i="1"/>
  <c r="H137" i="1"/>
  <c r="AU145" i="8"/>
  <c r="CD157" i="8"/>
  <c r="CD158" i="8"/>
  <c r="Q79" i="1"/>
  <c r="BK60" i="8"/>
  <c r="BL59" i="8"/>
  <c r="BL129" i="8"/>
  <c r="M89" i="1"/>
  <c r="CS130" i="8"/>
  <c r="CS133" i="8"/>
  <c r="CQ125" i="8"/>
  <c r="CQ130" i="8"/>
  <c r="CQ133" i="8"/>
  <c r="BR125" i="8"/>
  <c r="BR130" i="8"/>
  <c r="BR133" i="8"/>
  <c r="BI136" i="8"/>
  <c r="BI138" i="8"/>
  <c r="BI21" i="8"/>
  <c r="BI22" i="8"/>
  <c r="BI125" i="8"/>
  <c r="BI130" i="8"/>
  <c r="AQ125" i="8"/>
  <c r="AQ130" i="8"/>
  <c r="Y130" i="8"/>
  <c r="Y133" i="8"/>
  <c r="Q35" i="8"/>
  <c r="CS35" i="8"/>
  <c r="N56" i="8"/>
  <c r="CX58" i="8"/>
  <c r="AX77" i="8"/>
  <c r="AX157" i="8"/>
  <c r="AX158" i="8"/>
  <c r="W69" i="10"/>
  <c r="W75" i="10"/>
  <c r="CN55" i="8"/>
  <c r="CH38" i="8"/>
  <c r="CX59" i="8"/>
  <c r="BT106" i="8"/>
  <c r="CT105" i="8"/>
  <c r="BJ44" i="8"/>
  <c r="I47" i="8"/>
  <c r="BY38" i="8"/>
  <c r="CW44" i="8"/>
  <c r="CK106" i="8"/>
  <c r="BF60" i="8"/>
  <c r="AY157" i="8"/>
  <c r="AP157" i="8"/>
  <c r="BT125" i="8"/>
  <c r="Z35" i="8"/>
  <c r="CE103" i="8"/>
  <c r="AX128" i="8"/>
  <c r="M138" i="1"/>
  <c r="AK38" i="8"/>
  <c r="CN38" i="8"/>
  <c r="AY76" i="8"/>
  <c r="CB38" i="8"/>
  <c r="CF76" i="8"/>
  <c r="M52" i="1"/>
  <c r="CP44" i="8"/>
  <c r="CE27" i="8"/>
  <c r="BK106" i="8"/>
  <c r="CH76" i="8"/>
  <c r="BS56" i="8"/>
  <c r="CS106" i="8"/>
  <c r="AN27" i="8"/>
  <c r="AV27" i="8"/>
  <c r="T47" i="8"/>
  <c r="CG44" i="8"/>
  <c r="AN44" i="8"/>
  <c r="M28" i="1"/>
  <c r="BH77" i="8"/>
  <c r="CB141" i="8"/>
  <c r="AN75" i="8"/>
  <c r="CW35" i="8"/>
  <c r="BC133" i="8"/>
  <c r="D134" i="1"/>
  <c r="BA125" i="8"/>
  <c r="BA130" i="8"/>
  <c r="Z125" i="8"/>
  <c r="BW77" i="8"/>
  <c r="CT47" i="8"/>
  <c r="BO47" i="8"/>
  <c r="BY47" i="8"/>
  <c r="BD77" i="8"/>
  <c r="CQ28" i="8"/>
  <c r="CS44" i="8"/>
  <c r="J106" i="8"/>
  <c r="X38" i="8"/>
  <c r="BF130" i="8"/>
  <c r="BE25" i="8"/>
  <c r="AL61" i="8"/>
  <c r="BW76" i="8"/>
  <c r="CV105" i="8"/>
  <c r="CV143" i="8"/>
  <c r="AQ27" i="8"/>
  <c r="BP143" i="8"/>
  <c r="CS76" i="8"/>
  <c r="BE76" i="8"/>
  <c r="CN35" i="8"/>
  <c r="AY27" i="8"/>
  <c r="AM141" i="8"/>
  <c r="CS38" i="8"/>
  <c r="N128" i="8"/>
  <c r="AK146" i="8"/>
  <c r="W25" i="8"/>
  <c r="H27" i="8"/>
  <c r="N25" i="8"/>
  <c r="CG47" i="8"/>
  <c r="CH44" i="8"/>
  <c r="O68" i="10"/>
  <c r="BW61" i="8"/>
  <c r="CI130" i="8"/>
  <c r="BV61" i="8"/>
  <c r="S61" i="8"/>
  <c r="CU35" i="8"/>
  <c r="BY105" i="8"/>
  <c r="AS61" i="8"/>
  <c r="BF61" i="8"/>
  <c r="CK61" i="8"/>
  <c r="AA129" i="8"/>
  <c r="AP25" i="8"/>
  <c r="CD47" i="8"/>
  <c r="CK44" i="8"/>
  <c r="F89" i="1"/>
  <c r="R71" i="10"/>
  <c r="R72" i="10"/>
  <c r="R78" i="10"/>
  <c r="BJ42" i="8"/>
  <c r="BD28" i="8"/>
  <c r="CU27" i="8"/>
  <c r="X27" i="8"/>
  <c r="AF28" i="8"/>
  <c r="CD27" i="8"/>
  <c r="CI105" i="8"/>
  <c r="AN105" i="8"/>
  <c r="BT25" i="8"/>
  <c r="CT25" i="8"/>
  <c r="DB47" i="8"/>
  <c r="AN47" i="8"/>
  <c r="AG103" i="1"/>
  <c r="G60" i="10"/>
  <c r="I27" i="8"/>
  <c r="CD75" i="8"/>
  <c r="CD141" i="8"/>
  <c r="K125" i="8"/>
  <c r="H108" i="1"/>
  <c r="E79" i="1"/>
  <c r="E82" i="1"/>
  <c r="BJ105" i="8"/>
  <c r="DB58" i="8"/>
  <c r="CX61" i="8"/>
  <c r="AF38" i="8"/>
  <c r="N135" i="1"/>
  <c r="N101" i="1"/>
  <c r="AD28" i="8"/>
  <c r="CV127" i="8"/>
  <c r="W44" i="8"/>
  <c r="BJ141" i="8"/>
  <c r="CP127" i="8"/>
  <c r="BY61" i="8"/>
  <c r="W41" i="10"/>
  <c r="W43" i="10"/>
  <c r="W56" i="10"/>
  <c r="AH103" i="8"/>
  <c r="N110" i="1"/>
  <c r="AT103" i="8"/>
  <c r="AW103" i="8"/>
  <c r="S60" i="10"/>
  <c r="CJ58" i="8"/>
  <c r="CJ60" i="8"/>
  <c r="CZ28" i="8"/>
  <c r="O124" i="1"/>
  <c r="R127" i="1"/>
  <c r="AX125" i="8"/>
  <c r="AX130" i="8"/>
  <c r="AX133" i="8"/>
  <c r="CX60" i="8"/>
  <c r="BZ58" i="8"/>
  <c r="BZ60" i="8"/>
  <c r="CA59" i="8"/>
  <c r="BA56" i="8"/>
  <c r="CH35" i="8"/>
  <c r="AN35" i="8"/>
  <c r="BS141" i="8"/>
  <c r="BS146" i="8"/>
  <c r="AC35" i="8"/>
  <c r="AM28" i="8"/>
  <c r="DA76" i="8"/>
  <c r="AW76" i="8"/>
  <c r="DA61" i="8"/>
  <c r="BE61" i="8"/>
  <c r="AO61" i="8"/>
  <c r="Q61" i="8"/>
  <c r="BH56" i="8"/>
  <c r="Q134" i="1"/>
  <c r="R95" i="1"/>
  <c r="H138" i="1"/>
  <c r="L126" i="1"/>
  <c r="L146" i="1"/>
  <c r="BG158" i="8"/>
  <c r="J92" i="1"/>
  <c r="N96" i="1"/>
  <c r="N136" i="1"/>
  <c r="AL157" i="8"/>
  <c r="AL158" i="8"/>
  <c r="J116" i="1"/>
  <c r="BQ158" i="8"/>
  <c r="Y145" i="8"/>
  <c r="BZ143" i="8"/>
  <c r="CQ157" i="8"/>
  <c r="CQ158" i="8"/>
  <c r="BM143" i="8"/>
  <c r="CW105" i="8"/>
  <c r="CW143" i="8"/>
  <c r="T133" i="8"/>
  <c r="CM145" i="8"/>
  <c r="AO73" i="8"/>
  <c r="N73" i="8"/>
  <c r="AY127" i="8"/>
  <c r="CL56" i="8"/>
  <c r="CK127" i="8"/>
  <c r="V127" i="8"/>
  <c r="K28" i="8"/>
  <c r="P116" i="1"/>
  <c r="R127" i="8"/>
  <c r="BY145" i="8"/>
  <c r="CG136" i="8"/>
  <c r="CG138" i="8"/>
  <c r="CG21" i="8"/>
  <c r="CG22" i="8"/>
  <c r="CG125" i="8"/>
  <c r="CG130" i="8"/>
  <c r="CG133" i="8"/>
  <c r="CW127" i="8"/>
  <c r="AD73" i="8"/>
  <c r="P56" i="8"/>
  <c r="CO127" i="8"/>
  <c r="BY28" i="8"/>
  <c r="BX127" i="8"/>
  <c r="O96" i="1"/>
  <c r="O136" i="1"/>
  <c r="I146" i="1"/>
  <c r="CE105" i="8"/>
  <c r="CE143" i="8"/>
  <c r="CN105" i="8"/>
  <c r="CN143" i="8"/>
  <c r="CP133" i="8"/>
  <c r="CY143" i="8"/>
  <c r="BA143" i="8"/>
  <c r="AF143" i="8"/>
  <c r="CX125" i="8"/>
  <c r="CX130" i="8"/>
  <c r="CX133" i="8"/>
  <c r="CG103" i="8"/>
  <c r="I106" i="8"/>
  <c r="I107" i="8"/>
  <c r="F107" i="8"/>
  <c r="AI58" i="8"/>
  <c r="AI60" i="8"/>
  <c r="AJ59" i="8"/>
  <c r="AJ129" i="8"/>
  <c r="CV103" i="8"/>
  <c r="DA133" i="8"/>
  <c r="F56" i="8"/>
  <c r="AG60" i="8"/>
  <c r="AH59" i="8"/>
  <c r="AH129" i="8"/>
  <c r="BH125" i="8"/>
  <c r="BH130" i="8"/>
  <c r="BH133" i="8"/>
  <c r="AF59" i="8"/>
  <c r="AF129" i="8"/>
  <c r="AX73" i="8"/>
  <c r="BF143" i="8"/>
  <c r="AF103" i="8"/>
  <c r="BB73" i="8"/>
  <c r="CH58" i="8"/>
  <c r="CH60" i="8"/>
  <c r="CI59" i="8"/>
  <c r="CI129" i="8"/>
  <c r="E140" i="1" a="1"/>
  <c r="BP103" i="8"/>
  <c r="AE143" i="8"/>
  <c r="S56" i="10"/>
  <c r="BD127" i="8"/>
  <c r="BX105" i="8"/>
  <c r="BX143" i="8"/>
  <c r="Z130" i="8"/>
  <c r="Z133" i="8"/>
  <c r="H28" i="8"/>
  <c r="F28" i="8"/>
  <c r="Y146" i="8"/>
  <c r="F96" i="1"/>
  <c r="F136" i="1"/>
  <c r="K95" i="1"/>
  <c r="K146" i="1"/>
  <c r="M109" i="1"/>
  <c r="M135" i="1"/>
  <c r="CI143" i="8"/>
  <c r="AZ143" i="8"/>
  <c r="K60" i="10"/>
  <c r="N79" i="1"/>
  <c r="N82" i="1"/>
  <c r="AI105" i="8"/>
  <c r="AI143" i="8"/>
  <c r="CU56" i="8"/>
  <c r="BE143" i="8"/>
  <c r="CR103" i="8"/>
  <c r="AW28" i="8"/>
  <c r="L56" i="10"/>
  <c r="AP60" i="8"/>
  <c r="AQ59" i="8"/>
  <c r="AQ129" i="8"/>
  <c r="AY56" i="8"/>
  <c r="I56" i="8"/>
  <c r="BI73" i="8"/>
  <c r="R73" i="8"/>
  <c r="CA133" i="8"/>
  <c r="S129" i="8"/>
  <c r="I103" i="8"/>
  <c r="BJ56" i="8"/>
  <c r="AD56" i="8"/>
  <c r="AE125" i="8"/>
  <c r="AE130" i="8"/>
  <c r="AE133" i="8"/>
  <c r="BX56" i="8"/>
  <c r="BQ28" i="8"/>
  <c r="U56" i="10"/>
  <c r="T60" i="10"/>
  <c r="S110" i="1"/>
  <c r="N146" i="1"/>
  <c r="N125" i="8"/>
  <c r="N130" i="8"/>
  <c r="N133" i="8"/>
  <c r="BM145" i="8"/>
  <c r="CP56" i="8"/>
  <c r="AV103" i="8"/>
  <c r="AC73" i="8"/>
  <c r="E101" i="1"/>
  <c r="Q60" i="8"/>
  <c r="R59" i="8"/>
  <c r="R129" i="8"/>
  <c r="CR59" i="8"/>
  <c r="CR129" i="8"/>
  <c r="BI127" i="8"/>
  <c r="CS73" i="8"/>
  <c r="AD127" i="8"/>
  <c r="J127" i="8"/>
  <c r="CH73" i="8"/>
  <c r="R146" i="1"/>
  <c r="P92" i="1"/>
  <c r="BT146" i="8"/>
  <c r="BD146" i="8"/>
  <c r="AF75" i="8"/>
  <c r="AF141" i="8"/>
  <c r="AF146" i="8"/>
  <c r="AJ58" i="8"/>
  <c r="AJ60" i="8"/>
  <c r="AK59" i="8"/>
  <c r="AK129" i="8"/>
  <c r="CQ56" i="8"/>
  <c r="M68" i="10"/>
  <c r="AW145" i="8"/>
  <c r="BG127" i="8"/>
  <c r="AW56" i="8"/>
  <c r="BU141" i="8"/>
  <c r="BU146" i="8"/>
  <c r="M81" i="1"/>
  <c r="CW145" i="8"/>
  <c r="BW143" i="8"/>
  <c r="BT127" i="8"/>
  <c r="CU127" i="8"/>
  <c r="CY59" i="8"/>
  <c r="CY129" i="8"/>
  <c r="J73" i="8"/>
  <c r="CF127" i="8"/>
  <c r="V56" i="10"/>
  <c r="P137" i="1"/>
  <c r="N148" i="1"/>
  <c r="R125" i="1"/>
  <c r="CJ28" i="8"/>
  <c r="X28" i="8"/>
  <c r="CL28" i="8"/>
  <c r="Z28" i="8"/>
  <c r="CR143" i="8"/>
  <c r="X143" i="8"/>
  <c r="CY158" i="8"/>
  <c r="BI146" i="8"/>
  <c r="BL143" i="8"/>
  <c r="S98" i="1"/>
  <c r="J105" i="8"/>
  <c r="J143" i="8"/>
  <c r="N127" i="8"/>
  <c r="CT127" i="8"/>
  <c r="CQ127" i="8"/>
  <c r="AU73" i="8"/>
  <c r="M28" i="8"/>
  <c r="BF28" i="8"/>
  <c r="J60" i="10"/>
  <c r="BL61" i="8"/>
  <c r="AC56" i="8"/>
  <c r="J56" i="8"/>
  <c r="Q137" i="1"/>
  <c r="AO58" i="8"/>
  <c r="AO60" i="8"/>
  <c r="AP59" i="8"/>
  <c r="AP129" i="8"/>
  <c r="AH73" i="8"/>
  <c r="R56" i="8"/>
  <c r="BI145" i="8"/>
  <c r="BM59" i="8"/>
  <c r="BM129" i="8"/>
  <c r="I110" i="1"/>
  <c r="O98" i="1"/>
  <c r="CX103" i="8"/>
  <c r="AA143" i="8"/>
  <c r="BL145" i="8"/>
  <c r="M143" i="8"/>
  <c r="Q138" i="1"/>
  <c r="BJ143" i="8"/>
  <c r="BT103" i="8"/>
  <c r="Z103" i="8"/>
  <c r="AN103" i="8"/>
  <c r="Y56" i="8"/>
  <c r="I127" i="8"/>
  <c r="AR127" i="8"/>
  <c r="BW133" i="8"/>
  <c r="AW59" i="8"/>
  <c r="AW129" i="8"/>
  <c r="CG158" i="8"/>
  <c r="U60" i="10"/>
  <c r="N103" i="8"/>
  <c r="BV105" i="8"/>
  <c r="BV143" i="8"/>
  <c r="CY125" i="8"/>
  <c r="CY130" i="8"/>
  <c r="CY133" i="8"/>
  <c r="BT129" i="8"/>
  <c r="CK143" i="8"/>
  <c r="BN103" i="8"/>
  <c r="CL127" i="8"/>
  <c r="BA103" i="8"/>
  <c r="CD28" i="8"/>
  <c r="CC143" i="8"/>
  <c r="BT143" i="8"/>
  <c r="Q145" i="8"/>
  <c r="BV103" i="8"/>
  <c r="AP28" i="8"/>
  <c r="CX146" i="8"/>
  <c r="CK103" i="8"/>
  <c r="P133" i="8"/>
  <c r="BT73" i="8"/>
  <c r="W133" i="8"/>
  <c r="CF56" i="8"/>
  <c r="CA129" i="8"/>
  <c r="AL28" i="8"/>
  <c r="AV158" i="8"/>
  <c r="Q56" i="8"/>
  <c r="BH73" i="8"/>
  <c r="P28" i="8"/>
  <c r="AC127" i="8"/>
  <c r="O147" i="1"/>
  <c r="CR28" i="8"/>
  <c r="T58" i="8"/>
  <c r="T60" i="8"/>
  <c r="U59" i="8"/>
  <c r="AI127" i="8"/>
  <c r="CT58" i="8"/>
  <c r="CT60" i="8"/>
  <c r="CU59" i="8"/>
  <c r="BF157" i="8"/>
  <c r="CS103" i="8"/>
  <c r="BN105" i="8"/>
  <c r="BN143" i="8"/>
  <c r="I105" i="8"/>
  <c r="CE146" i="8"/>
  <c r="J75" i="8"/>
  <c r="J141" i="8"/>
  <c r="BL106" i="8"/>
  <c r="T103" i="8"/>
  <c r="CO103" i="8"/>
  <c r="AK106" i="8"/>
  <c r="AT61" i="8"/>
  <c r="BS59" i="8"/>
  <c r="BB61" i="8"/>
  <c r="CI76" i="8"/>
  <c r="BK76" i="8"/>
  <c r="BD76" i="8"/>
  <c r="CO73" i="8"/>
  <c r="CP25" i="8"/>
  <c r="L157" i="8"/>
  <c r="CZ75" i="8"/>
  <c r="CZ141" i="8"/>
  <c r="CR146" i="8"/>
  <c r="CM127" i="8"/>
  <c r="AS105" i="8"/>
  <c r="I109" i="1"/>
  <c r="BG76" i="8"/>
  <c r="W73" i="8"/>
  <c r="M73" i="8"/>
  <c r="DB130" i="8"/>
  <c r="O56" i="8"/>
  <c r="K126" i="1"/>
  <c r="O56" i="10"/>
  <c r="AA106" i="8"/>
  <c r="N56" i="10"/>
  <c r="BA133" i="8"/>
  <c r="CP103" i="8"/>
  <c r="J145" i="1"/>
  <c r="AH145" i="8"/>
  <c r="L143" i="8"/>
  <c r="CF73" i="8"/>
  <c r="AI76" i="8"/>
  <c r="Y76" i="8"/>
  <c r="W76" i="8"/>
  <c r="M127" i="8"/>
  <c r="S28" i="8"/>
  <c r="N61" i="8"/>
  <c r="L101" i="1"/>
  <c r="AM146" i="8"/>
  <c r="S146" i="8"/>
  <c r="CF103" i="8"/>
  <c r="W56" i="8"/>
  <c r="BU73" i="8"/>
  <c r="BZ28" i="8"/>
  <c r="E81" i="1"/>
  <c r="AZ77" i="8"/>
  <c r="AZ157" i="8"/>
  <c r="AZ158" i="8"/>
  <c r="AB157" i="8"/>
  <c r="BG133" i="8"/>
  <c r="AY61" i="8"/>
  <c r="CT28" i="8"/>
  <c r="CL21" i="8"/>
  <c r="CL22" i="8"/>
  <c r="CL125" i="8"/>
  <c r="CL130" i="8"/>
  <c r="AQ127" i="8"/>
  <c r="CG58" i="8"/>
  <c r="CG60" i="8"/>
  <c r="CH59" i="8"/>
  <c r="CH129" i="8"/>
  <c r="CQ105" i="8"/>
  <c r="CQ143" i="8"/>
  <c r="CY106" i="8"/>
  <c r="AV61" i="8"/>
  <c r="H98" i="1"/>
  <c r="DB73" i="8"/>
  <c r="AD60" i="8"/>
  <c r="AE59" i="8"/>
  <c r="AE129" i="8"/>
  <c r="N60" i="10"/>
  <c r="AU127" i="8"/>
  <c r="R143" i="8"/>
  <c r="CD103" i="8"/>
  <c r="AH127" i="8"/>
  <c r="Q82" i="1"/>
  <c r="AS143" i="8"/>
  <c r="AA76" i="8"/>
  <c r="X76" i="8"/>
  <c r="CZ146" i="8"/>
  <c r="AO146" i="8"/>
  <c r="BR103" i="8"/>
  <c r="Y99" i="1"/>
  <c r="BX75" i="8"/>
  <c r="BX141" i="8"/>
  <c r="BX146" i="8"/>
  <c r="CI141" i="8"/>
  <c r="CI146" i="8"/>
  <c r="BE103" i="8"/>
  <c r="CO133" i="8"/>
  <c r="AC58" i="8"/>
  <c r="AC60" i="8"/>
  <c r="AD105" i="8"/>
  <c r="Q27" i="8"/>
  <c r="BL76" i="8"/>
  <c r="O143" i="8"/>
  <c r="S108" i="1"/>
  <c r="J28" i="8"/>
  <c r="BI58" i="8"/>
  <c r="BI60" i="8"/>
  <c r="BJ59" i="8"/>
  <c r="BJ129" i="8"/>
  <c r="J56" i="10"/>
  <c r="CM28" i="8"/>
  <c r="CG143" i="8"/>
  <c r="BQ59" i="8"/>
  <c r="CC58" i="8"/>
  <c r="CC60" i="8"/>
  <c r="CD59" i="8"/>
  <c r="AS103" i="8"/>
  <c r="DB157" i="8"/>
  <c r="DB158" i="8"/>
  <c r="CA157" i="8"/>
  <c r="BI158" i="8"/>
  <c r="X157" i="8"/>
  <c r="O157" i="8"/>
  <c r="BV141" i="8"/>
  <c r="BM75" i="8"/>
  <c r="BM141" i="8"/>
  <c r="AT146" i="8"/>
  <c r="BU125" i="8"/>
  <c r="BU130" i="8"/>
  <c r="BJ125" i="8"/>
  <c r="BJ130" i="8"/>
  <c r="AY125" i="8"/>
  <c r="AY130" i="8"/>
  <c r="AY133" i="8"/>
  <c r="CC133" i="8"/>
  <c r="N60" i="8"/>
  <c r="K157" i="8"/>
  <c r="F51" i="8"/>
  <c r="R61" i="10"/>
  <c r="M128" i="1"/>
  <c r="K76" i="1"/>
  <c r="K112" i="1"/>
  <c r="K114" i="1"/>
  <c r="L113" i="1"/>
  <c r="Q89" i="1"/>
  <c r="H143" i="8"/>
  <c r="CE157" i="8"/>
  <c r="CE158" i="8"/>
  <c r="BF145" i="8"/>
  <c r="Z129" i="8"/>
  <c r="AL145" i="8"/>
  <c r="BV106" i="8"/>
  <c r="AS106" i="8"/>
  <c r="CY28" i="8"/>
  <c r="O116" i="1"/>
  <c r="BW106" i="8"/>
  <c r="CA106" i="8"/>
  <c r="CB129" i="8"/>
  <c r="BW129" i="8"/>
  <c r="AV146" i="8"/>
  <c r="AC129" i="8"/>
  <c r="Y158" i="8"/>
  <c r="CH141" i="8"/>
  <c r="CH146" i="8"/>
  <c r="BZ75" i="8"/>
  <c r="BZ141" i="8"/>
  <c r="BZ146" i="8"/>
  <c r="N146" i="8"/>
  <c r="AA103" i="8"/>
  <c r="AQ103" i="8"/>
  <c r="BQ76" i="8"/>
  <c r="H148" i="1"/>
  <c r="AD143" i="8"/>
  <c r="K56" i="8"/>
  <c r="Q77" i="8"/>
  <c r="Q157" i="8"/>
  <c r="Q158" i="8"/>
  <c r="CO141" i="8"/>
  <c r="CO146" i="8"/>
  <c r="AT145" i="8"/>
  <c r="R75" i="8"/>
  <c r="R141" i="8"/>
  <c r="R146" i="8"/>
  <c r="BQ106" i="8"/>
  <c r="CA28" i="8"/>
  <c r="AW125" i="8"/>
  <c r="AW130" i="8"/>
  <c r="AW133" i="8"/>
  <c r="BS106" i="8"/>
  <c r="AF145" i="8"/>
  <c r="CL58" i="8"/>
  <c r="CL60" i="8"/>
  <c r="CM59" i="8"/>
  <c r="CM129" i="8"/>
  <c r="AV130" i="8"/>
  <c r="AV133" i="8"/>
  <c r="AG157" i="8"/>
  <c r="AG158" i="8"/>
  <c r="O158" i="8"/>
  <c r="CN126" i="8"/>
  <c r="BK103" i="8"/>
  <c r="P73" i="8"/>
  <c r="BH61" i="8"/>
  <c r="K127" i="8"/>
  <c r="CZ103" i="8"/>
  <c r="CW133" i="8"/>
  <c r="BE133" i="8"/>
  <c r="CL145" i="8"/>
  <c r="BY103" i="8"/>
  <c r="CQ76" i="8"/>
  <c r="AH133" i="8"/>
  <c r="BI61" i="8"/>
  <c r="AQ61" i="8"/>
  <c r="T61" i="8"/>
  <c r="BQ61" i="8"/>
  <c r="AF56" i="8"/>
  <c r="CQ73" i="8"/>
  <c r="AW73" i="8"/>
  <c r="CK76" i="8"/>
  <c r="BM76" i="8"/>
  <c r="CN56" i="8"/>
  <c r="DB145" i="8"/>
  <c r="AT133" i="8"/>
  <c r="CY58" i="8"/>
  <c r="CY60" i="8"/>
  <c r="CZ59" i="8"/>
  <c r="CZ129" i="8"/>
  <c r="AG28" i="8"/>
  <c r="CY56" i="8"/>
  <c r="BK61" i="8"/>
  <c r="K92" i="1"/>
  <c r="AC158" i="8"/>
  <c r="CD73" i="8"/>
  <c r="P158" i="8"/>
  <c r="BJ126" i="8"/>
  <c r="AE158" i="8"/>
  <c r="BJ103" i="8"/>
  <c r="CD129" i="8"/>
  <c r="O103" i="8"/>
  <c r="BE73" i="8"/>
  <c r="AU133" i="8"/>
  <c r="S145" i="1"/>
  <c r="J145" i="8"/>
  <c r="R103" i="8"/>
  <c r="AB127" i="8"/>
  <c r="M113" i="1"/>
  <c r="M110" i="1"/>
  <c r="J61" i="8"/>
  <c r="AU61" i="8"/>
  <c r="CG127" i="8"/>
  <c r="BM56" i="8"/>
  <c r="F27" i="8"/>
  <c r="AG146" i="8"/>
  <c r="CM146" i="8"/>
  <c r="CA158" i="8"/>
  <c r="X158" i="8"/>
  <c r="BM146" i="8"/>
  <c r="BQ143" i="8"/>
  <c r="AM127" i="8"/>
  <c r="CL146" i="8"/>
  <c r="T28" i="8"/>
  <c r="AB129" i="8"/>
  <c r="CW73" i="8"/>
  <c r="BG73" i="8"/>
  <c r="BE28" i="8"/>
  <c r="AM73" i="8"/>
  <c r="O59" i="8"/>
  <c r="O129" i="8"/>
  <c r="S125" i="1"/>
  <c r="H147" i="1"/>
  <c r="P127" i="8"/>
  <c r="DB127" i="8"/>
  <c r="AQ133" i="8"/>
  <c r="AU56" i="8"/>
  <c r="AM143" i="8"/>
  <c r="F25" i="8"/>
  <c r="R145" i="8"/>
  <c r="BK28" i="8"/>
  <c r="DA158" i="8"/>
  <c r="L145" i="8"/>
  <c r="AD59" i="8"/>
  <c r="AD129" i="8"/>
  <c r="BS28" i="8"/>
  <c r="BL73" i="8"/>
  <c r="BH103" i="8"/>
  <c r="I92" i="1"/>
  <c r="AE61" i="8"/>
  <c r="AM129" i="8"/>
  <c r="CZ76" i="8"/>
  <c r="BL127" i="8"/>
  <c r="AM56" i="8"/>
  <c r="AN73" i="8"/>
  <c r="Q127" i="8"/>
  <c r="V58" i="8"/>
  <c r="V60" i="8"/>
  <c r="W59" i="8"/>
  <c r="W129" i="8"/>
  <c r="BI133" i="8"/>
  <c r="Q73" i="8"/>
  <c r="CS56" i="8"/>
  <c r="CH56" i="8"/>
  <c r="CH127" i="8"/>
  <c r="BC143" i="8"/>
  <c r="CH126" i="8"/>
  <c r="BJ133" i="8"/>
  <c r="BT130" i="8"/>
  <c r="BT133" i="8"/>
  <c r="AG103" i="8"/>
  <c r="DB56" i="8"/>
  <c r="BL56" i="8"/>
  <c r="S143" i="8"/>
  <c r="AN127" i="8"/>
  <c r="BQ129" i="8"/>
  <c r="BU133" i="8"/>
  <c r="CJ61" i="8"/>
  <c r="DB104" i="8"/>
  <c r="AT143" i="8"/>
  <c r="BS61" i="8"/>
  <c r="DB106" i="8"/>
  <c r="CS127" i="8"/>
  <c r="U129" i="8"/>
  <c r="BS129" i="8"/>
  <c r="BJ61" i="8"/>
  <c r="BF158" i="8"/>
  <c r="I81" i="1"/>
  <c r="BM133" i="8"/>
  <c r="DB133" i="8"/>
  <c r="DB28" i="8"/>
  <c r="AI146" i="8"/>
  <c r="DA106" i="8"/>
  <c r="AH146" i="8"/>
  <c r="AB158" i="8"/>
  <c r="CL133" i="8"/>
  <c r="R126" i="1"/>
  <c r="CU129" i="8"/>
  <c r="AN56" i="8"/>
  <c r="L158" i="8"/>
  <c r="I143" i="8"/>
  <c r="I135" i="1"/>
  <c r="J146" i="8"/>
  <c r="CP28" i="8"/>
  <c r="BV146" i="8"/>
  <c r="BC75" i="8"/>
  <c r="BC141" i="8"/>
  <c r="BC146" i="8"/>
  <c r="CL61" i="8"/>
  <c r="K158" i="8"/>
  <c r="Q110" i="1"/>
  <c r="AL35" i="8"/>
  <c r="AZ35" i="8"/>
  <c r="O72" i="10"/>
  <c r="O78" i="10"/>
  <c r="AR42" i="8"/>
  <c r="K96" i="1"/>
  <c r="K136" i="1"/>
  <c r="H109" i="1"/>
  <c r="AF77" i="8"/>
  <c r="AF157" i="8"/>
  <c r="AF158" i="8"/>
  <c r="E75" i="1"/>
  <c r="E76" i="1"/>
  <c r="E112" i="1"/>
  <c r="E114" i="1"/>
  <c r="F113" i="1"/>
  <c r="L148" i="1"/>
  <c r="J126" i="1"/>
  <c r="R96" i="1"/>
  <c r="P146" i="1"/>
  <c r="F148" i="1"/>
  <c r="U25" i="8"/>
  <c r="H79" i="1"/>
  <c r="H82" i="1"/>
  <c r="M58" i="8"/>
  <c r="M60" i="8"/>
  <c r="N59" i="8"/>
  <c r="N129" i="8"/>
  <c r="I32" i="1"/>
  <c r="AY59" i="8"/>
  <c r="P128" i="1"/>
  <c r="N157" i="8"/>
  <c r="N158" i="8"/>
  <c r="F116" i="1"/>
  <c r="P110" i="1"/>
  <c r="U35" i="8"/>
  <c r="H89" i="1"/>
  <c r="H110" i="1"/>
  <c r="BE44" i="8"/>
  <c r="N98" i="1"/>
  <c r="N81" i="1"/>
  <c r="AY44" i="8"/>
  <c r="AA77" i="8"/>
  <c r="AA157" i="8"/>
  <c r="AA158" i="8"/>
  <c r="H34" i="10"/>
  <c r="BD105" i="8"/>
  <c r="M106" i="8"/>
  <c r="AI38" i="8"/>
  <c r="CZ35" i="8"/>
  <c r="CX35" i="8"/>
  <c r="CL157" i="8"/>
  <c r="BN141" i="8"/>
  <c r="BN146" i="8"/>
  <c r="AX38" i="8"/>
  <c r="K105" i="8"/>
  <c r="K44" i="8"/>
  <c r="CI106" i="8"/>
  <c r="CJ77" i="8"/>
  <c r="BC35" i="8"/>
  <c r="X135" i="8"/>
  <c r="X136" i="8"/>
  <c r="X138" i="8"/>
  <c r="X21" i="8"/>
  <c r="X22" i="8"/>
  <c r="CI38" i="8"/>
  <c r="CR35" i="8"/>
  <c r="BQ56" i="8"/>
  <c r="M71" i="10"/>
  <c r="M72" i="10"/>
  <c r="M78" i="10"/>
  <c r="AF42" i="8"/>
  <c r="I96" i="1"/>
  <c r="I58" i="8"/>
  <c r="I60" i="8"/>
  <c r="J59" i="8"/>
  <c r="AY38" i="8"/>
  <c r="O125" i="8"/>
  <c r="O130" i="8"/>
  <c r="O133" i="8"/>
  <c r="F47" i="8"/>
  <c r="BI25" i="8"/>
  <c r="BZ44" i="8"/>
  <c r="S109" i="1"/>
  <c r="BG59" i="8"/>
  <c r="CS157" i="8"/>
  <c r="CS158" i="8"/>
  <c r="CJ157" i="8"/>
  <c r="CJ158" i="8"/>
  <c r="AP158" i="8"/>
  <c r="BP106" i="8"/>
  <c r="I136" i="1"/>
  <c r="CB35" i="8"/>
  <c r="AM157" i="8"/>
  <c r="U61" i="10"/>
  <c r="BB105" i="8"/>
  <c r="CP58" i="8"/>
  <c r="CP60" i="8"/>
  <c r="AW105" i="8"/>
  <c r="BI38" i="8"/>
  <c r="AV76" i="8"/>
  <c r="AT58" i="8"/>
  <c r="AT60" i="8"/>
  <c r="DA35" i="8"/>
  <c r="AP107" i="8"/>
  <c r="BR47" i="8"/>
  <c r="AI44" i="8"/>
  <c r="BD27" i="8"/>
  <c r="AQ60" i="8"/>
  <c r="AR59" i="8"/>
  <c r="BV145" i="8"/>
  <c r="CK56" i="8"/>
  <c r="Y107" i="8"/>
  <c r="BC27" i="8"/>
  <c r="BP27" i="8"/>
  <c r="CV47" i="8"/>
  <c r="BV44" i="8"/>
  <c r="BP28" i="8"/>
  <c r="AN141" i="8"/>
  <c r="AN146" i="8"/>
  <c r="AP61" i="8"/>
  <c r="AK35" i="8"/>
  <c r="AC38" i="8"/>
  <c r="AH27" i="8"/>
  <c r="CC141" i="8"/>
  <c r="CP145" i="8"/>
  <c r="CW25" i="8"/>
  <c r="AQ25" i="8"/>
  <c r="BU47" i="8"/>
  <c r="CV44" i="8"/>
  <c r="BD157" i="8"/>
  <c r="BD158" i="8"/>
  <c r="CX157" i="8"/>
  <c r="CX158" i="8"/>
  <c r="CO157" i="8"/>
  <c r="AQ105" i="8"/>
  <c r="H145" i="8"/>
  <c r="R125" i="8"/>
  <c r="R130" i="8"/>
  <c r="BZ61" i="8"/>
  <c r="CZ106" i="8"/>
  <c r="AO38" i="8"/>
  <c r="CX25" i="8"/>
  <c r="CF25" i="8"/>
  <c r="BZ145" i="8"/>
  <c r="K73" i="8"/>
  <c r="BF59" i="8"/>
  <c r="BF129" i="8"/>
  <c r="AL59" i="8"/>
  <c r="AT59" i="8"/>
  <c r="L35" i="8"/>
  <c r="L138" i="1"/>
  <c r="AQ73" i="8"/>
  <c r="O81" i="1"/>
  <c r="CJ35" i="8"/>
  <c r="AV47" i="8"/>
  <c r="K68" i="10"/>
  <c r="CU157" i="8"/>
  <c r="H101" i="1"/>
  <c r="CZ107" i="8"/>
  <c r="CU38" i="8"/>
  <c r="BG28" i="8"/>
  <c r="AL47" i="8"/>
  <c r="O52" i="1"/>
  <c r="CE44" i="8"/>
  <c r="BH157" i="8"/>
  <c r="CO61" i="8"/>
  <c r="BY143" i="8"/>
  <c r="AW158" i="8"/>
  <c r="U28" i="8"/>
  <c r="AW61" i="8"/>
  <c r="BW157" i="8"/>
  <c r="CB25" i="8"/>
  <c r="CJ47" i="8"/>
  <c r="L47" i="8"/>
  <c r="P44" i="8"/>
  <c r="F110" i="1"/>
  <c r="G89" i="1"/>
  <c r="BO127" i="8"/>
  <c r="CE127" i="8"/>
  <c r="L73" i="8"/>
  <c r="N68" i="10"/>
  <c r="R136" i="1"/>
  <c r="AG143" i="8"/>
  <c r="S101" i="1"/>
  <c r="CK141" i="8"/>
  <c r="CK146" i="8"/>
  <c r="O145" i="1"/>
  <c r="I138" i="1"/>
  <c r="CN133" i="8"/>
  <c r="BA75" i="8"/>
  <c r="BA141" i="8"/>
  <c r="X125" i="8"/>
  <c r="X130" i="8"/>
  <c r="AK157" i="8"/>
  <c r="M75" i="8"/>
  <c r="M141" i="8"/>
  <c r="M146" i="8"/>
  <c r="BU105" i="8"/>
  <c r="CW76" i="8"/>
  <c r="BC106" i="8"/>
  <c r="BJ76" i="8"/>
  <c r="AP106" i="8"/>
  <c r="U106" i="8"/>
  <c r="BQ107" i="8"/>
  <c r="AE56" i="8"/>
  <c r="CN106" i="8"/>
  <c r="K130" i="8"/>
  <c r="K133" i="8"/>
  <c r="BC61" i="8"/>
  <c r="AV56" i="8"/>
  <c r="I125" i="1"/>
  <c r="CY145" i="8"/>
  <c r="AS125" i="8"/>
  <c r="AS130" i="8"/>
  <c r="X58" i="8"/>
  <c r="X60" i="8"/>
  <c r="Y59" i="8"/>
  <c r="CC129" i="8"/>
  <c r="AY73" i="8"/>
  <c r="CD143" i="8"/>
  <c r="P56" i="10"/>
  <c r="CQ59" i="8"/>
  <c r="CK59" i="8"/>
  <c r="Q144" i="1"/>
  <c r="I126" i="1"/>
  <c r="BX129" i="8"/>
  <c r="Y61" i="8"/>
  <c r="F95" i="1"/>
  <c r="F146" i="1"/>
  <c r="F160" i="8"/>
  <c r="BO157" i="8"/>
  <c r="CD133" i="8"/>
  <c r="H135" i="1"/>
  <c r="I116" i="1"/>
  <c r="AY129" i="8"/>
  <c r="M98" i="1"/>
  <c r="AX61" i="8"/>
  <c r="CM133" i="8"/>
  <c r="O110" i="1"/>
  <c r="BE129" i="8"/>
  <c r="J129" i="8"/>
  <c r="CZ73" i="8"/>
  <c r="L116" i="1"/>
  <c r="AT129" i="8"/>
  <c r="CY73" i="8"/>
  <c r="CG106" i="8"/>
  <c r="DA107" i="8"/>
  <c r="E129" i="1"/>
  <c r="DB74" i="8"/>
  <c r="BK127" i="8"/>
  <c r="AV143" i="8"/>
  <c r="BD107" i="8"/>
  <c r="F101" i="1"/>
  <c r="AC145" i="8"/>
  <c r="CR56" i="8"/>
  <c r="F106" i="8"/>
  <c r="CE28" i="8"/>
  <c r="BR28" i="8"/>
  <c r="DB134" i="8"/>
  <c r="P68" i="10"/>
  <c r="G127" i="1"/>
  <c r="F81" i="1"/>
  <c r="J135" i="1"/>
  <c r="CV133" i="8"/>
  <c r="BY76" i="8"/>
  <c r="H125" i="1"/>
  <c r="CD127" i="8"/>
  <c r="AO103" i="8"/>
  <c r="AM107" i="8"/>
  <c r="AE103" i="8"/>
  <c r="AF73" i="8"/>
  <c r="DA28" i="8"/>
  <c r="AF126" i="8"/>
  <c r="D145" i="1"/>
  <c r="R110" i="1"/>
  <c r="AI103" i="8"/>
  <c r="AV127" i="8"/>
  <c r="P129" i="8"/>
  <c r="O135" i="1"/>
  <c r="CQ129" i="8"/>
  <c r="P136" i="1"/>
  <c r="J103" i="8"/>
  <c r="S148" i="1"/>
  <c r="F126" i="1"/>
  <c r="R148" i="1"/>
  <c r="O126" i="1"/>
  <c r="AI106" i="8"/>
  <c r="CV145" i="8"/>
  <c r="BB76" i="8"/>
  <c r="U73" i="8"/>
  <c r="AZ56" i="8"/>
  <c r="AX145" i="8"/>
  <c r="AZ73" i="8"/>
  <c r="L76" i="8"/>
  <c r="AV129" i="8"/>
  <c r="BF56" i="8"/>
  <c r="AS129" i="8"/>
  <c r="AI61" i="8"/>
  <c r="AL127" i="8"/>
  <c r="CX129" i="8"/>
  <c r="M133" i="8"/>
  <c r="S56" i="8"/>
  <c r="J133" i="8"/>
  <c r="AU103" i="8"/>
  <c r="M145" i="8"/>
  <c r="CT106" i="8"/>
  <c r="AU59" i="8"/>
  <c r="AU129" i="8"/>
  <c r="DB107" i="8"/>
  <c r="DA73" i="8"/>
  <c r="CG28" i="8"/>
  <c r="BX145" i="8"/>
  <c r="BR61" i="8"/>
  <c r="BA129" i="8"/>
  <c r="CB146" i="8"/>
  <c r="X145" i="8"/>
  <c r="G135" i="1"/>
  <c r="AO145" i="8"/>
  <c r="BO107" i="8"/>
  <c r="AT73" i="8"/>
  <c r="BH158" i="8"/>
  <c r="CI133" i="8"/>
  <c r="CT61" i="8"/>
  <c r="CW61" i="8"/>
  <c r="CQ106" i="8"/>
  <c r="CW28" i="8"/>
  <c r="AR103" i="8"/>
  <c r="G81" i="1"/>
  <c r="M60" i="10"/>
  <c r="CV146" i="8"/>
  <c r="U157" i="8"/>
  <c r="U158" i="8"/>
  <c r="BR129" i="8"/>
  <c r="BV107" i="8"/>
  <c r="BJ146" i="8"/>
  <c r="CN103" i="8"/>
  <c r="AD103" i="8"/>
  <c r="BE127" i="8"/>
  <c r="N143" i="8"/>
  <c r="AJ143" i="8"/>
  <c r="I145" i="1"/>
  <c r="V60" i="10"/>
  <c r="CN127" i="8"/>
  <c r="BZ129" i="8"/>
  <c r="S103" i="8"/>
  <c r="BJ73" i="8"/>
  <c r="CW103" i="8"/>
  <c r="Q148" i="1"/>
  <c r="J61" i="10"/>
  <c r="AZ76" i="8"/>
  <c r="V61" i="10"/>
  <c r="U56" i="8"/>
  <c r="AL56" i="8"/>
  <c r="BG129" i="8"/>
  <c r="AY158" i="8"/>
  <c r="AN145" i="8"/>
  <c r="AM103" i="8"/>
  <c r="BR107" i="8"/>
  <c r="CA73" i="8"/>
  <c r="BX107" i="8"/>
  <c r="CO145" i="8"/>
  <c r="CW59" i="8"/>
  <c r="CW129" i="8"/>
  <c r="AN143" i="8"/>
  <c r="H145" i="1"/>
  <c r="W143" i="8"/>
  <c r="BU28" i="8"/>
  <c r="AJ61" i="8"/>
  <c r="BO158" i="8"/>
  <c r="CH103" i="8"/>
  <c r="BC76" i="8"/>
  <c r="CU107" i="8"/>
  <c r="Q136" i="1"/>
  <c r="AL129" i="8"/>
  <c r="CY107" i="8"/>
  <c r="CL103" i="8"/>
  <c r="AZ127" i="8"/>
  <c r="AZ28" i="8"/>
  <c r="CH143" i="8"/>
  <c r="CL107" i="8"/>
  <c r="CQ107" i="8"/>
  <c r="AE107" i="8"/>
  <c r="CN107" i="8"/>
  <c r="CO107" i="8"/>
  <c r="BB107" i="8"/>
  <c r="N107" i="8"/>
  <c r="CZ127" i="8"/>
  <c r="AW143" i="8"/>
  <c r="DA56" i="8"/>
  <c r="CV106" i="8"/>
  <c r="BY107" i="8"/>
  <c r="K145" i="8"/>
  <c r="X107" i="8"/>
  <c r="CT143" i="8"/>
  <c r="CB103" i="8"/>
  <c r="O107" i="8"/>
  <c r="CC107" i="8"/>
  <c r="BM107" i="8"/>
  <c r="U107" i="8"/>
  <c r="BW107" i="8"/>
  <c r="AQ28" i="8"/>
  <c r="CR145" i="8"/>
  <c r="AK103" i="8"/>
  <c r="BC73" i="8"/>
  <c r="AJ107" i="8"/>
  <c r="AL107" i="8"/>
  <c r="AG107" i="8"/>
  <c r="S107" i="8"/>
  <c r="M61" i="8"/>
  <c r="AZ145" i="8"/>
  <c r="BI103" i="8"/>
  <c r="Z56" i="8"/>
  <c r="BS107" i="8"/>
  <c r="AH107" i="8"/>
  <c r="CJ133" i="8"/>
  <c r="CF107" i="8"/>
  <c r="AN158" i="8"/>
  <c r="DA127" i="8"/>
  <c r="D118" i="1"/>
  <c r="S135" i="1"/>
  <c r="BF107" i="8"/>
  <c r="L107" i="8"/>
  <c r="CJ56" i="8"/>
  <c r="BU145" i="8"/>
  <c r="AY103" i="8"/>
  <c r="AQ143" i="8"/>
  <c r="AX103" i="8"/>
  <c r="BC56" i="8"/>
  <c r="BN107" i="8"/>
  <c r="AO107" i="8"/>
  <c r="AL73" i="8"/>
  <c r="W28" i="8"/>
  <c r="N28" i="8"/>
  <c r="Z127" i="8"/>
  <c r="CD107" i="8"/>
  <c r="BA107" i="8"/>
  <c r="L56" i="8"/>
  <c r="O60" i="10"/>
  <c r="CI103" i="8"/>
  <c r="CU73" i="8"/>
  <c r="AK73" i="8"/>
  <c r="Z73" i="8"/>
  <c r="CW56" i="8"/>
  <c r="AW107" i="8"/>
  <c r="AN107" i="8"/>
  <c r="AR129" i="8"/>
  <c r="CJ107" i="8"/>
  <c r="BU107" i="8"/>
  <c r="M76" i="8"/>
  <c r="F77" i="8"/>
  <c r="AC103" i="8"/>
  <c r="K76" i="8"/>
  <c r="DB60" i="8"/>
  <c r="AK158" i="8"/>
  <c r="K143" i="8"/>
  <c r="X103" i="8"/>
  <c r="BF133" i="8"/>
  <c r="Q60" i="10"/>
  <c r="O127" i="1"/>
  <c r="Q147" i="1"/>
  <c r="Z61" i="8"/>
  <c r="BJ128" i="8"/>
  <c r="BC127" i="8"/>
  <c r="CW106" i="8"/>
  <c r="CR107" i="8"/>
  <c r="AD107" i="8"/>
  <c r="O128" i="1"/>
  <c r="AR107" i="8"/>
  <c r="CW107" i="8"/>
  <c r="AI107" i="8"/>
  <c r="E139" i="1"/>
  <c r="W60" i="10"/>
  <c r="CB127" i="8"/>
  <c r="R60" i="10"/>
  <c r="P60" i="10"/>
  <c r="CQ145" i="8"/>
  <c r="CN73" i="8"/>
  <c r="CD146" i="8"/>
  <c r="V107" i="8"/>
  <c r="CX73" i="8"/>
  <c r="AZ107" i="8"/>
  <c r="BZ107" i="8"/>
  <c r="R107" i="8"/>
  <c r="AF107" i="8"/>
  <c r="M107" i="8"/>
  <c r="L60" i="10"/>
  <c r="R76" i="8"/>
  <c r="AF76" i="8"/>
  <c r="J76" i="8"/>
  <c r="S76" i="8"/>
  <c r="P76" i="8"/>
  <c r="AG76" i="8"/>
  <c r="T76" i="8"/>
  <c r="Q76" i="8"/>
  <c r="Z76" i="8"/>
  <c r="T107" i="8"/>
  <c r="AC107" i="8"/>
  <c r="CJ73" i="8"/>
  <c r="CH107" i="8"/>
  <c r="AA107" i="8"/>
  <c r="CB28" i="8"/>
  <c r="CX127" i="8"/>
  <c r="Z107" i="8"/>
  <c r="BG107" i="8"/>
  <c r="P107" i="8"/>
  <c r="BK107" i="8"/>
  <c r="CJ127" i="8"/>
  <c r="BA61" i="8"/>
  <c r="CI107" i="8"/>
  <c r="AJ145" i="8"/>
  <c r="BT28" i="8"/>
  <c r="AD76" i="8"/>
  <c r="U76" i="8"/>
  <c r="AE76" i="8"/>
  <c r="BD143" i="8"/>
  <c r="CL158" i="8"/>
  <c r="BA76" i="8"/>
  <c r="X61" i="8"/>
  <c r="CX145" i="8"/>
  <c r="CX28" i="8"/>
  <c r="AQ107" i="8"/>
  <c r="U127" i="8"/>
  <c r="CN61" i="8"/>
  <c r="AM158" i="8"/>
  <c r="AU107" i="8"/>
  <c r="W107" i="8"/>
  <c r="CR73" i="8"/>
  <c r="CC146" i="8"/>
  <c r="M116" i="1"/>
  <c r="BL107" i="8"/>
  <c r="BU143" i="8"/>
  <c r="CP61" i="8"/>
  <c r="CK129" i="8"/>
  <c r="CJ145" i="8"/>
  <c r="AK107" i="8"/>
  <c r="CG61" i="8"/>
  <c r="CX56" i="8"/>
  <c r="X133" i="8"/>
  <c r="CR127" i="8"/>
  <c r="CT107" i="8"/>
  <c r="AX107" i="8"/>
  <c r="CA107" i="8"/>
  <c r="AB107" i="8"/>
  <c r="BJ107" i="8"/>
  <c r="CZ56" i="8"/>
  <c r="CO158" i="8"/>
  <c r="AK127" i="8"/>
  <c r="CV107" i="8"/>
  <c r="AT107" i="8"/>
  <c r="CS107" i="8"/>
  <c r="CG107" i="8"/>
  <c r="CP107" i="8"/>
  <c r="CM107" i="8"/>
  <c r="S92" i="1"/>
  <c r="AK56" i="8"/>
  <c r="CX106" i="8"/>
  <c r="CF28" i="8"/>
  <c r="CU103" i="8"/>
  <c r="R133" i="8"/>
  <c r="R61" i="8"/>
  <c r="BA146" i="8"/>
  <c r="AS133" i="8"/>
  <c r="BW158" i="8"/>
  <c r="G110" i="1"/>
  <c r="L127" i="8"/>
  <c r="CQ61" i="8"/>
  <c r="M92" i="1"/>
  <c r="CE61" i="8"/>
  <c r="BI28" i="8"/>
  <c r="CB56" i="8"/>
  <c r="AZ61" i="8"/>
  <c r="Y129" i="8"/>
  <c r="CB73" i="8"/>
  <c r="BE107" i="8"/>
  <c r="BP107" i="8"/>
  <c r="CX107" i="8"/>
  <c r="CE107" i="8"/>
  <c r="AH76" i="8"/>
  <c r="N76" i="8"/>
  <c r="AY107" i="8"/>
  <c r="AV107" i="8"/>
  <c r="CB107" i="8"/>
  <c r="BT107" i="8"/>
  <c r="J107" i="8"/>
  <c r="BH107" i="8"/>
  <c r="BI107" i="8"/>
  <c r="CU158" i="8"/>
  <c r="CK107" i="8"/>
  <c r="AS107" i="8"/>
  <c r="BB143" i="8"/>
  <c r="O76" i="8"/>
  <c r="AC76" i="8"/>
  <c r="K107" i="8"/>
  <c r="Q107" i="8"/>
  <c r="BC107" i="8"/>
  <c r="O61" i="8"/>
  <c r="BM6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tc={C2B54B09-F4F8-9440-B0C0-79CDFC654B4F}</author>
  </authors>
  <commentList>
    <comment ref="K56" authorId="0" shapeId="0" xr:uid="{C2B54B09-F4F8-9440-B0C0-79CDFC654B4F}">
      <text>
        <t>[Threaded comment]
Your version of Excel allows you to read this threaded comment; however, any edits to it will get removed if the file is opened in a newer version of Excel. Learn more: https://go.microsoft.com/fwlink/?linkid=870924
Comment:
    월초에 계약 시작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<sst xmlns="http://schemas.openxmlformats.org/spreadsheetml/2006/main" count="1137" uniqueCount="492">
  <si>
    <t>변수입력</t>
  </si>
  <si>
    <t>합계1</t>
  </si>
  <si>
    <t>제목</t>
  </si>
  <si>
    <t>적정성확인</t>
  </si>
  <si>
    <t>합계2</t>
  </si>
  <si>
    <t>표제목</t>
  </si>
  <si>
    <t>오류확인</t>
  </si>
  <si>
    <t>합계3</t>
  </si>
  <si>
    <t>작성자참고</t>
  </si>
  <si>
    <t>단위: 백만원</t>
    <phoneticPr fontId="1" type="noConversion"/>
  </si>
  <si>
    <t>Team LAVEL</t>
    <phoneticPr fontId="1" type="noConversion"/>
  </si>
  <si>
    <t>KBC타워 재무모델</t>
    <phoneticPr fontId="1" type="noConversion"/>
  </si>
  <si>
    <t>Assumption &amp; Result</t>
    <phoneticPr fontId="1" type="noConversion"/>
  </si>
  <si>
    <t>Rentroll</t>
    <phoneticPr fontId="1" type="noConversion"/>
  </si>
  <si>
    <t>기본가정</t>
    <phoneticPr fontId="1" type="noConversion"/>
  </si>
  <si>
    <t>•투자 Vehicle:</t>
    <phoneticPr fontId="1" type="noConversion"/>
  </si>
  <si>
    <t>•화폐단위:</t>
    <phoneticPr fontId="1" type="noConversion"/>
  </si>
  <si>
    <t>•1㎡ =</t>
    <phoneticPr fontId="1" type="noConversion"/>
  </si>
  <si>
    <t>•날짜입력:</t>
    <phoneticPr fontId="1" type="noConversion"/>
  </si>
  <si>
    <t>•자산취득월:</t>
    <phoneticPr fontId="1" type="noConversion"/>
  </si>
  <si>
    <t>•자산운용기간:</t>
    <phoneticPr fontId="1" type="noConversion"/>
  </si>
  <si>
    <t>•자산운용시작월:</t>
    <phoneticPr fontId="1" type="noConversion"/>
  </si>
  <si>
    <t>부동산펀드(REF)</t>
    <phoneticPr fontId="1" type="noConversion"/>
  </si>
  <si>
    <t>원</t>
    <phoneticPr fontId="1" type="noConversion"/>
  </si>
  <si>
    <t>평</t>
    <phoneticPr fontId="1" type="noConversion"/>
  </si>
  <si>
    <t>월말기준</t>
    <phoneticPr fontId="1" type="noConversion"/>
  </si>
  <si>
    <t>•회계기간:</t>
    <phoneticPr fontId="1" type="noConversion"/>
  </si>
  <si>
    <t>•자산매각월:</t>
    <phoneticPr fontId="1" type="noConversion"/>
  </si>
  <si>
    <t>자산개요</t>
    <phoneticPr fontId="1" type="noConversion"/>
  </si>
  <si>
    <t>•자산명:</t>
    <phoneticPr fontId="1" type="noConversion"/>
  </si>
  <si>
    <t>KBC타워</t>
    <phoneticPr fontId="1" type="noConversion"/>
  </si>
  <si>
    <t>•위치:</t>
    <phoneticPr fontId="1" type="noConversion"/>
  </si>
  <si>
    <t>서울시 중구 남대문로 125</t>
    <phoneticPr fontId="1" type="noConversion"/>
  </si>
  <si>
    <t>•용도지역:</t>
    <phoneticPr fontId="1" type="noConversion"/>
  </si>
  <si>
    <t>일반상업지역</t>
    <phoneticPr fontId="1" type="noConversion"/>
  </si>
  <si>
    <t>•대지면적:</t>
    <phoneticPr fontId="1" type="noConversion"/>
  </si>
  <si>
    <t>㎡</t>
    <phoneticPr fontId="1" type="noConversion"/>
  </si>
  <si>
    <t>•공시지가:</t>
    <phoneticPr fontId="1" type="noConversion"/>
  </si>
  <si>
    <t>백만원</t>
    <phoneticPr fontId="1" type="noConversion"/>
  </si>
  <si>
    <t>•타입:</t>
  </si>
  <si>
    <t>•매입가 적정성:</t>
  </si>
  <si>
    <t>연면적당 매입가</t>
  </si>
  <si>
    <t>•연면적:</t>
  </si>
  <si>
    <t>•건물규모:</t>
  </si>
  <si>
    <t>•준공연도:</t>
  </si>
  <si>
    <t>현 임대차 계약</t>
    <phoneticPr fontId="1" type="noConversion"/>
  </si>
  <si>
    <t>보증금이자율</t>
    <phoneticPr fontId="1" type="noConversion"/>
  </si>
  <si>
    <t>층수</t>
    <phoneticPr fontId="1" type="noConversion"/>
  </si>
  <si>
    <t>용도</t>
    <phoneticPr fontId="1" type="noConversion"/>
  </si>
  <si>
    <t>임차인</t>
    <phoneticPr fontId="1" type="noConversion"/>
  </si>
  <si>
    <t>면적 정보(㎡)</t>
    <phoneticPr fontId="1" type="noConversion"/>
  </si>
  <si>
    <t>면적 정보(py)</t>
    <phoneticPr fontId="1" type="noConversion"/>
  </si>
  <si>
    <t>전용률</t>
    <phoneticPr fontId="1" type="noConversion"/>
  </si>
  <si>
    <t>계약기간</t>
    <phoneticPr fontId="1" type="noConversion"/>
  </si>
  <si>
    <t>임대단가(원/py)</t>
    <phoneticPr fontId="1" type="noConversion"/>
  </si>
  <si>
    <t>Fitout
(개월)</t>
    <phoneticPr fontId="1" type="noConversion"/>
  </si>
  <si>
    <t>Rentfree
(개월)</t>
    <phoneticPr fontId="1" type="noConversion"/>
  </si>
  <si>
    <t>NOC(원/py)</t>
    <phoneticPr fontId="1" type="noConversion"/>
  </si>
  <si>
    <t>임대면적</t>
    <phoneticPr fontId="1" type="noConversion"/>
  </si>
  <si>
    <t>전용면적</t>
    <phoneticPr fontId="1" type="noConversion"/>
  </si>
  <si>
    <t>시작월</t>
    <phoneticPr fontId="1" type="noConversion"/>
  </si>
  <si>
    <t>종료월</t>
    <phoneticPr fontId="1" type="noConversion"/>
  </si>
  <si>
    <t>보증금</t>
    <phoneticPr fontId="1" type="noConversion"/>
  </si>
  <si>
    <t>명목 임대료</t>
    <phoneticPr fontId="1" type="noConversion"/>
  </si>
  <si>
    <t>실질 임대료</t>
    <phoneticPr fontId="1" type="noConversion"/>
  </si>
  <si>
    <t>관리비</t>
    <phoneticPr fontId="1" type="noConversion"/>
  </si>
  <si>
    <t>임대료</t>
    <phoneticPr fontId="1" type="noConversion"/>
  </si>
  <si>
    <t>F.NOC</t>
    <phoneticPr fontId="1" type="noConversion"/>
  </si>
  <si>
    <t>E.NOC</t>
    <phoneticPr fontId="1" type="noConversion"/>
  </si>
  <si>
    <t>Office</t>
    <phoneticPr fontId="1" type="noConversion"/>
  </si>
  <si>
    <t>Office</t>
  </si>
  <si>
    <t>공실</t>
    <phoneticPr fontId="1" type="noConversion"/>
  </si>
  <si>
    <t>Retail</t>
    <phoneticPr fontId="1" type="noConversion"/>
  </si>
  <si>
    <t>Office Total</t>
    <phoneticPr fontId="1" type="noConversion"/>
  </si>
  <si>
    <t>Retail Total</t>
    <phoneticPr fontId="1" type="noConversion"/>
  </si>
  <si>
    <t>Total</t>
    <phoneticPr fontId="1" type="noConversion"/>
  </si>
  <si>
    <t>리마 상사</t>
    <phoneticPr fontId="1" type="noConversion"/>
  </si>
  <si>
    <t>모빌리티 테크놀로지</t>
    <phoneticPr fontId="1" type="noConversion"/>
  </si>
  <si>
    <t>노벰버 건설</t>
    <phoneticPr fontId="1" type="noConversion"/>
  </si>
  <si>
    <t>오토 커머셜</t>
    <phoneticPr fontId="1" type="noConversion"/>
  </si>
  <si>
    <t>파파 커피앤도넛</t>
    <phoneticPr fontId="1" type="noConversion"/>
  </si>
  <si>
    <t>퀸즈 샌드위치</t>
    <phoneticPr fontId="1" type="noConversion"/>
  </si>
  <si>
    <t>로미오 문구점</t>
    <phoneticPr fontId="1" type="noConversion"/>
  </si>
  <si>
    <t>연상승률</t>
    <phoneticPr fontId="1" type="noConversion"/>
  </si>
  <si>
    <t>기간</t>
    <phoneticPr fontId="1" type="noConversion"/>
  </si>
  <si>
    <t>신규 임대차 계약</t>
    <phoneticPr fontId="1" type="noConversion"/>
  </si>
  <si>
    <t>오피스(중대형, B Grade)</t>
    <phoneticPr fontId="1" type="noConversion"/>
  </si>
  <si>
    <t>Index</t>
    <phoneticPr fontId="1" type="noConversion"/>
  </si>
  <si>
    <t>TI
(원/py)</t>
    <phoneticPr fontId="1" type="noConversion"/>
  </si>
  <si>
    <t>구분</t>
    <phoneticPr fontId="1" type="noConversion"/>
  </si>
  <si>
    <t>운영기간Index</t>
    <phoneticPr fontId="1" type="noConversion"/>
  </si>
  <si>
    <t>누적운영기간Index</t>
    <phoneticPr fontId="1" type="noConversion"/>
  </si>
  <si>
    <t>12개월Index</t>
    <phoneticPr fontId="1" type="noConversion"/>
  </si>
  <si>
    <t>Date</t>
    <phoneticPr fontId="1" type="noConversion"/>
  </si>
  <si>
    <t>회계기간</t>
    <phoneticPr fontId="1" type="noConversion"/>
  </si>
  <si>
    <t>운영년차</t>
    <phoneticPr fontId="1" type="noConversion"/>
  </si>
  <si>
    <t>현(위) 및 신규(아래) 임대차 계약</t>
    <phoneticPr fontId="1" type="noConversion"/>
  </si>
  <si>
    <t>시작일</t>
    <phoneticPr fontId="1" type="noConversion"/>
  </si>
  <si>
    <t>종료일</t>
    <phoneticPr fontId="1" type="noConversion"/>
  </si>
  <si>
    <t>상승률</t>
    <phoneticPr fontId="1" type="noConversion"/>
  </si>
  <si>
    <t>Fitout</t>
    <phoneticPr fontId="1" type="noConversion"/>
  </si>
  <si>
    <t>Rentfree</t>
    <phoneticPr fontId="1" type="noConversion"/>
  </si>
  <si>
    <t>임대면적(㎡)</t>
    <phoneticPr fontId="1" type="noConversion"/>
  </si>
  <si>
    <t>관리비(원)</t>
    <phoneticPr fontId="1" type="noConversion"/>
  </si>
  <si>
    <t>명목 임대료(원)</t>
    <phoneticPr fontId="1" type="noConversion"/>
  </si>
  <si>
    <t>실질 임대료(원)</t>
    <phoneticPr fontId="1" type="noConversion"/>
  </si>
  <si>
    <t>계약기간 Index</t>
    <phoneticPr fontId="1" type="noConversion"/>
  </si>
  <si>
    <t>기존 임대차</t>
    <phoneticPr fontId="1" type="noConversion"/>
  </si>
  <si>
    <t>신규 임대차</t>
    <phoneticPr fontId="1" type="noConversion"/>
  </si>
  <si>
    <t>Fit-out기간 Index</t>
    <phoneticPr fontId="1" type="noConversion"/>
  </si>
  <si>
    <t>임관리비 상승률 Index</t>
    <phoneticPr fontId="1" type="noConversion"/>
  </si>
  <si>
    <t>운영수입</t>
    <phoneticPr fontId="1" type="noConversion"/>
  </si>
  <si>
    <t>관리비 {현(위) 및 신규(아래) 임대차 계약}</t>
    <phoneticPr fontId="1" type="noConversion"/>
  </si>
  <si>
    <t>임대료 {현(위) 및 신규(아래) 임대차 계약}</t>
    <phoneticPr fontId="1" type="noConversion"/>
  </si>
  <si>
    <t>투자비 산정</t>
    <phoneticPr fontId="1" type="noConversion"/>
  </si>
  <si>
    <t>매입가격</t>
    <phoneticPr fontId="1" type="noConversion"/>
  </si>
  <si>
    <t>부대비용</t>
    <phoneticPr fontId="1" type="noConversion"/>
  </si>
  <si>
    <t>실사비용</t>
    <phoneticPr fontId="1" type="noConversion"/>
  </si>
  <si>
    <t>AMC 매입보수</t>
    <phoneticPr fontId="1" type="noConversion"/>
  </si>
  <si>
    <t>금액</t>
    <phoneticPr fontId="1" type="noConversion"/>
  </si>
  <si>
    <t>산정근거</t>
    <phoneticPr fontId="1" type="noConversion"/>
  </si>
  <si>
    <t>비율</t>
    <phoneticPr fontId="1" type="noConversion"/>
  </si>
  <si>
    <t>기본가정사항</t>
    <phoneticPr fontId="1" type="noConversion"/>
  </si>
  <si>
    <t>매입가의</t>
    <phoneticPr fontId="1" type="noConversion"/>
  </si>
  <si>
    <t>금융비용</t>
    <phoneticPr fontId="1" type="noConversion"/>
  </si>
  <si>
    <t>대출취급수수료</t>
    <phoneticPr fontId="1" type="noConversion"/>
  </si>
  <si>
    <t>재원조달계획 참조</t>
    <phoneticPr fontId="1" type="noConversion"/>
  </si>
  <si>
    <t>소유권 이전비용</t>
    <phoneticPr fontId="1" type="noConversion"/>
  </si>
  <si>
    <t>임차인유치비용(TI)</t>
    <phoneticPr fontId="1" type="noConversion"/>
  </si>
  <si>
    <t>순수 예비비</t>
    <phoneticPr fontId="1" type="noConversion"/>
  </si>
  <si>
    <t>비고</t>
    <phoneticPr fontId="1" type="noConversion"/>
  </si>
  <si>
    <t>취득세, 담보설정비용 포함</t>
    <phoneticPr fontId="1" type="noConversion"/>
  </si>
  <si>
    <t>합계</t>
    <phoneticPr fontId="1" type="noConversion"/>
  </si>
  <si>
    <t>백만원/평</t>
    <phoneticPr fontId="1" type="noConversion"/>
  </si>
  <si>
    <r>
      <t xml:space="preserve">㎡    </t>
    </r>
    <r>
      <rPr>
        <sz val="11"/>
        <color theme="1"/>
        <rFont val="Segoe UI Symbol"/>
        <family val="2"/>
      </rPr>
      <t>➔</t>
    </r>
    <phoneticPr fontId="1" type="noConversion"/>
  </si>
  <si>
    <r>
      <t xml:space="preserve">원/㎡  </t>
    </r>
    <r>
      <rPr>
        <sz val="11"/>
        <color theme="1"/>
        <rFont val="Segoe UI Symbol"/>
        <family val="2"/>
      </rPr>
      <t>➔</t>
    </r>
    <phoneticPr fontId="1" type="noConversion"/>
  </si>
  <si>
    <t>재원조달계획</t>
    <phoneticPr fontId="1" type="noConversion"/>
  </si>
  <si>
    <t>조달필요액</t>
    <phoneticPr fontId="1" type="noConversion"/>
  </si>
  <si>
    <t>자기자본</t>
    <phoneticPr fontId="1" type="noConversion"/>
  </si>
  <si>
    <t>재원조달액</t>
    <phoneticPr fontId="1" type="noConversion"/>
  </si>
  <si>
    <t>제1종수익증권</t>
    <phoneticPr fontId="1" type="noConversion"/>
  </si>
  <si>
    <t>제2종수익증권</t>
    <phoneticPr fontId="1" type="noConversion"/>
  </si>
  <si>
    <t>누적배당률</t>
    <phoneticPr fontId="1" type="noConversion"/>
  </si>
  <si>
    <t>매각차익분배</t>
    <phoneticPr fontId="1" type="noConversion"/>
  </si>
  <si>
    <t>N/A</t>
  </si>
  <si>
    <t>N/A</t>
    <phoneticPr fontId="1" type="noConversion"/>
  </si>
  <si>
    <t>소계</t>
    <phoneticPr fontId="1" type="noConversion"/>
  </si>
  <si>
    <t>타인자본</t>
    <phoneticPr fontId="1" type="noConversion"/>
  </si>
  <si>
    <t>인출일</t>
    <phoneticPr fontId="1" type="noConversion"/>
  </si>
  <si>
    <t>상환일</t>
    <phoneticPr fontId="1" type="noConversion"/>
  </si>
  <si>
    <t>대출기간</t>
    <phoneticPr fontId="1" type="noConversion"/>
  </si>
  <si>
    <t>연 이자율</t>
    <phoneticPr fontId="1" type="noConversion"/>
  </si>
  <si>
    <t>이자지급</t>
    <phoneticPr fontId="1" type="noConversion"/>
  </si>
  <si>
    <t>All-in이자율</t>
    <phoneticPr fontId="1" type="noConversion"/>
  </si>
  <si>
    <t>LTV</t>
    <phoneticPr fontId="1" type="noConversion"/>
  </si>
  <si>
    <t>보증금총액
(백만원)</t>
    <phoneticPr fontId="1" type="noConversion"/>
  </si>
  <si>
    <t>찰리화재</t>
    <phoneticPr fontId="1" type="noConversion"/>
  </si>
  <si>
    <t>운영비용 가정</t>
    <phoneticPr fontId="1" type="noConversion"/>
  </si>
  <si>
    <t>PM Fee</t>
    <phoneticPr fontId="1" type="noConversion"/>
  </si>
  <si>
    <t>FM Fee</t>
    <phoneticPr fontId="1" type="noConversion"/>
  </si>
  <si>
    <t>수도광열비</t>
    <phoneticPr fontId="1" type="noConversion"/>
  </si>
  <si>
    <t>유지관리비</t>
    <phoneticPr fontId="1" type="noConversion"/>
  </si>
  <si>
    <t>보험료</t>
    <phoneticPr fontId="1" type="noConversion"/>
  </si>
  <si>
    <t>제세공과금</t>
    <phoneticPr fontId="1" type="noConversion"/>
  </si>
  <si>
    <t>주요가정</t>
    <phoneticPr fontId="1" type="noConversion"/>
  </si>
  <si>
    <t>평단가/월</t>
    <phoneticPr fontId="1" type="noConversion"/>
  </si>
  <si>
    <t>연 상승률</t>
    <phoneticPr fontId="1" type="noConversion"/>
  </si>
  <si>
    <t>집합투자업자 운용보수</t>
    <phoneticPr fontId="1" type="noConversion"/>
  </si>
  <si>
    <t>신탁업자 자산수탁 보수</t>
    <phoneticPr fontId="1" type="noConversion"/>
  </si>
  <si>
    <t>투자매매/중개업자 판매보수</t>
    <phoneticPr fontId="1" type="noConversion"/>
  </si>
  <si>
    <t>일반사무관리회사 업무보수</t>
    <phoneticPr fontId="1" type="noConversion"/>
  </si>
  <si>
    <t>백만원/년</t>
    <phoneticPr fontId="1" type="noConversion"/>
  </si>
  <si>
    <t>자산매각 가정</t>
    <phoneticPr fontId="1" type="noConversion"/>
  </si>
  <si>
    <t>운영비용</t>
    <phoneticPr fontId="1" type="noConversion"/>
  </si>
  <si>
    <t>해당면적(평)</t>
    <phoneticPr fontId="1" type="noConversion"/>
  </si>
  <si>
    <t>용역비단가(원/평)</t>
    <phoneticPr fontId="1" type="noConversion"/>
  </si>
  <si>
    <t>PM Fee 소계</t>
    <phoneticPr fontId="1" type="noConversion"/>
  </si>
  <si>
    <t>연간 상승률</t>
    <phoneticPr fontId="1" type="noConversion"/>
  </si>
  <si>
    <t>매입가(백만원)</t>
    <phoneticPr fontId="1" type="noConversion"/>
  </si>
  <si>
    <t>/ 12개월</t>
    <phoneticPr fontId="1" type="noConversion"/>
  </si>
  <si>
    <t>운영비용 합계</t>
    <phoneticPr fontId="1" type="noConversion"/>
  </si>
  <si>
    <t>현금흐름</t>
    <phoneticPr fontId="1" type="noConversion"/>
  </si>
  <si>
    <t>운영비용 및 기타수입 가정</t>
    <phoneticPr fontId="1" type="noConversion"/>
  </si>
  <si>
    <t>기타수입 가정</t>
    <phoneticPr fontId="1" type="noConversion"/>
  </si>
  <si>
    <t>주차수입</t>
    <phoneticPr fontId="1" type="noConversion"/>
  </si>
  <si>
    <t>백만원/월</t>
    <phoneticPr fontId="1" type="noConversion"/>
  </si>
  <si>
    <t>기타수입</t>
    <phoneticPr fontId="1" type="noConversion"/>
  </si>
  <si>
    <t>주차수입 소계</t>
    <phoneticPr fontId="1" type="noConversion"/>
  </si>
  <si>
    <t>FM Fee 소계</t>
    <phoneticPr fontId="1" type="noConversion"/>
  </si>
  <si>
    <t>수도광열비 소계</t>
    <phoneticPr fontId="1" type="noConversion"/>
  </si>
  <si>
    <t>유지관리비 소계</t>
    <phoneticPr fontId="1" type="noConversion"/>
  </si>
  <si>
    <t>보험료 소계</t>
    <phoneticPr fontId="1" type="noConversion"/>
  </si>
  <si>
    <t>제세공과금 소계</t>
    <phoneticPr fontId="1" type="noConversion"/>
  </si>
  <si>
    <t>주차수입단가</t>
    <phoneticPr fontId="1" type="noConversion"/>
  </si>
  <si>
    <t>보험료단가(원/평)</t>
    <phoneticPr fontId="1" type="noConversion"/>
  </si>
  <si>
    <t>유지관리비단가(원/평)</t>
    <phoneticPr fontId="1" type="noConversion"/>
  </si>
  <si>
    <t>수도광열비단가(원/평)</t>
    <phoneticPr fontId="1" type="noConversion"/>
  </si>
  <si>
    <t>기타수입 소계</t>
    <phoneticPr fontId="1" type="noConversion"/>
  </si>
  <si>
    <t>기타수입단가</t>
    <phoneticPr fontId="1" type="noConversion"/>
  </si>
  <si>
    <t>펀드비용</t>
    <phoneticPr fontId="1" type="noConversion"/>
  </si>
  <si>
    <t>관리비 수익</t>
    <phoneticPr fontId="1" type="noConversion"/>
  </si>
  <si>
    <t>실질 임대료 수익</t>
    <phoneticPr fontId="1" type="noConversion"/>
  </si>
  <si>
    <t>펀드 및 기타비용 가정</t>
    <phoneticPr fontId="1" type="noConversion"/>
  </si>
  <si>
    <t>Leasing비용 가정</t>
    <phoneticPr fontId="1" type="noConversion"/>
  </si>
  <si>
    <t>재계약시</t>
    <phoneticPr fontId="1" type="noConversion"/>
  </si>
  <si>
    <t>신규계약시</t>
    <phoneticPr fontId="1" type="noConversion"/>
  </si>
  <si>
    <t>실질 월 임대료의</t>
    <phoneticPr fontId="1" type="noConversion"/>
  </si>
  <si>
    <t>보증금 현황 {현(위) 및 신규(아래) 임대차 계약}</t>
    <phoneticPr fontId="1" type="noConversion"/>
  </si>
  <si>
    <t>보증금 현황</t>
    <phoneticPr fontId="1" type="noConversion"/>
  </si>
  <si>
    <t>보증금 현금흐름</t>
    <phoneticPr fontId="1" type="noConversion"/>
  </si>
  <si>
    <t>기초</t>
    <phoneticPr fontId="1" type="noConversion"/>
  </si>
  <si>
    <t>기말</t>
    <phoneticPr fontId="1" type="noConversion"/>
  </si>
  <si>
    <t>증가</t>
    <phoneticPr fontId="1" type="noConversion"/>
  </si>
  <si>
    <t>감소</t>
    <phoneticPr fontId="1" type="noConversion"/>
  </si>
  <si>
    <t>보증금 현금흐름 합계</t>
    <phoneticPr fontId="1" type="noConversion"/>
  </si>
  <si>
    <t>보증금 평균 잔고</t>
    <phoneticPr fontId="1" type="noConversion"/>
  </si>
  <si>
    <t>신규 계약</t>
    <phoneticPr fontId="1" type="noConversion"/>
  </si>
  <si>
    <t>지급</t>
    <phoneticPr fontId="1" type="noConversion"/>
  </si>
  <si>
    <t>발생</t>
    <phoneticPr fontId="1" type="noConversion"/>
  </si>
  <si>
    <t>수수로지급Index</t>
    <phoneticPr fontId="1" type="noConversion"/>
  </si>
  <si>
    <t>펀드 및 기타운용비용 합계</t>
    <phoneticPr fontId="1" type="noConversion"/>
  </si>
  <si>
    <t>년</t>
    <phoneticPr fontId="1" type="noConversion"/>
  </si>
  <si>
    <t>영업현금흐름</t>
    <phoneticPr fontId="1" type="noConversion"/>
  </si>
  <si>
    <t>이자비용</t>
    <phoneticPr fontId="1" type="noConversion"/>
  </si>
  <si>
    <t>영업현금흐름 합계</t>
    <phoneticPr fontId="1" type="noConversion"/>
  </si>
  <si>
    <t>투자현금흐름</t>
    <phoneticPr fontId="1" type="noConversion"/>
  </si>
  <si>
    <t>자산취득</t>
    <phoneticPr fontId="1" type="noConversion"/>
  </si>
  <si>
    <t>운영기간 Capex</t>
    <phoneticPr fontId="1" type="noConversion"/>
  </si>
  <si>
    <t>자산매각</t>
    <phoneticPr fontId="1" type="noConversion"/>
  </si>
  <si>
    <t>1. 연차별 NOI산정</t>
    <phoneticPr fontId="1" type="noConversion"/>
  </si>
  <si>
    <t>연차</t>
    <phoneticPr fontId="1" type="noConversion"/>
  </si>
  <si>
    <t>합게</t>
    <phoneticPr fontId="1" type="noConversion"/>
  </si>
  <si>
    <t>임대료 수입</t>
    <phoneticPr fontId="1" type="noConversion"/>
  </si>
  <si>
    <t>관리비 수입</t>
    <phoneticPr fontId="1" type="noConversion"/>
  </si>
  <si>
    <t>(-)운영비용</t>
    <phoneticPr fontId="1" type="noConversion"/>
  </si>
  <si>
    <t>Leasing 비용</t>
    <phoneticPr fontId="1" type="noConversion"/>
  </si>
  <si>
    <t>운영수입 합계</t>
    <phoneticPr fontId="1" type="noConversion"/>
  </si>
  <si>
    <t>계약 시작일</t>
    <phoneticPr fontId="1" type="noConversion"/>
  </si>
  <si>
    <t>계약 유형</t>
    <phoneticPr fontId="1" type="noConversion"/>
  </si>
  <si>
    <t>지하5층 / 지상17층</t>
    <phoneticPr fontId="1" type="noConversion"/>
  </si>
  <si>
    <t>층별 비용</t>
    <phoneticPr fontId="1" type="noConversion"/>
  </si>
  <si>
    <t>Retail</t>
  </si>
  <si>
    <t>B101호</t>
    <phoneticPr fontId="1" type="noConversion"/>
  </si>
  <si>
    <t>B102호</t>
    <phoneticPr fontId="1" type="noConversion"/>
  </si>
  <si>
    <t>B1층</t>
    <phoneticPr fontId="1" type="noConversion"/>
  </si>
  <si>
    <t>계약기간
시작기준일</t>
    <phoneticPr fontId="1" type="noConversion"/>
  </si>
  <si>
    <t>Downtime
(개월)</t>
    <phoneticPr fontId="1" type="noConversion"/>
  </si>
  <si>
    <t>없음</t>
    <phoneticPr fontId="1" type="noConversion"/>
  </si>
  <si>
    <t>TI 총액</t>
    <phoneticPr fontId="1" type="noConversion"/>
  </si>
  <si>
    <t>로비환경개선공사</t>
    <phoneticPr fontId="1" type="noConversion"/>
  </si>
  <si>
    <t>용도변경공사</t>
    <phoneticPr fontId="1" type="noConversion"/>
  </si>
  <si>
    <t>에스컬레이터 증설</t>
    <phoneticPr fontId="1" type="noConversion"/>
  </si>
  <si>
    <t>기계/설비 교체</t>
    <phoneticPr fontId="1" type="noConversion"/>
  </si>
  <si>
    <t>기타 공사비</t>
    <phoneticPr fontId="1" type="noConversion"/>
  </si>
  <si>
    <t>Tr.A 담보대출</t>
    <phoneticPr fontId="1" type="noConversion"/>
  </si>
  <si>
    <t>Tr.B 담보대출</t>
    <phoneticPr fontId="1" type="noConversion"/>
  </si>
  <si>
    <t>기타예비비</t>
    <phoneticPr fontId="1" type="noConversion"/>
  </si>
  <si>
    <t>Rentroll 참조</t>
    <phoneticPr fontId="1" type="noConversion"/>
  </si>
  <si>
    <t>발행일</t>
    <phoneticPr fontId="1" type="noConversion"/>
  </si>
  <si>
    <t>NOI</t>
    <phoneticPr fontId="1" type="noConversion"/>
  </si>
  <si>
    <t>NOI Margin</t>
    <phoneticPr fontId="1" type="noConversion"/>
  </si>
  <si>
    <t>Normalized</t>
    <phoneticPr fontId="1" type="noConversion"/>
  </si>
  <si>
    <t>연 운영수입
(백만원)</t>
    <phoneticPr fontId="1" type="noConversion"/>
  </si>
  <si>
    <t>공실 반영</t>
    <phoneticPr fontId="1" type="noConversion"/>
  </si>
  <si>
    <t>공실 미반영</t>
    <phoneticPr fontId="1" type="noConversion"/>
  </si>
  <si>
    <t>2. N+1년차 Normalized NOI 추정</t>
    <phoneticPr fontId="1" type="noConversion"/>
  </si>
  <si>
    <t>배당</t>
    <phoneticPr fontId="1" type="noConversion"/>
  </si>
  <si>
    <t>1) 자산매각일</t>
    <phoneticPr fontId="1" type="noConversion"/>
  </si>
  <si>
    <t>2) N+1년차 Normalized 운영수입</t>
    <phoneticPr fontId="1" type="noConversion"/>
  </si>
  <si>
    <t>임대면적(평)</t>
    <phoneticPr fontId="1" type="noConversion"/>
  </si>
  <si>
    <t>신규계약일</t>
    <phoneticPr fontId="1" type="noConversion"/>
  </si>
  <si>
    <t>계약조건</t>
    <phoneticPr fontId="1" type="noConversion"/>
  </si>
  <si>
    <t>임대료단가</t>
    <phoneticPr fontId="1" type="noConversion"/>
  </si>
  <si>
    <t>관리비단가</t>
    <phoneticPr fontId="1" type="noConversion"/>
  </si>
  <si>
    <t>임대료상승률</t>
    <phoneticPr fontId="1" type="noConversion"/>
  </si>
  <si>
    <t>관리비상승률</t>
    <phoneticPr fontId="1" type="noConversion"/>
  </si>
  <si>
    <t>N+1년차</t>
    <phoneticPr fontId="1" type="noConversion"/>
  </si>
  <si>
    <t>경과년수</t>
    <phoneticPr fontId="1" type="noConversion"/>
  </si>
  <si>
    <t>임대료수입</t>
    <phoneticPr fontId="1" type="noConversion"/>
  </si>
  <si>
    <t>관리비수입</t>
    <phoneticPr fontId="1" type="noConversion"/>
  </si>
  <si>
    <t>연 운영수입</t>
    <phoneticPr fontId="1" type="noConversion"/>
  </si>
  <si>
    <t>3) N+1년차 Normalized 운영비용</t>
    <phoneticPr fontId="1" type="noConversion"/>
  </si>
  <si>
    <t>CAGR</t>
    <phoneticPr fontId="1" type="noConversion"/>
  </si>
  <si>
    <t>3. 매각가치 산정 (수익환원법)</t>
    <phoneticPr fontId="1" type="noConversion"/>
  </si>
  <si>
    <t>1) Exit Cap. Rate</t>
    <phoneticPr fontId="1" type="noConversion"/>
  </si>
  <si>
    <t>2) 임차보증금</t>
    <phoneticPr fontId="1" type="noConversion"/>
  </si>
  <si>
    <t>3) 매각가치 = N+1년차 NOI/Cap rate + 임차보증금</t>
    <phoneticPr fontId="1" type="noConversion"/>
  </si>
  <si>
    <t>N+1년차 NOI</t>
    <phoneticPr fontId="1" type="noConversion"/>
  </si>
  <si>
    <t>매각가치</t>
    <phoneticPr fontId="1" type="noConversion"/>
  </si>
  <si>
    <t>연면적당 평당 매각가치</t>
    <phoneticPr fontId="1" type="noConversion"/>
  </si>
  <si>
    <t>4. 순매각가치 산정</t>
    <phoneticPr fontId="1" type="noConversion"/>
  </si>
  <si>
    <t>1) 매각 부대비용</t>
    <phoneticPr fontId="1" type="noConversion"/>
  </si>
  <si>
    <t>매각 기본보수</t>
    <phoneticPr fontId="1" type="noConversion"/>
  </si>
  <si>
    <t>매각가의</t>
    <phoneticPr fontId="1" type="noConversion"/>
  </si>
  <si>
    <t>IRR 초과분</t>
    <phoneticPr fontId="1" type="noConversion"/>
  </si>
  <si>
    <t>매각 비용</t>
    <phoneticPr fontId="1" type="noConversion"/>
  </si>
  <si>
    <t>➔</t>
    <phoneticPr fontId="1" type="noConversion"/>
  </si>
  <si>
    <t>2) 순 매각가치</t>
    <phoneticPr fontId="1" type="noConversion"/>
  </si>
  <si>
    <t xml:space="preserve"> = 매각가치 - 매각부대비용</t>
    <phoneticPr fontId="1" type="noConversion"/>
  </si>
  <si>
    <t>5. 매각차익</t>
    <phoneticPr fontId="1" type="noConversion"/>
  </si>
  <si>
    <t xml:space="preserve"> = 순매각가치 - 총투자비</t>
    <phoneticPr fontId="1" type="noConversion"/>
  </si>
  <si>
    <t>순 매각가치</t>
    <phoneticPr fontId="1" type="noConversion"/>
  </si>
  <si>
    <t>매각차익</t>
    <phoneticPr fontId="1" type="noConversion"/>
  </si>
  <si>
    <t>운영기간 중 재원조달</t>
    <phoneticPr fontId="1" type="noConversion"/>
  </si>
  <si>
    <r>
      <t xml:space="preserve">Tr.A </t>
    </r>
    <r>
      <rPr>
        <sz val="11"/>
        <color theme="1"/>
        <rFont val="맑은 고딕"/>
        <family val="2"/>
        <charset val="129"/>
      </rPr>
      <t>리파이낸싱</t>
    </r>
    <phoneticPr fontId="1" type="noConversion"/>
  </si>
  <si>
    <t>1) 인출일 기준 NOI 산정</t>
    <phoneticPr fontId="1" type="noConversion"/>
  </si>
  <si>
    <t>한도대출</t>
    <phoneticPr fontId="1" type="noConversion"/>
  </si>
  <si>
    <t>2) 인출일 기준 Cap rate 가정</t>
    <phoneticPr fontId="1" type="noConversion"/>
  </si>
  <si>
    <t>NOI =</t>
    <phoneticPr fontId="1" type="noConversion"/>
  </si>
  <si>
    <t>리파이낸싱 LTV 산정</t>
    <phoneticPr fontId="1" type="noConversion"/>
  </si>
  <si>
    <t>3) 인출일 기준 임차보증금</t>
    <phoneticPr fontId="1" type="noConversion"/>
  </si>
  <si>
    <t>4) 인출일 기준 자산가치 산정</t>
    <phoneticPr fontId="1" type="noConversion"/>
  </si>
  <si>
    <t>민감도분석</t>
    <phoneticPr fontId="1" type="noConversion"/>
  </si>
  <si>
    <t>개월수</t>
    <phoneticPr fontId="1" type="noConversion"/>
  </si>
  <si>
    <t>1) 당기순이익 산정</t>
    <phoneticPr fontId="1" type="noConversion"/>
  </si>
  <si>
    <t>영업수익</t>
    <phoneticPr fontId="1" type="noConversion"/>
  </si>
  <si>
    <t>임대료 수익</t>
    <phoneticPr fontId="1" type="noConversion"/>
  </si>
  <si>
    <t>주차 수익</t>
    <phoneticPr fontId="1" type="noConversion"/>
  </si>
  <si>
    <t>기타 수익</t>
    <phoneticPr fontId="1" type="noConversion"/>
  </si>
  <si>
    <t>(-)영업비용</t>
    <phoneticPr fontId="1" type="noConversion"/>
  </si>
  <si>
    <t>Other Fees (Acc./Tax/etc.)</t>
    <phoneticPr fontId="1" type="noConversion"/>
  </si>
  <si>
    <t>계약연수 Index</t>
    <phoneticPr fontId="1" type="noConversion"/>
  </si>
  <si>
    <t>투자현금흐름 합계</t>
    <phoneticPr fontId="1" type="noConversion"/>
  </si>
  <si>
    <t>재무현금흐름</t>
    <phoneticPr fontId="1" type="noConversion"/>
  </si>
  <si>
    <t>자기자본 증자</t>
    <phoneticPr fontId="1" type="noConversion"/>
  </si>
  <si>
    <t>타인자본 조달</t>
    <phoneticPr fontId="1" type="noConversion"/>
  </si>
  <si>
    <t>자기자본 감자</t>
    <phoneticPr fontId="1" type="noConversion"/>
  </si>
  <si>
    <t>타인자본 상환</t>
    <phoneticPr fontId="1" type="noConversion"/>
  </si>
  <si>
    <t>운영배당</t>
    <phoneticPr fontId="1" type="noConversion"/>
  </si>
  <si>
    <t>청산배당</t>
    <phoneticPr fontId="1" type="noConversion"/>
  </si>
  <si>
    <t>•Circulation Switch</t>
    <phoneticPr fontId="1" type="noConversion"/>
  </si>
  <si>
    <t>재무현금흐름 합계</t>
    <phoneticPr fontId="1" type="noConversion"/>
  </si>
  <si>
    <t>순 현금흐름</t>
    <phoneticPr fontId="1" type="noConversion"/>
  </si>
  <si>
    <t>기초현금</t>
    <phoneticPr fontId="1" type="noConversion"/>
  </si>
  <si>
    <t>기말현금</t>
    <phoneticPr fontId="1" type="noConversion"/>
  </si>
  <si>
    <t>청산배당 전 현금잔액</t>
    <phoneticPr fontId="1" type="noConversion"/>
  </si>
  <si>
    <t>*이자비용 계산</t>
    <phoneticPr fontId="1" type="noConversion"/>
  </si>
  <si>
    <t>1) Tr.A 담보대출</t>
    <phoneticPr fontId="1" type="noConversion"/>
  </si>
  <si>
    <t>대출기간Index</t>
    <phoneticPr fontId="1" type="noConversion"/>
  </si>
  <si>
    <t>대출누적기간Index</t>
    <phoneticPr fontId="1" type="noConversion"/>
  </si>
  <si>
    <t>이자지급Index</t>
    <phoneticPr fontId="1" type="noConversion"/>
  </si>
  <si>
    <t>증감</t>
    <phoneticPr fontId="1" type="noConversion"/>
  </si>
  <si>
    <t>평균잔고</t>
    <phoneticPr fontId="1" type="noConversion"/>
  </si>
  <si>
    <t>발생이자</t>
    <phoneticPr fontId="1" type="noConversion"/>
  </si>
  <si>
    <t>지급이자</t>
    <phoneticPr fontId="1" type="noConversion"/>
  </si>
  <si>
    <t>2) Tr.B 담보대출</t>
    <phoneticPr fontId="1" type="noConversion"/>
  </si>
  <si>
    <t>3) Tr.A 리파이낸싱</t>
    <phoneticPr fontId="1" type="noConversion"/>
  </si>
  <si>
    <t>4) 한도대출</t>
    <phoneticPr fontId="1" type="noConversion"/>
  </si>
  <si>
    <t>영업CF+투자CF</t>
    <phoneticPr fontId="1" type="noConversion"/>
  </si>
  <si>
    <t>기초현금흐름</t>
    <phoneticPr fontId="1" type="noConversion"/>
  </si>
  <si>
    <t>CF for 한도대출</t>
    <phoneticPr fontId="1" type="noConversion"/>
  </si>
  <si>
    <t>차입/(상환)</t>
    <phoneticPr fontId="1" type="noConversion"/>
  </si>
  <si>
    <t>이자비용 합계</t>
    <phoneticPr fontId="1" type="noConversion"/>
  </si>
  <si>
    <t>*All-in 이자비용</t>
    <phoneticPr fontId="1" type="noConversion"/>
  </si>
  <si>
    <t>All-in이자비용 합계</t>
    <phoneticPr fontId="1" type="noConversion"/>
  </si>
  <si>
    <t>이자비용 차감전 영업현금흐름</t>
    <phoneticPr fontId="1" type="noConversion"/>
  </si>
  <si>
    <t>이자지급시점 누적현금흐름</t>
    <phoneticPr fontId="1" type="noConversion"/>
  </si>
  <si>
    <t>DSCR</t>
    <phoneticPr fontId="1" type="noConversion"/>
  </si>
  <si>
    <t>평균</t>
    <phoneticPr fontId="1" type="noConversion"/>
  </si>
  <si>
    <t>최소</t>
    <phoneticPr fontId="1" type="noConversion"/>
  </si>
  <si>
    <t>*DSCR 계산</t>
    <phoneticPr fontId="1" type="noConversion"/>
  </si>
  <si>
    <t>매각일</t>
    <phoneticPr fontId="1" type="noConversion"/>
  </si>
  <si>
    <t>매입일</t>
    <phoneticPr fontId="1" type="noConversion"/>
  </si>
  <si>
    <t>총 이자비용</t>
    <phoneticPr fontId="1" type="noConversion"/>
  </si>
  <si>
    <t>Tr.B 리파이낸싱</t>
    <phoneticPr fontId="1" type="noConversion"/>
  </si>
  <si>
    <t>4) Tr.B 리파이낸싱</t>
    <phoneticPr fontId="1" type="noConversion"/>
  </si>
  <si>
    <t>DOTZ</t>
    <phoneticPr fontId="1" type="noConversion"/>
  </si>
  <si>
    <t>영업이익</t>
    <phoneticPr fontId="1" type="noConversion"/>
  </si>
  <si>
    <t>(-)법인세</t>
    <phoneticPr fontId="1" type="noConversion"/>
  </si>
  <si>
    <t>당기순이익</t>
    <phoneticPr fontId="1" type="noConversion"/>
  </si>
  <si>
    <t>2) 운영배당액 산정</t>
    <phoneticPr fontId="1" type="noConversion"/>
  </si>
  <si>
    <t>배당가능이익</t>
    <phoneticPr fontId="1" type="noConversion"/>
  </si>
  <si>
    <t>제1종수익증권 운영배당</t>
    <phoneticPr fontId="1" type="noConversion"/>
  </si>
  <si>
    <t>배당금 지급 필요액</t>
    <phoneticPr fontId="1" type="noConversion"/>
  </si>
  <si>
    <t>배당급 지급액</t>
    <phoneticPr fontId="1" type="noConversion"/>
  </si>
  <si>
    <t>배당금 미지급액</t>
    <phoneticPr fontId="1" type="noConversion"/>
  </si>
  <si>
    <t>제2종수익증권 운영배당</t>
    <phoneticPr fontId="1" type="noConversion"/>
  </si>
  <si>
    <t>제2종수익증권 배당가능액</t>
    <phoneticPr fontId="1" type="noConversion"/>
  </si>
  <si>
    <t>제1종수익증권 운영배당액</t>
    <phoneticPr fontId="1" type="noConversion"/>
  </si>
  <si>
    <t>제2종수익증권 운영배당액</t>
    <phoneticPr fontId="1" type="noConversion"/>
  </si>
  <si>
    <t>3) 청산배당액 산정</t>
    <phoneticPr fontId="1" type="noConversion"/>
  </si>
  <si>
    <t>청산배당순서:</t>
    <phoneticPr fontId="1" type="noConversion"/>
  </si>
  <si>
    <t>제1종수익증권 운영배당 미지급금 --&gt; 제1종수익증권 매각차익 --&gt; 제1종수익증권 원본 --&gt; 제2종수익증권 매각차익 --&gt; 제2종수익증권 원본 및 잔여배당</t>
    <phoneticPr fontId="1" type="noConversion"/>
  </si>
  <si>
    <t>청산배당 전 현금 잔액</t>
    <phoneticPr fontId="1" type="noConversion"/>
  </si>
  <si>
    <t>현금 잔액 CF</t>
    <phoneticPr fontId="1" type="noConversion"/>
  </si>
  <si>
    <t>1&gt; 제1종수익증권 운영배당 미지급금</t>
    <phoneticPr fontId="1" type="noConversion"/>
  </si>
  <si>
    <t>제1종수익증권 운영배당 미지급금</t>
    <phoneticPr fontId="1" type="noConversion"/>
  </si>
  <si>
    <t>제1종수익증권 운영배당 미지급금 배당</t>
    <phoneticPr fontId="1" type="noConversion"/>
  </si>
  <si>
    <t>2&gt; 제1종수익증권 매각차익</t>
    <phoneticPr fontId="1" type="noConversion"/>
  </si>
  <si>
    <t>매각차익 배당가능액</t>
    <phoneticPr fontId="1" type="noConversion"/>
  </si>
  <si>
    <t>배당필요액</t>
    <phoneticPr fontId="1" type="noConversion"/>
  </si>
  <si>
    <t>제1종수익증권 매각차익 배당</t>
    <phoneticPr fontId="1" type="noConversion"/>
  </si>
  <si>
    <t>3&gt; 제1종수익증권 원본</t>
    <phoneticPr fontId="1" type="noConversion"/>
  </si>
  <si>
    <t>원본 상환 가능액</t>
    <phoneticPr fontId="1" type="noConversion"/>
  </si>
  <si>
    <t>제1종수익증권 원본</t>
    <phoneticPr fontId="1" type="noConversion"/>
  </si>
  <si>
    <t>제1종수익증권 원본상환</t>
    <phoneticPr fontId="1" type="noConversion"/>
  </si>
  <si>
    <t>4&gt; 제2종수익증권 매각차익</t>
    <phoneticPr fontId="1" type="noConversion"/>
  </si>
  <si>
    <t>제2종수익증권 매각차익 배당</t>
    <phoneticPr fontId="1" type="noConversion"/>
  </si>
  <si>
    <t>5&gt; 제2종수익증권 원본 및 잔여배당</t>
    <phoneticPr fontId="1" type="noConversion"/>
  </si>
  <si>
    <t>잔여배당 가능액</t>
    <phoneticPr fontId="1" type="noConversion"/>
  </si>
  <si>
    <t>제2종수익증권 원본 및 잔여배당액</t>
    <phoneticPr fontId="1" type="noConversion"/>
  </si>
  <si>
    <t>제1종수익증권 청산배당</t>
    <phoneticPr fontId="1" type="noConversion"/>
  </si>
  <si>
    <t>제2종수익증권 청산배당</t>
    <phoneticPr fontId="1" type="noConversion"/>
  </si>
  <si>
    <t>제2종수익증권 원본상환</t>
    <phoneticPr fontId="1" type="noConversion"/>
  </si>
  <si>
    <t>사업기간별 현금흐름</t>
    <phoneticPr fontId="1" type="noConversion"/>
  </si>
  <si>
    <t>사업연도(회계기간)</t>
    <phoneticPr fontId="1" type="noConversion"/>
  </si>
  <si>
    <t>회계기말 기준</t>
    <phoneticPr fontId="1" type="noConversion"/>
  </si>
  <si>
    <t>민감도 분석</t>
    <phoneticPr fontId="1" type="noConversion"/>
  </si>
  <si>
    <t>주주현금흐름</t>
    <phoneticPr fontId="1" type="noConversion"/>
  </si>
  <si>
    <t>투자</t>
    <phoneticPr fontId="1" type="noConversion"/>
  </si>
  <si>
    <t>투자원본회수</t>
    <phoneticPr fontId="1" type="noConversion"/>
  </si>
  <si>
    <t>FCFE</t>
    <phoneticPr fontId="1" type="noConversion"/>
  </si>
  <si>
    <t>회계기간별 배당수익률</t>
    <phoneticPr fontId="1" type="noConversion"/>
  </si>
  <si>
    <t>Equity IRR</t>
    <phoneticPr fontId="1" type="noConversion"/>
  </si>
  <si>
    <t>Stb Initial Cap</t>
    <phoneticPr fontId="1" type="noConversion"/>
  </si>
  <si>
    <t>월세
(원)</t>
    <phoneticPr fontId="1" type="noConversion"/>
  </si>
  <si>
    <t>201호</t>
    <phoneticPr fontId="1" type="noConversion"/>
  </si>
  <si>
    <t>202호</t>
    <phoneticPr fontId="1" type="noConversion"/>
  </si>
  <si>
    <t>203호</t>
    <phoneticPr fontId="1" type="noConversion"/>
  </si>
  <si>
    <t>204호</t>
    <phoneticPr fontId="1" type="noConversion"/>
  </si>
  <si>
    <t>101호</t>
    <phoneticPr fontId="1" type="noConversion"/>
  </si>
  <si>
    <t>102호</t>
    <phoneticPr fontId="1" type="noConversion"/>
  </si>
  <si>
    <t>2층</t>
    <phoneticPr fontId="1" type="noConversion"/>
  </si>
  <si>
    <t>1층</t>
    <phoneticPr fontId="1" type="noConversion"/>
  </si>
  <si>
    <t>운용기간과 무관</t>
    <phoneticPr fontId="1" type="noConversion"/>
  </si>
  <si>
    <t>배당수익률 (CG제외)</t>
    <phoneticPr fontId="1" type="noConversion"/>
  </si>
  <si>
    <t>배당수익률 (CG포함)</t>
    <phoneticPr fontId="1" type="noConversion"/>
  </si>
  <si>
    <t>신라젠</t>
    <phoneticPr fontId="1" type="noConversion"/>
  </si>
  <si>
    <t>Leasing 비용 발생</t>
    <phoneticPr fontId="1" type="noConversion"/>
  </si>
  <si>
    <t>Leasing 비용 발생 합계</t>
    <phoneticPr fontId="1" type="noConversion"/>
  </si>
  <si>
    <t>전체 투자신탁</t>
    <phoneticPr fontId="1" type="noConversion"/>
  </si>
  <si>
    <t>오케스트로</t>
    <phoneticPr fontId="1" type="noConversion"/>
  </si>
  <si>
    <t>1년차 Leasing 비용 합계</t>
    <phoneticPr fontId="1" type="noConversion"/>
  </si>
  <si>
    <t>옥외전광판수입 소계</t>
    <phoneticPr fontId="1" type="noConversion"/>
  </si>
  <si>
    <t>WALE</t>
    <phoneticPr fontId="1" type="noConversion"/>
  </si>
  <si>
    <t>매입시
잔존월수</t>
    <phoneticPr fontId="1" type="noConversion"/>
  </si>
  <si>
    <t>매각시점</t>
    <phoneticPr fontId="1" type="noConversion"/>
  </si>
  <si>
    <t>매입시점</t>
    <phoneticPr fontId="1" type="noConversion"/>
  </si>
  <si>
    <t>매각시
잔존월수</t>
    <phoneticPr fontId="1" type="noConversion"/>
  </si>
  <si>
    <t>전체</t>
    <phoneticPr fontId="1" type="noConversion"/>
  </si>
  <si>
    <t>리테일</t>
    <phoneticPr fontId="1" type="noConversion"/>
  </si>
  <si>
    <t>오피스</t>
    <phoneticPr fontId="1" type="noConversion"/>
  </si>
  <si>
    <t>카페 1리터</t>
    <phoneticPr fontId="1" type="noConversion"/>
  </si>
  <si>
    <t>스크린 퀀텀</t>
    <phoneticPr fontId="1" type="noConversion"/>
  </si>
  <si>
    <t>오피스 임대료</t>
    <phoneticPr fontId="1" type="noConversion"/>
  </si>
  <si>
    <t>오피스 관리비</t>
    <phoneticPr fontId="1" type="noConversion"/>
  </si>
  <si>
    <t>제1종수익증권 투자자 입장 민감도분석</t>
    <phoneticPr fontId="1" type="noConversion"/>
  </si>
  <si>
    <t>[Equity IRR]</t>
    <phoneticPr fontId="1" type="noConversion"/>
  </si>
  <si>
    <t>Exit Cap. Rate</t>
    <phoneticPr fontId="1" type="noConversion"/>
  </si>
  <si>
    <t>원/평</t>
    <phoneticPr fontId="1" type="noConversion"/>
  </si>
  <si>
    <t>Exit Cap. Rate(행)</t>
    <phoneticPr fontId="1" type="noConversion"/>
  </si>
  <si>
    <t>평당 오피스 임대료</t>
    <phoneticPr fontId="1" type="noConversion"/>
  </si>
  <si>
    <t>평당 오피스 임대료(열)</t>
    <phoneticPr fontId="1" type="noConversion"/>
  </si>
  <si>
    <t>제2종수익증권 투자자 입장 민감도분석</t>
    <phoneticPr fontId="1" type="noConversion"/>
  </si>
  <si>
    <t>평당 오피스 임대료(왼,열)</t>
    <phoneticPr fontId="1" type="noConversion"/>
  </si>
  <si>
    <t>신규 임대차 변수</t>
    <phoneticPr fontId="1" type="noConversion"/>
  </si>
  <si>
    <t>민감도분석 변수</t>
    <phoneticPr fontId="1" type="noConversion"/>
  </si>
  <si>
    <t>오피스 E.NOC(오,열)</t>
    <phoneticPr fontId="1" type="noConversion"/>
  </si>
  <si>
    <t>재계약 및 임차확약</t>
    <phoneticPr fontId="1" type="noConversion"/>
  </si>
  <si>
    <t>공사비용</t>
    <phoneticPr fontId="1" type="noConversion"/>
  </si>
  <si>
    <t>커튼월, 테라스공사, 옥외전광판 설치 등</t>
    <phoneticPr fontId="1" type="noConversion"/>
  </si>
  <si>
    <t>의</t>
    <phoneticPr fontId="1" type="noConversion"/>
  </si>
  <si>
    <t>*2종수익증권 목표 IRR</t>
    <phoneticPr fontId="1" type="noConversion"/>
  </si>
  <si>
    <t>Going-in Cap</t>
    <phoneticPr fontId="1" type="noConversion"/>
  </si>
  <si>
    <t>1F 대비 B1 효용비율</t>
    <phoneticPr fontId="1" type="noConversion"/>
  </si>
  <si>
    <t>전체비율</t>
    <phoneticPr fontId="1" type="noConversion"/>
  </si>
  <si>
    <t>편안창고 스토리지</t>
    <phoneticPr fontId="1" type="noConversion"/>
  </si>
  <si>
    <t>•기존 Rentroll 공실률:</t>
    <phoneticPr fontId="1" type="noConversion"/>
  </si>
  <si>
    <t>매입 1달 후 30% 감소</t>
    <phoneticPr fontId="1" type="noConversion"/>
  </si>
  <si>
    <t>(-)이자비용</t>
    <phoneticPr fontId="1" type="noConversion"/>
  </si>
  <si>
    <t>타이거로켓</t>
    <phoneticPr fontId="1" type="noConversion"/>
  </si>
  <si>
    <t>111퍼센트</t>
    <phoneticPr fontId="1" type="noConversion"/>
  </si>
  <si>
    <t>2-2) N+1년차 임대 외 수입</t>
    <phoneticPr fontId="1" type="noConversion"/>
  </si>
  <si>
    <t>전광판 수입</t>
    <phoneticPr fontId="1" type="noConversion"/>
  </si>
  <si>
    <t>전광판수입</t>
    <phoneticPr fontId="1" type="noConversion"/>
  </si>
  <si>
    <t>브라보은행</t>
    <phoneticPr fontId="1" type="noConversion"/>
  </si>
  <si>
    <t>에코생명</t>
    <phoneticPr fontId="1" type="noConversion"/>
  </si>
  <si>
    <t>매각 성과보수 (2종 기준)</t>
    <phoneticPr fontId="1" type="noConversion"/>
  </si>
  <si>
    <t>RMW CARNE</t>
    <phoneticPr fontId="1" type="noConversion"/>
  </si>
  <si>
    <t>키이로</t>
    <phoneticPr fontId="1" type="noConversion"/>
  </si>
  <si>
    <t>주 052</t>
    <phoneticPr fontId="1" type="noConversion"/>
  </si>
  <si>
    <t>바이닐 청계</t>
    <phoneticPr fontId="1" type="noConversion"/>
  </si>
  <si>
    <t>전광판 수익</t>
    <phoneticPr fontId="1" type="noConversion"/>
  </si>
  <si>
    <t>최초 1기 6개월 지급이연</t>
    <phoneticPr fontId="1" type="noConversion"/>
  </si>
  <si>
    <t>연 이자율 (왼,열)</t>
    <phoneticPr fontId="1" type="noConversion"/>
  </si>
  <si>
    <t>All-in 이자율 (오,열)</t>
    <phoneticPr fontId="1" type="noConversion"/>
  </si>
  <si>
    <t>Re-fi 이자율</t>
    <phoneticPr fontId="1" type="noConversion"/>
  </si>
  <si>
    <t>[Tr.A Re-fi 이자율]</t>
    <phoneticPr fontId="1" type="noConversion"/>
  </si>
  <si>
    <t>대신 10%p 상향계약</t>
    <phoneticPr fontId="1" type="noConversion"/>
  </si>
  <si>
    <t>옥외전광판 공사기간 1개월</t>
    <phoneticPr fontId="1" type="noConversion"/>
  </si>
  <si>
    <t>타이거로켓(395억), KT에스테이트(70억)</t>
    <phoneticPr fontId="1" type="noConversion"/>
  </si>
  <si>
    <t>Leasing 비용 지급이연 (최초 1년차만 해당)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</si>
</sst>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#,##0_);[Red]\(#,##0\);\-_)"/>
    <numFmt numFmtId="165" formatCode="#,##0.0000_);[Red]\(#,##0\);\-_)"/>
    <numFmt numFmtId="166" formatCode="yyyy\/mm"/>
    <numFmt numFmtId="167" formatCode="#,##0&quot;년&quot;_);[Red]\(#,##0\);\-_)"/>
    <numFmt numFmtId="168" formatCode="#,##0&quot;개&quot;&quot;월&quot;_);[Red]\(#,##0\);\-_)"/>
    <numFmt numFmtId="169" formatCode="yyyy"/>
    <numFmt numFmtId="170" formatCode="#,##0&quot;층&quot;_);[Red]\(#,##0\);\-_)"/>
    <numFmt numFmtId="171" formatCode="#,##0.00_);[Red]\(#,##0.00\);\-_)"/>
    <numFmt numFmtId="172" formatCode="0.0%"/>
    <numFmt numFmtId="173" formatCode="#,##0&quot;기&quot;_);[Red]\(#,##0\);\-_)"/>
    <numFmt numFmtId="174" formatCode="#,##0&quot;년&quot;&quot;차&quot;_);[Red]\(#,##0\);\-_)"/>
    <numFmt numFmtId="175" formatCode="#,##0.00_);[Red]\(#,##0\);\-_)"/>
    <numFmt numFmtId="176" formatCode="#,##0&quot;개&quot;&quot;월&quot;&quot;후&quot;&quot;취&quot;_);[Red]\(#,##0\);\-_)"/>
    <numFmt numFmtId="177" formatCode="#,##0&quot;원&quot;_);[Red]\(#,##0\);\-_)"/>
    <numFmt numFmtId="178" formatCode="#,##0&quot;평&quot;_);[Red]\(#,##0\);\-_)"/>
    <numFmt numFmtId="179" formatCode="#,##0&quot;백&quot;&quot;만&quot;&quot;원&quot;&quot;의&quot;_);[Red]\(#,##0\);\-_)"/>
    <numFmt numFmtId="180" formatCode="#,##0&quot;의&quot;_);[Red]\(#,##0\);\-_)"/>
    <numFmt numFmtId="181" formatCode="#,##0&quot;백&quot;&quot;만&quot;&quot;원&quot;_);[Red]\(#,##0\);\-_)"/>
    <numFmt numFmtId="182" formatCode="#,##0&quot;월&quot;_);[Red]\(#,##0\);\-_)"/>
    <numFmt numFmtId="183" formatCode="&quot;신규계약&quot;;;&quot;재계약&quot;"/>
    <numFmt numFmtId="184" formatCode="\(#,##0&quot;년&quot;&quot;차&quot;\)_);[Red]\(#,##0\);\-_)"/>
    <numFmt numFmtId="185" formatCode="#,##0&quot;년&quot;&quot;차&quot;_)"/>
    <numFmt numFmtId="186" formatCode="&quot;연&quot;\ #,##0&quot;개&quot;&quot;월&quot;_);[Red]\(#,##0\);\-_)"/>
    <numFmt numFmtId="187" formatCode="&quot;ON&quot;;;&quot;OFF&quot;"/>
    <numFmt numFmtId="188" formatCode="#,##0.0&quot;개&quot;&quot;월&quot;_);[Red]\(#,##0\);\-_)"/>
    <numFmt numFmtId="189" formatCode="#,##0.00&quot;년&quot;_);[Red]\(#,##0.00\)"/>
    <numFmt numFmtId="190" formatCode="#,##0.0&quot;만&quot;&quot;원&quot;_);[Red]\(#,##0\);\-_)"/>
    <numFmt numFmtId="191" formatCode="yyyy\/mm\/dd"/>
    <numFmt numFmtId="192" formatCode="#,##0.0000_);[Red]\(#,##0.0000\);\-_)"/>
  </numFmts>
  <fonts count="1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9"/>
      <color theme="1"/>
      <name val="Calibri"/>
      <family val="2"/>
      <charset val="129"/>
      <scheme val="minor"/>
    </font>
    <font>
      <sz val="11"/>
      <color rgb="FF000000"/>
      <name val="Calibri"/>
      <family val="2"/>
      <charset val="129"/>
      <scheme val="minor"/>
    </font>
    <font>
      <sz val="11"/>
      <color rgb="FFFFFFFF"/>
      <name val="Calibri"/>
      <family val="2"/>
      <charset val="129"/>
      <scheme val="minor"/>
    </font>
    <font>
      <sz val="11"/>
      <color rgb="FF44546A"/>
      <name val="Calibri"/>
      <family val="2"/>
      <charset val="129"/>
      <scheme val="minor"/>
    </font>
    <font>
      <sz val="11"/>
      <color rgb="FF70AD47"/>
      <name val="Calibri"/>
      <family val="2"/>
      <charset val="129"/>
      <scheme val="minor"/>
    </font>
    <font>
      <sz val="11"/>
      <color theme="1"/>
      <name val="Segoe UI Symbol"/>
      <family val="2"/>
    </font>
    <font>
      <b/>
      <sz val="11"/>
      <color rgb="FFFFFFFF"/>
      <name val="Calibri"/>
      <family val="2"/>
      <charset val="129"/>
      <scheme val="minor"/>
    </font>
    <font>
      <sz val="11"/>
      <color theme="9"/>
      <name val="Calibri"/>
      <family val="2"/>
      <charset val="129"/>
      <scheme val="minor"/>
    </font>
    <font>
      <b/>
      <sz val="11"/>
      <color rgb="FF000000"/>
      <name val="Calibri"/>
      <family val="2"/>
      <charset val="129"/>
      <scheme val="minor"/>
    </font>
    <font>
      <sz val="11"/>
      <color rgb="FF00B050"/>
      <name val="Calibri"/>
      <family val="2"/>
      <charset val="129"/>
      <scheme val="minor"/>
    </font>
    <font>
      <sz val="11"/>
      <color theme="4"/>
      <name val="Calibri"/>
      <family val="2"/>
      <charset val="129"/>
      <scheme val="minor"/>
    </font>
    <font>
      <sz val="11"/>
      <color theme="1"/>
      <name val="맑은 고딕"/>
      <family val="3"/>
    </font>
    <font>
      <b/>
      <sz val="11"/>
      <color theme="0"/>
      <name val="Calibri"/>
      <family val="2"/>
      <charset val="129"/>
      <scheme val="minor"/>
    </font>
    <font>
      <sz val="11"/>
      <color theme="1"/>
      <name val="맑은 고딕"/>
      <family val="2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-0.499984740745262"/>
        <bgColor rgb="FF000000"/>
      </patternFill>
    </fill>
  </fills>
  <borders count="44">
    <border>
      <left/>
      <right/>
      <top/>
      <bottom/>
      <diagonal/>
    </border>
    <border>
      <left/>
      <right/>
      <top/>
      <bottom style="thick">
        <color rgb="FF00B05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380">
    <xf numFmtId="0" fontId="0" fillId="0" borderId="0" xfId="0">
      <alignment vertical="center"/>
    </xf>
    <xf numFmtId="164" fontId="4" fillId="0" borderId="0" xfId="0" applyNumberFormat="1" applyFont="1">
      <alignment vertical="center"/>
    </xf>
    <xf numFmtId="164" fontId="3" fillId="0" borderId="0" xfId="0" applyNumberFormat="1" applyFont="1">
      <alignment vertical="center"/>
    </xf>
    <xf numFmtId="164" fontId="2" fillId="2" borderId="0" xfId="0" applyNumberFormat="1" applyFont="1" applyFill="1">
      <alignment vertical="center"/>
    </xf>
    <xf numFmtId="164" fontId="5" fillId="3" borderId="0" xfId="0" applyNumberFormat="1" applyFont="1" applyFill="1">
      <alignment vertical="center"/>
    </xf>
    <xf numFmtId="164" fontId="6" fillId="4" borderId="0" xfId="0" applyNumberFormat="1" applyFont="1" applyFill="1">
      <alignment vertical="center"/>
    </xf>
    <xf numFmtId="164" fontId="7" fillId="0" borderId="0" xfId="0" applyNumberFormat="1" applyFont="1">
      <alignment vertical="center"/>
    </xf>
    <xf numFmtId="164" fontId="5" fillId="5" borderId="0" xfId="0" applyNumberFormat="1" applyFont="1" applyFill="1">
      <alignment vertical="center"/>
    </xf>
    <xf numFmtId="164" fontId="5" fillId="6" borderId="0" xfId="0" applyNumberFormat="1" applyFont="1" applyFill="1">
      <alignment vertical="center"/>
    </xf>
    <xf numFmtId="164" fontId="5" fillId="7" borderId="0" xfId="0" applyNumberFormat="1" applyFont="1" applyFill="1">
      <alignment vertical="center"/>
    </xf>
    <xf numFmtId="164" fontId="6" fillId="8" borderId="0" xfId="0" applyNumberFormat="1" applyFont="1" applyFill="1">
      <alignment vertical="center"/>
    </xf>
    <xf numFmtId="164" fontId="8" fillId="0" borderId="0" xfId="0" applyNumberFormat="1" applyFont="1">
      <alignment vertical="center"/>
    </xf>
    <xf numFmtId="164" fontId="4" fillId="0" borderId="1" xfId="0" applyNumberFormat="1" applyFont="1" applyBorder="1">
      <alignment vertical="center"/>
    </xf>
    <xf numFmtId="164" fontId="0" fillId="0" borderId="0" xfId="0" applyNumberFormat="1">
      <alignment vertical="center"/>
    </xf>
    <xf numFmtId="164" fontId="4" fillId="0" borderId="0" xfId="0" applyNumberFormat="1" applyFont="1" applyAlignment="1">
      <alignment horizontal="left" vertical="center"/>
    </xf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166" fontId="2" fillId="9" borderId="0" xfId="0" applyNumberFormat="1" applyFont="1" applyFill="1">
      <alignment vertical="center"/>
    </xf>
    <xf numFmtId="167" fontId="2" fillId="9" borderId="0" xfId="0" applyNumberFormat="1" applyFont="1" applyFill="1">
      <alignment vertical="center"/>
    </xf>
    <xf numFmtId="168" fontId="0" fillId="0" borderId="0" xfId="0" applyNumberFormat="1">
      <alignment vertical="center"/>
    </xf>
    <xf numFmtId="164" fontId="9" fillId="0" borderId="0" xfId="0" applyNumberFormat="1" applyFont="1">
      <alignment vertical="center"/>
    </xf>
    <xf numFmtId="169" fontId="0" fillId="0" borderId="0" xfId="0" applyNumberFormat="1">
      <alignment vertical="center"/>
    </xf>
    <xf numFmtId="164" fontId="10" fillId="4" borderId="0" xfId="0" applyNumberFormat="1" applyFont="1" applyFill="1">
      <alignment vertical="center"/>
    </xf>
    <xf numFmtId="164" fontId="11" fillId="0" borderId="0" xfId="0" applyNumberFormat="1" applyFont="1">
      <alignment vertical="center"/>
    </xf>
    <xf numFmtId="164" fontId="5" fillId="6" borderId="8" xfId="0" applyNumberFormat="1" applyFont="1" applyFill="1" applyBorder="1">
      <alignment vertical="center"/>
    </xf>
    <xf numFmtId="164" fontId="5" fillId="6" borderId="9" xfId="0" applyNumberFormat="1" applyFont="1" applyFill="1" applyBorder="1">
      <alignment vertical="center"/>
    </xf>
    <xf numFmtId="170" fontId="0" fillId="0" borderId="10" xfId="0" applyNumberFormat="1" applyBorder="1" applyAlignment="1">
      <alignment horizontal="center" vertical="center"/>
    </xf>
    <xf numFmtId="170" fontId="0" fillId="0" borderId="12" xfId="0" applyNumberFormat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1" fontId="0" fillId="0" borderId="3" xfId="0" applyNumberFormat="1" applyBorder="1">
      <alignment vertical="center"/>
    </xf>
    <xf numFmtId="168" fontId="0" fillId="0" borderId="3" xfId="0" applyNumberFormat="1" applyBorder="1">
      <alignment vertical="center"/>
    </xf>
    <xf numFmtId="164" fontId="0" fillId="0" borderId="3" xfId="0" applyNumberFormat="1" applyBorder="1">
      <alignment vertical="center"/>
    </xf>
    <xf numFmtId="164" fontId="2" fillId="9" borderId="3" xfId="0" applyNumberFormat="1" applyFont="1" applyFill="1" applyBorder="1">
      <alignment vertical="center"/>
    </xf>
    <xf numFmtId="168" fontId="2" fillId="9" borderId="3" xfId="0" applyNumberFormat="1" applyFont="1" applyFill="1" applyBorder="1">
      <alignment vertical="center"/>
    </xf>
    <xf numFmtId="10" fontId="2" fillId="9" borderId="3" xfId="0" applyNumberFormat="1" applyFont="1" applyFill="1" applyBorder="1">
      <alignment vertical="center"/>
    </xf>
    <xf numFmtId="10" fontId="2" fillId="9" borderId="11" xfId="0" applyNumberFormat="1" applyFont="1" applyFill="1" applyBorder="1">
      <alignment vertical="center"/>
    </xf>
    <xf numFmtId="171" fontId="5" fillId="3" borderId="14" xfId="0" applyNumberFormat="1" applyFont="1" applyFill="1" applyBorder="1">
      <alignment vertical="center"/>
    </xf>
    <xf numFmtId="164" fontId="5" fillId="3" borderId="14" xfId="0" applyNumberFormat="1" applyFont="1" applyFill="1" applyBorder="1">
      <alignment vertical="center"/>
    </xf>
    <xf numFmtId="164" fontId="5" fillId="3" borderId="15" xfId="0" applyNumberFormat="1" applyFont="1" applyFill="1" applyBorder="1">
      <alignment vertical="center"/>
    </xf>
    <xf numFmtId="171" fontId="5" fillId="3" borderId="17" xfId="0" applyNumberFormat="1" applyFont="1" applyFill="1" applyBorder="1">
      <alignment vertical="center"/>
    </xf>
    <xf numFmtId="164" fontId="5" fillId="3" borderId="17" xfId="0" applyNumberFormat="1" applyFont="1" applyFill="1" applyBorder="1">
      <alignment vertical="center"/>
    </xf>
    <xf numFmtId="164" fontId="5" fillId="3" borderId="18" xfId="0" applyNumberFormat="1" applyFont="1" applyFill="1" applyBorder="1">
      <alignment vertical="center"/>
    </xf>
    <xf numFmtId="171" fontId="12" fillId="5" borderId="20" xfId="0" applyNumberFormat="1" applyFont="1" applyFill="1" applyBorder="1">
      <alignment vertical="center"/>
    </xf>
    <xf numFmtId="164" fontId="12" fillId="5" borderId="20" xfId="0" applyNumberFormat="1" applyFont="1" applyFill="1" applyBorder="1">
      <alignment vertical="center"/>
    </xf>
    <xf numFmtId="164" fontId="12" fillId="5" borderId="21" xfId="0" applyNumberFormat="1" applyFont="1" applyFill="1" applyBorder="1">
      <alignment vertical="center"/>
    </xf>
    <xf numFmtId="170" fontId="0" fillId="0" borderId="2" xfId="0" applyNumberFormat="1" applyBorder="1" applyAlignment="1">
      <alignment horizontal="center" vertical="center"/>
    </xf>
    <xf numFmtId="170" fontId="0" fillId="0" borderId="6" xfId="0" applyNumberFormat="1" applyBorder="1" applyAlignment="1">
      <alignment horizontal="center" vertical="center"/>
    </xf>
    <xf numFmtId="171" fontId="0" fillId="0" borderId="4" xfId="0" applyNumberFormat="1" applyBorder="1">
      <alignment vertical="center"/>
    </xf>
    <xf numFmtId="164" fontId="0" fillId="0" borderId="4" xfId="0" applyNumberFormat="1" applyBorder="1">
      <alignment vertical="center"/>
    </xf>
    <xf numFmtId="164" fontId="2" fillId="9" borderId="4" xfId="0" applyNumberFormat="1" applyFont="1" applyFill="1" applyBorder="1">
      <alignment vertical="center"/>
    </xf>
    <xf numFmtId="168" fontId="2" fillId="9" borderId="4" xfId="0" applyNumberFormat="1" applyFont="1" applyFill="1" applyBorder="1">
      <alignment vertical="center"/>
    </xf>
    <xf numFmtId="10" fontId="2" fillId="9" borderId="4" xfId="0" applyNumberFormat="1" applyFont="1" applyFill="1" applyBorder="1">
      <alignment vertical="center"/>
    </xf>
    <xf numFmtId="10" fontId="2" fillId="9" borderId="5" xfId="0" applyNumberFormat="1" applyFont="1" applyFill="1" applyBorder="1">
      <alignment vertical="center"/>
    </xf>
    <xf numFmtId="164" fontId="0" fillId="10" borderId="11" xfId="0" applyNumberFormat="1" applyFill="1" applyBorder="1" applyAlignment="1">
      <alignment horizontal="center" vertical="center"/>
    </xf>
    <xf numFmtId="172" fontId="0" fillId="0" borderId="3" xfId="0" applyNumberFormat="1" applyBorder="1">
      <alignment vertical="center"/>
    </xf>
    <xf numFmtId="172" fontId="0" fillId="0" borderId="4" xfId="0" applyNumberFormat="1" applyBorder="1">
      <alignment vertical="center"/>
    </xf>
    <xf numFmtId="164" fontId="6" fillId="0" borderId="0" xfId="0" applyNumberFormat="1" applyFont="1">
      <alignment vertical="center"/>
    </xf>
    <xf numFmtId="172" fontId="5" fillId="3" borderId="14" xfId="0" applyNumberFormat="1" applyFont="1" applyFill="1" applyBorder="1">
      <alignment vertical="center"/>
    </xf>
    <xf numFmtId="172" fontId="5" fillId="3" borderId="17" xfId="0" applyNumberFormat="1" applyFont="1" applyFill="1" applyBorder="1">
      <alignment vertical="center"/>
    </xf>
    <xf numFmtId="172" fontId="12" fillId="5" borderId="20" xfId="0" applyNumberFormat="1" applyFont="1" applyFill="1" applyBorder="1">
      <alignment vertical="center"/>
    </xf>
    <xf numFmtId="164" fontId="13" fillId="0" borderId="8" xfId="0" applyNumberFormat="1" applyFont="1" applyBorder="1">
      <alignment vertical="center"/>
    </xf>
    <xf numFmtId="173" fontId="13" fillId="0" borderId="8" xfId="0" applyNumberFormat="1" applyFont="1" applyBorder="1">
      <alignment vertical="center"/>
    </xf>
    <xf numFmtId="166" fontId="13" fillId="0" borderId="8" xfId="0" applyNumberFormat="1" applyFont="1" applyBorder="1">
      <alignment vertical="center"/>
    </xf>
    <xf numFmtId="164" fontId="13" fillId="0" borderId="0" xfId="0" applyNumberFormat="1" applyFont="1">
      <alignment vertical="center"/>
    </xf>
    <xf numFmtId="164" fontId="0" fillId="11" borderId="0" xfId="0" applyNumberFormat="1" applyFill="1">
      <alignment vertical="center"/>
    </xf>
    <xf numFmtId="166" fontId="0" fillId="11" borderId="0" xfId="0" applyNumberFormat="1" applyFill="1">
      <alignment vertical="center"/>
    </xf>
    <xf numFmtId="173" fontId="0" fillId="11" borderId="0" xfId="0" applyNumberFormat="1" applyFill="1">
      <alignment vertical="center"/>
    </xf>
    <xf numFmtId="164" fontId="0" fillId="11" borderId="22" xfId="0" applyNumberFormat="1" applyFill="1" applyBorder="1">
      <alignment vertical="center"/>
    </xf>
    <xf numFmtId="174" fontId="0" fillId="11" borderId="22" xfId="0" applyNumberFormat="1" applyFill="1" applyBorder="1">
      <alignment vertical="center"/>
    </xf>
    <xf numFmtId="164" fontId="0" fillId="0" borderId="3" xfId="0" applyNumberFormat="1" applyBorder="1" applyAlignment="1">
      <alignment horizontal="center" vertical="center"/>
    </xf>
    <xf numFmtId="164" fontId="0" fillId="11" borderId="7" xfId="0" applyNumberFormat="1" applyFill="1" applyBorder="1" applyAlignment="1">
      <alignment horizontal="center" vertical="center"/>
    </xf>
    <xf numFmtId="164" fontId="0" fillId="11" borderId="8" xfId="0" applyNumberFormat="1" applyFill="1" applyBorder="1" applyAlignment="1">
      <alignment horizontal="center" vertical="center"/>
    </xf>
    <xf numFmtId="164" fontId="0" fillId="11" borderId="9" xfId="0" applyNumberFormat="1" applyFill="1" applyBorder="1" applyAlignment="1">
      <alignment horizontal="center" vertical="center"/>
    </xf>
    <xf numFmtId="164" fontId="0" fillId="0" borderId="6" xfId="0" applyNumberFormat="1" applyBorder="1">
      <alignment vertical="center"/>
    </xf>
    <xf numFmtId="170" fontId="0" fillId="0" borderId="23" xfId="0" applyNumberFormat="1" applyBorder="1" applyAlignment="1">
      <alignment horizontal="center" vertical="center"/>
    </xf>
    <xf numFmtId="164" fontId="0" fillId="0" borderId="23" xfId="0" applyNumberFormat="1" applyBorder="1">
      <alignment vertical="center"/>
    </xf>
    <xf numFmtId="164" fontId="0" fillId="0" borderId="10" xfId="0" applyNumberFormat="1" applyBorder="1">
      <alignment vertical="center"/>
    </xf>
    <xf numFmtId="164" fontId="10" fillId="8" borderId="0" xfId="0" applyNumberFormat="1" applyFont="1" applyFill="1">
      <alignment vertical="center"/>
    </xf>
    <xf numFmtId="164" fontId="14" fillId="0" borderId="11" xfId="0" applyNumberFormat="1" applyFont="1" applyBorder="1">
      <alignment vertical="center"/>
    </xf>
    <xf numFmtId="164" fontId="14" fillId="0" borderId="5" xfId="0" applyNumberFormat="1" applyFont="1" applyBorder="1">
      <alignment vertical="center"/>
    </xf>
    <xf numFmtId="166" fontId="0" fillId="0" borderId="3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75" fontId="0" fillId="0" borderId="3" xfId="0" applyNumberFormat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168" fontId="9" fillId="0" borderId="3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0" fontId="0" fillId="0" borderId="6" xfId="0" applyNumberFormat="1" applyBorder="1">
      <alignment vertical="center"/>
    </xf>
    <xf numFmtId="10" fontId="0" fillId="0" borderId="23" xfId="0" applyNumberFormat="1" applyBorder="1">
      <alignment vertical="center"/>
    </xf>
    <xf numFmtId="10" fontId="0" fillId="0" borderId="10" xfId="0" applyNumberFormat="1" applyBorder="1">
      <alignment vertical="center"/>
    </xf>
    <xf numFmtId="10" fontId="0" fillId="0" borderId="0" xfId="0" applyNumberFormat="1">
      <alignment vertical="center"/>
    </xf>
    <xf numFmtId="164" fontId="0" fillId="0" borderId="24" xfId="0" applyNumberFormat="1" applyBorder="1">
      <alignment vertical="center"/>
    </xf>
    <xf numFmtId="164" fontId="0" fillId="0" borderId="11" xfId="0" applyNumberFormat="1" applyBorder="1">
      <alignment vertical="center"/>
    </xf>
    <xf numFmtId="164" fontId="2" fillId="9" borderId="23" xfId="0" applyNumberFormat="1" applyFont="1" applyFill="1" applyBorder="1">
      <alignment vertical="center"/>
    </xf>
    <xf numFmtId="164" fontId="2" fillId="9" borderId="10" xfId="0" applyNumberFormat="1" applyFont="1" applyFill="1" applyBorder="1">
      <alignment vertical="center"/>
    </xf>
    <xf numFmtId="164" fontId="2" fillId="9" borderId="0" xfId="0" applyNumberFormat="1" applyFont="1" applyFill="1">
      <alignment vertical="center"/>
    </xf>
    <xf numFmtId="164" fontId="5" fillId="3" borderId="16" xfId="0" applyNumberFormat="1" applyFont="1" applyFill="1" applyBorder="1">
      <alignment vertical="center"/>
    </xf>
    <xf numFmtId="10" fontId="5" fillId="3" borderId="16" xfId="0" applyNumberFormat="1" applyFont="1" applyFill="1" applyBorder="1">
      <alignment vertical="center"/>
    </xf>
    <xf numFmtId="166" fontId="0" fillId="0" borderId="10" xfId="0" applyNumberFormat="1" applyBorder="1">
      <alignment vertical="center"/>
    </xf>
    <xf numFmtId="10" fontId="2" fillId="9" borderId="10" xfId="0" applyNumberFormat="1" applyFont="1" applyFill="1" applyBorder="1">
      <alignment vertical="center"/>
    </xf>
    <xf numFmtId="172" fontId="2" fillId="9" borderId="10" xfId="0" applyNumberFormat="1" applyFont="1" applyFill="1" applyBorder="1">
      <alignment vertical="center"/>
    </xf>
    <xf numFmtId="172" fontId="0" fillId="0" borderId="0" xfId="0" applyNumberFormat="1">
      <alignment vertical="center"/>
    </xf>
    <xf numFmtId="164" fontId="0" fillId="0" borderId="25" xfId="0" applyNumberFormat="1" applyBorder="1">
      <alignment vertical="center"/>
    </xf>
    <xf numFmtId="164" fontId="5" fillId="3" borderId="26" xfId="0" applyNumberFormat="1" applyFont="1" applyFill="1" applyBorder="1">
      <alignment vertical="center"/>
    </xf>
    <xf numFmtId="168" fontId="0" fillId="0" borderId="6" xfId="0" applyNumberFormat="1" applyBorder="1">
      <alignment vertical="center"/>
    </xf>
    <xf numFmtId="176" fontId="2" fillId="9" borderId="10" xfId="0" applyNumberFormat="1" applyFont="1" applyFill="1" applyBorder="1">
      <alignment vertical="center"/>
    </xf>
    <xf numFmtId="10" fontId="14" fillId="0" borderId="10" xfId="0" applyNumberFormat="1" applyFont="1" applyBorder="1">
      <alignment vertical="center"/>
    </xf>
    <xf numFmtId="164" fontId="3" fillId="0" borderId="10" xfId="0" applyNumberFormat="1" applyFont="1" applyBorder="1">
      <alignment vertical="center"/>
    </xf>
    <xf numFmtId="14" fontId="0" fillId="0" borderId="0" xfId="0" applyNumberFormat="1">
      <alignment vertical="center"/>
    </xf>
    <xf numFmtId="164" fontId="2" fillId="0" borderId="0" xfId="0" applyNumberFormat="1" applyFont="1">
      <alignment vertical="center"/>
    </xf>
    <xf numFmtId="164" fontId="5" fillId="0" borderId="0" xfId="0" applyNumberFormat="1" applyFont="1">
      <alignment vertical="center"/>
    </xf>
    <xf numFmtId="10" fontId="2" fillId="9" borderId="0" xfId="0" applyNumberFormat="1" applyFont="1" applyFill="1">
      <alignment vertical="center"/>
    </xf>
    <xf numFmtId="164" fontId="0" fillId="0" borderId="9" xfId="0" applyNumberFormat="1" applyBorder="1">
      <alignment vertical="center"/>
    </xf>
    <xf numFmtId="177" fontId="2" fillId="9" borderId="23" xfId="0" applyNumberFormat="1" applyFont="1" applyFill="1" applyBorder="1">
      <alignment vertical="center"/>
    </xf>
    <xf numFmtId="10" fontId="2" fillId="9" borderId="23" xfId="0" applyNumberFormat="1" applyFont="1" applyFill="1" applyBorder="1">
      <alignment vertical="center"/>
    </xf>
    <xf numFmtId="164" fontId="5" fillId="6" borderId="23" xfId="0" applyNumberFormat="1" applyFont="1" applyFill="1" applyBorder="1">
      <alignment vertical="center"/>
    </xf>
    <xf numFmtId="164" fontId="2" fillId="9" borderId="9" xfId="0" applyNumberFormat="1" applyFont="1" applyFill="1" applyBorder="1">
      <alignment vertical="center"/>
    </xf>
    <xf numFmtId="164" fontId="2" fillId="9" borderId="24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64" fontId="5" fillId="5" borderId="13" xfId="0" applyNumberFormat="1" applyFont="1" applyFill="1" applyBorder="1">
      <alignment vertical="center"/>
    </xf>
    <xf numFmtId="164" fontId="5" fillId="3" borderId="23" xfId="0" applyNumberFormat="1" applyFont="1" applyFill="1" applyBorder="1">
      <alignment vertical="center"/>
    </xf>
    <xf numFmtId="10" fontId="14" fillId="0" borderId="23" xfId="0" applyNumberFormat="1" applyFont="1" applyBorder="1">
      <alignment vertical="center"/>
    </xf>
    <xf numFmtId="10" fontId="14" fillId="0" borderId="0" xfId="0" applyNumberFormat="1" applyFont="1">
      <alignment vertical="center"/>
    </xf>
    <xf numFmtId="10" fontId="14" fillId="3" borderId="16" xfId="0" applyNumberFormat="1" applyFont="1" applyFill="1" applyBorder="1">
      <alignment vertical="center"/>
    </xf>
    <xf numFmtId="164" fontId="0" fillId="0" borderId="7" xfId="0" applyNumberFormat="1" applyBorder="1">
      <alignment vertical="center"/>
    </xf>
    <xf numFmtId="164" fontId="0" fillId="0" borderId="27" xfId="0" applyNumberFormat="1" applyBorder="1">
      <alignment vertical="center"/>
    </xf>
    <xf numFmtId="177" fontId="2" fillId="9" borderId="10" xfId="0" applyNumberFormat="1" applyFont="1" applyFill="1" applyBorder="1">
      <alignment vertical="center"/>
    </xf>
    <xf numFmtId="164" fontId="5" fillId="6" borderId="7" xfId="0" applyNumberFormat="1" applyFont="1" applyFill="1" applyBorder="1">
      <alignment vertical="center"/>
    </xf>
    <xf numFmtId="181" fontId="0" fillId="0" borderId="0" xfId="0" applyNumberFormat="1">
      <alignment vertical="center"/>
    </xf>
    <xf numFmtId="170" fontId="0" fillId="0" borderId="16" xfId="0" applyNumberFormat="1" applyBorder="1" applyAlignment="1">
      <alignment horizontal="center" vertical="center"/>
    </xf>
    <xf numFmtId="164" fontId="0" fillId="0" borderId="16" xfId="0" applyNumberFormat="1" applyBorder="1">
      <alignment vertical="center"/>
    </xf>
    <xf numFmtId="164" fontId="15" fillId="0" borderId="0" xfId="0" applyNumberFormat="1" applyFont="1">
      <alignment vertical="center"/>
    </xf>
    <xf numFmtId="172" fontId="2" fillId="9" borderId="23" xfId="0" applyNumberFormat="1" applyFont="1" applyFill="1" applyBorder="1">
      <alignment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64" fontId="0" fillId="0" borderId="28" xfId="0" applyNumberFormat="1" applyBorder="1">
      <alignment vertical="center"/>
    </xf>
    <xf numFmtId="182" fontId="13" fillId="0" borderId="0" xfId="0" applyNumberFormat="1" applyFont="1">
      <alignment vertical="center"/>
    </xf>
    <xf numFmtId="164" fontId="0" fillId="14" borderId="16" xfId="0" applyNumberFormat="1" applyFill="1" applyBorder="1">
      <alignment vertical="center"/>
    </xf>
    <xf numFmtId="164" fontId="0" fillId="13" borderId="16" xfId="0" applyNumberFormat="1" applyFill="1" applyBorder="1">
      <alignment vertical="center"/>
    </xf>
    <xf numFmtId="164" fontId="5" fillId="5" borderId="16" xfId="0" applyNumberFormat="1" applyFont="1" applyFill="1" applyBorder="1">
      <alignment vertical="center"/>
    </xf>
    <xf numFmtId="164" fontId="10" fillId="8" borderId="16" xfId="0" applyNumberFormat="1" applyFont="1" applyFill="1" applyBorder="1">
      <alignment vertical="center"/>
    </xf>
    <xf numFmtId="183" fontId="2" fillId="9" borderId="11" xfId="0" applyNumberFormat="1" applyFont="1" applyFill="1" applyBorder="1">
      <alignment vertical="center"/>
    </xf>
    <xf numFmtId="183" fontId="2" fillId="9" borderId="24" xfId="0" applyNumberFormat="1" applyFont="1" applyFill="1" applyBorder="1">
      <alignment vertical="center"/>
    </xf>
    <xf numFmtId="183" fontId="2" fillId="9" borderId="25" xfId="0" applyNumberFormat="1" applyFont="1" applyFill="1" applyBorder="1">
      <alignment vertical="center"/>
    </xf>
    <xf numFmtId="183" fontId="0" fillId="0" borderId="3" xfId="0" applyNumberFormat="1" applyBorder="1" applyAlignment="1">
      <alignment horizontal="center" vertical="center"/>
    </xf>
    <xf numFmtId="170" fontId="0" fillId="0" borderId="29" xfId="0" applyNumberFormat="1" applyBorder="1" applyAlignment="1">
      <alignment horizontal="center" vertical="center"/>
    </xf>
    <xf numFmtId="164" fontId="0" fillId="11" borderId="23" xfId="0" applyNumberFormat="1" applyFill="1" applyBorder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164" fontId="0" fillId="10" borderId="3" xfId="0" applyNumberFormat="1" applyFill="1" applyBorder="1" applyAlignment="1">
      <alignment horizontal="center" vertical="center"/>
    </xf>
    <xf numFmtId="170" fontId="0" fillId="0" borderId="30" xfId="0" applyNumberFormat="1" applyBorder="1" applyAlignment="1">
      <alignment horizontal="center" vertical="center"/>
    </xf>
    <xf numFmtId="170" fontId="0" fillId="0" borderId="27" xfId="0" applyNumberFormat="1" applyBorder="1" applyAlignment="1">
      <alignment horizontal="center" vertical="center"/>
    </xf>
    <xf numFmtId="164" fontId="0" fillId="10" borderId="24" xfId="0" applyNumberFormat="1" applyFill="1" applyBorder="1" applyAlignment="1">
      <alignment horizontal="center" vertical="center"/>
    </xf>
    <xf numFmtId="171" fontId="0" fillId="0" borderId="31" xfId="0" applyNumberFormat="1" applyBorder="1">
      <alignment vertical="center"/>
    </xf>
    <xf numFmtId="172" fontId="0" fillId="0" borderId="31" xfId="0" applyNumberFormat="1" applyBorder="1">
      <alignment vertical="center"/>
    </xf>
    <xf numFmtId="164" fontId="0" fillId="0" borderId="31" xfId="0" applyNumberFormat="1" applyBorder="1">
      <alignment vertical="center"/>
    </xf>
    <xf numFmtId="164" fontId="2" fillId="9" borderId="31" xfId="0" applyNumberFormat="1" applyFont="1" applyFill="1" applyBorder="1">
      <alignment vertical="center"/>
    </xf>
    <xf numFmtId="168" fontId="2" fillId="9" borderId="31" xfId="0" applyNumberFormat="1" applyFont="1" applyFill="1" applyBorder="1">
      <alignment vertical="center"/>
    </xf>
    <xf numFmtId="10" fontId="2" fillId="9" borderId="31" xfId="0" applyNumberFormat="1" applyFont="1" applyFill="1" applyBorder="1">
      <alignment vertical="center"/>
    </xf>
    <xf numFmtId="10" fontId="2" fillId="9" borderId="24" xfId="0" applyNumberFormat="1" applyFont="1" applyFill="1" applyBorder="1">
      <alignment vertical="center"/>
    </xf>
    <xf numFmtId="164" fontId="14" fillId="0" borderId="24" xfId="0" applyNumberFormat="1" applyFont="1" applyBorder="1">
      <alignment vertical="center"/>
    </xf>
    <xf numFmtId="164" fontId="0" fillId="10" borderId="5" xfId="0" applyNumberFormat="1" applyFill="1" applyBorder="1" applyAlignment="1">
      <alignment horizontal="center" vertical="center"/>
    </xf>
    <xf numFmtId="164" fontId="0" fillId="0" borderId="5" xfId="0" applyNumberFormat="1" applyBorder="1">
      <alignment vertical="center"/>
    </xf>
    <xf numFmtId="183" fontId="2" fillId="9" borderId="5" xfId="0" applyNumberFormat="1" applyFont="1" applyFill="1" applyBorder="1">
      <alignment vertical="center"/>
    </xf>
    <xf numFmtId="171" fontId="0" fillId="0" borderId="30" xfId="0" applyNumberFormat="1" applyBorder="1">
      <alignment vertical="center"/>
    </xf>
    <xf numFmtId="172" fontId="0" fillId="0" borderId="30" xfId="0" applyNumberFormat="1" applyBorder="1">
      <alignment vertical="center"/>
    </xf>
    <xf numFmtId="164" fontId="0" fillId="0" borderId="30" xfId="0" applyNumberFormat="1" applyBorder="1">
      <alignment vertical="center"/>
    </xf>
    <xf numFmtId="164" fontId="2" fillId="9" borderId="30" xfId="0" applyNumberFormat="1" applyFont="1" applyFill="1" applyBorder="1">
      <alignment vertical="center"/>
    </xf>
    <xf numFmtId="168" fontId="2" fillId="9" borderId="30" xfId="0" applyNumberFormat="1" applyFont="1" applyFill="1" applyBorder="1">
      <alignment vertical="center"/>
    </xf>
    <xf numFmtId="10" fontId="2" fillId="9" borderId="30" xfId="0" applyNumberFormat="1" applyFont="1" applyFill="1" applyBorder="1">
      <alignment vertical="center"/>
    </xf>
    <xf numFmtId="10" fontId="2" fillId="9" borderId="25" xfId="0" applyNumberFormat="1" applyFont="1" applyFill="1" applyBorder="1">
      <alignment vertical="center"/>
    </xf>
    <xf numFmtId="164" fontId="14" fillId="0" borderId="25" xfId="0" applyNumberFormat="1" applyFont="1" applyBorder="1">
      <alignment vertical="center"/>
    </xf>
    <xf numFmtId="170" fontId="0" fillId="0" borderId="32" xfId="0" applyNumberFormat="1" applyBorder="1" applyAlignment="1">
      <alignment horizontal="center" vertical="center"/>
    </xf>
    <xf numFmtId="170" fontId="0" fillId="0" borderId="28" xfId="0" applyNumberFormat="1" applyBorder="1" applyAlignment="1">
      <alignment horizontal="center" vertical="center"/>
    </xf>
    <xf numFmtId="171" fontId="0" fillId="0" borderId="26" xfId="0" applyNumberFormat="1" applyBorder="1">
      <alignment vertical="center"/>
    </xf>
    <xf numFmtId="172" fontId="0" fillId="0" borderId="26" xfId="0" applyNumberFormat="1" applyBorder="1">
      <alignment vertical="center"/>
    </xf>
    <xf numFmtId="168" fontId="0" fillId="0" borderId="26" xfId="0" applyNumberFormat="1" applyBorder="1">
      <alignment vertical="center"/>
    </xf>
    <xf numFmtId="164" fontId="0" fillId="0" borderId="26" xfId="0" applyNumberFormat="1" applyBorder="1">
      <alignment vertical="center"/>
    </xf>
    <xf numFmtId="164" fontId="2" fillId="9" borderId="26" xfId="0" applyNumberFormat="1" applyFont="1" applyFill="1" applyBorder="1">
      <alignment vertical="center"/>
    </xf>
    <xf numFmtId="168" fontId="2" fillId="9" borderId="26" xfId="0" applyNumberFormat="1" applyFont="1" applyFill="1" applyBorder="1">
      <alignment vertical="center"/>
    </xf>
    <xf numFmtId="10" fontId="2" fillId="9" borderId="26" xfId="0" applyNumberFormat="1" applyFont="1" applyFill="1" applyBorder="1">
      <alignment vertical="center"/>
    </xf>
    <xf numFmtId="10" fontId="2" fillId="9" borderId="33" xfId="0" applyNumberFormat="1" applyFont="1" applyFill="1" applyBorder="1">
      <alignment vertical="center"/>
    </xf>
    <xf numFmtId="164" fontId="14" fillId="0" borderId="33" xfId="0" applyNumberFormat="1" applyFont="1" applyBorder="1">
      <alignment vertical="center"/>
    </xf>
    <xf numFmtId="164" fontId="0" fillId="0" borderId="33" xfId="0" applyNumberFormat="1" applyBorder="1">
      <alignment vertical="center"/>
    </xf>
    <xf numFmtId="166" fontId="0" fillId="0" borderId="3" xfId="0" applyNumberFormat="1" applyBorder="1">
      <alignment vertical="center"/>
    </xf>
    <xf numFmtId="166" fontId="0" fillId="0" borderId="31" xfId="0" applyNumberFormat="1" applyBorder="1">
      <alignment vertical="center"/>
    </xf>
    <xf numFmtId="166" fontId="0" fillId="0" borderId="4" xfId="0" applyNumberFormat="1" applyBorder="1">
      <alignment vertical="center"/>
    </xf>
    <xf numFmtId="166" fontId="0" fillId="0" borderId="30" xfId="0" applyNumberFormat="1" applyBorder="1">
      <alignment vertical="center"/>
    </xf>
    <xf numFmtId="168" fontId="2" fillId="9" borderId="11" xfId="0" applyNumberFormat="1" applyFont="1" applyFill="1" applyBorder="1">
      <alignment vertical="center"/>
    </xf>
    <xf numFmtId="168" fontId="2" fillId="9" borderId="24" xfId="0" applyNumberFormat="1" applyFont="1" applyFill="1" applyBorder="1">
      <alignment vertical="center"/>
    </xf>
    <xf numFmtId="168" fontId="2" fillId="9" borderId="5" xfId="0" applyNumberFormat="1" applyFont="1" applyFill="1" applyBorder="1">
      <alignment vertical="center"/>
    </xf>
    <xf numFmtId="168" fontId="2" fillId="9" borderId="25" xfId="0" applyNumberFormat="1" applyFont="1" applyFill="1" applyBorder="1">
      <alignment vertical="center"/>
    </xf>
    <xf numFmtId="166" fontId="0" fillId="16" borderId="3" xfId="0" applyNumberFormat="1" applyFill="1" applyBorder="1">
      <alignment vertical="center"/>
    </xf>
    <xf numFmtId="166" fontId="0" fillId="16" borderId="26" xfId="0" applyNumberFormat="1" applyFill="1" applyBorder="1">
      <alignment vertical="center"/>
    </xf>
    <xf numFmtId="166" fontId="0" fillId="16" borderId="31" xfId="0" applyNumberFormat="1" applyFill="1" applyBorder="1">
      <alignment vertical="center"/>
    </xf>
    <xf numFmtId="166" fontId="0" fillId="16" borderId="4" xfId="0" applyNumberFormat="1" applyFill="1" applyBorder="1">
      <alignment vertical="center"/>
    </xf>
    <xf numFmtId="166" fontId="0" fillId="16" borderId="30" xfId="0" applyNumberFormat="1" applyFill="1" applyBorder="1">
      <alignment vertical="center"/>
    </xf>
    <xf numFmtId="166" fontId="0" fillId="0" borderId="4" xfId="0" applyNumberFormat="1" applyBorder="1" applyAlignment="1">
      <alignment horizontal="center" vertical="center"/>
    </xf>
    <xf numFmtId="183" fontId="0" fillId="0" borderId="4" xfId="0" applyNumberFormat="1" applyBorder="1" applyAlignment="1">
      <alignment horizontal="center" vertical="center"/>
    </xf>
    <xf numFmtId="172" fontId="2" fillId="9" borderId="0" xfId="0" applyNumberFormat="1" applyFont="1" applyFill="1">
      <alignment vertical="center"/>
    </xf>
    <xf numFmtId="176" fontId="2" fillId="9" borderId="0" xfId="0" applyNumberFormat="1" applyFont="1" applyFill="1">
      <alignment vertical="center"/>
    </xf>
    <xf numFmtId="164" fontId="2" fillId="9" borderId="6" xfId="0" applyNumberFormat="1" applyFont="1" applyFill="1" applyBorder="1">
      <alignment vertical="center"/>
    </xf>
    <xf numFmtId="10" fontId="14" fillId="0" borderId="6" xfId="0" applyNumberFormat="1" applyFont="1" applyBorder="1">
      <alignment vertical="center"/>
    </xf>
    <xf numFmtId="164" fontId="0" fillId="16" borderId="10" xfId="0" applyNumberFormat="1" applyFill="1" applyBorder="1">
      <alignment vertical="center"/>
    </xf>
    <xf numFmtId="168" fontId="2" fillId="9" borderId="10" xfId="0" applyNumberFormat="1" applyFont="1" applyFill="1" applyBorder="1">
      <alignment vertical="center"/>
    </xf>
    <xf numFmtId="164" fontId="14" fillId="0" borderId="34" xfId="0" applyNumberFormat="1" applyFont="1" applyBorder="1">
      <alignment vertical="center"/>
    </xf>
    <xf numFmtId="10" fontId="14" fillId="0" borderId="34" xfId="0" applyNumberFormat="1" applyFont="1" applyBorder="1">
      <alignment vertical="center"/>
    </xf>
    <xf numFmtId="164" fontId="14" fillId="0" borderId="23" xfId="0" applyNumberFormat="1" applyFont="1" applyBorder="1">
      <alignment vertical="center"/>
    </xf>
    <xf numFmtId="164" fontId="0" fillId="16" borderId="11" xfId="0" applyNumberFormat="1" applyFill="1" applyBorder="1">
      <alignment vertical="center"/>
    </xf>
    <xf numFmtId="164" fontId="0" fillId="16" borderId="24" xfId="0" applyNumberFormat="1" applyFill="1" applyBorder="1">
      <alignment vertical="center"/>
    </xf>
    <xf numFmtId="164" fontId="0" fillId="16" borderId="5" xfId="0" applyNumberFormat="1" applyFill="1" applyBorder="1">
      <alignment vertical="center"/>
    </xf>
    <xf numFmtId="164" fontId="0" fillId="16" borderId="25" xfId="0" applyNumberFormat="1" applyFill="1" applyBorder="1">
      <alignment vertical="center"/>
    </xf>
    <xf numFmtId="164" fontId="0" fillId="14" borderId="10" xfId="0" applyNumberFormat="1" applyFill="1" applyBorder="1">
      <alignment vertical="center"/>
    </xf>
    <xf numFmtId="164" fontId="0" fillId="14" borderId="0" xfId="0" applyNumberFormat="1" applyFill="1">
      <alignment vertical="center"/>
    </xf>
    <xf numFmtId="184" fontId="0" fillId="0" borderId="0" xfId="0" applyNumberFormat="1">
      <alignment vertical="center"/>
    </xf>
    <xf numFmtId="164" fontId="0" fillId="11" borderId="4" xfId="0" applyNumberFormat="1" applyFill="1" applyBorder="1" applyAlignment="1">
      <alignment horizontal="center" vertical="center"/>
    </xf>
    <xf numFmtId="164" fontId="0" fillId="11" borderId="27" xfId="0" applyNumberFormat="1" applyFill="1" applyBorder="1" applyAlignment="1">
      <alignment horizontal="center" vertical="center"/>
    </xf>
    <xf numFmtId="164" fontId="0" fillId="11" borderId="31" xfId="0" applyNumberForma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175" fontId="0" fillId="0" borderId="31" xfId="0" applyNumberFormat="1" applyBorder="1">
      <alignment vertical="center"/>
    </xf>
    <xf numFmtId="10" fontId="0" fillId="0" borderId="31" xfId="0" applyNumberFormat="1" applyBorder="1">
      <alignment vertical="center"/>
    </xf>
    <xf numFmtId="175" fontId="0" fillId="0" borderId="3" xfId="0" applyNumberFormat="1" applyBorder="1">
      <alignment vertical="center"/>
    </xf>
    <xf numFmtId="10" fontId="0" fillId="0" borderId="3" xfId="0" applyNumberFormat="1" applyBorder="1">
      <alignment vertical="center"/>
    </xf>
    <xf numFmtId="175" fontId="0" fillId="0" borderId="4" xfId="0" applyNumberFormat="1" applyBorder="1">
      <alignment vertical="center"/>
    </xf>
    <xf numFmtId="10" fontId="0" fillId="0" borderId="4" xfId="0" applyNumberFormat="1" applyBorder="1">
      <alignment vertical="center"/>
    </xf>
    <xf numFmtId="185" fontId="0" fillId="0" borderId="31" xfId="0" applyNumberFormat="1" applyBorder="1">
      <alignment vertical="center"/>
    </xf>
    <xf numFmtId="185" fontId="0" fillId="0" borderId="3" xfId="0" applyNumberFormat="1" applyBorder="1">
      <alignment vertical="center"/>
    </xf>
    <xf numFmtId="185" fontId="0" fillId="0" borderId="4" xfId="0" applyNumberFormat="1" applyBorder="1">
      <alignment vertical="center"/>
    </xf>
    <xf numFmtId="186" fontId="0" fillId="0" borderId="31" xfId="0" applyNumberFormat="1" applyBorder="1">
      <alignment vertical="center"/>
    </xf>
    <xf numFmtId="186" fontId="0" fillId="0" borderId="3" xfId="0" applyNumberFormat="1" applyBorder="1">
      <alignment vertical="center"/>
    </xf>
    <xf numFmtId="186" fontId="0" fillId="0" borderId="4" xfId="0" applyNumberFormat="1" applyBorder="1">
      <alignment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>
      <alignment vertical="center"/>
    </xf>
    <xf numFmtId="164" fontId="3" fillId="13" borderId="9" xfId="0" applyNumberFormat="1" applyFont="1" applyFill="1" applyBorder="1">
      <alignment vertical="center"/>
    </xf>
    <xf numFmtId="164" fontId="0" fillId="0" borderId="12" xfId="0" applyNumberFormat="1" applyBorder="1">
      <alignment vertical="center"/>
    </xf>
    <xf numFmtId="164" fontId="0" fillId="11" borderId="7" xfId="0" applyNumberFormat="1" applyFill="1" applyBorder="1">
      <alignment vertical="center"/>
    </xf>
    <xf numFmtId="174" fontId="0" fillId="11" borderId="8" xfId="0" applyNumberFormat="1" applyFill="1" applyBorder="1">
      <alignment vertical="center"/>
    </xf>
    <xf numFmtId="164" fontId="0" fillId="11" borderId="8" xfId="0" applyNumberFormat="1" applyFill="1" applyBorder="1">
      <alignment vertical="center"/>
    </xf>
    <xf numFmtId="164" fontId="0" fillId="11" borderId="9" xfId="0" applyNumberFormat="1" applyFill="1" applyBorder="1">
      <alignment vertical="center"/>
    </xf>
    <xf numFmtId="164" fontId="0" fillId="0" borderId="35" xfId="0" applyNumberFormat="1" applyBorder="1">
      <alignment vertical="center"/>
    </xf>
    <xf numFmtId="164" fontId="0" fillId="0" borderId="36" xfId="0" applyNumberFormat="1" applyBorder="1">
      <alignment vertical="center"/>
    </xf>
    <xf numFmtId="164" fontId="0" fillId="0" borderId="37" xfId="0" applyNumberFormat="1" applyBorder="1">
      <alignment vertical="center"/>
    </xf>
    <xf numFmtId="164" fontId="0" fillId="0" borderId="22" xfId="0" applyNumberFormat="1" applyBorder="1">
      <alignment vertical="center"/>
    </xf>
    <xf numFmtId="164" fontId="0" fillId="0" borderId="38" xfId="0" applyNumberFormat="1" applyBorder="1">
      <alignment vertical="center"/>
    </xf>
    <xf numFmtId="164" fontId="14" fillId="0" borderId="22" xfId="0" applyNumberFormat="1" applyFont="1" applyBorder="1">
      <alignment vertical="center"/>
    </xf>
    <xf numFmtId="10" fontId="14" fillId="0" borderId="22" xfId="0" applyNumberFormat="1" applyFont="1" applyBorder="1">
      <alignment vertical="center"/>
    </xf>
    <xf numFmtId="164" fontId="14" fillId="0" borderId="38" xfId="0" applyNumberFormat="1" applyFont="1" applyBorder="1">
      <alignment vertical="center"/>
    </xf>
    <xf numFmtId="10" fontId="2" fillId="9" borderId="6" xfId="0" applyNumberFormat="1" applyFont="1" applyFill="1" applyBorder="1">
      <alignment vertical="center"/>
    </xf>
    <xf numFmtId="164" fontId="0" fillId="0" borderId="39" xfId="0" applyNumberFormat="1" applyBorder="1">
      <alignment vertical="center"/>
    </xf>
    <xf numFmtId="164" fontId="0" fillId="0" borderId="40" xfId="0" applyNumberFormat="1" applyBorder="1">
      <alignment vertical="center"/>
    </xf>
    <xf numFmtId="164" fontId="0" fillId="0" borderId="41" xfId="0" applyNumberFormat="1" applyBorder="1">
      <alignment vertical="center"/>
    </xf>
    <xf numFmtId="164" fontId="0" fillId="0" borderId="34" xfId="0" applyNumberFormat="1" applyBorder="1">
      <alignment vertical="center"/>
    </xf>
    <xf numFmtId="164" fontId="0" fillId="0" borderId="42" xfId="0" applyNumberFormat="1" applyBorder="1">
      <alignment vertical="center"/>
    </xf>
    <xf numFmtId="164" fontId="0" fillId="0" borderId="43" xfId="0" applyNumberFormat="1" applyBorder="1">
      <alignment vertical="center"/>
    </xf>
    <xf numFmtId="164" fontId="4" fillId="0" borderId="24" xfId="0" applyNumberFormat="1" applyFont="1" applyBorder="1">
      <alignment vertical="center"/>
    </xf>
    <xf numFmtId="164" fontId="4" fillId="0" borderId="25" xfId="0" applyNumberFormat="1" applyFont="1" applyBorder="1">
      <alignment vertical="center"/>
    </xf>
    <xf numFmtId="168" fontId="0" fillId="0" borderId="10" xfId="0" applyNumberFormat="1" applyBorder="1">
      <alignment vertical="center"/>
    </xf>
    <xf numFmtId="164" fontId="3" fillId="0" borderId="35" xfId="0" applyNumberFormat="1" applyFont="1" applyBorder="1">
      <alignment vertical="center"/>
    </xf>
    <xf numFmtId="168" fontId="0" fillId="11" borderId="0" xfId="0" applyNumberFormat="1" applyFill="1">
      <alignment vertical="center"/>
    </xf>
    <xf numFmtId="164" fontId="9" fillId="0" borderId="23" xfId="0" applyNumberFormat="1" applyFont="1" applyBorder="1">
      <alignment vertical="center"/>
    </xf>
    <xf numFmtId="187" fontId="2" fillId="9" borderId="0" xfId="0" applyNumberFormat="1" applyFont="1" applyFill="1">
      <alignment vertical="center"/>
    </xf>
    <xf numFmtId="164" fontId="0" fillId="17" borderId="16" xfId="0" applyNumberFormat="1" applyFill="1" applyBorder="1">
      <alignment vertical="center"/>
    </xf>
    <xf numFmtId="9" fontId="13" fillId="0" borderId="10" xfId="0" applyNumberFormat="1" applyFont="1" applyBorder="1">
      <alignment vertical="center"/>
    </xf>
    <xf numFmtId="10" fontId="13" fillId="0" borderId="0" xfId="0" applyNumberFormat="1" applyFont="1">
      <alignment vertical="center"/>
    </xf>
    <xf numFmtId="164" fontId="0" fillId="0" borderId="2" xfId="0" applyNumberFormat="1" applyBorder="1">
      <alignment vertical="center"/>
    </xf>
    <xf numFmtId="164" fontId="13" fillId="0" borderId="24" xfId="0" applyNumberFormat="1" applyFont="1" applyBorder="1">
      <alignment vertical="center"/>
    </xf>
    <xf numFmtId="166" fontId="13" fillId="0" borderId="27" xfId="0" applyNumberFormat="1" applyFont="1" applyBorder="1">
      <alignment vertical="center"/>
    </xf>
    <xf numFmtId="164" fontId="13" fillId="0" borderId="11" xfId="0" applyNumberFormat="1" applyFont="1" applyBorder="1">
      <alignment vertical="center"/>
    </xf>
    <xf numFmtId="166" fontId="13" fillId="0" borderId="12" xfId="0" applyNumberFormat="1" applyFont="1" applyBorder="1">
      <alignment vertical="center"/>
    </xf>
    <xf numFmtId="164" fontId="13" fillId="0" borderId="5" xfId="0" applyNumberFormat="1" applyFont="1" applyBorder="1">
      <alignment vertical="center"/>
    </xf>
    <xf numFmtId="176" fontId="13" fillId="0" borderId="2" xfId="0" applyNumberFormat="1" applyFont="1" applyBorder="1">
      <alignment vertical="center"/>
    </xf>
    <xf numFmtId="10" fontId="13" fillId="0" borderId="23" xfId="0" applyNumberFormat="1" applyFont="1" applyBorder="1">
      <alignment vertical="center"/>
    </xf>
    <xf numFmtId="164" fontId="13" fillId="0" borderId="10" xfId="0" applyNumberFormat="1" applyFont="1" applyBorder="1">
      <alignment vertical="center"/>
    </xf>
    <xf numFmtId="175" fontId="0" fillId="0" borderId="36" xfId="0" applyNumberFormat="1" applyBorder="1">
      <alignment vertical="center"/>
    </xf>
    <xf numFmtId="175" fontId="0" fillId="0" borderId="38" xfId="0" applyNumberFormat="1" applyBorder="1">
      <alignment vertical="center"/>
    </xf>
    <xf numFmtId="175" fontId="0" fillId="13" borderId="16" xfId="0" applyNumberFormat="1" applyFill="1" applyBorder="1">
      <alignment vertical="center"/>
    </xf>
    <xf numFmtId="168" fontId="2" fillId="9" borderId="0" xfId="0" applyNumberFormat="1" applyFont="1" applyFill="1">
      <alignment vertical="center"/>
    </xf>
    <xf numFmtId="174" fontId="2" fillId="9" borderId="0" xfId="0" applyNumberFormat="1" applyFont="1" applyFill="1">
      <alignment vertical="center"/>
    </xf>
    <xf numFmtId="164" fontId="0" fillId="0" borderId="11" xfId="0" applyNumberForma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3" fillId="0" borderId="28" xfId="0" applyNumberFormat="1" applyFont="1" applyBorder="1">
      <alignment vertical="center"/>
    </xf>
    <xf numFmtId="164" fontId="0" fillId="11" borderId="6" xfId="0" applyNumberFormat="1" applyFill="1" applyBorder="1">
      <alignment vertical="center"/>
    </xf>
    <xf numFmtId="166" fontId="0" fillId="11" borderId="6" xfId="0" applyNumberFormat="1" applyFill="1" applyBorder="1">
      <alignment vertical="center"/>
    </xf>
    <xf numFmtId="164" fontId="3" fillId="0" borderId="16" xfId="0" applyNumberFormat="1" applyFont="1" applyBorder="1">
      <alignment vertical="center"/>
    </xf>
    <xf numFmtId="164" fontId="0" fillId="13" borderId="34" xfId="0" applyNumberFormat="1" applyFill="1" applyBorder="1">
      <alignment vertical="center"/>
    </xf>
    <xf numFmtId="10" fontId="13" fillId="13" borderId="16" xfId="0" applyNumberFormat="1" applyFont="1" applyFill="1" applyBorder="1">
      <alignment vertical="center"/>
    </xf>
    <xf numFmtId="164" fontId="13" fillId="0" borderId="23" xfId="0" applyNumberFormat="1" applyFont="1" applyBorder="1">
      <alignment vertical="center"/>
    </xf>
    <xf numFmtId="175" fontId="0" fillId="0" borderId="0" xfId="0" applyNumberFormat="1">
      <alignment vertical="center"/>
    </xf>
    <xf numFmtId="175" fontId="0" fillId="0" borderId="27" xfId="0" applyNumberFormat="1" applyBorder="1">
      <alignment vertical="center"/>
    </xf>
    <xf numFmtId="175" fontId="0" fillId="0" borderId="29" xfId="0" applyNumberFormat="1" applyBorder="1">
      <alignment vertical="center"/>
    </xf>
    <xf numFmtId="10" fontId="0" fillId="0" borderId="36" xfId="0" applyNumberFormat="1" applyBorder="1">
      <alignment vertical="center"/>
    </xf>
    <xf numFmtId="10" fontId="0" fillId="0" borderId="38" xfId="0" applyNumberFormat="1" applyBorder="1">
      <alignment vertical="center"/>
    </xf>
    <xf numFmtId="164" fontId="14" fillId="16" borderId="11" xfId="0" applyNumberFormat="1" applyFont="1" applyFill="1" applyBorder="1">
      <alignment vertical="center"/>
    </xf>
    <xf numFmtId="164" fontId="14" fillId="16" borderId="24" xfId="0" applyNumberFormat="1" applyFont="1" applyFill="1" applyBorder="1">
      <alignment vertical="center"/>
    </xf>
    <xf numFmtId="164" fontId="14" fillId="16" borderId="5" xfId="0" applyNumberFormat="1" applyFont="1" applyFill="1" applyBorder="1">
      <alignment vertical="center"/>
    </xf>
    <xf numFmtId="164" fontId="14" fillId="16" borderId="25" xfId="0" applyNumberFormat="1" applyFont="1" applyFill="1" applyBorder="1">
      <alignment vertical="center"/>
    </xf>
    <xf numFmtId="164" fontId="0" fillId="10" borderId="33" xfId="0" applyNumberFormat="1" applyFill="1" applyBorder="1" applyAlignment="1">
      <alignment horizontal="center" vertical="center"/>
    </xf>
    <xf numFmtId="166" fontId="0" fillId="0" borderId="26" xfId="0" applyNumberFormat="1" applyBorder="1">
      <alignment vertical="center"/>
    </xf>
    <xf numFmtId="183" fontId="2" fillId="9" borderId="33" xfId="0" applyNumberFormat="1" applyFont="1" applyFill="1" applyBorder="1">
      <alignment vertical="center"/>
    </xf>
    <xf numFmtId="168" fontId="2" fillId="9" borderId="33" xfId="0" applyNumberFormat="1" applyFont="1" applyFill="1" applyBorder="1">
      <alignment vertical="center"/>
    </xf>
    <xf numFmtId="164" fontId="0" fillId="16" borderId="33" xfId="0" applyNumberFormat="1" applyFill="1" applyBorder="1">
      <alignment vertical="center"/>
    </xf>
    <xf numFmtId="164" fontId="14" fillId="16" borderId="33" xfId="0" applyNumberFormat="1" applyFont="1" applyFill="1" applyBorder="1">
      <alignment vertical="center"/>
    </xf>
    <xf numFmtId="164" fontId="16" fillId="16" borderId="0" xfId="0" applyNumberFormat="1" applyFont="1" applyFill="1">
      <alignment vertical="center"/>
    </xf>
    <xf numFmtId="164" fontId="0" fillId="0" borderId="8" xfId="0" applyNumberFormat="1" applyBorder="1" applyAlignment="1">
      <alignment horizontal="center" vertical="center"/>
    </xf>
    <xf numFmtId="10" fontId="0" fillId="0" borderId="40" xfId="0" applyNumberFormat="1" applyBorder="1">
      <alignment vertical="center"/>
    </xf>
    <xf numFmtId="171" fontId="0" fillId="0" borderId="0" xfId="0" applyNumberFormat="1">
      <alignment vertical="center"/>
    </xf>
    <xf numFmtId="164" fontId="5" fillId="20" borderId="16" xfId="0" applyNumberFormat="1" applyFont="1" applyFill="1" applyBorder="1">
      <alignment vertical="center"/>
    </xf>
    <xf numFmtId="164" fontId="16" fillId="21" borderId="22" xfId="0" applyNumberFormat="1" applyFont="1" applyFill="1" applyBorder="1">
      <alignment vertical="center"/>
    </xf>
    <xf numFmtId="171" fontId="14" fillId="0" borderId="22" xfId="0" applyNumberFormat="1" applyFont="1" applyBorder="1">
      <alignment vertical="center"/>
    </xf>
    <xf numFmtId="188" fontId="2" fillId="9" borderId="3" xfId="0" applyNumberFormat="1" applyFont="1" applyFill="1" applyBorder="1">
      <alignment vertical="center"/>
    </xf>
    <xf numFmtId="188" fontId="2" fillId="9" borderId="26" xfId="0" applyNumberFormat="1" applyFont="1" applyFill="1" applyBorder="1">
      <alignment vertical="center"/>
    </xf>
    <xf numFmtId="188" fontId="2" fillId="9" borderId="4" xfId="0" applyNumberFormat="1" applyFont="1" applyFill="1" applyBorder="1">
      <alignment vertical="center"/>
    </xf>
    <xf numFmtId="188" fontId="2" fillId="9" borderId="31" xfId="0" applyNumberFormat="1" applyFont="1" applyFill="1" applyBorder="1">
      <alignment vertical="center"/>
    </xf>
    <xf numFmtId="188" fontId="2" fillId="9" borderId="30" xfId="0" applyNumberFormat="1" applyFont="1" applyFill="1" applyBorder="1">
      <alignment vertical="center"/>
    </xf>
    <xf numFmtId="164" fontId="10" fillId="0" borderId="0" xfId="0" applyNumberFormat="1" applyFont="1">
      <alignment vertical="center"/>
    </xf>
    <xf numFmtId="164" fontId="2" fillId="0" borderId="0" xfId="0" applyNumberFormat="1" applyFont="1" applyAlignment="1">
      <alignment horizontal="center" vertical="center"/>
    </xf>
    <xf numFmtId="171" fontId="5" fillId="0" borderId="0" xfId="0" applyNumberFormat="1" applyFont="1">
      <alignment vertical="center"/>
    </xf>
    <xf numFmtId="172" fontId="5" fillId="0" borderId="0" xfId="0" applyNumberFormat="1" applyFont="1">
      <alignment vertical="center"/>
    </xf>
    <xf numFmtId="171" fontId="12" fillId="0" borderId="0" xfId="0" applyNumberFormat="1" applyFont="1">
      <alignment vertical="center"/>
    </xf>
    <xf numFmtId="172" fontId="12" fillId="0" borderId="0" xfId="0" applyNumberFormat="1" applyFont="1">
      <alignment vertical="center"/>
    </xf>
    <xf numFmtId="164" fontId="12" fillId="0" borderId="0" xfId="0" applyNumberFormat="1" applyFont="1">
      <alignment vertical="center"/>
    </xf>
    <xf numFmtId="164" fontId="2" fillId="9" borderId="40" xfId="0" applyNumberFormat="1" applyFont="1" applyFill="1" applyBorder="1">
      <alignment vertical="center"/>
    </xf>
    <xf numFmtId="10" fontId="0" fillId="0" borderId="22" xfId="0" applyNumberFormat="1" applyBorder="1">
      <alignment vertical="center"/>
    </xf>
    <xf numFmtId="10" fontId="2" fillId="9" borderId="22" xfId="0" applyNumberFormat="1" applyFont="1" applyFill="1" applyBorder="1">
      <alignment vertical="center"/>
    </xf>
    <xf numFmtId="189" fontId="0" fillId="0" borderId="40" xfId="0" applyNumberFormat="1" applyBorder="1">
      <alignment vertical="center"/>
    </xf>
    <xf numFmtId="189" fontId="0" fillId="0" borderId="38" xfId="0" applyNumberFormat="1" applyBorder="1">
      <alignment vertical="center"/>
    </xf>
    <xf numFmtId="190" fontId="14" fillId="0" borderId="35" xfId="0" applyNumberFormat="1" applyFont="1" applyBorder="1">
      <alignment vertical="center"/>
    </xf>
    <xf numFmtId="190" fontId="14" fillId="0" borderId="39" xfId="0" applyNumberFormat="1" applyFont="1" applyBorder="1">
      <alignment vertical="center"/>
    </xf>
    <xf numFmtId="190" fontId="14" fillId="0" borderId="37" xfId="0" applyNumberFormat="1" applyFont="1" applyBorder="1">
      <alignment vertical="center"/>
    </xf>
    <xf numFmtId="164" fontId="0" fillId="12" borderId="31" xfId="0" applyNumberFormat="1" applyFill="1" applyBorder="1" applyAlignment="1">
      <alignment horizontal="center" vertical="center"/>
    </xf>
    <xf numFmtId="164" fontId="0" fillId="12" borderId="3" xfId="0" applyNumberFormat="1" applyFill="1" applyBorder="1" applyAlignment="1">
      <alignment horizontal="center" vertical="center"/>
    </xf>
    <xf numFmtId="191" fontId="0" fillId="0" borderId="0" xfId="0" applyNumberFormat="1">
      <alignment vertical="center"/>
    </xf>
    <xf numFmtId="168" fontId="0" fillId="16" borderId="11" xfId="0" applyNumberFormat="1" applyFill="1" applyBorder="1">
      <alignment vertical="center"/>
    </xf>
    <xf numFmtId="168" fontId="0" fillId="16" borderId="33" xfId="0" applyNumberFormat="1" applyFill="1" applyBorder="1">
      <alignment vertical="center"/>
    </xf>
    <xf numFmtId="168" fontId="0" fillId="16" borderId="5" xfId="0" applyNumberFormat="1" applyFill="1" applyBorder="1">
      <alignment vertical="center"/>
    </xf>
    <xf numFmtId="168" fontId="0" fillId="16" borderId="24" xfId="0" applyNumberFormat="1" applyFill="1" applyBorder="1">
      <alignment vertical="center"/>
    </xf>
    <xf numFmtId="168" fontId="0" fillId="16" borderId="25" xfId="0" applyNumberFormat="1" applyFill="1" applyBorder="1">
      <alignment vertical="center"/>
    </xf>
    <xf numFmtId="168" fontId="0" fillId="0" borderId="11" xfId="0" applyNumberFormat="1" applyBorder="1">
      <alignment vertical="center"/>
    </xf>
    <xf numFmtId="168" fontId="0" fillId="0" borderId="33" xfId="0" applyNumberFormat="1" applyBorder="1">
      <alignment vertical="center"/>
    </xf>
    <xf numFmtId="168" fontId="0" fillId="0" borderId="25" xfId="0" applyNumberFormat="1" applyBorder="1">
      <alignment vertical="center"/>
    </xf>
    <xf numFmtId="164" fontId="0" fillId="16" borderId="30" xfId="0" applyNumberFormat="1" applyFill="1" applyBorder="1" applyAlignment="1">
      <alignment horizontal="center" vertical="center"/>
    </xf>
    <xf numFmtId="164" fontId="0" fillId="10" borderId="31" xfId="0" applyNumberFormat="1" applyFill="1" applyBorder="1" applyAlignment="1">
      <alignment horizontal="center" vertical="center"/>
    </xf>
    <xf numFmtId="10" fontId="14" fillId="6" borderId="0" xfId="0" applyNumberFormat="1" applyFont="1" applyFill="1">
      <alignment vertical="center"/>
    </xf>
    <xf numFmtId="192" fontId="5" fillId="3" borderId="17" xfId="0" applyNumberFormat="1" applyFont="1" applyFill="1" applyBorder="1">
      <alignment vertical="center"/>
    </xf>
    <xf numFmtId="10" fontId="2" fillId="9" borderId="38" xfId="0" applyNumberFormat="1" applyFont="1" applyFill="1" applyBorder="1">
      <alignment vertical="center"/>
    </xf>
    <xf numFmtId="10" fontId="14" fillId="0" borderId="35" xfId="0" applyNumberFormat="1" applyFont="1" applyBorder="1">
      <alignment vertical="center"/>
    </xf>
    <xf numFmtId="10" fontId="14" fillId="0" borderId="39" xfId="0" applyNumberFormat="1" applyFont="1" applyBorder="1">
      <alignment vertical="center"/>
    </xf>
    <xf numFmtId="10" fontId="14" fillId="0" borderId="37" xfId="0" applyNumberFormat="1" applyFont="1" applyBorder="1">
      <alignment vertical="center"/>
    </xf>
    <xf numFmtId="164" fontId="12" fillId="5" borderId="19" xfId="0" applyNumberFormat="1" applyFont="1" applyFill="1" applyBorder="1" applyAlignment="1">
      <alignment horizontal="center" vertical="center"/>
    </xf>
    <xf numFmtId="164" fontId="12" fillId="5" borderId="20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 wrapText="1"/>
    </xf>
    <xf numFmtId="164" fontId="5" fillId="6" borderId="5" xfId="0" applyNumberFormat="1" applyFont="1" applyFill="1" applyBorder="1" applyAlignment="1">
      <alignment horizontal="center" vertical="center"/>
    </xf>
    <xf numFmtId="164" fontId="5" fillId="6" borderId="1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2" fillId="3" borderId="13" xfId="0" applyNumberFormat="1" applyFont="1" applyFill="1" applyBorder="1" applyAlignment="1">
      <alignment horizontal="center" vertical="center"/>
    </xf>
    <xf numFmtId="164" fontId="12" fillId="3" borderId="16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4" fontId="5" fillId="6" borderId="7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/>
    </xf>
    <xf numFmtId="164" fontId="5" fillId="6" borderId="6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 wrapText="1"/>
    </xf>
    <xf numFmtId="164" fontId="16" fillId="15" borderId="28" xfId="0" applyNumberFormat="1" applyFont="1" applyFill="1" applyBorder="1" applyAlignment="1">
      <alignment horizontal="center" vertical="center"/>
    </xf>
    <xf numFmtId="164" fontId="16" fillId="15" borderId="0" xfId="0" applyNumberFormat="1" applyFont="1" applyFill="1" applyAlignment="1">
      <alignment horizontal="center" vertical="center"/>
    </xf>
    <xf numFmtId="164" fontId="16" fillId="15" borderId="6" xfId="0" applyNumberFormat="1" applyFont="1" applyFill="1" applyBorder="1" applyAlignment="1">
      <alignment horizontal="center" vertical="center"/>
    </xf>
    <xf numFmtId="164" fontId="16" fillId="18" borderId="10" xfId="0" applyNumberFormat="1" applyFont="1" applyFill="1" applyBorder="1" applyAlignment="1">
      <alignment horizontal="center" vertical="center"/>
    </xf>
    <xf numFmtId="164" fontId="16" fillId="18" borderId="6" xfId="0" applyNumberFormat="1" applyFont="1" applyFill="1" applyBorder="1" applyAlignment="1">
      <alignment horizontal="center" vertical="center"/>
    </xf>
    <xf numFmtId="164" fontId="16" fillId="19" borderId="10" xfId="0" applyNumberFormat="1" applyFont="1" applyFill="1" applyBorder="1" applyAlignment="1">
      <alignment horizontal="center" vertical="center"/>
    </xf>
    <xf numFmtId="164" fontId="16" fillId="19" borderId="0" xfId="0" applyNumberFormat="1" applyFont="1" applyFill="1" applyAlignment="1">
      <alignment horizontal="center" vertical="center"/>
    </xf>
    <xf numFmtId="164" fontId="16" fillId="19" borderId="2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/>
              <a:t>사업연도별 운영배당액 </a:t>
            </a:r>
            <a:r>
              <a:rPr lang="en-US" altLang="ko-KR" sz="1100"/>
              <a:t>(</a:t>
            </a:r>
            <a:r>
              <a:rPr lang="ko-KR" altLang="en-US" sz="1100"/>
              <a:t>백만원</a:t>
            </a:r>
            <a:r>
              <a:rPr lang="en-US" altLang="ko-KR" sz="110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'A&amp;R'!$B$122</c:f>
              <c:strCache>
                <c:ptCount val="1"/>
                <c:pt idx="0">
                  <c:v>제1종수익증권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_);[Red]\(#,##0\);\-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'A&amp;R'!$F$68:$S$68</c:f>
              <c:numCache>
                <c:formatCode>#,##0"기"_);[Red]\(#,##0\);\-_)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'A&amp;R'!$F$124:$S$124</c:f>
              <c:numCache>
                <c:formatCode>#,##0_);[Red]\(#,##0\);\-_)</c:formatCode>
                <c:ptCount val="14"/>
                <c:pt idx="0">
                  <c:v>1077.4528308478116</c:v>
                </c:pt>
                <c:pt idx="1">
                  <c:v>1604.3997161043135</c:v>
                </c:pt>
                <c:pt idx="2">
                  <c:v>2339.3974530478749</c:v>
                </c:pt>
                <c:pt idx="3">
                  <c:v>1673.75</c:v>
                </c:pt>
                <c:pt idx="4">
                  <c:v>1673.75</c:v>
                </c:pt>
                <c:pt idx="5">
                  <c:v>1673.75</c:v>
                </c:pt>
                <c:pt idx="6">
                  <c:v>1673.75</c:v>
                </c:pt>
                <c:pt idx="7">
                  <c:v>1673.75</c:v>
                </c:pt>
                <c:pt idx="8">
                  <c:v>1673.75</c:v>
                </c:pt>
                <c:pt idx="9">
                  <c:v>1673.75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1-9847-A653-55216A858CA3}"/>
            </c:ext>
          </c:extLst>
        </c:ser>
        <c:ser>
          <c:idx val="0"/>
          <c:order val="1"/>
          <c:tx>
            <c:strRef>
              <c:f>'A&amp;R'!$B$132</c:f>
              <c:strCache>
                <c:ptCount val="1"/>
                <c:pt idx="0">
                  <c:v>제2종수익증권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[Red]\(#,##0\);\-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'A&amp;R'!$F$68:$S$68</c:f>
              <c:numCache>
                <c:formatCode>#,##0"기"_);[Red]\(#,##0\);\-_)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'A&amp;R'!$F$134:$S$134</c:f>
              <c:numCache>
                <c:formatCode>#,##0_);[Red]\(#,##0\);\-_)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54.945239319471057</c:v>
                </c:pt>
                <c:pt idx="3">
                  <c:v>807.40163971117454</c:v>
                </c:pt>
                <c:pt idx="4">
                  <c:v>584.09296881806358</c:v>
                </c:pt>
                <c:pt idx="5">
                  <c:v>1088.3343664867261</c:v>
                </c:pt>
                <c:pt idx="6">
                  <c:v>1443.5488453898661</c:v>
                </c:pt>
                <c:pt idx="7">
                  <c:v>1588.3906371145931</c:v>
                </c:pt>
                <c:pt idx="8">
                  <c:v>1866.5122689714321</c:v>
                </c:pt>
                <c:pt idx="9">
                  <c:v>1993.6250888389432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CC1-9847-A653-55216A858C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8248303"/>
        <c:axId val="1708250015"/>
      </c:barChart>
      <c:catAx>
        <c:axId val="1708248303"/>
        <c:scaling>
          <c:orientation val="minMax"/>
        </c:scaling>
        <c:delete val="0"/>
        <c:axPos val="b"/>
        <c:numFmt formatCode="#,##0&quot;기&quot;_);[Red]\(#,##0\);\-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8250015"/>
        <c:crosses val="autoZero"/>
        <c:auto val="1"/>
        <c:lblAlgn val="ctr"/>
        <c:lblOffset val="100"/>
        <c:noMultiLvlLbl val="0"/>
      </c:catAx>
      <c:valAx>
        <c:axId val="17082500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;\-_)" sourceLinked="1"/>
        <c:majorTickMark val="none"/>
        <c:minorTickMark val="none"/>
        <c:tickLblPos val="nextTo"/>
        <c:crossAx val="170824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15761</xdr:colOff>
      <xdr:row>152</xdr:row>
      <xdr:rowOff>63654</xdr:rowOff>
    </xdr:from>
    <xdr:to>
      <xdr:col>19</xdr:col>
      <xdr:colOff>1608</xdr:colOff>
      <xdr:row>164</xdr:row>
      <xdr:rowOff>84447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03ED1F9-00AD-4CC1-ACF5-31E8D83FE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안태환" id="{873256D7-8343-C34F-96DB-08653D81160D}" userId="S::teny24@konkuk.ac.kr::e22b2d43-de72-4ca4-90d8-4a46b14c982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6" dT="2024-11-07T15:27:30.18" personId="{873256D7-8343-C34F-96DB-08653D81160D}" id="{C2B54B09-F4F8-9440-B0C0-79CDFC654B4F}">
    <text>월초에 계약 시작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45E5-E081-7A49-A79F-12B1C4E0FBB7}">
  <dimension ref="A1:AH155"/>
  <sheetViews>
    <sheetView showGridLines="0" tabSelected="1" zoomScale="79" workbookViewId="0">
      <selection activeCell="K108" sqref="K108"/>
    </sheetView>
  </sheetViews>
  <sheetFormatPr baseColWidth="10" defaultRowHeight="15"/>
  <cols>
    <col min="1" max="1" width="3.5" style="13" customWidth="1"/>
    <col min="2" max="3" width="10.83203125" style="13"/>
    <col min="4" max="4" width="12.1640625" style="13" bestFit="1" customWidth="1"/>
    <col min="5" max="7" width="10.83203125" style="13"/>
    <col min="8" max="8" width="11.33203125" style="13" customWidth="1"/>
    <col min="9" max="9" width="10.83203125" style="13"/>
    <col min="10" max="10" width="10.83203125" style="13" customWidth="1"/>
    <col min="11" max="19" width="10.83203125" style="13"/>
    <col min="20" max="20" width="3.1640625" style="13" customWidth="1"/>
    <col min="21" max="23" width="10.83203125" style="13"/>
    <col min="24" max="24" width="11.1640625" style="13" bestFit="1" customWidth="1"/>
    <col min="25" max="26" width="10.83203125" style="13"/>
    <col min="27" max="27" width="10.83203125" style="13" customWidth="1"/>
    <col min="28" max="16384" width="10.83203125" style="13"/>
  </cols>
  <sheetData>
    <row r="1" spans="1:34" s="1" customFormat="1" ht="17" customHeight="1"/>
    <row r="2" spans="1:34" s="1" customFormat="1" ht="17" customHeight="1">
      <c r="B2" s="2" t="s">
        <v>10</v>
      </c>
      <c r="W2" s="109"/>
      <c r="X2" s="110"/>
      <c r="Y2" s="56"/>
      <c r="AF2" s="3" t="s">
        <v>0</v>
      </c>
      <c r="AG2" s="4" t="s">
        <v>1</v>
      </c>
      <c r="AH2" s="5" t="s">
        <v>2</v>
      </c>
    </row>
    <row r="3" spans="1:34" s="1" customFormat="1" ht="17" customHeight="1">
      <c r="B3" s="2" t="s">
        <v>11</v>
      </c>
      <c r="W3" s="6"/>
      <c r="X3" s="110"/>
      <c r="Y3" s="110"/>
      <c r="AF3" s="6" t="s">
        <v>3</v>
      </c>
      <c r="AG3" s="7" t="s">
        <v>4</v>
      </c>
      <c r="AH3" s="8" t="s">
        <v>5</v>
      </c>
    </row>
    <row r="4" spans="1:34" s="1" customFormat="1" ht="17" customHeight="1">
      <c r="B4" s="14"/>
      <c r="W4" s="110"/>
      <c r="X4" s="56"/>
      <c r="Y4" s="11"/>
      <c r="AF4" s="9" t="s">
        <v>6</v>
      </c>
      <c r="AG4" s="10" t="s">
        <v>7</v>
      </c>
      <c r="AH4" s="63" t="s">
        <v>8</v>
      </c>
    </row>
    <row r="5" spans="1:34" s="12" customFormat="1" ht="17" customHeight="1" thickBot="1"/>
    <row r="6" spans="1:34" ht="16" thickTop="1">
      <c r="A6" s="13" t="s">
        <v>9</v>
      </c>
      <c r="AH6" s="108">
        <v>45611</v>
      </c>
    </row>
    <row r="7" spans="1:34">
      <c r="A7" s="2" t="s">
        <v>12</v>
      </c>
    </row>
    <row r="8" spans="1:34">
      <c r="B8" s="5" t="s">
        <v>14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U8" s="5" t="s">
        <v>182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>
      <c r="B9" s="13" t="s">
        <v>15</v>
      </c>
      <c r="D9" s="13" t="s">
        <v>22</v>
      </c>
      <c r="G9" s="13" t="s">
        <v>330</v>
      </c>
      <c r="I9" s="267">
        <v>1</v>
      </c>
      <c r="U9" s="2" t="s">
        <v>157</v>
      </c>
      <c r="AC9" s="2" t="s">
        <v>203</v>
      </c>
    </row>
    <row r="10" spans="1:34">
      <c r="B10" s="13" t="s">
        <v>16</v>
      </c>
      <c r="D10" s="13">
        <v>1000000</v>
      </c>
      <c r="E10" s="13" t="s">
        <v>23</v>
      </c>
      <c r="U10" s="115" t="s">
        <v>89</v>
      </c>
      <c r="V10" s="25" t="s">
        <v>164</v>
      </c>
      <c r="W10" s="115"/>
      <c r="X10" s="115"/>
      <c r="Y10" s="115"/>
      <c r="Z10" s="115" t="s">
        <v>130</v>
      </c>
      <c r="AA10" s="115"/>
      <c r="AC10" s="130" t="s">
        <v>89</v>
      </c>
      <c r="AD10" s="115" t="s">
        <v>164</v>
      </c>
      <c r="AE10" s="115"/>
      <c r="AF10" s="115"/>
      <c r="AG10" s="115"/>
      <c r="AH10" s="115"/>
    </row>
    <row r="11" spans="1:34">
      <c r="B11" s="13" t="s">
        <v>17</v>
      </c>
      <c r="D11" s="15">
        <v>0.30249999999999999</v>
      </c>
      <c r="E11" s="13" t="s">
        <v>24</v>
      </c>
      <c r="U11" s="75" t="s">
        <v>158</v>
      </c>
      <c r="V11" s="112" t="s">
        <v>165</v>
      </c>
      <c r="W11" s="113">
        <v>900</v>
      </c>
      <c r="X11" s="75" t="s">
        <v>166</v>
      </c>
      <c r="Y11" s="114">
        <v>2.5000000000000001E-2</v>
      </c>
      <c r="Z11" s="75"/>
      <c r="AA11" s="75"/>
      <c r="AC11" s="127" t="s">
        <v>204</v>
      </c>
      <c r="AD11" s="112" t="s">
        <v>206</v>
      </c>
      <c r="AE11" s="75"/>
      <c r="AF11" s="135">
        <v>0.7</v>
      </c>
      <c r="AG11" s="75"/>
      <c r="AH11" s="75"/>
    </row>
    <row r="12" spans="1:34">
      <c r="B12" s="13" t="s">
        <v>18</v>
      </c>
      <c r="D12" s="13" t="s">
        <v>25</v>
      </c>
      <c r="U12" s="75" t="s">
        <v>159</v>
      </c>
      <c r="V12" s="112" t="s">
        <v>165</v>
      </c>
      <c r="W12" s="113">
        <v>11000</v>
      </c>
      <c r="X12" s="75" t="s">
        <v>166</v>
      </c>
      <c r="Y12" s="114">
        <v>2.5000000000000001E-2</v>
      </c>
      <c r="Z12" s="75"/>
      <c r="AA12" s="75"/>
      <c r="AC12" s="128" t="s">
        <v>205</v>
      </c>
      <c r="AD12" s="91" t="s">
        <v>206</v>
      </c>
      <c r="AE12" s="76"/>
      <c r="AF12" s="100">
        <v>2.1</v>
      </c>
      <c r="AG12" s="279" t="s">
        <v>483</v>
      </c>
      <c r="AH12" s="76"/>
    </row>
    <row r="13" spans="1:34">
      <c r="B13" s="13" t="s">
        <v>19</v>
      </c>
      <c r="D13" s="17">
        <v>45688</v>
      </c>
      <c r="U13" s="75" t="s">
        <v>160</v>
      </c>
      <c r="V13" s="112" t="s">
        <v>165</v>
      </c>
      <c r="W13" s="113">
        <v>8000</v>
      </c>
      <c r="X13" s="75" t="s">
        <v>166</v>
      </c>
      <c r="Y13" s="114">
        <v>2.5000000000000001E-2</v>
      </c>
      <c r="Z13" s="75"/>
      <c r="AA13" s="75"/>
      <c r="AF13" s="101"/>
      <c r="AG13" s="63" t="s">
        <v>488</v>
      </c>
    </row>
    <row r="14" spans="1:34">
      <c r="B14" s="13" t="s">
        <v>21</v>
      </c>
      <c r="D14" s="17">
        <f>EOMONTH(D13,1)</f>
        <v>45716</v>
      </c>
      <c r="U14" s="75" t="s">
        <v>161</v>
      </c>
      <c r="V14" s="112" t="s">
        <v>165</v>
      </c>
      <c r="W14" s="113">
        <v>3500</v>
      </c>
      <c r="X14" s="75" t="s">
        <v>166</v>
      </c>
      <c r="Y14" s="114">
        <v>2.5000000000000001E-2</v>
      </c>
      <c r="Z14" s="294" t="s">
        <v>468</v>
      </c>
      <c r="AA14" s="75"/>
      <c r="AC14" s="2" t="s">
        <v>183</v>
      </c>
    </row>
    <row r="15" spans="1:34">
      <c r="B15" s="13" t="s">
        <v>20</v>
      </c>
      <c r="D15" s="18">
        <v>5</v>
      </c>
      <c r="U15" s="75" t="s">
        <v>162</v>
      </c>
      <c r="V15" s="112" t="s">
        <v>165</v>
      </c>
      <c r="W15" s="113">
        <v>200</v>
      </c>
      <c r="X15" s="75" t="s">
        <v>166</v>
      </c>
      <c r="Y15" s="114">
        <v>2.5000000000000001E-2</v>
      </c>
      <c r="Z15" s="75"/>
      <c r="AA15" s="75"/>
      <c r="AC15" s="115" t="s">
        <v>89</v>
      </c>
      <c r="AD15" s="130"/>
      <c r="AE15" s="115" t="s">
        <v>164</v>
      </c>
      <c r="AF15" s="115"/>
      <c r="AG15" s="115"/>
      <c r="AH15" s="115"/>
    </row>
    <row r="16" spans="1:34">
      <c r="B16" s="13" t="s">
        <v>27</v>
      </c>
      <c r="D16" s="16">
        <f>EOMONTH(D13,12*D15)</f>
        <v>47514</v>
      </c>
      <c r="U16" s="76" t="s">
        <v>163</v>
      </c>
      <c r="V16" s="91" t="s">
        <v>123</v>
      </c>
      <c r="W16" s="99">
        <v>5.0000000000000001E-3</v>
      </c>
      <c r="X16" s="76" t="s">
        <v>166</v>
      </c>
      <c r="Y16" s="99">
        <v>2.5000000000000001E-2</v>
      </c>
      <c r="Z16" s="76"/>
      <c r="AA16" s="76"/>
      <c r="AC16" s="75" t="s">
        <v>184</v>
      </c>
      <c r="AD16" s="127"/>
      <c r="AE16" s="93">
        <v>40</v>
      </c>
      <c r="AF16" s="75" t="s">
        <v>185</v>
      </c>
      <c r="AG16" s="75" t="s">
        <v>166</v>
      </c>
      <c r="AH16" s="114">
        <v>2.5000000000000001E-2</v>
      </c>
    </row>
    <row r="17" spans="2:34" ht="17">
      <c r="B17" s="13" t="s">
        <v>26</v>
      </c>
      <c r="D17" s="19">
        <v>6</v>
      </c>
      <c r="U17" s="134"/>
      <c r="AC17" s="76" t="s">
        <v>186</v>
      </c>
      <c r="AD17" s="128"/>
      <c r="AE17" s="76" t="s">
        <v>165</v>
      </c>
      <c r="AF17" s="129">
        <v>2000</v>
      </c>
      <c r="AG17" s="76" t="s">
        <v>166</v>
      </c>
      <c r="AH17" s="99">
        <v>2.5000000000000001E-2</v>
      </c>
    </row>
    <row r="18" spans="2:34">
      <c r="B18" s="5" t="s">
        <v>28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U18" s="2" t="s">
        <v>202</v>
      </c>
      <c r="AC18" s="76" t="s">
        <v>474</v>
      </c>
      <c r="AD18" s="128"/>
      <c r="AE18" s="94">
        <v>240</v>
      </c>
      <c r="AF18" s="76" t="s">
        <v>185</v>
      </c>
      <c r="AG18" s="76" t="s">
        <v>166</v>
      </c>
      <c r="AH18" s="99">
        <v>2.5000000000000001E-2</v>
      </c>
    </row>
    <row r="19" spans="2:34">
      <c r="B19" s="13" t="s">
        <v>29</v>
      </c>
      <c r="D19" s="13" t="s">
        <v>30</v>
      </c>
      <c r="I19" s="13" t="s">
        <v>39</v>
      </c>
      <c r="K19" s="13" t="s">
        <v>86</v>
      </c>
      <c r="U19" s="115" t="s">
        <v>89</v>
      </c>
      <c r="V19" s="115"/>
      <c r="W19" s="115"/>
      <c r="X19" s="25" t="s">
        <v>164</v>
      </c>
      <c r="Y19" s="115"/>
      <c r="Z19" s="115"/>
      <c r="AA19" s="115"/>
      <c r="AC19" s="63" t="s">
        <v>489</v>
      </c>
    </row>
    <row r="20" spans="2:34" ht="17">
      <c r="B20" s="13" t="s">
        <v>31</v>
      </c>
      <c r="D20" s="13" t="s">
        <v>32</v>
      </c>
      <c r="I20" s="13" t="s">
        <v>42</v>
      </c>
      <c r="K20" s="13">
        <v>25076</v>
      </c>
      <c r="L20" s="13" t="s">
        <v>134</v>
      </c>
      <c r="M20" s="13">
        <f>K20*py</f>
        <v>7585.49</v>
      </c>
      <c r="N20" s="13" t="s">
        <v>24</v>
      </c>
      <c r="U20" s="75" t="s">
        <v>167</v>
      </c>
      <c r="V20" s="75"/>
      <c r="W20" s="75"/>
      <c r="X20" s="116">
        <v>400</v>
      </c>
      <c r="Y20" s="75" t="s">
        <v>171</v>
      </c>
      <c r="Z20" s="75"/>
      <c r="AA20" s="75"/>
    </row>
    <row r="21" spans="2:34">
      <c r="B21" s="13" t="s">
        <v>33</v>
      </c>
      <c r="D21" s="13" t="s">
        <v>34</v>
      </c>
      <c r="I21" s="13" t="s">
        <v>44</v>
      </c>
      <c r="K21" s="21">
        <v>40209</v>
      </c>
      <c r="L21" s="13" t="s">
        <v>221</v>
      </c>
      <c r="U21" s="75" t="s">
        <v>168</v>
      </c>
      <c r="V21" s="75"/>
      <c r="W21" s="75"/>
      <c r="X21" s="116">
        <v>60</v>
      </c>
      <c r="Y21" s="75" t="s">
        <v>171</v>
      </c>
      <c r="Z21" s="75"/>
      <c r="AA21" s="75"/>
    </row>
    <row r="22" spans="2:34">
      <c r="B22" s="13" t="s">
        <v>35</v>
      </c>
      <c r="D22" s="13">
        <v>2115</v>
      </c>
      <c r="E22" s="13" t="s">
        <v>36</v>
      </c>
      <c r="F22" s="13">
        <f>D22*py</f>
        <v>639.78750000000002</v>
      </c>
      <c r="G22" s="13" t="s">
        <v>24</v>
      </c>
      <c r="I22" s="13" t="s">
        <v>43</v>
      </c>
      <c r="K22" s="13" t="s">
        <v>239</v>
      </c>
      <c r="U22" s="75" t="s">
        <v>169</v>
      </c>
      <c r="V22" s="75"/>
      <c r="W22" s="75"/>
      <c r="X22" s="116">
        <v>40</v>
      </c>
      <c r="Y22" s="75" t="s">
        <v>171</v>
      </c>
      <c r="Z22" s="75"/>
      <c r="AA22" s="75"/>
    </row>
    <row r="23" spans="2:34" ht="17">
      <c r="B23" s="13" t="s">
        <v>37</v>
      </c>
      <c r="D23" s="13">
        <v>65430000</v>
      </c>
      <c r="E23" s="13" t="s">
        <v>135</v>
      </c>
      <c r="F23" s="13">
        <f>D22*D23/unit</f>
        <v>138384.45000000001</v>
      </c>
      <c r="G23" s="13" t="s">
        <v>38</v>
      </c>
      <c r="I23" s="13" t="s">
        <v>40</v>
      </c>
      <c r="K23" s="13" t="s">
        <v>414</v>
      </c>
      <c r="M23" s="90">
        <f>$G$27</f>
        <v>4.765636610908118E-2</v>
      </c>
      <c r="U23" s="75" t="s">
        <v>170</v>
      </c>
      <c r="V23" s="75"/>
      <c r="W23" s="75"/>
      <c r="X23" s="116">
        <v>25</v>
      </c>
      <c r="Y23" s="75" t="s">
        <v>171</v>
      </c>
      <c r="Z23" s="75"/>
      <c r="AA23" s="75"/>
    </row>
    <row r="24" spans="2:34">
      <c r="B24" s="13" t="s">
        <v>467</v>
      </c>
      <c r="D24" s="90">
        <f>SUM(Rentroll!F23:F26)/Rentroll!F32</f>
        <v>0.22099455447361241</v>
      </c>
      <c r="K24" s="13" t="s">
        <v>41</v>
      </c>
      <c r="M24" s="313">
        <f>E27/M20</f>
        <v>31.112030996020035</v>
      </c>
      <c r="N24" s="13" t="s">
        <v>133</v>
      </c>
      <c r="U24" s="76" t="s">
        <v>320</v>
      </c>
      <c r="V24" s="76"/>
      <c r="W24" s="76"/>
      <c r="X24" s="117">
        <v>45</v>
      </c>
      <c r="Y24" s="76" t="s">
        <v>171</v>
      </c>
      <c r="Z24" s="76"/>
      <c r="AA24" s="76"/>
    </row>
    <row r="25" spans="2:34">
      <c r="B25" s="5" t="s">
        <v>114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U25" s="5" t="s">
        <v>172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2:34">
      <c r="B26" s="8" t="s">
        <v>89</v>
      </c>
      <c r="C26" s="8"/>
      <c r="D26" s="8"/>
      <c r="E26" s="8" t="s">
        <v>119</v>
      </c>
      <c r="F26" s="8" t="s">
        <v>120</v>
      </c>
      <c r="G26" s="8"/>
      <c r="H26" s="8"/>
      <c r="I26" s="8" t="s">
        <v>121</v>
      </c>
      <c r="J26" s="8" t="s">
        <v>130</v>
      </c>
      <c r="K26" s="8"/>
      <c r="L26" s="8"/>
      <c r="M26" s="8"/>
      <c r="N26" s="8"/>
      <c r="O26" s="8"/>
      <c r="P26" s="8"/>
      <c r="Q26" s="8"/>
      <c r="R26" s="8"/>
      <c r="S26" s="8"/>
      <c r="U26" s="2" t="s">
        <v>229</v>
      </c>
    </row>
    <row r="27" spans="2:34">
      <c r="B27" s="75" t="s">
        <v>115</v>
      </c>
      <c r="C27" s="75"/>
      <c r="D27" s="75"/>
      <c r="E27" s="93">
        <v>236000</v>
      </c>
      <c r="F27" s="214" t="s">
        <v>414</v>
      </c>
      <c r="G27" s="124">
        <f>$AF$44/($E$27-$E$54)</f>
        <v>4.765636610908118E-2</v>
      </c>
      <c r="H27" s="75"/>
      <c r="I27" s="124">
        <f ca="1">E27/$E$43</f>
        <v>0.91291074011996554</v>
      </c>
      <c r="J27" s="75"/>
      <c r="K27" s="214" t="s">
        <v>463</v>
      </c>
      <c r="L27" s="214"/>
      <c r="M27" s="124">
        <f>$AH$44/($E$27-$E$54)</f>
        <v>3.6638202682063734E-2</v>
      </c>
      <c r="N27" s="75"/>
      <c r="O27" s="75"/>
      <c r="P27" s="75"/>
      <c r="Q27" s="75"/>
      <c r="R27" s="75"/>
      <c r="S27" s="75"/>
      <c r="U27" s="67" t="s">
        <v>230</v>
      </c>
      <c r="V27" s="67"/>
      <c r="W27" s="67"/>
      <c r="X27" s="67" t="s">
        <v>231</v>
      </c>
      <c r="Y27" s="68">
        <v>1</v>
      </c>
      <c r="Z27" s="68">
        <v>2</v>
      </c>
      <c r="AA27" s="68">
        <v>3</v>
      </c>
      <c r="AB27" s="68">
        <v>4</v>
      </c>
      <c r="AC27" s="68">
        <v>5</v>
      </c>
      <c r="AD27" s="68">
        <v>6</v>
      </c>
      <c r="AE27" s="68">
        <v>7</v>
      </c>
      <c r="AF27" s="68">
        <v>8</v>
      </c>
      <c r="AG27" s="68">
        <v>9</v>
      </c>
      <c r="AH27" s="68">
        <v>10</v>
      </c>
    </row>
    <row r="28" spans="2:34">
      <c r="B28" s="13" t="s">
        <v>116</v>
      </c>
      <c r="E28" s="13">
        <f>SUM(E29:E31)</f>
        <v>13480</v>
      </c>
      <c r="I28" s="124">
        <f ca="1">E28/$E$43</f>
        <v>5.2144223630581084E-2</v>
      </c>
      <c r="L28" s="270">
        <f ca="1">I28+I32</f>
        <v>5.4397021740394E-2</v>
      </c>
      <c r="M28" s="63">
        <f ca="1">E28+E32</f>
        <v>14062.379339568273</v>
      </c>
      <c r="U28" s="13" t="s">
        <v>111</v>
      </c>
      <c r="X28" s="13">
        <f>SUM(Y28:AH28)</f>
        <v>81962.917953115757</v>
      </c>
      <c r="Y28" s="13">
        <f>SUM(Y29:Y33)</f>
        <v>14253.082036584363</v>
      </c>
      <c r="Z28" s="13">
        <f t="shared" ref="Z28:AH28" si="0">SUM(Z29:Z33)</f>
        <v>15959.019029629764</v>
      </c>
      <c r="AA28" s="13">
        <f t="shared" si="0"/>
        <v>16464.691668672658</v>
      </c>
      <c r="AB28" s="13">
        <f t="shared" si="0"/>
        <v>17274.609463538854</v>
      </c>
      <c r="AC28" s="13">
        <f t="shared" si="0"/>
        <v>18011.515754690117</v>
      </c>
      <c r="AD28" s="13">
        <f t="shared" si="0"/>
        <v>0</v>
      </c>
      <c r="AE28" s="13">
        <f t="shared" si="0"/>
        <v>0</v>
      </c>
      <c r="AF28" s="13">
        <f t="shared" si="0"/>
        <v>0</v>
      </c>
      <c r="AG28" s="13">
        <f t="shared" si="0"/>
        <v>0</v>
      </c>
      <c r="AH28" s="13">
        <f t="shared" si="0"/>
        <v>0</v>
      </c>
    </row>
    <row r="29" spans="2:34">
      <c r="C29" s="91" t="s">
        <v>118</v>
      </c>
      <c r="D29" s="76"/>
      <c r="E29" s="76">
        <f>E27*G29</f>
        <v>1652</v>
      </c>
      <c r="F29" s="76" t="s">
        <v>123</v>
      </c>
      <c r="G29" s="99">
        <v>7.0000000000000001E-3</v>
      </c>
      <c r="H29" s="76"/>
      <c r="I29" s="106"/>
      <c r="J29" s="76"/>
      <c r="K29" s="76"/>
      <c r="L29" s="76"/>
      <c r="M29" s="76"/>
      <c r="N29" s="76"/>
      <c r="O29" s="76"/>
      <c r="P29" s="76"/>
      <c r="Q29" s="76"/>
      <c r="R29" s="76"/>
      <c r="S29" s="76"/>
      <c r="V29" s="91" t="s">
        <v>232</v>
      </c>
      <c r="W29" s="219" t="b">
        <f>ABS(X29-운영수입!Q18)&lt;0.001</f>
        <v>1</v>
      </c>
      <c r="X29" s="76">
        <f>SUM(Y29:AH29)</f>
        <v>42367.537150880751</v>
      </c>
      <c r="Y29" s="76">
        <f>SUMIF(운영수입!$S$16:$DM$16,Y$27,운영수입!$S$18:$DM$18)</f>
        <v>7028.6160488200358</v>
      </c>
      <c r="Z29" s="76">
        <f>SUMIF(운영수입!$S$16:$DM$16,Z$27,운영수입!$S$18:$DM$18)</f>
        <v>8216.2367184794966</v>
      </c>
      <c r="AA29" s="76">
        <f>SUMIF(운영수입!$S$16:$DM$16,AA$27,운영수입!$S$18:$DM$18)</f>
        <v>8467.0595702984665</v>
      </c>
      <c r="AB29" s="76">
        <f>SUMIF(운영수입!$S$16:$DM$16,AB$27,운영수입!$S$18:$DM$18)</f>
        <v>9065.4481484359276</v>
      </c>
      <c r="AC29" s="76">
        <f>SUMIF(운영수입!$S$16:$DM$16,AC$27,운영수입!$S$18:$DM$18)</f>
        <v>9590.1766648468256</v>
      </c>
      <c r="AD29" s="76">
        <f>SUMIF(운영수입!$S$16:$DM$16,AD$27,운영수입!$S$18:$DM$18)</f>
        <v>0</v>
      </c>
      <c r="AE29" s="76">
        <f>SUMIF(운영수입!$S$16:$DM$16,AE$27,운영수입!$S$18:$DM$18)</f>
        <v>0</v>
      </c>
      <c r="AF29" s="76">
        <f>SUMIF(운영수입!$S$16:$DM$16,AF$27,운영수입!$S$18:$DM$18)</f>
        <v>0</v>
      </c>
      <c r="AG29" s="76">
        <f>SUMIF(운영수입!$S$16:$DM$16,AG$27,운영수입!$S$18:$DM$18)</f>
        <v>0</v>
      </c>
      <c r="AH29" s="76">
        <f>SUMIF(운영수입!$S$16:$DM$16,AH$27,운영수입!$S$18:$DM$18)</f>
        <v>0</v>
      </c>
    </row>
    <row r="30" spans="2:34">
      <c r="C30" s="92" t="s">
        <v>127</v>
      </c>
      <c r="E30" s="13">
        <f>E27*G30</f>
        <v>11328</v>
      </c>
      <c r="F30" s="13" t="s">
        <v>123</v>
      </c>
      <c r="G30" s="111">
        <v>4.8000000000000001E-2</v>
      </c>
      <c r="I30" s="125"/>
      <c r="J30" s="13" t="s">
        <v>131</v>
      </c>
      <c r="V30" s="92" t="s">
        <v>233</v>
      </c>
      <c r="W30" s="220" t="b">
        <f>ABS(X30-운영수입!Q65)&lt;0.001</f>
        <v>1</v>
      </c>
      <c r="X30" s="13">
        <f t="shared" ref="X30:X32" si="1">SUM(Y30:AH30)</f>
        <v>21242.108226077289</v>
      </c>
      <c r="Y30" s="13">
        <f>SUMIF(운영수입!$S$16:$DM$16,Y$27,운영수입!$S$65:$DM$65)</f>
        <v>3922.4142277643277</v>
      </c>
      <c r="Z30" s="13">
        <f>SUMIF(운영수입!$S$16:$DM$16,Z$27,운영수입!$S$65:$DM$65)</f>
        <v>4118.1792571502683</v>
      </c>
      <c r="AA30" s="13">
        <f>SUMIF(운영수입!$S$16:$DM$16,AA$27,운영수입!$S$65:$DM$65)</f>
        <v>4282.4139680241915</v>
      </c>
      <c r="AB30" s="13">
        <f>SUMIF(운영수입!$S$16:$DM$16,AB$27,운영수입!$S$65:$DM$65)</f>
        <v>4401.0627314941767</v>
      </c>
      <c r="AC30" s="13">
        <f>SUMIF(운영수입!$S$16:$DM$16,AC$27,운영수입!$S$65:$DM$65)</f>
        <v>4518.0380416443259</v>
      </c>
      <c r="AD30" s="13">
        <f>SUMIF(운영수입!$S$16:$DM$16,AD$27,운영수입!$S$65:$DM$65)</f>
        <v>0</v>
      </c>
      <c r="AE30" s="13">
        <f>SUMIF(운영수입!$S$16:$DM$16,AE$27,운영수입!$S$65:$DM$65)</f>
        <v>0</v>
      </c>
      <c r="AF30" s="13">
        <f>SUMIF(운영수입!$S$16:$DM$16,AF$27,운영수입!$S$65:$DM$65)</f>
        <v>0</v>
      </c>
      <c r="AG30" s="13">
        <f>SUMIF(운영수입!$S$16:$DM$16,AG$27,운영수입!$S$65:$DM$65)</f>
        <v>0</v>
      </c>
      <c r="AH30" s="13">
        <f>SUMIF(운영수입!$S$16:$DM$16,AH$27,운영수입!$S$65:$DM$65)</f>
        <v>0</v>
      </c>
    </row>
    <row r="31" spans="2:34">
      <c r="C31" s="92" t="s">
        <v>117</v>
      </c>
      <c r="E31" s="13">
        <v>500</v>
      </c>
      <c r="F31" s="13" t="s">
        <v>122</v>
      </c>
      <c r="I31" s="125"/>
      <c r="V31" s="92" t="s">
        <v>184</v>
      </c>
      <c r="W31" s="220" t="b">
        <f>ABS(X31-운영수입!Q170)&lt;0.001</f>
        <v>1</v>
      </c>
      <c r="X31" s="13">
        <f t="shared" si="1"/>
        <v>2523.0376874999997</v>
      </c>
      <c r="Y31" s="13">
        <f>SUMIF(운영수입!$S$16:$DM$16,Y$27,운영수입!$S$170:$DM$170)</f>
        <v>480</v>
      </c>
      <c r="Z31" s="13">
        <f>SUMIF(운영수입!$S$16:$DM$16,Z$27,운영수입!$S$170:$DM$170)</f>
        <v>492</v>
      </c>
      <c r="AA31" s="13">
        <f>SUMIF(운영수입!$S$16:$DM$16,AA$27,운영수입!$S$170:$DM$170)</f>
        <v>504.2999999999999</v>
      </c>
      <c r="AB31" s="13">
        <f>SUMIF(운영수입!$S$16:$DM$16,AB$27,운영수입!$S$170:$DM$170)</f>
        <v>516.90749999999991</v>
      </c>
      <c r="AC31" s="13">
        <f>SUMIF(운영수입!$S$16:$DM$16,AC$27,운영수입!$S$170:$DM$170)</f>
        <v>529.83018749999985</v>
      </c>
      <c r="AD31" s="13">
        <f>SUMIF(운영수입!$S$16:$DM$16,AD$27,운영수입!$S$170:$DM$170)</f>
        <v>0</v>
      </c>
      <c r="AE31" s="13">
        <f>SUMIF(운영수입!$S$16:$DM$16,AE$27,운영수입!$S$170:$DM$170)</f>
        <v>0</v>
      </c>
      <c r="AF31" s="13">
        <f>SUMIF(운영수입!$S$16:$DM$16,AF$27,운영수입!$S$170:$DM$170)</f>
        <v>0</v>
      </c>
      <c r="AG31" s="13">
        <f>SUMIF(운영수입!$S$16:$DM$16,AG$27,운영수입!$S$170:$DM$170)</f>
        <v>0</v>
      </c>
      <c r="AH31" s="13">
        <f>SUMIF(운영수입!$S$16:$DM$16,AH$27,운영수입!$S$170:$DM$170)</f>
        <v>0</v>
      </c>
    </row>
    <row r="32" spans="2:34">
      <c r="B32" s="76" t="s">
        <v>124</v>
      </c>
      <c r="C32" s="76"/>
      <c r="D32" s="76"/>
      <c r="E32" s="76">
        <f ca="1">E33</f>
        <v>582.37933956827305</v>
      </c>
      <c r="F32" s="76"/>
      <c r="G32" s="76"/>
      <c r="H32" s="76"/>
      <c r="I32" s="124">
        <f ca="1">E32/$E$43</f>
        <v>2.252798109812919E-3</v>
      </c>
      <c r="J32" s="76"/>
      <c r="K32" s="76"/>
      <c r="L32" s="76"/>
      <c r="M32" s="76"/>
      <c r="N32" s="76"/>
      <c r="O32" s="76"/>
      <c r="P32" s="76"/>
      <c r="Q32" s="76"/>
      <c r="R32" s="76"/>
      <c r="S32" s="76"/>
      <c r="V32" s="92" t="s">
        <v>186</v>
      </c>
      <c r="W32" s="220" t="b">
        <f>ABS(X32-운영수입!Q175)&lt;0.001</f>
        <v>1</v>
      </c>
      <c r="X32" s="13">
        <f t="shared" si="1"/>
        <v>956.92385740771851</v>
      </c>
      <c r="Y32" s="13">
        <f>SUMIF(운영수입!$S$16:$DM$16,Y$27,운영수입!$S$175:$DM$175)</f>
        <v>182.05175999999994</v>
      </c>
      <c r="Z32" s="13">
        <f>SUMIF(운영수입!$S$16:$DM$16,Z$27,운영수입!$S$175:$DM$175)</f>
        <v>186.60305399999996</v>
      </c>
      <c r="AA32" s="13">
        <f>SUMIF(운영수입!$S$16:$DM$16,AA$27,운영수입!$S$175:$DM$175)</f>
        <v>191.26813034999998</v>
      </c>
      <c r="AB32" s="13">
        <f>SUMIF(운영수입!$S$16:$DM$16,AB$27,운영수입!$S$175:$DM$175)</f>
        <v>196.04983360874994</v>
      </c>
      <c r="AC32" s="13">
        <f>SUMIF(운영수입!$S$16:$DM$16,AC$27,운영수입!$S$175:$DM$175)</f>
        <v>200.9510794489687</v>
      </c>
      <c r="AD32" s="13">
        <f>SUMIF(운영수입!$S$16:$DM$16,AD$27,운영수입!$S$175:$DM$175)</f>
        <v>0</v>
      </c>
      <c r="AE32" s="13">
        <f>SUMIF(운영수입!$S$16:$DM$16,AE$27,운영수입!$S$175:$DM$175)</f>
        <v>0</v>
      </c>
      <c r="AF32" s="13">
        <f>SUMIF(운영수입!$S$16:$DM$16,AF$27,운영수입!$S$175:$DM$175)</f>
        <v>0</v>
      </c>
      <c r="AG32" s="13">
        <f>SUMIF(운영수입!$S$16:$DM$16,AG$27,운영수입!$S$175:$DM$175)</f>
        <v>0</v>
      </c>
      <c r="AH32" s="13">
        <f>SUMIF(운영수입!$S$16:$DM$16,AH$27,운영수입!$S$175:$DM$175)</f>
        <v>0</v>
      </c>
    </row>
    <row r="33" spans="2:34">
      <c r="C33" s="91" t="s">
        <v>125</v>
      </c>
      <c r="D33" s="76"/>
      <c r="E33" s="76">
        <f ca="1">(E52*J52)+(E53*J53)</f>
        <v>582.37933956827305</v>
      </c>
      <c r="F33" s="76" t="s">
        <v>126</v>
      </c>
      <c r="G33" s="89"/>
      <c r="H33" s="76"/>
      <c r="I33" s="106"/>
      <c r="J33" s="76"/>
      <c r="K33" s="76"/>
      <c r="L33" s="76"/>
      <c r="M33" s="76"/>
      <c r="N33" s="76"/>
      <c r="O33" s="76"/>
      <c r="P33" s="76"/>
      <c r="Q33" s="76"/>
      <c r="R33" s="76"/>
      <c r="S33" s="76"/>
      <c r="V33" s="169" t="s">
        <v>473</v>
      </c>
      <c r="W33" s="220" t="b">
        <f>ABS(X33-운영수입!Q180)&lt;0.001</f>
        <v>1</v>
      </c>
      <c r="X33" s="13">
        <f>SUM(Y33:AH33)</f>
        <v>14873.311031250001</v>
      </c>
      <c r="Y33" s="13">
        <f>SUMIF(운영수입!$16:$16,'A&amp;R'!Y27,운영수입!$180:$180)</f>
        <v>2640</v>
      </c>
      <c r="Z33" s="13">
        <f>SUMIF(운영수입!$16:$16,'A&amp;R'!Z27,운영수입!$180:$180)</f>
        <v>2946</v>
      </c>
      <c r="AA33" s="13">
        <f>SUMIF(운영수입!$16:$16,'A&amp;R'!AA27,운영수입!$180:$180)</f>
        <v>3019.6500000000005</v>
      </c>
      <c r="AB33" s="13">
        <f>SUMIF(운영수입!$16:$16,'A&amp;R'!AB27,운영수입!$180:$180)</f>
        <v>3095.1412500000001</v>
      </c>
      <c r="AC33" s="13">
        <f>SUMIF(운영수입!$16:$16,'A&amp;R'!AC27,운영수입!$180:$180)</f>
        <v>3172.5197812499987</v>
      </c>
      <c r="AD33" s="13">
        <f>SUMIF(운영수입!$16:$16,'A&amp;R'!AD27,운영수입!$180:$180)</f>
        <v>0</v>
      </c>
      <c r="AE33" s="13">
        <f>SUMIF(운영수입!$16:$16,'A&amp;R'!AE27,운영수입!$180:$180)</f>
        <v>0</v>
      </c>
      <c r="AF33" s="13">
        <f>SUMIF(운영수입!$16:$16,'A&amp;R'!AF27,운영수입!$180:$180)</f>
        <v>0</v>
      </c>
      <c r="AG33" s="13">
        <f>SUMIF(운영수입!$16:$16,'A&amp;R'!AG27,운영수입!$180:$180)</f>
        <v>0</v>
      </c>
      <c r="AH33" s="13">
        <f>SUMIF(운영수입!$16:$16,'A&amp;R'!AH27,운영수입!$180:$180)</f>
        <v>0</v>
      </c>
    </row>
    <row r="34" spans="2:34">
      <c r="B34" s="76" t="s">
        <v>459</v>
      </c>
      <c r="C34" s="76"/>
      <c r="D34" s="76"/>
      <c r="E34" s="76">
        <f>SUM(E35:E39)</f>
        <v>6600</v>
      </c>
      <c r="F34" s="76"/>
      <c r="G34" s="76"/>
      <c r="H34" s="76"/>
      <c r="I34" s="124">
        <f ca="1">E34/$E$43</f>
        <v>2.5530554596575307E-2</v>
      </c>
      <c r="J34" s="76"/>
      <c r="K34" s="76"/>
      <c r="L34" s="76"/>
      <c r="M34" s="76"/>
      <c r="N34" s="76"/>
      <c r="O34" s="76"/>
      <c r="P34" s="76"/>
      <c r="Q34" s="76"/>
      <c r="R34" s="76"/>
      <c r="S34" s="76"/>
      <c r="U34" s="76" t="s">
        <v>234</v>
      </c>
      <c r="V34" s="76"/>
      <c r="W34" s="76"/>
      <c r="X34" s="76">
        <f>SUM(Y34:AH34)</f>
        <v>18020.535991059369</v>
      </c>
      <c r="Y34" s="76">
        <f t="shared" ref="Y34:AH34" si="2">SUM(Y35:Y41)</f>
        <v>3779.6702528225001</v>
      </c>
      <c r="Z34" s="76">
        <f t="shared" si="2"/>
        <v>3345.5487940748444</v>
      </c>
      <c r="AA34" s="76">
        <f t="shared" si="2"/>
        <v>3692.7884298914637</v>
      </c>
      <c r="AB34" s="76">
        <f t="shared" si="2"/>
        <v>3634.3058825459402</v>
      </c>
      <c r="AC34" s="76">
        <f t="shared" si="2"/>
        <v>3568.2226317246214</v>
      </c>
      <c r="AD34" s="76">
        <f t="shared" si="2"/>
        <v>0</v>
      </c>
      <c r="AE34" s="76">
        <f t="shared" si="2"/>
        <v>0</v>
      </c>
      <c r="AF34" s="76">
        <f t="shared" si="2"/>
        <v>0</v>
      </c>
      <c r="AG34" s="76">
        <f t="shared" si="2"/>
        <v>0</v>
      </c>
      <c r="AH34" s="76">
        <f t="shared" si="2"/>
        <v>0</v>
      </c>
    </row>
    <row r="35" spans="2:34">
      <c r="C35" s="91" t="s">
        <v>249</v>
      </c>
      <c r="D35" s="76"/>
      <c r="E35" s="94">
        <v>3000</v>
      </c>
      <c r="F35" s="76" t="s">
        <v>122</v>
      </c>
      <c r="G35" s="76"/>
      <c r="H35" s="76"/>
      <c r="I35" s="106"/>
      <c r="J35" s="76"/>
      <c r="K35" s="76"/>
      <c r="L35" s="76"/>
      <c r="M35" s="76"/>
      <c r="N35" s="76"/>
      <c r="O35" s="76"/>
      <c r="P35" s="76"/>
      <c r="Q35" s="76"/>
      <c r="R35" s="76"/>
      <c r="S35" s="76"/>
      <c r="V35" s="91" t="str">
        <f t="shared" ref="V35:V40" si="3">U11</f>
        <v>PM Fee</v>
      </c>
      <c r="W35" s="76"/>
      <c r="X35" s="76">
        <f t="shared" ref="X35:X40" si="4">SUM(Y35:AH35)</f>
        <v>430.61573583347337</v>
      </c>
      <c r="Y35" s="76">
        <f>SUMIF(운영비용!$H$16:$DB$16,'A&amp;R'!Y$27,운영비용!$H$20:$DB$20)</f>
        <v>81.923292000000004</v>
      </c>
      <c r="Z35" s="76">
        <f>SUMIF(운영비용!$H$16:$DB$16,'A&amp;R'!Z$27,운영비용!$H$20:$DB$20)</f>
        <v>83.971374299999979</v>
      </c>
      <c r="AA35" s="76">
        <f>SUMIF(운영비용!$H$16:$DB$16,'A&amp;R'!AA$27,운영비용!$H$20:$DB$20)</f>
        <v>86.070658657499962</v>
      </c>
      <c r="AB35" s="76">
        <f>SUMIF(운영비용!$H$16:$DB$16,'A&amp;R'!AB$27,운영비용!$H$20:$DB$20)</f>
        <v>88.222425123937512</v>
      </c>
      <c r="AC35" s="76">
        <f>SUMIF(운영비용!$H$16:$DB$16,'A&amp;R'!AC$27,운영비용!$H$20:$DB$20)</f>
        <v>90.427985752035923</v>
      </c>
      <c r="AD35" s="76">
        <f>SUMIF(운영비용!$H$16:$DB$16,'A&amp;R'!AD$27,운영비용!$H$20:$DB$20)</f>
        <v>0</v>
      </c>
      <c r="AE35" s="76">
        <f>SUMIF(운영비용!$H$16:$DB$16,'A&amp;R'!AE$27,운영비용!$H$20:$DB$20)</f>
        <v>0</v>
      </c>
      <c r="AF35" s="76">
        <f>SUMIF(운영비용!$H$16:$DB$16,'A&amp;R'!AF$27,운영비용!$H$20:$DB$20)</f>
        <v>0</v>
      </c>
      <c r="AG35" s="76">
        <f>SUMIF(운영비용!$H$16:$DB$16,'A&amp;R'!AG$27,운영비용!$H$20:$DB$20)</f>
        <v>0</v>
      </c>
      <c r="AH35" s="76">
        <f>SUMIF(운영비용!$H$16:$DB$16,'A&amp;R'!AH$27,운영비용!$H$20:$DB$20)</f>
        <v>0</v>
      </c>
    </row>
    <row r="36" spans="2:34">
      <c r="C36" s="92" t="s">
        <v>250</v>
      </c>
      <c r="E36" s="95">
        <v>300</v>
      </c>
      <c r="F36" s="13" t="s">
        <v>122</v>
      </c>
      <c r="I36" s="125"/>
      <c r="V36" s="92" t="str">
        <f t="shared" si="3"/>
        <v>FM Fee</v>
      </c>
      <c r="X36" s="13">
        <f t="shared" si="4"/>
        <v>5263.0812157424516</v>
      </c>
      <c r="Y36" s="13">
        <f>SUMIF(운영비용!$H$16:$DB$16,'A&amp;R'!Y$27,운영비용!$H$25:$DB$25)</f>
        <v>1001.2846799999999</v>
      </c>
      <c r="Z36" s="13">
        <f>SUMIF(운영비용!$H$16:$DB$16,'A&amp;R'!Z$27,운영비용!$H$25:$DB$25)</f>
        <v>1026.3167969999997</v>
      </c>
      <c r="AA36" s="13">
        <f>SUMIF(운영비용!$H$16:$DB$16,'A&amp;R'!AA$27,운영비용!$H$25:$DB$25)</f>
        <v>1051.9747169250002</v>
      </c>
      <c r="AB36" s="13">
        <f>SUMIF(운영비용!$H$16:$DB$16,'A&amp;R'!AB$27,운영비용!$H$25:$DB$25)</f>
        <v>1078.2740848481246</v>
      </c>
      <c r="AC36" s="13">
        <f>SUMIF(운영비용!$H$16:$DB$16,'A&amp;R'!AC$27,운영비용!$H$25:$DB$25)</f>
        <v>1105.2309369693278</v>
      </c>
      <c r="AD36" s="13">
        <f>SUMIF(운영비용!$H$16:$DB$16,'A&amp;R'!AD$27,운영비용!$H$25:$DB$25)</f>
        <v>0</v>
      </c>
      <c r="AE36" s="13">
        <f>SUMIF(운영비용!$H$16:$DB$16,'A&amp;R'!AE$27,운영비용!$H$25:$DB$25)</f>
        <v>0</v>
      </c>
      <c r="AF36" s="13">
        <f>SUMIF(운영비용!$H$16:$DB$16,'A&amp;R'!AF$27,운영비용!$H$25:$DB$25)</f>
        <v>0</v>
      </c>
      <c r="AG36" s="13">
        <f>SUMIF(운영비용!$H$16:$DB$16,'A&amp;R'!AG$27,운영비용!$H$25:$DB$25)</f>
        <v>0</v>
      </c>
      <c r="AH36" s="13">
        <f>SUMIF(운영비용!$H$16:$DB$16,'A&amp;R'!AH$27,운영비용!$H$25:$DB$25)</f>
        <v>0</v>
      </c>
    </row>
    <row r="37" spans="2:34">
      <c r="C37" s="92" t="s">
        <v>251</v>
      </c>
      <c r="E37" s="95">
        <v>100</v>
      </c>
      <c r="F37" s="13" t="s">
        <v>122</v>
      </c>
      <c r="I37" s="125"/>
      <c r="V37" s="92" t="str">
        <f t="shared" si="3"/>
        <v>수도광열비</v>
      </c>
      <c r="X37" s="13">
        <f t="shared" si="4"/>
        <v>3827.6954296308741</v>
      </c>
      <c r="Y37" s="13">
        <f>SUMIF(운영비용!$H$16:$DB$16,'A&amp;R'!Y$27,운영비용!$H$30:$DB$30)</f>
        <v>728.20703999999978</v>
      </c>
      <c r="Z37" s="13">
        <f>SUMIF(운영비용!$H$16:$DB$16,'A&amp;R'!Z$27,운영비용!$H$30:$DB$30)</f>
        <v>746.41221599999983</v>
      </c>
      <c r="AA37" s="13">
        <f>SUMIF(운영비용!$H$16:$DB$16,'A&amp;R'!AA$27,운영비용!$H$30:$DB$30)</f>
        <v>765.07252139999991</v>
      </c>
      <c r="AB37" s="13">
        <f>SUMIF(운영비용!$H$16:$DB$16,'A&amp;R'!AB$27,운영비용!$H$30:$DB$30)</f>
        <v>784.19933443499974</v>
      </c>
      <c r="AC37" s="13">
        <f>SUMIF(운영비용!$H$16:$DB$16,'A&amp;R'!AC$27,운영비용!$H$30:$DB$30)</f>
        <v>803.80431779587479</v>
      </c>
      <c r="AD37" s="13">
        <f>SUMIF(운영비용!$H$16:$DB$16,'A&amp;R'!AD$27,운영비용!$H$30:$DB$30)</f>
        <v>0</v>
      </c>
      <c r="AE37" s="13">
        <f>SUMIF(운영비용!$H$16:$DB$16,'A&amp;R'!AE$27,운영비용!$H$30:$DB$30)</f>
        <v>0</v>
      </c>
      <c r="AF37" s="13">
        <f>SUMIF(운영비용!$H$16:$DB$16,'A&amp;R'!AF$27,운영비용!$H$30:$DB$30)</f>
        <v>0</v>
      </c>
      <c r="AG37" s="13">
        <f>SUMIF(운영비용!$H$16:$DB$16,'A&amp;R'!AG$27,운영비용!$H$30:$DB$30)</f>
        <v>0</v>
      </c>
      <c r="AH37" s="13">
        <f>SUMIF(운영비용!$H$16:$DB$16,'A&amp;R'!AH$27,운영비용!$H$30:$DB$30)</f>
        <v>0</v>
      </c>
    </row>
    <row r="38" spans="2:34">
      <c r="C38" s="92" t="s">
        <v>252</v>
      </c>
      <c r="E38" s="95">
        <v>2000</v>
      </c>
      <c r="F38" s="13" t="s">
        <v>122</v>
      </c>
      <c r="I38" s="125"/>
      <c r="V38" s="92" t="str">
        <f t="shared" si="3"/>
        <v>유지관리비</v>
      </c>
      <c r="X38" s="13">
        <f t="shared" si="4"/>
        <v>1180.1964898244553</v>
      </c>
      <c r="Y38" s="13">
        <f>SUMIF(운영비용!$H$16:$DB$16,'A&amp;R'!Y$27,운영비용!$H$35:$DB$35)</f>
        <v>230.9781705</v>
      </c>
      <c r="Z38" s="13">
        <f>SUMIF(운영비용!$H$16:$DB$16,'A&amp;R'!Z$27,운영비용!$H$35:$DB$35)</f>
        <v>228.58874115</v>
      </c>
      <c r="AA38" s="13">
        <f>SUMIF(운영비용!$H$16:$DB$16,'A&amp;R'!AA$27,운영비용!$H$35:$DB$35)</f>
        <v>234.30345967874993</v>
      </c>
      <c r="AB38" s="13">
        <f>SUMIF(운영비용!$H$16:$DB$16,'A&amp;R'!AB$27,운영비용!$H$35:$DB$35)</f>
        <v>240.16104617071878</v>
      </c>
      <c r="AC38" s="13">
        <f>SUMIF(운영비용!$H$16:$DB$16,'A&amp;R'!AC$27,운영비용!$H$35:$DB$35)</f>
        <v>246.16507232498665</v>
      </c>
      <c r="AD38" s="13">
        <f>SUMIF(운영비용!$H$16:$DB$16,'A&amp;R'!AD$27,운영비용!$H$35:$DB$35)</f>
        <v>0</v>
      </c>
      <c r="AE38" s="13">
        <f>SUMIF(운영비용!$H$16:$DB$16,'A&amp;R'!AE$27,운영비용!$H$35:$DB$35)</f>
        <v>0</v>
      </c>
      <c r="AF38" s="13">
        <f>SUMIF(운영비용!$H$16:$DB$16,'A&amp;R'!AF$27,운영비용!$H$35:$DB$35)</f>
        <v>0</v>
      </c>
      <c r="AG38" s="13">
        <f>SUMIF(운영비용!$H$16:$DB$16,'A&amp;R'!AG$27,운영비용!$H$35:$DB$35)</f>
        <v>0</v>
      </c>
      <c r="AH38" s="13">
        <f>SUMIF(운영비용!$H$16:$DB$16,'A&amp;R'!AH$27,운영비용!$H$35:$DB$35)</f>
        <v>0</v>
      </c>
    </row>
    <row r="39" spans="2:34">
      <c r="C39" s="92" t="s">
        <v>253</v>
      </c>
      <c r="E39" s="95">
        <v>1200</v>
      </c>
      <c r="I39" s="125"/>
      <c r="J39" s="13" t="s">
        <v>460</v>
      </c>
      <c r="V39" s="92" t="str">
        <f t="shared" si="3"/>
        <v>보험료</v>
      </c>
      <c r="X39" s="13">
        <f t="shared" si="4"/>
        <v>95.692385740771869</v>
      </c>
      <c r="Y39" s="13">
        <f>SUMIF(운영비용!$H$16:$DB$16,'A&amp;R'!Y$27,운영비용!$H$40:$DB$40)</f>
        <v>18.205176000000005</v>
      </c>
      <c r="Z39" s="13">
        <f>SUMIF(운영비용!$H$16:$DB$16,'A&amp;R'!Z$27,운영비용!$H$40:$DB$40)</f>
        <v>18.660305399999999</v>
      </c>
      <c r="AA39" s="13">
        <f>SUMIF(운영비용!$H$16:$DB$16,'A&amp;R'!AA$27,운영비용!$H$40:$DB$40)</f>
        <v>19.126813034999994</v>
      </c>
      <c r="AB39" s="13">
        <f>SUMIF(운영비용!$H$16:$DB$16,'A&amp;R'!AB$27,운영비용!$H$40:$DB$40)</f>
        <v>19.604983360874996</v>
      </c>
      <c r="AC39" s="13">
        <f>SUMIF(운영비용!$H$16:$DB$16,'A&amp;R'!AC$27,운영비용!$H$40:$DB$40)</f>
        <v>20.095107944896867</v>
      </c>
      <c r="AD39" s="13">
        <f>SUMIF(운영비용!$H$16:$DB$16,'A&amp;R'!AD$27,운영비용!$H$40:$DB$40)</f>
        <v>0</v>
      </c>
      <c r="AE39" s="13">
        <f>SUMIF(운영비용!$H$16:$DB$16,'A&amp;R'!AE$27,운영비용!$H$40:$DB$40)</f>
        <v>0</v>
      </c>
      <c r="AF39" s="13">
        <f>SUMIF(운영비용!$H$16:$DB$16,'A&amp;R'!AF$27,운영비용!$H$40:$DB$40)</f>
        <v>0</v>
      </c>
      <c r="AG39" s="13">
        <f>SUMIF(운영비용!$H$16:$DB$16,'A&amp;R'!AG$27,운영비용!$H$40:$DB$40)</f>
        <v>0</v>
      </c>
      <c r="AH39" s="13">
        <f>SUMIF(운영비용!$H$16:$DB$16,'A&amp;R'!AH$27,운영비용!$H$40:$DB$40)</f>
        <v>0</v>
      </c>
    </row>
    <row r="40" spans="2:34">
      <c r="B40" s="76" t="s">
        <v>256</v>
      </c>
      <c r="C40" s="76"/>
      <c r="D40" s="76"/>
      <c r="E40" s="210">
        <f>SUM(E41:E42)</f>
        <v>1851.3938350000001</v>
      </c>
      <c r="F40" s="76"/>
      <c r="G40" s="76"/>
      <c r="H40" s="76"/>
      <c r="I40" s="106">
        <f ca="1">E40/$E$43</f>
        <v>7.1616835430652181E-3</v>
      </c>
      <c r="J40" s="76"/>
      <c r="K40" s="76"/>
      <c r="L40" s="76"/>
      <c r="M40" s="76"/>
      <c r="N40" s="76"/>
      <c r="O40" s="76"/>
      <c r="P40" s="76"/>
      <c r="Q40" s="76"/>
      <c r="R40" s="76"/>
      <c r="S40" s="76"/>
      <c r="V40" s="92" t="str">
        <f t="shared" si="3"/>
        <v>제세공과금</v>
      </c>
      <c r="X40" s="13">
        <f t="shared" si="4"/>
        <v>6202.4676484374995</v>
      </c>
      <c r="Y40" s="13">
        <f>SUMIF(운영비용!$H$16:$DB$16,'A&amp;R'!Y$27,운영비용!$H$45:$DB$45)</f>
        <v>1180</v>
      </c>
      <c r="Z40" s="13">
        <f>SUMIF(운영비용!$H$16:$DB$16,'A&amp;R'!Z$27,운영비용!$H$45:$DB$45)</f>
        <v>1209.4999999999998</v>
      </c>
      <c r="AA40" s="13">
        <f>SUMIF(운영비용!$H$16:$DB$16,'A&amp;R'!AA$27,운영비용!$H$45:$DB$45)</f>
        <v>1239.7375</v>
      </c>
      <c r="AB40" s="13">
        <f>SUMIF(운영비용!$H$16:$DB$16,'A&amp;R'!AB$27,운영비용!$H$45:$DB$45)</f>
        <v>1270.7309374999995</v>
      </c>
      <c r="AC40" s="13">
        <f>SUMIF(운영비용!$H$16:$DB$16,'A&amp;R'!AC$27,운영비용!$H$45:$DB$45)</f>
        <v>1302.4992109374996</v>
      </c>
      <c r="AD40" s="13">
        <f>SUMIF(운영비용!$H$16:$DB$16,'A&amp;R'!AD$27,운영비용!$H$45:$DB$45)</f>
        <v>0</v>
      </c>
      <c r="AE40" s="13">
        <f>SUMIF(운영비용!$H$16:$DB$16,'A&amp;R'!AE$27,운영비용!$H$45:$DB$45)</f>
        <v>0</v>
      </c>
      <c r="AF40" s="13">
        <f>SUMIF(운영비용!$H$16:$DB$16,'A&amp;R'!AF$27,운영비용!$H$45:$DB$45)</f>
        <v>0</v>
      </c>
      <c r="AG40" s="13">
        <f>SUMIF(운영비용!$H$16:$DB$16,'A&amp;R'!AG$27,운영비용!$H$45:$DB$45)</f>
        <v>0</v>
      </c>
      <c r="AH40" s="13">
        <f>SUMIF(운영비용!$H$16:$DB$16,'A&amp;R'!AH$27,운영비용!$H$45:$DB$45)</f>
        <v>0</v>
      </c>
    </row>
    <row r="41" spans="2:34">
      <c r="C41" s="91" t="s">
        <v>128</v>
      </c>
      <c r="D41" s="76"/>
      <c r="E41" s="210">
        <f>Rentroll!AC63</f>
        <v>251.393835</v>
      </c>
      <c r="F41" s="76" t="s">
        <v>257</v>
      </c>
      <c r="G41" s="76"/>
      <c r="H41" s="76"/>
      <c r="I41" s="106"/>
      <c r="J41" s="76"/>
      <c r="K41" s="76"/>
      <c r="L41" s="76"/>
      <c r="M41" s="76"/>
      <c r="N41" s="76"/>
      <c r="O41" s="76"/>
      <c r="P41" s="76"/>
      <c r="Q41" s="76"/>
      <c r="R41" s="76"/>
      <c r="S41" s="76"/>
      <c r="V41" s="92" t="s">
        <v>235</v>
      </c>
      <c r="X41" s="13">
        <f>SUM(Y41:AH41)</f>
        <v>1020.7870858498442</v>
      </c>
      <c r="Y41" s="13">
        <f>SUMIF(운영비용!$H$16:$DB$16,'A&amp;R'!Y$27,운영비용!$H$73:$DB$73)</f>
        <v>539.07189432250004</v>
      </c>
      <c r="Z41" s="13">
        <f>SUMIF(운영비용!$H$16:$DB$16,'A&amp;R'!Z$27,운영비용!$H$73:$DB$73)</f>
        <v>32.09936022484537</v>
      </c>
      <c r="AA41" s="13">
        <f>SUMIF(운영비용!$H$16:$DB$16,'A&amp;R'!AA$27,운영비용!$H$73:$DB$73)</f>
        <v>296.50276019521374</v>
      </c>
      <c r="AB41" s="13">
        <f>SUMIF(운영비용!$H$16:$DB$16,'A&amp;R'!AB$27,운영비용!$H$73:$DB$73)</f>
        <v>153.11307110728504</v>
      </c>
      <c r="AC41" s="13">
        <f>SUMIF(운영비용!$H$16:$DB$16,'A&amp;R'!AC$27,운영비용!$H$73:$DB$73)</f>
        <v>0</v>
      </c>
      <c r="AD41" s="13">
        <f>SUMIF(운영비용!$H$16:$DB$16,'A&amp;R'!AD$27,운영비용!$H$73:$DB$73)</f>
        <v>0</v>
      </c>
      <c r="AE41" s="13">
        <f>SUMIF(운영비용!$H$16:$DB$16,'A&amp;R'!AE$27,운영비용!$H$73:$DB$73)</f>
        <v>0</v>
      </c>
      <c r="AF41" s="13">
        <f>SUMIF(운영비용!$H$16:$DB$16,'A&amp;R'!AF$27,운영비용!$H$73:$DB$73)</f>
        <v>0</v>
      </c>
      <c r="AG41" s="13">
        <f>SUMIF(운영비용!$H$16:$DB$16,'A&amp;R'!AG$27,운영비용!$H$73:$DB$73)</f>
        <v>0</v>
      </c>
      <c r="AH41" s="13">
        <f>SUMIF(운영비용!$H$16:$DB$16,'A&amp;R'!AH$27,운영비용!$H$73:$DB$73)</f>
        <v>0</v>
      </c>
    </row>
    <row r="42" spans="2:34">
      <c r="C42" s="169" t="s">
        <v>129</v>
      </c>
      <c r="D42" s="73"/>
      <c r="E42" s="208">
        <v>1600</v>
      </c>
      <c r="F42" s="73"/>
      <c r="G42" s="73"/>
      <c r="H42" s="73"/>
      <c r="I42" s="209"/>
      <c r="J42" s="73"/>
      <c r="K42" s="73"/>
      <c r="L42" s="73"/>
      <c r="M42" s="73"/>
      <c r="N42" s="73"/>
      <c r="O42" s="73"/>
      <c r="P42" s="73"/>
      <c r="Q42" s="73"/>
      <c r="R42" s="73"/>
      <c r="S42" s="73"/>
      <c r="U42" s="144" t="s">
        <v>259</v>
      </c>
      <c r="V42" s="144"/>
      <c r="W42" s="144"/>
      <c r="X42" s="144">
        <f>SUM(Y42:AH42)</f>
        <v>63942.381962056388</v>
      </c>
      <c r="Y42" s="144">
        <f t="shared" ref="Y42:AH42" si="5">Y28-Y34</f>
        <v>10473.411783761863</v>
      </c>
      <c r="Z42" s="144">
        <f t="shared" si="5"/>
        <v>12613.47023555492</v>
      </c>
      <c r="AA42" s="144">
        <f t="shared" si="5"/>
        <v>12771.903238781195</v>
      </c>
      <c r="AB42" s="144">
        <f t="shared" si="5"/>
        <v>13640.303580992913</v>
      </c>
      <c r="AC42" s="144">
        <f t="shared" si="5"/>
        <v>14443.293122965497</v>
      </c>
      <c r="AD42" s="144">
        <f t="shared" si="5"/>
        <v>0</v>
      </c>
      <c r="AE42" s="144">
        <f t="shared" si="5"/>
        <v>0</v>
      </c>
      <c r="AF42" s="144">
        <f t="shared" si="5"/>
        <v>0</v>
      </c>
      <c r="AG42" s="144">
        <f t="shared" si="5"/>
        <v>0</v>
      </c>
      <c r="AH42" s="144">
        <f t="shared" si="5"/>
        <v>0</v>
      </c>
    </row>
    <row r="43" spans="2:34">
      <c r="B43" s="96" t="s">
        <v>132</v>
      </c>
      <c r="C43" s="96"/>
      <c r="D43" s="96"/>
      <c r="E43" s="96">
        <f ca="1">E27+E28+E32+E34+E40</f>
        <v>258513.77317456825</v>
      </c>
      <c r="F43" s="96"/>
      <c r="G43" s="96"/>
      <c r="H43" s="96"/>
      <c r="I43" s="126">
        <f ca="1">SUM(I27:I42)</f>
        <v>1</v>
      </c>
      <c r="J43" s="96"/>
      <c r="K43" s="96"/>
      <c r="L43" s="96"/>
      <c r="M43" s="96"/>
      <c r="N43" s="96"/>
      <c r="O43" s="96"/>
      <c r="P43" s="96"/>
      <c r="Q43" s="96"/>
      <c r="R43" s="96"/>
      <c r="S43" s="96"/>
      <c r="U43" s="212"/>
      <c r="V43" s="212" t="s">
        <v>260</v>
      </c>
      <c r="W43" s="212"/>
      <c r="X43" s="212"/>
      <c r="Y43" s="213">
        <f t="shared" ref="Y43:AH43" si="6">IFERROR(Y42/Y28," ")</f>
        <v>0.73481733683136319</v>
      </c>
      <c r="Z43" s="213">
        <f t="shared" si="6"/>
        <v>0.79036626324817039</v>
      </c>
      <c r="AA43" s="213">
        <f t="shared" si="6"/>
        <v>0.77571469273744575</v>
      </c>
      <c r="AB43" s="213">
        <f t="shared" si="6"/>
        <v>0.78961574267616341</v>
      </c>
      <c r="AC43" s="213">
        <f t="shared" si="6"/>
        <v>0.80189215164773286</v>
      </c>
      <c r="AD43" s="213" t="str">
        <f t="shared" si="6"/>
        <v xml:space="preserve"> </v>
      </c>
      <c r="AE43" s="213" t="str">
        <f t="shared" si="6"/>
        <v xml:space="preserve"> </v>
      </c>
      <c r="AF43" s="213" t="str">
        <f t="shared" si="6"/>
        <v xml:space="preserve"> </v>
      </c>
      <c r="AG43" s="213" t="str">
        <f t="shared" si="6"/>
        <v xml:space="preserve"> </v>
      </c>
      <c r="AH43" s="213" t="str">
        <f t="shared" si="6"/>
        <v xml:space="preserve"> </v>
      </c>
    </row>
    <row r="44" spans="2:34">
      <c r="B44" s="5" t="s">
        <v>136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U44" s="2" t="s">
        <v>265</v>
      </c>
      <c r="Y44" s="63">
        <f>Y34-Y41</f>
        <v>3240.5983584999999</v>
      </c>
      <c r="Z44" s="63"/>
      <c r="AA44" s="63"/>
      <c r="AB44" s="63"/>
      <c r="AC44" s="63"/>
      <c r="AD44" s="63" t="s">
        <v>261</v>
      </c>
      <c r="AE44" s="63" t="s">
        <v>264</v>
      </c>
      <c r="AF44" s="63">
        <f>Y28-Y44</f>
        <v>11012.483678084363</v>
      </c>
      <c r="AG44" s="63" t="s">
        <v>263</v>
      </c>
      <c r="AH44" s="63">
        <f>Rentroll!$Z$32+X31+X32-$Y$44</f>
        <v>8466.3947751922442</v>
      </c>
    </row>
    <row r="45" spans="2:34">
      <c r="B45" s="73" t="s">
        <v>137</v>
      </c>
      <c r="C45" s="73"/>
      <c r="D45" s="73"/>
      <c r="E45" s="73">
        <f ca="1">E43</f>
        <v>258513.77317456825</v>
      </c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U45" s="13" t="s">
        <v>267</v>
      </c>
      <c r="X45" s="16">
        <f>exit</f>
        <v>47514</v>
      </c>
      <c r="Y45" s="221">
        <f>D15</f>
        <v>5</v>
      </c>
    </row>
    <row r="46" spans="2:34">
      <c r="B46" s="13" t="s">
        <v>139</v>
      </c>
      <c r="U46" s="13" t="s">
        <v>268</v>
      </c>
    </row>
    <row r="47" spans="2:34">
      <c r="B47" s="8" t="s">
        <v>138</v>
      </c>
      <c r="C47" s="8"/>
      <c r="D47" s="8"/>
      <c r="E47" s="8" t="s">
        <v>132</v>
      </c>
      <c r="F47" s="8" t="s">
        <v>258</v>
      </c>
      <c r="G47" s="8" t="s">
        <v>142</v>
      </c>
      <c r="H47" s="8" t="s">
        <v>143</v>
      </c>
      <c r="I47" s="8" t="s">
        <v>130</v>
      </c>
      <c r="J47" s="8"/>
      <c r="K47" s="8"/>
      <c r="L47" s="8"/>
      <c r="M47" s="8"/>
      <c r="N47" s="8"/>
      <c r="O47" s="8" t="s">
        <v>465</v>
      </c>
      <c r="P47" s="8"/>
      <c r="Q47" s="8"/>
      <c r="R47" s="8"/>
      <c r="S47" s="8"/>
      <c r="U47" s="223" t="s">
        <v>89</v>
      </c>
      <c r="V47" s="224" t="s">
        <v>269</v>
      </c>
      <c r="W47" s="224" t="s">
        <v>270</v>
      </c>
      <c r="X47" s="72" t="s">
        <v>271</v>
      </c>
      <c r="Y47" s="152"/>
      <c r="Z47" s="152"/>
      <c r="AA47" s="152"/>
      <c r="AB47" s="70"/>
      <c r="AC47" s="72" t="s">
        <v>276</v>
      </c>
      <c r="AD47" s="152"/>
      <c r="AE47" s="152"/>
      <c r="AF47" s="152"/>
      <c r="AG47" s="152"/>
      <c r="AH47" s="152"/>
    </row>
    <row r="48" spans="2:34">
      <c r="C48" s="91" t="s">
        <v>140</v>
      </c>
      <c r="D48" s="76"/>
      <c r="E48" s="94">
        <v>51500</v>
      </c>
      <c r="F48" s="98">
        <f>acq</f>
        <v>45688</v>
      </c>
      <c r="G48" s="99">
        <v>6.5000000000000002E-2</v>
      </c>
      <c r="H48" s="100">
        <v>0.1</v>
      </c>
      <c r="I48" s="107" t="s">
        <v>476</v>
      </c>
      <c r="J48" s="76"/>
      <c r="K48" s="76"/>
      <c r="L48" s="76"/>
      <c r="M48" s="106">
        <f>E48/E50</f>
        <v>0.52551020408163263</v>
      </c>
      <c r="N48" s="76"/>
      <c r="O48" s="106">
        <f ca="1">E48/E56</f>
        <v>0.19921569117024671</v>
      </c>
      <c r="P48" s="76"/>
      <c r="Q48" s="76"/>
      <c r="R48" s="76"/>
      <c r="S48" s="76"/>
      <c r="U48" s="225"/>
      <c r="V48" s="222"/>
      <c r="W48" s="222"/>
      <c r="X48" s="71" t="s">
        <v>272</v>
      </c>
      <c r="Y48" s="71" t="s">
        <v>273</v>
      </c>
      <c r="Z48" s="71" t="s">
        <v>274</v>
      </c>
      <c r="AA48" s="71" t="s">
        <v>275</v>
      </c>
      <c r="AB48" s="71" t="s">
        <v>101</v>
      </c>
      <c r="AC48" s="71" t="s">
        <v>277</v>
      </c>
      <c r="AD48" s="71" t="s">
        <v>272</v>
      </c>
      <c r="AE48" s="71" t="s">
        <v>273</v>
      </c>
      <c r="AF48" s="71" t="s">
        <v>278</v>
      </c>
      <c r="AG48" s="71" t="s">
        <v>279</v>
      </c>
      <c r="AH48" s="72" t="s">
        <v>280</v>
      </c>
    </row>
    <row r="49" spans="2:34">
      <c r="C49" s="92" t="s">
        <v>141</v>
      </c>
      <c r="E49" s="95">
        <v>46500</v>
      </c>
      <c r="F49" s="16">
        <f>acq</f>
        <v>45688</v>
      </c>
      <c r="G49" s="111" t="s">
        <v>145</v>
      </c>
      <c r="H49" s="101">
        <f>1-H48</f>
        <v>0.9</v>
      </c>
      <c r="I49" s="2" t="s">
        <v>490</v>
      </c>
      <c r="M49" s="125">
        <f>E49/E50</f>
        <v>0.47448979591836737</v>
      </c>
      <c r="O49" s="125">
        <f ca="1">E49/E56</f>
        <v>0.17987436193041695</v>
      </c>
      <c r="U49" s="158">
        <f>Rentroll!$C37</f>
        <v>17</v>
      </c>
      <c r="V49" s="226">
        <f>VLOOKUP($U49,Rentroll!$C$37:$AC$60,6,FALSE)</f>
        <v>418.98972499999996</v>
      </c>
      <c r="W49" s="192">
        <f>VLOOKUP($U49,Rentroll!$C$37:$AC$60,9,FALSE)</f>
        <v>47149</v>
      </c>
      <c r="X49" s="162">
        <f>VLOOKUP($U49,Rentroll!$C$37:$AC$60,13,FALSE)</f>
        <v>115927.40742999999</v>
      </c>
      <c r="Y49" s="162">
        <f>VLOOKUP($U49,Rentroll!$C$37:$AC$60,15,FALSE)</f>
        <v>50647.896449999993</v>
      </c>
      <c r="Z49" s="227">
        <f>VLOOKUP($U49,Rentroll!$C$37:$AC$60,19,FALSE)</f>
        <v>0.03</v>
      </c>
      <c r="AA49" s="227">
        <f>VLOOKUP($U49,Rentroll!$C$37:$AC$60,20,FALSE)</f>
        <v>0.03</v>
      </c>
      <c r="AB49" s="235">
        <f>VLOOKUP($U49,Rentroll!$C$37:$AC$60,18,FALSE)</f>
        <v>1</v>
      </c>
      <c r="AC49" s="232">
        <f t="shared" ref="AC49:AC71" si="7">IFERROR(DATEDIF($W49,$X$45,"y"),0)</f>
        <v>1</v>
      </c>
      <c r="AD49" s="162">
        <f t="shared" ref="AD49:AD71" si="8">$X49*(1+$Z49)^$AC49</f>
        <v>119405.2296529</v>
      </c>
      <c r="AE49" s="162">
        <f t="shared" ref="AE49:AE71" si="9">$Y49*(1+$AA49)^$AC49</f>
        <v>52167.333343499995</v>
      </c>
      <c r="AF49" s="162">
        <f t="shared" ref="AF49:AF71" si="10">$V49*$AD49*(12-$AB49)/unit</f>
        <v>550.32520769413463</v>
      </c>
      <c r="AG49" s="162">
        <f t="shared" ref="AG49:AG71" si="11">$V49*$AE49*(12-$AB49)/unit</f>
        <v>240.4333431673403</v>
      </c>
      <c r="AH49" s="91">
        <f>SUM(AF49:AG49)</f>
        <v>790.75855086147499</v>
      </c>
    </row>
    <row r="50" spans="2:34">
      <c r="C50" s="91" t="s">
        <v>146</v>
      </c>
      <c r="D50" s="76"/>
      <c r="E50" s="76">
        <f>SUM(E48:E49)</f>
        <v>98000</v>
      </c>
      <c r="F50" s="76"/>
      <c r="G50" s="76"/>
      <c r="H50" s="76"/>
      <c r="I50" s="76"/>
      <c r="J50" s="76"/>
      <c r="K50" s="76"/>
      <c r="L50" s="76"/>
      <c r="M50" s="76"/>
      <c r="N50" s="76"/>
      <c r="O50" s="106">
        <f ca="1">E50/E56</f>
        <v>0.37909005310066368</v>
      </c>
      <c r="P50" s="76"/>
      <c r="Q50" s="76"/>
      <c r="R50" s="76"/>
      <c r="S50" s="76"/>
      <c r="U50" s="27">
        <f>Rentroll!$C38</f>
        <v>16</v>
      </c>
      <c r="V50" s="228">
        <f>VLOOKUP($U50,Rentroll!$C$37:$AC$60,6,FALSE)</f>
        <v>418.98972499999996</v>
      </c>
      <c r="W50" s="191">
        <f>VLOOKUP($U50,Rentroll!$C$37:$AC$60,9,FALSE)</f>
        <v>47149</v>
      </c>
      <c r="X50" s="31">
        <f>VLOOKUP($U50,Rentroll!$C$37:$AC$60,13,FALSE)</f>
        <v>115927.40742999999</v>
      </c>
      <c r="Y50" s="31">
        <f>VLOOKUP($U50,Rentroll!$C$37:$AC$60,15,FALSE)</f>
        <v>50647.896449999993</v>
      </c>
      <c r="Z50" s="229">
        <f>VLOOKUP($U50,Rentroll!$C$37:$AC$60,19,FALSE)</f>
        <v>0.03</v>
      </c>
      <c r="AA50" s="229">
        <f>VLOOKUP($U50,Rentroll!$C$37:$AC$60,20,FALSE)</f>
        <v>0.03</v>
      </c>
      <c r="AB50" s="236">
        <f>VLOOKUP($U50,Rentroll!$C$37:$AC$60,18,FALSE)</f>
        <v>1</v>
      </c>
      <c r="AC50" s="233">
        <f t="shared" si="7"/>
        <v>1</v>
      </c>
      <c r="AD50" s="31">
        <f t="shared" si="8"/>
        <v>119405.2296529</v>
      </c>
      <c r="AE50" s="31">
        <f t="shared" si="9"/>
        <v>52167.333343499995</v>
      </c>
      <c r="AF50" s="31">
        <f t="shared" si="10"/>
        <v>550.32520769413463</v>
      </c>
      <c r="AG50" s="31">
        <f t="shared" si="11"/>
        <v>240.4333431673403</v>
      </c>
      <c r="AH50" s="92">
        <f t="shared" ref="AH50:AH69" si="12">SUM(AF50:AG50)</f>
        <v>790.75855086147499</v>
      </c>
    </row>
    <row r="51" spans="2:34">
      <c r="B51" s="8" t="s">
        <v>147</v>
      </c>
      <c r="C51" s="8"/>
      <c r="D51" s="8"/>
      <c r="E51" s="8" t="s">
        <v>132</v>
      </c>
      <c r="F51" s="8" t="s">
        <v>148</v>
      </c>
      <c r="G51" s="8" t="s">
        <v>149</v>
      </c>
      <c r="H51" s="8" t="s">
        <v>150</v>
      </c>
      <c r="I51" s="8" t="s">
        <v>151</v>
      </c>
      <c r="J51" s="8" t="s">
        <v>125</v>
      </c>
      <c r="K51" s="8" t="s">
        <v>152</v>
      </c>
      <c r="L51" s="8" t="s">
        <v>153</v>
      </c>
      <c r="M51" s="8" t="s">
        <v>154</v>
      </c>
      <c r="N51" s="8" t="s">
        <v>130</v>
      </c>
      <c r="O51" s="350"/>
      <c r="P51" s="8"/>
      <c r="Q51" s="8"/>
      <c r="R51" s="8"/>
      <c r="S51" s="8"/>
      <c r="U51" s="27">
        <f>Rentroll!$C39</f>
        <v>15</v>
      </c>
      <c r="V51" s="228">
        <f>VLOOKUP($U51,Rentroll!$C$37:$AC$60,6,FALSE)</f>
        <v>418.98972499999996</v>
      </c>
      <c r="W51" s="191">
        <f>VLOOKUP($U51,Rentroll!$C$37:$AC$60,9,FALSE)</f>
        <v>45869</v>
      </c>
      <c r="X51" s="31">
        <f>VLOOKUP($U51,Rentroll!$C$37:$AC$60,13,FALSE)</f>
        <v>103000</v>
      </c>
      <c r="Y51" s="31">
        <f>VLOOKUP($U51,Rentroll!$C$37:$AC$60,15,FALSE)</f>
        <v>45000</v>
      </c>
      <c r="Z51" s="229">
        <f>VLOOKUP($U51,Rentroll!$C$37:$AC$60,19,FALSE)</f>
        <v>0.03</v>
      </c>
      <c r="AA51" s="229">
        <f>VLOOKUP($U51,Rentroll!$C$37:$AC$60,20,FALSE)</f>
        <v>0.03</v>
      </c>
      <c r="AB51" s="236">
        <f>VLOOKUP($U51,Rentroll!$C$37:$AC$60,18,FALSE)</f>
        <v>1</v>
      </c>
      <c r="AC51" s="233">
        <f t="shared" si="7"/>
        <v>4</v>
      </c>
      <c r="AD51" s="31">
        <f t="shared" si="8"/>
        <v>115927.40742999999</v>
      </c>
      <c r="AE51" s="31">
        <f t="shared" si="9"/>
        <v>50647.896449999993</v>
      </c>
      <c r="AF51" s="31">
        <f t="shared" si="10"/>
        <v>534.29631814964512</v>
      </c>
      <c r="AG51" s="31">
        <f t="shared" si="11"/>
        <v>233.43043025955367</v>
      </c>
      <c r="AH51" s="92">
        <f t="shared" si="12"/>
        <v>767.72674840919876</v>
      </c>
    </row>
    <row r="52" spans="2:34">
      <c r="C52" s="91" t="s">
        <v>254</v>
      </c>
      <c r="D52" s="76"/>
      <c r="E52" s="210">
        <f ca="1">E45-E50-E54-E53</f>
        <v>145594.83489206826</v>
      </c>
      <c r="F52" s="98">
        <f>acq</f>
        <v>45688</v>
      </c>
      <c r="G52" s="98">
        <f>EOMONTH(F52,H52)</f>
        <v>46783</v>
      </c>
      <c r="H52" s="211">
        <v>36</v>
      </c>
      <c r="I52" s="99">
        <v>4.4999999999999998E-2</v>
      </c>
      <c r="J52" s="100">
        <v>4.0000000000000001E-3</v>
      </c>
      <c r="K52" s="105">
        <v>6</v>
      </c>
      <c r="L52" s="106">
        <f>I52+J52/(H52/12)</f>
        <v>4.6333333333333331E-2</v>
      </c>
      <c r="M52" s="106">
        <f ca="1">(E52+E54)/$E$27</f>
        <v>0.63777022531596717</v>
      </c>
      <c r="N52" s="107" t="s">
        <v>156</v>
      </c>
      <c r="O52" s="106">
        <f ca="1">E52/E56</f>
        <v>0.56319952745322976</v>
      </c>
      <c r="P52" s="107"/>
      <c r="Q52" s="107"/>
      <c r="R52" s="107"/>
      <c r="S52" s="76"/>
      <c r="U52" s="27">
        <f>Rentroll!$C40</f>
        <v>14</v>
      </c>
      <c r="V52" s="228">
        <f>VLOOKUP($U52,Rentroll!$C$37:$AC$60,6,FALSE)</f>
        <v>418.98972499999996</v>
      </c>
      <c r="W52" s="191">
        <f>VLOOKUP($U52,Rentroll!$C$37:$AC$60,9,FALSE)</f>
        <v>45869</v>
      </c>
      <c r="X52" s="31">
        <f>VLOOKUP($U52,Rentroll!$C$37:$AC$60,13,FALSE)</f>
        <v>103000</v>
      </c>
      <c r="Y52" s="31">
        <f>VLOOKUP($U52,Rentroll!$C$37:$AC$60,15,FALSE)</f>
        <v>45000</v>
      </c>
      <c r="Z52" s="229">
        <f>VLOOKUP($U52,Rentroll!$C$37:$AC$60,19,FALSE)</f>
        <v>0.03</v>
      </c>
      <c r="AA52" s="229">
        <f>VLOOKUP($U52,Rentroll!$C$37:$AC$60,20,FALSE)</f>
        <v>0.03</v>
      </c>
      <c r="AB52" s="236">
        <f>VLOOKUP($U52,Rentroll!$C$37:$AC$60,18,FALSE)</f>
        <v>1</v>
      </c>
      <c r="AC52" s="233">
        <f t="shared" si="7"/>
        <v>4</v>
      </c>
      <c r="AD52" s="31">
        <f t="shared" si="8"/>
        <v>115927.40742999999</v>
      </c>
      <c r="AE52" s="31">
        <f t="shared" si="9"/>
        <v>50647.896449999993</v>
      </c>
      <c r="AF52" s="31">
        <f t="shared" si="10"/>
        <v>534.29631814964512</v>
      </c>
      <c r="AG52" s="31">
        <f t="shared" si="11"/>
        <v>233.43043025955367</v>
      </c>
      <c r="AH52" s="92">
        <f t="shared" si="12"/>
        <v>767.72674840919876</v>
      </c>
    </row>
    <row r="53" spans="2:34">
      <c r="C53" s="92" t="s">
        <v>255</v>
      </c>
      <c r="E53" s="95">
        <v>10000</v>
      </c>
      <c r="F53" s="16">
        <f>acq</f>
        <v>45688</v>
      </c>
      <c r="G53" s="16">
        <f>EOMONTH(F53,H53)</f>
        <v>46418</v>
      </c>
      <c r="H53" s="283">
        <v>24</v>
      </c>
      <c r="I53" s="111">
        <v>6.4299999999999996E-2</v>
      </c>
      <c r="J53" s="206">
        <v>0</v>
      </c>
      <c r="K53" s="207">
        <v>6</v>
      </c>
      <c r="L53" s="125">
        <f>IFERROR((I53+J53/(H53/12)), " ")</f>
        <v>6.4299999999999996E-2</v>
      </c>
      <c r="M53" s="125">
        <f ca="1">IF(E53=0,0,(E52+E54+E53)/$E$27)</f>
        <v>0.68014310667189937</v>
      </c>
      <c r="N53" s="2" t="s">
        <v>475</v>
      </c>
      <c r="O53" s="125">
        <f ca="1">E53/E56</f>
        <v>3.8682658479659557E-2</v>
      </c>
      <c r="P53" s="2"/>
      <c r="Q53" s="2"/>
      <c r="R53" s="2"/>
      <c r="U53" s="27">
        <f>Rentroll!$C41</f>
        <v>13</v>
      </c>
      <c r="V53" s="228">
        <f>VLOOKUP($U53,Rentroll!$C$37:$AC$60,6,FALSE)</f>
        <v>418.98972499999996</v>
      </c>
      <c r="W53" s="191">
        <f>VLOOKUP($U53,Rentroll!$C$37:$AC$60,9,FALSE)</f>
        <v>45869</v>
      </c>
      <c r="X53" s="31">
        <f>VLOOKUP($U53,Rentroll!$C$37:$AC$60,13,FALSE)</f>
        <v>103000</v>
      </c>
      <c r="Y53" s="31">
        <f>VLOOKUP($U53,Rentroll!$C$37:$AC$60,15,FALSE)</f>
        <v>45000</v>
      </c>
      <c r="Z53" s="229">
        <f>VLOOKUP($U53,Rentroll!$C$37:$AC$60,19,FALSE)</f>
        <v>0.03</v>
      </c>
      <c r="AA53" s="229">
        <f>VLOOKUP($U53,Rentroll!$C$37:$AC$60,20,FALSE)</f>
        <v>0.03</v>
      </c>
      <c r="AB53" s="236">
        <f>VLOOKUP($U53,Rentroll!$C$37:$AC$60,18,FALSE)</f>
        <v>1</v>
      </c>
      <c r="AC53" s="233">
        <f t="shared" si="7"/>
        <v>4</v>
      </c>
      <c r="AD53" s="31">
        <f t="shared" si="8"/>
        <v>115927.40742999999</v>
      </c>
      <c r="AE53" s="31">
        <f t="shared" si="9"/>
        <v>50647.896449999993</v>
      </c>
      <c r="AF53" s="31">
        <f t="shared" si="10"/>
        <v>534.29631814964512</v>
      </c>
      <c r="AG53" s="31">
        <f t="shared" si="11"/>
        <v>233.43043025955367</v>
      </c>
      <c r="AH53" s="92">
        <f t="shared" si="12"/>
        <v>767.72674840919876</v>
      </c>
    </row>
    <row r="54" spans="2:34">
      <c r="C54" s="92" t="s">
        <v>62</v>
      </c>
      <c r="E54" s="13">
        <f>Rentroll!Y32</f>
        <v>4918.9382825000002</v>
      </c>
      <c r="F54" s="16">
        <f>acq</f>
        <v>45688</v>
      </c>
      <c r="G54" s="16">
        <f>exit</f>
        <v>47514</v>
      </c>
      <c r="H54" s="104" t="s">
        <v>145</v>
      </c>
      <c r="I54" s="13" t="s">
        <v>144</v>
      </c>
      <c r="J54" s="13" t="s">
        <v>144</v>
      </c>
      <c r="K54" s="13" t="s">
        <v>144</v>
      </c>
      <c r="O54" s="125">
        <f ca="1">E54/E56</f>
        <v>1.9027760966447066E-2</v>
      </c>
      <c r="U54" s="27">
        <f>Rentroll!$C42</f>
        <v>12</v>
      </c>
      <c r="V54" s="228">
        <f>VLOOKUP($U54,Rentroll!$C$37:$AC$60,6,FALSE)</f>
        <v>418.98972499999996</v>
      </c>
      <c r="W54" s="191">
        <f>VLOOKUP($U54,Rentroll!$C$37:$AC$60,9,FALSE)</f>
        <v>45869</v>
      </c>
      <c r="X54" s="31">
        <f>VLOOKUP($U54,Rentroll!$C$37:$AC$60,13,FALSE)</f>
        <v>103000</v>
      </c>
      <c r="Y54" s="31">
        <f>VLOOKUP($U54,Rentroll!$C$37:$AC$60,15,FALSE)</f>
        <v>45000</v>
      </c>
      <c r="Z54" s="229">
        <f>VLOOKUP($U54,Rentroll!$C$37:$AC$60,19,FALSE)</f>
        <v>0.03</v>
      </c>
      <c r="AA54" s="229">
        <f>VLOOKUP($U54,Rentroll!$C$37:$AC$60,20,FALSE)</f>
        <v>0.03</v>
      </c>
      <c r="AB54" s="236">
        <f>VLOOKUP($U54,Rentroll!$C$37:$AC$60,18,FALSE)</f>
        <v>1</v>
      </c>
      <c r="AC54" s="233">
        <f t="shared" si="7"/>
        <v>4</v>
      </c>
      <c r="AD54" s="31">
        <f t="shared" si="8"/>
        <v>115927.40742999999</v>
      </c>
      <c r="AE54" s="31">
        <f t="shared" si="9"/>
        <v>50647.896449999993</v>
      </c>
      <c r="AF54" s="31">
        <f t="shared" si="10"/>
        <v>534.29631814964512</v>
      </c>
      <c r="AG54" s="31">
        <f t="shared" si="11"/>
        <v>233.43043025955367</v>
      </c>
      <c r="AH54" s="92">
        <f t="shared" si="12"/>
        <v>767.72674840919876</v>
      </c>
    </row>
    <row r="55" spans="2:34">
      <c r="C55" s="91" t="s">
        <v>146</v>
      </c>
      <c r="D55" s="76"/>
      <c r="E55" s="76">
        <f ca="1">SUM(E52:E54)</f>
        <v>160513.77317456825</v>
      </c>
      <c r="F55" s="76"/>
      <c r="G55" s="76"/>
      <c r="H55" s="76"/>
      <c r="I55" s="76"/>
      <c r="J55" s="76"/>
      <c r="K55" s="76"/>
      <c r="L55" s="76"/>
      <c r="M55" s="76"/>
      <c r="N55" s="76"/>
      <c r="O55" s="106">
        <f ca="1">E55/E56</f>
        <v>0.62090994689933632</v>
      </c>
      <c r="P55" s="76"/>
      <c r="Q55" s="76"/>
      <c r="R55" s="76"/>
      <c r="S55" s="76"/>
      <c r="U55" s="27">
        <f>Rentroll!$C43</f>
        <v>11</v>
      </c>
      <c r="V55" s="228">
        <f>VLOOKUP($U55,Rentroll!$C$37:$AC$60,6,FALSE)</f>
        <v>418.98972499999996</v>
      </c>
      <c r="W55" s="191">
        <f>VLOOKUP($U55,Rentroll!$C$37:$AC$60,9,FALSE)</f>
        <v>46904</v>
      </c>
      <c r="X55" s="31">
        <f>VLOOKUP($U55,Rentroll!$C$37:$AC$60,13,FALSE)</f>
        <v>112550.88099999999</v>
      </c>
      <c r="Y55" s="31">
        <f>VLOOKUP($U55,Rentroll!$C$37:$AC$60,15,FALSE)</f>
        <v>49172.715000000004</v>
      </c>
      <c r="Z55" s="229">
        <f>VLOOKUP($U55,Rentroll!$C$37:$AC$60,19,FALSE)</f>
        <v>0.03</v>
      </c>
      <c r="AA55" s="229">
        <f>VLOOKUP($U55,Rentroll!$C$37:$AC$60,20,FALSE)</f>
        <v>0.03</v>
      </c>
      <c r="AB55" s="236">
        <f>VLOOKUP($U55,Rentroll!$C$37:$AC$60,18,FALSE)</f>
        <v>1</v>
      </c>
      <c r="AC55" s="233">
        <f t="shared" si="7"/>
        <v>1</v>
      </c>
      <c r="AD55" s="31">
        <f t="shared" si="8"/>
        <v>115927.40742999999</v>
      </c>
      <c r="AE55" s="31">
        <f t="shared" si="9"/>
        <v>50647.896450000007</v>
      </c>
      <c r="AF55" s="31">
        <f t="shared" si="10"/>
        <v>534.29631814964512</v>
      </c>
      <c r="AG55" s="31">
        <f t="shared" si="11"/>
        <v>233.43043025955376</v>
      </c>
      <c r="AH55" s="92">
        <f t="shared" si="12"/>
        <v>767.72674840919888</v>
      </c>
    </row>
    <row r="56" spans="2:34">
      <c r="B56" s="96" t="s">
        <v>132</v>
      </c>
      <c r="C56" s="96"/>
      <c r="D56" s="96"/>
      <c r="E56" s="96">
        <f ca="1">E50+E55</f>
        <v>258513.77317456825</v>
      </c>
      <c r="F56" s="96"/>
      <c r="G56" s="96"/>
      <c r="H56" s="96"/>
      <c r="I56" s="97"/>
      <c r="J56" s="96"/>
      <c r="K56" s="96"/>
      <c r="L56" s="96"/>
      <c r="M56" s="96"/>
      <c r="N56" s="96"/>
      <c r="O56" s="96"/>
      <c r="P56" s="96"/>
      <c r="Q56" s="96"/>
      <c r="R56" s="96"/>
      <c r="S56" s="96"/>
      <c r="U56" s="27">
        <f>Rentroll!$C44</f>
        <v>10</v>
      </c>
      <c r="V56" s="228">
        <f>VLOOKUP($U56,Rentroll!$C$37:$AC$60,6,FALSE)</f>
        <v>418.98972499999996</v>
      </c>
      <c r="W56" s="191">
        <f>VLOOKUP($U56,Rentroll!$C$37:$AC$60,9,FALSE)</f>
        <v>46904</v>
      </c>
      <c r="X56" s="31">
        <f>VLOOKUP($U56,Rentroll!$C$37:$AC$60,13,FALSE)</f>
        <v>112550.88099999999</v>
      </c>
      <c r="Y56" s="31">
        <f>VLOOKUP($U56,Rentroll!$C$37:$AC$60,15,FALSE)</f>
        <v>49172.715000000004</v>
      </c>
      <c r="Z56" s="229">
        <f>VLOOKUP($U56,Rentroll!$C$37:$AC$60,19,FALSE)</f>
        <v>0.03</v>
      </c>
      <c r="AA56" s="229">
        <f>VLOOKUP($U56,Rentroll!$C$37:$AC$60,20,FALSE)</f>
        <v>0.03</v>
      </c>
      <c r="AB56" s="236">
        <f>VLOOKUP($U56,Rentroll!$C$37:$AC$60,18,FALSE)</f>
        <v>1</v>
      </c>
      <c r="AC56" s="233">
        <f t="shared" si="7"/>
        <v>1</v>
      </c>
      <c r="AD56" s="31">
        <f t="shared" si="8"/>
        <v>115927.40742999999</v>
      </c>
      <c r="AE56" s="31">
        <f t="shared" si="9"/>
        <v>50647.896450000007</v>
      </c>
      <c r="AF56" s="31">
        <f t="shared" si="10"/>
        <v>534.29631814964512</v>
      </c>
      <c r="AG56" s="31">
        <f t="shared" si="11"/>
        <v>233.43043025955376</v>
      </c>
      <c r="AH56" s="92">
        <f t="shared" si="12"/>
        <v>767.72674840919888</v>
      </c>
    </row>
    <row r="57" spans="2:34">
      <c r="B57" s="64" t="s">
        <v>303</v>
      </c>
      <c r="C57" s="64"/>
      <c r="D57" s="64"/>
      <c r="E57" s="64" t="s">
        <v>132</v>
      </c>
      <c r="F57" s="64" t="s">
        <v>148</v>
      </c>
      <c r="G57" s="64" t="s">
        <v>149</v>
      </c>
      <c r="H57" s="64" t="s">
        <v>150</v>
      </c>
      <c r="I57" s="64" t="s">
        <v>151</v>
      </c>
      <c r="J57" s="64" t="s">
        <v>125</v>
      </c>
      <c r="K57" s="64" t="s">
        <v>152</v>
      </c>
      <c r="L57" s="64" t="s">
        <v>153</v>
      </c>
      <c r="M57" s="64" t="s">
        <v>154</v>
      </c>
      <c r="N57" s="64" t="s">
        <v>130</v>
      </c>
      <c r="O57" s="64"/>
      <c r="P57" s="64"/>
      <c r="Q57" s="64"/>
      <c r="R57" s="64"/>
      <c r="S57" s="64"/>
      <c r="U57" s="27">
        <f>Rentroll!$C45</f>
        <v>9</v>
      </c>
      <c r="V57" s="228">
        <f>VLOOKUP($U57,Rentroll!$C$37:$AC$60,6,FALSE)</f>
        <v>418.98972499999996</v>
      </c>
      <c r="W57" s="191">
        <f>VLOOKUP($U57,Rentroll!$C$37:$AC$60,9,FALSE)</f>
        <v>46904</v>
      </c>
      <c r="X57" s="31">
        <f>VLOOKUP($U57,Rentroll!$C$37:$AC$60,13,FALSE)</f>
        <v>112550.88099999999</v>
      </c>
      <c r="Y57" s="31">
        <f>VLOOKUP($U57,Rentroll!$C$37:$AC$60,15,FALSE)</f>
        <v>49172.715000000004</v>
      </c>
      <c r="Z57" s="229">
        <f>VLOOKUP($U57,Rentroll!$C$37:$AC$60,19,FALSE)</f>
        <v>0.03</v>
      </c>
      <c r="AA57" s="229">
        <f>VLOOKUP($U57,Rentroll!$C$37:$AC$60,20,FALSE)</f>
        <v>0.03</v>
      </c>
      <c r="AB57" s="236">
        <f>VLOOKUP($U57,Rentroll!$C$37:$AC$60,18,FALSE)</f>
        <v>1</v>
      </c>
      <c r="AC57" s="233">
        <f t="shared" si="7"/>
        <v>1</v>
      </c>
      <c r="AD57" s="31">
        <f t="shared" si="8"/>
        <v>115927.40742999999</v>
      </c>
      <c r="AE57" s="31">
        <f t="shared" si="9"/>
        <v>50647.896450000007</v>
      </c>
      <c r="AF57" s="31">
        <f t="shared" si="10"/>
        <v>534.29631814964512</v>
      </c>
      <c r="AG57" s="31">
        <f t="shared" si="11"/>
        <v>233.43043025955376</v>
      </c>
      <c r="AH57" s="92">
        <f t="shared" si="12"/>
        <v>767.72674840919888</v>
      </c>
    </row>
    <row r="58" spans="2:34" ht="17">
      <c r="B58" s="76"/>
      <c r="C58" s="76" t="s">
        <v>304</v>
      </c>
      <c r="D58" s="76"/>
      <c r="E58" s="76">
        <f ca="1">IF(H58=0,0,E52)</f>
        <v>145594.83489206826</v>
      </c>
      <c r="F58" s="98">
        <f>G52</f>
        <v>46783</v>
      </c>
      <c r="G58" s="98">
        <f>exit</f>
        <v>47514</v>
      </c>
      <c r="H58" s="263">
        <f>DATEDIF(F58,G58,"m")</f>
        <v>24</v>
      </c>
      <c r="I58" s="99">
        <f>AG111</f>
        <v>4.1799999999999997E-2</v>
      </c>
      <c r="J58" s="99">
        <v>4.0000000000000001E-3</v>
      </c>
      <c r="K58" s="105">
        <v>6</v>
      </c>
      <c r="L58" s="106">
        <f>IFERROR(I58+J58/(H58/12)," ")</f>
        <v>4.3799999999999999E-2</v>
      </c>
      <c r="M58" s="106">
        <f ca="1">IF(E58=0,0,(E58+R64)/R65)</f>
        <v>0.55527505503272645</v>
      </c>
      <c r="N58" s="107" t="s">
        <v>156</v>
      </c>
      <c r="O58" s="107"/>
      <c r="P58" s="107"/>
      <c r="Q58" s="107"/>
      <c r="R58" s="107"/>
      <c r="S58" s="76"/>
      <c r="U58" s="27">
        <f>Rentroll!$C46</f>
        <v>8</v>
      </c>
      <c r="V58" s="228">
        <f>VLOOKUP($U58,Rentroll!$C$37:$AC$60,6,FALSE)</f>
        <v>418.98972499999996</v>
      </c>
      <c r="W58" s="191">
        <f>VLOOKUP($U58,Rentroll!$C$37:$AC$60,9,FALSE)</f>
        <v>46477</v>
      </c>
      <c r="X58" s="31">
        <f>VLOOKUP($U58,Rentroll!$C$37:$AC$60,13,FALSE)</f>
        <v>109272.7</v>
      </c>
      <c r="Y58" s="31">
        <f>VLOOKUP($U58,Rentroll!$C$37:$AC$60,15,FALSE)</f>
        <v>47740.5</v>
      </c>
      <c r="Z58" s="229">
        <f>VLOOKUP($U58,Rentroll!$C$37:$AC$60,19,FALSE)</f>
        <v>0.03</v>
      </c>
      <c r="AA58" s="229">
        <f>VLOOKUP($U58,Rentroll!$C$37:$AC$60,20,FALSE)</f>
        <v>0.03</v>
      </c>
      <c r="AB58" s="236">
        <f>VLOOKUP($U58,Rentroll!$C$37:$AC$60,18,FALSE)</f>
        <v>1</v>
      </c>
      <c r="AC58" s="233">
        <f t="shared" si="7"/>
        <v>2</v>
      </c>
      <c r="AD58" s="31">
        <f t="shared" si="8"/>
        <v>115927.40742999999</v>
      </c>
      <c r="AE58" s="31">
        <f t="shared" si="9"/>
        <v>50647.89645</v>
      </c>
      <c r="AF58" s="31">
        <f t="shared" si="10"/>
        <v>534.29631814964512</v>
      </c>
      <c r="AG58" s="31">
        <f t="shared" si="11"/>
        <v>233.43043025955373</v>
      </c>
      <c r="AH58" s="92">
        <f t="shared" si="12"/>
        <v>767.72674840919888</v>
      </c>
    </row>
    <row r="59" spans="2:34">
      <c r="C59" s="13" t="s">
        <v>364</v>
      </c>
      <c r="E59" s="13">
        <f>IF(H59=0,0,E53)</f>
        <v>10000</v>
      </c>
      <c r="F59" s="16">
        <f>G53</f>
        <v>46418</v>
      </c>
      <c r="G59" s="16">
        <f>exit</f>
        <v>47514</v>
      </c>
      <c r="H59" s="19">
        <f>IF(H53=0,0,DATEDIF(F59,G59,"m"))</f>
        <v>36</v>
      </c>
      <c r="I59" s="111">
        <f>AG111+1.87%</f>
        <v>6.0499999999999998E-2</v>
      </c>
      <c r="J59" s="111">
        <v>4.0000000000000001E-3</v>
      </c>
      <c r="K59" s="207">
        <v>6</v>
      </c>
      <c r="L59" s="125">
        <f>IFERROR(I59+J59/(H59/12)," ")</f>
        <v>6.183333333333333E-2</v>
      </c>
      <c r="M59" s="125">
        <f ca="1">IF(E59=0,0,(E59+R64+E52)/R65)</f>
        <v>0.59149726340362729</v>
      </c>
      <c r="N59" s="2" t="s">
        <v>156</v>
      </c>
      <c r="O59" s="2"/>
      <c r="P59" s="2"/>
      <c r="Q59" s="2"/>
      <c r="R59" s="2"/>
      <c r="U59" s="27">
        <f>Rentroll!$C47</f>
        <v>7</v>
      </c>
      <c r="V59" s="228">
        <f>VLOOKUP($U59,Rentroll!$C$37:$AC$60,6,FALSE)</f>
        <v>418.98972499999996</v>
      </c>
      <c r="W59" s="191">
        <f>VLOOKUP($U59,Rentroll!$C$37:$AC$60,9,FALSE)</f>
        <v>46477</v>
      </c>
      <c r="X59" s="31">
        <f>VLOOKUP($U59,Rentroll!$C$37:$AC$60,13,FALSE)</f>
        <v>109272.7</v>
      </c>
      <c r="Y59" s="31">
        <f>VLOOKUP($U59,Rentroll!$C$37:$AC$60,15,FALSE)</f>
        <v>47740.5</v>
      </c>
      <c r="Z59" s="229">
        <f>VLOOKUP($U59,Rentroll!$C$37:$AC$60,19,FALSE)</f>
        <v>0.03</v>
      </c>
      <c r="AA59" s="229">
        <f>VLOOKUP($U59,Rentroll!$C$37:$AC$60,20,FALSE)</f>
        <v>0.03</v>
      </c>
      <c r="AB59" s="236">
        <f>VLOOKUP($U59,Rentroll!$C$37:$AC$60,18,FALSE)</f>
        <v>1</v>
      </c>
      <c r="AC59" s="233">
        <f t="shared" si="7"/>
        <v>2</v>
      </c>
      <c r="AD59" s="31">
        <f t="shared" si="8"/>
        <v>115927.40742999999</v>
      </c>
      <c r="AE59" s="31">
        <f t="shared" si="9"/>
        <v>50647.89645</v>
      </c>
      <c r="AF59" s="31">
        <f t="shared" si="10"/>
        <v>534.29631814964512</v>
      </c>
      <c r="AG59" s="31">
        <f t="shared" si="11"/>
        <v>233.43043025955373</v>
      </c>
      <c r="AH59" s="92">
        <f t="shared" si="12"/>
        <v>767.72674840919888</v>
      </c>
    </row>
    <row r="60" spans="2:34">
      <c r="C60" s="13" t="s">
        <v>306</v>
      </c>
      <c r="I60" s="111">
        <v>0</v>
      </c>
      <c r="N60" s="2" t="s">
        <v>247</v>
      </c>
      <c r="U60" s="27">
        <f>Rentroll!$C48</f>
        <v>6</v>
      </c>
      <c r="V60" s="228">
        <f>VLOOKUP($U60,Rentroll!$C$37:$AC$60,6,FALSE)</f>
        <v>418.98972499999996</v>
      </c>
      <c r="W60" s="191">
        <f>VLOOKUP($U60,Rentroll!$C$37:$AC$60,9,FALSE)</f>
        <v>46477</v>
      </c>
      <c r="X60" s="31">
        <f>VLOOKUP($U60,Rentroll!$C$37:$AC$60,13,FALSE)</f>
        <v>109272.7</v>
      </c>
      <c r="Y60" s="31">
        <f>VLOOKUP($U60,Rentroll!$C$37:$AC$60,15,FALSE)</f>
        <v>47740.5</v>
      </c>
      <c r="Z60" s="229">
        <f>VLOOKUP($U60,Rentroll!$C$37:$AC$60,19,FALSE)</f>
        <v>0.03</v>
      </c>
      <c r="AA60" s="229">
        <f>VLOOKUP($U60,Rentroll!$C$37:$AC$60,20,FALSE)</f>
        <v>0.03</v>
      </c>
      <c r="AB60" s="236">
        <f>VLOOKUP($U60,Rentroll!$C$37:$AC$60,18,FALSE)</f>
        <v>1</v>
      </c>
      <c r="AC60" s="233">
        <f t="shared" si="7"/>
        <v>2</v>
      </c>
      <c r="AD60" s="31">
        <f t="shared" si="8"/>
        <v>115927.40742999999</v>
      </c>
      <c r="AE60" s="31">
        <f t="shared" si="9"/>
        <v>50647.89645</v>
      </c>
      <c r="AF60" s="31">
        <f t="shared" si="10"/>
        <v>534.29631814964512</v>
      </c>
      <c r="AG60" s="31">
        <f t="shared" si="11"/>
        <v>233.43043025955373</v>
      </c>
      <c r="AH60" s="92">
        <f t="shared" si="12"/>
        <v>767.72674840919888</v>
      </c>
    </row>
    <row r="61" spans="2:34">
      <c r="N61" s="264" t="s">
        <v>309</v>
      </c>
      <c r="O61" s="141"/>
      <c r="P61" s="141"/>
      <c r="Q61" s="141"/>
      <c r="R61" s="141"/>
      <c r="S61" s="247"/>
      <c r="U61" s="27">
        <f>Rentroll!$C49</f>
        <v>5</v>
      </c>
      <c r="V61" s="228">
        <f>VLOOKUP($U61,Rentroll!$C$37:$AC$60,6,FALSE)</f>
        <v>418.98972499999996</v>
      </c>
      <c r="W61" s="191">
        <f>VLOOKUP($U61,Rentroll!$C$37:$AC$60,9,FALSE)</f>
        <v>45688</v>
      </c>
      <c r="X61" s="31">
        <f>VLOOKUP($U61,Rentroll!$C$37:$AC$60,13,FALSE)</f>
        <v>103000</v>
      </c>
      <c r="Y61" s="31">
        <f>VLOOKUP($U61,Rentroll!$C$37:$AC$60,15,FALSE)</f>
        <v>45000</v>
      </c>
      <c r="Z61" s="229">
        <f>VLOOKUP($U61,Rentroll!$C$37:$AC$60,19,FALSE)</f>
        <v>0.03</v>
      </c>
      <c r="AA61" s="229">
        <f>VLOOKUP($U61,Rentroll!$C$37:$AC$60,20,FALSE)</f>
        <v>0.03</v>
      </c>
      <c r="AB61" s="236">
        <f>VLOOKUP($U61,Rentroll!$C$37:$AC$60,18,FALSE)</f>
        <v>1.5</v>
      </c>
      <c r="AC61" s="233">
        <f t="shared" si="7"/>
        <v>5</v>
      </c>
      <c r="AD61" s="31">
        <f t="shared" si="8"/>
        <v>119405.22965289999</v>
      </c>
      <c r="AE61" s="31">
        <f t="shared" si="9"/>
        <v>52167.333343499995</v>
      </c>
      <c r="AF61" s="31">
        <f t="shared" si="10"/>
        <v>525.31042552621921</v>
      </c>
      <c r="AG61" s="31">
        <f t="shared" si="11"/>
        <v>229.50455484155211</v>
      </c>
      <c r="AH61" s="92">
        <f t="shared" si="12"/>
        <v>754.81498036777134</v>
      </c>
    </row>
    <row r="62" spans="2:34">
      <c r="N62" s="255" t="s">
        <v>305</v>
      </c>
      <c r="P62" s="284">
        <v>2</v>
      </c>
      <c r="Q62" s="13" t="s">
        <v>308</v>
      </c>
      <c r="R62" s="13">
        <f>HLOOKUP(P62,U27:AH42,16,FALSE)</f>
        <v>12613.47023555492</v>
      </c>
      <c r="S62" s="256" t="s">
        <v>38</v>
      </c>
      <c r="U62" s="27">
        <f>Rentroll!$C50</f>
        <v>4</v>
      </c>
      <c r="V62" s="228">
        <f>VLOOKUP($U62,Rentroll!$C$37:$AC$60,6,FALSE)</f>
        <v>418.98972499999996</v>
      </c>
      <c r="W62" s="191">
        <f>VLOOKUP($U62,Rentroll!$C$37:$AC$60,9,FALSE)</f>
        <v>45688</v>
      </c>
      <c r="X62" s="31">
        <f>VLOOKUP($U62,Rentroll!$C$37:$AC$60,13,FALSE)</f>
        <v>103000</v>
      </c>
      <c r="Y62" s="31">
        <f>VLOOKUP($U62,Rentroll!$C$37:$AC$60,15,FALSE)</f>
        <v>45000</v>
      </c>
      <c r="Z62" s="229">
        <f>VLOOKUP($U62,Rentroll!$C$37:$AC$60,19,FALSE)</f>
        <v>0.03</v>
      </c>
      <c r="AA62" s="229">
        <f>VLOOKUP($U62,Rentroll!$C$37:$AC$60,20,FALSE)</f>
        <v>0.03</v>
      </c>
      <c r="AB62" s="236">
        <f>VLOOKUP($U62,Rentroll!$C$37:$AC$60,18,FALSE)</f>
        <v>1.5</v>
      </c>
      <c r="AC62" s="233">
        <f t="shared" si="7"/>
        <v>5</v>
      </c>
      <c r="AD62" s="31">
        <f t="shared" si="8"/>
        <v>119405.22965289999</v>
      </c>
      <c r="AE62" s="31">
        <f t="shared" si="9"/>
        <v>52167.333343499995</v>
      </c>
      <c r="AF62" s="31">
        <f t="shared" si="10"/>
        <v>525.31042552621921</v>
      </c>
      <c r="AG62" s="31">
        <f t="shared" si="11"/>
        <v>229.50455484155211</v>
      </c>
      <c r="AH62" s="92">
        <f t="shared" si="12"/>
        <v>754.81498036777134</v>
      </c>
    </row>
    <row r="63" spans="2:34">
      <c r="N63" s="255" t="s">
        <v>307</v>
      </c>
      <c r="R63" s="111">
        <v>4.7E-2</v>
      </c>
      <c r="S63" s="256"/>
      <c r="U63" s="27">
        <f>Rentroll!$C51</f>
        <v>3</v>
      </c>
      <c r="V63" s="228">
        <f>VLOOKUP($U63,Rentroll!$C$37:$AC$60,6,FALSE)</f>
        <v>418.98972499999996</v>
      </c>
      <c r="W63" s="191">
        <f>VLOOKUP($U63,Rentroll!$C$37:$AC$60,9,FALSE)</f>
        <v>45688</v>
      </c>
      <c r="X63" s="31">
        <f>VLOOKUP($U63,Rentroll!$C$37:$AC$60,13,FALSE)</f>
        <v>103000</v>
      </c>
      <c r="Y63" s="31">
        <f>VLOOKUP($U63,Rentroll!$C$37:$AC$60,15,FALSE)</f>
        <v>45000</v>
      </c>
      <c r="Z63" s="229">
        <f>VLOOKUP($U63,Rentroll!$C$37:$AC$60,19,FALSE)</f>
        <v>0.03</v>
      </c>
      <c r="AA63" s="229">
        <f>VLOOKUP($U63,Rentroll!$C$37:$AC$60,20,FALSE)</f>
        <v>0.03</v>
      </c>
      <c r="AB63" s="236">
        <f>VLOOKUP($U63,Rentroll!$C$37:$AC$60,18,FALSE)</f>
        <v>1.5</v>
      </c>
      <c r="AC63" s="233">
        <f t="shared" si="7"/>
        <v>5</v>
      </c>
      <c r="AD63" s="31">
        <f t="shared" si="8"/>
        <v>119405.22965289999</v>
      </c>
      <c r="AE63" s="31">
        <f t="shared" si="9"/>
        <v>52167.333343499995</v>
      </c>
      <c r="AF63" s="31">
        <f t="shared" si="10"/>
        <v>525.31042552621921</v>
      </c>
      <c r="AG63" s="31">
        <f t="shared" si="11"/>
        <v>229.50455484155211</v>
      </c>
      <c r="AH63" s="92">
        <f t="shared" si="12"/>
        <v>754.81498036777134</v>
      </c>
    </row>
    <row r="64" spans="2:34">
      <c r="N64" s="255" t="s">
        <v>310</v>
      </c>
      <c r="R64" s="13">
        <f>HLOOKUP($F$58,운영수입!$S$14:$DM$157,99,FALSE)</f>
        <v>7702.01806259765</v>
      </c>
      <c r="S64" s="256"/>
      <c r="U64" s="27" t="str">
        <f>Rentroll!$C52</f>
        <v>201호</v>
      </c>
      <c r="V64" s="228">
        <f>VLOOKUP($U64,Rentroll!$C$37:$AC$60,6,FALSE)</f>
        <v>104.74743124999999</v>
      </c>
      <c r="W64" s="191">
        <f>VLOOKUP($U64,Rentroll!$C$37:$AC$60,9,FALSE)</f>
        <v>45747</v>
      </c>
      <c r="X64" s="31">
        <f>VLOOKUP($U64,Rentroll!$C$37:$AC$60,13,FALSE)</f>
        <v>130000</v>
      </c>
      <c r="Y64" s="31">
        <f>VLOOKUP($U64,Rentroll!$C$37:$AC$60,15,FALSE)</f>
        <v>45000</v>
      </c>
      <c r="Z64" s="229">
        <f>VLOOKUP($U64,Rentroll!$C$37:$AC$60,19,FALSE)</f>
        <v>0.03</v>
      </c>
      <c r="AA64" s="229">
        <f>VLOOKUP($U64,Rentroll!$C$37:$AC$60,20,FALSE)</f>
        <v>0.03</v>
      </c>
      <c r="AB64" s="236">
        <f>VLOOKUP($U64,Rentroll!$C$37:$AC$60,18,FALSE)</f>
        <v>0</v>
      </c>
      <c r="AC64" s="233">
        <f t="shared" si="7"/>
        <v>4</v>
      </c>
      <c r="AD64" s="31">
        <f t="shared" si="8"/>
        <v>146316.14529999997</v>
      </c>
      <c r="AE64" s="31">
        <f t="shared" si="9"/>
        <v>50647.896449999993</v>
      </c>
      <c r="AF64" s="31">
        <f t="shared" si="10"/>
        <v>183.91488444692109</v>
      </c>
      <c r="AG64" s="31">
        <f t="shared" si="11"/>
        <v>63.662844616241919</v>
      </c>
      <c r="AH64" s="92">
        <f t="shared" si="12"/>
        <v>247.57772906316302</v>
      </c>
    </row>
    <row r="65" spans="2:34">
      <c r="N65" s="248" t="s">
        <v>311</v>
      </c>
      <c r="O65" s="249"/>
      <c r="P65" s="249"/>
      <c r="Q65" s="249"/>
      <c r="R65" s="249">
        <f>R62/R63+R64</f>
        <v>276073.72520206403</v>
      </c>
      <c r="S65" s="250" t="s">
        <v>38</v>
      </c>
      <c r="U65" s="27" t="str">
        <f>Rentroll!$C53</f>
        <v>202호</v>
      </c>
      <c r="V65" s="228">
        <f>VLOOKUP($U65,Rentroll!$C$37:$AC$60,6,FALSE)</f>
        <v>104.74743124999999</v>
      </c>
      <c r="W65" s="191">
        <f>VLOOKUP($U65,Rentroll!$C$37:$AC$60,9,FALSE)</f>
        <v>45747</v>
      </c>
      <c r="X65" s="31">
        <f>VLOOKUP($U65,Rentroll!$C$37:$AC$60,13,FALSE)</f>
        <v>130000</v>
      </c>
      <c r="Y65" s="31">
        <f>VLOOKUP($U65,Rentroll!$C$37:$AC$60,15,FALSE)</f>
        <v>45000</v>
      </c>
      <c r="Z65" s="229">
        <f>VLOOKUP($U65,Rentroll!$C$37:$AC$60,19,FALSE)</f>
        <v>0.03</v>
      </c>
      <c r="AA65" s="229">
        <f>VLOOKUP($U65,Rentroll!$C$37:$AC$60,20,FALSE)</f>
        <v>0.03</v>
      </c>
      <c r="AB65" s="236">
        <f>VLOOKUP($U65,Rentroll!$C$37:$AC$60,18,FALSE)</f>
        <v>0</v>
      </c>
      <c r="AC65" s="233">
        <f t="shared" si="7"/>
        <v>4</v>
      </c>
      <c r="AD65" s="31">
        <f t="shared" si="8"/>
        <v>146316.14529999997</v>
      </c>
      <c r="AE65" s="31">
        <f t="shared" si="9"/>
        <v>50647.896449999993</v>
      </c>
      <c r="AF65" s="31">
        <f t="shared" si="10"/>
        <v>183.91488444692109</v>
      </c>
      <c r="AG65" s="31">
        <f t="shared" si="11"/>
        <v>63.662844616241919</v>
      </c>
      <c r="AH65" s="92">
        <f t="shared" si="12"/>
        <v>247.57772906316302</v>
      </c>
    </row>
    <row r="66" spans="2:34">
      <c r="U66" s="27" t="str">
        <f>Rentroll!$C54</f>
        <v>203호</v>
      </c>
      <c r="V66" s="228">
        <f>VLOOKUP($U66,Rentroll!$C$37:$AC$60,6,FALSE)</f>
        <v>104.74743124999999</v>
      </c>
      <c r="W66" s="191">
        <f>VLOOKUP($U66,Rentroll!$C$37:$AC$60,9,FALSE)</f>
        <v>45747</v>
      </c>
      <c r="X66" s="31">
        <f>VLOOKUP($U66,Rentroll!$C$37:$AC$60,13,FALSE)</f>
        <v>130000</v>
      </c>
      <c r="Y66" s="31">
        <f>VLOOKUP($U66,Rentroll!$C$37:$AC$60,15,FALSE)</f>
        <v>45000</v>
      </c>
      <c r="Z66" s="229">
        <f>VLOOKUP($U66,Rentroll!$C$37:$AC$60,19,FALSE)</f>
        <v>0.03</v>
      </c>
      <c r="AA66" s="229">
        <f>VLOOKUP($U66,Rentroll!$C$37:$AC$60,20,FALSE)</f>
        <v>0.03</v>
      </c>
      <c r="AB66" s="236">
        <f>VLOOKUP($U66,Rentroll!$C$37:$AC$60,18,FALSE)</f>
        <v>0</v>
      </c>
      <c r="AC66" s="233">
        <f t="shared" si="7"/>
        <v>4</v>
      </c>
      <c r="AD66" s="31">
        <f t="shared" si="8"/>
        <v>146316.14529999997</v>
      </c>
      <c r="AE66" s="31">
        <f t="shared" si="9"/>
        <v>50647.896449999993</v>
      </c>
      <c r="AF66" s="31">
        <f t="shared" si="10"/>
        <v>183.91488444692109</v>
      </c>
      <c r="AG66" s="31">
        <f t="shared" si="11"/>
        <v>63.662844616241919</v>
      </c>
      <c r="AH66" s="92">
        <f t="shared" si="12"/>
        <v>247.57772906316302</v>
      </c>
    </row>
    <row r="67" spans="2:34">
      <c r="B67" s="5" t="s">
        <v>404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U67" s="27" t="str">
        <f>Rentroll!$C55</f>
        <v>204호</v>
      </c>
      <c r="V67" s="228">
        <f>VLOOKUP($U67,Rentroll!$C$37:$AC$60,6,FALSE)</f>
        <v>104.74743124999999</v>
      </c>
      <c r="W67" s="191">
        <f>VLOOKUP($U67,Rentroll!$C$37:$AC$60,9,FALSE)</f>
        <v>45747</v>
      </c>
      <c r="X67" s="31">
        <f>VLOOKUP($U67,Rentroll!$C$37:$AC$60,13,FALSE)</f>
        <v>130000</v>
      </c>
      <c r="Y67" s="31">
        <f>VLOOKUP($U67,Rentroll!$C$37:$AC$60,15,FALSE)</f>
        <v>45000</v>
      </c>
      <c r="Z67" s="229">
        <f>VLOOKUP($U67,Rentroll!$C$37:$AC$60,19,FALSE)</f>
        <v>0.03</v>
      </c>
      <c r="AA67" s="229">
        <f>VLOOKUP($U67,Rentroll!$C$37:$AC$60,20,FALSE)</f>
        <v>0.03</v>
      </c>
      <c r="AB67" s="236">
        <f>VLOOKUP($U67,Rentroll!$C$37:$AC$60,18,FALSE)</f>
        <v>0</v>
      </c>
      <c r="AC67" s="233">
        <f t="shared" si="7"/>
        <v>4</v>
      </c>
      <c r="AD67" s="31">
        <f t="shared" si="8"/>
        <v>146316.14529999997</v>
      </c>
      <c r="AE67" s="31">
        <f t="shared" si="9"/>
        <v>50647.896449999993</v>
      </c>
      <c r="AF67" s="31">
        <f t="shared" si="10"/>
        <v>183.91488444692109</v>
      </c>
      <c r="AG67" s="31">
        <f t="shared" si="11"/>
        <v>63.662844616241919</v>
      </c>
      <c r="AH67" s="92">
        <f t="shared" si="12"/>
        <v>247.57772906316302</v>
      </c>
    </row>
    <row r="68" spans="2:34">
      <c r="B68" s="64"/>
      <c r="C68" s="64"/>
      <c r="D68" s="64" t="s">
        <v>405</v>
      </c>
      <c r="E68" s="64"/>
      <c r="F68" s="66">
        <f>운영수입!T8</f>
        <v>1</v>
      </c>
      <c r="G68" s="66">
        <f>운영수입!U8</f>
        <v>2</v>
      </c>
      <c r="H68" s="66">
        <f>운영수입!V8</f>
        <v>3</v>
      </c>
      <c r="I68" s="66">
        <f>운영수입!W8</f>
        <v>4</v>
      </c>
      <c r="J68" s="66">
        <f>운영수입!X8</f>
        <v>5</v>
      </c>
      <c r="K68" s="66">
        <f>운영수입!Y8</f>
        <v>6</v>
      </c>
      <c r="L68" s="66">
        <f>운영수입!Z8</f>
        <v>7</v>
      </c>
      <c r="M68" s="66">
        <f>운영수입!AA8</f>
        <v>8</v>
      </c>
      <c r="N68" s="66">
        <f>운영수입!AB8</f>
        <v>9</v>
      </c>
      <c r="O68" s="66">
        <f>운영수입!AC8</f>
        <v>10</v>
      </c>
      <c r="P68" s="66">
        <f>운영수입!AD8</f>
        <v>11</v>
      </c>
      <c r="Q68" s="66">
        <f>운영수입!AE8</f>
        <v>12</v>
      </c>
      <c r="R68" s="66">
        <f>운영수입!AF8</f>
        <v>13</v>
      </c>
      <c r="S68" s="66">
        <f>운영수입!AG8</f>
        <v>14</v>
      </c>
      <c r="U68" s="27" t="str">
        <f>Rentroll!$C56</f>
        <v>101호</v>
      </c>
      <c r="V68" s="228">
        <f>VLOOKUP($U68,Rentroll!$C$37:$AC$60,6,FALSE)</f>
        <v>146.64595</v>
      </c>
      <c r="W68" s="191">
        <f>VLOOKUP($U68,Rentroll!$C$37:$AC$60,9,FALSE)</f>
        <v>45838</v>
      </c>
      <c r="X68" s="31">
        <f>VLOOKUP($U68,Rentroll!$C$37:$AC$60,13,FALSE)</f>
        <v>150000</v>
      </c>
      <c r="Y68" s="31">
        <f>VLOOKUP($U68,Rentroll!$C$37:$AC$60,15,FALSE)</f>
        <v>45000</v>
      </c>
      <c r="Z68" s="229">
        <f>VLOOKUP($U68,Rentroll!$C$37:$AC$60,19,FALSE)</f>
        <v>0.03</v>
      </c>
      <c r="AA68" s="229">
        <f>VLOOKUP($U68,Rentroll!$C$37:$AC$60,20,FALSE)</f>
        <v>0.03</v>
      </c>
      <c r="AB68" s="236">
        <f>VLOOKUP($U68,Rentroll!$C$37:$AC$60,18,FALSE)</f>
        <v>0</v>
      </c>
      <c r="AC68" s="233">
        <f t="shared" si="7"/>
        <v>4</v>
      </c>
      <c r="AD68" s="31">
        <f t="shared" si="8"/>
        <v>168826.32149999999</v>
      </c>
      <c r="AE68" s="31">
        <f t="shared" si="9"/>
        <v>50647.896449999993</v>
      </c>
      <c r="AF68" s="31">
        <f t="shared" si="10"/>
        <v>297.09235561647512</v>
      </c>
      <c r="AG68" s="31">
        <f t="shared" si="11"/>
        <v>89.12770668494251</v>
      </c>
      <c r="AH68" s="92">
        <f t="shared" si="12"/>
        <v>386.22006230141761</v>
      </c>
    </row>
    <row r="69" spans="2:34">
      <c r="B69" s="64"/>
      <c r="C69" s="64"/>
      <c r="D69" s="64" t="s">
        <v>60</v>
      </c>
      <c r="E69" s="65"/>
      <c r="F69" s="65">
        <f>운영수입!T9</f>
        <v>45716</v>
      </c>
      <c r="G69" s="65">
        <f>운영수입!U9</f>
        <v>45900</v>
      </c>
      <c r="H69" s="65">
        <f>운영수입!V9</f>
        <v>46081</v>
      </c>
      <c r="I69" s="65">
        <f>운영수입!W9</f>
        <v>46265</v>
      </c>
      <c r="J69" s="65">
        <f>운영수입!X9</f>
        <v>46446</v>
      </c>
      <c r="K69" s="65">
        <f>운영수입!Y9</f>
        <v>46630</v>
      </c>
      <c r="L69" s="65">
        <f>운영수입!Z9</f>
        <v>46812</v>
      </c>
      <c r="M69" s="65">
        <f>운영수입!AA9</f>
        <v>46996</v>
      </c>
      <c r="N69" s="65">
        <f>운영수입!AB9</f>
        <v>47177</v>
      </c>
      <c r="O69" s="65">
        <f>운영수입!AC9</f>
        <v>47361</v>
      </c>
      <c r="P69" s="65">
        <f>운영수입!AD9</f>
        <v>47542</v>
      </c>
      <c r="Q69" s="65">
        <f>운영수입!AE9</f>
        <v>47726</v>
      </c>
      <c r="R69" s="65">
        <f>운영수입!AF9</f>
        <v>47907</v>
      </c>
      <c r="S69" s="65">
        <f>운영수입!AG9</f>
        <v>48091</v>
      </c>
      <c r="U69" s="27" t="str">
        <f>Rentroll!$C57</f>
        <v>102호</v>
      </c>
      <c r="V69" s="228">
        <f>VLOOKUP($U69,Rentroll!$C$37:$AC$60,6,FALSE)</f>
        <v>146.64595</v>
      </c>
      <c r="W69" s="191">
        <f>VLOOKUP($U69,Rentroll!$C$37:$AC$60,9,FALSE)</f>
        <v>45838</v>
      </c>
      <c r="X69" s="31">
        <f>VLOOKUP($U69,Rentroll!$C$37:$AC$60,13,FALSE)</f>
        <v>150000</v>
      </c>
      <c r="Y69" s="31">
        <f>VLOOKUP($U69,Rentroll!$C$37:$AC$60,15,FALSE)</f>
        <v>45000</v>
      </c>
      <c r="Z69" s="229">
        <f>VLOOKUP($U69,Rentroll!$C$37:$AC$60,19,FALSE)</f>
        <v>0.03</v>
      </c>
      <c r="AA69" s="229">
        <f>VLOOKUP($U69,Rentroll!$C$37:$AC$60,20,FALSE)</f>
        <v>0.03</v>
      </c>
      <c r="AB69" s="236">
        <f>VLOOKUP($U69,Rentroll!$C$37:$AC$60,18,FALSE)</f>
        <v>0</v>
      </c>
      <c r="AC69" s="233">
        <f t="shared" si="7"/>
        <v>4</v>
      </c>
      <c r="AD69" s="31">
        <f t="shared" si="8"/>
        <v>168826.32149999999</v>
      </c>
      <c r="AE69" s="31">
        <f t="shared" si="9"/>
        <v>50647.896449999993</v>
      </c>
      <c r="AF69" s="31">
        <f t="shared" si="10"/>
        <v>297.09235561647512</v>
      </c>
      <c r="AG69" s="31">
        <f t="shared" si="11"/>
        <v>89.12770668494251</v>
      </c>
      <c r="AH69" s="92">
        <f t="shared" si="12"/>
        <v>386.22006230141761</v>
      </c>
    </row>
    <row r="70" spans="2:34">
      <c r="B70" s="289"/>
      <c r="C70" s="289"/>
      <c r="D70" s="289" t="s">
        <v>61</v>
      </c>
      <c r="E70" s="290">
        <f>acq</f>
        <v>45688</v>
      </c>
      <c r="F70" s="290">
        <f>운영수입!T10</f>
        <v>45869</v>
      </c>
      <c r="G70" s="290">
        <f>운영수입!U10</f>
        <v>46053</v>
      </c>
      <c r="H70" s="290">
        <f>운영수입!V10</f>
        <v>46234</v>
      </c>
      <c r="I70" s="290">
        <f>운영수입!W10</f>
        <v>46418</v>
      </c>
      <c r="J70" s="290">
        <f>운영수입!X10</f>
        <v>46599</v>
      </c>
      <c r="K70" s="290">
        <f>운영수입!Y10</f>
        <v>46783</v>
      </c>
      <c r="L70" s="290">
        <f>운영수입!Z10</f>
        <v>46965</v>
      </c>
      <c r="M70" s="290">
        <f>운영수입!AA10</f>
        <v>47149</v>
      </c>
      <c r="N70" s="290">
        <f>운영수입!AB10</f>
        <v>47330</v>
      </c>
      <c r="O70" s="290">
        <f>운영수입!AC10</f>
        <v>47514</v>
      </c>
      <c r="P70" s="290">
        <f>운영수입!AD10</f>
        <v>47695</v>
      </c>
      <c r="Q70" s="290">
        <f>운영수입!AE10</f>
        <v>47879</v>
      </c>
      <c r="R70" s="290">
        <f>운영수입!AF10</f>
        <v>48060</v>
      </c>
      <c r="S70" s="290">
        <f>운영수입!AG10</f>
        <v>48244</v>
      </c>
      <c r="U70" s="27" t="str">
        <f>Rentroll!$C58</f>
        <v>B101호</v>
      </c>
      <c r="V70" s="228">
        <f>VLOOKUP($U70,Rentroll!$C$37:$AC$60,6,FALSE)</f>
        <v>293.2919</v>
      </c>
      <c r="W70" s="191">
        <f>VLOOKUP($U70,Rentroll!$C$37:$AC$60,9,FALSE)</f>
        <v>46752</v>
      </c>
      <c r="X70" s="31">
        <f>VLOOKUP($U70,Rentroll!$C$37:$AC$60,13,FALSE)</f>
        <v>52116.712499999994</v>
      </c>
      <c r="Y70" s="31">
        <f>VLOOKUP($U70,Rentroll!$C$37:$AC$60,15,FALSE)</f>
        <v>40000</v>
      </c>
      <c r="Z70" s="229">
        <f>VLOOKUP($U70,Rentroll!$C$37:$AC$60,19,FALSE)</f>
        <v>0.03</v>
      </c>
      <c r="AA70" s="229">
        <f>VLOOKUP($U70,Rentroll!$C$37:$AC$60,20,FALSE)</f>
        <v>0.03</v>
      </c>
      <c r="AB70" s="236">
        <f>VLOOKUP($U70,Rentroll!$C$37:$AC$60,18,FALSE)</f>
        <v>0</v>
      </c>
      <c r="AC70" s="233">
        <f t="shared" si="7"/>
        <v>2</v>
      </c>
      <c r="AD70" s="31">
        <f t="shared" si="8"/>
        <v>55290.620291249994</v>
      </c>
      <c r="AE70" s="31">
        <f t="shared" si="9"/>
        <v>42436</v>
      </c>
      <c r="AF70" s="31">
        <f t="shared" si="10"/>
        <v>194.59549292879117</v>
      </c>
      <c r="AG70" s="31">
        <f t="shared" si="11"/>
        <v>149.35362082080002</v>
      </c>
      <c r="AH70" s="92">
        <f>SUM(AF70:AG70)</f>
        <v>343.94911374959122</v>
      </c>
    </row>
    <row r="71" spans="2:34">
      <c r="B71" s="2" t="str">
        <f>현금흐름!B17</f>
        <v>영업현금흐름</v>
      </c>
      <c r="U71" s="27" t="str">
        <f>Rentroll!$C59</f>
        <v>B102호</v>
      </c>
      <c r="V71" s="228">
        <f>VLOOKUP($U71,Rentroll!$C$37:$AC$60,6,FALSE)</f>
        <v>293.2919</v>
      </c>
      <c r="W71" s="191">
        <f>VLOOKUP($U71,Rentroll!$C$37:$AC$60,9,FALSE)</f>
        <v>46418</v>
      </c>
      <c r="X71" s="31">
        <f>VLOOKUP($U71,Rentroll!$C$37:$AC$60,13,FALSE)</f>
        <v>52116.712499999994</v>
      </c>
      <c r="Y71" s="31">
        <f>VLOOKUP($U71,Rentroll!$C$37:$AC$60,15,FALSE)</f>
        <v>40000</v>
      </c>
      <c r="Z71" s="229">
        <f>VLOOKUP($U71,Rentroll!$C$37:$AC$60,19,FALSE)</f>
        <v>0.03</v>
      </c>
      <c r="AA71" s="229">
        <f>VLOOKUP($U71,Rentroll!$C$37:$AC$60,20,FALSE)</f>
        <v>0.03</v>
      </c>
      <c r="AB71" s="236">
        <f>VLOOKUP($U71,Rentroll!$C$37:$AC$60,18,FALSE)</f>
        <v>0</v>
      </c>
      <c r="AC71" s="233">
        <f t="shared" si="7"/>
        <v>3</v>
      </c>
      <c r="AD71" s="31">
        <f t="shared" si="8"/>
        <v>56949.338899987495</v>
      </c>
      <c r="AE71" s="31">
        <f t="shared" si="9"/>
        <v>43709.08</v>
      </c>
      <c r="AF71" s="31">
        <f t="shared" si="10"/>
        <v>200.43335771665491</v>
      </c>
      <c r="AG71" s="31">
        <f t="shared" si="11"/>
        <v>153.834229445424</v>
      </c>
      <c r="AH71" s="92">
        <f>SUM(AF71:AG71)</f>
        <v>354.26758716207894</v>
      </c>
    </row>
    <row r="72" spans="2:34">
      <c r="B72" s="13" t="str">
        <f>현금흐름!C18</f>
        <v>운영수입</v>
      </c>
      <c r="E72" s="13">
        <f>SUMIF(현금흐름!$15:$15,'A&amp;R'!E$68,현금흐름!18:18)</f>
        <v>0</v>
      </c>
      <c r="F72" s="13">
        <f>SUMIF(현금흐름!$15:$15,'A&amp;R'!F$68,현금흐름!18:18)</f>
        <v>6610.9098440860143</v>
      </c>
      <c r="G72" s="13">
        <f>SUMIF(현금흐름!$15:$15,'A&amp;R'!G$68,현금흐름!18:18)</f>
        <v>7642.1721924983503</v>
      </c>
      <c r="H72" s="13">
        <f>SUMIF(현금흐름!$15:$15,'A&amp;R'!H$68,현금흐름!18:18)</f>
        <v>7933.451194363879</v>
      </c>
      <c r="I72" s="13">
        <f>SUMIF(현금흐름!$15:$15,'A&amp;R'!I$68,현금흐름!18:18)</f>
        <v>8025.5678352658852</v>
      </c>
      <c r="J72" s="13">
        <f>SUMIF(현금흐름!$15:$15,'A&amp;R'!J$68,현금흐름!18:18)</f>
        <v>8108.9813220414235</v>
      </c>
      <c r="K72" s="13">
        <f>SUMIF(현금흐름!$15:$15,'A&amp;R'!K$68,현금흐름!18:18)</f>
        <v>8355.7103466312365</v>
      </c>
      <c r="L72" s="13">
        <f>SUMIF(현금흐름!$15:$15,'A&amp;R'!L$68,현금흐름!18:18)</f>
        <v>8579.105801009915</v>
      </c>
      <c r="M72" s="13">
        <f>SUMIF(현금흐름!$15:$15,'A&amp;R'!M$68,현금흐름!18:18)</f>
        <v>8695.5036625289376</v>
      </c>
      <c r="N72" s="13">
        <f>SUMIF(현금흐름!$15:$15,'A&amp;R'!N$68,현금흐름!18:18)</f>
        <v>8954.8056340779694</v>
      </c>
      <c r="O72" s="13">
        <f>SUMIF(현금흐름!$15:$15,'A&amp;R'!O$68,현금흐름!18:18)</f>
        <v>9056.7101206121515</v>
      </c>
      <c r="P72" s="13">
        <f>SUMIF(현금흐름!$15:$15,'A&amp;R'!P$68,현금흐름!18:18)</f>
        <v>0</v>
      </c>
      <c r="Q72" s="13">
        <f>SUMIF(현금흐름!$15:$15,'A&amp;R'!Q$68,현금흐름!18:18)</f>
        <v>0</v>
      </c>
      <c r="R72" s="13">
        <f>SUMIF(현금흐름!$15:$15,'A&amp;R'!R$68,현금흐름!18:18)</f>
        <v>0</v>
      </c>
      <c r="S72" s="13">
        <f>SUMIF(현금흐름!$15:$15,'A&amp;R'!S$68,현금흐름!18:18)</f>
        <v>0</v>
      </c>
      <c r="U72" s="45"/>
      <c r="V72" s="230"/>
      <c r="W72" s="193"/>
      <c r="X72" s="48"/>
      <c r="Y72" s="48"/>
      <c r="Z72" s="231"/>
      <c r="AA72" s="231"/>
      <c r="AB72" s="237"/>
      <c r="AC72" s="234"/>
      <c r="AD72" s="48"/>
      <c r="AE72" s="48"/>
      <c r="AF72" s="48"/>
      <c r="AG72" s="48"/>
      <c r="AH72" s="169"/>
    </row>
    <row r="73" spans="2:34">
      <c r="B73" s="13" t="str">
        <f>현금흐름!C19</f>
        <v>운영비용</v>
      </c>
      <c r="E73" s="13">
        <f>SUMIF(현금흐름!$15:$15,'A&amp;R'!E$68,현금흐름!19:19)</f>
        <v>0</v>
      </c>
      <c r="F73" s="13">
        <f>SUMIF(현금흐름!$15:$15,'A&amp;R'!F$68,현금흐름!19:19)</f>
        <v>-1624.2815615</v>
      </c>
      <c r="G73" s="13">
        <f>SUMIF(현금흐름!$15:$15,'A&amp;R'!G$68,현금흐름!19:19)</f>
        <v>-2155.3886913225001</v>
      </c>
      <c r="H73" s="13">
        <f>SUMIF(현금흐름!$15:$15,'A&amp;R'!H$68,현금흐름!19:19)</f>
        <v>-1656.7247169249997</v>
      </c>
      <c r="I73" s="13">
        <f>SUMIF(현금흐름!$15:$15,'A&amp;R'!I$68,현금흐름!19:19)</f>
        <v>-1688.8240771498452</v>
      </c>
      <c r="J73" s="13">
        <f>SUMIF(현금흐름!$15:$15,'A&amp;R'!J$68,현금흐름!19:19)</f>
        <v>-1962.5462348184933</v>
      </c>
      <c r="K73" s="13">
        <f>SUMIF(현금흐름!$15:$15,'A&amp;R'!K$68,현금흐름!19:19)</f>
        <v>-1730.2421950729699</v>
      </c>
      <c r="L73" s="13">
        <f>SUMIF(현금흐름!$15:$15,'A&amp;R'!L$68,현금흐름!19:19)</f>
        <v>-1831.3749063758214</v>
      </c>
      <c r="M73" s="13">
        <f>SUMIF(현금흐름!$15:$15,'A&amp;R'!M$68,현금흐름!19:19)</f>
        <v>-1802.9309761701202</v>
      </c>
      <c r="N73" s="13">
        <f>SUMIF(현금흐름!$15:$15,'A&amp;R'!N$68,현금흐름!19:19)</f>
        <v>-1784.1113158623109</v>
      </c>
      <c r="O73" s="13">
        <f>SUMIF(현금흐름!$15:$15,'A&amp;R'!O$68,현금흐름!19:19)</f>
        <v>-1784.1113158623109</v>
      </c>
      <c r="P73" s="13">
        <f>SUMIF(현금흐름!$15:$15,'A&amp;R'!P$68,현금흐름!19:19)</f>
        <v>0</v>
      </c>
      <c r="Q73" s="13">
        <f>SUMIF(현금흐름!$15:$15,'A&amp;R'!Q$68,현금흐름!19:19)</f>
        <v>0</v>
      </c>
      <c r="R73" s="13">
        <f>SUMIF(현금흐름!$15:$15,'A&amp;R'!R$68,현금흐름!19:19)</f>
        <v>0</v>
      </c>
      <c r="S73" s="13">
        <f>SUMIF(현금흐름!$15:$15,'A&amp;R'!S$68,현금흐름!19:19)</f>
        <v>0</v>
      </c>
      <c r="U73" s="238" t="s">
        <v>132</v>
      </c>
      <c r="V73" s="239">
        <f>SUM(V49:V72)</f>
        <v>7583.7113000000018</v>
      </c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40">
        <f>SUM(AH49:AH72)</f>
        <v>13984.197268685413</v>
      </c>
    </row>
    <row r="74" spans="2:34">
      <c r="B74" s="13" t="str">
        <f>현금흐름!C20</f>
        <v>펀드비용</v>
      </c>
      <c r="E74" s="13">
        <f>SUMIF(현금흐름!$15:$15,'A&amp;R'!E$68,현금흐름!20:20)</f>
        <v>0</v>
      </c>
      <c r="F74" s="13">
        <f>SUMIF(현금흐름!$15:$15,'A&amp;R'!F$68,현금흐름!20:20)</f>
        <v>-285.00000000000006</v>
      </c>
      <c r="G74" s="13">
        <f>SUMIF(현금흐름!$15:$15,'A&amp;R'!G$68,현금흐름!20:20)</f>
        <v>-284.99999999999989</v>
      </c>
      <c r="H74" s="13">
        <f>SUMIF(현금흐름!$15:$15,'A&amp;R'!H$68,현금흐름!20:20)</f>
        <v>-285.00000000000006</v>
      </c>
      <c r="I74" s="13">
        <f>SUMIF(현금흐름!$15:$15,'A&amp;R'!I$68,현금흐름!20:20)</f>
        <v>-285.00000000000023</v>
      </c>
      <c r="J74" s="13">
        <f>SUMIF(현금흐름!$15:$15,'A&amp;R'!J$68,현금흐름!20:20)</f>
        <v>-285.00000000000023</v>
      </c>
      <c r="K74" s="13">
        <f>SUMIF(현금흐름!$15:$15,'A&amp;R'!K$68,현금흐름!20:20)</f>
        <v>-284.99999999999949</v>
      </c>
      <c r="L74" s="13">
        <f>SUMIF(현금흐름!$15:$15,'A&amp;R'!L$68,현금흐름!20:20)</f>
        <v>-284.99999999999955</v>
      </c>
      <c r="M74" s="13">
        <f>SUMIF(현금흐름!$15:$15,'A&amp;R'!M$68,현금흐름!20:20)</f>
        <v>-284.99999999999955</v>
      </c>
      <c r="N74" s="13">
        <f>SUMIF(현금흐름!$15:$15,'A&amp;R'!N$68,현금흐름!20:20)</f>
        <v>-284.99999999999955</v>
      </c>
      <c r="O74" s="13">
        <f>SUMIF(현금흐름!$15:$15,'A&amp;R'!O$68,현금흐름!20:20)</f>
        <v>-284.99999999999955</v>
      </c>
      <c r="P74" s="13">
        <f>SUMIF(현금흐름!$15:$15,'A&amp;R'!P$68,현금흐름!20:20)</f>
        <v>0</v>
      </c>
      <c r="Q74" s="13">
        <f>SUMIF(현금흐름!$15:$15,'A&amp;R'!Q$68,현금흐름!20:20)</f>
        <v>0</v>
      </c>
      <c r="R74" s="13">
        <f>SUMIF(현금흐름!$15:$15,'A&amp;R'!R$68,현금흐름!20:20)</f>
        <v>0</v>
      </c>
      <c r="S74" s="13">
        <f>SUMIF(현금흐름!$15:$15,'A&amp;R'!S$68,현금흐름!20:20)</f>
        <v>0</v>
      </c>
    </row>
    <row r="75" spans="2:34">
      <c r="B75" s="13" t="str">
        <f>현금흐름!C21</f>
        <v>이자비용</v>
      </c>
      <c r="E75" s="13">
        <f ca="1">SUMIF(현금흐름!$15:$15,'A&amp;R'!E$68,현금흐름!21:21)</f>
        <v>0</v>
      </c>
      <c r="F75" s="13">
        <f ca="1">SUMIF(현금흐름!$15:$15,'A&amp;R'!F$68,현금흐름!21:21)</f>
        <v>-3624.1754517382028</v>
      </c>
      <c r="G75" s="13">
        <f ca="1">SUMIF(현금흐름!$15:$15,'A&amp;R'!G$68,현금흐름!21:21)</f>
        <v>-3597.3837850715372</v>
      </c>
      <c r="H75" s="13">
        <f ca="1">SUMIF(현금흐름!$15:$15,'A&amp;R'!H$68,현금흐름!21:21)</f>
        <v>-3597.3837850715345</v>
      </c>
      <c r="I75" s="13">
        <f ca="1">SUMIF(현금흐름!$15:$15,'A&amp;R'!I$68,현금흐름!21:21)</f>
        <v>-3570.5921184048648</v>
      </c>
      <c r="J75" s="13">
        <f ca="1">SUMIF(현금흐름!$15:$15,'A&amp;R'!J$68,현금흐름!21:21)</f>
        <v>-3603.5921184048652</v>
      </c>
      <c r="K75" s="13">
        <f ca="1">SUMIF(현금흐름!$15:$15,'A&amp;R'!K$68,현금흐름!21:21)</f>
        <v>-3578.3837850715408</v>
      </c>
      <c r="L75" s="13">
        <f ca="1">SUMIF(현금흐름!$15:$15,'A&amp;R'!L$68,현금흐름!21:21)</f>
        <v>-3345.4320492442266</v>
      </c>
      <c r="M75" s="13">
        <f ca="1">SUMIF(현금흐름!$15:$15,'A&amp;R'!M$68,현금흐름!21:21)</f>
        <v>-3345.4320492442257</v>
      </c>
      <c r="N75" s="13">
        <f ca="1">SUMIF(현금흐름!$15:$15,'A&amp;R'!N$68,현금흐름!21:21)</f>
        <v>-3345.4320492442271</v>
      </c>
      <c r="O75" s="13">
        <f ca="1">SUMIF(현금흐름!$15:$15,'A&amp;R'!O$68,현금흐름!21:21)</f>
        <v>-3320.2237159108981</v>
      </c>
      <c r="P75" s="13">
        <f ca="1">SUMIF(현금흐름!$15:$15,'A&amp;R'!P$68,현금흐름!21:21)</f>
        <v>0</v>
      </c>
      <c r="Q75" s="13">
        <f ca="1">SUMIF(현금흐름!$15:$15,'A&amp;R'!Q$68,현금흐름!21:21)</f>
        <v>0</v>
      </c>
      <c r="R75" s="13">
        <f ca="1">SUMIF(현금흐름!$15:$15,'A&amp;R'!R$68,현금흐름!21:21)</f>
        <v>0</v>
      </c>
      <c r="S75" s="13">
        <f ca="1">SUMIF(현금흐름!$15:$15,'A&amp;R'!S$68,현금흐름!21:21)</f>
        <v>0</v>
      </c>
      <c r="U75" s="13" t="s">
        <v>472</v>
      </c>
    </row>
    <row r="76" spans="2:34">
      <c r="B76" s="96" t="str">
        <f>현금흐름!C22</f>
        <v>영업현금흐름 합계</v>
      </c>
      <c r="C76" s="96"/>
      <c r="D76" s="96"/>
      <c r="E76" s="96">
        <f ca="1">SUM(E72:E75)</f>
        <v>0</v>
      </c>
      <c r="F76" s="96">
        <f t="shared" ref="F76:S76" ca="1" si="13">SUM(F72:F75)</f>
        <v>1077.4528308478116</v>
      </c>
      <c r="G76" s="96">
        <f t="shared" ca="1" si="13"/>
        <v>1604.3997161043135</v>
      </c>
      <c r="H76" s="96">
        <f t="shared" ca="1" si="13"/>
        <v>2394.3426923673451</v>
      </c>
      <c r="I76" s="96">
        <f t="shared" ca="1" si="13"/>
        <v>2481.1516397111754</v>
      </c>
      <c r="J76" s="96">
        <f t="shared" ca="1" si="13"/>
        <v>2257.8429688180645</v>
      </c>
      <c r="K76" s="96">
        <f t="shared" ca="1" si="13"/>
        <v>2762.084366486727</v>
      </c>
      <c r="L76" s="96">
        <f t="shared" ca="1" si="13"/>
        <v>3117.2988453898679</v>
      </c>
      <c r="M76" s="96">
        <f t="shared" ca="1" si="13"/>
        <v>3262.1406371145913</v>
      </c>
      <c r="N76" s="96">
        <f t="shared" ca="1" si="13"/>
        <v>3540.2622689714321</v>
      </c>
      <c r="O76" s="96">
        <f t="shared" ca="1" si="13"/>
        <v>3667.3750888389432</v>
      </c>
      <c r="P76" s="96">
        <f t="shared" ca="1" si="13"/>
        <v>0</v>
      </c>
      <c r="Q76" s="96">
        <f t="shared" ca="1" si="13"/>
        <v>0</v>
      </c>
      <c r="R76" s="96">
        <f t="shared" ca="1" si="13"/>
        <v>0</v>
      </c>
      <c r="S76" s="96">
        <f t="shared" ca="1" si="13"/>
        <v>0</v>
      </c>
      <c r="U76" s="242" t="s">
        <v>89</v>
      </c>
      <c r="V76" s="243">
        <f>Y45</f>
        <v>5</v>
      </c>
      <c r="W76" s="244" t="s">
        <v>282</v>
      </c>
      <c r="X76" s="245" t="s">
        <v>276</v>
      </c>
    </row>
    <row r="77" spans="2:34">
      <c r="U77" s="241" t="str">
        <f>AC16</f>
        <v>주차수입</v>
      </c>
      <c r="V77" s="31">
        <f>SUMIF($Y$27:$AH$27,$V$76,$Y31:$AH31)</f>
        <v>529.83018749999985</v>
      </c>
      <c r="W77" s="229">
        <f>RATE($V$76-1,0,-$Y31,$V77)</f>
        <v>2.5000000000114448E-2</v>
      </c>
      <c r="X77" s="92">
        <f>$V77*(1+$W77)</f>
        <v>543.07594218756049</v>
      </c>
    </row>
    <row r="78" spans="2:34">
      <c r="B78" s="2" t="str">
        <f>현금흐름!B24</f>
        <v>투자현금흐름</v>
      </c>
      <c r="U78" s="241" t="str">
        <f t="shared" ref="U78:U79" si="14">AC17</f>
        <v>기타수입</v>
      </c>
      <c r="V78" s="31">
        <f>SUMIF($Y$27:$AH$27,$V$76,$Y32:$AH32)</f>
        <v>200.9510794489687</v>
      </c>
      <c r="W78" s="229">
        <f>RATE($V$76-1,0,-$Y32,$V78)</f>
        <v>2.5000000000114576E-2</v>
      </c>
      <c r="X78" s="92">
        <f>$V78*(1+$W78)</f>
        <v>205.97485643521591</v>
      </c>
      <c r="AC78" s="90"/>
      <c r="AD78" s="90"/>
    </row>
    <row r="79" spans="2:34">
      <c r="B79" s="13" t="str">
        <f>현금흐름!C25</f>
        <v>자산취득</v>
      </c>
      <c r="E79" s="13">
        <f ca="1">SUMIF(현금흐름!$15:$15,'A&amp;R'!E$68,현금흐름!25:25)</f>
        <v>-258513.77317456825</v>
      </c>
      <c r="F79" s="13">
        <f ca="1">SUMIF(현금흐름!$15:$15,'A&amp;R'!F$68,현금흐름!25:25)</f>
        <v>0</v>
      </c>
      <c r="G79" s="13">
        <f ca="1">SUMIF(현금흐름!$15:$15,'A&amp;R'!G$68,현금흐름!25:25)</f>
        <v>0</v>
      </c>
      <c r="H79" s="13">
        <f ca="1">SUMIF(현금흐름!$15:$15,'A&amp;R'!H$68,현금흐름!25:25)</f>
        <v>0</v>
      </c>
      <c r="I79" s="13">
        <f ca="1">SUMIF(현금흐름!$15:$15,'A&amp;R'!I$68,현금흐름!25:25)</f>
        <v>0</v>
      </c>
      <c r="J79" s="13">
        <f ca="1">SUMIF(현금흐름!$15:$15,'A&amp;R'!J$68,현금흐름!25:25)</f>
        <v>0</v>
      </c>
      <c r="K79" s="13">
        <f ca="1">SUMIF(현금흐름!$15:$15,'A&amp;R'!K$68,현금흐름!25:25)</f>
        <v>0</v>
      </c>
      <c r="L79" s="13">
        <f ca="1">SUMIF(현금흐름!$15:$15,'A&amp;R'!L$68,현금흐름!25:25)</f>
        <v>0</v>
      </c>
      <c r="M79" s="13">
        <f ca="1">SUMIF(현금흐름!$15:$15,'A&amp;R'!M$68,현금흐름!25:25)</f>
        <v>0</v>
      </c>
      <c r="N79" s="13">
        <f ca="1">SUMIF(현금흐름!$15:$15,'A&amp;R'!N$68,현금흐름!25:25)</f>
        <v>0</v>
      </c>
      <c r="O79" s="13">
        <f ca="1">SUMIF(현금흐름!$15:$15,'A&amp;R'!O$68,현금흐름!25:25)</f>
        <v>0</v>
      </c>
      <c r="P79" s="13">
        <f ca="1">SUMIF(현금흐름!$15:$15,'A&amp;R'!P$68,현금흐름!25:25)</f>
        <v>0</v>
      </c>
      <c r="Q79" s="13">
        <f ca="1">SUMIF(현금흐름!$15:$15,'A&amp;R'!Q$68,현금흐름!25:25)</f>
        <v>0</v>
      </c>
      <c r="R79" s="13">
        <f ca="1">SUMIF(현금흐름!$15:$15,'A&amp;R'!R$68,현금흐름!25:25)</f>
        <v>0</v>
      </c>
      <c r="S79" s="13">
        <f ca="1">SUMIF(현금흐름!$15:$15,'A&amp;R'!S$68,현금흐름!25:25)</f>
        <v>0</v>
      </c>
      <c r="U79" s="241" t="str">
        <f t="shared" si="14"/>
        <v>전광판수입</v>
      </c>
      <c r="V79" s="31">
        <f>SUMIF($Y$27:$AH$27,$V$76,$Y33:$AH33)</f>
        <v>3172.5197812499987</v>
      </c>
      <c r="W79" s="229">
        <f>2.5%</f>
        <v>2.5000000000000001E-2</v>
      </c>
      <c r="X79" s="92">
        <f>$V79*(1+$W79)</f>
        <v>3251.8327757812485</v>
      </c>
    </row>
    <row r="80" spans="2:34">
      <c r="B80" s="13" t="str">
        <f>현금흐름!C26</f>
        <v>운영기간 Capex</v>
      </c>
      <c r="E80" s="13">
        <f>SUMIF(현금흐름!$15:$15,'A&amp;R'!E$68,현금흐름!26:26)</f>
        <v>0</v>
      </c>
      <c r="F80" s="13">
        <f>SUMIF(현금흐름!$15:$15,'A&amp;R'!F$68,현금흐름!26:26)</f>
        <v>0</v>
      </c>
      <c r="G80" s="13">
        <f>SUMIF(현금흐름!$15:$15,'A&amp;R'!G$68,현금흐름!26:26)</f>
        <v>0</v>
      </c>
      <c r="H80" s="13">
        <f>SUMIF(현금흐름!$15:$15,'A&amp;R'!H$68,현금흐름!26:26)</f>
        <v>0</v>
      </c>
      <c r="I80" s="13">
        <f>SUMIF(현금흐름!$15:$15,'A&amp;R'!I$68,현금흐름!26:26)</f>
        <v>0</v>
      </c>
      <c r="J80" s="13">
        <f>SUMIF(현금흐름!$15:$15,'A&amp;R'!J$68,현금흐름!26:26)</f>
        <v>0</v>
      </c>
      <c r="K80" s="13">
        <f>SUMIF(현금흐름!$15:$15,'A&amp;R'!K$68,현금흐름!26:26)</f>
        <v>0</v>
      </c>
      <c r="L80" s="13">
        <f>SUMIF(현금흐름!$15:$15,'A&amp;R'!L$68,현금흐름!26:26)</f>
        <v>0</v>
      </c>
      <c r="M80" s="13">
        <f>SUMIF(현금흐름!$15:$15,'A&amp;R'!M$68,현금흐름!26:26)</f>
        <v>0</v>
      </c>
      <c r="N80" s="13">
        <f>SUMIF(현금흐름!$15:$15,'A&amp;R'!N$68,현금흐름!26:26)</f>
        <v>0</v>
      </c>
      <c r="O80" s="13">
        <f>SUMIF(현금흐름!$15:$15,'A&amp;R'!O$68,현금흐름!26:26)</f>
        <v>0</v>
      </c>
      <c r="P80" s="13">
        <f>SUMIF(현금흐름!$15:$15,'A&amp;R'!P$68,현금흐름!26:26)</f>
        <v>0</v>
      </c>
      <c r="Q80" s="13">
        <f>SUMIF(현금흐름!$15:$15,'A&amp;R'!Q$68,현금흐름!26:26)</f>
        <v>0</v>
      </c>
      <c r="R80" s="13">
        <f>SUMIF(현금흐름!$15:$15,'A&amp;R'!R$68,현금흐름!26:26)</f>
        <v>0</v>
      </c>
      <c r="S80" s="13">
        <f>SUMIF(현금흐름!$15:$15,'A&amp;R'!S$68,현금흐름!26:26)</f>
        <v>0</v>
      </c>
      <c r="U80" s="127" t="s">
        <v>132</v>
      </c>
      <c r="V80" s="239">
        <f>SUM(V77:V79)</f>
        <v>3903.3010481989672</v>
      </c>
      <c r="W80" s="239"/>
      <c r="X80" s="240">
        <f>SUM(X77:X79)</f>
        <v>4000.8835744040248</v>
      </c>
    </row>
    <row r="81" spans="2:34">
      <c r="B81" s="13" t="str">
        <f>현금흐름!C27</f>
        <v>자산매각</v>
      </c>
      <c r="E81" s="13">
        <f ca="1">SUMIF(현금흐름!$15:$15,'A&amp;R'!E$68,현금흐름!27:27)</f>
        <v>0</v>
      </c>
      <c r="F81" s="13">
        <f ca="1">SUMIF(현금흐름!$15:$15,'A&amp;R'!F$68,현금흐름!27:27)</f>
        <v>0</v>
      </c>
      <c r="G81" s="13">
        <f ca="1">SUMIF(현금흐름!$15:$15,'A&amp;R'!G$68,현금흐름!27:27)</f>
        <v>0</v>
      </c>
      <c r="H81" s="13">
        <f ca="1">SUMIF(현금흐름!$15:$15,'A&amp;R'!H$68,현금흐름!27:27)</f>
        <v>0</v>
      </c>
      <c r="I81" s="13">
        <f ca="1">SUMIF(현금흐름!$15:$15,'A&amp;R'!I$68,현금흐름!27:27)</f>
        <v>0</v>
      </c>
      <c r="J81" s="13">
        <f ca="1">SUMIF(현금흐름!$15:$15,'A&amp;R'!J$68,현금흐름!27:27)</f>
        <v>0</v>
      </c>
      <c r="K81" s="13">
        <f ca="1">SUMIF(현금흐름!$15:$15,'A&amp;R'!K$68,현금흐름!27:27)</f>
        <v>0</v>
      </c>
      <c r="L81" s="13">
        <f ca="1">SUMIF(현금흐름!$15:$15,'A&amp;R'!L$68,현금흐름!27:27)</f>
        <v>0</v>
      </c>
      <c r="M81" s="13">
        <f ca="1">SUMIF(현금흐름!$15:$15,'A&amp;R'!M$68,현금흐름!27:27)</f>
        <v>0</v>
      </c>
      <c r="N81" s="13">
        <f ca="1">SUMIF(현금흐름!$15:$15,'A&amp;R'!N$68,현금흐름!27:27)</f>
        <v>0</v>
      </c>
      <c r="O81" s="13">
        <f ca="1">SUMIF(현금흐름!$15:$15,'A&amp;R'!O$68,현금흐름!27:27)</f>
        <v>312882.41911738407</v>
      </c>
      <c r="P81" s="13">
        <f ca="1">SUMIF(현금흐름!$15:$15,'A&amp;R'!P$68,현금흐름!27:27)</f>
        <v>0</v>
      </c>
      <c r="Q81" s="13">
        <f ca="1">SUMIF(현금흐름!$15:$15,'A&amp;R'!Q$68,현금흐름!27:27)</f>
        <v>0</v>
      </c>
      <c r="R81" s="13">
        <f ca="1">SUMIF(현금흐름!$15:$15,'A&amp;R'!R$68,현금흐름!27:27)</f>
        <v>0</v>
      </c>
      <c r="S81" s="13">
        <f ca="1">SUMIF(현금흐름!$15:$15,'A&amp;R'!S$68,현금흐름!27:27)</f>
        <v>0</v>
      </c>
    </row>
    <row r="82" spans="2:34">
      <c r="B82" s="96" t="str">
        <f>현금흐름!C28</f>
        <v>투자현금흐름 합계</v>
      </c>
      <c r="C82" s="96"/>
      <c r="D82" s="96"/>
      <c r="E82" s="96">
        <f ca="1">SUM(E79:E81)</f>
        <v>-258513.77317456825</v>
      </c>
      <c r="F82" s="96">
        <f t="shared" ref="F82:S82" ca="1" si="15">SUM(F79:F81)</f>
        <v>0</v>
      </c>
      <c r="G82" s="96">
        <f t="shared" ca="1" si="15"/>
        <v>0</v>
      </c>
      <c r="H82" s="96">
        <f t="shared" ca="1" si="15"/>
        <v>0</v>
      </c>
      <c r="I82" s="96">
        <f t="shared" ca="1" si="15"/>
        <v>0</v>
      </c>
      <c r="J82" s="96">
        <f t="shared" ca="1" si="15"/>
        <v>0</v>
      </c>
      <c r="K82" s="96">
        <f t="shared" ca="1" si="15"/>
        <v>0</v>
      </c>
      <c r="L82" s="96">
        <f t="shared" ca="1" si="15"/>
        <v>0</v>
      </c>
      <c r="M82" s="96">
        <f t="shared" ca="1" si="15"/>
        <v>0</v>
      </c>
      <c r="N82" s="96">
        <f t="shared" ca="1" si="15"/>
        <v>0</v>
      </c>
      <c r="O82" s="96">
        <f t="shared" ca="1" si="15"/>
        <v>312882.41911738407</v>
      </c>
      <c r="P82" s="96">
        <f t="shared" ca="1" si="15"/>
        <v>0</v>
      </c>
      <c r="Q82" s="96">
        <f t="shared" ca="1" si="15"/>
        <v>0</v>
      </c>
      <c r="R82" s="96">
        <f t="shared" ca="1" si="15"/>
        <v>0</v>
      </c>
      <c r="S82" s="96">
        <f t="shared" ca="1" si="15"/>
        <v>0</v>
      </c>
      <c r="U82" s="13" t="s">
        <v>281</v>
      </c>
      <c r="AD82" s="90"/>
    </row>
    <row r="83" spans="2:34">
      <c r="U83" s="242" t="s">
        <v>89</v>
      </c>
      <c r="V83" s="243">
        <f>Y45</f>
        <v>5</v>
      </c>
      <c r="W83" s="244" t="s">
        <v>282</v>
      </c>
      <c r="X83" s="245" t="s">
        <v>276</v>
      </c>
    </row>
    <row r="84" spans="2:34">
      <c r="B84" s="2" t="str">
        <f>현금흐름!B30</f>
        <v>재무현금흐름</v>
      </c>
      <c r="U84" s="241" t="str">
        <f t="shared" ref="U84:U89" si="16">$V35</f>
        <v>PM Fee</v>
      </c>
      <c r="V84" s="31">
        <f t="shared" ref="V84:V89" si="17">SUMIF($Y$27:$AH$27,$V$83,$Y35:$AH35)</f>
        <v>90.427985752035923</v>
      </c>
      <c r="W84" s="229">
        <f t="shared" ref="W84:W89" si="18">RATE($V$83-1,0,-$Y35,$V84)</f>
        <v>2.500000000011451E-2</v>
      </c>
      <c r="X84" s="92">
        <f t="shared" ref="X84:X89" si="19">$V84*(1+$W84)</f>
        <v>92.688685395847173</v>
      </c>
    </row>
    <row r="85" spans="2:34">
      <c r="B85" s="13" t="str">
        <f>현금흐름!C31</f>
        <v>자기자본 증자</v>
      </c>
      <c r="U85" s="241" t="str">
        <f t="shared" si="16"/>
        <v>FM Fee</v>
      </c>
      <c r="V85" s="31">
        <f t="shared" si="17"/>
        <v>1105.2309369693278</v>
      </c>
      <c r="W85" s="229">
        <f t="shared" si="18"/>
        <v>2.5000000000114448E-2</v>
      </c>
      <c r="X85" s="92">
        <f t="shared" si="19"/>
        <v>1132.8617103936874</v>
      </c>
    </row>
    <row r="86" spans="2:34">
      <c r="C86" s="91" t="str">
        <f>현금흐름!D32</f>
        <v>제1종수익증권</v>
      </c>
      <c r="D86" s="76"/>
      <c r="E86" s="76">
        <f>SUMIF(현금흐름!$15:$15,'A&amp;R'!E$68,현금흐름!32:32)</f>
        <v>51500</v>
      </c>
      <c r="F86" s="76">
        <f>SUMIF(현금흐름!$15:$15,'A&amp;R'!F$68,현금흐름!32:32)</f>
        <v>0</v>
      </c>
      <c r="G86" s="76">
        <f>SUMIF(현금흐름!$15:$15,'A&amp;R'!G$68,현금흐름!32:32)</f>
        <v>0</v>
      </c>
      <c r="H86" s="76">
        <f>SUMIF(현금흐름!$15:$15,'A&amp;R'!H$68,현금흐름!32:32)</f>
        <v>0</v>
      </c>
      <c r="I86" s="76">
        <f>SUMIF(현금흐름!$15:$15,'A&amp;R'!I$68,현금흐름!32:32)</f>
        <v>0</v>
      </c>
      <c r="J86" s="76">
        <f>SUMIF(현금흐름!$15:$15,'A&amp;R'!J$68,현금흐름!32:32)</f>
        <v>0</v>
      </c>
      <c r="K86" s="76">
        <f>SUMIF(현금흐름!$15:$15,'A&amp;R'!K$68,현금흐름!32:32)</f>
        <v>0</v>
      </c>
      <c r="L86" s="76">
        <f>SUMIF(현금흐름!$15:$15,'A&amp;R'!L$68,현금흐름!32:32)</f>
        <v>0</v>
      </c>
      <c r="M86" s="76">
        <f>SUMIF(현금흐름!$15:$15,'A&amp;R'!M$68,현금흐름!32:32)</f>
        <v>0</v>
      </c>
      <c r="N86" s="76">
        <f>SUMIF(현금흐름!$15:$15,'A&amp;R'!N$68,현금흐름!32:32)</f>
        <v>0</v>
      </c>
      <c r="O86" s="76">
        <f>SUMIF(현금흐름!$15:$15,'A&amp;R'!O$68,현금흐름!32:32)</f>
        <v>0</v>
      </c>
      <c r="P86" s="76">
        <f>SUMIF(현금흐름!$15:$15,'A&amp;R'!P$68,현금흐름!32:32)</f>
        <v>0</v>
      </c>
      <c r="Q86" s="76">
        <f>SUMIF(현금흐름!$15:$15,'A&amp;R'!Q$68,현금흐름!32:32)</f>
        <v>0</v>
      </c>
      <c r="R86" s="76">
        <f>SUMIF(현금흐름!$15:$15,'A&amp;R'!R$68,현금흐름!32:32)</f>
        <v>0</v>
      </c>
      <c r="S86" s="76">
        <f>SUMIF(현금흐름!$15:$15,'A&amp;R'!S$68,현금흐름!32:32)</f>
        <v>0</v>
      </c>
      <c r="U86" s="241" t="str">
        <f t="shared" si="16"/>
        <v>수도광열비</v>
      </c>
      <c r="V86" s="31">
        <f t="shared" si="17"/>
        <v>803.80431779587479</v>
      </c>
      <c r="W86" s="229">
        <f t="shared" si="18"/>
        <v>2.5000000000114576E-2</v>
      </c>
      <c r="X86" s="92">
        <f t="shared" si="19"/>
        <v>823.89942574086365</v>
      </c>
      <c r="AD86" s="90"/>
    </row>
    <row r="87" spans="2:34">
      <c r="B87" s="73"/>
      <c r="C87" s="169" t="str">
        <f>현금흐름!D33</f>
        <v>제2종수익증권</v>
      </c>
      <c r="D87" s="73"/>
      <c r="E87" s="73">
        <f>SUMIF(현금흐름!$15:$15,'A&amp;R'!E$68,현금흐름!33:33)</f>
        <v>46500</v>
      </c>
      <c r="F87" s="73">
        <f>SUMIF(현금흐름!$15:$15,'A&amp;R'!F$68,현금흐름!33:33)</f>
        <v>0</v>
      </c>
      <c r="G87" s="73">
        <f>SUMIF(현금흐름!$15:$15,'A&amp;R'!G$68,현금흐름!33:33)</f>
        <v>0</v>
      </c>
      <c r="H87" s="73">
        <f>SUMIF(현금흐름!$15:$15,'A&amp;R'!H$68,현금흐름!33:33)</f>
        <v>0</v>
      </c>
      <c r="I87" s="73">
        <f>SUMIF(현금흐름!$15:$15,'A&amp;R'!I$68,현금흐름!33:33)</f>
        <v>0</v>
      </c>
      <c r="J87" s="73">
        <f>SUMIF(현금흐름!$15:$15,'A&amp;R'!J$68,현금흐름!33:33)</f>
        <v>0</v>
      </c>
      <c r="K87" s="73">
        <f>SUMIF(현금흐름!$15:$15,'A&amp;R'!K$68,현금흐름!33:33)</f>
        <v>0</v>
      </c>
      <c r="L87" s="73">
        <f>SUMIF(현금흐름!$15:$15,'A&amp;R'!L$68,현금흐름!33:33)</f>
        <v>0</v>
      </c>
      <c r="M87" s="73">
        <f>SUMIF(현금흐름!$15:$15,'A&amp;R'!M$68,현금흐름!33:33)</f>
        <v>0</v>
      </c>
      <c r="N87" s="73">
        <f>SUMIF(현금흐름!$15:$15,'A&amp;R'!N$68,현금흐름!33:33)</f>
        <v>0</v>
      </c>
      <c r="O87" s="73">
        <f>SUMIF(현금흐름!$15:$15,'A&amp;R'!O$68,현금흐름!33:33)</f>
        <v>0</v>
      </c>
      <c r="P87" s="73">
        <f>SUMIF(현금흐름!$15:$15,'A&amp;R'!P$68,현금흐름!33:33)</f>
        <v>0</v>
      </c>
      <c r="Q87" s="73">
        <f>SUMIF(현금흐름!$15:$15,'A&amp;R'!Q$68,현금흐름!33:33)</f>
        <v>0</v>
      </c>
      <c r="R87" s="73">
        <f>SUMIF(현금흐름!$15:$15,'A&amp;R'!R$68,현금흐름!33:33)</f>
        <v>0</v>
      </c>
      <c r="S87" s="73">
        <f>SUMIF(현금흐름!$15:$15,'A&amp;R'!S$68,현금흐름!33:33)</f>
        <v>0</v>
      </c>
      <c r="U87" s="241" t="str">
        <f t="shared" si="16"/>
        <v>유지관리비</v>
      </c>
      <c r="V87" s="31">
        <f t="shared" si="17"/>
        <v>246.16507232498665</v>
      </c>
      <c r="W87" s="229">
        <v>2.5000000000000001E-2</v>
      </c>
      <c r="X87" s="92">
        <f t="shared" si="19"/>
        <v>252.31919913311131</v>
      </c>
    </row>
    <row r="88" spans="2:34">
      <c r="B88" s="13" t="str">
        <f>현금흐름!C34</f>
        <v>타인자본 조달</v>
      </c>
      <c r="U88" s="241" t="str">
        <f t="shared" si="16"/>
        <v>보험료</v>
      </c>
      <c r="V88" s="31">
        <f t="shared" si="17"/>
        <v>20.095107944896867</v>
      </c>
      <c r="W88" s="229">
        <f t="shared" si="18"/>
        <v>2.500000000011433E-2</v>
      </c>
      <c r="X88" s="92">
        <f t="shared" si="19"/>
        <v>20.597485643521583</v>
      </c>
    </row>
    <row r="89" spans="2:34">
      <c r="C89" s="91" t="str">
        <f>현금흐름!D35</f>
        <v>Tr.A 담보대출</v>
      </c>
      <c r="D89" s="76"/>
      <c r="E89" s="76">
        <f ca="1">SUMIF(현금흐름!$15:$15,'A&amp;R'!E$68,현금흐름!35:35)</f>
        <v>145594.83489206826</v>
      </c>
      <c r="F89" s="76">
        <f ca="1">SUMIF(현금흐름!$15:$15,'A&amp;R'!F$68,현금흐름!35:35)</f>
        <v>0</v>
      </c>
      <c r="G89" s="76">
        <f ca="1">SUMIF(현금흐름!$15:$15,'A&amp;R'!G$68,현금흐름!35:35)</f>
        <v>0</v>
      </c>
      <c r="H89" s="76">
        <f ca="1">SUMIF(현금흐름!$15:$15,'A&amp;R'!H$68,현금흐름!35:35)</f>
        <v>0</v>
      </c>
      <c r="I89" s="76">
        <f ca="1">SUMIF(현금흐름!$15:$15,'A&amp;R'!I$68,현금흐름!35:35)</f>
        <v>0</v>
      </c>
      <c r="J89" s="76">
        <f ca="1">SUMIF(현금흐름!$15:$15,'A&amp;R'!J$68,현금흐름!35:35)</f>
        <v>0</v>
      </c>
      <c r="K89" s="76">
        <f ca="1">SUMIF(현금흐름!$15:$15,'A&amp;R'!K$68,현금흐름!35:35)</f>
        <v>0</v>
      </c>
      <c r="L89" s="76">
        <f ca="1">SUMIF(현금흐름!$15:$15,'A&amp;R'!L$68,현금흐름!35:35)</f>
        <v>0</v>
      </c>
      <c r="M89" s="76">
        <f ca="1">SUMIF(현금흐름!$15:$15,'A&amp;R'!M$68,현금흐름!35:35)</f>
        <v>0</v>
      </c>
      <c r="N89" s="76">
        <f ca="1">SUMIF(현금흐름!$15:$15,'A&amp;R'!N$68,현금흐름!35:35)</f>
        <v>0</v>
      </c>
      <c r="O89" s="76">
        <f ca="1">SUMIF(현금흐름!$15:$15,'A&amp;R'!O$68,현금흐름!35:35)</f>
        <v>0</v>
      </c>
      <c r="P89" s="76">
        <f ca="1">SUMIF(현금흐름!$15:$15,'A&amp;R'!P$68,현금흐름!35:35)</f>
        <v>0</v>
      </c>
      <c r="Q89" s="76">
        <f ca="1">SUMIF(현금흐름!$15:$15,'A&amp;R'!Q$68,현금흐름!35:35)</f>
        <v>0</v>
      </c>
      <c r="R89" s="76">
        <f ca="1">SUMIF(현금흐름!$15:$15,'A&amp;R'!R$68,현금흐름!35:35)</f>
        <v>0</v>
      </c>
      <c r="S89" s="76">
        <f ca="1">SUMIF(현금흐름!$15:$15,'A&amp;R'!S$68,현금흐름!35:35)</f>
        <v>0</v>
      </c>
      <c r="U89" s="241" t="str">
        <f t="shared" si="16"/>
        <v>제세공과금</v>
      </c>
      <c r="V89" s="31">
        <f t="shared" si="17"/>
        <v>1302.4992109374996</v>
      </c>
      <c r="W89" s="229">
        <f t="shared" si="18"/>
        <v>2.5000000000114379E-2</v>
      </c>
      <c r="X89" s="92">
        <f t="shared" si="19"/>
        <v>1335.0616912110861</v>
      </c>
      <c r="AD89" s="246" t="s">
        <v>287</v>
      </c>
      <c r="AE89" s="141"/>
      <c r="AF89" s="141"/>
      <c r="AG89" s="141">
        <f>AH73+X80-X90</f>
        <v>14327.652645571321</v>
      </c>
      <c r="AH89" s="247" t="s">
        <v>38</v>
      </c>
    </row>
    <row r="90" spans="2:34">
      <c r="C90" s="92" t="str">
        <f>현금흐름!D36</f>
        <v>Tr.B 담보대출</v>
      </c>
      <c r="E90" s="13">
        <f>SUMIF(현금흐름!$15:$15,'A&amp;R'!E$68,현금흐름!36:36)</f>
        <v>10000</v>
      </c>
      <c r="F90" s="13">
        <f>SUMIF(현금흐름!$15:$15,'A&amp;R'!F$68,현금흐름!36:36)</f>
        <v>0</v>
      </c>
      <c r="G90" s="13">
        <f>SUMIF(현금흐름!$15:$15,'A&amp;R'!G$68,현금흐름!36:36)</f>
        <v>0</v>
      </c>
      <c r="H90" s="13">
        <f>SUMIF(현금흐름!$15:$15,'A&amp;R'!H$68,현금흐름!36:36)</f>
        <v>0</v>
      </c>
      <c r="I90" s="13">
        <f>SUMIF(현금흐름!$15:$15,'A&amp;R'!I$68,현금흐름!36:36)</f>
        <v>0</v>
      </c>
      <c r="J90" s="13">
        <f>SUMIF(현금흐름!$15:$15,'A&amp;R'!J$68,현금흐름!36:36)</f>
        <v>0</v>
      </c>
      <c r="K90" s="13">
        <f>SUMIF(현금흐름!$15:$15,'A&amp;R'!K$68,현금흐름!36:36)</f>
        <v>0</v>
      </c>
      <c r="L90" s="13">
        <f>SUMIF(현금흐름!$15:$15,'A&amp;R'!L$68,현금흐름!36:36)</f>
        <v>0</v>
      </c>
      <c r="M90" s="13">
        <f>SUMIF(현금흐름!$15:$15,'A&amp;R'!M$68,현금흐름!36:36)</f>
        <v>0</v>
      </c>
      <c r="N90" s="13">
        <f>SUMIF(현금흐름!$15:$15,'A&amp;R'!N$68,현금흐름!36:36)</f>
        <v>0</v>
      </c>
      <c r="O90" s="13">
        <f>SUMIF(현금흐름!$15:$15,'A&amp;R'!O$68,현금흐름!36:36)</f>
        <v>0</v>
      </c>
      <c r="P90" s="13">
        <f>SUMIF(현금흐름!$15:$15,'A&amp;R'!P$68,현금흐름!36:36)</f>
        <v>0</v>
      </c>
      <c r="Q90" s="13">
        <f>SUMIF(현금흐름!$15:$15,'A&amp;R'!Q$68,현금흐름!36:36)</f>
        <v>0</v>
      </c>
      <c r="R90" s="13">
        <f>SUMIF(현금흐름!$15:$15,'A&amp;R'!R$68,현금흐름!36:36)</f>
        <v>0</v>
      </c>
      <c r="S90" s="13">
        <f>SUMIF(현금흐름!$15:$15,'A&amp;R'!S$68,현금흐름!36:36)</f>
        <v>0</v>
      </c>
      <c r="U90" s="127" t="s">
        <v>132</v>
      </c>
      <c r="V90" s="239">
        <f>SUM(V84:V89)</f>
        <v>3568.2226317246214</v>
      </c>
      <c r="W90" s="239"/>
      <c r="X90" s="240">
        <f>SUM(X84:X89)</f>
        <v>3657.4281975181175</v>
      </c>
      <c r="AD90" s="248"/>
      <c r="AE90" s="251" t="s">
        <v>260</v>
      </c>
      <c r="AF90" s="251"/>
      <c r="AG90" s="252">
        <f>AG89/(AH73+X80)</f>
        <v>0.79664099208520134</v>
      </c>
      <c r="AH90" s="250"/>
    </row>
    <row r="91" spans="2:34">
      <c r="C91" s="92" t="str">
        <f>현금흐름!D37</f>
        <v>보증금</v>
      </c>
      <c r="E91" s="13">
        <f>SUMIF(현금흐름!$15:$15,'A&amp;R'!E$68,현금흐름!37:37)</f>
        <v>4918.9382825000002</v>
      </c>
      <c r="F91" s="13">
        <f>SUMIF(현금흐름!$15:$15,'A&amp;R'!F$68,현금흐름!37:37)</f>
        <v>0</v>
      </c>
      <c r="G91" s="13">
        <f>SUMIF(현금흐름!$15:$15,'A&amp;R'!G$68,현금흐름!37:37)</f>
        <v>0</v>
      </c>
      <c r="H91" s="13">
        <f>SUMIF(현금흐름!$15:$15,'A&amp;R'!H$68,현금흐름!37:37)</f>
        <v>0</v>
      </c>
      <c r="I91" s="13">
        <f>SUMIF(현금흐름!$15:$15,'A&amp;R'!I$68,현금흐름!37:37)</f>
        <v>0</v>
      </c>
      <c r="J91" s="13">
        <f>SUMIF(현금흐름!$15:$15,'A&amp;R'!J$68,현금흐름!37:37)</f>
        <v>0</v>
      </c>
      <c r="K91" s="13">
        <f>SUMIF(현금흐름!$15:$15,'A&amp;R'!K$68,현금흐름!37:37)</f>
        <v>0</v>
      </c>
      <c r="L91" s="13">
        <f>SUMIF(현금흐름!$15:$15,'A&amp;R'!L$68,현금흐름!37:37)</f>
        <v>0</v>
      </c>
      <c r="M91" s="13">
        <f>SUMIF(현금흐름!$15:$15,'A&amp;R'!M$68,현금흐름!37:37)</f>
        <v>0</v>
      </c>
      <c r="N91" s="13">
        <f>SUMIF(현금흐름!$15:$15,'A&amp;R'!N$68,현금흐름!37:37)</f>
        <v>0</v>
      </c>
      <c r="O91" s="13">
        <f>SUMIF(현금흐름!$15:$15,'A&amp;R'!O$68,현금흐름!37:37)</f>
        <v>0</v>
      </c>
      <c r="P91" s="13">
        <f>SUMIF(현금흐름!$15:$15,'A&amp;R'!P$68,현금흐름!37:37)</f>
        <v>0</v>
      </c>
      <c r="Q91" s="13">
        <f>SUMIF(현금흐름!$15:$15,'A&amp;R'!Q$68,현금흐름!37:37)</f>
        <v>0</v>
      </c>
      <c r="R91" s="13">
        <f>SUMIF(현금흐름!$15:$15,'A&amp;R'!R$68,현금흐름!37:37)</f>
        <v>0</v>
      </c>
      <c r="S91" s="13">
        <f>SUMIF(현금흐름!$15:$15,'A&amp;R'!S$68,현금흐름!37:37)</f>
        <v>0</v>
      </c>
      <c r="U91" s="2" t="s">
        <v>283</v>
      </c>
    </row>
    <row r="92" spans="2:34">
      <c r="C92" s="92" t="str">
        <f>현금흐름!D38</f>
        <v>Tr.A 리파이낸싱</v>
      </c>
      <c r="E92" s="13">
        <f ca="1">SUMIF(현금흐름!$15:$15,'A&amp;R'!E$68,현금흐름!38:38)</f>
        <v>0</v>
      </c>
      <c r="F92" s="13">
        <f ca="1">SUMIF(현금흐름!$15:$15,'A&amp;R'!F$68,현금흐름!38:38)</f>
        <v>0</v>
      </c>
      <c r="G92" s="13">
        <f ca="1">SUMIF(현금흐름!$15:$15,'A&amp;R'!G$68,현금흐름!38:38)</f>
        <v>0</v>
      </c>
      <c r="H92" s="13">
        <f ca="1">SUMIF(현금흐름!$15:$15,'A&amp;R'!H$68,현금흐름!38:38)</f>
        <v>0</v>
      </c>
      <c r="I92" s="13">
        <f ca="1">SUMIF(현금흐름!$15:$15,'A&amp;R'!I$68,현금흐름!38:38)</f>
        <v>0</v>
      </c>
      <c r="J92" s="13">
        <f ca="1">SUMIF(현금흐름!$15:$15,'A&amp;R'!J$68,현금흐름!38:38)</f>
        <v>0</v>
      </c>
      <c r="K92" s="13">
        <f ca="1">SUMIF(현금흐름!$15:$15,'A&amp;R'!K$68,현금흐름!38:38)</f>
        <v>145594.83489206826</v>
      </c>
      <c r="L92" s="13">
        <f ca="1">SUMIF(현금흐름!$15:$15,'A&amp;R'!L$68,현금흐름!38:38)</f>
        <v>0</v>
      </c>
      <c r="M92" s="13">
        <f ca="1">SUMIF(현금흐름!$15:$15,'A&amp;R'!M$68,현금흐름!38:38)</f>
        <v>0</v>
      </c>
      <c r="N92" s="13">
        <f ca="1">SUMIF(현금흐름!$15:$15,'A&amp;R'!N$68,현금흐름!38:38)</f>
        <v>0</v>
      </c>
      <c r="O92" s="13">
        <f ca="1">SUMIF(현금흐름!$15:$15,'A&amp;R'!O$68,현금흐름!38:38)</f>
        <v>0</v>
      </c>
      <c r="P92" s="13">
        <f ca="1">SUMIF(현금흐름!$15:$15,'A&amp;R'!P$68,현금흐름!38:38)</f>
        <v>0</v>
      </c>
      <c r="Q92" s="13">
        <f ca="1">SUMIF(현금흐름!$15:$15,'A&amp;R'!Q$68,현금흐름!38:38)</f>
        <v>0</v>
      </c>
      <c r="R92" s="13">
        <f ca="1">SUMIF(현금흐름!$15:$15,'A&amp;R'!R$68,현금흐름!38:38)</f>
        <v>0</v>
      </c>
      <c r="S92" s="13">
        <f ca="1">SUMIF(현금흐름!$15:$15,'A&amp;R'!S$68,현금흐름!38:38)</f>
        <v>0</v>
      </c>
      <c r="U92" s="13" t="s">
        <v>284</v>
      </c>
      <c r="W92" s="111">
        <f>$AG$110</f>
        <v>4.65E-2</v>
      </c>
    </row>
    <row r="93" spans="2:34">
      <c r="B93" s="73"/>
      <c r="C93" s="169" t="str">
        <f>현금흐름!D39</f>
        <v>Tr.B 리파이낸싱</v>
      </c>
      <c r="D93" s="73"/>
      <c r="E93" s="73">
        <f>SUMIF(현금흐름!$15:$15,'A&amp;R'!E$68,현금흐름!39:39)</f>
        <v>0</v>
      </c>
      <c r="F93" s="73">
        <f>SUMIF(현금흐름!$15:$15,'A&amp;R'!F$68,현금흐름!39:39)</f>
        <v>0</v>
      </c>
      <c r="G93" s="73">
        <f>SUMIF(현금흐름!$15:$15,'A&amp;R'!G$68,현금흐름!39:39)</f>
        <v>0</v>
      </c>
      <c r="H93" s="73">
        <f>SUMIF(현금흐름!$15:$15,'A&amp;R'!H$68,현금흐름!39:39)</f>
        <v>0</v>
      </c>
      <c r="I93" s="73">
        <f>SUMIF(현금흐름!$15:$15,'A&amp;R'!I$68,현금흐름!39:39)</f>
        <v>10000</v>
      </c>
      <c r="J93" s="73">
        <f>SUMIF(현금흐름!$15:$15,'A&amp;R'!J$68,현금흐름!39:39)</f>
        <v>0</v>
      </c>
      <c r="K93" s="73">
        <f>SUMIF(현금흐름!$15:$15,'A&amp;R'!K$68,현금흐름!39:39)</f>
        <v>0</v>
      </c>
      <c r="L93" s="73">
        <f>SUMIF(현금흐름!$15:$15,'A&amp;R'!L$68,현금흐름!39:39)</f>
        <v>0</v>
      </c>
      <c r="M93" s="73">
        <f>SUMIF(현금흐름!$15:$15,'A&amp;R'!M$68,현금흐름!39:39)</f>
        <v>0</v>
      </c>
      <c r="N93" s="73">
        <f>SUMIF(현금흐름!$15:$15,'A&amp;R'!N$68,현금흐름!39:39)</f>
        <v>0</v>
      </c>
      <c r="O93" s="73">
        <f>SUMIF(현금흐름!$15:$15,'A&amp;R'!O$68,현금흐름!39:39)</f>
        <v>0</v>
      </c>
      <c r="P93" s="73">
        <f>SUMIF(현금흐름!$15:$15,'A&amp;R'!P$68,현금흐름!39:39)</f>
        <v>0</v>
      </c>
      <c r="Q93" s="73">
        <f>SUMIF(현금흐름!$15:$15,'A&amp;R'!Q$68,현금흐름!39:39)</f>
        <v>0</v>
      </c>
      <c r="R93" s="73">
        <f>SUMIF(현금흐름!$15:$15,'A&amp;R'!R$68,현금흐름!39:39)</f>
        <v>0</v>
      </c>
      <c r="S93" s="73">
        <f>SUMIF(현금흐름!$15:$15,'A&amp;R'!S$68,현금흐름!39:39)</f>
        <v>0</v>
      </c>
      <c r="U93" s="13" t="s">
        <v>285</v>
      </c>
      <c r="W93" s="13">
        <f>Rentroll!Y63</f>
        <v>7940.6602673527777</v>
      </c>
      <c r="AD93" s="246" t="s">
        <v>288</v>
      </c>
      <c r="AE93" s="141"/>
      <c r="AF93" s="141"/>
      <c r="AG93" s="141">
        <f>AG89/W92+W93</f>
        <v>316062.22253770375</v>
      </c>
      <c r="AH93" s="247" t="s">
        <v>38</v>
      </c>
    </row>
    <row r="94" spans="2:34">
      <c r="B94" s="13" t="str">
        <f>현금흐름!C40</f>
        <v>자기자본 감자</v>
      </c>
      <c r="U94" s="13" t="s">
        <v>286</v>
      </c>
      <c r="AD94" s="248"/>
      <c r="AE94" s="251" t="s">
        <v>289</v>
      </c>
      <c r="AF94" s="251"/>
      <c r="AG94" s="316">
        <f>AG93/M20</f>
        <v>41.666685018067888</v>
      </c>
      <c r="AH94" s="253" t="s">
        <v>133</v>
      </c>
    </row>
    <row r="95" spans="2:34">
      <c r="C95" s="91" t="str">
        <f>현금흐름!D41</f>
        <v>제1종수익증권</v>
      </c>
      <c r="D95" s="76"/>
      <c r="E95" s="76">
        <f>SUMIF(현금흐름!$15:$15,'A&amp;R'!E$68,현금흐름!41:41)</f>
        <v>0</v>
      </c>
      <c r="F95" s="76">
        <f ca="1">SUMIF(현금흐름!$15:$15,'A&amp;R'!F$68,현금흐름!41:41)</f>
        <v>0</v>
      </c>
      <c r="G95" s="76">
        <f ca="1">SUMIF(현금흐름!$15:$15,'A&amp;R'!G$68,현금흐름!41:41)</f>
        <v>0</v>
      </c>
      <c r="H95" s="76">
        <f ca="1">SUMIF(현금흐름!$15:$15,'A&amp;R'!H$68,현금흐름!41:41)</f>
        <v>0</v>
      </c>
      <c r="I95" s="76">
        <f ca="1">SUMIF(현금흐름!$15:$15,'A&amp;R'!I$68,현금흐름!41:41)</f>
        <v>0</v>
      </c>
      <c r="J95" s="76">
        <f ca="1">SUMIF(현금흐름!$15:$15,'A&amp;R'!J$68,현금흐름!41:41)</f>
        <v>0</v>
      </c>
      <c r="K95" s="76">
        <f ca="1">SUMIF(현금흐름!$15:$15,'A&amp;R'!K$68,현금흐름!41:41)</f>
        <v>0</v>
      </c>
      <c r="L95" s="76">
        <f ca="1">SUMIF(현금흐름!$15:$15,'A&amp;R'!L$68,현금흐름!41:41)</f>
        <v>0</v>
      </c>
      <c r="M95" s="76">
        <f ca="1">SUMIF(현금흐름!$15:$15,'A&amp;R'!M$68,현금흐름!41:41)</f>
        <v>0</v>
      </c>
      <c r="N95" s="76">
        <f ca="1">SUMIF(현금흐름!$15:$15,'A&amp;R'!N$68,현금흐름!41:41)</f>
        <v>0</v>
      </c>
      <c r="O95" s="76">
        <f ca="1">SUMIF(현금흐름!$15:$15,'A&amp;R'!O$68,현금흐름!41:41)</f>
        <v>-51500</v>
      </c>
      <c r="P95" s="76">
        <f ca="1">SUMIF(현금흐름!$15:$15,'A&amp;R'!P$68,현금흐름!41:41)</f>
        <v>0</v>
      </c>
      <c r="Q95" s="76">
        <f ca="1">SUMIF(현금흐름!$15:$15,'A&amp;R'!Q$68,현금흐름!41:41)</f>
        <v>0</v>
      </c>
      <c r="R95" s="76">
        <f ca="1">SUMIF(현금흐름!$15:$15,'A&amp;R'!R$68,현금흐름!41:41)</f>
        <v>0</v>
      </c>
      <c r="S95" s="76">
        <f ca="1">SUMIF(현금흐름!$15:$15,'A&amp;R'!S$68,현금흐름!41:41)</f>
        <v>0</v>
      </c>
      <c r="U95" s="2" t="s">
        <v>290</v>
      </c>
    </row>
    <row r="96" spans="2:34">
      <c r="B96" s="271"/>
      <c r="C96" s="169" t="str">
        <f>현금흐름!D42</f>
        <v>제2종수익증권</v>
      </c>
      <c r="D96" s="73"/>
      <c r="E96" s="73">
        <f>SUMIF(현금흐름!$15:$15,'A&amp;R'!E$68,현금흐름!42:42)</f>
        <v>0</v>
      </c>
      <c r="F96" s="73">
        <f ca="1">SUMIF(현금흐름!$15:$15,'A&amp;R'!F$68,현금흐름!42:42)</f>
        <v>0</v>
      </c>
      <c r="G96" s="73">
        <f ca="1">SUMIF(현금흐름!$15:$15,'A&amp;R'!G$68,현금흐름!42:42)</f>
        <v>0</v>
      </c>
      <c r="H96" s="73">
        <f ca="1">SUMIF(현금흐름!$15:$15,'A&amp;R'!H$68,현금흐름!42:42)</f>
        <v>0</v>
      </c>
      <c r="I96" s="73">
        <f ca="1">SUMIF(현금흐름!$15:$15,'A&amp;R'!I$68,현금흐름!42:42)</f>
        <v>0</v>
      </c>
      <c r="J96" s="73">
        <f ca="1">SUMIF(현금흐름!$15:$15,'A&amp;R'!J$68,현금흐름!42:42)</f>
        <v>0</v>
      </c>
      <c r="K96" s="73">
        <f ca="1">SUMIF(현금흐름!$15:$15,'A&amp;R'!K$68,현금흐름!42:42)</f>
        <v>0</v>
      </c>
      <c r="L96" s="73">
        <f ca="1">SUMIF(현금흐름!$15:$15,'A&amp;R'!L$68,현금흐름!42:42)</f>
        <v>0</v>
      </c>
      <c r="M96" s="73">
        <f ca="1">SUMIF(현금흐름!$15:$15,'A&amp;R'!M$68,현금흐름!42:42)</f>
        <v>0</v>
      </c>
      <c r="N96" s="73">
        <f ca="1">SUMIF(현금흐름!$15:$15,'A&amp;R'!N$68,현금흐름!42:42)</f>
        <v>0</v>
      </c>
      <c r="O96" s="73">
        <f ca="1">SUMIF(현금흐름!$15:$15,'A&amp;R'!O$68,현금흐름!42:42)</f>
        <v>-46499.999999999985</v>
      </c>
      <c r="P96" s="73">
        <f ca="1">SUMIF(현금흐름!$15:$15,'A&amp;R'!P$68,현금흐름!42:42)</f>
        <v>0</v>
      </c>
      <c r="Q96" s="73">
        <f ca="1">SUMIF(현금흐름!$15:$15,'A&amp;R'!Q$68,현금흐름!42:42)</f>
        <v>0</v>
      </c>
      <c r="R96" s="73">
        <f ca="1">SUMIF(현금흐름!$15:$15,'A&amp;R'!R$68,현금흐름!42:42)</f>
        <v>0</v>
      </c>
      <c r="S96" s="73">
        <f ca="1">SUMIF(현금흐름!$15:$15,'A&amp;R'!S$68,현금흐름!42:42)</f>
        <v>0</v>
      </c>
      <c r="U96" s="13" t="s">
        <v>291</v>
      </c>
    </row>
    <row r="97" spans="2:34">
      <c r="B97" s="13" t="str">
        <f>현금흐름!C43</f>
        <v>타인자본 상환</v>
      </c>
      <c r="V97" s="13" t="s">
        <v>295</v>
      </c>
      <c r="X97" s="13" t="s">
        <v>293</v>
      </c>
      <c r="AA97" s="111">
        <v>3.0000000000000001E-3</v>
      </c>
      <c r="AB97" s="13">
        <f>AG93*AA97</f>
        <v>948.18666761311124</v>
      </c>
      <c r="AC97" s="13" t="s">
        <v>38</v>
      </c>
    </row>
    <row r="98" spans="2:34">
      <c r="C98" s="91" t="str">
        <f>현금흐름!D44</f>
        <v>Tr.A 담보대출</v>
      </c>
      <c r="D98" s="76"/>
      <c r="E98" s="76">
        <f ca="1">SUMIF(현금흐름!$15:$15,'A&amp;R'!E$68,현금흐름!44:44)</f>
        <v>0</v>
      </c>
      <c r="F98" s="76">
        <f ca="1">SUMIF(현금흐름!$15:$15,'A&amp;R'!F$68,현금흐름!44:44)</f>
        <v>0</v>
      </c>
      <c r="G98" s="76">
        <f ca="1">SUMIF(현금흐름!$15:$15,'A&amp;R'!G$68,현금흐름!44:44)</f>
        <v>0</v>
      </c>
      <c r="H98" s="76">
        <f ca="1">SUMIF(현금흐름!$15:$15,'A&amp;R'!H$68,현금흐름!44:44)</f>
        <v>0</v>
      </c>
      <c r="I98" s="76">
        <f ca="1">SUMIF(현금흐름!$15:$15,'A&amp;R'!I$68,현금흐름!44:44)</f>
        <v>0</v>
      </c>
      <c r="J98" s="76">
        <f ca="1">SUMIF(현금흐름!$15:$15,'A&amp;R'!J$68,현금흐름!44:44)</f>
        <v>0</v>
      </c>
      <c r="K98" s="76">
        <f ca="1">SUMIF(현금흐름!$15:$15,'A&amp;R'!K$68,현금흐름!44:44)</f>
        <v>-145594.83489206826</v>
      </c>
      <c r="L98" s="76">
        <f ca="1">SUMIF(현금흐름!$15:$15,'A&amp;R'!L$68,현금흐름!44:44)</f>
        <v>0</v>
      </c>
      <c r="M98" s="76">
        <f ca="1">SUMIF(현금흐름!$15:$15,'A&amp;R'!M$68,현금흐름!44:44)</f>
        <v>0</v>
      </c>
      <c r="N98" s="76">
        <f ca="1">SUMIF(현금흐름!$15:$15,'A&amp;R'!N$68,현금흐름!44:44)</f>
        <v>0</v>
      </c>
      <c r="O98" s="76">
        <f ca="1">SUMIF(현금흐름!$15:$15,'A&amp;R'!O$68,현금흐름!44:44)</f>
        <v>0</v>
      </c>
      <c r="P98" s="76">
        <f ca="1">SUMIF(현금흐름!$15:$15,'A&amp;R'!P$68,현금흐름!44:44)</f>
        <v>0</v>
      </c>
      <c r="Q98" s="76">
        <f ca="1">SUMIF(현금흐름!$15:$15,'A&amp;R'!Q$68,현금흐름!44:44)</f>
        <v>0</v>
      </c>
      <c r="R98" s="76">
        <f ca="1">SUMIF(현금흐름!$15:$15,'A&amp;R'!R$68,현금흐름!44:44)</f>
        <v>0</v>
      </c>
      <c r="S98" s="76">
        <f ca="1">SUMIF(현금흐름!$15:$15,'A&amp;R'!S$68,현금흐름!44:44)</f>
        <v>0</v>
      </c>
      <c r="V98" s="13" t="s">
        <v>292</v>
      </c>
      <c r="X98" s="13" t="s">
        <v>293</v>
      </c>
      <c r="AA98" s="111">
        <v>5.0000000000000001E-3</v>
      </c>
      <c r="AB98" s="13">
        <f>AG93*AA98</f>
        <v>1580.3111126885187</v>
      </c>
      <c r="AC98" s="13" t="s">
        <v>38</v>
      </c>
    </row>
    <row r="99" spans="2:34" ht="17">
      <c r="C99" s="92" t="str">
        <f>현금흐름!D45</f>
        <v>Tr.B 담보대출</v>
      </c>
      <c r="E99" s="13">
        <f>SUMIF(현금흐름!$15:$15,'A&amp;R'!E$68,현금흐름!45:45)</f>
        <v>0</v>
      </c>
      <c r="F99" s="13">
        <f>SUMIF(현금흐름!$15:$15,'A&amp;R'!F$68,현금흐름!45:45)</f>
        <v>0</v>
      </c>
      <c r="G99" s="13">
        <f>SUMIF(현금흐름!$15:$15,'A&amp;R'!G$68,현금흐름!45:45)</f>
        <v>0</v>
      </c>
      <c r="H99" s="13">
        <f>SUMIF(현금흐름!$15:$15,'A&amp;R'!H$68,현금흐름!45:45)</f>
        <v>0</v>
      </c>
      <c r="I99" s="13">
        <f>SUMIF(현금흐름!$15:$15,'A&amp;R'!I$68,현금흐름!45:45)</f>
        <v>-10000</v>
      </c>
      <c r="J99" s="13">
        <f>SUMIF(현금흐름!$15:$15,'A&amp;R'!J$68,현금흐름!45:45)</f>
        <v>0</v>
      </c>
      <c r="K99" s="13">
        <f>SUMIF(현금흐름!$15:$15,'A&amp;R'!K$68,현금흐름!45:45)</f>
        <v>0</v>
      </c>
      <c r="L99" s="13">
        <f>SUMIF(현금흐름!$15:$15,'A&amp;R'!L$68,현금흐름!45:45)</f>
        <v>0</v>
      </c>
      <c r="M99" s="13">
        <f>SUMIF(현금흐름!$15:$15,'A&amp;R'!M$68,현금흐름!45:45)</f>
        <v>0</v>
      </c>
      <c r="N99" s="13">
        <f>SUMIF(현금흐름!$15:$15,'A&amp;R'!N$68,현금흐름!45:45)</f>
        <v>0</v>
      </c>
      <c r="O99" s="13">
        <f>SUMIF(현금흐름!$15:$15,'A&amp;R'!O$68,현금흐름!45:45)</f>
        <v>0</v>
      </c>
      <c r="P99" s="13">
        <f>SUMIF(현금흐름!$15:$15,'A&amp;R'!P$68,현금흐름!45:45)</f>
        <v>0</v>
      </c>
      <c r="Q99" s="13">
        <f>SUMIF(현금흐름!$15:$15,'A&amp;R'!Q$68,현금흐름!45:45)</f>
        <v>0</v>
      </c>
      <c r="R99" s="13">
        <f>SUMIF(현금흐름!$15:$15,'A&amp;R'!R$68,현금흐름!45:45)</f>
        <v>0</v>
      </c>
      <c r="S99" s="13">
        <f>SUMIF(현금흐름!$15:$15,'A&amp;R'!S$68,현금흐름!45:45)</f>
        <v>0</v>
      </c>
      <c r="V99" s="73" t="s">
        <v>477</v>
      </c>
      <c r="W99" s="73"/>
      <c r="X99" s="73" t="s">
        <v>294</v>
      </c>
      <c r="Y99" s="87">
        <f ca="1">MAX((E141-AG99)/AG99,0)</f>
        <v>6.6552414613611693E-2</v>
      </c>
      <c r="Z99" s="73" t="s">
        <v>461</v>
      </c>
      <c r="AA99" s="254">
        <v>0.2</v>
      </c>
      <c r="AB99" s="73">
        <f ca="1">MAX(AG104*Y99*AA99,0)</f>
        <v>651.30564001804839</v>
      </c>
      <c r="AC99" s="73" t="s">
        <v>38</v>
      </c>
      <c r="AD99" s="13" t="s">
        <v>462</v>
      </c>
      <c r="AF99" s="20" t="s">
        <v>296</v>
      </c>
      <c r="AG99" s="111">
        <v>0.17</v>
      </c>
    </row>
    <row r="100" spans="2:34">
      <c r="C100" s="92" t="str">
        <f>현금흐름!D46</f>
        <v>보증금</v>
      </c>
      <c r="E100" s="13">
        <f>SUMIF(현금흐름!$15:$15,'A&amp;R'!E$68,현금흐름!46:46)</f>
        <v>0</v>
      </c>
      <c r="F100" s="13">
        <f>SUMIF(현금흐름!$15:$15,'A&amp;R'!F$68,현금흐름!46:46)</f>
        <v>2073.9984127500002</v>
      </c>
      <c r="G100" s="13">
        <f>SUMIF(현금흐름!$15:$15,'A&amp;R'!G$68,현금흐름!46:46)</f>
        <v>385.47054699999899</v>
      </c>
      <c r="H100" s="13">
        <f>SUMIF(현금흐름!$15:$15,'A&amp;R'!H$68,현금흐름!46:46)</f>
        <v>0</v>
      </c>
      <c r="I100" s="13">
        <f>SUMIF(현금흐름!$15:$15,'A&amp;R'!I$68,현금흐름!46:46)</f>
        <v>0</v>
      </c>
      <c r="J100" s="13">
        <f>SUMIF(현금흐름!$15:$15,'A&amp;R'!J$68,현금흐름!46:46)</f>
        <v>229.41510403886332</v>
      </c>
      <c r="K100" s="13">
        <f>SUMIF(현금흐름!$15:$15,'A&amp;R'!K$68,현금흐름!46:46)</f>
        <v>94.195716308787269</v>
      </c>
      <c r="L100" s="13">
        <f>SUMIF(현금흐름!$15:$15,'A&amp;R'!L$68,현금흐름!46:46)</f>
        <v>105.1738035739545</v>
      </c>
      <c r="M100" s="13">
        <f>SUMIF(현금흐름!$15:$15,'A&amp;R'!M$68,현금흐름!46:46)</f>
        <v>0</v>
      </c>
      <c r="N100" s="13">
        <f>SUMIF(현금흐름!$15:$15,'A&amp;R'!N$68,현금흐름!46:46)</f>
        <v>133.46840118117325</v>
      </c>
      <c r="O100" s="13">
        <f>SUMIF(현금흐름!$15:$15,'A&amp;R'!O$68,현금흐름!46:46)</f>
        <v>-7940.6602673527777</v>
      </c>
      <c r="P100" s="13">
        <f>SUMIF(현금흐름!$15:$15,'A&amp;R'!P$68,현금흐름!46:46)</f>
        <v>0</v>
      </c>
      <c r="Q100" s="13">
        <f>SUMIF(현금흐름!$15:$15,'A&amp;R'!Q$68,현금흐름!46:46)</f>
        <v>0</v>
      </c>
      <c r="R100" s="13">
        <f>SUMIF(현금흐름!$15:$15,'A&amp;R'!R$68,현금흐름!46:46)</f>
        <v>0</v>
      </c>
      <c r="S100" s="13">
        <f>SUMIF(현금흐름!$15:$15,'A&amp;R'!S$68,현금흐름!46:46)</f>
        <v>0</v>
      </c>
      <c r="V100" s="13" t="s">
        <v>146</v>
      </c>
      <c r="AB100" s="13">
        <f ca="1">SUM(AB97:AB99)</f>
        <v>3179.8034203196785</v>
      </c>
      <c r="AC100" s="13" t="s">
        <v>38</v>
      </c>
    </row>
    <row r="101" spans="2:34">
      <c r="C101" s="92" t="str">
        <f>현금흐름!D47</f>
        <v>Tr.A 리파이낸싱</v>
      </c>
      <c r="E101" s="13">
        <f ca="1">SUMIF(현금흐름!$15:$15,'A&amp;R'!E$68,현금흐름!47:47)</f>
        <v>0</v>
      </c>
      <c r="F101" s="13">
        <f ca="1">SUMIF(현금흐름!$15:$15,'A&amp;R'!F$68,현금흐름!47:47)</f>
        <v>0</v>
      </c>
      <c r="G101" s="13">
        <f ca="1">SUMIF(현금흐름!$15:$15,'A&amp;R'!G$68,현금흐름!47:47)</f>
        <v>0</v>
      </c>
      <c r="H101" s="13">
        <f ca="1">SUMIF(현금흐름!$15:$15,'A&amp;R'!H$68,현금흐름!47:47)</f>
        <v>0</v>
      </c>
      <c r="I101" s="13">
        <f ca="1">SUMIF(현금흐름!$15:$15,'A&amp;R'!I$68,현금흐름!47:47)</f>
        <v>0</v>
      </c>
      <c r="J101" s="13">
        <f ca="1">SUMIF(현금흐름!$15:$15,'A&amp;R'!J$68,현금흐름!47:47)</f>
        <v>0</v>
      </c>
      <c r="K101" s="13">
        <f ca="1">SUMIF(현금흐름!$15:$15,'A&amp;R'!K$68,현금흐름!47:47)</f>
        <v>0</v>
      </c>
      <c r="L101" s="13">
        <f ca="1">SUMIF(현금흐름!$15:$15,'A&amp;R'!L$68,현금흐름!47:47)</f>
        <v>0</v>
      </c>
      <c r="M101" s="13">
        <f ca="1">SUMIF(현금흐름!$15:$15,'A&amp;R'!M$68,현금흐름!47:47)</f>
        <v>0</v>
      </c>
      <c r="N101" s="13">
        <f ca="1">SUMIF(현금흐름!$15:$15,'A&amp;R'!N$68,현금흐름!47:47)</f>
        <v>0</v>
      </c>
      <c r="O101" s="13">
        <f ca="1">SUMIF(현금흐름!$15:$15,'A&amp;R'!O$68,현금흐름!47:47)</f>
        <v>-145594.83489206826</v>
      </c>
      <c r="P101" s="13">
        <f ca="1">SUMIF(현금흐름!$15:$15,'A&amp;R'!P$68,현금흐름!47:47)</f>
        <v>0</v>
      </c>
      <c r="Q101" s="13">
        <f ca="1">SUMIF(현금흐름!$15:$15,'A&amp;R'!Q$68,현금흐름!47:47)</f>
        <v>0</v>
      </c>
      <c r="R101" s="13">
        <f ca="1">SUMIF(현금흐름!$15:$15,'A&amp;R'!R$68,현금흐름!47:47)</f>
        <v>0</v>
      </c>
      <c r="S101" s="13">
        <f ca="1">SUMIF(현금흐름!$15:$15,'A&amp;R'!S$68,현금흐름!47:47)</f>
        <v>0</v>
      </c>
      <c r="U101" s="13" t="s">
        <v>297</v>
      </c>
      <c r="W101" s="13" t="s">
        <v>298</v>
      </c>
      <c r="AD101" s="257" t="s">
        <v>301</v>
      </c>
      <c r="AE101" s="258"/>
      <c r="AF101" s="258"/>
      <c r="AG101" s="258">
        <f ca="1">AG93-AB100</f>
        <v>312882.41911738407</v>
      </c>
      <c r="AH101" s="259" t="s">
        <v>38</v>
      </c>
    </row>
    <row r="102" spans="2:34">
      <c r="B102" s="73"/>
      <c r="C102" s="169" t="str">
        <f>현금흐름!D48</f>
        <v>Tr.B 리파이낸싱</v>
      </c>
      <c r="D102" s="73"/>
      <c r="E102" s="73">
        <f>SUMIF(현금흐름!$15:$15,'A&amp;R'!E$68,현금흐름!48:48)</f>
        <v>0</v>
      </c>
      <c r="F102" s="73">
        <f>SUMIF(현금흐름!$15:$15,'A&amp;R'!F$68,현금흐름!48:48)</f>
        <v>0</v>
      </c>
      <c r="G102" s="73">
        <f>SUMIF(현금흐름!$15:$15,'A&amp;R'!G$68,현금흐름!48:48)</f>
        <v>0</v>
      </c>
      <c r="H102" s="73">
        <f>SUMIF(현금흐름!$15:$15,'A&amp;R'!H$68,현금흐름!48:48)</f>
        <v>0</v>
      </c>
      <c r="I102" s="73">
        <f>SUMIF(현금흐름!$15:$15,'A&amp;R'!I$68,현금흐름!48:48)</f>
        <v>0</v>
      </c>
      <c r="J102" s="73">
        <f>SUMIF(현금흐름!$15:$15,'A&amp;R'!J$68,현금흐름!48:48)</f>
        <v>0</v>
      </c>
      <c r="K102" s="73">
        <f>SUMIF(현금흐름!$15:$15,'A&amp;R'!K$68,현금흐름!48:48)</f>
        <v>0</v>
      </c>
      <c r="L102" s="73">
        <f>SUMIF(현금흐름!$15:$15,'A&amp;R'!L$68,현금흐름!48:48)</f>
        <v>0</v>
      </c>
      <c r="M102" s="73">
        <f>SUMIF(현금흐름!$15:$15,'A&amp;R'!M$68,현금흐름!48:48)</f>
        <v>0</v>
      </c>
      <c r="N102" s="73">
        <f>SUMIF(현금흐름!$15:$15,'A&amp;R'!N$68,현금흐름!48:48)</f>
        <v>0</v>
      </c>
      <c r="O102" s="73">
        <f>SUMIF(현금흐름!$15:$15,'A&amp;R'!O$68,현금흐름!48:48)</f>
        <v>-10000</v>
      </c>
      <c r="P102" s="73">
        <f>SUMIF(현금흐름!$15:$15,'A&amp;R'!P$68,현금흐름!48:48)</f>
        <v>0</v>
      </c>
      <c r="Q102" s="73">
        <f>SUMIF(현금흐름!$15:$15,'A&amp;R'!Q$68,현금흐름!48:48)</f>
        <v>0</v>
      </c>
      <c r="R102" s="73">
        <f>SUMIF(현금흐름!$15:$15,'A&amp;R'!R$68,현금흐름!48:48)</f>
        <v>0</v>
      </c>
      <c r="S102" s="73">
        <f>SUMIF(현금흐름!$15:$15,'A&amp;R'!S$68,현금흐름!48:48)</f>
        <v>0</v>
      </c>
      <c r="U102" s="2" t="s">
        <v>299</v>
      </c>
      <c r="AD102" s="255" t="s">
        <v>302</v>
      </c>
      <c r="AG102" s="13">
        <f ca="1">AG101-$E$43</f>
        <v>54368.645942815812</v>
      </c>
      <c r="AH102" s="256" t="s">
        <v>38</v>
      </c>
    </row>
    <row r="103" spans="2:34">
      <c r="B103" s="75" t="str">
        <f>현금흐름!C49</f>
        <v>한도대출</v>
      </c>
      <c r="C103" s="75"/>
      <c r="D103" s="75"/>
      <c r="E103" s="75">
        <f>SUMIF(현금흐름!$15:$15,'A&amp;R'!E$68,현금흐름!49:49)</f>
        <v>0</v>
      </c>
      <c r="F103" s="75">
        <f>SUMIF(현금흐름!$15:$15,'A&amp;R'!F$68,현금흐름!49:49)</f>
        <v>0</v>
      </c>
      <c r="G103" s="75">
        <f>SUMIF(현금흐름!$15:$15,'A&amp;R'!G$68,현금흐름!49:49)</f>
        <v>0</v>
      </c>
      <c r="H103" s="75">
        <f>SUMIF(현금흐름!$15:$15,'A&amp;R'!H$68,현금흐름!49:49)</f>
        <v>0</v>
      </c>
      <c r="I103" s="75">
        <f>SUMIF(현금흐름!$15:$15,'A&amp;R'!I$68,현금흐름!49:49)</f>
        <v>0</v>
      </c>
      <c r="J103" s="75">
        <f>SUMIF(현금흐름!$15:$15,'A&amp;R'!J$68,현금흐름!49:49)</f>
        <v>0</v>
      </c>
      <c r="K103" s="75">
        <f>SUMIF(현금흐름!$15:$15,'A&amp;R'!K$68,현금흐름!49:49)</f>
        <v>0</v>
      </c>
      <c r="L103" s="75">
        <f>SUMIF(현금흐름!$15:$15,'A&amp;R'!L$68,현금흐름!49:49)</f>
        <v>0</v>
      </c>
      <c r="M103" s="75">
        <f>SUMIF(현금흐름!$15:$15,'A&amp;R'!M$68,현금흐름!49:49)</f>
        <v>0</v>
      </c>
      <c r="N103" s="75">
        <f>SUMIF(현금흐름!$15:$15,'A&amp;R'!N$68,현금흐름!49:49)</f>
        <v>0</v>
      </c>
      <c r="O103" s="75">
        <f>SUMIF(현금흐름!$15:$15,'A&amp;R'!O$68,현금흐름!49:49)</f>
        <v>0</v>
      </c>
      <c r="P103" s="75">
        <f>SUMIF(현금흐름!$15:$15,'A&amp;R'!P$68,현금흐름!49:49)</f>
        <v>0</v>
      </c>
      <c r="Q103" s="75">
        <f>SUMIF(현금흐름!$15:$15,'A&amp;R'!Q$68,현금흐름!49:49)</f>
        <v>0</v>
      </c>
      <c r="R103" s="75">
        <f>SUMIF(현금흐름!$15:$15,'A&amp;R'!R$68,현금흐름!49:49)</f>
        <v>0</v>
      </c>
      <c r="S103" s="75">
        <f>SUMIF(현금흐름!$15:$15,'A&amp;R'!S$68,현금흐름!49:49)</f>
        <v>0</v>
      </c>
      <c r="V103" s="13" t="s">
        <v>300</v>
      </c>
      <c r="AD103" s="255"/>
      <c r="AE103" s="261" t="s">
        <v>140</v>
      </c>
      <c r="AF103" s="269">
        <f>H48</f>
        <v>0.1</v>
      </c>
      <c r="AG103" s="76">
        <f ca="1">MAX(AG102*AF103,0)</f>
        <v>5436.864594281582</v>
      </c>
      <c r="AH103" s="260" t="s">
        <v>38</v>
      </c>
    </row>
    <row r="104" spans="2:34">
      <c r="B104" s="13" t="str">
        <f>현금흐름!C50</f>
        <v>운영배당</v>
      </c>
      <c r="AD104" s="248"/>
      <c r="AE104" s="262" t="s">
        <v>141</v>
      </c>
      <c r="AF104" s="249"/>
      <c r="AG104" s="249">
        <f ca="1">MAX(AG102-AG103,0)</f>
        <v>48931.781348534234</v>
      </c>
      <c r="AH104" s="250" t="s">
        <v>38</v>
      </c>
    </row>
    <row r="105" spans="2:34">
      <c r="C105" s="91" t="str">
        <f>현금흐름!D51</f>
        <v>제1종수익증권</v>
      </c>
      <c r="D105" s="76"/>
      <c r="E105" s="76">
        <f>SUMIF(현금흐름!$15:$15,'A&amp;R'!E$68,현금흐름!51:51)</f>
        <v>0</v>
      </c>
      <c r="F105" s="76">
        <f ca="1">SUMIF(현금흐름!$15:$15,'A&amp;R'!F$68,현금흐름!51:51)</f>
        <v>-1077.4528308478116</v>
      </c>
      <c r="G105" s="76">
        <f ca="1">SUMIF(현금흐름!$15:$15,'A&amp;R'!G$68,현금흐름!51:51)</f>
        <v>-1604.3997161043135</v>
      </c>
      <c r="H105" s="76">
        <f ca="1">SUMIF(현금흐름!$15:$15,'A&amp;R'!H$68,현금흐름!51:51)</f>
        <v>-2339.3974530478749</v>
      </c>
      <c r="I105" s="76">
        <f ca="1">SUMIF(현금흐름!$15:$15,'A&amp;R'!I$68,현금흐름!51:51)</f>
        <v>-1673.75</v>
      </c>
      <c r="J105" s="76">
        <f ca="1">SUMIF(현금흐름!$15:$15,'A&amp;R'!J$68,현금흐름!51:51)</f>
        <v>-1673.75</v>
      </c>
      <c r="K105" s="76">
        <f ca="1">SUMIF(현금흐름!$15:$15,'A&amp;R'!K$68,현금흐름!51:51)</f>
        <v>-1673.75</v>
      </c>
      <c r="L105" s="76">
        <f ca="1">SUMIF(현금흐름!$15:$15,'A&amp;R'!L$68,현금흐름!51:51)</f>
        <v>-1673.75</v>
      </c>
      <c r="M105" s="76">
        <f ca="1">SUMIF(현금흐름!$15:$15,'A&amp;R'!M$68,현금흐름!51:51)</f>
        <v>-1673.75</v>
      </c>
      <c r="N105" s="76">
        <f ca="1">SUMIF(현금흐름!$15:$15,'A&amp;R'!N$68,현금흐름!51:51)</f>
        <v>-1673.75</v>
      </c>
      <c r="O105" s="76">
        <f ca="1">SUMIF(현금흐름!$15:$15,'A&amp;R'!O$68,현금흐름!51:51)</f>
        <v>-1673.75</v>
      </c>
      <c r="P105" s="76">
        <f ca="1">SUMIF(현금흐름!$15:$15,'A&amp;R'!P$68,현금흐름!51:51)</f>
        <v>0</v>
      </c>
      <c r="Q105" s="76">
        <f ca="1">SUMIF(현금흐름!$15:$15,'A&amp;R'!Q$68,현금흐름!51:51)</f>
        <v>0</v>
      </c>
      <c r="R105" s="76">
        <f ca="1">SUMIF(현금흐름!$15:$15,'A&amp;R'!R$68,현금흐름!51:51)</f>
        <v>0</v>
      </c>
      <c r="S105" s="76">
        <f ca="1">SUMIF(현금흐름!$15:$15,'A&amp;R'!S$68,현금흐름!51:51)</f>
        <v>0</v>
      </c>
    </row>
    <row r="106" spans="2:34">
      <c r="B106" s="73"/>
      <c r="C106" s="169" t="str">
        <f>현금흐름!D52</f>
        <v>제2종수익증권</v>
      </c>
      <c r="D106" s="73"/>
      <c r="E106" s="73">
        <f>SUMIF(현금흐름!$15:$15,'A&amp;R'!E$68,현금흐름!52:52)</f>
        <v>0</v>
      </c>
      <c r="F106" s="73">
        <f ca="1">SUMIF(현금흐름!$15:$15,'A&amp;R'!F$68,현금흐름!52:52)</f>
        <v>0</v>
      </c>
      <c r="G106" s="73">
        <f ca="1">SUMIF(현금흐름!$15:$15,'A&amp;R'!G$68,현금흐름!52:52)</f>
        <v>0</v>
      </c>
      <c r="H106" s="73">
        <f ca="1">SUMIF(현금흐름!$15:$15,'A&amp;R'!H$68,현금흐름!52:52)</f>
        <v>-54.945239319471057</v>
      </c>
      <c r="I106" s="73">
        <f ca="1">SUMIF(현금흐름!$15:$15,'A&amp;R'!I$68,현금흐름!52:52)</f>
        <v>-807.40163971117454</v>
      </c>
      <c r="J106" s="73">
        <f ca="1">SUMIF(현금흐름!$15:$15,'A&amp;R'!J$68,현금흐름!52:52)</f>
        <v>-584.09296881806358</v>
      </c>
      <c r="K106" s="73">
        <f ca="1">SUMIF(현금흐름!$15:$15,'A&amp;R'!K$68,현금흐름!52:52)</f>
        <v>-1088.3343664867261</v>
      </c>
      <c r="L106" s="73">
        <f ca="1">SUMIF(현금흐름!$15:$15,'A&amp;R'!L$68,현금흐름!52:52)</f>
        <v>-1443.5488453898661</v>
      </c>
      <c r="M106" s="73">
        <f ca="1">SUMIF(현금흐름!$15:$15,'A&amp;R'!M$68,현금흐름!52:52)</f>
        <v>-1588.3906371145931</v>
      </c>
      <c r="N106" s="73">
        <f ca="1">SUMIF(현금흐름!$15:$15,'A&amp;R'!N$68,현금흐름!52:52)</f>
        <v>-1866.5122689714321</v>
      </c>
      <c r="O106" s="73">
        <f ca="1">SUMIF(현금흐름!$15:$15,'A&amp;R'!O$68,현금흐름!52:52)</f>
        <v>-1993.6250888389432</v>
      </c>
      <c r="P106" s="73">
        <f ca="1">SUMIF(현금흐름!$15:$15,'A&amp;R'!P$68,현금흐름!52:52)</f>
        <v>0</v>
      </c>
      <c r="Q106" s="73">
        <f ca="1">SUMIF(현금흐름!$15:$15,'A&amp;R'!Q$68,현금흐름!52:52)</f>
        <v>0</v>
      </c>
      <c r="R106" s="73">
        <f ca="1">SUMIF(현금흐름!$15:$15,'A&amp;R'!R$68,현금흐름!52:52)</f>
        <v>0</v>
      </c>
      <c r="S106" s="73">
        <f ca="1">SUMIF(현금흐름!$15:$15,'A&amp;R'!S$68,현금흐름!52:52)</f>
        <v>0</v>
      </c>
      <c r="U106" s="5" t="s">
        <v>407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spans="2:34">
      <c r="B107" s="13" t="str">
        <f>현금흐름!C53</f>
        <v>청산배당</v>
      </c>
      <c r="U107" s="2" t="s">
        <v>446</v>
      </c>
    </row>
    <row r="108" spans="2:34">
      <c r="C108" s="91" t="str">
        <f>현금흐름!D54</f>
        <v>제1종수익증권</v>
      </c>
      <c r="D108" s="76"/>
      <c r="E108" s="76">
        <f>SUMIF(현금흐름!$15:$15,'A&amp;R'!E$68,현금흐름!54:54)</f>
        <v>0</v>
      </c>
      <c r="F108" s="76">
        <f ca="1">SUMIF(현금흐름!$15:$15,'A&amp;R'!F$68,현금흐름!54:54)</f>
        <v>0</v>
      </c>
      <c r="G108" s="76">
        <f ca="1">SUMIF(현금흐름!$15:$15,'A&amp;R'!G$68,현금흐름!54:54)</f>
        <v>0</v>
      </c>
      <c r="H108" s="76">
        <f ca="1">SUMIF(현금흐름!$15:$15,'A&amp;R'!H$68,현금흐름!54:54)</f>
        <v>0</v>
      </c>
      <c r="I108" s="76">
        <f ca="1">SUMIF(현금흐름!$15:$15,'A&amp;R'!I$68,현금흐름!54:54)</f>
        <v>0</v>
      </c>
      <c r="J108" s="76">
        <f ca="1">SUMIF(현금흐름!$15:$15,'A&amp;R'!J$68,현금흐름!54:54)</f>
        <v>0</v>
      </c>
      <c r="K108" s="76">
        <f ca="1">SUMIF(현금흐름!$15:$15,'A&amp;R'!K$68,현금흐름!54:54)</f>
        <v>0</v>
      </c>
      <c r="L108" s="76">
        <f ca="1">SUMIF(현금흐름!$15:$15,'A&amp;R'!L$68,현금흐름!54:54)</f>
        <v>0</v>
      </c>
      <c r="M108" s="76">
        <f ca="1">SUMIF(현금흐름!$15:$15,'A&amp;R'!M$68,현금흐름!54:54)</f>
        <v>0</v>
      </c>
      <c r="N108" s="76">
        <f ca="1">SUMIF(현금흐름!$15:$15,'A&amp;R'!N$68,현금흐름!54:54)</f>
        <v>0</v>
      </c>
      <c r="O108" s="76">
        <f ca="1">SUMIF(현금흐름!$15:$15,'A&amp;R'!O$68,현금흐름!54:54)</f>
        <v>-5436.864594281582</v>
      </c>
      <c r="P108" s="76">
        <f ca="1">SUMIF(현금흐름!$15:$15,'A&amp;R'!P$68,현금흐름!54:54)</f>
        <v>0</v>
      </c>
      <c r="Q108" s="76">
        <f ca="1">SUMIF(현금흐름!$15:$15,'A&amp;R'!Q$68,현금흐름!54:54)</f>
        <v>0</v>
      </c>
      <c r="R108" s="76">
        <f ca="1">SUMIF(현금흐름!$15:$15,'A&amp;R'!R$68,현금흐름!54:54)</f>
        <v>0</v>
      </c>
      <c r="S108" s="76">
        <f ca="1">SUMIF(현금흐름!$15:$15,'A&amp;R'!S$68,현금흐름!54:54)</f>
        <v>0</v>
      </c>
      <c r="U108" s="13" t="s">
        <v>447</v>
      </c>
      <c r="AE108" s="264" t="s">
        <v>456</v>
      </c>
      <c r="AF108" s="141"/>
      <c r="AG108" s="141"/>
      <c r="AH108" s="247"/>
    </row>
    <row r="109" spans="2:34">
      <c r="C109" s="169" t="str">
        <f>현금흐름!D55</f>
        <v>제2종수익증권</v>
      </c>
      <c r="D109" s="73"/>
      <c r="E109" s="73">
        <f>SUMIF(현금흐름!$15:$15,'A&amp;R'!E$68,현금흐름!55:55)</f>
        <v>0</v>
      </c>
      <c r="F109" s="73">
        <f ca="1">SUMIF(현금흐름!$15:$15,'A&amp;R'!F$68,현금흐름!55:55)</f>
        <v>0</v>
      </c>
      <c r="G109" s="73">
        <f ca="1">SUMIF(현금흐름!$15:$15,'A&amp;R'!G$68,현금흐름!55:55)</f>
        <v>0</v>
      </c>
      <c r="H109" s="73">
        <f ca="1">SUMIF(현금흐름!$15:$15,'A&amp;R'!H$68,현금흐름!55:55)</f>
        <v>0</v>
      </c>
      <c r="I109" s="73">
        <f ca="1">SUMIF(현금흐름!$15:$15,'A&amp;R'!I$68,현금흐름!55:55)</f>
        <v>0</v>
      </c>
      <c r="J109" s="73">
        <f ca="1">SUMIF(현금흐름!$15:$15,'A&amp;R'!J$68,현금흐름!55:55)</f>
        <v>0</v>
      </c>
      <c r="K109" s="73">
        <f ca="1">SUMIF(현금흐름!$15:$15,'A&amp;R'!K$68,현금흐름!55:55)</f>
        <v>0</v>
      </c>
      <c r="L109" s="73">
        <f ca="1">SUMIF(현금흐름!$15:$15,'A&amp;R'!L$68,현금흐름!55:55)</f>
        <v>0</v>
      </c>
      <c r="M109" s="73">
        <f ca="1">SUMIF(현금흐름!$15:$15,'A&amp;R'!M$68,현금흐름!55:55)</f>
        <v>0</v>
      </c>
      <c r="N109" s="73">
        <f ca="1">SUMIF(현금흐름!$15:$15,'A&amp;R'!N$68,현금흐름!55:55)</f>
        <v>0</v>
      </c>
      <c r="O109" s="73">
        <f ca="1">SUMIF(현금흐름!$15:$15,'A&amp;R'!O$68,현금흐름!55:55)</f>
        <v>-48931.781348534234</v>
      </c>
      <c r="P109" s="73">
        <f ca="1">SUMIF(현금흐름!$15:$15,'A&amp;R'!P$68,현금흐름!55:55)</f>
        <v>0</v>
      </c>
      <c r="Q109" s="73">
        <f ca="1">SUMIF(현금흐름!$15:$15,'A&amp;R'!Q$68,현금흐름!55:55)</f>
        <v>0</v>
      </c>
      <c r="R109" s="73">
        <f ca="1">SUMIF(현금흐름!$15:$15,'A&amp;R'!R$68,현금흐름!55:55)</f>
        <v>0</v>
      </c>
      <c r="S109" s="73">
        <f ca="1">SUMIF(현금흐름!$15:$15,'A&amp;R'!S$68,현금흐름!55:55)</f>
        <v>0</v>
      </c>
      <c r="U109" s="13" t="s">
        <v>450</v>
      </c>
      <c r="W109" s="299">
        <f ca="1">E131</f>
        <v>8.3925623893737783E-2</v>
      </c>
      <c r="X109" s="330">
        <v>4.8500000000000001E-2</v>
      </c>
      <c r="Y109" s="330">
        <v>4.7500000000000001E-2</v>
      </c>
      <c r="Z109" s="330">
        <v>4.65E-2</v>
      </c>
      <c r="AA109" s="330">
        <v>4.5499999999999999E-2</v>
      </c>
      <c r="AB109" s="330">
        <v>4.4499999999999998E-2</v>
      </c>
      <c r="AC109" s="248"/>
      <c r="AE109" s="255" t="s">
        <v>451</v>
      </c>
      <c r="AG109" s="95">
        <v>103000</v>
      </c>
      <c r="AH109" s="256" t="s">
        <v>449</v>
      </c>
    </row>
    <row r="110" spans="2:34">
      <c r="B110" s="96" t="str">
        <f>현금흐름!C56</f>
        <v>재무현금흐름 합계</v>
      </c>
      <c r="C110" s="96"/>
      <c r="D110" s="96"/>
      <c r="E110" s="96">
        <f ca="1">SUM(E86:E109)</f>
        <v>258513.77317456825</v>
      </c>
      <c r="F110" s="96">
        <f t="shared" ref="F110:S110" ca="1" si="20">SUM(F86:F109)</f>
        <v>996.54558190218859</v>
      </c>
      <c r="G110" s="96">
        <f t="shared" ca="1" si="20"/>
        <v>-1218.9291691043145</v>
      </c>
      <c r="H110" s="96">
        <f t="shared" ca="1" si="20"/>
        <v>-2394.342692367346</v>
      </c>
      <c r="I110" s="96">
        <f t="shared" ca="1" si="20"/>
        <v>-2481.1516397111745</v>
      </c>
      <c r="J110" s="96">
        <f t="shared" ca="1" si="20"/>
        <v>-2028.4278647792003</v>
      </c>
      <c r="K110" s="96">
        <f t="shared" ca="1" si="20"/>
        <v>-2667.8886501779389</v>
      </c>
      <c r="L110" s="96">
        <f t="shared" ca="1" si="20"/>
        <v>-3012.1250418159116</v>
      </c>
      <c r="M110" s="96">
        <f t="shared" ca="1" si="20"/>
        <v>-3262.1406371145931</v>
      </c>
      <c r="N110" s="96">
        <f t="shared" ca="1" si="20"/>
        <v>-3406.7938677902589</v>
      </c>
      <c r="O110" s="96">
        <f t="shared" ca="1" si="20"/>
        <v>-319571.51619107573</v>
      </c>
      <c r="P110" s="96">
        <f t="shared" ca="1" si="20"/>
        <v>0</v>
      </c>
      <c r="Q110" s="96">
        <f t="shared" ca="1" si="20"/>
        <v>0</v>
      </c>
      <c r="R110" s="96">
        <f t="shared" ca="1" si="20"/>
        <v>0</v>
      </c>
      <c r="S110" s="96">
        <f t="shared" ca="1" si="20"/>
        <v>0</v>
      </c>
      <c r="U110" s="13" t="s">
        <v>454</v>
      </c>
      <c r="W110" s="256">
        <v>93000</v>
      </c>
      <c r="X110" s="90"/>
      <c r="Y110" s="90"/>
      <c r="Z110" s="90"/>
      <c r="AA110" s="90"/>
      <c r="AB110" s="90"/>
      <c r="AC110" s="334">
        <v>26.5</v>
      </c>
      <c r="AE110" s="255" t="s">
        <v>448</v>
      </c>
      <c r="AG110" s="111">
        <v>4.65E-2</v>
      </c>
      <c r="AH110" s="256"/>
    </row>
    <row r="111" spans="2:34">
      <c r="U111" s="13" t="s">
        <v>457</v>
      </c>
      <c r="W111" s="256">
        <v>98000</v>
      </c>
      <c r="X111" s="90"/>
      <c r="Y111" s="90"/>
      <c r="Z111" s="90"/>
      <c r="AA111" s="90"/>
      <c r="AB111" s="90"/>
      <c r="AC111" s="335">
        <v>27.4</v>
      </c>
      <c r="AE111" s="248" t="s">
        <v>486</v>
      </c>
      <c r="AF111" s="249"/>
      <c r="AG111" s="331">
        <v>4.1799999999999997E-2</v>
      </c>
      <c r="AH111" s="250"/>
    </row>
    <row r="112" spans="2:34">
      <c r="B112" s="268" t="str">
        <f>현금흐름!B58</f>
        <v>순 현금흐름</v>
      </c>
      <c r="C112" s="268"/>
      <c r="D112" s="268"/>
      <c r="E112" s="268">
        <f ca="1">E76+E82+E110</f>
        <v>0</v>
      </c>
      <c r="F112" s="268">
        <f t="shared" ref="F112:S112" ca="1" si="21">F76+F82+F110</f>
        <v>2073.9984127500002</v>
      </c>
      <c r="G112" s="268">
        <f t="shared" ca="1" si="21"/>
        <v>385.47054699999899</v>
      </c>
      <c r="H112" s="268">
        <f t="shared" ca="1" si="21"/>
        <v>0</v>
      </c>
      <c r="I112" s="268">
        <f t="shared" ca="1" si="21"/>
        <v>0</v>
      </c>
      <c r="J112" s="268">
        <f t="shared" ca="1" si="21"/>
        <v>229.41510403886423</v>
      </c>
      <c r="K112" s="268">
        <f t="shared" ca="1" si="21"/>
        <v>94.195716308788178</v>
      </c>
      <c r="L112" s="268">
        <f t="shared" ca="1" si="21"/>
        <v>105.17380357395632</v>
      </c>
      <c r="M112" s="268">
        <f t="shared" ca="1" si="21"/>
        <v>0</v>
      </c>
      <c r="N112" s="268">
        <f t="shared" ca="1" si="21"/>
        <v>133.46840118117325</v>
      </c>
      <c r="O112" s="268">
        <f t="shared" ca="1" si="21"/>
        <v>-3021.7219848527457</v>
      </c>
      <c r="P112" s="268">
        <f t="shared" ca="1" si="21"/>
        <v>0</v>
      </c>
      <c r="Q112" s="268">
        <f t="shared" ca="1" si="21"/>
        <v>0</v>
      </c>
      <c r="R112" s="268">
        <f t="shared" ca="1" si="21"/>
        <v>0</v>
      </c>
      <c r="S112" s="268">
        <f t="shared" ca="1" si="21"/>
        <v>0</v>
      </c>
      <c r="W112" s="256">
        <v>103000</v>
      </c>
      <c r="X112" s="90"/>
      <c r="Y112" s="90"/>
      <c r="Z112" s="90"/>
      <c r="AA112" s="90"/>
      <c r="AB112" s="90"/>
      <c r="AC112" s="335">
        <v>28.4</v>
      </c>
    </row>
    <row r="113" spans="2:29">
      <c r="C113" s="246" t="str">
        <f>현금흐름!C59</f>
        <v>기초현금</v>
      </c>
      <c r="D113" s="141"/>
      <c r="E113" s="141">
        <v>0</v>
      </c>
      <c r="F113" s="141">
        <f ca="1">E114</f>
        <v>0</v>
      </c>
      <c r="G113" s="141">
        <f t="shared" ref="G113:S113" ca="1" si="22">F114</f>
        <v>2073.9984127500002</v>
      </c>
      <c r="H113" s="141">
        <f t="shared" ca="1" si="22"/>
        <v>2459.4689597499992</v>
      </c>
      <c r="I113" s="141">
        <f t="shared" ca="1" si="22"/>
        <v>2459.4689597499992</v>
      </c>
      <c r="J113" s="141">
        <f t="shared" ca="1" si="22"/>
        <v>2459.4689597499992</v>
      </c>
      <c r="K113" s="141">
        <f t="shared" ca="1" si="22"/>
        <v>2688.8840637888634</v>
      </c>
      <c r="L113" s="141">
        <f t="shared" ca="1" si="22"/>
        <v>2783.0797800976516</v>
      </c>
      <c r="M113" s="141">
        <f t="shared" ca="1" si="22"/>
        <v>2888.2535836716079</v>
      </c>
      <c r="N113" s="141">
        <f t="shared" ca="1" si="22"/>
        <v>2888.2535836716079</v>
      </c>
      <c r="O113" s="141">
        <f t="shared" ca="1" si="22"/>
        <v>3021.7219848527811</v>
      </c>
      <c r="P113" s="141">
        <f t="shared" ca="1" si="22"/>
        <v>3.5470293369144201E-11</v>
      </c>
      <c r="Q113" s="141">
        <f t="shared" ca="1" si="22"/>
        <v>3.5470293369144201E-11</v>
      </c>
      <c r="R113" s="141">
        <f t="shared" ca="1" si="22"/>
        <v>3.5470293369144201E-11</v>
      </c>
      <c r="S113" s="141">
        <f t="shared" ca="1" si="22"/>
        <v>3.5470293369144201E-11</v>
      </c>
      <c r="W113" s="256">
        <v>108000</v>
      </c>
      <c r="X113" s="90"/>
      <c r="Y113" s="90"/>
      <c r="Z113" s="90"/>
      <c r="AA113" s="90"/>
      <c r="AB113" s="90"/>
      <c r="AC113" s="335">
        <v>29.3</v>
      </c>
    </row>
    <row r="114" spans="2:29">
      <c r="B114" s="249"/>
      <c r="C114" s="248" t="str">
        <f>현금흐름!C60</f>
        <v>기말현금</v>
      </c>
      <c r="D114" s="249"/>
      <c r="E114" s="249">
        <f ca="1">SUM(E112:E113)</f>
        <v>0</v>
      </c>
      <c r="F114" s="249">
        <f ca="1">SUM(F112:F113)</f>
        <v>2073.9984127500002</v>
      </c>
      <c r="G114" s="249">
        <f t="shared" ref="G114:S114" ca="1" si="23">SUM(G112:G113)</f>
        <v>2459.4689597499992</v>
      </c>
      <c r="H114" s="249">
        <f t="shared" ca="1" si="23"/>
        <v>2459.4689597499992</v>
      </c>
      <c r="I114" s="249">
        <f t="shared" ca="1" si="23"/>
        <v>2459.4689597499992</v>
      </c>
      <c r="J114" s="249">
        <f t="shared" ca="1" si="23"/>
        <v>2688.8840637888634</v>
      </c>
      <c r="K114" s="249">
        <f t="shared" ca="1" si="23"/>
        <v>2783.0797800976516</v>
      </c>
      <c r="L114" s="249">
        <f t="shared" ca="1" si="23"/>
        <v>2888.2535836716079</v>
      </c>
      <c r="M114" s="249">
        <f t="shared" ca="1" si="23"/>
        <v>2888.2535836716079</v>
      </c>
      <c r="N114" s="249">
        <f t="shared" ca="1" si="23"/>
        <v>3021.7219848527811</v>
      </c>
      <c r="O114" s="249">
        <f t="shared" ca="1" si="23"/>
        <v>3.5470293369144201E-11</v>
      </c>
      <c r="P114" s="249">
        <f t="shared" ca="1" si="23"/>
        <v>3.5470293369144201E-11</v>
      </c>
      <c r="Q114" s="249">
        <f t="shared" ca="1" si="23"/>
        <v>3.5470293369144201E-11</v>
      </c>
      <c r="R114" s="249">
        <f t="shared" ca="1" si="23"/>
        <v>3.5470293369144201E-11</v>
      </c>
      <c r="S114" s="249">
        <f t="shared" ca="1" si="23"/>
        <v>3.5470293369144201E-11</v>
      </c>
      <c r="W114" s="250">
        <v>113000</v>
      </c>
      <c r="X114" s="330"/>
      <c r="Y114" s="330"/>
      <c r="Z114" s="330"/>
      <c r="AA114" s="330"/>
      <c r="AB114" s="330"/>
      <c r="AC114" s="336">
        <v>30.2</v>
      </c>
    </row>
    <row r="115" spans="2:29">
      <c r="B115" s="13" t="s">
        <v>357</v>
      </c>
      <c r="V115" s="90"/>
      <c r="W115" s="90"/>
      <c r="X115" s="90"/>
      <c r="Y115" s="90"/>
      <c r="Z115" s="90"/>
      <c r="AA115" s="90"/>
    </row>
    <row r="116" spans="2:29">
      <c r="C116" s="13" t="s">
        <v>406</v>
      </c>
      <c r="E116" s="295">
        <f>SUMIF(현금흐름!$14:$14,'A&amp;R'!E$70,현금흐름!158:158)</f>
        <v>0</v>
      </c>
      <c r="F116" s="295">
        <f ca="1">SUMIF(현금흐름!$14:$14,'A&amp;R'!F$70,현금흐름!158:158)</f>
        <v>1.2972959905489816</v>
      </c>
      <c r="G116" s="295">
        <f ca="1">SUMIF(현금흐름!$14:$14,'A&amp;R'!G$70,현금흐름!158:158)</f>
        <v>1.4459907010095139</v>
      </c>
      <c r="H116" s="295">
        <f ca="1">SUMIF(현금흐름!$14:$14,'A&amp;R'!H$70,현금흐름!158:158)</f>
        <v>1.665578886051418</v>
      </c>
      <c r="I116" s="295">
        <f ca="1">SUMIF(현금흐름!$14:$14,'A&amp;R'!I$70,현금흐름!158:158)</f>
        <v>1.6948852059920017</v>
      </c>
      <c r="J116" s="295">
        <f ca="1">SUMIF(현금흐름!$14:$14,'A&amp;R'!J$70,현금흐름!158:158)</f>
        <v>1.6265534207621437</v>
      </c>
      <c r="K116" s="295">
        <f ca="1">SUMIF(현금흐름!$14:$14,'A&amp;R'!K$70,현금흐름!158:158)</f>
        <v>1.7718804165192419</v>
      </c>
      <c r="L116" s="295">
        <f ca="1">SUMIF(현금흐름!$14:$14,'A&amp;R'!L$70,현금흐름!158:158)</f>
        <v>1.9318075511634145</v>
      </c>
      <c r="M116" s="295">
        <f ca="1">SUMIF(현금흐름!$14:$14,'A&amp;R'!M$70,현금흐름!158:158)</f>
        <v>1.9751029430866942</v>
      </c>
      <c r="N116" s="295">
        <f ca="1">SUMIF(현금흐름!$14:$14,'A&amp;R'!N$70,현금흐름!158:158)</f>
        <v>2.0582376855543152</v>
      </c>
      <c r="O116" s="295">
        <f ca="1">SUMIF(현금흐름!$14:$14,'A&amp;R'!O$70,현금흐름!158:158)</f>
        <v>2.1045566210687756</v>
      </c>
      <c r="P116" s="295">
        <f ca="1">SUMIF(현금흐름!$14:$14,'A&amp;R'!P$70,현금흐름!158:158)</f>
        <v>0</v>
      </c>
      <c r="Q116" s="295">
        <f ca="1">SUMIF(현금흐름!$14:$14,'A&amp;R'!Q$70,현금흐름!158:158)</f>
        <v>0</v>
      </c>
      <c r="R116" s="295">
        <f ca="1">SUMIF(현금흐름!$14:$14,'A&amp;R'!R$70,현금흐름!158:158)</f>
        <v>0</v>
      </c>
      <c r="S116" s="295">
        <f ca="1">SUMIF(현금흐름!$14:$14,'A&amp;R'!S$70,현금흐름!158:158)</f>
        <v>0</v>
      </c>
      <c r="U116" s="13" t="s">
        <v>487</v>
      </c>
    </row>
    <row r="117" spans="2:29">
      <c r="C117" s="91" t="s">
        <v>358</v>
      </c>
      <c r="D117" s="296">
        <f ca="1">현금흐름!F159</f>
        <v>1.7571889421756501</v>
      </c>
      <c r="U117" s="13" t="s">
        <v>450</v>
      </c>
      <c r="W117" s="299">
        <f ca="1">E131</f>
        <v>8.3925623893737783E-2</v>
      </c>
      <c r="X117" s="330">
        <v>4.8500000000000001E-2</v>
      </c>
      <c r="Y117" s="330">
        <v>4.7500000000000001E-2</v>
      </c>
      <c r="Z117" s="330">
        <v>4.65E-2</v>
      </c>
      <c r="AA117" s="330">
        <v>4.5499999999999999E-2</v>
      </c>
      <c r="AB117" s="330">
        <v>4.4499999999999998E-2</v>
      </c>
      <c r="AC117" s="248"/>
    </row>
    <row r="118" spans="2:29">
      <c r="B118" s="249"/>
      <c r="C118" s="102" t="s">
        <v>359</v>
      </c>
      <c r="D118" s="297">
        <f ca="1">현금흐름!F160</f>
        <v>1.2972959905489816</v>
      </c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U118" s="13" t="s">
        <v>484</v>
      </c>
      <c r="W118" s="312">
        <v>4.6800000000000001E-2</v>
      </c>
      <c r="X118" s="90"/>
      <c r="Y118" s="90"/>
      <c r="Z118" s="90"/>
      <c r="AA118" s="90"/>
      <c r="AB118" s="90"/>
      <c r="AC118" s="353">
        <v>4.8800000000000003E-2</v>
      </c>
    </row>
    <row r="119" spans="2:29">
      <c r="U119" s="13" t="s">
        <v>485</v>
      </c>
      <c r="W119" s="312">
        <v>4.4299999999999999E-2</v>
      </c>
      <c r="X119" s="90"/>
      <c r="Y119" s="90"/>
      <c r="Z119" s="90"/>
      <c r="AA119" s="90"/>
      <c r="AB119" s="90"/>
      <c r="AC119" s="354">
        <v>4.6300000000000001E-2</v>
      </c>
    </row>
    <row r="120" spans="2:29">
      <c r="B120" s="2" t="s">
        <v>408</v>
      </c>
      <c r="W120" s="312">
        <v>4.1799999999999997E-2</v>
      </c>
      <c r="X120" s="90"/>
      <c r="Y120" s="90"/>
      <c r="Z120" s="90"/>
      <c r="AA120" s="90"/>
      <c r="AB120" s="90"/>
      <c r="AC120" s="354">
        <v>4.3799999999999999E-2</v>
      </c>
    </row>
    <row r="121" spans="2:29">
      <c r="B121" s="290"/>
      <c r="C121" s="290"/>
      <c r="D121" s="290"/>
      <c r="E121" s="290">
        <f>E70</f>
        <v>45688</v>
      </c>
      <c r="F121" s="290">
        <f t="shared" ref="F121:S121" si="24">F70</f>
        <v>45869</v>
      </c>
      <c r="G121" s="290">
        <f t="shared" si="24"/>
        <v>46053</v>
      </c>
      <c r="H121" s="290">
        <f t="shared" si="24"/>
        <v>46234</v>
      </c>
      <c r="I121" s="290">
        <f t="shared" si="24"/>
        <v>46418</v>
      </c>
      <c r="J121" s="290">
        <f t="shared" si="24"/>
        <v>46599</v>
      </c>
      <c r="K121" s="290">
        <f t="shared" si="24"/>
        <v>46783</v>
      </c>
      <c r="L121" s="290">
        <f t="shared" si="24"/>
        <v>46965</v>
      </c>
      <c r="M121" s="290">
        <f t="shared" si="24"/>
        <v>47149</v>
      </c>
      <c r="N121" s="290">
        <f t="shared" si="24"/>
        <v>47330</v>
      </c>
      <c r="O121" s="290">
        <f t="shared" si="24"/>
        <v>47514</v>
      </c>
      <c r="P121" s="290">
        <f t="shared" si="24"/>
        <v>47695</v>
      </c>
      <c r="Q121" s="290">
        <f t="shared" si="24"/>
        <v>47879</v>
      </c>
      <c r="R121" s="290">
        <f t="shared" si="24"/>
        <v>48060</v>
      </c>
      <c r="S121" s="290">
        <f t="shared" si="24"/>
        <v>48244</v>
      </c>
      <c r="W121" s="312">
        <v>3.9300000000000002E-2</v>
      </c>
      <c r="X121" s="90"/>
      <c r="Y121" s="90"/>
      <c r="Z121" s="90"/>
      <c r="AA121" s="90"/>
      <c r="AB121" s="90"/>
      <c r="AC121" s="354">
        <v>4.1300000000000003E-2</v>
      </c>
    </row>
    <row r="122" spans="2:29">
      <c r="B122" s="13" t="s">
        <v>140</v>
      </c>
      <c r="W122" s="299">
        <v>3.6799999999999999E-2</v>
      </c>
      <c r="X122" s="330"/>
      <c r="Y122" s="330"/>
      <c r="Z122" s="330"/>
      <c r="AA122" s="330"/>
      <c r="AB122" s="330"/>
      <c r="AC122" s="355">
        <v>3.8800000000000001E-2</v>
      </c>
    </row>
    <row r="123" spans="2:29">
      <c r="C123" s="13" t="s">
        <v>409</v>
      </c>
      <c r="E123" s="13">
        <f>E86*-1</f>
        <v>-51500</v>
      </c>
      <c r="F123" s="13">
        <f t="shared" ref="F123:S123" si="25">F86*-1</f>
        <v>0</v>
      </c>
      <c r="G123" s="13">
        <f t="shared" si="25"/>
        <v>0</v>
      </c>
      <c r="H123" s="13">
        <f t="shared" si="25"/>
        <v>0</v>
      </c>
      <c r="I123" s="13">
        <f t="shared" si="25"/>
        <v>0</v>
      </c>
      <c r="J123" s="13">
        <f t="shared" si="25"/>
        <v>0</v>
      </c>
      <c r="K123" s="13">
        <f t="shared" si="25"/>
        <v>0</v>
      </c>
      <c r="L123" s="13">
        <f t="shared" si="25"/>
        <v>0</v>
      </c>
      <c r="M123" s="13">
        <f t="shared" si="25"/>
        <v>0</v>
      </c>
      <c r="N123" s="13">
        <f t="shared" si="25"/>
        <v>0</v>
      </c>
      <c r="O123" s="13">
        <f t="shared" si="25"/>
        <v>0</v>
      </c>
      <c r="P123" s="13">
        <f t="shared" si="25"/>
        <v>0</v>
      </c>
      <c r="Q123" s="13">
        <f t="shared" si="25"/>
        <v>0</v>
      </c>
      <c r="R123" s="13">
        <f t="shared" si="25"/>
        <v>0</v>
      </c>
      <c r="S123" s="13">
        <f t="shared" si="25"/>
        <v>0</v>
      </c>
      <c r="AC123" s="90"/>
    </row>
    <row r="124" spans="2:29">
      <c r="C124" s="13" t="s">
        <v>328</v>
      </c>
      <c r="D124" s="13">
        <f ca="1">SUM(E124:S124)</f>
        <v>16737.5</v>
      </c>
      <c r="E124" s="13">
        <f>E105*-1</f>
        <v>0</v>
      </c>
      <c r="F124" s="13">
        <f t="shared" ref="F124:S124" ca="1" si="26">F105*-1</f>
        <v>1077.4528308478116</v>
      </c>
      <c r="G124" s="13">
        <f t="shared" ca="1" si="26"/>
        <v>1604.3997161043135</v>
      </c>
      <c r="H124" s="13">
        <f t="shared" ca="1" si="26"/>
        <v>2339.3974530478749</v>
      </c>
      <c r="I124" s="13">
        <f t="shared" ca="1" si="26"/>
        <v>1673.75</v>
      </c>
      <c r="J124" s="13">
        <f t="shared" ca="1" si="26"/>
        <v>1673.75</v>
      </c>
      <c r="K124" s="13">
        <f t="shared" ca="1" si="26"/>
        <v>1673.75</v>
      </c>
      <c r="L124" s="13">
        <f t="shared" ca="1" si="26"/>
        <v>1673.75</v>
      </c>
      <c r="M124" s="13">
        <f t="shared" ca="1" si="26"/>
        <v>1673.75</v>
      </c>
      <c r="N124" s="13">
        <f t="shared" ca="1" si="26"/>
        <v>1673.75</v>
      </c>
      <c r="O124" s="13">
        <f t="shared" ca="1" si="26"/>
        <v>1673.75</v>
      </c>
      <c r="P124" s="13">
        <f t="shared" ca="1" si="26"/>
        <v>0</v>
      </c>
      <c r="Q124" s="13">
        <f t="shared" ca="1" si="26"/>
        <v>0</v>
      </c>
      <c r="R124" s="13">
        <f t="shared" ca="1" si="26"/>
        <v>0</v>
      </c>
      <c r="S124" s="13">
        <f t="shared" ca="1" si="26"/>
        <v>0</v>
      </c>
      <c r="U124" s="2" t="s">
        <v>453</v>
      </c>
      <c r="W124" s="90"/>
      <c r="X124" s="90"/>
      <c r="Y124" s="90"/>
      <c r="Z124" s="90"/>
      <c r="AA124" s="90"/>
    </row>
    <row r="125" spans="2:29">
      <c r="C125" s="13" t="s">
        <v>329</v>
      </c>
      <c r="D125" s="13">
        <f ca="1">SUM(E125:S125)</f>
        <v>5436.864594281582</v>
      </c>
      <c r="E125" s="13">
        <f>E108*-1</f>
        <v>0</v>
      </c>
      <c r="F125" s="13">
        <f t="shared" ref="F125:S125" ca="1" si="27">F108*-1</f>
        <v>0</v>
      </c>
      <c r="G125" s="13">
        <f t="shared" ca="1" si="27"/>
        <v>0</v>
      </c>
      <c r="H125" s="13">
        <f t="shared" ca="1" si="27"/>
        <v>0</v>
      </c>
      <c r="I125" s="13">
        <f t="shared" ca="1" si="27"/>
        <v>0</v>
      </c>
      <c r="J125" s="13">
        <f t="shared" ca="1" si="27"/>
        <v>0</v>
      </c>
      <c r="K125" s="13">
        <f t="shared" ca="1" si="27"/>
        <v>0</v>
      </c>
      <c r="L125" s="13">
        <f t="shared" ca="1" si="27"/>
        <v>0</v>
      </c>
      <c r="M125" s="13">
        <f t="shared" ca="1" si="27"/>
        <v>0</v>
      </c>
      <c r="N125" s="13">
        <f t="shared" ca="1" si="27"/>
        <v>0</v>
      </c>
      <c r="O125" s="13">
        <f t="shared" ca="1" si="27"/>
        <v>5436.864594281582</v>
      </c>
      <c r="P125" s="13">
        <f t="shared" ca="1" si="27"/>
        <v>0</v>
      </c>
      <c r="Q125" s="13">
        <f t="shared" ca="1" si="27"/>
        <v>0</v>
      </c>
      <c r="R125" s="13">
        <f t="shared" ca="1" si="27"/>
        <v>0</v>
      </c>
      <c r="S125" s="13">
        <f t="shared" ca="1" si="27"/>
        <v>0</v>
      </c>
      <c r="U125" s="13" t="s">
        <v>447</v>
      </c>
      <c r="W125" s="90"/>
      <c r="X125" s="90"/>
      <c r="Y125" s="90"/>
      <c r="Z125" s="90"/>
      <c r="AA125" s="90"/>
    </row>
    <row r="126" spans="2:29">
      <c r="C126" s="13" t="s">
        <v>410</v>
      </c>
      <c r="E126" s="13">
        <f>E95*-1</f>
        <v>0</v>
      </c>
      <c r="F126" s="13">
        <f t="shared" ref="F126:S126" ca="1" si="28">F95*-1</f>
        <v>0</v>
      </c>
      <c r="G126" s="13">
        <f t="shared" ca="1" si="28"/>
        <v>0</v>
      </c>
      <c r="H126" s="13">
        <f t="shared" ca="1" si="28"/>
        <v>0</v>
      </c>
      <c r="I126" s="13">
        <f t="shared" ca="1" si="28"/>
        <v>0</v>
      </c>
      <c r="J126" s="13">
        <f t="shared" ca="1" si="28"/>
        <v>0</v>
      </c>
      <c r="K126" s="13">
        <f t="shared" ca="1" si="28"/>
        <v>0</v>
      </c>
      <c r="L126" s="13">
        <f t="shared" ca="1" si="28"/>
        <v>0</v>
      </c>
      <c r="M126" s="13">
        <f t="shared" ca="1" si="28"/>
        <v>0</v>
      </c>
      <c r="N126" s="13">
        <f t="shared" ca="1" si="28"/>
        <v>0</v>
      </c>
      <c r="O126" s="13">
        <f t="shared" ca="1" si="28"/>
        <v>51500</v>
      </c>
      <c r="P126" s="13">
        <f t="shared" ca="1" si="28"/>
        <v>0</v>
      </c>
      <c r="Q126" s="13">
        <f t="shared" ca="1" si="28"/>
        <v>0</v>
      </c>
      <c r="R126" s="13">
        <f t="shared" ca="1" si="28"/>
        <v>0</v>
      </c>
      <c r="S126" s="13">
        <f t="shared" ca="1" si="28"/>
        <v>0</v>
      </c>
      <c r="U126" s="13" t="s">
        <v>450</v>
      </c>
      <c r="W126" s="299">
        <f ca="1">E141</f>
        <v>0.181313910484314</v>
      </c>
      <c r="X126" s="330">
        <v>4.8500000000000001E-2</v>
      </c>
      <c r="Y126" s="330">
        <v>4.7500000000000001E-2</v>
      </c>
      <c r="Z126" s="330">
        <v>4.65E-2</v>
      </c>
      <c r="AA126" s="330">
        <v>4.5499999999999999E-2</v>
      </c>
      <c r="AB126" s="330">
        <v>4.4499999999999998E-2</v>
      </c>
      <c r="AC126" s="248"/>
    </row>
    <row r="127" spans="2:29">
      <c r="C127" s="75" t="s">
        <v>411</v>
      </c>
      <c r="D127" s="75"/>
      <c r="E127" s="75">
        <f>SUM(E123:E126)</f>
        <v>-51500</v>
      </c>
      <c r="F127" s="75">
        <f t="shared" ref="F127:S127" ca="1" si="29">SUM(F123:F126)</f>
        <v>1077.4528308478116</v>
      </c>
      <c r="G127" s="75">
        <f t="shared" ca="1" si="29"/>
        <v>1604.3997161043135</v>
      </c>
      <c r="H127" s="75">
        <f t="shared" ca="1" si="29"/>
        <v>2339.3974530478749</v>
      </c>
      <c r="I127" s="75">
        <f t="shared" ca="1" si="29"/>
        <v>1673.75</v>
      </c>
      <c r="J127" s="75">
        <f t="shared" ca="1" si="29"/>
        <v>1673.75</v>
      </c>
      <c r="K127" s="75">
        <f t="shared" ca="1" si="29"/>
        <v>1673.75</v>
      </c>
      <c r="L127" s="75">
        <f t="shared" ca="1" si="29"/>
        <v>1673.75</v>
      </c>
      <c r="M127" s="75">
        <f t="shared" ca="1" si="29"/>
        <v>1673.75</v>
      </c>
      <c r="N127" s="75">
        <f t="shared" ca="1" si="29"/>
        <v>1673.75</v>
      </c>
      <c r="O127" s="75">
        <f t="shared" ca="1" si="29"/>
        <v>58610.614594281578</v>
      </c>
      <c r="P127" s="75">
        <f t="shared" ca="1" si="29"/>
        <v>0</v>
      </c>
      <c r="Q127" s="75">
        <f t="shared" ca="1" si="29"/>
        <v>0</v>
      </c>
      <c r="R127" s="75">
        <f t="shared" ca="1" si="29"/>
        <v>0</v>
      </c>
      <c r="S127" s="75">
        <f t="shared" ca="1" si="29"/>
        <v>0</v>
      </c>
      <c r="U127" s="13" t="s">
        <v>452</v>
      </c>
      <c r="W127" s="256">
        <v>93000</v>
      </c>
      <c r="X127" s="90"/>
      <c r="Y127" s="90"/>
      <c r="Z127" s="90"/>
      <c r="AA127" s="90"/>
      <c r="AB127" s="90"/>
      <c r="AC127" s="334">
        <v>26.5</v>
      </c>
    </row>
    <row r="128" spans="2:29">
      <c r="C128" s="13" t="s">
        <v>412</v>
      </c>
      <c r="F128" s="90">
        <f ca="1">F124/$E$48*(12/period)</f>
        <v>4.1842828382439287E-2</v>
      </c>
      <c r="G128" s="90">
        <f t="shared" ref="G128:S128" ca="1" si="30">G124/$E$48*(12/period)</f>
        <v>6.2306785091429652E-2</v>
      </c>
      <c r="H128" s="90">
        <f t="shared" ca="1" si="30"/>
        <v>9.0850386526131061E-2</v>
      </c>
      <c r="I128" s="90">
        <f t="shared" ca="1" si="30"/>
        <v>6.5000000000000002E-2</v>
      </c>
      <c r="J128" s="90">
        <f t="shared" ca="1" si="30"/>
        <v>6.5000000000000002E-2</v>
      </c>
      <c r="K128" s="90">
        <f t="shared" ca="1" si="30"/>
        <v>6.5000000000000002E-2</v>
      </c>
      <c r="L128" s="90">
        <f t="shared" ca="1" si="30"/>
        <v>6.5000000000000002E-2</v>
      </c>
      <c r="M128" s="90">
        <f t="shared" ca="1" si="30"/>
        <v>6.5000000000000002E-2</v>
      </c>
      <c r="N128" s="90">
        <f t="shared" ca="1" si="30"/>
        <v>6.5000000000000002E-2</v>
      </c>
      <c r="O128" s="90">
        <f t="shared" ca="1" si="30"/>
        <v>6.5000000000000002E-2</v>
      </c>
      <c r="P128" s="90">
        <f t="shared" ca="1" si="30"/>
        <v>0</v>
      </c>
      <c r="Q128" s="90">
        <f t="shared" ca="1" si="30"/>
        <v>0</v>
      </c>
      <c r="R128" s="90">
        <f t="shared" ca="1" si="30"/>
        <v>0</v>
      </c>
      <c r="S128" s="90">
        <f t="shared" ca="1" si="30"/>
        <v>0</v>
      </c>
      <c r="U128" s="13" t="s">
        <v>457</v>
      </c>
      <c r="W128" s="256">
        <v>98000</v>
      </c>
      <c r="X128" s="90"/>
      <c r="Y128" s="90"/>
      <c r="Z128" s="90"/>
      <c r="AA128" s="90"/>
      <c r="AB128" s="90"/>
      <c r="AC128" s="335">
        <v>27.4</v>
      </c>
    </row>
    <row r="129" spans="2:29">
      <c r="C129" s="246" t="s">
        <v>425</v>
      </c>
      <c r="D129" s="141"/>
      <c r="E129" s="298">
        <f ca="1">D124/$E$48/$D$15</f>
        <v>6.5000000000000002E-2</v>
      </c>
      <c r="W129" s="256">
        <v>103000</v>
      </c>
      <c r="X129" s="90"/>
      <c r="Y129" s="90"/>
      <c r="Z129" s="90"/>
      <c r="AA129" s="90"/>
      <c r="AB129" s="90"/>
      <c r="AC129" s="335">
        <v>28.4</v>
      </c>
    </row>
    <row r="130" spans="2:29">
      <c r="C130" s="255" t="s">
        <v>426</v>
      </c>
      <c r="E130" s="312" cm="1">
        <f t="array" aca="1" ref="E130" ca="1">SUM(D124:D125/$E$48/$D$15)</f>
        <v>8.6114037259345952E-2</v>
      </c>
      <c r="W130" s="256">
        <v>108000</v>
      </c>
      <c r="X130" s="90"/>
      <c r="Y130" s="90"/>
      <c r="Z130" s="90"/>
      <c r="AA130" s="90"/>
      <c r="AB130" s="90"/>
      <c r="AC130" s="335">
        <v>29.3</v>
      </c>
    </row>
    <row r="131" spans="2:29">
      <c r="C131" s="248" t="s">
        <v>413</v>
      </c>
      <c r="D131" s="249"/>
      <c r="E131" s="299">
        <f ca="1">XIRR(E127:S127,$E$121:$S$121,1%)</f>
        <v>8.3925623893737783E-2</v>
      </c>
      <c r="S131" s="90"/>
      <c r="W131" s="250">
        <v>113000</v>
      </c>
      <c r="X131" s="330"/>
      <c r="Y131" s="330"/>
      <c r="Z131" s="330"/>
      <c r="AA131" s="330"/>
      <c r="AB131" s="330"/>
      <c r="AC131" s="336">
        <v>30.2</v>
      </c>
    </row>
    <row r="132" spans="2:29">
      <c r="B132" s="13" t="s">
        <v>141</v>
      </c>
    </row>
    <row r="133" spans="2:29">
      <c r="C133" s="13" t="s">
        <v>409</v>
      </c>
      <c r="E133" s="13">
        <f>E87*-1</f>
        <v>-46500</v>
      </c>
      <c r="F133" s="13">
        <f t="shared" ref="F133:S133" si="31">F87*-1</f>
        <v>0</v>
      </c>
      <c r="G133" s="13">
        <f t="shared" si="31"/>
        <v>0</v>
      </c>
      <c r="H133" s="13">
        <f t="shared" si="31"/>
        <v>0</v>
      </c>
      <c r="I133" s="13">
        <f t="shared" si="31"/>
        <v>0</v>
      </c>
      <c r="J133" s="13">
        <f t="shared" si="31"/>
        <v>0</v>
      </c>
      <c r="K133" s="13">
        <f t="shared" si="31"/>
        <v>0</v>
      </c>
      <c r="L133" s="13">
        <f t="shared" si="31"/>
        <v>0</v>
      </c>
      <c r="M133" s="13">
        <f t="shared" si="31"/>
        <v>0</v>
      </c>
      <c r="N133" s="13">
        <f t="shared" si="31"/>
        <v>0</v>
      </c>
      <c r="O133" s="13">
        <f t="shared" si="31"/>
        <v>0</v>
      </c>
      <c r="P133" s="13">
        <f t="shared" si="31"/>
        <v>0</v>
      </c>
      <c r="Q133" s="13">
        <f t="shared" si="31"/>
        <v>0</v>
      </c>
      <c r="R133" s="13">
        <f t="shared" si="31"/>
        <v>0</v>
      </c>
      <c r="S133" s="13">
        <f t="shared" si="31"/>
        <v>0</v>
      </c>
      <c r="U133" s="13" t="s">
        <v>487</v>
      </c>
    </row>
    <row r="134" spans="2:29">
      <c r="C134" s="13" t="s">
        <v>328</v>
      </c>
      <c r="D134" s="13">
        <f ca="1">SUM(E134:S134)</f>
        <v>9426.8510546502694</v>
      </c>
      <c r="E134" s="13">
        <f>E106*-1</f>
        <v>0</v>
      </c>
      <c r="F134" s="13">
        <f t="shared" ref="F134:S134" ca="1" si="32">F106*-1</f>
        <v>0</v>
      </c>
      <c r="G134" s="13">
        <f t="shared" ca="1" si="32"/>
        <v>0</v>
      </c>
      <c r="H134" s="13">
        <f t="shared" ca="1" si="32"/>
        <v>54.945239319471057</v>
      </c>
      <c r="I134" s="13">
        <f t="shared" ca="1" si="32"/>
        <v>807.40163971117454</v>
      </c>
      <c r="J134" s="13">
        <f t="shared" ca="1" si="32"/>
        <v>584.09296881806358</v>
      </c>
      <c r="K134" s="13">
        <f t="shared" ca="1" si="32"/>
        <v>1088.3343664867261</v>
      </c>
      <c r="L134" s="13">
        <f t="shared" ca="1" si="32"/>
        <v>1443.5488453898661</v>
      </c>
      <c r="M134" s="13">
        <f t="shared" ca="1" si="32"/>
        <v>1588.3906371145931</v>
      </c>
      <c r="N134" s="13">
        <f t="shared" ca="1" si="32"/>
        <v>1866.5122689714321</v>
      </c>
      <c r="O134" s="13">
        <f t="shared" ca="1" si="32"/>
        <v>1993.6250888389432</v>
      </c>
      <c r="P134" s="13">
        <f t="shared" ca="1" si="32"/>
        <v>0</v>
      </c>
      <c r="Q134" s="13">
        <f t="shared" ca="1" si="32"/>
        <v>0</v>
      </c>
      <c r="R134" s="13">
        <f t="shared" ca="1" si="32"/>
        <v>0</v>
      </c>
      <c r="S134" s="13">
        <f t="shared" ca="1" si="32"/>
        <v>0</v>
      </c>
      <c r="U134" s="13" t="s">
        <v>450</v>
      </c>
      <c r="W134" s="299">
        <f ca="1">E141</f>
        <v>0.181313910484314</v>
      </c>
      <c r="X134" s="330">
        <v>4.8500000000000001E-2</v>
      </c>
      <c r="Y134" s="330">
        <v>4.7500000000000001E-2</v>
      </c>
      <c r="Z134" s="330">
        <v>4.65E-2</v>
      </c>
      <c r="AA134" s="330">
        <v>4.5499999999999999E-2</v>
      </c>
      <c r="AB134" s="330">
        <v>4.4499999999999998E-2</v>
      </c>
      <c r="AC134" s="248"/>
    </row>
    <row r="135" spans="2:29">
      <c r="C135" s="13" t="s">
        <v>329</v>
      </c>
      <c r="D135" s="13">
        <f ca="1">SUM(E135:S135)</f>
        <v>48931.781348534234</v>
      </c>
      <c r="E135" s="13">
        <f>E109*-1</f>
        <v>0</v>
      </c>
      <c r="F135" s="13">
        <f t="shared" ref="F135:S135" ca="1" si="33">F109*-1</f>
        <v>0</v>
      </c>
      <c r="G135" s="13">
        <f t="shared" ca="1" si="33"/>
        <v>0</v>
      </c>
      <c r="H135" s="13">
        <f t="shared" ca="1" si="33"/>
        <v>0</v>
      </c>
      <c r="I135" s="13">
        <f t="shared" ca="1" si="33"/>
        <v>0</v>
      </c>
      <c r="J135" s="13">
        <f t="shared" ca="1" si="33"/>
        <v>0</v>
      </c>
      <c r="K135" s="13">
        <f t="shared" ca="1" si="33"/>
        <v>0</v>
      </c>
      <c r="L135" s="13">
        <f t="shared" ca="1" si="33"/>
        <v>0</v>
      </c>
      <c r="M135" s="13">
        <f t="shared" ca="1" si="33"/>
        <v>0</v>
      </c>
      <c r="N135" s="13">
        <f t="shared" ca="1" si="33"/>
        <v>0</v>
      </c>
      <c r="O135" s="13">
        <f t="shared" ca="1" si="33"/>
        <v>48931.781348534234</v>
      </c>
      <c r="P135" s="13">
        <f t="shared" ca="1" si="33"/>
        <v>0</v>
      </c>
      <c r="Q135" s="13">
        <f t="shared" ca="1" si="33"/>
        <v>0</v>
      </c>
      <c r="R135" s="13">
        <f t="shared" ca="1" si="33"/>
        <v>0</v>
      </c>
      <c r="S135" s="13">
        <f t="shared" ca="1" si="33"/>
        <v>0</v>
      </c>
      <c r="U135" s="13" t="s">
        <v>484</v>
      </c>
      <c r="W135" s="312">
        <v>4.6800000000000001E-2</v>
      </c>
      <c r="X135" s="90"/>
      <c r="Y135" s="90"/>
      <c r="Z135" s="90"/>
      <c r="AA135" s="90"/>
      <c r="AB135" s="90"/>
      <c r="AC135" s="353">
        <v>4.8800000000000003E-2</v>
      </c>
    </row>
    <row r="136" spans="2:29">
      <c r="C136" s="13" t="s">
        <v>410</v>
      </c>
      <c r="E136" s="13">
        <f>E96*-1</f>
        <v>0</v>
      </c>
      <c r="F136" s="13">
        <f t="shared" ref="F136:S136" ca="1" si="34">F96*-1</f>
        <v>0</v>
      </c>
      <c r="G136" s="13">
        <f t="shared" ca="1" si="34"/>
        <v>0</v>
      </c>
      <c r="H136" s="13">
        <f t="shared" ca="1" si="34"/>
        <v>0</v>
      </c>
      <c r="I136" s="13">
        <f t="shared" ca="1" si="34"/>
        <v>0</v>
      </c>
      <c r="J136" s="13">
        <f t="shared" ca="1" si="34"/>
        <v>0</v>
      </c>
      <c r="K136" s="13">
        <f t="shared" ca="1" si="34"/>
        <v>0</v>
      </c>
      <c r="L136" s="13">
        <f t="shared" ca="1" si="34"/>
        <v>0</v>
      </c>
      <c r="M136" s="13">
        <f t="shared" ca="1" si="34"/>
        <v>0</v>
      </c>
      <c r="N136" s="13">
        <f t="shared" ca="1" si="34"/>
        <v>0</v>
      </c>
      <c r="O136" s="13">
        <f t="shared" ca="1" si="34"/>
        <v>46499.999999999985</v>
      </c>
      <c r="P136" s="13">
        <f t="shared" ca="1" si="34"/>
        <v>0</v>
      </c>
      <c r="Q136" s="13">
        <f t="shared" ca="1" si="34"/>
        <v>0</v>
      </c>
      <c r="R136" s="13">
        <f t="shared" ca="1" si="34"/>
        <v>0</v>
      </c>
      <c r="S136" s="13">
        <f t="shared" ca="1" si="34"/>
        <v>0</v>
      </c>
      <c r="U136" s="13" t="s">
        <v>485</v>
      </c>
      <c r="W136" s="312">
        <v>4.4299999999999999E-2</v>
      </c>
      <c r="X136" s="90"/>
      <c r="Y136" s="90"/>
      <c r="Z136" s="90"/>
      <c r="AA136" s="90"/>
      <c r="AB136" s="90"/>
      <c r="AC136" s="354">
        <v>4.6300000000000001E-2</v>
      </c>
    </row>
    <row r="137" spans="2:29">
      <c r="C137" s="75" t="s">
        <v>411</v>
      </c>
      <c r="D137" s="75"/>
      <c r="E137" s="75">
        <f>SUM(E133:E136)</f>
        <v>-46500</v>
      </c>
      <c r="F137" s="75">
        <f t="shared" ref="F137" ca="1" si="35">SUM(F133:F136)</f>
        <v>0</v>
      </c>
      <c r="G137" s="75">
        <f t="shared" ref="G137" ca="1" si="36">SUM(G133:G136)</f>
        <v>0</v>
      </c>
      <c r="H137" s="75">
        <f t="shared" ref="H137" ca="1" si="37">SUM(H133:H136)</f>
        <v>54.945239319471057</v>
      </c>
      <c r="I137" s="75">
        <f t="shared" ref="I137" ca="1" si="38">SUM(I133:I136)</f>
        <v>807.40163971117454</v>
      </c>
      <c r="J137" s="75">
        <f t="shared" ref="J137" ca="1" si="39">SUM(J133:J136)</f>
        <v>584.09296881806358</v>
      </c>
      <c r="K137" s="75">
        <f t="shared" ref="K137" ca="1" si="40">SUM(K133:K136)</f>
        <v>1088.3343664867261</v>
      </c>
      <c r="L137" s="75">
        <f t="shared" ref="L137" ca="1" si="41">SUM(L133:L136)</f>
        <v>1443.5488453898661</v>
      </c>
      <c r="M137" s="75">
        <f t="shared" ref="M137" ca="1" si="42">SUM(M133:M136)</f>
        <v>1588.3906371145931</v>
      </c>
      <c r="N137" s="75">
        <f t="shared" ref="N137" ca="1" si="43">SUM(N133:N136)</f>
        <v>1866.5122689714321</v>
      </c>
      <c r="O137" s="75">
        <f t="shared" ref="O137" ca="1" si="44">SUM(O133:O136)</f>
        <v>97425.406437373167</v>
      </c>
      <c r="P137" s="75">
        <f t="shared" ref="P137" ca="1" si="45">SUM(P133:P136)</f>
        <v>0</v>
      </c>
      <c r="Q137" s="75">
        <f t="shared" ref="Q137" ca="1" si="46">SUM(Q133:Q136)</f>
        <v>0</v>
      </c>
      <c r="R137" s="75">
        <f t="shared" ref="R137" ca="1" si="47">SUM(R133:R136)</f>
        <v>0</v>
      </c>
      <c r="S137" s="75">
        <f t="shared" ref="S137" ca="1" si="48">SUM(S133:S136)</f>
        <v>0</v>
      </c>
      <c r="W137" s="312">
        <v>4.1799999999999997E-2</v>
      </c>
      <c r="X137" s="90"/>
      <c r="Y137" s="90"/>
      <c r="Z137" s="90"/>
      <c r="AA137" s="90"/>
      <c r="AB137" s="90"/>
      <c r="AC137" s="354">
        <v>4.3799999999999999E-2</v>
      </c>
    </row>
    <row r="138" spans="2:29">
      <c r="C138" s="13" t="s">
        <v>412</v>
      </c>
      <c r="F138" s="90">
        <f t="shared" ref="F138:S138" ca="1" si="49">F134/$E$48*(12/period)</f>
        <v>0</v>
      </c>
      <c r="G138" s="90">
        <f t="shared" ca="1" si="49"/>
        <v>0</v>
      </c>
      <c r="H138" s="90">
        <f t="shared" ca="1" si="49"/>
        <v>2.1337957017270315E-3</v>
      </c>
      <c r="I138" s="90">
        <f t="shared" ca="1" si="49"/>
        <v>3.1355403483929109E-2</v>
      </c>
      <c r="J138" s="90">
        <f t="shared" ca="1" si="49"/>
        <v>2.2683222090021885E-2</v>
      </c>
      <c r="K138" s="90">
        <f t="shared" ca="1" si="49"/>
        <v>4.2265412290746644E-2</v>
      </c>
      <c r="L138" s="90">
        <f t="shared" ca="1" si="49"/>
        <v>5.6060149335528782E-2</v>
      </c>
      <c r="M138" s="90">
        <f t="shared" ca="1" si="49"/>
        <v>6.1685073286003617E-2</v>
      </c>
      <c r="N138" s="90">
        <f t="shared" ca="1" si="49"/>
        <v>7.2485913358113871E-2</v>
      </c>
      <c r="O138" s="90">
        <f t="shared" ca="1" si="49"/>
        <v>7.7422333547143424E-2</v>
      </c>
      <c r="P138" s="90">
        <f t="shared" ca="1" si="49"/>
        <v>0</v>
      </c>
      <c r="Q138" s="90">
        <f t="shared" ca="1" si="49"/>
        <v>0</v>
      </c>
      <c r="R138" s="90">
        <f t="shared" ca="1" si="49"/>
        <v>0</v>
      </c>
      <c r="S138" s="90">
        <f t="shared" ca="1" si="49"/>
        <v>0</v>
      </c>
      <c r="W138" s="312">
        <v>3.9300000000000002E-2</v>
      </c>
      <c r="X138" s="90"/>
      <c r="Y138" s="90"/>
      <c r="Z138" s="90"/>
      <c r="AA138" s="90"/>
      <c r="AB138" s="90"/>
      <c r="AC138" s="354">
        <v>4.1300000000000003E-2</v>
      </c>
    </row>
    <row r="139" spans="2:29">
      <c r="C139" s="246" t="s">
        <v>425</v>
      </c>
      <c r="D139" s="141"/>
      <c r="E139" s="298">
        <f ca="1">D134/$E$49/$D$15</f>
        <v>4.0545595933979654E-2</v>
      </c>
      <c r="W139" s="299">
        <v>3.6799999999999999E-2</v>
      </c>
      <c r="X139" s="330"/>
      <c r="Y139" s="330"/>
      <c r="Z139" s="330"/>
      <c r="AA139" s="330"/>
      <c r="AB139" s="330"/>
      <c r="AC139" s="355">
        <v>3.8800000000000001E-2</v>
      </c>
    </row>
    <row r="140" spans="2:29">
      <c r="C140" s="255" t="s">
        <v>426</v>
      </c>
      <c r="E140" s="312" cm="1">
        <f t="array" aca="1" ref="E140" ca="1">SUM(D134:D135/$E$49/$D$15)</f>
        <v>0.25100487055133119</v>
      </c>
      <c r="AC140" s="90"/>
    </row>
    <row r="141" spans="2:29">
      <c r="C141" s="248" t="s">
        <v>413</v>
      </c>
      <c r="D141" s="249"/>
      <c r="E141" s="299">
        <f ca="1">XIRR(E137:S137,$E$121:$S$121,1%)</f>
        <v>0.181313910484314</v>
      </c>
      <c r="AC141" s="90"/>
    </row>
    <row r="142" spans="2:29">
      <c r="B142" s="13" t="s">
        <v>430</v>
      </c>
    </row>
    <row r="143" spans="2:29">
      <c r="C143" s="13" t="s">
        <v>409</v>
      </c>
      <c r="E143" s="13">
        <f>E50*-1</f>
        <v>-98000</v>
      </c>
      <c r="F143" s="13">
        <f t="shared" ref="F143:S143" si="50">F50*-1</f>
        <v>0</v>
      </c>
      <c r="G143" s="13">
        <f t="shared" si="50"/>
        <v>0</v>
      </c>
      <c r="H143" s="13">
        <f t="shared" si="50"/>
        <v>0</v>
      </c>
      <c r="I143" s="13">
        <f t="shared" si="50"/>
        <v>0</v>
      </c>
      <c r="J143" s="13">
        <f t="shared" si="50"/>
        <v>0</v>
      </c>
      <c r="K143" s="13">
        <f t="shared" si="50"/>
        <v>0</v>
      </c>
      <c r="L143" s="13">
        <f t="shared" si="50"/>
        <v>0</v>
      </c>
      <c r="M143" s="13">
        <f t="shared" si="50"/>
        <v>0</v>
      </c>
      <c r="N143" s="13">
        <f t="shared" si="50"/>
        <v>0</v>
      </c>
      <c r="O143" s="13">
        <f t="shared" ca="1" si="50"/>
        <v>-0.37909005310066368</v>
      </c>
      <c r="P143" s="13">
        <f t="shared" si="50"/>
        <v>0</v>
      </c>
      <c r="Q143" s="13">
        <f t="shared" si="50"/>
        <v>0</v>
      </c>
      <c r="R143" s="13">
        <f t="shared" si="50"/>
        <v>0</v>
      </c>
      <c r="S143" s="13">
        <f t="shared" si="50"/>
        <v>0</v>
      </c>
    </row>
    <row r="144" spans="2:29">
      <c r="C144" s="13" t="s">
        <v>328</v>
      </c>
      <c r="D144" s="13">
        <f ca="1">SUM(E144:S144)</f>
        <v>26164.351054650273</v>
      </c>
      <c r="E144" s="13">
        <f>(E105+E106)*-1</f>
        <v>0</v>
      </c>
      <c r="F144" s="13">
        <f t="shared" ref="F144:S144" ca="1" si="51">(F105+F106)*-1</f>
        <v>1077.4528308478116</v>
      </c>
      <c r="G144" s="13">
        <f t="shared" ca="1" si="51"/>
        <v>1604.3997161043135</v>
      </c>
      <c r="H144" s="13">
        <f t="shared" ca="1" si="51"/>
        <v>2394.342692367346</v>
      </c>
      <c r="I144" s="13">
        <f t="shared" ca="1" si="51"/>
        <v>2481.1516397111745</v>
      </c>
      <c r="J144" s="13">
        <f t="shared" ca="1" si="51"/>
        <v>2257.8429688180636</v>
      </c>
      <c r="K144" s="13">
        <f t="shared" ca="1" si="51"/>
        <v>2762.0843664867261</v>
      </c>
      <c r="L144" s="13">
        <f t="shared" ca="1" si="51"/>
        <v>3117.2988453898661</v>
      </c>
      <c r="M144" s="13">
        <f t="shared" ca="1" si="51"/>
        <v>3262.1406371145931</v>
      </c>
      <c r="N144" s="13">
        <f t="shared" ca="1" si="51"/>
        <v>3540.2622689714321</v>
      </c>
      <c r="O144" s="13">
        <f t="shared" ca="1" si="51"/>
        <v>3667.3750888389432</v>
      </c>
      <c r="P144" s="13">
        <f t="shared" ca="1" si="51"/>
        <v>0</v>
      </c>
      <c r="Q144" s="13">
        <f t="shared" ca="1" si="51"/>
        <v>0</v>
      </c>
      <c r="R144" s="13">
        <f t="shared" ca="1" si="51"/>
        <v>0</v>
      </c>
      <c r="S144" s="13">
        <f t="shared" ca="1" si="51"/>
        <v>0</v>
      </c>
    </row>
    <row r="145" spans="3:29">
      <c r="C145" s="13" t="s">
        <v>329</v>
      </c>
      <c r="D145" s="13">
        <f ca="1">SUM(E145:S145)</f>
        <v>54368.645942815812</v>
      </c>
      <c r="E145" s="13">
        <f>(E108+E109)*-1</f>
        <v>0</v>
      </c>
      <c r="F145" s="13">
        <f t="shared" ref="F145:S145" ca="1" si="52">(F108+F109)*-1</f>
        <v>0</v>
      </c>
      <c r="G145" s="13">
        <f t="shared" ca="1" si="52"/>
        <v>0</v>
      </c>
      <c r="H145" s="13">
        <f t="shared" ca="1" si="52"/>
        <v>0</v>
      </c>
      <c r="I145" s="13">
        <f t="shared" ca="1" si="52"/>
        <v>0</v>
      </c>
      <c r="J145" s="13">
        <f t="shared" ca="1" si="52"/>
        <v>0</v>
      </c>
      <c r="K145" s="13">
        <f t="shared" ca="1" si="52"/>
        <v>0</v>
      </c>
      <c r="L145" s="13">
        <f t="shared" ca="1" si="52"/>
        <v>0</v>
      </c>
      <c r="M145" s="13">
        <f t="shared" ca="1" si="52"/>
        <v>0</v>
      </c>
      <c r="N145" s="13">
        <f t="shared" ca="1" si="52"/>
        <v>0</v>
      </c>
      <c r="O145" s="13">
        <f t="shared" ca="1" si="52"/>
        <v>54368.645942815812</v>
      </c>
      <c r="P145" s="13">
        <f t="shared" ca="1" si="52"/>
        <v>0</v>
      </c>
      <c r="Q145" s="13">
        <f t="shared" ca="1" si="52"/>
        <v>0</v>
      </c>
      <c r="R145" s="13">
        <f t="shared" ca="1" si="52"/>
        <v>0</v>
      </c>
      <c r="S145" s="13">
        <f t="shared" ca="1" si="52"/>
        <v>0</v>
      </c>
    </row>
    <row r="146" spans="3:29">
      <c r="C146" s="13" t="s">
        <v>410</v>
      </c>
      <c r="E146" s="13">
        <f>(E95+E96)*-1</f>
        <v>0</v>
      </c>
      <c r="F146" s="13">
        <f t="shared" ref="F146:S146" ca="1" si="53">(F95+F96)*-1</f>
        <v>0</v>
      </c>
      <c r="G146" s="13">
        <f t="shared" ca="1" si="53"/>
        <v>0</v>
      </c>
      <c r="H146" s="13">
        <f t="shared" ca="1" si="53"/>
        <v>0</v>
      </c>
      <c r="I146" s="13">
        <f t="shared" ca="1" si="53"/>
        <v>0</v>
      </c>
      <c r="J146" s="13">
        <f t="shared" ca="1" si="53"/>
        <v>0</v>
      </c>
      <c r="K146" s="13">
        <f t="shared" ca="1" si="53"/>
        <v>0</v>
      </c>
      <c r="L146" s="13">
        <f t="shared" ca="1" si="53"/>
        <v>0</v>
      </c>
      <c r="M146" s="13">
        <f t="shared" ca="1" si="53"/>
        <v>0</v>
      </c>
      <c r="N146" s="13">
        <f t="shared" ca="1" si="53"/>
        <v>0</v>
      </c>
      <c r="O146" s="13">
        <f t="shared" ca="1" si="53"/>
        <v>97999.999999999985</v>
      </c>
      <c r="P146" s="13">
        <f t="shared" ca="1" si="53"/>
        <v>0</v>
      </c>
      <c r="Q146" s="13">
        <f t="shared" ca="1" si="53"/>
        <v>0</v>
      </c>
      <c r="R146" s="13">
        <f t="shared" ca="1" si="53"/>
        <v>0</v>
      </c>
      <c r="S146" s="13">
        <f t="shared" ca="1" si="53"/>
        <v>0</v>
      </c>
    </row>
    <row r="147" spans="3:29">
      <c r="C147" s="75" t="s">
        <v>411</v>
      </c>
      <c r="D147" s="75"/>
      <c r="E147" s="75">
        <f>SUM(E143:E146)</f>
        <v>-98000</v>
      </c>
      <c r="F147" s="75">
        <f t="shared" ref="F147:S147" ca="1" si="54">SUM(F143:F146)</f>
        <v>1077.4528308478116</v>
      </c>
      <c r="G147" s="75">
        <f t="shared" ca="1" si="54"/>
        <v>1604.3997161043135</v>
      </c>
      <c r="H147" s="75">
        <f t="shared" ca="1" si="54"/>
        <v>2394.342692367346</v>
      </c>
      <c r="I147" s="75">
        <f t="shared" ca="1" si="54"/>
        <v>2481.1516397111745</v>
      </c>
      <c r="J147" s="75">
        <f t="shared" ca="1" si="54"/>
        <v>2257.8429688180636</v>
      </c>
      <c r="K147" s="75">
        <f t="shared" ca="1" si="54"/>
        <v>2762.0843664867261</v>
      </c>
      <c r="L147" s="75">
        <f t="shared" ca="1" si="54"/>
        <v>3117.2988453898661</v>
      </c>
      <c r="M147" s="75">
        <f t="shared" ca="1" si="54"/>
        <v>3262.1406371145931</v>
      </c>
      <c r="N147" s="75">
        <f t="shared" ca="1" si="54"/>
        <v>3540.2622689714321</v>
      </c>
      <c r="O147" s="75">
        <f t="shared" ca="1" si="54"/>
        <v>156035.64194160164</v>
      </c>
      <c r="P147" s="75">
        <f t="shared" ca="1" si="54"/>
        <v>0</v>
      </c>
      <c r="Q147" s="75">
        <f t="shared" ca="1" si="54"/>
        <v>0</v>
      </c>
      <c r="R147" s="75">
        <f t="shared" ca="1" si="54"/>
        <v>0</v>
      </c>
      <c r="S147" s="75">
        <f t="shared" ca="1" si="54"/>
        <v>0</v>
      </c>
    </row>
    <row r="148" spans="3:29">
      <c r="C148" s="13" t="s">
        <v>412</v>
      </c>
      <c r="F148" s="90">
        <f t="shared" ref="F148:S148" ca="1" si="55">F144/$E$48*(12/period)</f>
        <v>4.1842828382439287E-2</v>
      </c>
      <c r="G148" s="90">
        <f t="shared" ca="1" si="55"/>
        <v>6.2306785091429652E-2</v>
      </c>
      <c r="H148" s="90">
        <f t="shared" ca="1" si="55"/>
        <v>9.2984182227858092E-2</v>
      </c>
      <c r="I148" s="90">
        <f t="shared" ca="1" si="55"/>
        <v>9.6355403483929111E-2</v>
      </c>
      <c r="J148" s="90">
        <f t="shared" ca="1" si="55"/>
        <v>8.7683222090021884E-2</v>
      </c>
      <c r="K148" s="90">
        <f t="shared" ca="1" si="55"/>
        <v>0.10726541229074664</v>
      </c>
      <c r="L148" s="90">
        <f t="shared" ca="1" si="55"/>
        <v>0.12106014933552878</v>
      </c>
      <c r="M148" s="90">
        <f t="shared" ca="1" si="55"/>
        <v>0.12668507328600362</v>
      </c>
      <c r="N148" s="90">
        <f t="shared" ca="1" si="55"/>
        <v>0.13748591335811386</v>
      </c>
      <c r="O148" s="90">
        <f t="shared" ca="1" si="55"/>
        <v>0.14242233354714343</v>
      </c>
      <c r="P148" s="90">
        <f t="shared" ca="1" si="55"/>
        <v>0</v>
      </c>
      <c r="Q148" s="90">
        <f t="shared" ca="1" si="55"/>
        <v>0</v>
      </c>
      <c r="R148" s="90">
        <f t="shared" ca="1" si="55"/>
        <v>0</v>
      </c>
      <c r="S148" s="90">
        <f t="shared" ca="1" si="55"/>
        <v>0</v>
      </c>
    </row>
    <row r="149" spans="3:29">
      <c r="C149" s="246" t="s">
        <v>425</v>
      </c>
      <c r="D149" s="141"/>
      <c r="E149" s="298">
        <f ca="1">D144/$E$50/$D$15</f>
        <v>5.3396634805408717E-2</v>
      </c>
    </row>
    <row r="150" spans="3:29">
      <c r="C150" s="255" t="s">
        <v>426</v>
      </c>
      <c r="E150" s="312" cm="1">
        <f t="array" aca="1" ref="E150" ca="1">SUM(D144:D145/$E$50/$D$15)</f>
        <v>0.16435305509686957</v>
      </c>
      <c r="W150" s="90"/>
      <c r="X150" s="90"/>
      <c r="Y150" s="90"/>
      <c r="Z150" s="90"/>
      <c r="AA150" s="90"/>
      <c r="AB150" s="90"/>
      <c r="AC150" s="90"/>
    </row>
    <row r="151" spans="3:29">
      <c r="C151" s="248" t="s">
        <v>413</v>
      </c>
      <c r="D151" s="249"/>
      <c r="E151" s="299">
        <f ca="1">XIRR(E147:S147,$E$121:$S$121,1%)</f>
        <v>0.13662011623382569</v>
      </c>
      <c r="W151" s="90"/>
      <c r="X151" s="90"/>
      <c r="Y151" s="90"/>
      <c r="Z151" s="90"/>
      <c r="AA151" s="90"/>
      <c r="AB151" s="90"/>
      <c r="AC151" s="125"/>
    </row>
    <row r="152" spans="3:29">
      <c r="W152" s="90"/>
      <c r="X152" s="90"/>
      <c r="Y152" s="90"/>
      <c r="Z152" s="90"/>
      <c r="AA152" s="90"/>
      <c r="AB152" s="90"/>
      <c r="AC152" s="125"/>
    </row>
    <row r="153" spans="3:29">
      <c r="W153" s="90"/>
      <c r="X153" s="90"/>
      <c r="Y153" s="90"/>
      <c r="Z153" s="90"/>
      <c r="AA153" s="90"/>
      <c r="AB153" s="90"/>
      <c r="AC153" s="125"/>
    </row>
    <row r="154" spans="3:29">
      <c r="W154" s="90"/>
      <c r="X154" s="90"/>
      <c r="Y154" s="90"/>
      <c r="Z154" s="90"/>
      <c r="AA154" s="90"/>
      <c r="AB154" s="90"/>
      <c r="AC154" s="125"/>
    </row>
    <row r="155" spans="3:29">
      <c r="W155" s="90"/>
      <c r="X155" s="90"/>
      <c r="Y155" s="90"/>
      <c r="Z155" s="90"/>
      <c r="AA155" s="90"/>
      <c r="AB155" s="90"/>
      <c r="AC155" s="125"/>
    </row>
  </sheetData>
  <phoneticPr fontId="1" type="noConversion"/>
  <conditionalFormatting sqref="X110:AB1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18:AB1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27:AB13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35:AB1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1:AB15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  <ignoredErrors>
    <ignoredError sqref="D24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ECEF-C221-C141-B89D-400C4531C7A8}">
  <dimension ref="A1:AE91"/>
  <sheetViews>
    <sheetView showGridLines="0" topLeftCell="A18" zoomScale="90" workbookViewId="0">
      <selection activeCell="N32" sqref="N32"/>
    </sheetView>
  </sheetViews>
  <sheetFormatPr baseColWidth="10" defaultRowHeight="15"/>
  <cols>
    <col min="1" max="1" width="3.5" style="13" customWidth="1"/>
    <col min="2" max="2" width="5" style="13" customWidth="1"/>
    <col min="3" max="4" width="10.83203125" style="13"/>
    <col min="5" max="5" width="21.33203125" style="13" customWidth="1"/>
    <col min="6" max="8" width="10.83203125" style="13"/>
    <col min="9" max="9" width="12.1640625" style="13" bestFit="1" customWidth="1"/>
    <col min="10" max="13" width="10.83203125" style="13"/>
    <col min="14" max="14" width="12" style="13" customWidth="1"/>
    <col min="15" max="17" width="10.83203125" style="13"/>
    <col min="18" max="18" width="10.83203125" style="13" customWidth="1"/>
    <col min="19" max="19" width="10.83203125" style="13"/>
    <col min="20" max="24" width="11.33203125" style="13" bestFit="1" customWidth="1"/>
    <col min="25" max="25" width="12.1640625" style="13" bestFit="1" customWidth="1"/>
    <col min="26" max="26" width="12.1640625" style="13" customWidth="1"/>
    <col min="27" max="29" width="10.83203125" style="13"/>
    <col min="30" max="30" width="11.6640625" style="13" bestFit="1" customWidth="1"/>
    <col min="31" max="31" width="10.83203125" style="13"/>
    <col min="32" max="32" width="10.83203125" style="13" customWidth="1"/>
    <col min="33" max="33" width="12.1640625" style="13" bestFit="1" customWidth="1"/>
    <col min="34" max="16384" width="10.83203125" style="13"/>
  </cols>
  <sheetData>
    <row r="1" spans="1:31" s="1" customFormat="1" ht="17" customHeight="1"/>
    <row r="2" spans="1:31" s="1" customFormat="1" ht="17" customHeight="1">
      <c r="B2" s="2" t="s">
        <v>10</v>
      </c>
      <c r="E2" s="153" t="s">
        <v>458</v>
      </c>
      <c r="W2" s="3" t="s">
        <v>0</v>
      </c>
      <c r="X2" s="4" t="s">
        <v>1</v>
      </c>
      <c r="Y2" s="5" t="s">
        <v>2</v>
      </c>
    </row>
    <row r="3" spans="1:31" s="1" customFormat="1" ht="17" customHeight="1">
      <c r="B3" s="2" t="s">
        <v>11</v>
      </c>
      <c r="E3" s="154" t="s">
        <v>216</v>
      </c>
      <c r="W3" s="6" t="s">
        <v>3</v>
      </c>
      <c r="X3" s="7" t="s">
        <v>4</v>
      </c>
      <c r="Y3" s="8" t="s">
        <v>5</v>
      </c>
    </row>
    <row r="4" spans="1:31" s="1" customFormat="1" ht="17" customHeight="1">
      <c r="B4" s="14"/>
      <c r="E4" s="311" t="s">
        <v>424</v>
      </c>
      <c r="W4" s="9" t="s">
        <v>6</v>
      </c>
      <c r="X4" s="10" t="s">
        <v>7</v>
      </c>
      <c r="Y4" s="63" t="s">
        <v>8</v>
      </c>
    </row>
    <row r="5" spans="1:31" s="12" customFormat="1" ht="17" customHeight="1" thickBot="1"/>
    <row r="6" spans="1:31" ht="16" thickTop="1">
      <c r="A6" s="13" t="s">
        <v>9</v>
      </c>
    </row>
    <row r="7" spans="1:31">
      <c r="A7" s="2" t="s">
        <v>13</v>
      </c>
    </row>
    <row r="8" spans="1:31" ht="17" customHeight="1">
      <c r="C8" s="22" t="s">
        <v>45</v>
      </c>
      <c r="D8" s="2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C8" s="63" t="s">
        <v>46</v>
      </c>
      <c r="AD8" s="63"/>
      <c r="AE8" s="270">
        <v>0.03</v>
      </c>
    </row>
    <row r="9" spans="1:31" ht="17" customHeight="1">
      <c r="C9" s="365" t="s">
        <v>47</v>
      </c>
      <c r="D9" s="367" t="s">
        <v>48</v>
      </c>
      <c r="E9" s="368" t="s">
        <v>49</v>
      </c>
      <c r="F9" s="359" t="s">
        <v>50</v>
      </c>
      <c r="G9" s="365"/>
      <c r="H9" s="359" t="s">
        <v>51</v>
      </c>
      <c r="I9" s="365"/>
      <c r="J9" s="367" t="s">
        <v>52</v>
      </c>
      <c r="K9" s="359" t="s">
        <v>53</v>
      </c>
      <c r="L9" s="370"/>
      <c r="M9" s="365"/>
      <c r="N9" s="359" t="s">
        <v>54</v>
      </c>
      <c r="O9" s="370"/>
      <c r="P9" s="370"/>
      <c r="Q9" s="365"/>
      <c r="R9" s="371" t="s">
        <v>88</v>
      </c>
      <c r="S9" s="371" t="s">
        <v>55</v>
      </c>
      <c r="T9" s="371" t="s">
        <v>56</v>
      </c>
      <c r="U9" s="370" t="s">
        <v>83</v>
      </c>
      <c r="V9" s="370"/>
      <c r="W9" s="359" t="s">
        <v>57</v>
      </c>
      <c r="X9" s="370"/>
      <c r="Y9" s="358" t="s">
        <v>155</v>
      </c>
      <c r="Z9" s="358" t="s">
        <v>262</v>
      </c>
      <c r="AA9" s="358" t="s">
        <v>435</v>
      </c>
      <c r="AB9" s="23"/>
      <c r="AC9" s="23"/>
      <c r="AD9" s="23"/>
    </row>
    <row r="10" spans="1:31">
      <c r="C10" s="366"/>
      <c r="D10" s="368"/>
      <c r="E10" s="369"/>
      <c r="F10" s="24" t="s">
        <v>58</v>
      </c>
      <c r="G10" s="24" t="s">
        <v>59</v>
      </c>
      <c r="H10" s="24" t="s">
        <v>58</v>
      </c>
      <c r="I10" s="24" t="s">
        <v>59</v>
      </c>
      <c r="J10" s="368"/>
      <c r="K10" s="24" t="s">
        <v>60</v>
      </c>
      <c r="L10" s="24" t="s">
        <v>61</v>
      </c>
      <c r="M10" s="24" t="s">
        <v>84</v>
      </c>
      <c r="N10" s="24" t="s">
        <v>62</v>
      </c>
      <c r="O10" s="24" t="s">
        <v>63</v>
      </c>
      <c r="P10" s="24" t="s">
        <v>64</v>
      </c>
      <c r="Q10" s="24" t="s">
        <v>65</v>
      </c>
      <c r="R10" s="368"/>
      <c r="S10" s="368"/>
      <c r="T10" s="368"/>
      <c r="U10" s="24" t="s">
        <v>66</v>
      </c>
      <c r="V10" s="25" t="s">
        <v>65</v>
      </c>
      <c r="W10" s="25" t="s">
        <v>67</v>
      </c>
      <c r="X10" s="25" t="s">
        <v>68</v>
      </c>
      <c r="Y10" s="359"/>
      <c r="Z10" s="359"/>
      <c r="AA10" s="359"/>
    </row>
    <row r="11" spans="1:31">
      <c r="C11" s="27">
        <v>17</v>
      </c>
      <c r="D11" s="28" t="s">
        <v>70</v>
      </c>
      <c r="E11" s="285" t="s">
        <v>76</v>
      </c>
      <c r="F11" s="29">
        <v>1385.09</v>
      </c>
      <c r="G11" s="29">
        <v>683.57</v>
      </c>
      <c r="H11" s="29">
        <f t="shared" ref="H11:H29" si="0">F11*py</f>
        <v>418.98972499999996</v>
      </c>
      <c r="I11" s="29">
        <f t="shared" ref="I11:I29" si="1">G11*py</f>
        <v>206.77992500000002</v>
      </c>
      <c r="J11" s="54">
        <f>G11/F11</f>
        <v>0.49352027666072246</v>
      </c>
      <c r="K11" s="199">
        <v>45322</v>
      </c>
      <c r="L11" s="199">
        <v>47148</v>
      </c>
      <c r="M11" s="30">
        <f>DATEDIF(K11,EOMONTH(L11,0),"m")</f>
        <v>60</v>
      </c>
      <c r="N11" s="31">
        <f t="shared" ref="N11:N26" si="2">O11*10</f>
        <v>1000000</v>
      </c>
      <c r="O11" s="32">
        <v>100000</v>
      </c>
      <c r="P11" s="31">
        <f>O11*(12-T11)/12</f>
        <v>75000</v>
      </c>
      <c r="Q11" s="32">
        <v>45000</v>
      </c>
      <c r="R11" s="32">
        <v>0</v>
      </c>
      <c r="S11" s="33">
        <v>0</v>
      </c>
      <c r="T11" s="33">
        <v>3</v>
      </c>
      <c r="U11" s="34">
        <v>0.03</v>
      </c>
      <c r="V11" s="35">
        <v>0.03</v>
      </c>
      <c r="W11" s="78">
        <f t="shared" ref="W11:W29" si="3">(($O11+$Q11))/$J11</f>
        <v>293807.58371490845</v>
      </c>
      <c r="X11" s="78">
        <f t="shared" ref="X11:X29" si="4">IFERROR(((N11*$AE$8/12+$O11*($M11-$S11-($T11*M11/12))/$M11)+$Q11)/$J11-R11/M11,0)</f>
        <v>248216.75175914681</v>
      </c>
      <c r="Y11" s="92">
        <f t="shared" ref="Y11:Y29" si="5">N11*H11/unit</f>
        <v>418.98972499999996</v>
      </c>
      <c r="Z11" s="92">
        <f t="shared" ref="Z11:Z29" si="6">(P11*H11/unit+Q11*H11/unit)*12</f>
        <v>603.34520399999997</v>
      </c>
      <c r="AA11" s="345">
        <f t="shared" ref="AA11:AA29" si="7">IFERROR(DATEDIF(acq,$L11,"m"),0)</f>
        <v>47</v>
      </c>
    </row>
    <row r="12" spans="1:31">
      <c r="C12" s="27">
        <v>16</v>
      </c>
      <c r="D12" s="28" t="s">
        <v>70</v>
      </c>
      <c r="E12" s="285" t="s">
        <v>76</v>
      </c>
      <c r="F12" s="29">
        <v>1385.09</v>
      </c>
      <c r="G12" s="29">
        <v>683.57</v>
      </c>
      <c r="H12" s="29">
        <f t="shared" si="0"/>
        <v>418.98972499999996</v>
      </c>
      <c r="I12" s="29">
        <f t="shared" si="1"/>
        <v>206.77992500000002</v>
      </c>
      <c r="J12" s="54">
        <f t="shared" ref="J12:J32" si="8">G12/F12</f>
        <v>0.49352027666072246</v>
      </c>
      <c r="K12" s="199">
        <v>45322</v>
      </c>
      <c r="L12" s="199">
        <v>47148</v>
      </c>
      <c r="M12" s="30">
        <f t="shared" ref="M12:M26" si="9">DATEDIF(K12,EOMONTH(L12,0),"m")</f>
        <v>60</v>
      </c>
      <c r="N12" s="31">
        <f t="shared" si="2"/>
        <v>1000000</v>
      </c>
      <c r="O12" s="32">
        <v>100000</v>
      </c>
      <c r="P12" s="31">
        <f t="shared" ref="P12:P29" si="10">O12*(12-T12)/12</f>
        <v>75000</v>
      </c>
      <c r="Q12" s="32">
        <v>45000</v>
      </c>
      <c r="R12" s="32">
        <v>0</v>
      </c>
      <c r="S12" s="33">
        <v>0</v>
      </c>
      <c r="T12" s="33">
        <v>3</v>
      </c>
      <c r="U12" s="34">
        <v>0.03</v>
      </c>
      <c r="V12" s="35">
        <v>0.03</v>
      </c>
      <c r="W12" s="78">
        <f t="shared" si="3"/>
        <v>293807.58371490845</v>
      </c>
      <c r="X12" s="78">
        <f t="shared" si="4"/>
        <v>248216.75175914681</v>
      </c>
      <c r="Y12" s="92">
        <f t="shared" si="5"/>
        <v>418.98972499999996</v>
      </c>
      <c r="Z12" s="92">
        <f t="shared" si="6"/>
        <v>603.34520399999997</v>
      </c>
      <c r="AA12" s="345">
        <f t="shared" si="7"/>
        <v>47</v>
      </c>
    </row>
    <row r="13" spans="1:31">
      <c r="C13" s="27">
        <v>15</v>
      </c>
      <c r="D13" s="28" t="s">
        <v>70</v>
      </c>
      <c r="E13" s="285" t="s">
        <v>77</v>
      </c>
      <c r="F13" s="29">
        <v>1385.09</v>
      </c>
      <c r="G13" s="29">
        <v>683.57</v>
      </c>
      <c r="H13" s="29">
        <f t="shared" si="0"/>
        <v>418.98972499999996</v>
      </c>
      <c r="I13" s="29">
        <f t="shared" si="1"/>
        <v>206.77992500000002</v>
      </c>
      <c r="J13" s="54">
        <f t="shared" si="8"/>
        <v>0.49352027666072246</v>
      </c>
      <c r="K13" s="199">
        <v>44042</v>
      </c>
      <c r="L13" s="199">
        <v>45869</v>
      </c>
      <c r="M13" s="30">
        <f t="shared" si="9"/>
        <v>60</v>
      </c>
      <c r="N13" s="31">
        <v>800000</v>
      </c>
      <c r="O13" s="32">
        <v>90041</v>
      </c>
      <c r="P13" s="31">
        <f t="shared" si="10"/>
        <v>67530.75</v>
      </c>
      <c r="Q13" s="32">
        <v>45020</v>
      </c>
      <c r="R13" s="32">
        <v>0</v>
      </c>
      <c r="S13" s="33">
        <v>0</v>
      </c>
      <c r="T13" s="33">
        <v>3</v>
      </c>
      <c r="U13" s="34">
        <v>0.03</v>
      </c>
      <c r="V13" s="35">
        <v>0.03</v>
      </c>
      <c r="W13" s="78">
        <f t="shared" si="3"/>
        <v>273668.59354565002</v>
      </c>
      <c r="X13" s="78">
        <f t="shared" si="4"/>
        <v>232109.5108291762</v>
      </c>
      <c r="Y13" s="92">
        <f t="shared" si="5"/>
        <v>335.19177999999999</v>
      </c>
      <c r="Z13" s="92">
        <f t="shared" si="6"/>
        <v>565.89129349252494</v>
      </c>
      <c r="AA13" s="345">
        <f t="shared" si="7"/>
        <v>6</v>
      </c>
    </row>
    <row r="14" spans="1:31">
      <c r="C14" s="27">
        <v>14</v>
      </c>
      <c r="D14" s="28" t="s">
        <v>70</v>
      </c>
      <c r="E14" s="285" t="s">
        <v>77</v>
      </c>
      <c r="F14" s="29">
        <v>1385.09</v>
      </c>
      <c r="G14" s="29">
        <v>683.57</v>
      </c>
      <c r="H14" s="29">
        <f t="shared" si="0"/>
        <v>418.98972499999996</v>
      </c>
      <c r="I14" s="29">
        <f t="shared" si="1"/>
        <v>206.77992500000002</v>
      </c>
      <c r="J14" s="54">
        <f t="shared" si="8"/>
        <v>0.49352027666072246</v>
      </c>
      <c r="K14" s="199">
        <v>44043</v>
      </c>
      <c r="L14" s="199">
        <v>45868</v>
      </c>
      <c r="M14" s="30">
        <f t="shared" si="9"/>
        <v>60</v>
      </c>
      <c r="N14" s="31">
        <v>800000</v>
      </c>
      <c r="O14" s="32">
        <v>90041</v>
      </c>
      <c r="P14" s="31">
        <f t="shared" si="10"/>
        <v>67530.75</v>
      </c>
      <c r="Q14" s="32">
        <v>45020</v>
      </c>
      <c r="R14" s="32">
        <v>0</v>
      </c>
      <c r="S14" s="33">
        <v>0</v>
      </c>
      <c r="T14" s="33">
        <v>3</v>
      </c>
      <c r="U14" s="34">
        <v>0.03</v>
      </c>
      <c r="V14" s="35">
        <v>0.03</v>
      </c>
      <c r="W14" s="78">
        <f t="shared" si="3"/>
        <v>273668.59354565002</v>
      </c>
      <c r="X14" s="78">
        <f t="shared" si="4"/>
        <v>232109.5108291762</v>
      </c>
      <c r="Y14" s="92">
        <f t="shared" si="5"/>
        <v>335.19177999999999</v>
      </c>
      <c r="Z14" s="92">
        <f t="shared" si="6"/>
        <v>565.89129349252494</v>
      </c>
      <c r="AA14" s="345">
        <f t="shared" si="7"/>
        <v>5</v>
      </c>
    </row>
    <row r="15" spans="1:31">
      <c r="C15" s="27">
        <v>13</v>
      </c>
      <c r="D15" s="28" t="s">
        <v>70</v>
      </c>
      <c r="E15" s="285" t="s">
        <v>77</v>
      </c>
      <c r="F15" s="29">
        <v>1385.09</v>
      </c>
      <c r="G15" s="29">
        <v>683.57</v>
      </c>
      <c r="H15" s="29">
        <f t="shared" si="0"/>
        <v>418.98972499999996</v>
      </c>
      <c r="I15" s="29">
        <f t="shared" si="1"/>
        <v>206.77992500000002</v>
      </c>
      <c r="J15" s="54">
        <f t="shared" si="8"/>
        <v>0.49352027666072246</v>
      </c>
      <c r="K15" s="199">
        <v>44043</v>
      </c>
      <c r="L15" s="199">
        <v>45868</v>
      </c>
      <c r="M15" s="30">
        <f t="shared" si="9"/>
        <v>60</v>
      </c>
      <c r="N15" s="31">
        <v>800000</v>
      </c>
      <c r="O15" s="32">
        <v>90041</v>
      </c>
      <c r="P15" s="31">
        <f t="shared" si="10"/>
        <v>67530.75</v>
      </c>
      <c r="Q15" s="32">
        <v>45020</v>
      </c>
      <c r="R15" s="32">
        <v>0</v>
      </c>
      <c r="S15" s="33">
        <v>0</v>
      </c>
      <c r="T15" s="33">
        <v>3</v>
      </c>
      <c r="U15" s="34">
        <v>0.03</v>
      </c>
      <c r="V15" s="35">
        <v>0.03</v>
      </c>
      <c r="W15" s="78">
        <f t="shared" si="3"/>
        <v>273668.59354565002</v>
      </c>
      <c r="X15" s="78">
        <f t="shared" si="4"/>
        <v>232109.5108291762</v>
      </c>
      <c r="Y15" s="92">
        <f t="shared" si="5"/>
        <v>335.19177999999999</v>
      </c>
      <c r="Z15" s="92">
        <f t="shared" si="6"/>
        <v>565.89129349252494</v>
      </c>
      <c r="AA15" s="345">
        <f t="shared" si="7"/>
        <v>5</v>
      </c>
    </row>
    <row r="16" spans="1:31">
      <c r="C16" s="27">
        <v>12</v>
      </c>
      <c r="D16" s="28" t="s">
        <v>70</v>
      </c>
      <c r="E16" s="285" t="s">
        <v>77</v>
      </c>
      <c r="F16" s="29">
        <v>1385.09</v>
      </c>
      <c r="G16" s="29">
        <v>683.57</v>
      </c>
      <c r="H16" s="29">
        <f t="shared" si="0"/>
        <v>418.98972499999996</v>
      </c>
      <c r="I16" s="29">
        <f t="shared" si="1"/>
        <v>206.77992500000002</v>
      </c>
      <c r="J16" s="54">
        <f t="shared" si="8"/>
        <v>0.49352027666072246</v>
      </c>
      <c r="K16" s="199">
        <v>44043</v>
      </c>
      <c r="L16" s="199">
        <v>45868</v>
      </c>
      <c r="M16" s="30">
        <f t="shared" si="9"/>
        <v>60</v>
      </c>
      <c r="N16" s="31">
        <v>800000</v>
      </c>
      <c r="O16" s="32">
        <v>90041</v>
      </c>
      <c r="P16" s="31">
        <f t="shared" si="10"/>
        <v>67530.75</v>
      </c>
      <c r="Q16" s="32">
        <v>45020</v>
      </c>
      <c r="R16" s="32">
        <v>0</v>
      </c>
      <c r="S16" s="33">
        <v>0</v>
      </c>
      <c r="T16" s="33">
        <v>3</v>
      </c>
      <c r="U16" s="34">
        <v>0.03</v>
      </c>
      <c r="V16" s="35">
        <v>0.03</v>
      </c>
      <c r="W16" s="78">
        <f t="shared" si="3"/>
        <v>273668.59354565002</v>
      </c>
      <c r="X16" s="78">
        <f t="shared" si="4"/>
        <v>232109.5108291762</v>
      </c>
      <c r="Y16" s="92">
        <f t="shared" si="5"/>
        <v>335.19177999999999</v>
      </c>
      <c r="Z16" s="92">
        <f t="shared" si="6"/>
        <v>565.89129349252494</v>
      </c>
      <c r="AA16" s="345">
        <f t="shared" si="7"/>
        <v>5</v>
      </c>
    </row>
    <row r="17" spans="3:31">
      <c r="C17" s="27">
        <v>11</v>
      </c>
      <c r="D17" s="28" t="s">
        <v>70</v>
      </c>
      <c r="E17" s="285" t="s">
        <v>78</v>
      </c>
      <c r="F17" s="29">
        <v>1385.09</v>
      </c>
      <c r="G17" s="29">
        <v>683.57</v>
      </c>
      <c r="H17" s="29">
        <f t="shared" si="0"/>
        <v>418.98972499999996</v>
      </c>
      <c r="I17" s="29">
        <f t="shared" si="1"/>
        <v>206.77992500000002</v>
      </c>
      <c r="J17" s="54">
        <f t="shared" si="8"/>
        <v>0.49352027666072246</v>
      </c>
      <c r="K17" s="199">
        <v>45077</v>
      </c>
      <c r="L17" s="199">
        <v>46903</v>
      </c>
      <c r="M17" s="30">
        <f t="shared" si="9"/>
        <v>60</v>
      </c>
      <c r="N17" s="31">
        <v>1000000</v>
      </c>
      <c r="O17" s="32">
        <v>103000</v>
      </c>
      <c r="P17" s="31">
        <f t="shared" si="10"/>
        <v>85833.333333333328</v>
      </c>
      <c r="Q17" s="32">
        <v>46350</v>
      </c>
      <c r="R17" s="32">
        <v>0</v>
      </c>
      <c r="S17" s="33">
        <v>0</v>
      </c>
      <c r="T17" s="33">
        <v>2</v>
      </c>
      <c r="U17" s="34">
        <v>0.03</v>
      </c>
      <c r="V17" s="35">
        <v>0.03</v>
      </c>
      <c r="W17" s="78">
        <f t="shared" si="3"/>
        <v>302621.81122635573</v>
      </c>
      <c r="X17" s="78">
        <f t="shared" si="4"/>
        <v>272903.34298852587</v>
      </c>
      <c r="Y17" s="92">
        <f t="shared" si="5"/>
        <v>418.98972499999996</v>
      </c>
      <c r="Z17" s="92">
        <f t="shared" si="6"/>
        <v>664.60150179499999</v>
      </c>
      <c r="AA17" s="345">
        <f t="shared" si="7"/>
        <v>39</v>
      </c>
    </row>
    <row r="18" spans="3:31">
      <c r="C18" s="27">
        <v>10</v>
      </c>
      <c r="D18" s="28" t="s">
        <v>70</v>
      </c>
      <c r="E18" s="285" t="s">
        <v>78</v>
      </c>
      <c r="F18" s="29">
        <v>1385.09</v>
      </c>
      <c r="G18" s="29">
        <v>683.57</v>
      </c>
      <c r="H18" s="29">
        <f t="shared" si="0"/>
        <v>418.98972499999996</v>
      </c>
      <c r="I18" s="29">
        <f t="shared" si="1"/>
        <v>206.77992500000002</v>
      </c>
      <c r="J18" s="54">
        <f t="shared" si="8"/>
        <v>0.49352027666072246</v>
      </c>
      <c r="K18" s="199">
        <v>45077</v>
      </c>
      <c r="L18" s="199">
        <v>46903</v>
      </c>
      <c r="M18" s="30">
        <f t="shared" si="9"/>
        <v>60</v>
      </c>
      <c r="N18" s="31">
        <v>1000000</v>
      </c>
      <c r="O18" s="32">
        <v>103000</v>
      </c>
      <c r="P18" s="31">
        <f t="shared" si="10"/>
        <v>85833.333333333328</v>
      </c>
      <c r="Q18" s="32">
        <v>46350</v>
      </c>
      <c r="R18" s="32">
        <v>0</v>
      </c>
      <c r="S18" s="33">
        <v>0</v>
      </c>
      <c r="T18" s="33">
        <v>2</v>
      </c>
      <c r="U18" s="34">
        <v>0.03</v>
      </c>
      <c r="V18" s="35">
        <v>0.03</v>
      </c>
      <c r="W18" s="78">
        <f t="shared" si="3"/>
        <v>302621.81122635573</v>
      </c>
      <c r="X18" s="78">
        <f t="shared" si="4"/>
        <v>272903.34298852587</v>
      </c>
      <c r="Y18" s="92">
        <f t="shared" si="5"/>
        <v>418.98972499999996</v>
      </c>
      <c r="Z18" s="92">
        <f t="shared" si="6"/>
        <v>664.60150179499999</v>
      </c>
      <c r="AA18" s="345">
        <f t="shared" si="7"/>
        <v>39</v>
      </c>
      <c r="AC18" s="264" t="s">
        <v>455</v>
      </c>
      <c r="AD18" s="141"/>
      <c r="AE18" s="247"/>
    </row>
    <row r="19" spans="3:31">
      <c r="C19" s="27">
        <v>9</v>
      </c>
      <c r="D19" s="28" t="s">
        <v>70</v>
      </c>
      <c r="E19" s="285" t="s">
        <v>78</v>
      </c>
      <c r="F19" s="29">
        <v>1385.09</v>
      </c>
      <c r="G19" s="29">
        <v>683.57</v>
      </c>
      <c r="H19" s="29">
        <f t="shared" si="0"/>
        <v>418.98972499999996</v>
      </c>
      <c r="I19" s="29">
        <f t="shared" si="1"/>
        <v>206.77992500000002</v>
      </c>
      <c r="J19" s="54">
        <f t="shared" si="8"/>
        <v>0.49352027666072246</v>
      </c>
      <c r="K19" s="199">
        <v>45077</v>
      </c>
      <c r="L19" s="199">
        <v>46903</v>
      </c>
      <c r="M19" s="30">
        <f t="shared" si="9"/>
        <v>60</v>
      </c>
      <c r="N19" s="31">
        <v>1000000</v>
      </c>
      <c r="O19" s="32">
        <v>103000</v>
      </c>
      <c r="P19" s="31">
        <f t="shared" si="10"/>
        <v>85833.333333333328</v>
      </c>
      <c r="Q19" s="32">
        <v>46350</v>
      </c>
      <c r="R19" s="32">
        <v>0</v>
      </c>
      <c r="S19" s="33">
        <v>0</v>
      </c>
      <c r="T19" s="33">
        <v>2</v>
      </c>
      <c r="U19" s="34">
        <v>0.03</v>
      </c>
      <c r="V19" s="35">
        <v>0.03</v>
      </c>
      <c r="W19" s="78">
        <f t="shared" si="3"/>
        <v>302621.81122635573</v>
      </c>
      <c r="X19" s="78">
        <f t="shared" si="4"/>
        <v>272903.34298852587</v>
      </c>
      <c r="Y19" s="92">
        <f t="shared" si="5"/>
        <v>418.98972499999996</v>
      </c>
      <c r="Z19" s="92">
        <f t="shared" si="6"/>
        <v>664.60150179499999</v>
      </c>
      <c r="AA19" s="345">
        <f t="shared" si="7"/>
        <v>39</v>
      </c>
      <c r="AC19" s="255" t="s">
        <v>444</v>
      </c>
      <c r="AE19" s="329">
        <f>'A&amp;R'!AG109</f>
        <v>103000</v>
      </c>
    </row>
    <row r="20" spans="3:31">
      <c r="C20" s="27">
        <v>8</v>
      </c>
      <c r="D20" s="28" t="s">
        <v>70</v>
      </c>
      <c r="E20" s="285" t="s">
        <v>79</v>
      </c>
      <c r="F20" s="29">
        <v>1385.09</v>
      </c>
      <c r="G20" s="29">
        <v>683.57</v>
      </c>
      <c r="H20" s="29">
        <f t="shared" si="0"/>
        <v>418.98972499999996</v>
      </c>
      <c r="I20" s="29">
        <f t="shared" si="1"/>
        <v>206.77992500000002</v>
      </c>
      <c r="J20" s="54">
        <f t="shared" si="8"/>
        <v>0.49352027666072246</v>
      </c>
      <c r="K20" s="199">
        <v>44651</v>
      </c>
      <c r="L20" s="199">
        <v>46476</v>
      </c>
      <c r="M20" s="30">
        <f t="shared" si="9"/>
        <v>60</v>
      </c>
      <c r="N20" s="31">
        <v>900000</v>
      </c>
      <c r="O20" s="32">
        <v>95481</v>
      </c>
      <c r="P20" s="31">
        <f t="shared" si="10"/>
        <v>87524.25</v>
      </c>
      <c r="Q20" s="32">
        <v>42436</v>
      </c>
      <c r="R20" s="32">
        <v>0</v>
      </c>
      <c r="S20" s="33">
        <v>0</v>
      </c>
      <c r="T20" s="33">
        <v>1</v>
      </c>
      <c r="U20" s="34">
        <v>0.03</v>
      </c>
      <c r="V20" s="35">
        <v>0.03</v>
      </c>
      <c r="W20" s="78">
        <f t="shared" si="3"/>
        <v>279455.58981523471</v>
      </c>
      <c r="X20" s="78">
        <f t="shared" si="4"/>
        <v>267892.23513685499</v>
      </c>
      <c r="Y20" s="92">
        <f t="shared" si="5"/>
        <v>377.09075249999995</v>
      </c>
      <c r="Z20" s="92">
        <f t="shared" si="6"/>
        <v>653.42411290117479</v>
      </c>
      <c r="AA20" s="345">
        <f t="shared" si="7"/>
        <v>25</v>
      </c>
      <c r="AC20" s="255" t="s">
        <v>445</v>
      </c>
      <c r="AE20" s="329">
        <v>45000</v>
      </c>
    </row>
    <row r="21" spans="3:31">
      <c r="C21" s="27">
        <v>7</v>
      </c>
      <c r="D21" s="28" t="s">
        <v>70</v>
      </c>
      <c r="E21" s="285" t="s">
        <v>79</v>
      </c>
      <c r="F21" s="29">
        <v>1385.09</v>
      </c>
      <c r="G21" s="29">
        <v>683.57</v>
      </c>
      <c r="H21" s="29">
        <f t="shared" si="0"/>
        <v>418.98972499999996</v>
      </c>
      <c r="I21" s="29">
        <f t="shared" si="1"/>
        <v>206.77992500000002</v>
      </c>
      <c r="J21" s="54">
        <f t="shared" si="8"/>
        <v>0.49352027666072246</v>
      </c>
      <c r="K21" s="199">
        <v>44651</v>
      </c>
      <c r="L21" s="199">
        <v>46476</v>
      </c>
      <c r="M21" s="30">
        <f t="shared" si="9"/>
        <v>60</v>
      </c>
      <c r="N21" s="31">
        <v>900000</v>
      </c>
      <c r="O21" s="32">
        <v>95481</v>
      </c>
      <c r="P21" s="31">
        <f t="shared" si="10"/>
        <v>87524.25</v>
      </c>
      <c r="Q21" s="32">
        <v>42436</v>
      </c>
      <c r="R21" s="32">
        <v>0</v>
      </c>
      <c r="S21" s="33">
        <v>0</v>
      </c>
      <c r="T21" s="33">
        <v>1</v>
      </c>
      <c r="U21" s="34">
        <v>0.03</v>
      </c>
      <c r="V21" s="35">
        <v>0.03</v>
      </c>
      <c r="W21" s="78">
        <f t="shared" si="3"/>
        <v>279455.58981523471</v>
      </c>
      <c r="X21" s="78">
        <f t="shared" si="4"/>
        <v>267892.23513685499</v>
      </c>
      <c r="Y21" s="92">
        <f t="shared" si="5"/>
        <v>377.09075249999995</v>
      </c>
      <c r="Z21" s="92">
        <f t="shared" si="6"/>
        <v>653.42411290117479</v>
      </c>
      <c r="AA21" s="345">
        <f t="shared" si="7"/>
        <v>25</v>
      </c>
      <c r="AC21" s="248" t="s">
        <v>464</v>
      </c>
      <c r="AD21" s="249"/>
      <c r="AE21" s="352">
        <v>0.32750000000000001</v>
      </c>
    </row>
    <row r="22" spans="3:31">
      <c r="C22" s="27">
        <v>6</v>
      </c>
      <c r="D22" s="28" t="s">
        <v>70</v>
      </c>
      <c r="E22" s="285" t="s">
        <v>79</v>
      </c>
      <c r="F22" s="29">
        <v>1385.09</v>
      </c>
      <c r="G22" s="29">
        <v>683.57</v>
      </c>
      <c r="H22" s="29">
        <f t="shared" si="0"/>
        <v>418.98972499999996</v>
      </c>
      <c r="I22" s="29">
        <f t="shared" si="1"/>
        <v>206.77992500000002</v>
      </c>
      <c r="J22" s="54">
        <f t="shared" si="8"/>
        <v>0.49352027666072246</v>
      </c>
      <c r="K22" s="199">
        <v>44651</v>
      </c>
      <c r="L22" s="199">
        <v>46476</v>
      </c>
      <c r="M22" s="30">
        <f t="shared" si="9"/>
        <v>60</v>
      </c>
      <c r="N22" s="31">
        <v>900000</v>
      </c>
      <c r="O22" s="32">
        <v>95481</v>
      </c>
      <c r="P22" s="31">
        <f t="shared" si="10"/>
        <v>87524.25</v>
      </c>
      <c r="Q22" s="32">
        <v>42436</v>
      </c>
      <c r="R22" s="32">
        <v>0</v>
      </c>
      <c r="S22" s="33">
        <v>0</v>
      </c>
      <c r="T22" s="33">
        <v>1</v>
      </c>
      <c r="U22" s="34">
        <v>0.03</v>
      </c>
      <c r="V22" s="35">
        <v>0.03</v>
      </c>
      <c r="W22" s="78">
        <f t="shared" si="3"/>
        <v>279455.58981523471</v>
      </c>
      <c r="X22" s="78">
        <f t="shared" si="4"/>
        <v>267892.23513685499</v>
      </c>
      <c r="Y22" s="92">
        <f t="shared" si="5"/>
        <v>377.09075249999995</v>
      </c>
      <c r="Z22" s="92">
        <f t="shared" si="6"/>
        <v>653.42411290117479</v>
      </c>
      <c r="AA22" s="345">
        <f t="shared" si="7"/>
        <v>25</v>
      </c>
    </row>
    <row r="23" spans="3:31">
      <c r="C23" s="27">
        <v>5</v>
      </c>
      <c r="D23" s="28" t="s">
        <v>70</v>
      </c>
      <c r="E23" s="286" t="s">
        <v>71</v>
      </c>
      <c r="F23" s="29">
        <v>1385.09</v>
      </c>
      <c r="G23" s="29">
        <v>683.57</v>
      </c>
      <c r="H23" s="29">
        <f t="shared" si="0"/>
        <v>418.98972499999996</v>
      </c>
      <c r="I23" s="29">
        <f t="shared" si="1"/>
        <v>206.77992500000002</v>
      </c>
      <c r="J23" s="54">
        <f t="shared" si="8"/>
        <v>0.49352027666072246</v>
      </c>
      <c r="K23" s="199"/>
      <c r="L23" s="199"/>
      <c r="M23" s="30">
        <f t="shared" si="9"/>
        <v>0</v>
      </c>
      <c r="N23" s="31">
        <f t="shared" si="2"/>
        <v>0</v>
      </c>
      <c r="O23" s="32">
        <v>0</v>
      </c>
      <c r="P23" s="31">
        <f t="shared" si="10"/>
        <v>0</v>
      </c>
      <c r="Q23" s="32">
        <v>0</v>
      </c>
      <c r="R23" s="32">
        <v>0</v>
      </c>
      <c r="S23" s="33">
        <v>0</v>
      </c>
      <c r="T23" s="33">
        <v>0</v>
      </c>
      <c r="U23" s="34">
        <v>0</v>
      </c>
      <c r="V23" s="35">
        <v>0</v>
      </c>
      <c r="W23" s="78">
        <f t="shared" si="3"/>
        <v>0</v>
      </c>
      <c r="X23" s="78">
        <f t="shared" si="4"/>
        <v>0</v>
      </c>
      <c r="Y23" s="92">
        <f t="shared" si="5"/>
        <v>0</v>
      </c>
      <c r="Z23" s="92">
        <f t="shared" si="6"/>
        <v>0</v>
      </c>
      <c r="AA23" s="345">
        <f t="shared" si="7"/>
        <v>0</v>
      </c>
      <c r="AC23" s="264" t="s">
        <v>434</v>
      </c>
      <c r="AD23" s="141"/>
      <c r="AE23" s="247"/>
    </row>
    <row r="24" spans="3:31">
      <c r="C24" s="27">
        <v>4</v>
      </c>
      <c r="D24" s="28" t="s">
        <v>70</v>
      </c>
      <c r="E24" s="286" t="s">
        <v>71</v>
      </c>
      <c r="F24" s="29">
        <v>1385.09</v>
      </c>
      <c r="G24" s="29">
        <v>683.57</v>
      </c>
      <c r="H24" s="29">
        <f t="shared" si="0"/>
        <v>418.98972499999996</v>
      </c>
      <c r="I24" s="29">
        <f t="shared" si="1"/>
        <v>206.77992500000002</v>
      </c>
      <c r="J24" s="54">
        <f t="shared" si="8"/>
        <v>0.49352027666072246</v>
      </c>
      <c r="K24" s="199"/>
      <c r="L24" s="199"/>
      <c r="M24" s="30">
        <f t="shared" si="9"/>
        <v>0</v>
      </c>
      <c r="N24" s="31">
        <f t="shared" si="2"/>
        <v>0</v>
      </c>
      <c r="O24" s="32">
        <v>0</v>
      </c>
      <c r="P24" s="31">
        <f t="shared" si="10"/>
        <v>0</v>
      </c>
      <c r="Q24" s="32">
        <v>0</v>
      </c>
      <c r="R24" s="32">
        <v>0</v>
      </c>
      <c r="S24" s="33">
        <v>0</v>
      </c>
      <c r="T24" s="33">
        <v>0</v>
      </c>
      <c r="U24" s="34">
        <v>0</v>
      </c>
      <c r="V24" s="35">
        <v>0</v>
      </c>
      <c r="W24" s="78">
        <f t="shared" si="3"/>
        <v>0</v>
      </c>
      <c r="X24" s="78">
        <f t="shared" si="4"/>
        <v>0</v>
      </c>
      <c r="Y24" s="92">
        <f t="shared" si="5"/>
        <v>0</v>
      </c>
      <c r="Z24" s="92">
        <f t="shared" si="6"/>
        <v>0</v>
      </c>
      <c r="AA24" s="345">
        <f t="shared" si="7"/>
        <v>0</v>
      </c>
      <c r="AC24" s="255"/>
      <c r="AD24" s="2" t="s">
        <v>441</v>
      </c>
      <c r="AE24" s="256"/>
    </row>
    <row r="25" spans="3:31">
      <c r="C25" s="27">
        <v>3</v>
      </c>
      <c r="D25" s="28" t="s">
        <v>70</v>
      </c>
      <c r="E25" s="286" t="s">
        <v>71</v>
      </c>
      <c r="F25" s="29">
        <v>1385.09</v>
      </c>
      <c r="G25" s="29">
        <v>683.57</v>
      </c>
      <c r="H25" s="29">
        <f t="shared" si="0"/>
        <v>418.98972499999996</v>
      </c>
      <c r="I25" s="29">
        <f t="shared" si="1"/>
        <v>206.77992500000002</v>
      </c>
      <c r="J25" s="54">
        <f t="shared" si="8"/>
        <v>0.49352027666072246</v>
      </c>
      <c r="K25" s="199"/>
      <c r="L25" s="199"/>
      <c r="M25" s="30">
        <f t="shared" si="9"/>
        <v>0</v>
      </c>
      <c r="N25" s="31">
        <f t="shared" si="2"/>
        <v>0</v>
      </c>
      <c r="O25" s="32">
        <v>0</v>
      </c>
      <c r="P25" s="31">
        <f t="shared" si="10"/>
        <v>0</v>
      </c>
      <c r="Q25" s="32">
        <v>0</v>
      </c>
      <c r="R25" s="32">
        <v>0</v>
      </c>
      <c r="S25" s="33">
        <v>0</v>
      </c>
      <c r="T25" s="33">
        <v>0</v>
      </c>
      <c r="U25" s="34">
        <v>0</v>
      </c>
      <c r="V25" s="35">
        <v>0</v>
      </c>
      <c r="W25" s="78">
        <f t="shared" si="3"/>
        <v>0</v>
      </c>
      <c r="X25" s="78">
        <f t="shared" si="4"/>
        <v>0</v>
      </c>
      <c r="Y25" s="92">
        <f t="shared" si="5"/>
        <v>0</v>
      </c>
      <c r="Z25" s="92">
        <f t="shared" si="6"/>
        <v>0</v>
      </c>
      <c r="AA25" s="345">
        <f t="shared" si="7"/>
        <v>0</v>
      </c>
      <c r="AC25" s="255"/>
      <c r="AD25" s="13" t="s">
        <v>437</v>
      </c>
      <c r="AE25" s="332">
        <f>SUMPRODUCT(AA11:AA26,F11:F26)/SUM(F11:F26)/12</f>
        <v>1.5989583333333337</v>
      </c>
    </row>
    <row r="26" spans="3:31">
      <c r="C26" s="27">
        <v>2</v>
      </c>
      <c r="D26" s="28" t="s">
        <v>69</v>
      </c>
      <c r="E26" s="286" t="s">
        <v>71</v>
      </c>
      <c r="F26" s="29">
        <v>1385.09</v>
      </c>
      <c r="G26" s="29">
        <v>683.57</v>
      </c>
      <c r="H26" s="29">
        <f t="shared" si="0"/>
        <v>418.98972499999996</v>
      </c>
      <c r="I26" s="29">
        <f t="shared" si="1"/>
        <v>206.77992500000002</v>
      </c>
      <c r="J26" s="54">
        <f t="shared" si="8"/>
        <v>0.49352027666072246</v>
      </c>
      <c r="K26" s="199"/>
      <c r="L26" s="199"/>
      <c r="M26" s="30">
        <f t="shared" si="9"/>
        <v>0</v>
      </c>
      <c r="N26" s="31">
        <f t="shared" si="2"/>
        <v>0</v>
      </c>
      <c r="O26" s="32">
        <v>0</v>
      </c>
      <c r="P26" s="31">
        <f t="shared" si="10"/>
        <v>0</v>
      </c>
      <c r="Q26" s="32">
        <v>0</v>
      </c>
      <c r="R26" s="32">
        <v>0</v>
      </c>
      <c r="S26" s="33">
        <v>0</v>
      </c>
      <c r="T26" s="33">
        <v>0</v>
      </c>
      <c r="U26" s="34">
        <v>0</v>
      </c>
      <c r="V26" s="35">
        <v>0</v>
      </c>
      <c r="W26" s="78">
        <f t="shared" si="3"/>
        <v>0</v>
      </c>
      <c r="X26" s="78">
        <f t="shared" si="4"/>
        <v>0</v>
      </c>
      <c r="Y26" s="92">
        <f t="shared" si="5"/>
        <v>0</v>
      </c>
      <c r="Z26" s="92">
        <f t="shared" si="6"/>
        <v>0</v>
      </c>
      <c r="AA26" s="345">
        <f t="shared" si="7"/>
        <v>0</v>
      </c>
      <c r="AC26" s="255"/>
      <c r="AD26" s="13" t="s">
        <v>436</v>
      </c>
      <c r="AE26" s="332">
        <f>SUMPRODUCT(AE37:AE51,F37:F51)/SUM(F37:F51)/12</f>
        <v>1.7666666666666664</v>
      </c>
    </row>
    <row r="27" spans="3:31">
      <c r="C27" s="179">
        <v>1</v>
      </c>
      <c r="D27" s="180" t="s">
        <v>72</v>
      </c>
      <c r="E27" s="287" t="s">
        <v>80</v>
      </c>
      <c r="F27" s="181">
        <v>969.56</v>
      </c>
      <c r="G27" s="181">
        <v>410.14</v>
      </c>
      <c r="H27" s="181">
        <f t="shared" si="0"/>
        <v>293.2919</v>
      </c>
      <c r="I27" s="181">
        <f t="shared" si="1"/>
        <v>124.06734999999999</v>
      </c>
      <c r="J27" s="182">
        <f t="shared" si="8"/>
        <v>0.42301662609843643</v>
      </c>
      <c r="K27" s="200">
        <v>42064</v>
      </c>
      <c r="L27" s="200">
        <v>45716</v>
      </c>
      <c r="M27" s="183">
        <f>DATEDIF(K27,EOMONTH(L27,1),"m")</f>
        <v>120</v>
      </c>
      <c r="N27" s="184">
        <v>700000</v>
      </c>
      <c r="O27" s="185">
        <v>91334</v>
      </c>
      <c r="P27" s="184">
        <f t="shared" si="10"/>
        <v>83722.833333333328</v>
      </c>
      <c r="Q27" s="185">
        <v>39143</v>
      </c>
      <c r="R27" s="185">
        <v>0</v>
      </c>
      <c r="S27" s="186">
        <v>0</v>
      </c>
      <c r="T27" s="186">
        <v>1</v>
      </c>
      <c r="U27" s="187">
        <v>0.03</v>
      </c>
      <c r="V27" s="188">
        <v>0.03</v>
      </c>
      <c r="W27" s="189">
        <f t="shared" si="3"/>
        <v>308444.14131759887</v>
      </c>
      <c r="X27" s="189">
        <f t="shared" si="4"/>
        <v>294588.49994310882</v>
      </c>
      <c r="Y27" s="190">
        <f t="shared" si="5"/>
        <v>205.30432999999999</v>
      </c>
      <c r="Z27" s="190">
        <f t="shared" si="6"/>
        <v>432.42664444100001</v>
      </c>
      <c r="AA27" s="346">
        <f t="shared" si="7"/>
        <v>0</v>
      </c>
      <c r="AC27" s="255"/>
      <c r="AD27" s="2" t="s">
        <v>440</v>
      </c>
      <c r="AE27" s="332"/>
    </row>
    <row r="28" spans="3:31">
      <c r="C28" s="27" t="s">
        <v>242</v>
      </c>
      <c r="D28" s="28" t="s">
        <v>72</v>
      </c>
      <c r="E28" s="285" t="s">
        <v>81</v>
      </c>
      <c r="F28" s="29">
        <v>969.56</v>
      </c>
      <c r="G28" s="29">
        <v>410.14</v>
      </c>
      <c r="H28" s="29">
        <f t="shared" si="0"/>
        <v>293.2919</v>
      </c>
      <c r="I28" s="29">
        <f t="shared" si="1"/>
        <v>124.06734999999999</v>
      </c>
      <c r="J28" s="54">
        <f t="shared" si="8"/>
        <v>0.42301662609843643</v>
      </c>
      <c r="K28" s="199">
        <v>44926</v>
      </c>
      <c r="L28" s="199">
        <v>46751</v>
      </c>
      <c r="M28" s="30">
        <f t="shared" ref="M28:M29" si="11">DATEDIF(K28,EOMONTH(L28,0),"m")</f>
        <v>60</v>
      </c>
      <c r="N28" s="31">
        <v>200000</v>
      </c>
      <c r="O28" s="32">
        <v>21218</v>
      </c>
      <c r="P28" s="31">
        <f t="shared" si="10"/>
        <v>17681.666666666668</v>
      </c>
      <c r="Q28" s="32">
        <v>31827</v>
      </c>
      <c r="R28" s="32">
        <v>0</v>
      </c>
      <c r="S28" s="33">
        <v>0</v>
      </c>
      <c r="T28" s="33">
        <v>2</v>
      </c>
      <c r="U28" s="34">
        <v>0.03</v>
      </c>
      <c r="V28" s="35">
        <v>0.03</v>
      </c>
      <c r="W28" s="78">
        <f t="shared" si="3"/>
        <v>125396.96250060954</v>
      </c>
      <c r="X28" s="78">
        <f t="shared" si="4"/>
        <v>118219.15163927765</v>
      </c>
      <c r="Y28" s="92">
        <f t="shared" si="5"/>
        <v>58.658380000000001</v>
      </c>
      <c r="Z28" s="92">
        <f t="shared" si="6"/>
        <v>174.24589095760001</v>
      </c>
      <c r="AA28" s="345">
        <f t="shared" si="7"/>
        <v>34</v>
      </c>
      <c r="AC28" s="255"/>
      <c r="AD28" s="13" t="s">
        <v>437</v>
      </c>
      <c r="AE28" s="332">
        <f>SUMPRODUCT(AA27:AA29,F27:F29)/SUM(F27:F29)/12</f>
        <v>1.5833333333333333</v>
      </c>
    </row>
    <row r="29" spans="3:31">
      <c r="C29" s="27" t="s">
        <v>243</v>
      </c>
      <c r="D29" s="28" t="s">
        <v>72</v>
      </c>
      <c r="E29" s="285" t="s">
        <v>82</v>
      </c>
      <c r="F29" s="29">
        <v>969.56</v>
      </c>
      <c r="G29" s="29">
        <v>410.14</v>
      </c>
      <c r="H29" s="29">
        <f t="shared" si="0"/>
        <v>293.2919</v>
      </c>
      <c r="I29" s="29">
        <f t="shared" si="1"/>
        <v>124.06734999999999</v>
      </c>
      <c r="J29" s="54">
        <f t="shared" si="8"/>
        <v>0.42301662609843643</v>
      </c>
      <c r="K29" s="199">
        <v>44592</v>
      </c>
      <c r="L29" s="199">
        <v>46417</v>
      </c>
      <c r="M29" s="30">
        <f t="shared" si="11"/>
        <v>60</v>
      </c>
      <c r="N29" s="31">
        <v>300000</v>
      </c>
      <c r="O29" s="32">
        <v>31827</v>
      </c>
      <c r="P29" s="31">
        <f t="shared" si="10"/>
        <v>23870.25</v>
      </c>
      <c r="Q29" s="32">
        <v>31827</v>
      </c>
      <c r="R29" s="32">
        <v>0</v>
      </c>
      <c r="S29" s="33">
        <v>0</v>
      </c>
      <c r="T29" s="33">
        <v>3</v>
      </c>
      <c r="U29" s="34">
        <v>0.03</v>
      </c>
      <c r="V29" s="35">
        <v>0.03</v>
      </c>
      <c r="W29" s="78">
        <f t="shared" si="3"/>
        <v>150476.35500073145</v>
      </c>
      <c r="X29" s="78">
        <f t="shared" si="4"/>
        <v>133439.79058370311</v>
      </c>
      <c r="Y29" s="102">
        <f t="shared" si="5"/>
        <v>87.987570000000005</v>
      </c>
      <c r="Z29" s="102">
        <f t="shared" si="6"/>
        <v>196.02662732729999</v>
      </c>
      <c r="AA29" s="347">
        <f t="shared" si="7"/>
        <v>23</v>
      </c>
      <c r="AC29" s="255"/>
      <c r="AD29" s="13" t="s">
        <v>436</v>
      </c>
      <c r="AE29" s="332">
        <f>SUMPRODUCT(AE52:AE60,F52:F60)/SUM(F52:F60)/12</f>
        <v>1.2392462412596235</v>
      </c>
    </row>
    <row r="30" spans="3:31">
      <c r="C30" s="363" t="s">
        <v>73</v>
      </c>
      <c r="D30" s="363"/>
      <c r="E30" s="363"/>
      <c r="F30" s="36">
        <f>SUMIF($D$11:$D$29,D11,F$11:F$29)</f>
        <v>22161.439999999999</v>
      </c>
      <c r="G30" s="36">
        <f>SUMIF($D$11:$D$29,D11,G$11:G$29)</f>
        <v>10937.119999999997</v>
      </c>
      <c r="H30" s="36">
        <f>SUMIF($D$11:$D$29,D11,H$11:H$29)</f>
        <v>6703.8356000000022</v>
      </c>
      <c r="I30" s="36">
        <f>SUMIF($D$11:$D$29,D11,I$11:I$29)</f>
        <v>3308.478799999999</v>
      </c>
      <c r="J30" s="57">
        <f>G30/F30</f>
        <v>0.49352027666072229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8"/>
      <c r="W30" s="38">
        <f>AVERAGE(W11:W22)</f>
        <v>285710.14539476571</v>
      </c>
      <c r="X30" s="38">
        <f>AVERAGE(X11:X22)</f>
        <v>253938.19010092842</v>
      </c>
      <c r="Y30" s="103">
        <f>SUMIF($D$11:$D$29,D11,Y$11:Y$29)</f>
        <v>4566.9880025000002</v>
      </c>
      <c r="Z30" s="103">
        <f>SUMIF($D$11:$D$29,D11,Z$11:Z$29)</f>
        <v>7424.3324260586251</v>
      </c>
      <c r="AA30" s="103"/>
      <c r="AC30" s="255"/>
      <c r="AD30" s="2" t="s">
        <v>439</v>
      </c>
      <c r="AE30" s="332"/>
    </row>
    <row r="31" spans="3:31">
      <c r="C31" s="364" t="s">
        <v>74</v>
      </c>
      <c r="D31" s="364"/>
      <c r="E31" s="364"/>
      <c r="F31" s="39">
        <f>SUMIF($D$11:$D$29,$D$29,F$11:F$29)</f>
        <v>2908.68</v>
      </c>
      <c r="G31" s="39">
        <f>SUMIF($D$11:$D$29,$D$29,G$11:G$29)</f>
        <v>1230.42</v>
      </c>
      <c r="H31" s="39">
        <f>SUMIF($D$11:$D$29,$D$29,H$11:H$29)</f>
        <v>879.87570000000005</v>
      </c>
      <c r="I31" s="39">
        <f>SUMIF($D$11:$D$29,$D$29,I$11:I$29)</f>
        <v>372.20204999999999</v>
      </c>
      <c r="J31" s="58">
        <f t="shared" si="8"/>
        <v>0.42301662609843643</v>
      </c>
      <c r="K31" s="40"/>
      <c r="L31" s="40"/>
      <c r="M31" s="40"/>
      <c r="N31" s="351"/>
      <c r="O31" s="40"/>
      <c r="P31" s="40"/>
      <c r="Q31" s="40"/>
      <c r="R31" s="40"/>
      <c r="S31" s="40"/>
      <c r="T31" s="40"/>
      <c r="U31" s="40"/>
      <c r="V31" s="41"/>
      <c r="W31" s="41"/>
      <c r="X31" s="41"/>
      <c r="Y31" s="40">
        <f>SUMIF($D$11:$D$29,D29,Y$11:Y$29)</f>
        <v>351.95028000000002</v>
      </c>
      <c r="Z31" s="40">
        <f>SUMIF($D$11:$D$29,D29,Z$11:Z$29)</f>
        <v>802.69916272590012</v>
      </c>
      <c r="AA31" s="40"/>
      <c r="AC31" s="255"/>
      <c r="AD31" s="13" t="s">
        <v>437</v>
      </c>
      <c r="AE31" s="332">
        <f>SUMPRODUCT(AA11:AA29,F11:F29)/SUM(F11:F29)/12</f>
        <v>1.5971454929879341</v>
      </c>
    </row>
    <row r="32" spans="3:31">
      <c r="C32" s="356" t="s">
        <v>75</v>
      </c>
      <c r="D32" s="357"/>
      <c r="E32" s="357"/>
      <c r="F32" s="42">
        <f>SUM(F30:F31)</f>
        <v>25070.12</v>
      </c>
      <c r="G32" s="42">
        <f t="shared" ref="G32:I32" si="12">SUM(G30:G31)</f>
        <v>12167.539999999997</v>
      </c>
      <c r="H32" s="42">
        <f t="shared" si="12"/>
        <v>7583.7113000000027</v>
      </c>
      <c r="I32" s="42">
        <f t="shared" si="12"/>
        <v>3680.6808499999988</v>
      </c>
      <c r="J32" s="59">
        <f t="shared" si="8"/>
        <v>0.48534031747753892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4"/>
      <c r="W32" s="44"/>
      <c r="X32" s="44"/>
      <c r="Y32" s="44">
        <f>SUM(Y30:Y31)</f>
        <v>4918.9382825000002</v>
      </c>
      <c r="Z32" s="44">
        <f>SUM(Z30:Z31)</f>
        <v>8227.0315887845245</v>
      </c>
      <c r="AA32" s="44"/>
      <c r="AC32" s="248"/>
      <c r="AD32" s="249" t="s">
        <v>436</v>
      </c>
      <c r="AE32" s="333">
        <f>SUMPRODUCT(AE37:AE60,F37:F60)/SUM(F37:F60)/12</f>
        <v>1.6763351485087954</v>
      </c>
    </row>
    <row r="34" spans="2:31">
      <c r="C34" s="22" t="s">
        <v>85</v>
      </c>
      <c r="D34" s="2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2:31" ht="17" customHeight="1">
      <c r="C35" s="365" t="s">
        <v>47</v>
      </c>
      <c r="D35" s="367" t="s">
        <v>48</v>
      </c>
      <c r="E35" s="368" t="s">
        <v>49</v>
      </c>
      <c r="F35" s="359" t="s">
        <v>50</v>
      </c>
      <c r="G35" s="365"/>
      <c r="H35" s="359" t="s">
        <v>51</v>
      </c>
      <c r="I35" s="365"/>
      <c r="J35" s="367" t="s">
        <v>52</v>
      </c>
      <c r="K35" s="359" t="s">
        <v>53</v>
      </c>
      <c r="L35" s="370"/>
      <c r="M35" s="365"/>
      <c r="N35" s="359" t="s">
        <v>54</v>
      </c>
      <c r="O35" s="370"/>
      <c r="P35" s="370"/>
      <c r="Q35" s="365"/>
      <c r="R35" s="371" t="s">
        <v>88</v>
      </c>
      <c r="S35" s="371" t="s">
        <v>55</v>
      </c>
      <c r="T35" s="371" t="s">
        <v>56</v>
      </c>
      <c r="U35" s="370" t="s">
        <v>83</v>
      </c>
      <c r="V35" s="370"/>
      <c r="W35" s="359" t="s">
        <v>57</v>
      </c>
      <c r="X35" s="370"/>
      <c r="Y35" s="358" t="s">
        <v>155</v>
      </c>
      <c r="Z35" s="358" t="s">
        <v>238</v>
      </c>
      <c r="AA35" s="358" t="s">
        <v>245</v>
      </c>
      <c r="AB35" s="358" t="s">
        <v>246</v>
      </c>
      <c r="AC35" s="360" t="s">
        <v>248</v>
      </c>
      <c r="AD35" s="360" t="s">
        <v>415</v>
      </c>
      <c r="AE35" s="360" t="s">
        <v>438</v>
      </c>
    </row>
    <row r="36" spans="2:31">
      <c r="C36" s="366"/>
      <c r="D36" s="368"/>
      <c r="E36" s="369"/>
      <c r="F36" s="24" t="s">
        <v>58</v>
      </c>
      <c r="G36" s="24" t="s">
        <v>59</v>
      </c>
      <c r="H36" s="24" t="s">
        <v>58</v>
      </c>
      <c r="I36" s="24" t="s">
        <v>59</v>
      </c>
      <c r="J36" s="368"/>
      <c r="K36" s="24" t="s">
        <v>60</v>
      </c>
      <c r="L36" s="24" t="s">
        <v>61</v>
      </c>
      <c r="M36" s="24" t="s">
        <v>84</v>
      </c>
      <c r="N36" s="24" t="s">
        <v>62</v>
      </c>
      <c r="O36" s="24" t="s">
        <v>63</v>
      </c>
      <c r="P36" s="24" t="s">
        <v>64</v>
      </c>
      <c r="Q36" s="24" t="s">
        <v>65</v>
      </c>
      <c r="R36" s="368"/>
      <c r="S36" s="368"/>
      <c r="T36" s="368"/>
      <c r="U36" s="24" t="s">
        <v>66</v>
      </c>
      <c r="V36" s="25" t="s">
        <v>65</v>
      </c>
      <c r="W36" s="25" t="s">
        <v>67</v>
      </c>
      <c r="X36" s="25" t="s">
        <v>68</v>
      </c>
      <c r="Y36" s="359"/>
      <c r="Z36" s="359"/>
      <c r="AA36" s="359"/>
      <c r="AB36" s="359"/>
      <c r="AC36" s="359"/>
      <c r="AD36" s="359"/>
      <c r="AE36" s="359"/>
    </row>
    <row r="37" spans="2:31">
      <c r="C37" s="27">
        <v>17</v>
      </c>
      <c r="D37" s="28" t="s">
        <v>70</v>
      </c>
      <c r="E37" s="337" t="s">
        <v>76</v>
      </c>
      <c r="F37" s="29">
        <v>1385.09</v>
      </c>
      <c r="G37" s="29">
        <v>683.57</v>
      </c>
      <c r="H37" s="29">
        <f t="shared" ref="H37:H57" si="13">F37*py</f>
        <v>418.98972499999996</v>
      </c>
      <c r="I37" s="29">
        <f t="shared" ref="I37:I57" si="14">G37*py</f>
        <v>206.77992500000002</v>
      </c>
      <c r="J37" s="54">
        <f>G37/F37</f>
        <v>0.49352027666072246</v>
      </c>
      <c r="K37" s="199">
        <f t="shared" ref="K37:K59" si="15">EOMONTH($AA37,$AB37)</f>
        <v>47149</v>
      </c>
      <c r="L37" s="191">
        <f>EOMONTH($K37,$M37)</f>
        <v>48975</v>
      </c>
      <c r="M37" s="33">
        <v>60</v>
      </c>
      <c r="N37" s="31">
        <f t="shared" ref="N37:N57" si="16">O37*10</f>
        <v>1159274.0743</v>
      </c>
      <c r="O37" s="32">
        <f t="shared" ref="O37:O51" si="17">(1+$U37)^(DATEDIF(acq,$K37,"y"))*$AE$19</f>
        <v>115927.40742999999</v>
      </c>
      <c r="P37" s="31">
        <f>O37*(12-T37)/12</f>
        <v>106266.79014416666</v>
      </c>
      <c r="Q37" s="32">
        <f t="shared" ref="Q37:Q51" si="18">(1+$V37)^(DATEDIF(acq,$K37,"y"))*$AE$20</f>
        <v>50647.896449999993</v>
      </c>
      <c r="R37" s="32">
        <v>0</v>
      </c>
      <c r="S37" s="33">
        <v>0</v>
      </c>
      <c r="T37" s="317">
        <v>1</v>
      </c>
      <c r="U37" s="34">
        <v>0.03</v>
      </c>
      <c r="V37" s="35">
        <v>0.03</v>
      </c>
      <c r="W37" s="78">
        <f t="shared" ref="W37:W49" si="19">(($O37+$Q37))/$J37</f>
        <v>337524.74165213387</v>
      </c>
      <c r="X37" s="78">
        <f t="shared" ref="X37:X49" si="20">IFERROR(((N37*$AE$8/12+$O37*($M37-$S37-($T37*M37/12))/$M37)+$Q37)/$J37-R37/M37,0)</f>
        <v>323822.30140826065</v>
      </c>
      <c r="Y37" s="92">
        <f t="shared" ref="Y37:Y57" si="21">N37*H37/unit</f>
        <v>485.72392559058653</v>
      </c>
      <c r="Z37" s="147">
        <v>0</v>
      </c>
      <c r="AA37" s="191">
        <v>47149</v>
      </c>
      <c r="AB37" s="195">
        <v>0</v>
      </c>
      <c r="AC37" s="215">
        <f t="shared" ref="AC37:AC60" si="22">R37*H37/unit</f>
        <v>0</v>
      </c>
      <c r="AD37" s="300">
        <f>O37*H37</f>
        <v>48572392.559058651</v>
      </c>
      <c r="AE37" s="340">
        <f t="shared" ref="AE37:AE60" si="23">IFERROR(DATEDIF(exit,$L37,"m"),0)</f>
        <v>48</v>
      </c>
    </row>
    <row r="38" spans="2:31">
      <c r="C38" s="27">
        <v>16</v>
      </c>
      <c r="D38" s="28" t="s">
        <v>70</v>
      </c>
      <c r="E38" s="338" t="s">
        <v>76</v>
      </c>
      <c r="F38" s="29">
        <v>1385.09</v>
      </c>
      <c r="G38" s="29">
        <v>683.57</v>
      </c>
      <c r="H38" s="29">
        <f t="shared" si="13"/>
        <v>418.98972499999996</v>
      </c>
      <c r="I38" s="29">
        <f t="shared" si="14"/>
        <v>206.77992500000002</v>
      </c>
      <c r="J38" s="54">
        <f t="shared" ref="J38:J57" si="24">G38/F38</f>
        <v>0.49352027666072246</v>
      </c>
      <c r="K38" s="199">
        <f t="shared" si="15"/>
        <v>47149</v>
      </c>
      <c r="L38" s="191">
        <f t="shared" ref="L38:L59" si="25">EOMONTH($K38,$M38)</f>
        <v>48975</v>
      </c>
      <c r="M38" s="33">
        <v>60</v>
      </c>
      <c r="N38" s="31">
        <f t="shared" si="16"/>
        <v>1159274.0743</v>
      </c>
      <c r="O38" s="32">
        <f t="shared" si="17"/>
        <v>115927.40742999999</v>
      </c>
      <c r="P38" s="31">
        <f t="shared" ref="P38:P57" si="26">O38*(12-T38)/12</f>
        <v>106266.79014416666</v>
      </c>
      <c r="Q38" s="32">
        <f t="shared" si="18"/>
        <v>50647.896449999993</v>
      </c>
      <c r="R38" s="32">
        <v>0</v>
      </c>
      <c r="S38" s="33">
        <v>0</v>
      </c>
      <c r="T38" s="317">
        <v>1</v>
      </c>
      <c r="U38" s="34">
        <v>0.03</v>
      </c>
      <c r="V38" s="35">
        <v>0.03</v>
      </c>
      <c r="W38" s="78">
        <f t="shared" si="19"/>
        <v>337524.74165213387</v>
      </c>
      <c r="X38" s="78">
        <f t="shared" si="20"/>
        <v>323822.30140826065</v>
      </c>
      <c r="Y38" s="92">
        <f t="shared" si="21"/>
        <v>485.72392559058653</v>
      </c>
      <c r="Z38" s="147">
        <v>0</v>
      </c>
      <c r="AA38" s="191">
        <v>47149</v>
      </c>
      <c r="AB38" s="195">
        <v>0</v>
      </c>
      <c r="AC38" s="215">
        <f t="shared" si="22"/>
        <v>0</v>
      </c>
      <c r="AD38" s="300">
        <f t="shared" ref="AD38:AD60" si="27">O38*H38</f>
        <v>48572392.559058651</v>
      </c>
      <c r="AE38" s="340">
        <f t="shared" si="23"/>
        <v>48</v>
      </c>
    </row>
    <row r="39" spans="2:31">
      <c r="B39" s="310"/>
      <c r="C39" s="27">
        <v>15</v>
      </c>
      <c r="D39" s="28" t="s">
        <v>69</v>
      </c>
      <c r="E39" s="53" t="s">
        <v>471</v>
      </c>
      <c r="F39" s="29">
        <v>1385.09</v>
      </c>
      <c r="G39" s="29">
        <v>683.57</v>
      </c>
      <c r="H39" s="29">
        <f t="shared" si="13"/>
        <v>418.98972499999996</v>
      </c>
      <c r="I39" s="29">
        <f t="shared" si="14"/>
        <v>206.77992500000002</v>
      </c>
      <c r="J39" s="54">
        <f t="shared" si="24"/>
        <v>0.49352027666072246</v>
      </c>
      <c r="K39" s="199">
        <f t="shared" si="15"/>
        <v>45869</v>
      </c>
      <c r="L39" s="191">
        <f t="shared" si="25"/>
        <v>47695</v>
      </c>
      <c r="M39" s="33">
        <v>60</v>
      </c>
      <c r="N39" s="31">
        <f t="shared" si="16"/>
        <v>1030000</v>
      </c>
      <c r="O39" s="32">
        <f t="shared" si="17"/>
        <v>103000</v>
      </c>
      <c r="P39" s="31">
        <f t="shared" si="26"/>
        <v>94416.666666666672</v>
      </c>
      <c r="Q39" s="32">
        <f t="shared" si="18"/>
        <v>45000</v>
      </c>
      <c r="R39" s="32">
        <v>0</v>
      </c>
      <c r="S39" s="33">
        <v>1</v>
      </c>
      <c r="T39" s="317">
        <v>1</v>
      </c>
      <c r="U39" s="34">
        <v>0.03</v>
      </c>
      <c r="V39" s="35">
        <v>0.03</v>
      </c>
      <c r="W39" s="78">
        <f t="shared" si="19"/>
        <v>299886.36130901001</v>
      </c>
      <c r="X39" s="78">
        <f t="shared" si="20"/>
        <v>284233.50900419854</v>
      </c>
      <c r="Y39" s="92">
        <f t="shared" si="21"/>
        <v>431.55941674999997</v>
      </c>
      <c r="Z39" s="147">
        <v>1</v>
      </c>
      <c r="AA39" s="191">
        <v>45869</v>
      </c>
      <c r="AB39" s="195">
        <v>0</v>
      </c>
      <c r="AC39" s="215">
        <f t="shared" si="22"/>
        <v>0</v>
      </c>
      <c r="AD39" s="300">
        <f t="shared" si="27"/>
        <v>43155941.674999997</v>
      </c>
      <c r="AE39" s="340">
        <f t="shared" si="23"/>
        <v>6</v>
      </c>
    </row>
    <row r="40" spans="2:31">
      <c r="B40" s="310"/>
      <c r="C40" s="27">
        <v>14</v>
      </c>
      <c r="D40" s="28" t="s">
        <v>69</v>
      </c>
      <c r="E40" s="53" t="s">
        <v>471</v>
      </c>
      <c r="F40" s="29">
        <v>1385.09</v>
      </c>
      <c r="G40" s="29">
        <v>683.57</v>
      </c>
      <c r="H40" s="29">
        <f t="shared" ref="H40:H41" si="28">F40*py</f>
        <v>418.98972499999996</v>
      </c>
      <c r="I40" s="29">
        <f t="shared" ref="I40:I41" si="29">G40*py</f>
        <v>206.77992500000002</v>
      </c>
      <c r="J40" s="54">
        <f t="shared" ref="J40:J41" si="30">G40/F40</f>
        <v>0.49352027666072246</v>
      </c>
      <c r="K40" s="199">
        <f t="shared" si="15"/>
        <v>45869</v>
      </c>
      <c r="L40" s="191">
        <f t="shared" si="25"/>
        <v>47695</v>
      </c>
      <c r="M40" s="33">
        <v>60</v>
      </c>
      <c r="N40" s="31">
        <f t="shared" ref="N40:N41" si="31">O40*10</f>
        <v>1030000</v>
      </c>
      <c r="O40" s="32">
        <f t="shared" si="17"/>
        <v>103000</v>
      </c>
      <c r="P40" s="31">
        <f t="shared" ref="P40:P41" si="32">O40*(12-T40)/12</f>
        <v>94416.666666666672</v>
      </c>
      <c r="Q40" s="32">
        <f t="shared" si="18"/>
        <v>45000</v>
      </c>
      <c r="R40" s="32">
        <v>0</v>
      </c>
      <c r="S40" s="33">
        <v>1</v>
      </c>
      <c r="T40" s="317">
        <v>1</v>
      </c>
      <c r="U40" s="34">
        <v>0.03</v>
      </c>
      <c r="V40" s="35">
        <v>0.03</v>
      </c>
      <c r="W40" s="78">
        <f t="shared" si="19"/>
        <v>299886.36130901001</v>
      </c>
      <c r="X40" s="78">
        <f t="shared" si="20"/>
        <v>284233.50900419854</v>
      </c>
      <c r="Y40" s="92">
        <f t="shared" ref="Y40:Y41" si="33">N40*H40/unit</f>
        <v>431.55941674999997</v>
      </c>
      <c r="Z40" s="147">
        <v>1</v>
      </c>
      <c r="AA40" s="191">
        <v>45869</v>
      </c>
      <c r="AB40" s="195">
        <v>0</v>
      </c>
      <c r="AC40" s="215">
        <f t="shared" si="22"/>
        <v>0</v>
      </c>
      <c r="AD40" s="300">
        <f t="shared" si="27"/>
        <v>43155941.674999997</v>
      </c>
      <c r="AE40" s="340">
        <f t="shared" si="23"/>
        <v>6</v>
      </c>
    </row>
    <row r="41" spans="2:31">
      <c r="B41" s="310"/>
      <c r="C41" s="27">
        <v>13</v>
      </c>
      <c r="D41" s="28" t="s">
        <v>69</v>
      </c>
      <c r="E41" s="53" t="s">
        <v>471</v>
      </c>
      <c r="F41" s="29">
        <v>1385.09</v>
      </c>
      <c r="G41" s="29">
        <v>683.57</v>
      </c>
      <c r="H41" s="29">
        <f t="shared" si="28"/>
        <v>418.98972499999996</v>
      </c>
      <c r="I41" s="29">
        <f t="shared" si="29"/>
        <v>206.77992500000002</v>
      </c>
      <c r="J41" s="54">
        <f t="shared" si="30"/>
        <v>0.49352027666072246</v>
      </c>
      <c r="K41" s="199">
        <f t="shared" si="15"/>
        <v>45869</v>
      </c>
      <c r="L41" s="191">
        <f t="shared" si="25"/>
        <v>47695</v>
      </c>
      <c r="M41" s="33">
        <v>60</v>
      </c>
      <c r="N41" s="31">
        <f t="shared" si="31"/>
        <v>1030000</v>
      </c>
      <c r="O41" s="32">
        <f t="shared" si="17"/>
        <v>103000</v>
      </c>
      <c r="P41" s="31">
        <f t="shared" si="32"/>
        <v>94416.666666666672</v>
      </c>
      <c r="Q41" s="32">
        <f t="shared" si="18"/>
        <v>45000</v>
      </c>
      <c r="R41" s="32">
        <v>0</v>
      </c>
      <c r="S41" s="33">
        <v>1</v>
      </c>
      <c r="T41" s="317">
        <v>1</v>
      </c>
      <c r="U41" s="34">
        <v>0.03</v>
      </c>
      <c r="V41" s="35">
        <v>0.03</v>
      </c>
      <c r="W41" s="78">
        <f t="shared" si="19"/>
        <v>299886.36130901001</v>
      </c>
      <c r="X41" s="78">
        <f t="shared" si="20"/>
        <v>284233.50900419854</v>
      </c>
      <c r="Y41" s="92">
        <f t="shared" si="33"/>
        <v>431.55941674999997</v>
      </c>
      <c r="Z41" s="147">
        <v>1</v>
      </c>
      <c r="AA41" s="191">
        <v>45869</v>
      </c>
      <c r="AB41" s="195">
        <v>0</v>
      </c>
      <c r="AC41" s="215">
        <f t="shared" si="22"/>
        <v>0</v>
      </c>
      <c r="AD41" s="300">
        <f t="shared" si="27"/>
        <v>43155941.674999997</v>
      </c>
      <c r="AE41" s="340">
        <f t="shared" si="23"/>
        <v>6</v>
      </c>
    </row>
    <row r="42" spans="2:31">
      <c r="C42" s="27">
        <v>12</v>
      </c>
      <c r="D42" s="28" t="s">
        <v>70</v>
      </c>
      <c r="E42" s="53" t="s">
        <v>427</v>
      </c>
      <c r="F42" s="29">
        <v>1385.09</v>
      </c>
      <c r="G42" s="29">
        <v>683.57</v>
      </c>
      <c r="H42" s="29">
        <f t="shared" si="13"/>
        <v>418.98972499999996</v>
      </c>
      <c r="I42" s="29">
        <f t="shared" si="14"/>
        <v>206.77992500000002</v>
      </c>
      <c r="J42" s="54">
        <f t="shared" si="24"/>
        <v>0.49352027666072246</v>
      </c>
      <c r="K42" s="199">
        <f t="shared" si="15"/>
        <v>45869</v>
      </c>
      <c r="L42" s="191">
        <f t="shared" si="25"/>
        <v>47695</v>
      </c>
      <c r="M42" s="33">
        <v>60</v>
      </c>
      <c r="N42" s="31">
        <f t="shared" si="16"/>
        <v>1030000</v>
      </c>
      <c r="O42" s="32">
        <f t="shared" si="17"/>
        <v>103000</v>
      </c>
      <c r="P42" s="31">
        <f t="shared" si="26"/>
        <v>94416.666666666672</v>
      </c>
      <c r="Q42" s="32">
        <f t="shared" si="18"/>
        <v>45000</v>
      </c>
      <c r="R42" s="32">
        <v>0</v>
      </c>
      <c r="S42" s="33">
        <v>1</v>
      </c>
      <c r="T42" s="317">
        <v>1</v>
      </c>
      <c r="U42" s="34">
        <v>0.03</v>
      </c>
      <c r="V42" s="35">
        <v>0.03</v>
      </c>
      <c r="W42" s="78">
        <f t="shared" si="19"/>
        <v>299886.36130901001</v>
      </c>
      <c r="X42" s="78">
        <f t="shared" si="20"/>
        <v>284233.50900419854</v>
      </c>
      <c r="Y42" s="92">
        <f>N42*H42/unit</f>
        <v>431.55941674999997</v>
      </c>
      <c r="Z42" s="147">
        <v>1</v>
      </c>
      <c r="AA42" s="191">
        <v>45869</v>
      </c>
      <c r="AB42" s="195">
        <v>0</v>
      </c>
      <c r="AC42" s="215">
        <f t="shared" si="22"/>
        <v>0</v>
      </c>
      <c r="AD42" s="300">
        <f t="shared" si="27"/>
        <v>43155941.674999997</v>
      </c>
      <c r="AE42" s="340">
        <f t="shared" si="23"/>
        <v>6</v>
      </c>
    </row>
    <row r="43" spans="2:31">
      <c r="C43" s="27">
        <v>11</v>
      </c>
      <c r="D43" s="28" t="s">
        <v>70</v>
      </c>
      <c r="E43" s="338" t="s">
        <v>78</v>
      </c>
      <c r="F43" s="29">
        <v>1385.09</v>
      </c>
      <c r="G43" s="29">
        <v>683.57</v>
      </c>
      <c r="H43" s="29">
        <f t="shared" si="13"/>
        <v>418.98972499999996</v>
      </c>
      <c r="I43" s="29">
        <f t="shared" si="14"/>
        <v>206.77992500000002</v>
      </c>
      <c r="J43" s="54">
        <f t="shared" si="24"/>
        <v>0.49352027666072246</v>
      </c>
      <c r="K43" s="199">
        <f t="shared" si="15"/>
        <v>46904</v>
      </c>
      <c r="L43" s="191">
        <f t="shared" si="25"/>
        <v>48730</v>
      </c>
      <c r="M43" s="33">
        <v>60</v>
      </c>
      <c r="N43" s="31">
        <f t="shared" si="16"/>
        <v>1125508.81</v>
      </c>
      <c r="O43" s="32">
        <f t="shared" si="17"/>
        <v>112550.88099999999</v>
      </c>
      <c r="P43" s="31">
        <f t="shared" si="26"/>
        <v>103171.64091666666</v>
      </c>
      <c r="Q43" s="32">
        <f t="shared" si="18"/>
        <v>49172.715000000004</v>
      </c>
      <c r="R43" s="32">
        <v>0</v>
      </c>
      <c r="S43" s="33">
        <v>0</v>
      </c>
      <c r="T43" s="317">
        <v>1</v>
      </c>
      <c r="U43" s="34">
        <v>0.03</v>
      </c>
      <c r="V43" s="35">
        <v>0.03</v>
      </c>
      <c r="W43" s="78">
        <f t="shared" si="19"/>
        <v>327693.92393411056</v>
      </c>
      <c r="X43" s="78">
        <f t="shared" si="20"/>
        <v>314390.58389151521</v>
      </c>
      <c r="Y43" s="92">
        <f t="shared" si="21"/>
        <v>471.57662678697722</v>
      </c>
      <c r="Z43" s="147">
        <v>0</v>
      </c>
      <c r="AA43" s="191">
        <v>46904</v>
      </c>
      <c r="AB43" s="195">
        <v>0</v>
      </c>
      <c r="AC43" s="215">
        <f t="shared" si="22"/>
        <v>0</v>
      </c>
      <c r="AD43" s="300">
        <f t="shared" si="27"/>
        <v>47157662.67869772</v>
      </c>
      <c r="AE43" s="340">
        <f t="shared" si="23"/>
        <v>40</v>
      </c>
    </row>
    <row r="44" spans="2:31">
      <c r="C44" s="27">
        <v>10</v>
      </c>
      <c r="D44" s="28" t="s">
        <v>70</v>
      </c>
      <c r="E44" s="338" t="s">
        <v>78</v>
      </c>
      <c r="F44" s="29">
        <v>1385.09</v>
      </c>
      <c r="G44" s="29">
        <v>683.57</v>
      </c>
      <c r="H44" s="29">
        <f t="shared" si="13"/>
        <v>418.98972499999996</v>
      </c>
      <c r="I44" s="29">
        <f t="shared" si="14"/>
        <v>206.77992500000002</v>
      </c>
      <c r="J44" s="54">
        <f t="shared" si="24"/>
        <v>0.49352027666072246</v>
      </c>
      <c r="K44" s="199">
        <f t="shared" si="15"/>
        <v>46904</v>
      </c>
      <c r="L44" s="191">
        <f t="shared" si="25"/>
        <v>48730</v>
      </c>
      <c r="M44" s="33">
        <v>60</v>
      </c>
      <c r="N44" s="31">
        <f t="shared" si="16"/>
        <v>1125508.81</v>
      </c>
      <c r="O44" s="32">
        <f t="shared" si="17"/>
        <v>112550.88099999999</v>
      </c>
      <c r="P44" s="31">
        <f t="shared" si="26"/>
        <v>103171.64091666666</v>
      </c>
      <c r="Q44" s="32">
        <f t="shared" si="18"/>
        <v>49172.715000000004</v>
      </c>
      <c r="R44" s="32">
        <v>0</v>
      </c>
      <c r="S44" s="33">
        <v>0</v>
      </c>
      <c r="T44" s="317">
        <v>1</v>
      </c>
      <c r="U44" s="34">
        <v>0.03</v>
      </c>
      <c r="V44" s="35">
        <v>0.03</v>
      </c>
      <c r="W44" s="78">
        <f t="shared" si="19"/>
        <v>327693.92393411056</v>
      </c>
      <c r="X44" s="78">
        <f t="shared" si="20"/>
        <v>314390.58389151521</v>
      </c>
      <c r="Y44" s="92">
        <f t="shared" si="21"/>
        <v>471.57662678697722</v>
      </c>
      <c r="Z44" s="147">
        <v>0</v>
      </c>
      <c r="AA44" s="191">
        <v>46904</v>
      </c>
      <c r="AB44" s="195">
        <v>0</v>
      </c>
      <c r="AC44" s="215">
        <f t="shared" si="22"/>
        <v>0</v>
      </c>
      <c r="AD44" s="300">
        <f t="shared" si="27"/>
        <v>47157662.67869772</v>
      </c>
      <c r="AE44" s="340">
        <f t="shared" si="23"/>
        <v>40</v>
      </c>
    </row>
    <row r="45" spans="2:31">
      <c r="C45" s="27">
        <v>9</v>
      </c>
      <c r="D45" s="28" t="s">
        <v>70</v>
      </c>
      <c r="E45" s="338" t="s">
        <v>78</v>
      </c>
      <c r="F45" s="29">
        <v>1385.09</v>
      </c>
      <c r="G45" s="29">
        <v>683.57</v>
      </c>
      <c r="H45" s="29">
        <f t="shared" si="13"/>
        <v>418.98972499999996</v>
      </c>
      <c r="I45" s="29">
        <f t="shared" si="14"/>
        <v>206.77992500000002</v>
      </c>
      <c r="J45" s="54">
        <f t="shared" si="24"/>
        <v>0.49352027666072246</v>
      </c>
      <c r="K45" s="199">
        <f t="shared" si="15"/>
        <v>46904</v>
      </c>
      <c r="L45" s="191">
        <f t="shared" si="25"/>
        <v>48730</v>
      </c>
      <c r="M45" s="33">
        <v>60</v>
      </c>
      <c r="N45" s="31">
        <v>1000000</v>
      </c>
      <c r="O45" s="32">
        <f t="shared" si="17"/>
        <v>112550.88099999999</v>
      </c>
      <c r="P45" s="31">
        <f t="shared" si="26"/>
        <v>103171.64091666666</v>
      </c>
      <c r="Q45" s="32">
        <f t="shared" si="18"/>
        <v>49172.715000000004</v>
      </c>
      <c r="R45" s="32">
        <v>0</v>
      </c>
      <c r="S45" s="33">
        <v>0</v>
      </c>
      <c r="T45" s="317">
        <v>1</v>
      </c>
      <c r="U45" s="34">
        <v>0.03</v>
      </c>
      <c r="V45" s="35">
        <v>0.03</v>
      </c>
      <c r="W45" s="78">
        <f t="shared" si="19"/>
        <v>327693.92393411056</v>
      </c>
      <c r="X45" s="78">
        <f t="shared" si="20"/>
        <v>313754.8004397733</v>
      </c>
      <c r="Y45" s="92">
        <f t="shared" si="21"/>
        <v>418.98972499999996</v>
      </c>
      <c r="Z45" s="147">
        <v>0</v>
      </c>
      <c r="AA45" s="191">
        <v>46904</v>
      </c>
      <c r="AB45" s="195">
        <v>0</v>
      </c>
      <c r="AC45" s="215">
        <f t="shared" si="22"/>
        <v>0</v>
      </c>
      <c r="AD45" s="300">
        <f t="shared" si="27"/>
        <v>47157662.67869772</v>
      </c>
      <c r="AE45" s="340">
        <f t="shared" si="23"/>
        <v>40</v>
      </c>
    </row>
    <row r="46" spans="2:31">
      <c r="C46" s="27">
        <v>8</v>
      </c>
      <c r="D46" s="28" t="s">
        <v>70</v>
      </c>
      <c r="E46" s="53" t="s">
        <v>431</v>
      </c>
      <c r="F46" s="29">
        <v>1385.09</v>
      </c>
      <c r="G46" s="29">
        <v>683.57</v>
      </c>
      <c r="H46" s="29">
        <f t="shared" si="13"/>
        <v>418.98972499999996</v>
      </c>
      <c r="I46" s="29">
        <f t="shared" si="14"/>
        <v>206.77992500000002</v>
      </c>
      <c r="J46" s="54">
        <f t="shared" si="24"/>
        <v>0.49352027666072246</v>
      </c>
      <c r="K46" s="199">
        <f t="shared" si="15"/>
        <v>46477</v>
      </c>
      <c r="L46" s="191">
        <f t="shared" si="25"/>
        <v>48304</v>
      </c>
      <c r="M46" s="33">
        <v>60</v>
      </c>
      <c r="N46" s="31">
        <v>1000000</v>
      </c>
      <c r="O46" s="32">
        <f t="shared" si="17"/>
        <v>109272.7</v>
      </c>
      <c r="P46" s="31">
        <f t="shared" si="26"/>
        <v>100166.64166666666</v>
      </c>
      <c r="Q46" s="32">
        <f t="shared" si="18"/>
        <v>47740.5</v>
      </c>
      <c r="R46" s="32">
        <v>200000</v>
      </c>
      <c r="S46" s="33">
        <v>1</v>
      </c>
      <c r="T46" s="317">
        <v>1</v>
      </c>
      <c r="U46" s="34">
        <v>0.03</v>
      </c>
      <c r="V46" s="35">
        <v>0.03</v>
      </c>
      <c r="W46" s="78">
        <f t="shared" si="19"/>
        <v>318149.44071272877</v>
      </c>
      <c r="X46" s="78">
        <f t="shared" si="20"/>
        <v>297740.27402758069</v>
      </c>
      <c r="Y46" s="92">
        <f t="shared" si="21"/>
        <v>418.98972499999996</v>
      </c>
      <c r="Z46" s="147">
        <v>1</v>
      </c>
      <c r="AA46" s="191">
        <v>46477</v>
      </c>
      <c r="AB46" s="195">
        <v>0</v>
      </c>
      <c r="AC46" s="215">
        <f t="shared" si="22"/>
        <v>83.797944999999999</v>
      </c>
      <c r="AD46" s="300">
        <f t="shared" si="27"/>
        <v>45784138.523007497</v>
      </c>
      <c r="AE46" s="340">
        <f t="shared" si="23"/>
        <v>26</v>
      </c>
    </row>
    <row r="47" spans="2:31">
      <c r="C47" s="27">
        <v>7</v>
      </c>
      <c r="D47" s="28" t="s">
        <v>70</v>
      </c>
      <c r="E47" s="53" t="s">
        <v>431</v>
      </c>
      <c r="F47" s="29">
        <v>1385.09</v>
      </c>
      <c r="G47" s="29">
        <v>683.57</v>
      </c>
      <c r="H47" s="29">
        <f t="shared" si="13"/>
        <v>418.98972499999996</v>
      </c>
      <c r="I47" s="29">
        <f t="shared" si="14"/>
        <v>206.77992500000002</v>
      </c>
      <c r="J47" s="54">
        <f t="shared" si="24"/>
        <v>0.49352027666072246</v>
      </c>
      <c r="K47" s="199">
        <f t="shared" si="15"/>
        <v>46477</v>
      </c>
      <c r="L47" s="191">
        <f t="shared" si="25"/>
        <v>48304</v>
      </c>
      <c r="M47" s="33">
        <v>60</v>
      </c>
      <c r="N47" s="31">
        <v>1000000</v>
      </c>
      <c r="O47" s="32">
        <f t="shared" si="17"/>
        <v>109272.7</v>
      </c>
      <c r="P47" s="31">
        <f t="shared" si="26"/>
        <v>100166.64166666666</v>
      </c>
      <c r="Q47" s="32">
        <f t="shared" si="18"/>
        <v>47740.5</v>
      </c>
      <c r="R47" s="32">
        <v>200000</v>
      </c>
      <c r="S47" s="33">
        <v>1</v>
      </c>
      <c r="T47" s="317">
        <v>1</v>
      </c>
      <c r="U47" s="34">
        <v>0.03</v>
      </c>
      <c r="V47" s="35">
        <v>0.03</v>
      </c>
      <c r="W47" s="78">
        <f t="shared" si="19"/>
        <v>318149.44071272877</v>
      </c>
      <c r="X47" s="78">
        <f t="shared" si="20"/>
        <v>297740.27402758069</v>
      </c>
      <c r="Y47" s="92">
        <f t="shared" si="21"/>
        <v>418.98972499999996</v>
      </c>
      <c r="Z47" s="147">
        <v>1</v>
      </c>
      <c r="AA47" s="191">
        <v>46477</v>
      </c>
      <c r="AB47" s="195">
        <v>0</v>
      </c>
      <c r="AC47" s="215">
        <f t="shared" si="22"/>
        <v>83.797944999999999</v>
      </c>
      <c r="AD47" s="300">
        <f t="shared" si="27"/>
        <v>45784138.523007497</v>
      </c>
      <c r="AE47" s="340">
        <f t="shared" si="23"/>
        <v>26</v>
      </c>
    </row>
    <row r="48" spans="2:31">
      <c r="C48" s="27">
        <v>6</v>
      </c>
      <c r="D48" s="28" t="s">
        <v>70</v>
      </c>
      <c r="E48" s="53" t="s">
        <v>431</v>
      </c>
      <c r="F48" s="29">
        <v>1385.09</v>
      </c>
      <c r="G48" s="29">
        <v>683.57</v>
      </c>
      <c r="H48" s="29">
        <f t="shared" si="13"/>
        <v>418.98972499999996</v>
      </c>
      <c r="I48" s="29">
        <f t="shared" si="14"/>
        <v>206.77992500000002</v>
      </c>
      <c r="J48" s="54">
        <f t="shared" si="24"/>
        <v>0.49352027666072246</v>
      </c>
      <c r="K48" s="199">
        <f t="shared" si="15"/>
        <v>46477</v>
      </c>
      <c r="L48" s="191">
        <f t="shared" si="25"/>
        <v>48304</v>
      </c>
      <c r="M48" s="33">
        <v>60</v>
      </c>
      <c r="N48" s="31">
        <f t="shared" si="16"/>
        <v>1092727</v>
      </c>
      <c r="O48" s="32">
        <f t="shared" si="17"/>
        <v>109272.7</v>
      </c>
      <c r="P48" s="31">
        <f t="shared" si="26"/>
        <v>100166.64166666666</v>
      </c>
      <c r="Q48" s="32">
        <f t="shared" si="18"/>
        <v>47740.5</v>
      </c>
      <c r="R48" s="32">
        <v>200000</v>
      </c>
      <c r="S48" s="33">
        <v>1</v>
      </c>
      <c r="T48" s="317">
        <v>1</v>
      </c>
      <c r="U48" s="34">
        <v>0.03</v>
      </c>
      <c r="V48" s="35">
        <v>0.03</v>
      </c>
      <c r="W48" s="78">
        <f t="shared" si="19"/>
        <v>318149.44071272877</v>
      </c>
      <c r="X48" s="78">
        <f t="shared" si="20"/>
        <v>298209.9963692209</v>
      </c>
      <c r="Y48" s="92">
        <f t="shared" si="21"/>
        <v>457.84138523007493</v>
      </c>
      <c r="Z48" s="147">
        <v>1</v>
      </c>
      <c r="AA48" s="191">
        <v>46477</v>
      </c>
      <c r="AB48" s="195">
        <v>0</v>
      </c>
      <c r="AC48" s="215">
        <f t="shared" si="22"/>
        <v>83.797944999999999</v>
      </c>
      <c r="AD48" s="300">
        <f t="shared" si="27"/>
        <v>45784138.523007497</v>
      </c>
      <c r="AE48" s="340">
        <f t="shared" si="23"/>
        <v>26</v>
      </c>
    </row>
    <row r="49" spans="2:31">
      <c r="C49" s="27">
        <v>5</v>
      </c>
      <c r="D49" s="28" t="s">
        <v>70</v>
      </c>
      <c r="E49" s="53" t="s">
        <v>470</v>
      </c>
      <c r="F49" s="29">
        <v>1385.09</v>
      </c>
      <c r="G49" s="29">
        <v>683.57</v>
      </c>
      <c r="H49" s="29">
        <f t="shared" si="13"/>
        <v>418.98972499999996</v>
      </c>
      <c r="I49" s="29">
        <f t="shared" si="14"/>
        <v>206.77992500000002</v>
      </c>
      <c r="J49" s="54">
        <f t="shared" si="24"/>
        <v>0.49352027666072246</v>
      </c>
      <c r="K49" s="199">
        <f t="shared" si="15"/>
        <v>45688</v>
      </c>
      <c r="L49" s="191">
        <f t="shared" si="25"/>
        <v>47514</v>
      </c>
      <c r="M49" s="33">
        <v>60</v>
      </c>
      <c r="N49" s="31">
        <f t="shared" si="16"/>
        <v>1030000</v>
      </c>
      <c r="O49" s="32">
        <f t="shared" si="17"/>
        <v>103000</v>
      </c>
      <c r="P49" s="31">
        <f t="shared" si="26"/>
        <v>90125</v>
      </c>
      <c r="Q49" s="32">
        <f t="shared" si="18"/>
        <v>45000</v>
      </c>
      <c r="R49" s="32">
        <v>0</v>
      </c>
      <c r="S49" s="33">
        <v>1</v>
      </c>
      <c r="T49" s="317">
        <v>1.5</v>
      </c>
      <c r="U49" s="34">
        <v>0.03</v>
      </c>
      <c r="V49" s="35">
        <v>0.03</v>
      </c>
      <c r="W49" s="78">
        <f t="shared" si="19"/>
        <v>299886.36130901001</v>
      </c>
      <c r="X49" s="78">
        <f t="shared" si="20"/>
        <v>275537.47994596988</v>
      </c>
      <c r="Y49" s="92">
        <f t="shared" si="21"/>
        <v>431.55941674999997</v>
      </c>
      <c r="Z49" s="147">
        <v>1</v>
      </c>
      <c r="AA49" s="191">
        <v>45688</v>
      </c>
      <c r="AB49" s="195">
        <v>0</v>
      </c>
      <c r="AC49" s="215">
        <f t="shared" si="22"/>
        <v>0</v>
      </c>
      <c r="AD49" s="300">
        <f t="shared" si="27"/>
        <v>43155941.674999997</v>
      </c>
      <c r="AE49" s="340">
        <f t="shared" si="23"/>
        <v>0</v>
      </c>
    </row>
    <row r="50" spans="2:31">
      <c r="C50" s="27">
        <v>4</v>
      </c>
      <c r="D50" s="28" t="s">
        <v>70</v>
      </c>
      <c r="E50" s="53" t="s">
        <v>470</v>
      </c>
      <c r="F50" s="29">
        <v>1385.09</v>
      </c>
      <c r="G50" s="29">
        <v>683.57</v>
      </c>
      <c r="H50" s="29">
        <f t="shared" si="13"/>
        <v>418.98972499999996</v>
      </c>
      <c r="I50" s="29">
        <f t="shared" si="14"/>
        <v>206.77992500000002</v>
      </c>
      <c r="J50" s="54">
        <f t="shared" si="24"/>
        <v>0.49352027666072246</v>
      </c>
      <c r="K50" s="199">
        <f t="shared" si="15"/>
        <v>45688</v>
      </c>
      <c r="L50" s="191">
        <f t="shared" si="25"/>
        <v>47514</v>
      </c>
      <c r="M50" s="33">
        <v>60</v>
      </c>
      <c r="N50" s="31">
        <f t="shared" si="16"/>
        <v>1030000</v>
      </c>
      <c r="O50" s="32">
        <f t="shared" si="17"/>
        <v>103000</v>
      </c>
      <c r="P50" s="31">
        <f t="shared" si="26"/>
        <v>90125</v>
      </c>
      <c r="Q50" s="32">
        <f t="shared" si="18"/>
        <v>45000</v>
      </c>
      <c r="R50" s="32">
        <v>0</v>
      </c>
      <c r="S50" s="33">
        <v>1</v>
      </c>
      <c r="T50" s="317">
        <v>1.5</v>
      </c>
      <c r="U50" s="34">
        <v>0.03</v>
      </c>
      <c r="V50" s="35">
        <v>0.03</v>
      </c>
      <c r="W50" s="78">
        <f>(($O50+$Q50))/$J50</f>
        <v>299886.36130901001</v>
      </c>
      <c r="X50" s="78">
        <f>IFERROR(((N50*$AE$8/12+$O50*($M50-$S50-($T50*M50/12))/$M50)+$Q50)/$J50-R50/M50,0)</f>
        <v>275537.47994596988</v>
      </c>
      <c r="Y50" s="92">
        <f t="shared" si="21"/>
        <v>431.55941674999997</v>
      </c>
      <c r="Z50" s="147">
        <v>1</v>
      </c>
      <c r="AA50" s="191">
        <v>45688</v>
      </c>
      <c r="AB50" s="195">
        <v>0</v>
      </c>
      <c r="AC50" s="215">
        <f t="shared" si="22"/>
        <v>0</v>
      </c>
      <c r="AD50" s="300">
        <f t="shared" si="27"/>
        <v>43155941.674999997</v>
      </c>
      <c r="AE50" s="340">
        <f t="shared" si="23"/>
        <v>0</v>
      </c>
    </row>
    <row r="51" spans="2:31">
      <c r="C51" s="27">
        <v>3</v>
      </c>
      <c r="D51" s="28" t="s">
        <v>70</v>
      </c>
      <c r="E51" s="53" t="s">
        <v>470</v>
      </c>
      <c r="F51" s="29">
        <v>1385.09</v>
      </c>
      <c r="G51" s="29">
        <v>683.57</v>
      </c>
      <c r="H51" s="29">
        <f t="shared" si="13"/>
        <v>418.98972499999996</v>
      </c>
      <c r="I51" s="29">
        <f t="shared" si="14"/>
        <v>206.77992500000002</v>
      </c>
      <c r="J51" s="54">
        <f t="shared" si="24"/>
        <v>0.49352027666072246</v>
      </c>
      <c r="K51" s="199">
        <f t="shared" si="15"/>
        <v>45688</v>
      </c>
      <c r="L51" s="191">
        <f t="shared" si="25"/>
        <v>47514</v>
      </c>
      <c r="M51" s="33">
        <v>60</v>
      </c>
      <c r="N51" s="31">
        <f t="shared" si="16"/>
        <v>1030000</v>
      </c>
      <c r="O51" s="32">
        <f t="shared" si="17"/>
        <v>103000</v>
      </c>
      <c r="P51" s="31">
        <f t="shared" si="26"/>
        <v>90125</v>
      </c>
      <c r="Q51" s="32">
        <f t="shared" si="18"/>
        <v>45000</v>
      </c>
      <c r="R51" s="32">
        <v>0</v>
      </c>
      <c r="S51" s="33">
        <v>1</v>
      </c>
      <c r="T51" s="317">
        <v>1.5</v>
      </c>
      <c r="U51" s="34">
        <v>0.03</v>
      </c>
      <c r="V51" s="35">
        <v>0.03</v>
      </c>
      <c r="W51" s="78">
        <f t="shared" ref="W51:W59" si="34">(($O51+$Q51))/$J51</f>
        <v>299886.36130901001</v>
      </c>
      <c r="X51" s="78">
        <f>IFERROR(((N51*$AE$8/12+$O51*($M51-$S51-($T51*M51/12))/$M51)+$Q51)/$J51-R51/M51,0)</f>
        <v>275537.47994596988</v>
      </c>
      <c r="Y51" s="92">
        <f t="shared" si="21"/>
        <v>431.55941674999997</v>
      </c>
      <c r="Z51" s="147">
        <v>1</v>
      </c>
      <c r="AA51" s="191">
        <v>45688</v>
      </c>
      <c r="AB51" s="195">
        <v>0</v>
      </c>
      <c r="AC51" s="215">
        <f t="shared" si="22"/>
        <v>0</v>
      </c>
      <c r="AD51" s="300">
        <f t="shared" si="27"/>
        <v>43155941.674999997</v>
      </c>
      <c r="AE51" s="340">
        <f t="shared" si="23"/>
        <v>0</v>
      </c>
    </row>
    <row r="52" spans="2:31">
      <c r="B52" s="372" t="s">
        <v>422</v>
      </c>
      <c r="C52" s="179" t="s">
        <v>416</v>
      </c>
      <c r="D52" s="180" t="s">
        <v>72</v>
      </c>
      <c r="E52" s="304" t="s">
        <v>478</v>
      </c>
      <c r="F52" s="181">
        <v>346.27249999999998</v>
      </c>
      <c r="G52" s="181">
        <v>170.89250000000001</v>
      </c>
      <c r="H52" s="181">
        <f t="shared" si="13"/>
        <v>104.74743124999999</v>
      </c>
      <c r="I52" s="181">
        <f t="shared" si="14"/>
        <v>51.694981250000005</v>
      </c>
      <c r="J52" s="182">
        <f t="shared" si="24"/>
        <v>0.49352027666072246</v>
      </c>
      <c r="K52" s="200">
        <f t="shared" si="15"/>
        <v>45747</v>
      </c>
      <c r="L52" s="305">
        <f t="shared" si="25"/>
        <v>47573</v>
      </c>
      <c r="M52" s="186">
        <v>60</v>
      </c>
      <c r="N52" s="184">
        <f>O52*10</f>
        <v>1300000</v>
      </c>
      <c r="O52" s="185">
        <v>130000</v>
      </c>
      <c r="P52" s="184">
        <f t="shared" si="26"/>
        <v>130000</v>
      </c>
      <c r="Q52" s="185">
        <v>45000</v>
      </c>
      <c r="R52" s="185">
        <v>0</v>
      </c>
      <c r="S52" s="186">
        <v>2</v>
      </c>
      <c r="T52" s="318">
        <v>0</v>
      </c>
      <c r="U52" s="187">
        <v>0.03</v>
      </c>
      <c r="V52" s="188">
        <v>0.03</v>
      </c>
      <c r="W52" s="189">
        <f t="shared" si="34"/>
        <v>354595.35965592402</v>
      </c>
      <c r="X52" s="189">
        <f t="shared" ref="X52:X60" si="35">IFERROR(((N52*$AE$8/12+$O52*($M52-$S52-($T52*M52/12))/$M52)+$Q52)/$J52-R52/M52,0)</f>
        <v>352400.2455247207</v>
      </c>
      <c r="Y52" s="190">
        <f t="shared" si="21"/>
        <v>136.17166062499999</v>
      </c>
      <c r="Z52" s="306">
        <v>1</v>
      </c>
      <c r="AA52" s="305">
        <v>45688</v>
      </c>
      <c r="AB52" s="307">
        <v>2</v>
      </c>
      <c r="AC52" s="308">
        <f t="shared" si="22"/>
        <v>0</v>
      </c>
      <c r="AD52" s="309">
        <f t="shared" si="27"/>
        <v>13617166.062499998</v>
      </c>
      <c r="AE52" s="341">
        <f t="shared" si="23"/>
        <v>2</v>
      </c>
    </row>
    <row r="53" spans="2:31">
      <c r="B53" s="373"/>
      <c r="C53" s="27" t="s">
        <v>417</v>
      </c>
      <c r="D53" s="28" t="s">
        <v>72</v>
      </c>
      <c r="E53" s="53" t="s">
        <v>479</v>
      </c>
      <c r="F53" s="29">
        <v>346.27249999999998</v>
      </c>
      <c r="G53" s="29">
        <v>170.89250000000001</v>
      </c>
      <c r="H53" s="29">
        <f t="shared" si="13"/>
        <v>104.74743124999999</v>
      </c>
      <c r="I53" s="29">
        <f>G53*py</f>
        <v>51.694981250000005</v>
      </c>
      <c r="J53" s="54">
        <f t="shared" si="24"/>
        <v>0.49352027666072246</v>
      </c>
      <c r="K53" s="199">
        <f t="shared" si="15"/>
        <v>45747</v>
      </c>
      <c r="L53" s="191">
        <f t="shared" si="25"/>
        <v>47573</v>
      </c>
      <c r="M53" s="33">
        <v>60</v>
      </c>
      <c r="N53" s="31">
        <f t="shared" si="16"/>
        <v>1300000</v>
      </c>
      <c r="O53" s="32">
        <v>130000</v>
      </c>
      <c r="P53" s="31">
        <f t="shared" si="26"/>
        <v>130000</v>
      </c>
      <c r="Q53" s="32">
        <v>45000</v>
      </c>
      <c r="R53" s="32">
        <v>0</v>
      </c>
      <c r="S53" s="33">
        <v>2</v>
      </c>
      <c r="T53" s="317">
        <v>0</v>
      </c>
      <c r="U53" s="34">
        <v>0.03</v>
      </c>
      <c r="V53" s="35">
        <v>0.03</v>
      </c>
      <c r="W53" s="78">
        <f t="shared" si="34"/>
        <v>354595.35965592402</v>
      </c>
      <c r="X53" s="78">
        <f t="shared" si="35"/>
        <v>352400.2455247207</v>
      </c>
      <c r="Y53" s="92">
        <f t="shared" si="21"/>
        <v>136.17166062499999</v>
      </c>
      <c r="Z53" s="147">
        <v>1</v>
      </c>
      <c r="AA53" s="191">
        <v>45688</v>
      </c>
      <c r="AB53" s="195">
        <v>2</v>
      </c>
      <c r="AC53" s="215">
        <f t="shared" si="22"/>
        <v>0</v>
      </c>
      <c r="AD53" s="300">
        <f t="shared" si="27"/>
        <v>13617166.062499998</v>
      </c>
      <c r="AE53" s="340">
        <f t="shared" si="23"/>
        <v>2</v>
      </c>
    </row>
    <row r="54" spans="2:31">
      <c r="B54" s="373"/>
      <c r="C54" s="27" t="s">
        <v>418</v>
      </c>
      <c r="D54" s="28" t="s">
        <v>72</v>
      </c>
      <c r="E54" s="53" t="s">
        <v>480</v>
      </c>
      <c r="F54" s="29">
        <v>346.27249999999998</v>
      </c>
      <c r="G54" s="29">
        <v>170.89250000000001</v>
      </c>
      <c r="H54" s="29">
        <f t="shared" si="13"/>
        <v>104.74743124999999</v>
      </c>
      <c r="I54" s="29">
        <f t="shared" si="14"/>
        <v>51.694981250000005</v>
      </c>
      <c r="J54" s="54">
        <f t="shared" si="24"/>
        <v>0.49352027666072246</v>
      </c>
      <c r="K54" s="199">
        <f t="shared" si="15"/>
        <v>45747</v>
      </c>
      <c r="L54" s="191">
        <f t="shared" si="25"/>
        <v>47573</v>
      </c>
      <c r="M54" s="33">
        <v>60</v>
      </c>
      <c r="N54" s="31">
        <f t="shared" si="16"/>
        <v>1300000</v>
      </c>
      <c r="O54" s="32">
        <v>130000</v>
      </c>
      <c r="P54" s="31">
        <f t="shared" si="26"/>
        <v>130000</v>
      </c>
      <c r="Q54" s="32">
        <v>45000</v>
      </c>
      <c r="R54" s="32">
        <v>0</v>
      </c>
      <c r="S54" s="33">
        <v>2</v>
      </c>
      <c r="T54" s="317">
        <v>0</v>
      </c>
      <c r="U54" s="34">
        <v>0.03</v>
      </c>
      <c r="V54" s="35">
        <v>0.03</v>
      </c>
      <c r="W54" s="78">
        <f t="shared" si="34"/>
        <v>354595.35965592402</v>
      </c>
      <c r="X54" s="78">
        <f t="shared" si="35"/>
        <v>352400.2455247207</v>
      </c>
      <c r="Y54" s="92">
        <f t="shared" si="21"/>
        <v>136.17166062499999</v>
      </c>
      <c r="Z54" s="147">
        <v>1</v>
      </c>
      <c r="AA54" s="191">
        <v>45688</v>
      </c>
      <c r="AB54" s="195">
        <v>2</v>
      </c>
      <c r="AC54" s="215">
        <f t="shared" si="22"/>
        <v>0</v>
      </c>
      <c r="AD54" s="300">
        <f t="shared" si="27"/>
        <v>13617166.062499998</v>
      </c>
      <c r="AE54" s="340">
        <f t="shared" si="23"/>
        <v>2</v>
      </c>
    </row>
    <row r="55" spans="2:31">
      <c r="B55" s="374"/>
      <c r="C55" s="45" t="s">
        <v>419</v>
      </c>
      <c r="D55" s="46" t="s">
        <v>72</v>
      </c>
      <c r="E55" s="168" t="s">
        <v>481</v>
      </c>
      <c r="F55" s="47">
        <v>346.27249999999998</v>
      </c>
      <c r="G55" s="47">
        <v>170.89250000000001</v>
      </c>
      <c r="H55" s="47">
        <f t="shared" si="13"/>
        <v>104.74743124999999</v>
      </c>
      <c r="I55" s="47">
        <f t="shared" si="14"/>
        <v>51.694981250000005</v>
      </c>
      <c r="J55" s="55">
        <f t="shared" si="24"/>
        <v>0.49352027666072246</v>
      </c>
      <c r="K55" s="202">
        <f t="shared" si="15"/>
        <v>45747</v>
      </c>
      <c r="L55" s="193">
        <f>EOMONTH($K55,$M55)</f>
        <v>47573</v>
      </c>
      <c r="M55" s="50">
        <v>60</v>
      </c>
      <c r="N55" s="48">
        <f t="shared" si="16"/>
        <v>1300000</v>
      </c>
      <c r="O55" s="49">
        <v>130000</v>
      </c>
      <c r="P55" s="48">
        <f t="shared" si="26"/>
        <v>130000</v>
      </c>
      <c r="Q55" s="49">
        <v>45000</v>
      </c>
      <c r="R55" s="49">
        <v>0</v>
      </c>
      <c r="S55" s="50">
        <v>2</v>
      </c>
      <c r="T55" s="319">
        <v>0</v>
      </c>
      <c r="U55" s="51">
        <v>0.03</v>
      </c>
      <c r="V55" s="52">
        <v>0.03</v>
      </c>
      <c r="W55" s="79">
        <f t="shared" si="34"/>
        <v>354595.35965592402</v>
      </c>
      <c r="X55" s="79">
        <f t="shared" si="35"/>
        <v>352400.2455247207</v>
      </c>
      <c r="Y55" s="169">
        <f t="shared" si="21"/>
        <v>136.17166062499999</v>
      </c>
      <c r="Z55" s="170">
        <v>1</v>
      </c>
      <c r="AA55" s="193">
        <v>45688</v>
      </c>
      <c r="AB55" s="197">
        <v>2</v>
      </c>
      <c r="AC55" s="217">
        <f t="shared" si="22"/>
        <v>0</v>
      </c>
      <c r="AD55" s="302">
        <f t="shared" si="27"/>
        <v>13617166.062499998</v>
      </c>
      <c r="AE55" s="342">
        <f t="shared" si="23"/>
        <v>2</v>
      </c>
    </row>
    <row r="56" spans="2:31">
      <c r="B56" s="375" t="s">
        <v>423</v>
      </c>
      <c r="C56" s="158" t="s">
        <v>420</v>
      </c>
      <c r="D56" s="26" t="s">
        <v>72</v>
      </c>
      <c r="E56" s="159" t="s">
        <v>442</v>
      </c>
      <c r="F56" s="160">
        <v>484.78</v>
      </c>
      <c r="G56" s="160">
        <v>205.07</v>
      </c>
      <c r="H56" s="160">
        <f t="shared" si="13"/>
        <v>146.64595</v>
      </c>
      <c r="I56" s="160">
        <f t="shared" si="14"/>
        <v>62.033674999999995</v>
      </c>
      <c r="J56" s="161">
        <f t="shared" si="24"/>
        <v>0.42301662609843643</v>
      </c>
      <c r="K56" s="201">
        <f t="shared" si="15"/>
        <v>45838</v>
      </c>
      <c r="L56" s="192">
        <f t="shared" ref="L56:L57" si="36">EOMONTH($K56,$M56-1)</f>
        <v>47634</v>
      </c>
      <c r="M56" s="164">
        <v>60</v>
      </c>
      <c r="N56" s="162">
        <f t="shared" si="16"/>
        <v>1500000</v>
      </c>
      <c r="O56" s="163">
        <v>150000</v>
      </c>
      <c r="P56" s="162">
        <f t="shared" si="26"/>
        <v>150000</v>
      </c>
      <c r="Q56" s="163">
        <v>45000</v>
      </c>
      <c r="R56" s="163">
        <v>0</v>
      </c>
      <c r="S56" s="164">
        <v>1</v>
      </c>
      <c r="T56" s="320">
        <v>0</v>
      </c>
      <c r="U56" s="165">
        <v>0.03</v>
      </c>
      <c r="V56" s="166">
        <v>0.03</v>
      </c>
      <c r="W56" s="167">
        <f t="shared" si="34"/>
        <v>460974.78909640608</v>
      </c>
      <c r="X56" s="167">
        <f t="shared" si="35"/>
        <v>463929.75569317793</v>
      </c>
      <c r="Y56" s="91">
        <f t="shared" si="21"/>
        <v>219.96892500000001</v>
      </c>
      <c r="Z56" s="148">
        <v>1</v>
      </c>
      <c r="AA56" s="192">
        <v>45717</v>
      </c>
      <c r="AB56" s="196">
        <v>3</v>
      </c>
      <c r="AC56" s="216">
        <f t="shared" si="22"/>
        <v>0</v>
      </c>
      <c r="AD56" s="301">
        <f t="shared" si="27"/>
        <v>21996892.5</v>
      </c>
      <c r="AE56" s="343">
        <f t="shared" si="23"/>
        <v>4</v>
      </c>
    </row>
    <row r="57" spans="2:31">
      <c r="B57" s="376"/>
      <c r="C57" s="45" t="s">
        <v>421</v>
      </c>
      <c r="D57" s="46" t="s">
        <v>72</v>
      </c>
      <c r="E57" s="168" t="s">
        <v>366</v>
      </c>
      <c r="F57" s="47">
        <v>484.78</v>
      </c>
      <c r="G57" s="47">
        <v>205.07</v>
      </c>
      <c r="H57" s="47">
        <f t="shared" si="13"/>
        <v>146.64595</v>
      </c>
      <c r="I57" s="47">
        <f t="shared" si="14"/>
        <v>62.033674999999995</v>
      </c>
      <c r="J57" s="55">
        <f t="shared" si="24"/>
        <v>0.42301662609843643</v>
      </c>
      <c r="K57" s="202">
        <f t="shared" si="15"/>
        <v>45838</v>
      </c>
      <c r="L57" s="193">
        <f t="shared" si="36"/>
        <v>47634</v>
      </c>
      <c r="M57" s="50">
        <v>60</v>
      </c>
      <c r="N57" s="48">
        <f t="shared" si="16"/>
        <v>1500000</v>
      </c>
      <c r="O57" s="49">
        <v>150000</v>
      </c>
      <c r="P57" s="48">
        <f t="shared" si="26"/>
        <v>150000</v>
      </c>
      <c r="Q57" s="49">
        <v>45000</v>
      </c>
      <c r="R57" s="49">
        <v>0</v>
      </c>
      <c r="S57" s="50">
        <v>1</v>
      </c>
      <c r="T57" s="319">
        <v>0</v>
      </c>
      <c r="U57" s="51">
        <v>0.03</v>
      </c>
      <c r="V57" s="52">
        <v>0.03</v>
      </c>
      <c r="W57" s="79">
        <f t="shared" si="34"/>
        <v>460974.78909640608</v>
      </c>
      <c r="X57" s="79">
        <f t="shared" si="35"/>
        <v>463929.75569317793</v>
      </c>
      <c r="Y57" s="169">
        <f t="shared" si="21"/>
        <v>219.96892500000001</v>
      </c>
      <c r="Z57" s="170">
        <v>1</v>
      </c>
      <c r="AA57" s="193">
        <v>45717</v>
      </c>
      <c r="AB57" s="197">
        <v>3</v>
      </c>
      <c r="AC57" s="217">
        <f t="shared" si="22"/>
        <v>0</v>
      </c>
      <c r="AD57" s="302">
        <f t="shared" si="27"/>
        <v>21996892.5</v>
      </c>
      <c r="AE57" s="342">
        <f t="shared" si="23"/>
        <v>4</v>
      </c>
    </row>
    <row r="58" spans="2:31">
      <c r="B58" s="377" t="s">
        <v>244</v>
      </c>
      <c r="C58" s="27" t="s">
        <v>242</v>
      </c>
      <c r="D58" s="28" t="s">
        <v>241</v>
      </c>
      <c r="E58" s="349" t="s">
        <v>466</v>
      </c>
      <c r="F58" s="29">
        <v>969.56</v>
      </c>
      <c r="G58" s="29">
        <v>410.14</v>
      </c>
      <c r="H58" s="29">
        <f t="shared" ref="H58" si="37">F58*py</f>
        <v>293.2919</v>
      </c>
      <c r="I58" s="29">
        <f t="shared" ref="I58" si="38">G58*py</f>
        <v>124.06734999999999</v>
      </c>
      <c r="J58" s="54">
        <f t="shared" ref="J58" si="39">G58/F58</f>
        <v>0.42301662609843643</v>
      </c>
      <c r="K58" s="199">
        <f t="shared" si="15"/>
        <v>46752</v>
      </c>
      <c r="L58" s="191">
        <f t="shared" si="25"/>
        <v>48579</v>
      </c>
      <c r="M58" s="33">
        <v>60</v>
      </c>
      <c r="N58" s="31">
        <f t="shared" ref="N58" si="40">O58*10</f>
        <v>521167.12499999994</v>
      </c>
      <c r="O58" s="32">
        <f>O56*$AE$21*(1+$U58)^(DATEDIF(acq,$K58,"y"))</f>
        <v>52116.712499999994</v>
      </c>
      <c r="P58" s="31">
        <f t="shared" ref="P58" si="41">O58*(12-T58)/12</f>
        <v>52116.712499999994</v>
      </c>
      <c r="Q58" s="32">
        <v>40000</v>
      </c>
      <c r="R58" s="32">
        <v>0</v>
      </c>
      <c r="S58" s="33">
        <v>1</v>
      </c>
      <c r="T58" s="317">
        <v>0</v>
      </c>
      <c r="U58" s="34">
        <v>0.03</v>
      </c>
      <c r="V58" s="35">
        <v>0.03</v>
      </c>
      <c r="W58" s="78">
        <f t="shared" si="34"/>
        <v>217761.44675354753</v>
      </c>
      <c r="X58" s="78">
        <f t="shared" si="35"/>
        <v>218788.13438402128</v>
      </c>
      <c r="Y58" s="92">
        <f t="shared" ref="Y58" si="42">N58*H58/unit</f>
        <v>152.85409630878749</v>
      </c>
      <c r="Z58" s="147">
        <v>1</v>
      </c>
      <c r="AA58" s="191">
        <v>46752</v>
      </c>
      <c r="AB58" s="195">
        <v>0</v>
      </c>
      <c r="AC58" s="215">
        <f t="shared" ref="AC58" si="43">R58*H58/unit</f>
        <v>0</v>
      </c>
      <c r="AD58" s="300">
        <f t="shared" ref="AD58" si="44">O58*H58</f>
        <v>15285409.630878748</v>
      </c>
      <c r="AE58" s="340">
        <f t="shared" si="23"/>
        <v>35</v>
      </c>
    </row>
    <row r="59" spans="2:31">
      <c r="B59" s="378"/>
      <c r="C59" s="27" t="s">
        <v>243</v>
      </c>
      <c r="D59" s="155" t="s">
        <v>72</v>
      </c>
      <c r="E59" s="156" t="s">
        <v>443</v>
      </c>
      <c r="F59" s="29">
        <v>969.56</v>
      </c>
      <c r="G59" s="29">
        <v>410.14</v>
      </c>
      <c r="H59" s="29">
        <f t="shared" ref="H59:H60" si="45">F59*py</f>
        <v>293.2919</v>
      </c>
      <c r="I59" s="29">
        <f t="shared" ref="I59:I60" si="46">G59*py</f>
        <v>124.06734999999999</v>
      </c>
      <c r="J59" s="54">
        <f t="shared" ref="J59" si="47">G59/F59</f>
        <v>0.42301662609843643</v>
      </c>
      <c r="K59" s="199">
        <f t="shared" si="15"/>
        <v>46418</v>
      </c>
      <c r="L59" s="191">
        <f t="shared" si="25"/>
        <v>48244</v>
      </c>
      <c r="M59" s="33">
        <v>60</v>
      </c>
      <c r="N59" s="31">
        <f t="shared" ref="N59:N60" si="48">O59*10</f>
        <v>521167.12499999994</v>
      </c>
      <c r="O59" s="32">
        <f>O57*$AE$21*(1+$U59)^(DATEDIF(acq,$K59,"y"))</f>
        <v>52116.712499999994</v>
      </c>
      <c r="P59" s="31">
        <f t="shared" ref="P59:P60" si="49">O59*(12-T59)/12</f>
        <v>52116.712499999994</v>
      </c>
      <c r="Q59" s="32">
        <v>40000</v>
      </c>
      <c r="R59" s="32">
        <v>0</v>
      </c>
      <c r="S59" s="33">
        <v>1</v>
      </c>
      <c r="T59" s="317">
        <v>0</v>
      </c>
      <c r="U59" s="34">
        <v>0.03</v>
      </c>
      <c r="V59" s="35">
        <v>0.03</v>
      </c>
      <c r="W59" s="78">
        <f t="shared" si="34"/>
        <v>217761.44675354753</v>
      </c>
      <c r="X59" s="78">
        <f t="shared" si="35"/>
        <v>218788.13438402128</v>
      </c>
      <c r="Y59" s="92">
        <f t="shared" ref="Y59:Y60" si="50">N59*H59/unit</f>
        <v>152.85409630878749</v>
      </c>
      <c r="Z59" s="147">
        <v>1</v>
      </c>
      <c r="AA59" s="191">
        <v>46418</v>
      </c>
      <c r="AB59" s="195">
        <v>0</v>
      </c>
      <c r="AC59" s="215">
        <f t="shared" si="22"/>
        <v>0</v>
      </c>
      <c r="AD59" s="300">
        <f t="shared" si="27"/>
        <v>15285409.630878748</v>
      </c>
      <c r="AE59" s="340">
        <f t="shared" si="23"/>
        <v>24</v>
      </c>
    </row>
    <row r="60" spans="2:31">
      <c r="B60" s="379"/>
      <c r="C60" s="151">
        <v>0</v>
      </c>
      <c r="D60" s="157" t="s">
        <v>72</v>
      </c>
      <c r="E60" s="348"/>
      <c r="F60" s="171">
        <v>0</v>
      </c>
      <c r="G60" s="171">
        <v>0</v>
      </c>
      <c r="H60" s="171">
        <f t="shared" si="45"/>
        <v>0</v>
      </c>
      <c r="I60" s="171">
        <f t="shared" si="46"/>
        <v>0</v>
      </c>
      <c r="J60" s="172"/>
      <c r="K60" s="203"/>
      <c r="L60" s="194"/>
      <c r="M60" s="175">
        <v>0</v>
      </c>
      <c r="N60" s="173">
        <f t="shared" si="48"/>
        <v>0</v>
      </c>
      <c r="O60" s="174">
        <v>0</v>
      </c>
      <c r="P60" s="173">
        <f t="shared" si="49"/>
        <v>0</v>
      </c>
      <c r="Q60" s="174">
        <v>0</v>
      </c>
      <c r="R60" s="174">
        <v>0</v>
      </c>
      <c r="S60" s="175">
        <v>0</v>
      </c>
      <c r="T60" s="321">
        <v>0</v>
      </c>
      <c r="U60" s="176">
        <v>0</v>
      </c>
      <c r="V60" s="177">
        <v>0</v>
      </c>
      <c r="W60" s="178">
        <v>0</v>
      </c>
      <c r="X60" s="178">
        <f t="shared" si="35"/>
        <v>0</v>
      </c>
      <c r="Y60" s="102">
        <f t="shared" si="50"/>
        <v>0</v>
      </c>
      <c r="Z60" s="149">
        <v>0</v>
      </c>
      <c r="AA60" s="194"/>
      <c r="AB60" s="198">
        <v>0</v>
      </c>
      <c r="AC60" s="218">
        <f t="shared" si="22"/>
        <v>0</v>
      </c>
      <c r="AD60" s="303">
        <f t="shared" si="27"/>
        <v>0</v>
      </c>
      <c r="AE60" s="344">
        <f t="shared" si="23"/>
        <v>0</v>
      </c>
    </row>
    <row r="61" spans="2:31">
      <c r="C61" s="363" t="s">
        <v>73</v>
      </c>
      <c r="D61" s="363"/>
      <c r="E61" s="363"/>
      <c r="F61" s="36">
        <f>SUMIF($D$37:$D$60,D37,F$37:F$60)</f>
        <v>20776.349999999999</v>
      </c>
      <c r="G61" s="36">
        <f>SUMIF($D$37:$D$60,D37,G$37:G$60)</f>
        <v>10253.549999999997</v>
      </c>
      <c r="H61" s="36">
        <f>SUMIF($D$37:$D$60,D37,H$37:H$60)</f>
        <v>6284.8458750000018</v>
      </c>
      <c r="I61" s="36">
        <f>SUMIF($D$37:$D$60,D37,I$37:I$60)</f>
        <v>3101.6988749999991</v>
      </c>
      <c r="J61" s="57">
        <f>G61/F61</f>
        <v>0.49352027666072235</v>
      </c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8"/>
      <c r="W61" s="38">
        <f>AVERAGE(W37:W51)</f>
        <v>314118.94042719033</v>
      </c>
      <c r="X61" s="38">
        <f>AVERAGE(X37:X51)</f>
        <v>296494.50608789403</v>
      </c>
      <c r="Y61" s="103">
        <f>SUMIF($D$37:$D$60,D37,Y$37:Y$60)</f>
        <v>6650.3275822352025</v>
      </c>
      <c r="Z61" s="103"/>
      <c r="AA61" s="103"/>
      <c r="AB61" s="103"/>
      <c r="AC61" s="38"/>
      <c r="AD61" s="38"/>
      <c r="AE61" s="38"/>
    </row>
    <row r="62" spans="2:31">
      <c r="C62" s="364" t="s">
        <v>74</v>
      </c>
      <c r="D62" s="364"/>
      <c r="E62" s="364"/>
      <c r="F62" s="39">
        <f>SUMIF($D$37:$D$60,$D$60,F$37:F$60)</f>
        <v>4293.7699999999995</v>
      </c>
      <c r="G62" s="39">
        <f>SUMIF($D$37:$D$60,$D$60,G$37:G$60)</f>
        <v>1913.9899999999998</v>
      </c>
      <c r="H62" s="39">
        <f>SUMIF($D$37:$D$60,$D$60,H$37:H$60)</f>
        <v>1298.865425</v>
      </c>
      <c r="I62" s="39">
        <f>SUMIF($D$37:$D$60,$D$60,I$37:I$60)</f>
        <v>578.98197500000003</v>
      </c>
      <c r="J62" s="58">
        <f>G62/F62</f>
        <v>0.44575978685397682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1"/>
      <c r="W62" s="41"/>
      <c r="X62" s="41"/>
      <c r="Y62" s="40">
        <f>SUMIF($D$37:$D$60,D60,Y$37:Y$60)</f>
        <v>1290.332685117575</v>
      </c>
      <c r="Z62" s="40"/>
      <c r="AA62" s="40"/>
      <c r="AB62" s="40"/>
      <c r="AC62" s="41"/>
      <c r="AD62" s="41"/>
      <c r="AE62" s="41"/>
    </row>
    <row r="63" spans="2:31">
      <c r="C63" s="356" t="s">
        <v>75</v>
      </c>
      <c r="D63" s="357"/>
      <c r="E63" s="357"/>
      <c r="F63" s="42">
        <f>SUM(F61:F62)</f>
        <v>25070.12</v>
      </c>
      <c r="G63" s="42">
        <f t="shared" ref="G63:I63" si="51">SUM(G61:G62)</f>
        <v>12167.539999999997</v>
      </c>
      <c r="H63" s="42">
        <f t="shared" si="51"/>
        <v>7583.7113000000018</v>
      </c>
      <c r="I63" s="42">
        <f t="shared" si="51"/>
        <v>3680.6808499999993</v>
      </c>
      <c r="J63" s="59">
        <f>G63/F63</f>
        <v>0.48534031747753892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4"/>
      <c r="W63" s="44"/>
      <c r="X63" s="44"/>
      <c r="Y63" s="44">
        <f>SUM(Y61:Y62)</f>
        <v>7940.6602673527777</v>
      </c>
      <c r="Z63" s="44"/>
      <c r="AA63" s="44"/>
      <c r="AB63" s="44"/>
      <c r="AC63" s="44">
        <f>SUM(AC37:AC60)</f>
        <v>251.393835</v>
      </c>
      <c r="AD63" s="44"/>
      <c r="AE63" s="44"/>
    </row>
    <row r="67" spans="3:26">
      <c r="C67" s="322"/>
      <c r="D67" s="322"/>
      <c r="E67" s="56"/>
      <c r="F67" s="56"/>
      <c r="G67" s="56"/>
      <c r="H67" s="56"/>
      <c r="I67" s="56"/>
      <c r="J67" s="56"/>
      <c r="R67" s="295"/>
      <c r="T67" s="339"/>
      <c r="U67" s="339"/>
      <c r="V67" s="339"/>
      <c r="X67" s="339"/>
      <c r="Y67" s="339"/>
      <c r="Z67" s="339"/>
    </row>
    <row r="68" spans="3:26">
      <c r="C68" s="362"/>
      <c r="D68" s="362"/>
      <c r="E68" s="362"/>
      <c r="F68" s="362"/>
      <c r="G68" s="362"/>
      <c r="H68" s="362"/>
      <c r="I68" s="362"/>
      <c r="J68" s="362"/>
    </row>
    <row r="69" spans="3:26">
      <c r="C69" s="362"/>
      <c r="D69" s="362"/>
      <c r="E69" s="362"/>
      <c r="F69" s="110"/>
      <c r="G69" s="110"/>
      <c r="H69" s="110"/>
      <c r="I69" s="110"/>
      <c r="J69" s="362"/>
    </row>
    <row r="70" spans="3:26">
      <c r="C70" s="28"/>
      <c r="D70" s="28"/>
      <c r="E70" s="136"/>
      <c r="F70" s="313"/>
      <c r="G70" s="313"/>
      <c r="H70" s="313"/>
      <c r="I70" s="313"/>
      <c r="J70" s="101"/>
      <c r="N70" s="90"/>
      <c r="O70" s="295"/>
      <c r="P70" s="295"/>
    </row>
    <row r="71" spans="3:26">
      <c r="C71" s="28"/>
      <c r="D71" s="28"/>
      <c r="E71" s="136"/>
      <c r="F71" s="313"/>
      <c r="G71" s="313"/>
      <c r="H71" s="313"/>
      <c r="I71" s="313"/>
      <c r="J71" s="101"/>
      <c r="N71" s="90"/>
      <c r="O71" s="295"/>
      <c r="P71" s="295"/>
    </row>
    <row r="72" spans="3:26">
      <c r="C72" s="28"/>
      <c r="D72" s="28"/>
      <c r="E72" s="136"/>
      <c r="F72" s="313"/>
      <c r="G72" s="313"/>
      <c r="H72" s="313"/>
      <c r="I72" s="313"/>
      <c r="J72" s="101"/>
      <c r="N72" s="90"/>
      <c r="O72" s="295"/>
      <c r="P72" s="295"/>
    </row>
    <row r="73" spans="3:26">
      <c r="C73" s="28"/>
      <c r="D73" s="28"/>
      <c r="E73" s="136"/>
      <c r="F73" s="313"/>
      <c r="G73" s="313"/>
      <c r="H73" s="313"/>
      <c r="I73" s="313"/>
      <c r="J73" s="101"/>
      <c r="N73" s="90"/>
      <c r="O73" s="295"/>
      <c r="P73" s="295"/>
    </row>
    <row r="74" spans="3:26">
      <c r="C74" s="28"/>
      <c r="D74" s="28"/>
      <c r="E74" s="136"/>
      <c r="F74" s="313"/>
      <c r="G74" s="313"/>
      <c r="H74" s="313"/>
      <c r="I74" s="313"/>
      <c r="J74" s="101"/>
      <c r="N74" s="90"/>
      <c r="O74" s="295"/>
      <c r="P74" s="295"/>
    </row>
    <row r="75" spans="3:26">
      <c r="C75" s="28"/>
      <c r="D75" s="28"/>
      <c r="E75" s="136"/>
      <c r="F75" s="313"/>
      <c r="G75" s="313"/>
      <c r="H75" s="313"/>
      <c r="I75" s="313"/>
      <c r="J75" s="101"/>
      <c r="N75" s="90"/>
      <c r="O75" s="295"/>
      <c r="P75" s="295"/>
      <c r="T75" s="339"/>
      <c r="U75" s="339"/>
      <c r="V75" s="339"/>
      <c r="W75" s="339"/>
      <c r="X75" s="339"/>
      <c r="Y75" s="339"/>
      <c r="Z75" s="339"/>
    </row>
    <row r="76" spans="3:26">
      <c r="C76" s="28"/>
      <c r="D76" s="28"/>
      <c r="E76" s="136"/>
      <c r="F76" s="313"/>
      <c r="G76" s="313"/>
      <c r="H76" s="313"/>
      <c r="I76" s="313"/>
      <c r="J76" s="101"/>
      <c r="K76" s="16"/>
      <c r="L76" s="16"/>
      <c r="M76" s="19"/>
      <c r="N76" s="90"/>
      <c r="O76" s="295"/>
      <c r="P76" s="295"/>
    </row>
    <row r="77" spans="3:26">
      <c r="C77" s="28"/>
      <c r="D77" s="28"/>
      <c r="E77" s="136"/>
      <c r="F77" s="313"/>
      <c r="G77" s="313"/>
      <c r="H77" s="313"/>
      <c r="I77" s="313"/>
      <c r="J77" s="101"/>
      <c r="K77" s="16"/>
      <c r="L77" s="16"/>
      <c r="M77" s="19"/>
      <c r="N77" s="90"/>
      <c r="O77" s="295"/>
      <c r="P77" s="295"/>
    </row>
    <row r="78" spans="3:26">
      <c r="C78" s="28"/>
      <c r="D78" s="28"/>
      <c r="E78" s="136"/>
      <c r="F78" s="313"/>
      <c r="G78" s="313"/>
      <c r="H78" s="313"/>
      <c r="I78" s="313"/>
      <c r="J78" s="101"/>
      <c r="K78" s="16"/>
      <c r="L78" s="16"/>
      <c r="M78" s="19"/>
      <c r="N78" s="90"/>
      <c r="O78" s="295"/>
      <c r="P78" s="295"/>
    </row>
    <row r="79" spans="3:26">
      <c r="C79" s="28"/>
      <c r="D79" s="28"/>
      <c r="E79" s="136"/>
      <c r="F79" s="313"/>
      <c r="G79" s="313"/>
      <c r="H79" s="313"/>
      <c r="I79" s="313"/>
      <c r="J79" s="101"/>
      <c r="K79" s="16"/>
      <c r="L79" s="16"/>
      <c r="M79" s="19"/>
      <c r="N79" s="90"/>
      <c r="O79" s="295"/>
      <c r="P79" s="295"/>
    </row>
    <row r="80" spans="3:26">
      <c r="C80" s="28"/>
      <c r="D80" s="28"/>
      <c r="E80" s="136"/>
      <c r="F80" s="313"/>
      <c r="G80" s="313"/>
      <c r="H80" s="313"/>
      <c r="I80" s="313"/>
      <c r="J80" s="101"/>
      <c r="K80" s="16"/>
      <c r="L80" s="16"/>
      <c r="M80" s="19"/>
      <c r="N80" s="90"/>
      <c r="O80" s="295"/>
      <c r="P80" s="295"/>
    </row>
    <row r="81" spans="3:16">
      <c r="C81" s="28"/>
      <c r="D81" s="28"/>
      <c r="E81" s="136"/>
      <c r="F81" s="313"/>
      <c r="G81" s="313"/>
      <c r="H81" s="313"/>
      <c r="I81" s="313"/>
      <c r="J81" s="101"/>
      <c r="K81" s="16"/>
      <c r="L81" s="16"/>
      <c r="M81" s="19"/>
      <c r="N81" s="90"/>
      <c r="O81" s="295"/>
      <c r="P81" s="295"/>
    </row>
    <row r="82" spans="3:16">
      <c r="C82" s="28"/>
      <c r="D82" s="28"/>
      <c r="E82" s="323"/>
      <c r="F82" s="313"/>
      <c r="G82" s="313"/>
      <c r="H82" s="313"/>
      <c r="I82" s="313"/>
      <c r="J82" s="101"/>
      <c r="K82" s="16"/>
      <c r="L82" s="16"/>
      <c r="M82" s="19"/>
      <c r="N82" s="90"/>
      <c r="O82" s="295"/>
      <c r="P82" s="295"/>
    </row>
    <row r="83" spans="3:16">
      <c r="C83" s="28"/>
      <c r="D83" s="28"/>
      <c r="E83" s="323"/>
      <c r="F83" s="313"/>
      <c r="G83" s="313"/>
      <c r="H83" s="313"/>
      <c r="I83" s="313"/>
      <c r="J83" s="101"/>
      <c r="K83" s="16"/>
      <c r="L83" s="16"/>
      <c r="M83" s="19"/>
      <c r="N83" s="90"/>
      <c r="O83" s="295"/>
      <c r="P83" s="295"/>
    </row>
    <row r="84" spans="3:16">
      <c r="C84" s="28"/>
      <c r="D84" s="28"/>
      <c r="E84" s="323"/>
      <c r="F84" s="313"/>
      <c r="G84" s="313"/>
      <c r="H84" s="313"/>
      <c r="I84" s="313"/>
      <c r="J84" s="101"/>
      <c r="K84" s="16"/>
      <c r="L84" s="16"/>
      <c r="M84" s="19"/>
      <c r="N84" s="90"/>
      <c r="O84" s="295"/>
      <c r="P84" s="295"/>
    </row>
    <row r="85" spans="3:16">
      <c r="C85" s="28"/>
      <c r="D85" s="28"/>
      <c r="E85" s="323"/>
      <c r="F85" s="313"/>
      <c r="G85" s="313"/>
      <c r="H85" s="313"/>
      <c r="I85" s="313"/>
      <c r="J85" s="101"/>
      <c r="K85" s="16"/>
      <c r="L85" s="16"/>
      <c r="M85" s="19"/>
      <c r="N85" s="90"/>
      <c r="O85" s="295"/>
      <c r="P85" s="295"/>
    </row>
    <row r="86" spans="3:16">
      <c r="C86" s="28"/>
      <c r="D86" s="28"/>
      <c r="E86" s="136"/>
      <c r="F86" s="313"/>
      <c r="G86" s="313"/>
      <c r="H86" s="313"/>
      <c r="I86" s="313"/>
      <c r="J86" s="101"/>
      <c r="K86" s="16"/>
      <c r="L86" s="16"/>
      <c r="M86" s="19"/>
      <c r="N86" s="90"/>
      <c r="O86" s="295"/>
      <c r="P86" s="295"/>
    </row>
    <row r="87" spans="3:16">
      <c r="C87" s="28"/>
      <c r="D87" s="28"/>
      <c r="E87" s="136"/>
      <c r="F87" s="313"/>
      <c r="G87" s="313"/>
      <c r="H87" s="313"/>
      <c r="I87" s="313"/>
      <c r="J87" s="101"/>
      <c r="K87" s="16"/>
      <c r="L87" s="16"/>
      <c r="M87" s="19"/>
      <c r="N87" s="90"/>
      <c r="O87" s="295"/>
      <c r="P87" s="295"/>
    </row>
    <row r="88" spans="3:16">
      <c r="C88" s="28"/>
      <c r="D88" s="28"/>
      <c r="E88" s="136"/>
      <c r="F88" s="313"/>
      <c r="G88" s="313"/>
      <c r="H88" s="313"/>
      <c r="I88" s="313"/>
      <c r="J88" s="101"/>
      <c r="K88" s="16"/>
      <c r="L88" s="16"/>
      <c r="M88" s="19"/>
      <c r="N88" s="90"/>
      <c r="O88" s="295"/>
      <c r="P88" s="295"/>
    </row>
    <row r="89" spans="3:16">
      <c r="C89" s="361"/>
      <c r="D89" s="361"/>
      <c r="E89" s="361"/>
      <c r="F89" s="324"/>
      <c r="G89" s="324"/>
      <c r="H89" s="324"/>
      <c r="I89" s="324"/>
      <c r="J89" s="325"/>
      <c r="K89" s="110"/>
      <c r="L89" s="110"/>
      <c r="M89" s="110"/>
    </row>
    <row r="90" spans="3:16">
      <c r="C90" s="361"/>
      <c r="D90" s="361"/>
      <c r="E90" s="361"/>
      <c r="F90" s="324"/>
      <c r="G90" s="324"/>
      <c r="H90" s="324"/>
      <c r="I90" s="324"/>
      <c r="J90" s="325"/>
      <c r="K90" s="110"/>
      <c r="L90" s="110"/>
      <c r="M90" s="110"/>
    </row>
    <row r="91" spans="3:16">
      <c r="C91" s="361"/>
      <c r="D91" s="361"/>
      <c r="E91" s="361"/>
      <c r="F91" s="326"/>
      <c r="G91" s="326"/>
      <c r="H91" s="326"/>
      <c r="I91" s="326"/>
      <c r="J91" s="327"/>
      <c r="K91" s="328"/>
      <c r="L91" s="328"/>
      <c r="M91" s="328"/>
    </row>
  </sheetData>
  <mergeCells count="54">
    <mergeCell ref="B52:B55"/>
    <mergeCell ref="B56:B57"/>
    <mergeCell ref="B58:B60"/>
    <mergeCell ref="AA35:AA36"/>
    <mergeCell ref="AB35:AB36"/>
    <mergeCell ref="J35:J36"/>
    <mergeCell ref="K35:M35"/>
    <mergeCell ref="N35:Q35"/>
    <mergeCell ref="AC35:AC36"/>
    <mergeCell ref="Z35:Z36"/>
    <mergeCell ref="R35:R36"/>
    <mergeCell ref="S9:S10"/>
    <mergeCell ref="T9:T10"/>
    <mergeCell ref="W9:X9"/>
    <mergeCell ref="U9:V9"/>
    <mergeCell ref="Y35:Y36"/>
    <mergeCell ref="U35:V35"/>
    <mergeCell ref="S35:S36"/>
    <mergeCell ref="T35:T36"/>
    <mergeCell ref="W35:X35"/>
    <mergeCell ref="AA9:AA10"/>
    <mergeCell ref="C30:E30"/>
    <mergeCell ref="C31:E31"/>
    <mergeCell ref="K9:M9"/>
    <mergeCell ref="N9:Q9"/>
    <mergeCell ref="R9:R10"/>
    <mergeCell ref="J9:J10"/>
    <mergeCell ref="C9:C10"/>
    <mergeCell ref="D9:D10"/>
    <mergeCell ref="E9:E10"/>
    <mergeCell ref="F9:G9"/>
    <mergeCell ref="H9:I9"/>
    <mergeCell ref="C62:E62"/>
    <mergeCell ref="H35:I35"/>
    <mergeCell ref="C35:C36"/>
    <mergeCell ref="D35:D36"/>
    <mergeCell ref="E35:E36"/>
    <mergeCell ref="F35:G35"/>
    <mergeCell ref="C32:E32"/>
    <mergeCell ref="Z9:Z10"/>
    <mergeCell ref="Y9:Y10"/>
    <mergeCell ref="AE35:AE36"/>
    <mergeCell ref="C91:E91"/>
    <mergeCell ref="H68:I68"/>
    <mergeCell ref="J68:J69"/>
    <mergeCell ref="C89:E89"/>
    <mergeCell ref="C90:E90"/>
    <mergeCell ref="C68:C69"/>
    <mergeCell ref="D68:D69"/>
    <mergeCell ref="E68:E69"/>
    <mergeCell ref="F68:G68"/>
    <mergeCell ref="AD35:AD36"/>
    <mergeCell ref="C63:E63"/>
    <mergeCell ref="C61:E61"/>
  </mergeCells>
  <phoneticPr fontId="1" type="noConversion"/>
  <conditionalFormatting sqref="E39:E42 E46:E57 E59:E60">
    <cfRule type="colorScale" priority="1">
      <colorScale>
        <cfvo type="num" val="0"/>
        <cfvo type="num" val="1"/>
        <color theme="3" tint="0.79998168889431442"/>
        <color theme="9" tint="0.79998168889431442"/>
      </colorScale>
    </cfRule>
  </conditionalFormatting>
  <pageMargins left="0.7" right="0.7" top="0.75" bottom="0.75" header="0.3" footer="0.3"/>
  <pageSetup paperSize="9" orientation="portrait" horizontalDpi="0" verticalDpi="0"/>
  <ignoredErrors>
    <ignoredError sqref="M27" formula="1"/>
    <ignoredError sqref="AE25:AE29" formulaRange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FA96-9A4C-B648-AE18-4093795D4FD0}">
  <dimension ref="A1:DL203"/>
  <sheetViews>
    <sheetView showGridLines="0" zoomScale="67" workbookViewId="0">
      <pane xSplit="17" ySplit="16" topLeftCell="R149" activePane="bottomRight" state="frozen"/>
      <selection pane="topRight" activeCell="R1" sqref="R1"/>
      <selection pane="bottomLeft" activeCell="A17" sqref="A17"/>
      <selection pane="bottomRight" activeCell="S103" sqref="S103"/>
    </sheetView>
  </sheetViews>
  <sheetFormatPr baseColWidth="10" defaultRowHeight="15" outlineLevelRow="1" outlineLevelCol="1"/>
  <cols>
    <col min="1" max="1" width="3.5" style="13" customWidth="1"/>
    <col min="2" max="2" width="10.83203125" style="13" hidden="1" customWidth="1" outlineLevel="1"/>
    <col min="3" max="3" width="19.5" style="13" hidden="1" customWidth="1" outlineLevel="1"/>
    <col min="4" max="4" width="12.1640625" style="13" hidden="1" customWidth="1" outlineLevel="1"/>
    <col min="5" max="6" width="10.83203125" style="13" hidden="1" customWidth="1" outlineLevel="1"/>
    <col min="7" max="7" width="15.33203125" style="13" hidden="1" customWidth="1" outlineLevel="1"/>
    <col min="8" max="8" width="15" style="13" hidden="1" customWidth="1" outlineLevel="1"/>
    <col min="9" max="10" width="10.83203125" style="13" hidden="1" customWidth="1" outlineLevel="1"/>
    <col min="11" max="11" width="12" style="13" hidden="1" customWidth="1" outlineLevel="1"/>
    <col min="12" max="13" width="10.83203125" style="13" hidden="1" customWidth="1" outlineLevel="1"/>
    <col min="14" max="14" width="2.6640625" style="13" customWidth="1" collapsed="1"/>
    <col min="15" max="16384" width="10.83203125" style="13"/>
  </cols>
  <sheetData>
    <row r="1" spans="1:116" s="1" customFormat="1" ht="17" customHeight="1"/>
    <row r="2" spans="1:116" s="1" customFormat="1" ht="17" customHeight="1">
      <c r="B2" s="2" t="s">
        <v>10</v>
      </c>
      <c r="S2" s="3" t="s">
        <v>0</v>
      </c>
      <c r="T2" s="4" t="s">
        <v>1</v>
      </c>
      <c r="U2" s="22" t="s">
        <v>2</v>
      </c>
    </row>
    <row r="3" spans="1:116" s="1" customFormat="1" ht="17" customHeight="1">
      <c r="B3" s="2" t="s">
        <v>11</v>
      </c>
      <c r="S3" s="6" t="s">
        <v>3</v>
      </c>
      <c r="T3" s="7" t="s">
        <v>4</v>
      </c>
      <c r="U3" s="8" t="s">
        <v>5</v>
      </c>
    </row>
    <row r="4" spans="1:116" s="1" customFormat="1" ht="17" customHeight="1">
      <c r="B4" s="14"/>
      <c r="S4" s="9" t="s">
        <v>6</v>
      </c>
      <c r="T4" s="77" t="s">
        <v>7</v>
      </c>
      <c r="U4" s="63" t="s">
        <v>8</v>
      </c>
    </row>
    <row r="5" spans="1:116" s="12" customFormat="1" ht="17" customHeight="1" thickBot="1"/>
    <row r="6" spans="1:116" ht="16" thickTop="1">
      <c r="A6" s="13" t="s">
        <v>9</v>
      </c>
    </row>
    <row r="7" spans="1:116">
      <c r="A7" s="2" t="s">
        <v>87</v>
      </c>
    </row>
    <row r="8" spans="1:116" ht="17" customHeight="1" outlineLevel="1">
      <c r="R8" s="60" t="s">
        <v>89</v>
      </c>
      <c r="S8" s="61">
        <v>1</v>
      </c>
      <c r="T8" s="61">
        <v>2</v>
      </c>
      <c r="U8" s="61">
        <v>3</v>
      </c>
      <c r="V8" s="61">
        <v>4</v>
      </c>
      <c r="W8" s="61">
        <v>5</v>
      </c>
      <c r="X8" s="61">
        <v>6</v>
      </c>
      <c r="Y8" s="61">
        <v>7</v>
      </c>
      <c r="Z8" s="61">
        <v>8</v>
      </c>
      <c r="AA8" s="61">
        <v>9</v>
      </c>
      <c r="AB8" s="61">
        <v>10</v>
      </c>
      <c r="AC8" s="61">
        <v>11</v>
      </c>
      <c r="AD8" s="61">
        <v>12</v>
      </c>
      <c r="AE8" s="61">
        <v>13</v>
      </c>
      <c r="AF8" s="61">
        <v>14</v>
      </c>
      <c r="AG8" s="61">
        <v>15</v>
      </c>
      <c r="AH8" s="61">
        <v>16</v>
      </c>
    </row>
    <row r="9" spans="1:116" ht="17" customHeight="1" outlineLevel="1">
      <c r="R9" s="60" t="s">
        <v>60</v>
      </c>
      <c r="S9" s="62">
        <f>start</f>
        <v>45716</v>
      </c>
      <c r="T9" s="62">
        <f>EOMONTH(S10,1)</f>
        <v>45900</v>
      </c>
      <c r="U9" s="62">
        <f t="shared" ref="U9:AH9" si="0">EOMONTH(T10,1)</f>
        <v>46081</v>
      </c>
      <c r="V9" s="62">
        <f t="shared" si="0"/>
        <v>46265</v>
      </c>
      <c r="W9" s="62">
        <f t="shared" si="0"/>
        <v>46446</v>
      </c>
      <c r="X9" s="62">
        <f t="shared" si="0"/>
        <v>46630</v>
      </c>
      <c r="Y9" s="62">
        <f t="shared" si="0"/>
        <v>46812</v>
      </c>
      <c r="Z9" s="62">
        <f t="shared" si="0"/>
        <v>46996</v>
      </c>
      <c r="AA9" s="62">
        <f t="shared" si="0"/>
        <v>47177</v>
      </c>
      <c r="AB9" s="62">
        <f t="shared" si="0"/>
        <v>47361</v>
      </c>
      <c r="AC9" s="62">
        <f t="shared" si="0"/>
        <v>47542</v>
      </c>
      <c r="AD9" s="62">
        <f t="shared" si="0"/>
        <v>47726</v>
      </c>
      <c r="AE9" s="62">
        <f t="shared" si="0"/>
        <v>47907</v>
      </c>
      <c r="AF9" s="62">
        <f t="shared" si="0"/>
        <v>48091</v>
      </c>
      <c r="AG9" s="62">
        <f t="shared" si="0"/>
        <v>48273</v>
      </c>
      <c r="AH9" s="62">
        <f t="shared" si="0"/>
        <v>48457</v>
      </c>
    </row>
    <row r="10" spans="1:116" ht="17" customHeight="1" outlineLevel="1">
      <c r="R10" s="60" t="s">
        <v>61</v>
      </c>
      <c r="S10" s="62">
        <f t="shared" ref="S10:AH10" si="1">EOMONTH(S9,period-1)</f>
        <v>45869</v>
      </c>
      <c r="T10" s="62">
        <f t="shared" si="1"/>
        <v>46053</v>
      </c>
      <c r="U10" s="62">
        <f t="shared" si="1"/>
        <v>46234</v>
      </c>
      <c r="V10" s="62">
        <f t="shared" si="1"/>
        <v>46418</v>
      </c>
      <c r="W10" s="62">
        <f t="shared" si="1"/>
        <v>46599</v>
      </c>
      <c r="X10" s="62">
        <f t="shared" si="1"/>
        <v>46783</v>
      </c>
      <c r="Y10" s="62">
        <f t="shared" si="1"/>
        <v>46965</v>
      </c>
      <c r="Z10" s="62">
        <f t="shared" si="1"/>
        <v>47149</v>
      </c>
      <c r="AA10" s="62">
        <f t="shared" si="1"/>
        <v>47330</v>
      </c>
      <c r="AB10" s="62">
        <f t="shared" si="1"/>
        <v>47514</v>
      </c>
      <c r="AC10" s="62">
        <f t="shared" si="1"/>
        <v>47695</v>
      </c>
      <c r="AD10" s="62">
        <f t="shared" si="1"/>
        <v>47879</v>
      </c>
      <c r="AE10" s="62">
        <f t="shared" si="1"/>
        <v>48060</v>
      </c>
      <c r="AF10" s="62">
        <f t="shared" si="1"/>
        <v>48244</v>
      </c>
      <c r="AG10" s="62">
        <f t="shared" si="1"/>
        <v>48426</v>
      </c>
      <c r="AH10" s="62">
        <f t="shared" si="1"/>
        <v>48610</v>
      </c>
    </row>
    <row r="11" spans="1:116" s="63" customFormat="1" ht="17" customHeight="1" outlineLevel="1">
      <c r="P11" s="63" t="s">
        <v>90</v>
      </c>
      <c r="R11" s="63">
        <f>(R14&gt;=[0]!start)*(R14&lt;=[0]!exit)*1</f>
        <v>0</v>
      </c>
      <c r="S11" s="63">
        <f>(S14&gt;=[0]!start)*(S14&lt;=[0]!exit)*1</f>
        <v>1</v>
      </c>
      <c r="T11" s="63">
        <f>(T14&gt;=[0]!start)*(T14&lt;=[0]!exit)*1</f>
        <v>1</v>
      </c>
      <c r="U11" s="63">
        <f>(U14&gt;=[0]!start)*(U14&lt;=[0]!exit)*1</f>
        <v>1</v>
      </c>
      <c r="V11" s="63">
        <f>(V14&gt;=[0]!start)*(V14&lt;=[0]!exit)*1</f>
        <v>1</v>
      </c>
      <c r="W11" s="63">
        <f>(W14&gt;=[0]!start)*(W14&lt;=[0]!exit)*1</f>
        <v>1</v>
      </c>
      <c r="X11" s="63">
        <f>(X14&gt;=[0]!start)*(X14&lt;=[0]!exit)*1</f>
        <v>1</v>
      </c>
      <c r="Y11" s="63">
        <f>(Y14&gt;=[0]!start)*(Y14&lt;=[0]!exit)*1</f>
        <v>1</v>
      </c>
      <c r="Z11" s="63">
        <f>(Z14&gt;=[0]!start)*(Z14&lt;=[0]!exit)*1</f>
        <v>1</v>
      </c>
      <c r="AA11" s="63">
        <f>(AA14&gt;=[0]!start)*(AA14&lt;=[0]!exit)*1</f>
        <v>1</v>
      </c>
      <c r="AB11" s="63">
        <f>(AB14&gt;=[0]!start)*(AB14&lt;=[0]!exit)*1</f>
        <v>1</v>
      </c>
      <c r="AC11" s="63">
        <f>(AC14&gt;=[0]!start)*(AC14&lt;=[0]!exit)*1</f>
        <v>1</v>
      </c>
      <c r="AD11" s="63">
        <f>(AD14&gt;=[0]!start)*(AD14&lt;=[0]!exit)*1</f>
        <v>1</v>
      </c>
      <c r="AE11" s="63">
        <f>(AE14&gt;=[0]!start)*(AE14&lt;=[0]!exit)*1</f>
        <v>1</v>
      </c>
      <c r="AF11" s="63">
        <f>(AF14&gt;=[0]!start)*(AF14&lt;=[0]!exit)*1</f>
        <v>1</v>
      </c>
      <c r="AG11" s="63">
        <f>(AG14&gt;=[0]!start)*(AG14&lt;=[0]!exit)*1</f>
        <v>1</v>
      </c>
      <c r="AH11" s="63">
        <f>(AH14&gt;=[0]!start)*(AH14&lt;=[0]!exit)*1</f>
        <v>1</v>
      </c>
      <c r="AI11" s="63">
        <f>(AI14&gt;=[0]!start)*(AI14&lt;=[0]!exit)*1</f>
        <v>1</v>
      </c>
      <c r="AJ11" s="63">
        <f>(AJ14&gt;=[0]!start)*(AJ14&lt;=[0]!exit)*1</f>
        <v>1</v>
      </c>
      <c r="AK11" s="63">
        <f>(AK14&gt;=[0]!start)*(AK14&lt;=[0]!exit)*1</f>
        <v>1</v>
      </c>
      <c r="AL11" s="63">
        <f>(AL14&gt;=[0]!start)*(AL14&lt;=[0]!exit)*1</f>
        <v>1</v>
      </c>
      <c r="AM11" s="63">
        <f>(AM14&gt;=[0]!start)*(AM14&lt;=[0]!exit)*1</f>
        <v>1</v>
      </c>
      <c r="AN11" s="63">
        <f>(AN14&gt;=[0]!start)*(AN14&lt;=[0]!exit)*1</f>
        <v>1</v>
      </c>
      <c r="AO11" s="63">
        <f>(AO14&gt;=[0]!start)*(AO14&lt;=[0]!exit)*1</f>
        <v>1</v>
      </c>
      <c r="AP11" s="63">
        <f>(AP14&gt;=[0]!start)*(AP14&lt;=[0]!exit)*1</f>
        <v>1</v>
      </c>
      <c r="AQ11" s="63">
        <f>(AQ14&gt;=[0]!start)*(AQ14&lt;=[0]!exit)*1</f>
        <v>1</v>
      </c>
      <c r="AR11" s="63">
        <f>(AR14&gt;=[0]!start)*(AR14&lt;=[0]!exit)*1</f>
        <v>1</v>
      </c>
      <c r="AS11" s="63">
        <f>(AS14&gt;=[0]!start)*(AS14&lt;=[0]!exit)*1</f>
        <v>1</v>
      </c>
      <c r="AT11" s="63">
        <f>(AT14&gt;=[0]!start)*(AT14&lt;=[0]!exit)*1</f>
        <v>1</v>
      </c>
      <c r="AU11" s="63">
        <f>(AU14&gt;=[0]!start)*(AU14&lt;=[0]!exit)*1</f>
        <v>1</v>
      </c>
      <c r="AV11" s="63">
        <f>(AV14&gt;=[0]!start)*(AV14&lt;=[0]!exit)*1</f>
        <v>1</v>
      </c>
      <c r="AW11" s="63">
        <f>(AW14&gt;=[0]!start)*(AW14&lt;=[0]!exit)*1</f>
        <v>1</v>
      </c>
      <c r="AX11" s="63">
        <f>(AX14&gt;=[0]!start)*(AX14&lt;=[0]!exit)*1</f>
        <v>1</v>
      </c>
      <c r="AY11" s="63">
        <f>(AY14&gt;=[0]!start)*(AY14&lt;=[0]!exit)*1</f>
        <v>1</v>
      </c>
      <c r="AZ11" s="63">
        <f>(AZ14&gt;=[0]!start)*(AZ14&lt;=[0]!exit)*1</f>
        <v>1</v>
      </c>
      <c r="BA11" s="63">
        <f>(BA14&gt;=[0]!start)*(BA14&lt;=[0]!exit)*1</f>
        <v>1</v>
      </c>
      <c r="BB11" s="63">
        <f>(BB14&gt;=[0]!start)*(BB14&lt;=[0]!exit)*1</f>
        <v>1</v>
      </c>
      <c r="BC11" s="63">
        <f>(BC14&gt;=[0]!start)*(BC14&lt;=[0]!exit)*1</f>
        <v>1</v>
      </c>
      <c r="BD11" s="63">
        <f>(BD14&gt;=[0]!start)*(BD14&lt;=[0]!exit)*1</f>
        <v>1</v>
      </c>
      <c r="BE11" s="63">
        <f>(BE14&gt;=[0]!start)*(BE14&lt;=[0]!exit)*1</f>
        <v>1</v>
      </c>
      <c r="BF11" s="63">
        <f>(BF14&gt;=[0]!start)*(BF14&lt;=[0]!exit)*1</f>
        <v>1</v>
      </c>
      <c r="BG11" s="63">
        <f>(BG14&gt;=[0]!start)*(BG14&lt;=[0]!exit)*1</f>
        <v>1</v>
      </c>
      <c r="BH11" s="63">
        <f>(BH14&gt;=[0]!start)*(BH14&lt;=[0]!exit)*1</f>
        <v>1</v>
      </c>
      <c r="BI11" s="63">
        <f>(BI14&gt;=[0]!start)*(BI14&lt;=[0]!exit)*1</f>
        <v>1</v>
      </c>
      <c r="BJ11" s="63">
        <f>(BJ14&gt;=[0]!start)*(BJ14&lt;=[0]!exit)*1</f>
        <v>1</v>
      </c>
      <c r="BK11" s="63">
        <f>(BK14&gt;=[0]!start)*(BK14&lt;=[0]!exit)*1</f>
        <v>1</v>
      </c>
      <c r="BL11" s="63">
        <f>(BL14&gt;=[0]!start)*(BL14&lt;=[0]!exit)*1</f>
        <v>1</v>
      </c>
      <c r="BM11" s="63">
        <f>(BM14&gt;=[0]!start)*(BM14&lt;=[0]!exit)*1</f>
        <v>1</v>
      </c>
      <c r="BN11" s="63">
        <f>(BN14&gt;=[0]!start)*(BN14&lt;=[0]!exit)*1</f>
        <v>1</v>
      </c>
      <c r="BO11" s="63">
        <f>(BO14&gt;=[0]!start)*(BO14&lt;=[0]!exit)*1</f>
        <v>1</v>
      </c>
      <c r="BP11" s="63">
        <f>(BP14&gt;=[0]!start)*(BP14&lt;=[0]!exit)*1</f>
        <v>1</v>
      </c>
      <c r="BQ11" s="63">
        <f>(BQ14&gt;=[0]!start)*(BQ14&lt;=[0]!exit)*1</f>
        <v>1</v>
      </c>
      <c r="BR11" s="63">
        <f>(BR14&gt;=[0]!start)*(BR14&lt;=[0]!exit)*1</f>
        <v>1</v>
      </c>
      <c r="BS11" s="63">
        <f>(BS14&gt;=[0]!start)*(BS14&lt;=[0]!exit)*1</f>
        <v>1</v>
      </c>
      <c r="BT11" s="63">
        <f>(BT14&gt;=[0]!start)*(BT14&lt;=[0]!exit)*1</f>
        <v>1</v>
      </c>
      <c r="BU11" s="63">
        <f>(BU14&gt;=[0]!start)*(BU14&lt;=[0]!exit)*1</f>
        <v>1</v>
      </c>
      <c r="BV11" s="63">
        <f>(BV14&gt;=[0]!start)*(BV14&lt;=[0]!exit)*1</f>
        <v>1</v>
      </c>
      <c r="BW11" s="63">
        <f>(BW14&gt;=[0]!start)*(BW14&lt;=[0]!exit)*1</f>
        <v>1</v>
      </c>
      <c r="BX11" s="63">
        <f>(BX14&gt;=[0]!start)*(BX14&lt;=[0]!exit)*1</f>
        <v>1</v>
      </c>
      <c r="BY11" s="63">
        <f>(BY14&gt;=[0]!start)*(BY14&lt;=[0]!exit)*1</f>
        <v>1</v>
      </c>
      <c r="BZ11" s="63">
        <f>(BZ14&gt;=[0]!start)*(BZ14&lt;=[0]!exit)*1</f>
        <v>1</v>
      </c>
      <c r="CA11" s="63">
        <f>(CA14&gt;=[0]!start)*(CA14&lt;=[0]!exit)*1</f>
        <v>0</v>
      </c>
      <c r="CB11" s="63">
        <f>(CB14&gt;=[0]!start)*(CB14&lt;=[0]!exit)*1</f>
        <v>0</v>
      </c>
      <c r="CC11" s="63">
        <f>(CC14&gt;=[0]!start)*(CC14&lt;=[0]!exit)*1</f>
        <v>0</v>
      </c>
      <c r="CD11" s="63">
        <f>(CD14&gt;=[0]!start)*(CD14&lt;=[0]!exit)*1</f>
        <v>0</v>
      </c>
      <c r="CE11" s="63">
        <f>(CE14&gt;=[0]!start)*(CE14&lt;=[0]!exit)*1</f>
        <v>0</v>
      </c>
      <c r="CF11" s="63">
        <f>(CF14&gt;=[0]!start)*(CF14&lt;=[0]!exit)*1</f>
        <v>0</v>
      </c>
      <c r="CG11" s="63">
        <f>(CG14&gt;=[0]!start)*(CG14&lt;=[0]!exit)*1</f>
        <v>0</v>
      </c>
      <c r="CH11" s="63">
        <f>(CH14&gt;=[0]!start)*(CH14&lt;=[0]!exit)*1</f>
        <v>0</v>
      </c>
      <c r="CI11" s="63">
        <f>(CI14&gt;=[0]!start)*(CI14&lt;=[0]!exit)*1</f>
        <v>0</v>
      </c>
      <c r="CJ11" s="63">
        <f>(CJ14&gt;=[0]!start)*(CJ14&lt;=[0]!exit)*1</f>
        <v>0</v>
      </c>
      <c r="CK11" s="63">
        <f>(CK14&gt;=[0]!start)*(CK14&lt;=[0]!exit)*1</f>
        <v>0</v>
      </c>
      <c r="CL11" s="63">
        <f>(CL14&gt;=[0]!start)*(CL14&lt;=[0]!exit)*1</f>
        <v>0</v>
      </c>
      <c r="CM11" s="63">
        <f>(CM14&gt;=[0]!start)*(CM14&lt;=[0]!exit)*1</f>
        <v>0</v>
      </c>
      <c r="CN11" s="63">
        <f>(CN14&gt;=[0]!start)*(CN14&lt;=[0]!exit)*1</f>
        <v>0</v>
      </c>
      <c r="CO11" s="63">
        <f>(CO14&gt;=[0]!start)*(CO14&lt;=[0]!exit)*1</f>
        <v>0</v>
      </c>
      <c r="CP11" s="63">
        <f>(CP14&gt;=[0]!start)*(CP14&lt;=[0]!exit)*1</f>
        <v>0</v>
      </c>
      <c r="CQ11" s="63">
        <f>(CQ14&gt;=[0]!start)*(CQ14&lt;=[0]!exit)*1</f>
        <v>0</v>
      </c>
      <c r="CR11" s="63">
        <f>(CR14&gt;=[0]!start)*(CR14&lt;=[0]!exit)*1</f>
        <v>0</v>
      </c>
      <c r="CS11" s="63">
        <f>(CS14&gt;=[0]!start)*(CS14&lt;=[0]!exit)*1</f>
        <v>0</v>
      </c>
      <c r="CT11" s="63">
        <f>(CT14&gt;=[0]!start)*(CT14&lt;=[0]!exit)*1</f>
        <v>0</v>
      </c>
      <c r="CU11" s="63">
        <f>(CU14&gt;=[0]!start)*(CU14&lt;=[0]!exit)*1</f>
        <v>0</v>
      </c>
      <c r="CV11" s="63">
        <f>(CV14&gt;=[0]!start)*(CV14&lt;=[0]!exit)*1</f>
        <v>0</v>
      </c>
      <c r="CW11" s="63">
        <f>(CW14&gt;=[0]!start)*(CW14&lt;=[0]!exit)*1</f>
        <v>0</v>
      </c>
      <c r="CX11" s="63">
        <f>(CX14&gt;=[0]!start)*(CX14&lt;=[0]!exit)*1</f>
        <v>0</v>
      </c>
      <c r="CY11" s="63">
        <f>(CY14&gt;=[0]!start)*(CY14&lt;=[0]!exit)*1</f>
        <v>0</v>
      </c>
      <c r="CZ11" s="63">
        <f>(CZ14&gt;=[0]!start)*(CZ14&lt;=[0]!exit)*1</f>
        <v>0</v>
      </c>
      <c r="DA11" s="63">
        <f>(DA14&gt;=[0]!start)*(DA14&lt;=[0]!exit)*1</f>
        <v>0</v>
      </c>
      <c r="DB11" s="63">
        <f>(DB14&gt;=[0]!start)*(DB14&lt;=[0]!exit)*1</f>
        <v>0</v>
      </c>
      <c r="DC11" s="63">
        <f>(DC14&gt;=[0]!start)*(DC14&lt;=[0]!exit)*1</f>
        <v>0</v>
      </c>
      <c r="DD11" s="63">
        <f>(DD14&gt;=[0]!start)*(DD14&lt;=[0]!exit)*1</f>
        <v>0</v>
      </c>
      <c r="DE11" s="63">
        <f>(DE14&gt;=[0]!start)*(DE14&lt;=[0]!exit)*1</f>
        <v>0</v>
      </c>
      <c r="DF11" s="63">
        <f>(DF14&gt;=[0]!start)*(DF14&lt;=[0]!exit)*1</f>
        <v>0</v>
      </c>
      <c r="DG11" s="63">
        <f>(DG14&gt;=[0]!start)*(DG14&lt;=[0]!exit)*1</f>
        <v>0</v>
      </c>
      <c r="DH11" s="63">
        <f>(DH14&gt;=[0]!start)*(DH14&lt;=[0]!exit)*1</f>
        <v>0</v>
      </c>
      <c r="DI11" s="63">
        <f>(DI14&gt;=[0]!start)*(DI14&lt;=[0]!exit)*1</f>
        <v>0</v>
      </c>
      <c r="DJ11" s="63">
        <f>(DJ14&gt;=[0]!start)*(DJ14&lt;=[0]!exit)*1</f>
        <v>0</v>
      </c>
      <c r="DK11" s="63">
        <f>(DK14&gt;=[0]!start)*(DK14&lt;=[0]!exit)*1</f>
        <v>0</v>
      </c>
      <c r="DL11" s="63">
        <f>(DL14&gt;=[0]!start)*(DL14&lt;=[0]!exit)*1</f>
        <v>0</v>
      </c>
    </row>
    <row r="12" spans="1:116" s="63" customFormat="1" ht="17" customHeight="1" outlineLevel="1">
      <c r="P12" s="63" t="s">
        <v>91</v>
      </c>
      <c r="R12" s="63">
        <f>SUM($R$11:R11)*R11</f>
        <v>0</v>
      </c>
      <c r="S12" s="63">
        <f>SUM($R$11:S11)*S11</f>
        <v>1</v>
      </c>
      <c r="T12" s="63">
        <f>SUM($R$11:T11)*T11</f>
        <v>2</v>
      </c>
      <c r="U12" s="63">
        <f>SUM($R$11:U11)*U11</f>
        <v>3</v>
      </c>
      <c r="V12" s="63">
        <f>SUM($R$11:V11)*V11</f>
        <v>4</v>
      </c>
      <c r="W12" s="63">
        <f>SUM($R$11:W11)*W11</f>
        <v>5</v>
      </c>
      <c r="X12" s="63">
        <f>SUM($R$11:X11)*X11</f>
        <v>6</v>
      </c>
      <c r="Y12" s="63">
        <f>SUM($R$11:Y11)*Y11</f>
        <v>7</v>
      </c>
      <c r="Z12" s="63">
        <f>SUM($R$11:Z11)*Z11</f>
        <v>8</v>
      </c>
      <c r="AA12" s="63">
        <f>SUM($R$11:AA11)*AA11</f>
        <v>9</v>
      </c>
      <c r="AB12" s="63">
        <f>SUM($R$11:AB11)*AB11</f>
        <v>10</v>
      </c>
      <c r="AC12" s="63">
        <f>SUM($R$11:AC11)*AC11</f>
        <v>11</v>
      </c>
      <c r="AD12" s="63">
        <f>SUM($R$11:AD11)*AD11</f>
        <v>12</v>
      </c>
      <c r="AE12" s="63">
        <f>SUM($R$11:AE11)*AE11</f>
        <v>13</v>
      </c>
      <c r="AF12" s="63">
        <f>SUM($R$11:AF11)*AF11</f>
        <v>14</v>
      </c>
      <c r="AG12" s="63">
        <f>SUM($R$11:AG11)*AG11</f>
        <v>15</v>
      </c>
      <c r="AH12" s="63">
        <f>SUM($R$11:AH11)*AH11</f>
        <v>16</v>
      </c>
      <c r="AI12" s="63">
        <f>SUM($R$11:AI11)*AI11</f>
        <v>17</v>
      </c>
      <c r="AJ12" s="63">
        <f>SUM($R$11:AJ11)*AJ11</f>
        <v>18</v>
      </c>
      <c r="AK12" s="63">
        <f>SUM($R$11:AK11)*AK11</f>
        <v>19</v>
      </c>
      <c r="AL12" s="63">
        <f>SUM($R$11:AL11)*AL11</f>
        <v>20</v>
      </c>
      <c r="AM12" s="63">
        <f>SUM($R$11:AM11)*AM11</f>
        <v>21</v>
      </c>
      <c r="AN12" s="63">
        <f>SUM($R$11:AN11)*AN11</f>
        <v>22</v>
      </c>
      <c r="AO12" s="63">
        <f>SUM($R$11:AO11)*AO11</f>
        <v>23</v>
      </c>
      <c r="AP12" s="63">
        <f>SUM($R$11:AP11)*AP11</f>
        <v>24</v>
      </c>
      <c r="AQ12" s="63">
        <f>SUM($R$11:AQ11)*AQ11</f>
        <v>25</v>
      </c>
      <c r="AR12" s="63">
        <f>SUM($R$11:AR11)*AR11</f>
        <v>26</v>
      </c>
      <c r="AS12" s="63">
        <f>SUM($R$11:AS11)*AS11</f>
        <v>27</v>
      </c>
      <c r="AT12" s="63">
        <f>SUM($R$11:AT11)*AT11</f>
        <v>28</v>
      </c>
      <c r="AU12" s="63">
        <f>SUM($R$11:AU11)*AU11</f>
        <v>29</v>
      </c>
      <c r="AV12" s="63">
        <f>SUM($R$11:AV11)*AV11</f>
        <v>30</v>
      </c>
      <c r="AW12" s="63">
        <f>SUM($R$11:AW11)*AW11</f>
        <v>31</v>
      </c>
      <c r="AX12" s="63">
        <f>SUM($R$11:AX11)*AX11</f>
        <v>32</v>
      </c>
      <c r="AY12" s="63">
        <f>SUM($R$11:AY11)*AY11</f>
        <v>33</v>
      </c>
      <c r="AZ12" s="63">
        <f>SUM($R$11:AZ11)*AZ11</f>
        <v>34</v>
      </c>
      <c r="BA12" s="63">
        <f>SUM($R$11:BA11)*BA11</f>
        <v>35</v>
      </c>
      <c r="BB12" s="63">
        <f>SUM($R$11:BB11)*BB11</f>
        <v>36</v>
      </c>
      <c r="BC12" s="63">
        <f>SUM($R$11:BC11)*BC11</f>
        <v>37</v>
      </c>
      <c r="BD12" s="63">
        <f>SUM($R$11:BD11)*BD11</f>
        <v>38</v>
      </c>
      <c r="BE12" s="63">
        <f>SUM($R$11:BE11)*BE11</f>
        <v>39</v>
      </c>
      <c r="BF12" s="63">
        <f>SUM($R$11:BF11)*BF11</f>
        <v>40</v>
      </c>
      <c r="BG12" s="63">
        <f>SUM($R$11:BG11)*BG11</f>
        <v>41</v>
      </c>
      <c r="BH12" s="63">
        <f>SUM($R$11:BH11)*BH11</f>
        <v>42</v>
      </c>
      <c r="BI12" s="63">
        <f>SUM($R$11:BI11)*BI11</f>
        <v>43</v>
      </c>
      <c r="BJ12" s="63">
        <f>SUM($R$11:BJ11)*BJ11</f>
        <v>44</v>
      </c>
      <c r="BK12" s="63">
        <f>SUM($R$11:BK11)*BK11</f>
        <v>45</v>
      </c>
      <c r="BL12" s="63">
        <f>SUM($R$11:BL11)*BL11</f>
        <v>46</v>
      </c>
      <c r="BM12" s="63">
        <f>SUM($R$11:BM11)*BM11</f>
        <v>47</v>
      </c>
      <c r="BN12" s="63">
        <f>SUM($R$11:BN11)*BN11</f>
        <v>48</v>
      </c>
      <c r="BO12" s="63">
        <f>SUM($R$11:BO11)*BO11</f>
        <v>49</v>
      </c>
      <c r="BP12" s="63">
        <f>SUM($R$11:BP11)*BP11</f>
        <v>50</v>
      </c>
      <c r="BQ12" s="63">
        <f>SUM($R$11:BQ11)*BQ11</f>
        <v>51</v>
      </c>
      <c r="BR12" s="63">
        <f>SUM($R$11:BR11)*BR11</f>
        <v>52</v>
      </c>
      <c r="BS12" s="63">
        <f>SUM($R$11:BS11)*BS11</f>
        <v>53</v>
      </c>
      <c r="BT12" s="63">
        <f>SUM($R$11:BT11)*BT11</f>
        <v>54</v>
      </c>
      <c r="BU12" s="63">
        <f>SUM($R$11:BU11)*BU11</f>
        <v>55</v>
      </c>
      <c r="BV12" s="63">
        <f>SUM($R$11:BV11)*BV11</f>
        <v>56</v>
      </c>
      <c r="BW12" s="63">
        <f>SUM($R$11:BW11)*BW11</f>
        <v>57</v>
      </c>
      <c r="BX12" s="63">
        <f>SUM($R$11:BX11)*BX11</f>
        <v>58</v>
      </c>
      <c r="BY12" s="63">
        <f>SUM($R$11:BY11)*BY11</f>
        <v>59</v>
      </c>
      <c r="BZ12" s="63">
        <f>SUM($R$11:BZ11)*BZ11</f>
        <v>60</v>
      </c>
      <c r="CA12" s="63">
        <f>SUM($R$11:CA11)*CA11</f>
        <v>0</v>
      </c>
      <c r="CB12" s="63">
        <f>SUM($R$11:CB11)*CB11</f>
        <v>0</v>
      </c>
      <c r="CC12" s="63">
        <f>SUM($R$11:CC11)*CC11</f>
        <v>0</v>
      </c>
      <c r="CD12" s="63">
        <f>SUM($R$11:CD11)*CD11</f>
        <v>0</v>
      </c>
      <c r="CE12" s="63">
        <f>SUM($R$11:CE11)*CE11</f>
        <v>0</v>
      </c>
      <c r="CF12" s="63">
        <f>SUM($R$11:CF11)*CF11</f>
        <v>0</v>
      </c>
      <c r="CG12" s="63">
        <f>SUM($R$11:CG11)*CG11</f>
        <v>0</v>
      </c>
      <c r="CH12" s="63">
        <f>SUM($R$11:CH11)*CH11</f>
        <v>0</v>
      </c>
      <c r="CI12" s="63">
        <f>SUM($R$11:CI11)*CI11</f>
        <v>0</v>
      </c>
      <c r="CJ12" s="63">
        <f>SUM($R$11:CJ11)*CJ11</f>
        <v>0</v>
      </c>
      <c r="CK12" s="63">
        <f>SUM($R$11:CK11)*CK11</f>
        <v>0</v>
      </c>
      <c r="CL12" s="63">
        <f>SUM($R$11:CL11)*CL11</f>
        <v>0</v>
      </c>
      <c r="CM12" s="63">
        <f>SUM($R$11:CM11)*CM11</f>
        <v>0</v>
      </c>
      <c r="CN12" s="63">
        <f>SUM($R$11:CN11)*CN11</f>
        <v>0</v>
      </c>
      <c r="CO12" s="63">
        <f>SUM($R$11:CO11)*CO11</f>
        <v>0</v>
      </c>
      <c r="CP12" s="63">
        <f>SUM($R$11:CP11)*CP11</f>
        <v>0</v>
      </c>
      <c r="CQ12" s="63">
        <f>SUM($R$11:CQ11)*CQ11</f>
        <v>0</v>
      </c>
      <c r="CR12" s="63">
        <f>SUM($R$11:CR11)*CR11</f>
        <v>0</v>
      </c>
      <c r="CS12" s="63">
        <f>SUM($R$11:CS11)*CS11</f>
        <v>0</v>
      </c>
      <c r="CT12" s="63">
        <f>SUM($R$11:CT11)*CT11</f>
        <v>0</v>
      </c>
      <c r="CU12" s="63">
        <f>SUM($R$11:CU11)*CU11</f>
        <v>0</v>
      </c>
      <c r="CV12" s="63">
        <f>SUM($R$11:CV11)*CV11</f>
        <v>0</v>
      </c>
      <c r="CW12" s="63">
        <f>SUM($R$11:CW11)*CW11</f>
        <v>0</v>
      </c>
      <c r="CX12" s="63">
        <f>SUM($R$11:CX11)*CX11</f>
        <v>0</v>
      </c>
      <c r="CY12" s="63">
        <f>SUM($R$11:CY11)*CY11</f>
        <v>0</v>
      </c>
      <c r="CZ12" s="63">
        <f>SUM($R$11:CZ11)*CZ11</f>
        <v>0</v>
      </c>
      <c r="DA12" s="63">
        <f>SUM($R$11:DA11)*DA11</f>
        <v>0</v>
      </c>
      <c r="DB12" s="63">
        <f>SUM($R$11:DB11)*DB11</f>
        <v>0</v>
      </c>
      <c r="DC12" s="63">
        <f>SUM($R$11:DC11)*DC11</f>
        <v>0</v>
      </c>
      <c r="DD12" s="63">
        <f>SUM($R$11:DD11)*DD11</f>
        <v>0</v>
      </c>
      <c r="DE12" s="63">
        <f>SUM($R$11:DE11)*DE11</f>
        <v>0</v>
      </c>
      <c r="DF12" s="63">
        <f>SUM($R$11:DF11)*DF11</f>
        <v>0</v>
      </c>
      <c r="DG12" s="63">
        <f>SUM($R$11:DG11)*DG11</f>
        <v>0</v>
      </c>
      <c r="DH12" s="63">
        <f>SUM($R$11:DH11)*DH11</f>
        <v>0</v>
      </c>
      <c r="DI12" s="63">
        <f>SUM($R$11:DI11)*DI11</f>
        <v>0</v>
      </c>
      <c r="DJ12" s="63">
        <f>SUM($R$11:DJ11)*DJ11</f>
        <v>0</v>
      </c>
      <c r="DK12" s="63">
        <f>SUM($R$11:DK11)*DK11</f>
        <v>0</v>
      </c>
      <c r="DL12" s="63">
        <f>SUM($R$11:DL11)*DL11</f>
        <v>0</v>
      </c>
    </row>
    <row r="13" spans="1:116" s="63" customFormat="1" ht="17" customHeight="1" outlineLevel="1">
      <c r="P13" s="63" t="s">
        <v>92</v>
      </c>
      <c r="R13" s="63">
        <f>(MOD(R12,12)=1)*1</f>
        <v>0</v>
      </c>
      <c r="S13" s="63">
        <f t="shared" ref="S13:CD13" si="2">(MOD(S12,12)=1)*1</f>
        <v>1</v>
      </c>
      <c r="T13" s="63">
        <f t="shared" si="2"/>
        <v>0</v>
      </c>
      <c r="U13" s="63">
        <f t="shared" si="2"/>
        <v>0</v>
      </c>
      <c r="V13" s="63">
        <f t="shared" si="2"/>
        <v>0</v>
      </c>
      <c r="W13" s="63">
        <f t="shared" si="2"/>
        <v>0</v>
      </c>
      <c r="X13" s="63">
        <f t="shared" si="2"/>
        <v>0</v>
      </c>
      <c r="Y13" s="63">
        <f t="shared" si="2"/>
        <v>0</v>
      </c>
      <c r="Z13" s="63">
        <f t="shared" si="2"/>
        <v>0</v>
      </c>
      <c r="AA13" s="63">
        <f t="shared" si="2"/>
        <v>0</v>
      </c>
      <c r="AB13" s="63">
        <f t="shared" si="2"/>
        <v>0</v>
      </c>
      <c r="AC13" s="63">
        <f t="shared" si="2"/>
        <v>0</v>
      </c>
      <c r="AD13" s="63">
        <f t="shared" si="2"/>
        <v>0</v>
      </c>
      <c r="AE13" s="63">
        <f t="shared" si="2"/>
        <v>1</v>
      </c>
      <c r="AF13" s="63">
        <f t="shared" si="2"/>
        <v>0</v>
      </c>
      <c r="AG13" s="63">
        <f t="shared" si="2"/>
        <v>0</v>
      </c>
      <c r="AH13" s="63">
        <f t="shared" si="2"/>
        <v>0</v>
      </c>
      <c r="AI13" s="63">
        <f t="shared" si="2"/>
        <v>0</v>
      </c>
      <c r="AJ13" s="63">
        <f t="shared" si="2"/>
        <v>0</v>
      </c>
      <c r="AK13" s="63">
        <f t="shared" si="2"/>
        <v>0</v>
      </c>
      <c r="AL13" s="63">
        <f t="shared" si="2"/>
        <v>0</v>
      </c>
      <c r="AM13" s="63">
        <f t="shared" si="2"/>
        <v>0</v>
      </c>
      <c r="AN13" s="63">
        <f t="shared" si="2"/>
        <v>0</v>
      </c>
      <c r="AO13" s="63">
        <f t="shared" si="2"/>
        <v>0</v>
      </c>
      <c r="AP13" s="63">
        <f t="shared" si="2"/>
        <v>0</v>
      </c>
      <c r="AQ13" s="63">
        <f t="shared" si="2"/>
        <v>1</v>
      </c>
      <c r="AR13" s="63">
        <f t="shared" si="2"/>
        <v>0</v>
      </c>
      <c r="AS13" s="63">
        <f t="shared" si="2"/>
        <v>0</v>
      </c>
      <c r="AT13" s="63">
        <f t="shared" si="2"/>
        <v>0</v>
      </c>
      <c r="AU13" s="63">
        <f t="shared" si="2"/>
        <v>0</v>
      </c>
      <c r="AV13" s="63">
        <f t="shared" si="2"/>
        <v>0</v>
      </c>
      <c r="AW13" s="63">
        <f t="shared" si="2"/>
        <v>0</v>
      </c>
      <c r="AX13" s="63">
        <f t="shared" si="2"/>
        <v>0</v>
      </c>
      <c r="AY13" s="63">
        <f t="shared" si="2"/>
        <v>0</v>
      </c>
      <c r="AZ13" s="63">
        <f t="shared" si="2"/>
        <v>0</v>
      </c>
      <c r="BA13" s="63">
        <f t="shared" si="2"/>
        <v>0</v>
      </c>
      <c r="BB13" s="63">
        <f t="shared" si="2"/>
        <v>0</v>
      </c>
      <c r="BC13" s="63">
        <f t="shared" si="2"/>
        <v>1</v>
      </c>
      <c r="BD13" s="63">
        <f t="shared" si="2"/>
        <v>0</v>
      </c>
      <c r="BE13" s="63">
        <f t="shared" si="2"/>
        <v>0</v>
      </c>
      <c r="BF13" s="63">
        <f t="shared" si="2"/>
        <v>0</v>
      </c>
      <c r="BG13" s="63">
        <f t="shared" si="2"/>
        <v>0</v>
      </c>
      <c r="BH13" s="63">
        <f t="shared" si="2"/>
        <v>0</v>
      </c>
      <c r="BI13" s="63">
        <f t="shared" si="2"/>
        <v>0</v>
      </c>
      <c r="BJ13" s="63">
        <f t="shared" si="2"/>
        <v>0</v>
      </c>
      <c r="BK13" s="63">
        <f t="shared" si="2"/>
        <v>0</v>
      </c>
      <c r="BL13" s="63">
        <f t="shared" si="2"/>
        <v>0</v>
      </c>
      <c r="BM13" s="63">
        <f t="shared" si="2"/>
        <v>0</v>
      </c>
      <c r="BN13" s="63">
        <f t="shared" si="2"/>
        <v>0</v>
      </c>
      <c r="BO13" s="63">
        <f t="shared" si="2"/>
        <v>1</v>
      </c>
      <c r="BP13" s="63">
        <f t="shared" si="2"/>
        <v>0</v>
      </c>
      <c r="BQ13" s="63">
        <f t="shared" si="2"/>
        <v>0</v>
      </c>
      <c r="BR13" s="63">
        <f t="shared" si="2"/>
        <v>0</v>
      </c>
      <c r="BS13" s="63">
        <f t="shared" si="2"/>
        <v>0</v>
      </c>
      <c r="BT13" s="63">
        <f t="shared" si="2"/>
        <v>0</v>
      </c>
      <c r="BU13" s="63">
        <f t="shared" si="2"/>
        <v>0</v>
      </c>
      <c r="BV13" s="63">
        <f t="shared" si="2"/>
        <v>0</v>
      </c>
      <c r="BW13" s="63">
        <f t="shared" si="2"/>
        <v>0</v>
      </c>
      <c r="BX13" s="63">
        <f t="shared" si="2"/>
        <v>0</v>
      </c>
      <c r="BY13" s="63">
        <f t="shared" si="2"/>
        <v>0</v>
      </c>
      <c r="BZ13" s="63">
        <f t="shared" si="2"/>
        <v>0</v>
      </c>
      <c r="CA13" s="63">
        <f t="shared" si="2"/>
        <v>0</v>
      </c>
      <c r="CB13" s="63">
        <f t="shared" si="2"/>
        <v>0</v>
      </c>
      <c r="CC13" s="63">
        <f t="shared" si="2"/>
        <v>0</v>
      </c>
      <c r="CD13" s="63">
        <f t="shared" si="2"/>
        <v>0</v>
      </c>
      <c r="CE13" s="63">
        <f t="shared" ref="CE13:DL13" si="3">(MOD(CE12,12)=1)*1</f>
        <v>0</v>
      </c>
      <c r="CF13" s="63">
        <f t="shared" si="3"/>
        <v>0</v>
      </c>
      <c r="CG13" s="63">
        <f t="shared" si="3"/>
        <v>0</v>
      </c>
      <c r="CH13" s="63">
        <f t="shared" si="3"/>
        <v>0</v>
      </c>
      <c r="CI13" s="63">
        <f t="shared" si="3"/>
        <v>0</v>
      </c>
      <c r="CJ13" s="63">
        <f t="shared" si="3"/>
        <v>0</v>
      </c>
      <c r="CK13" s="63">
        <f t="shared" si="3"/>
        <v>0</v>
      </c>
      <c r="CL13" s="63">
        <f t="shared" si="3"/>
        <v>0</v>
      </c>
      <c r="CM13" s="63">
        <f t="shared" si="3"/>
        <v>0</v>
      </c>
      <c r="CN13" s="63">
        <f t="shared" si="3"/>
        <v>0</v>
      </c>
      <c r="CO13" s="63">
        <f t="shared" si="3"/>
        <v>0</v>
      </c>
      <c r="CP13" s="63">
        <f t="shared" si="3"/>
        <v>0</v>
      </c>
      <c r="CQ13" s="63">
        <f t="shared" si="3"/>
        <v>0</v>
      </c>
      <c r="CR13" s="63">
        <f t="shared" si="3"/>
        <v>0</v>
      </c>
      <c r="CS13" s="63">
        <f t="shared" si="3"/>
        <v>0</v>
      </c>
      <c r="CT13" s="63">
        <f t="shared" si="3"/>
        <v>0</v>
      </c>
      <c r="CU13" s="63">
        <f t="shared" si="3"/>
        <v>0</v>
      </c>
      <c r="CV13" s="63">
        <f t="shared" si="3"/>
        <v>0</v>
      </c>
      <c r="CW13" s="63">
        <f t="shared" si="3"/>
        <v>0</v>
      </c>
      <c r="CX13" s="63">
        <f t="shared" si="3"/>
        <v>0</v>
      </c>
      <c r="CY13" s="63">
        <f t="shared" si="3"/>
        <v>0</v>
      </c>
      <c r="CZ13" s="63">
        <f t="shared" si="3"/>
        <v>0</v>
      </c>
      <c r="DA13" s="63">
        <f t="shared" si="3"/>
        <v>0</v>
      </c>
      <c r="DB13" s="63">
        <f t="shared" si="3"/>
        <v>0</v>
      </c>
      <c r="DC13" s="63">
        <f t="shared" si="3"/>
        <v>0</v>
      </c>
      <c r="DD13" s="63">
        <f t="shared" si="3"/>
        <v>0</v>
      </c>
      <c r="DE13" s="63">
        <f t="shared" si="3"/>
        <v>0</v>
      </c>
      <c r="DF13" s="63">
        <f t="shared" si="3"/>
        <v>0</v>
      </c>
      <c r="DG13" s="63">
        <f t="shared" si="3"/>
        <v>0</v>
      </c>
      <c r="DH13" s="63">
        <f t="shared" si="3"/>
        <v>0</v>
      </c>
      <c r="DI13" s="63">
        <f t="shared" si="3"/>
        <v>0</v>
      </c>
      <c r="DJ13" s="63">
        <f t="shared" si="3"/>
        <v>0</v>
      </c>
      <c r="DK13" s="63">
        <f t="shared" si="3"/>
        <v>0</v>
      </c>
      <c r="DL13" s="63">
        <f t="shared" si="3"/>
        <v>0</v>
      </c>
    </row>
    <row r="14" spans="1:116" ht="17" customHeight="1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 t="s">
        <v>93</v>
      </c>
      <c r="Q14" s="64"/>
      <c r="R14" s="65">
        <f>acq</f>
        <v>45688</v>
      </c>
      <c r="S14" s="65">
        <f>EOMONTH(R14,1)</f>
        <v>45716</v>
      </c>
      <c r="T14" s="65">
        <f t="shared" ref="T14:CE14" si="4">EOMONTH(S14,1)</f>
        <v>45747</v>
      </c>
      <c r="U14" s="65">
        <f t="shared" si="4"/>
        <v>45777</v>
      </c>
      <c r="V14" s="65">
        <f t="shared" si="4"/>
        <v>45808</v>
      </c>
      <c r="W14" s="65">
        <f t="shared" si="4"/>
        <v>45838</v>
      </c>
      <c r="X14" s="65">
        <f t="shared" si="4"/>
        <v>45869</v>
      </c>
      <c r="Y14" s="65">
        <f t="shared" si="4"/>
        <v>45900</v>
      </c>
      <c r="Z14" s="65">
        <f t="shared" si="4"/>
        <v>45930</v>
      </c>
      <c r="AA14" s="65">
        <f t="shared" si="4"/>
        <v>45961</v>
      </c>
      <c r="AB14" s="65">
        <f t="shared" si="4"/>
        <v>45991</v>
      </c>
      <c r="AC14" s="65">
        <f t="shared" si="4"/>
        <v>46022</v>
      </c>
      <c r="AD14" s="65">
        <f t="shared" si="4"/>
        <v>46053</v>
      </c>
      <c r="AE14" s="65">
        <f t="shared" si="4"/>
        <v>46081</v>
      </c>
      <c r="AF14" s="65">
        <f t="shared" si="4"/>
        <v>46112</v>
      </c>
      <c r="AG14" s="65">
        <f t="shared" si="4"/>
        <v>46142</v>
      </c>
      <c r="AH14" s="65">
        <f t="shared" si="4"/>
        <v>46173</v>
      </c>
      <c r="AI14" s="65">
        <f t="shared" si="4"/>
        <v>46203</v>
      </c>
      <c r="AJ14" s="65">
        <f t="shared" si="4"/>
        <v>46234</v>
      </c>
      <c r="AK14" s="65">
        <f t="shared" si="4"/>
        <v>46265</v>
      </c>
      <c r="AL14" s="65">
        <f t="shared" si="4"/>
        <v>46295</v>
      </c>
      <c r="AM14" s="65">
        <f t="shared" si="4"/>
        <v>46326</v>
      </c>
      <c r="AN14" s="65">
        <f t="shared" si="4"/>
        <v>46356</v>
      </c>
      <c r="AO14" s="65">
        <f t="shared" si="4"/>
        <v>46387</v>
      </c>
      <c r="AP14" s="65">
        <f t="shared" si="4"/>
        <v>46418</v>
      </c>
      <c r="AQ14" s="65">
        <f t="shared" si="4"/>
        <v>46446</v>
      </c>
      <c r="AR14" s="65">
        <f t="shared" si="4"/>
        <v>46477</v>
      </c>
      <c r="AS14" s="65">
        <f t="shared" si="4"/>
        <v>46507</v>
      </c>
      <c r="AT14" s="65">
        <f t="shared" si="4"/>
        <v>46538</v>
      </c>
      <c r="AU14" s="65">
        <f t="shared" si="4"/>
        <v>46568</v>
      </c>
      <c r="AV14" s="65">
        <f t="shared" si="4"/>
        <v>46599</v>
      </c>
      <c r="AW14" s="65">
        <f t="shared" si="4"/>
        <v>46630</v>
      </c>
      <c r="AX14" s="65">
        <f t="shared" si="4"/>
        <v>46660</v>
      </c>
      <c r="AY14" s="65">
        <f t="shared" si="4"/>
        <v>46691</v>
      </c>
      <c r="AZ14" s="65">
        <f t="shared" si="4"/>
        <v>46721</v>
      </c>
      <c r="BA14" s="65">
        <f t="shared" si="4"/>
        <v>46752</v>
      </c>
      <c r="BB14" s="65">
        <f t="shared" si="4"/>
        <v>46783</v>
      </c>
      <c r="BC14" s="65">
        <f t="shared" si="4"/>
        <v>46812</v>
      </c>
      <c r="BD14" s="65">
        <f t="shared" si="4"/>
        <v>46843</v>
      </c>
      <c r="BE14" s="65">
        <f t="shared" si="4"/>
        <v>46873</v>
      </c>
      <c r="BF14" s="65">
        <f t="shared" si="4"/>
        <v>46904</v>
      </c>
      <c r="BG14" s="65">
        <f t="shared" si="4"/>
        <v>46934</v>
      </c>
      <c r="BH14" s="65">
        <f t="shared" si="4"/>
        <v>46965</v>
      </c>
      <c r="BI14" s="65">
        <f t="shared" si="4"/>
        <v>46996</v>
      </c>
      <c r="BJ14" s="65">
        <f t="shared" si="4"/>
        <v>47026</v>
      </c>
      <c r="BK14" s="65">
        <f t="shared" si="4"/>
        <v>47057</v>
      </c>
      <c r="BL14" s="65">
        <f t="shared" si="4"/>
        <v>47087</v>
      </c>
      <c r="BM14" s="65">
        <f t="shared" si="4"/>
        <v>47118</v>
      </c>
      <c r="BN14" s="65">
        <f t="shared" si="4"/>
        <v>47149</v>
      </c>
      <c r="BO14" s="65">
        <f t="shared" si="4"/>
        <v>47177</v>
      </c>
      <c r="BP14" s="65">
        <f t="shared" si="4"/>
        <v>47208</v>
      </c>
      <c r="BQ14" s="65">
        <f t="shared" si="4"/>
        <v>47238</v>
      </c>
      <c r="BR14" s="65">
        <f t="shared" si="4"/>
        <v>47269</v>
      </c>
      <c r="BS14" s="65">
        <f t="shared" si="4"/>
        <v>47299</v>
      </c>
      <c r="BT14" s="65">
        <f t="shared" si="4"/>
        <v>47330</v>
      </c>
      <c r="BU14" s="65">
        <f t="shared" si="4"/>
        <v>47361</v>
      </c>
      <c r="BV14" s="65">
        <f t="shared" si="4"/>
        <v>47391</v>
      </c>
      <c r="BW14" s="65">
        <f t="shared" si="4"/>
        <v>47422</v>
      </c>
      <c r="BX14" s="65">
        <f t="shared" si="4"/>
        <v>47452</v>
      </c>
      <c r="BY14" s="65">
        <f t="shared" si="4"/>
        <v>47483</v>
      </c>
      <c r="BZ14" s="65">
        <f t="shared" si="4"/>
        <v>47514</v>
      </c>
      <c r="CA14" s="65">
        <f t="shared" si="4"/>
        <v>47542</v>
      </c>
      <c r="CB14" s="65">
        <f t="shared" si="4"/>
        <v>47573</v>
      </c>
      <c r="CC14" s="65">
        <f t="shared" si="4"/>
        <v>47603</v>
      </c>
      <c r="CD14" s="65">
        <f t="shared" si="4"/>
        <v>47634</v>
      </c>
      <c r="CE14" s="65">
        <f t="shared" si="4"/>
        <v>47664</v>
      </c>
      <c r="CF14" s="65">
        <f t="shared" ref="CF14:DL14" si="5">EOMONTH(CE14,1)</f>
        <v>47695</v>
      </c>
      <c r="CG14" s="65">
        <f t="shared" si="5"/>
        <v>47726</v>
      </c>
      <c r="CH14" s="65">
        <f t="shared" si="5"/>
        <v>47756</v>
      </c>
      <c r="CI14" s="65">
        <f t="shared" si="5"/>
        <v>47787</v>
      </c>
      <c r="CJ14" s="65">
        <f t="shared" si="5"/>
        <v>47817</v>
      </c>
      <c r="CK14" s="65">
        <f t="shared" si="5"/>
        <v>47848</v>
      </c>
      <c r="CL14" s="65">
        <f t="shared" si="5"/>
        <v>47879</v>
      </c>
      <c r="CM14" s="65">
        <f t="shared" si="5"/>
        <v>47907</v>
      </c>
      <c r="CN14" s="65">
        <f t="shared" si="5"/>
        <v>47938</v>
      </c>
      <c r="CO14" s="65">
        <f t="shared" si="5"/>
        <v>47968</v>
      </c>
      <c r="CP14" s="65">
        <f t="shared" si="5"/>
        <v>47999</v>
      </c>
      <c r="CQ14" s="65">
        <f t="shared" si="5"/>
        <v>48029</v>
      </c>
      <c r="CR14" s="65">
        <f t="shared" si="5"/>
        <v>48060</v>
      </c>
      <c r="CS14" s="65">
        <f t="shared" si="5"/>
        <v>48091</v>
      </c>
      <c r="CT14" s="65">
        <f t="shared" si="5"/>
        <v>48121</v>
      </c>
      <c r="CU14" s="65">
        <f t="shared" si="5"/>
        <v>48152</v>
      </c>
      <c r="CV14" s="65">
        <f t="shared" si="5"/>
        <v>48182</v>
      </c>
      <c r="CW14" s="65">
        <f t="shared" si="5"/>
        <v>48213</v>
      </c>
      <c r="CX14" s="65">
        <f t="shared" si="5"/>
        <v>48244</v>
      </c>
      <c r="CY14" s="65">
        <f t="shared" si="5"/>
        <v>48273</v>
      </c>
      <c r="CZ14" s="65">
        <f t="shared" si="5"/>
        <v>48304</v>
      </c>
      <c r="DA14" s="65">
        <f t="shared" si="5"/>
        <v>48334</v>
      </c>
      <c r="DB14" s="65">
        <f t="shared" si="5"/>
        <v>48365</v>
      </c>
      <c r="DC14" s="65">
        <f t="shared" si="5"/>
        <v>48395</v>
      </c>
      <c r="DD14" s="65">
        <f t="shared" si="5"/>
        <v>48426</v>
      </c>
      <c r="DE14" s="65">
        <f t="shared" si="5"/>
        <v>48457</v>
      </c>
      <c r="DF14" s="65">
        <f t="shared" si="5"/>
        <v>48487</v>
      </c>
      <c r="DG14" s="65">
        <f t="shared" si="5"/>
        <v>48518</v>
      </c>
      <c r="DH14" s="65">
        <f t="shared" si="5"/>
        <v>48548</v>
      </c>
      <c r="DI14" s="65">
        <f t="shared" si="5"/>
        <v>48579</v>
      </c>
      <c r="DJ14" s="65">
        <f t="shared" si="5"/>
        <v>48610</v>
      </c>
      <c r="DK14" s="65">
        <f t="shared" si="5"/>
        <v>48638</v>
      </c>
      <c r="DL14" s="65">
        <f t="shared" si="5"/>
        <v>48669</v>
      </c>
    </row>
    <row r="15" spans="1:116" ht="17" customHeight="1"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 t="s">
        <v>94</v>
      </c>
      <c r="Q15" s="64"/>
      <c r="R15" s="66">
        <f>SUMIFS($S$8:$AH$8,$S$9:$AH$9,"&lt;="&amp;R$14,$S$10:$AH$10,"&gt;="&amp;R$14)</f>
        <v>0</v>
      </c>
      <c r="S15" s="66">
        <f t="shared" ref="S15:CD15" si="6">SUMIFS($S$8:$AH$8,$S$9:$AH$9,"&lt;="&amp;S$14,$S$10:$AH$10,"&gt;="&amp;S$14)</f>
        <v>1</v>
      </c>
      <c r="T15" s="66">
        <f t="shared" si="6"/>
        <v>1</v>
      </c>
      <c r="U15" s="66">
        <f t="shared" si="6"/>
        <v>1</v>
      </c>
      <c r="V15" s="66">
        <f t="shared" si="6"/>
        <v>1</v>
      </c>
      <c r="W15" s="66">
        <f t="shared" si="6"/>
        <v>1</v>
      </c>
      <c r="X15" s="66">
        <f t="shared" si="6"/>
        <v>1</v>
      </c>
      <c r="Y15" s="66">
        <f t="shared" si="6"/>
        <v>2</v>
      </c>
      <c r="Z15" s="66">
        <f t="shared" si="6"/>
        <v>2</v>
      </c>
      <c r="AA15" s="66">
        <f t="shared" si="6"/>
        <v>2</v>
      </c>
      <c r="AB15" s="66">
        <f t="shared" si="6"/>
        <v>2</v>
      </c>
      <c r="AC15" s="66">
        <f t="shared" si="6"/>
        <v>2</v>
      </c>
      <c r="AD15" s="66">
        <f t="shared" si="6"/>
        <v>2</v>
      </c>
      <c r="AE15" s="66">
        <f t="shared" si="6"/>
        <v>3</v>
      </c>
      <c r="AF15" s="66">
        <f t="shared" si="6"/>
        <v>3</v>
      </c>
      <c r="AG15" s="66">
        <f t="shared" si="6"/>
        <v>3</v>
      </c>
      <c r="AH15" s="66">
        <f t="shared" si="6"/>
        <v>3</v>
      </c>
      <c r="AI15" s="66">
        <f t="shared" si="6"/>
        <v>3</v>
      </c>
      <c r="AJ15" s="66">
        <f t="shared" si="6"/>
        <v>3</v>
      </c>
      <c r="AK15" s="66">
        <f t="shared" si="6"/>
        <v>4</v>
      </c>
      <c r="AL15" s="66">
        <f t="shared" si="6"/>
        <v>4</v>
      </c>
      <c r="AM15" s="66">
        <f t="shared" si="6"/>
        <v>4</v>
      </c>
      <c r="AN15" s="66">
        <f t="shared" si="6"/>
        <v>4</v>
      </c>
      <c r="AO15" s="66">
        <f t="shared" si="6"/>
        <v>4</v>
      </c>
      <c r="AP15" s="66">
        <f t="shared" si="6"/>
        <v>4</v>
      </c>
      <c r="AQ15" s="66">
        <f t="shared" si="6"/>
        <v>5</v>
      </c>
      <c r="AR15" s="66">
        <f t="shared" si="6"/>
        <v>5</v>
      </c>
      <c r="AS15" s="66">
        <f t="shared" si="6"/>
        <v>5</v>
      </c>
      <c r="AT15" s="66">
        <f t="shared" si="6"/>
        <v>5</v>
      </c>
      <c r="AU15" s="66">
        <f t="shared" si="6"/>
        <v>5</v>
      </c>
      <c r="AV15" s="66">
        <f t="shared" si="6"/>
        <v>5</v>
      </c>
      <c r="AW15" s="66">
        <f t="shared" si="6"/>
        <v>6</v>
      </c>
      <c r="AX15" s="66">
        <f t="shared" si="6"/>
        <v>6</v>
      </c>
      <c r="AY15" s="66">
        <f t="shared" si="6"/>
        <v>6</v>
      </c>
      <c r="AZ15" s="66">
        <f t="shared" si="6"/>
        <v>6</v>
      </c>
      <c r="BA15" s="66">
        <f t="shared" si="6"/>
        <v>6</v>
      </c>
      <c r="BB15" s="66">
        <f t="shared" si="6"/>
        <v>6</v>
      </c>
      <c r="BC15" s="66">
        <f t="shared" si="6"/>
        <v>7</v>
      </c>
      <c r="BD15" s="66">
        <f t="shared" si="6"/>
        <v>7</v>
      </c>
      <c r="BE15" s="66">
        <f t="shared" si="6"/>
        <v>7</v>
      </c>
      <c r="BF15" s="66">
        <f t="shared" si="6"/>
        <v>7</v>
      </c>
      <c r="BG15" s="66">
        <f t="shared" si="6"/>
        <v>7</v>
      </c>
      <c r="BH15" s="66">
        <f t="shared" si="6"/>
        <v>7</v>
      </c>
      <c r="BI15" s="66">
        <f t="shared" si="6"/>
        <v>8</v>
      </c>
      <c r="BJ15" s="66">
        <f t="shared" si="6"/>
        <v>8</v>
      </c>
      <c r="BK15" s="66">
        <f t="shared" si="6"/>
        <v>8</v>
      </c>
      <c r="BL15" s="66">
        <f t="shared" si="6"/>
        <v>8</v>
      </c>
      <c r="BM15" s="66">
        <f t="shared" si="6"/>
        <v>8</v>
      </c>
      <c r="BN15" s="66">
        <f t="shared" si="6"/>
        <v>8</v>
      </c>
      <c r="BO15" s="66">
        <f t="shared" si="6"/>
        <v>9</v>
      </c>
      <c r="BP15" s="66">
        <f t="shared" si="6"/>
        <v>9</v>
      </c>
      <c r="BQ15" s="66">
        <f t="shared" si="6"/>
        <v>9</v>
      </c>
      <c r="BR15" s="66">
        <f t="shared" si="6"/>
        <v>9</v>
      </c>
      <c r="BS15" s="66">
        <f t="shared" si="6"/>
        <v>9</v>
      </c>
      <c r="BT15" s="66">
        <f t="shared" si="6"/>
        <v>9</v>
      </c>
      <c r="BU15" s="66">
        <f t="shared" si="6"/>
        <v>10</v>
      </c>
      <c r="BV15" s="66">
        <f t="shared" si="6"/>
        <v>10</v>
      </c>
      <c r="BW15" s="66">
        <f t="shared" si="6"/>
        <v>10</v>
      </c>
      <c r="BX15" s="66">
        <f t="shared" si="6"/>
        <v>10</v>
      </c>
      <c r="BY15" s="66">
        <f t="shared" si="6"/>
        <v>10</v>
      </c>
      <c r="BZ15" s="66">
        <f t="shared" si="6"/>
        <v>10</v>
      </c>
      <c r="CA15" s="66">
        <f t="shared" si="6"/>
        <v>11</v>
      </c>
      <c r="CB15" s="66">
        <f t="shared" si="6"/>
        <v>11</v>
      </c>
      <c r="CC15" s="66">
        <f t="shared" si="6"/>
        <v>11</v>
      </c>
      <c r="CD15" s="66">
        <f t="shared" si="6"/>
        <v>11</v>
      </c>
      <c r="CE15" s="66">
        <f t="shared" ref="CE15:DL15" si="7">SUMIFS($S$8:$AH$8,$S$9:$AH$9,"&lt;="&amp;CE$14,$S$10:$AH$10,"&gt;="&amp;CE$14)</f>
        <v>11</v>
      </c>
      <c r="CF15" s="66">
        <f t="shared" si="7"/>
        <v>11</v>
      </c>
      <c r="CG15" s="66">
        <f t="shared" si="7"/>
        <v>12</v>
      </c>
      <c r="CH15" s="66">
        <f t="shared" si="7"/>
        <v>12</v>
      </c>
      <c r="CI15" s="66">
        <f t="shared" si="7"/>
        <v>12</v>
      </c>
      <c r="CJ15" s="66">
        <f t="shared" si="7"/>
        <v>12</v>
      </c>
      <c r="CK15" s="66">
        <f t="shared" si="7"/>
        <v>12</v>
      </c>
      <c r="CL15" s="66">
        <f t="shared" si="7"/>
        <v>12</v>
      </c>
      <c r="CM15" s="66">
        <f t="shared" si="7"/>
        <v>13</v>
      </c>
      <c r="CN15" s="66">
        <f t="shared" si="7"/>
        <v>13</v>
      </c>
      <c r="CO15" s="66">
        <f t="shared" si="7"/>
        <v>13</v>
      </c>
      <c r="CP15" s="66">
        <f t="shared" si="7"/>
        <v>13</v>
      </c>
      <c r="CQ15" s="66">
        <f t="shared" si="7"/>
        <v>13</v>
      </c>
      <c r="CR15" s="66">
        <f t="shared" si="7"/>
        <v>13</v>
      </c>
      <c r="CS15" s="66">
        <f t="shared" si="7"/>
        <v>14</v>
      </c>
      <c r="CT15" s="66">
        <f t="shared" si="7"/>
        <v>14</v>
      </c>
      <c r="CU15" s="66">
        <f t="shared" si="7"/>
        <v>14</v>
      </c>
      <c r="CV15" s="66">
        <f t="shared" si="7"/>
        <v>14</v>
      </c>
      <c r="CW15" s="66">
        <f t="shared" si="7"/>
        <v>14</v>
      </c>
      <c r="CX15" s="66">
        <f t="shared" si="7"/>
        <v>14</v>
      </c>
      <c r="CY15" s="66">
        <f t="shared" si="7"/>
        <v>15</v>
      </c>
      <c r="CZ15" s="66">
        <f t="shared" si="7"/>
        <v>15</v>
      </c>
      <c r="DA15" s="66">
        <f t="shared" si="7"/>
        <v>15</v>
      </c>
      <c r="DB15" s="66">
        <f t="shared" si="7"/>
        <v>15</v>
      </c>
      <c r="DC15" s="66">
        <f t="shared" si="7"/>
        <v>15</v>
      </c>
      <c r="DD15" s="66">
        <f t="shared" si="7"/>
        <v>15</v>
      </c>
      <c r="DE15" s="66">
        <f t="shared" si="7"/>
        <v>16</v>
      </c>
      <c r="DF15" s="66">
        <f t="shared" si="7"/>
        <v>16</v>
      </c>
      <c r="DG15" s="66">
        <f t="shared" si="7"/>
        <v>16</v>
      </c>
      <c r="DH15" s="66">
        <f t="shared" si="7"/>
        <v>16</v>
      </c>
      <c r="DI15" s="66">
        <f t="shared" si="7"/>
        <v>16</v>
      </c>
      <c r="DJ15" s="66">
        <f t="shared" si="7"/>
        <v>16</v>
      </c>
      <c r="DK15" s="66">
        <f t="shared" si="7"/>
        <v>0</v>
      </c>
      <c r="DL15" s="66">
        <f t="shared" si="7"/>
        <v>0</v>
      </c>
    </row>
    <row r="16" spans="1:116" ht="17" customHeight="1"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 t="s">
        <v>95</v>
      </c>
      <c r="Q16" s="67"/>
      <c r="R16" s="68">
        <f>SUM($R$13:R13)*R11</f>
        <v>0</v>
      </c>
      <c r="S16" s="68">
        <f>SUM($R$13:S13)*S11</f>
        <v>1</v>
      </c>
      <c r="T16" s="68">
        <f>SUM($R$13:T13)*T11</f>
        <v>1</v>
      </c>
      <c r="U16" s="68">
        <f>SUM($R$13:U13)*U11</f>
        <v>1</v>
      </c>
      <c r="V16" s="68">
        <f>SUM($R$13:V13)*V11</f>
        <v>1</v>
      </c>
      <c r="W16" s="68">
        <f>SUM($R$13:W13)*W11</f>
        <v>1</v>
      </c>
      <c r="X16" s="68">
        <f>SUM($R$13:X13)*X11</f>
        <v>1</v>
      </c>
      <c r="Y16" s="68">
        <f>SUM($R$13:Y13)*Y11</f>
        <v>1</v>
      </c>
      <c r="Z16" s="68">
        <f>SUM($R$13:Z13)*Z11</f>
        <v>1</v>
      </c>
      <c r="AA16" s="68">
        <f>SUM($R$13:AA13)*AA11</f>
        <v>1</v>
      </c>
      <c r="AB16" s="68">
        <f>SUM($R$13:AB13)*AB11</f>
        <v>1</v>
      </c>
      <c r="AC16" s="68">
        <f>SUM($R$13:AC13)*AC11</f>
        <v>1</v>
      </c>
      <c r="AD16" s="68">
        <f>SUM($R$13:AD13)*AD11</f>
        <v>1</v>
      </c>
      <c r="AE16" s="68">
        <f>SUM($R$13:AE13)*AE11</f>
        <v>2</v>
      </c>
      <c r="AF16" s="68">
        <f>SUM($R$13:AF13)*AF11</f>
        <v>2</v>
      </c>
      <c r="AG16" s="68">
        <f>SUM($R$13:AG13)*AG11</f>
        <v>2</v>
      </c>
      <c r="AH16" s="68">
        <f>SUM($R$13:AH13)*AH11</f>
        <v>2</v>
      </c>
      <c r="AI16" s="68">
        <f>SUM($R$13:AI13)*AI11</f>
        <v>2</v>
      </c>
      <c r="AJ16" s="68">
        <f>SUM($R$13:AJ13)*AJ11</f>
        <v>2</v>
      </c>
      <c r="AK16" s="68">
        <f>SUM($R$13:AK13)*AK11</f>
        <v>2</v>
      </c>
      <c r="AL16" s="68">
        <f>SUM($R$13:AL13)*AL11</f>
        <v>2</v>
      </c>
      <c r="AM16" s="68">
        <f>SUM($R$13:AM13)*AM11</f>
        <v>2</v>
      </c>
      <c r="AN16" s="68">
        <f>SUM($R$13:AN13)*AN11</f>
        <v>2</v>
      </c>
      <c r="AO16" s="68">
        <f>SUM($R$13:AO13)*AO11</f>
        <v>2</v>
      </c>
      <c r="AP16" s="68">
        <f>SUM($R$13:AP13)*AP11</f>
        <v>2</v>
      </c>
      <c r="AQ16" s="68">
        <f>SUM($R$13:AQ13)*AQ11</f>
        <v>3</v>
      </c>
      <c r="AR16" s="68">
        <f>SUM($R$13:AR13)*AR11</f>
        <v>3</v>
      </c>
      <c r="AS16" s="68">
        <f>SUM($R$13:AS13)*AS11</f>
        <v>3</v>
      </c>
      <c r="AT16" s="68">
        <f>SUM($R$13:AT13)*AT11</f>
        <v>3</v>
      </c>
      <c r="AU16" s="68">
        <f>SUM($R$13:AU13)*AU11</f>
        <v>3</v>
      </c>
      <c r="AV16" s="68">
        <f>SUM($R$13:AV13)*AV11</f>
        <v>3</v>
      </c>
      <c r="AW16" s="68">
        <f>SUM($R$13:AW13)*AW11</f>
        <v>3</v>
      </c>
      <c r="AX16" s="68">
        <f>SUM($R$13:AX13)*AX11</f>
        <v>3</v>
      </c>
      <c r="AY16" s="68">
        <f>SUM($R$13:AY13)*AY11</f>
        <v>3</v>
      </c>
      <c r="AZ16" s="68">
        <f>SUM($R$13:AZ13)*AZ11</f>
        <v>3</v>
      </c>
      <c r="BA16" s="68">
        <f>SUM($R$13:BA13)*BA11</f>
        <v>3</v>
      </c>
      <c r="BB16" s="68">
        <f>SUM($R$13:BB13)*BB11</f>
        <v>3</v>
      </c>
      <c r="BC16" s="68">
        <f>SUM($R$13:BC13)*BC11</f>
        <v>4</v>
      </c>
      <c r="BD16" s="68">
        <f>SUM($R$13:BD13)*BD11</f>
        <v>4</v>
      </c>
      <c r="BE16" s="68">
        <f>SUM($R$13:BE13)*BE11</f>
        <v>4</v>
      </c>
      <c r="BF16" s="68">
        <f>SUM($R$13:BF13)*BF11</f>
        <v>4</v>
      </c>
      <c r="BG16" s="68">
        <f>SUM($R$13:BG13)*BG11</f>
        <v>4</v>
      </c>
      <c r="BH16" s="68">
        <f>SUM($R$13:BH13)*BH11</f>
        <v>4</v>
      </c>
      <c r="BI16" s="68">
        <f>SUM($R$13:BI13)*BI11</f>
        <v>4</v>
      </c>
      <c r="BJ16" s="68">
        <f>SUM($R$13:BJ13)*BJ11</f>
        <v>4</v>
      </c>
      <c r="BK16" s="68">
        <f>SUM($R$13:BK13)*BK11</f>
        <v>4</v>
      </c>
      <c r="BL16" s="68">
        <f>SUM($R$13:BL13)*BL11</f>
        <v>4</v>
      </c>
      <c r="BM16" s="68">
        <f>SUM($R$13:BM13)*BM11</f>
        <v>4</v>
      </c>
      <c r="BN16" s="68">
        <f>SUM($R$13:BN13)*BN11</f>
        <v>4</v>
      </c>
      <c r="BO16" s="68">
        <f>SUM($R$13:BO13)*BO11</f>
        <v>5</v>
      </c>
      <c r="BP16" s="68">
        <f>SUM($R$13:BP13)*BP11</f>
        <v>5</v>
      </c>
      <c r="BQ16" s="68">
        <f>SUM($R$13:BQ13)*BQ11</f>
        <v>5</v>
      </c>
      <c r="BR16" s="68">
        <f>SUM($R$13:BR13)*BR11</f>
        <v>5</v>
      </c>
      <c r="BS16" s="68">
        <f>SUM($R$13:BS13)*BS11</f>
        <v>5</v>
      </c>
      <c r="BT16" s="68">
        <f>SUM($R$13:BT13)*BT11</f>
        <v>5</v>
      </c>
      <c r="BU16" s="68">
        <f>SUM($R$13:BU13)*BU11</f>
        <v>5</v>
      </c>
      <c r="BV16" s="68">
        <f>SUM($R$13:BV13)*BV11</f>
        <v>5</v>
      </c>
      <c r="BW16" s="68">
        <f>SUM($R$13:BW13)*BW11</f>
        <v>5</v>
      </c>
      <c r="BX16" s="68">
        <f>SUM($R$13:BX13)*BX11</f>
        <v>5</v>
      </c>
      <c r="BY16" s="68">
        <f>SUM($R$13:BY13)*BY11</f>
        <v>5</v>
      </c>
      <c r="BZ16" s="68">
        <f>SUM($R$13:BZ13)*BZ11</f>
        <v>5</v>
      </c>
      <c r="CA16" s="68">
        <f>SUM($R$13:CA13)*CA11</f>
        <v>0</v>
      </c>
      <c r="CB16" s="68">
        <f>SUM($R$13:CB13)*CB11</f>
        <v>0</v>
      </c>
      <c r="CC16" s="68">
        <f>SUM($R$13:CC13)*CC11</f>
        <v>0</v>
      </c>
      <c r="CD16" s="68">
        <f>SUM($R$13:CD13)*CD11</f>
        <v>0</v>
      </c>
      <c r="CE16" s="68">
        <f>SUM($R$13:CE13)*CE11</f>
        <v>0</v>
      </c>
      <c r="CF16" s="68">
        <f>SUM($R$13:CF13)*CF11</f>
        <v>0</v>
      </c>
      <c r="CG16" s="68">
        <f>SUM($R$13:CG13)*CG11</f>
        <v>0</v>
      </c>
      <c r="CH16" s="68">
        <f>SUM($R$13:CH13)*CH11</f>
        <v>0</v>
      </c>
      <c r="CI16" s="68">
        <f>SUM($R$13:CI13)*CI11</f>
        <v>0</v>
      </c>
      <c r="CJ16" s="68">
        <f>SUM($R$13:CJ13)*CJ11</f>
        <v>0</v>
      </c>
      <c r="CK16" s="68">
        <f>SUM($R$13:CK13)*CK11</f>
        <v>0</v>
      </c>
      <c r="CL16" s="68">
        <f>SUM($R$13:CL13)*CL11</f>
        <v>0</v>
      </c>
      <c r="CM16" s="68">
        <f>SUM($R$13:CM13)*CM11</f>
        <v>0</v>
      </c>
      <c r="CN16" s="68">
        <f>SUM($R$13:CN13)*CN11</f>
        <v>0</v>
      </c>
      <c r="CO16" s="68">
        <f>SUM($R$13:CO13)*CO11</f>
        <v>0</v>
      </c>
      <c r="CP16" s="68">
        <f>SUM($R$13:CP13)*CP11</f>
        <v>0</v>
      </c>
      <c r="CQ16" s="68">
        <f>SUM($R$13:CQ13)*CQ11</f>
        <v>0</v>
      </c>
      <c r="CR16" s="68">
        <f>SUM($R$13:CR13)*CR11</f>
        <v>0</v>
      </c>
      <c r="CS16" s="68">
        <f>SUM($R$13:CS13)*CS11</f>
        <v>0</v>
      </c>
      <c r="CT16" s="68">
        <f>SUM($R$13:CT13)*CT11</f>
        <v>0</v>
      </c>
      <c r="CU16" s="68">
        <f>SUM($R$13:CU13)*CU11</f>
        <v>0</v>
      </c>
      <c r="CV16" s="68">
        <f>SUM($R$13:CV13)*CV11</f>
        <v>0</v>
      </c>
      <c r="CW16" s="68">
        <f>SUM($R$13:CW13)*CW11</f>
        <v>0</v>
      </c>
      <c r="CX16" s="68">
        <f>SUM($R$13:CX13)*CX11</f>
        <v>0</v>
      </c>
      <c r="CY16" s="68">
        <f>SUM($R$13:CY13)*CY11</f>
        <v>0</v>
      </c>
      <c r="CZ16" s="68">
        <f>SUM($R$13:CZ13)*CZ11</f>
        <v>0</v>
      </c>
      <c r="DA16" s="68">
        <f>SUM($R$13:DA13)*DA11</f>
        <v>0</v>
      </c>
      <c r="DB16" s="68">
        <f>SUM($R$13:DB13)*DB11</f>
        <v>0</v>
      </c>
      <c r="DC16" s="68">
        <f>SUM($R$13:DC13)*DC11</f>
        <v>0</v>
      </c>
      <c r="DD16" s="68">
        <f>SUM($R$13:DD13)*DD11</f>
        <v>0</v>
      </c>
      <c r="DE16" s="68">
        <f>SUM($R$13:DE13)*DE11</f>
        <v>0</v>
      </c>
      <c r="DF16" s="68">
        <f>SUM($R$13:DF13)*DF11</f>
        <v>0</v>
      </c>
      <c r="DG16" s="68">
        <f>SUM($R$13:DG13)*DG11</f>
        <v>0</v>
      </c>
      <c r="DH16" s="68">
        <f>SUM($R$13:DH13)*DH11</f>
        <v>0</v>
      </c>
      <c r="DI16" s="68">
        <f>SUM($R$13:DI13)*DI11</f>
        <v>0</v>
      </c>
      <c r="DJ16" s="68">
        <f>SUM($R$13:DJ13)*DJ11</f>
        <v>0</v>
      </c>
      <c r="DK16" s="68">
        <f>SUM($R$13:DK13)*DK11</f>
        <v>0</v>
      </c>
      <c r="DL16" s="68">
        <f>SUM($R$13:DL13)*DL11</f>
        <v>0</v>
      </c>
    </row>
    <row r="17" spans="2:116">
      <c r="B17" s="22" t="s">
        <v>96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O17" s="77" t="s">
        <v>106</v>
      </c>
      <c r="P17" s="77"/>
      <c r="Q17" s="77"/>
      <c r="R17" s="77">
        <f>SUM(R38,R18)</f>
        <v>0</v>
      </c>
      <c r="S17" s="77">
        <f t="shared" ref="S17:CD17" si="8">SUM(S38,S18)</f>
        <v>18</v>
      </c>
      <c r="T17" s="77">
        <f t="shared" si="8"/>
        <v>17</v>
      </c>
      <c r="U17" s="77">
        <f t="shared" si="8"/>
        <v>21</v>
      </c>
      <c r="V17" s="77">
        <f t="shared" si="8"/>
        <v>21</v>
      </c>
      <c r="W17" s="77">
        <f t="shared" si="8"/>
        <v>21</v>
      </c>
      <c r="X17" s="77">
        <f t="shared" si="8"/>
        <v>23</v>
      </c>
      <c r="Y17" s="77">
        <f t="shared" si="8"/>
        <v>23</v>
      </c>
      <c r="Z17" s="77">
        <f t="shared" si="8"/>
        <v>23</v>
      </c>
      <c r="AA17" s="77">
        <f t="shared" si="8"/>
        <v>23</v>
      </c>
      <c r="AB17" s="77">
        <f t="shared" si="8"/>
        <v>23</v>
      </c>
      <c r="AC17" s="77">
        <f t="shared" si="8"/>
        <v>23</v>
      </c>
      <c r="AD17" s="77">
        <f t="shared" si="8"/>
        <v>23</v>
      </c>
      <c r="AE17" s="77">
        <f t="shared" si="8"/>
        <v>23</v>
      </c>
      <c r="AF17" s="77">
        <f t="shared" si="8"/>
        <v>23</v>
      </c>
      <c r="AG17" s="77">
        <f t="shared" si="8"/>
        <v>23</v>
      </c>
      <c r="AH17" s="77">
        <f t="shared" si="8"/>
        <v>23</v>
      </c>
      <c r="AI17" s="77">
        <f t="shared" si="8"/>
        <v>23</v>
      </c>
      <c r="AJ17" s="77">
        <f t="shared" si="8"/>
        <v>23</v>
      </c>
      <c r="AK17" s="77">
        <f t="shared" si="8"/>
        <v>23</v>
      </c>
      <c r="AL17" s="77">
        <f t="shared" si="8"/>
        <v>23</v>
      </c>
      <c r="AM17" s="77">
        <f t="shared" si="8"/>
        <v>23</v>
      </c>
      <c r="AN17" s="77">
        <f t="shared" si="8"/>
        <v>23</v>
      </c>
      <c r="AO17" s="77">
        <f t="shared" si="8"/>
        <v>23</v>
      </c>
      <c r="AP17" s="77">
        <f t="shared" si="8"/>
        <v>23</v>
      </c>
      <c r="AQ17" s="77">
        <f t="shared" si="8"/>
        <v>23</v>
      </c>
      <c r="AR17" s="77">
        <f t="shared" si="8"/>
        <v>23</v>
      </c>
      <c r="AS17" s="77">
        <f t="shared" si="8"/>
        <v>23</v>
      </c>
      <c r="AT17" s="77">
        <f t="shared" si="8"/>
        <v>23</v>
      </c>
      <c r="AU17" s="77">
        <f t="shared" si="8"/>
        <v>23</v>
      </c>
      <c r="AV17" s="77">
        <f t="shared" si="8"/>
        <v>23</v>
      </c>
      <c r="AW17" s="77">
        <f t="shared" si="8"/>
        <v>23</v>
      </c>
      <c r="AX17" s="77">
        <f t="shared" si="8"/>
        <v>23</v>
      </c>
      <c r="AY17" s="77">
        <f t="shared" si="8"/>
        <v>23</v>
      </c>
      <c r="AZ17" s="77">
        <f t="shared" si="8"/>
        <v>23</v>
      </c>
      <c r="BA17" s="77">
        <f t="shared" si="8"/>
        <v>23</v>
      </c>
      <c r="BB17" s="77">
        <f t="shared" si="8"/>
        <v>23</v>
      </c>
      <c r="BC17" s="77">
        <f t="shared" si="8"/>
        <v>23</v>
      </c>
      <c r="BD17" s="77">
        <f t="shared" si="8"/>
        <v>23</v>
      </c>
      <c r="BE17" s="77">
        <f t="shared" si="8"/>
        <v>23</v>
      </c>
      <c r="BF17" s="77">
        <f t="shared" si="8"/>
        <v>23</v>
      </c>
      <c r="BG17" s="77">
        <f t="shared" si="8"/>
        <v>23</v>
      </c>
      <c r="BH17" s="77">
        <f t="shared" si="8"/>
        <v>23</v>
      </c>
      <c r="BI17" s="77">
        <f t="shared" si="8"/>
        <v>23</v>
      </c>
      <c r="BJ17" s="77">
        <f t="shared" si="8"/>
        <v>23</v>
      </c>
      <c r="BK17" s="77">
        <f t="shared" si="8"/>
        <v>23</v>
      </c>
      <c r="BL17" s="77">
        <f t="shared" si="8"/>
        <v>23</v>
      </c>
      <c r="BM17" s="77">
        <f t="shared" si="8"/>
        <v>23</v>
      </c>
      <c r="BN17" s="77">
        <f t="shared" si="8"/>
        <v>23</v>
      </c>
      <c r="BO17" s="77">
        <f t="shared" si="8"/>
        <v>23</v>
      </c>
      <c r="BP17" s="77">
        <f t="shared" si="8"/>
        <v>23</v>
      </c>
      <c r="BQ17" s="77">
        <f t="shared" si="8"/>
        <v>23</v>
      </c>
      <c r="BR17" s="77">
        <f t="shared" si="8"/>
        <v>23</v>
      </c>
      <c r="BS17" s="77">
        <f t="shared" si="8"/>
        <v>23</v>
      </c>
      <c r="BT17" s="77">
        <f t="shared" si="8"/>
        <v>23</v>
      </c>
      <c r="BU17" s="77">
        <f t="shared" si="8"/>
        <v>23</v>
      </c>
      <c r="BV17" s="77">
        <f t="shared" si="8"/>
        <v>23</v>
      </c>
      <c r="BW17" s="77">
        <f t="shared" si="8"/>
        <v>23</v>
      </c>
      <c r="BX17" s="77">
        <f t="shared" si="8"/>
        <v>23</v>
      </c>
      <c r="BY17" s="77">
        <f t="shared" si="8"/>
        <v>23</v>
      </c>
      <c r="BZ17" s="77">
        <f t="shared" si="8"/>
        <v>23</v>
      </c>
      <c r="CA17" s="77">
        <f t="shared" si="8"/>
        <v>0</v>
      </c>
      <c r="CB17" s="77">
        <f t="shared" si="8"/>
        <v>0</v>
      </c>
      <c r="CC17" s="77">
        <f t="shared" si="8"/>
        <v>0</v>
      </c>
      <c r="CD17" s="77">
        <f t="shared" si="8"/>
        <v>0</v>
      </c>
      <c r="CE17" s="77">
        <f t="shared" ref="CE17:DL17" si="9">SUM(CE38,CE18)</f>
        <v>0</v>
      </c>
      <c r="CF17" s="77">
        <f t="shared" si="9"/>
        <v>0</v>
      </c>
      <c r="CG17" s="77">
        <f t="shared" si="9"/>
        <v>0</v>
      </c>
      <c r="CH17" s="77">
        <f t="shared" si="9"/>
        <v>0</v>
      </c>
      <c r="CI17" s="77">
        <f t="shared" si="9"/>
        <v>0</v>
      </c>
      <c r="CJ17" s="77">
        <f t="shared" si="9"/>
        <v>0</v>
      </c>
      <c r="CK17" s="77">
        <f t="shared" si="9"/>
        <v>0</v>
      </c>
      <c r="CL17" s="77">
        <f t="shared" si="9"/>
        <v>0</v>
      </c>
      <c r="CM17" s="77">
        <f t="shared" si="9"/>
        <v>0</v>
      </c>
      <c r="CN17" s="77">
        <f t="shared" si="9"/>
        <v>0</v>
      </c>
      <c r="CO17" s="77">
        <f t="shared" si="9"/>
        <v>0</v>
      </c>
      <c r="CP17" s="77">
        <f t="shared" si="9"/>
        <v>0</v>
      </c>
      <c r="CQ17" s="77">
        <f t="shared" si="9"/>
        <v>0</v>
      </c>
      <c r="CR17" s="77">
        <f t="shared" si="9"/>
        <v>0</v>
      </c>
      <c r="CS17" s="77">
        <f t="shared" si="9"/>
        <v>0</v>
      </c>
      <c r="CT17" s="77">
        <f t="shared" si="9"/>
        <v>0</v>
      </c>
      <c r="CU17" s="77">
        <f t="shared" si="9"/>
        <v>0</v>
      </c>
      <c r="CV17" s="77">
        <f t="shared" si="9"/>
        <v>0</v>
      </c>
      <c r="CW17" s="77">
        <f t="shared" si="9"/>
        <v>0</v>
      </c>
      <c r="CX17" s="77">
        <f t="shared" si="9"/>
        <v>0</v>
      </c>
      <c r="CY17" s="77">
        <f t="shared" si="9"/>
        <v>0</v>
      </c>
      <c r="CZ17" s="77">
        <f t="shared" si="9"/>
        <v>0</v>
      </c>
      <c r="DA17" s="77">
        <f t="shared" si="9"/>
        <v>0</v>
      </c>
      <c r="DB17" s="77">
        <f t="shared" si="9"/>
        <v>0</v>
      </c>
      <c r="DC17" s="77">
        <f t="shared" si="9"/>
        <v>0</v>
      </c>
      <c r="DD17" s="77">
        <f t="shared" si="9"/>
        <v>0</v>
      </c>
      <c r="DE17" s="77">
        <f t="shared" si="9"/>
        <v>0</v>
      </c>
      <c r="DF17" s="77">
        <f t="shared" si="9"/>
        <v>0</v>
      </c>
      <c r="DG17" s="77">
        <f t="shared" si="9"/>
        <v>0</v>
      </c>
      <c r="DH17" s="77">
        <f t="shared" si="9"/>
        <v>0</v>
      </c>
      <c r="DI17" s="77">
        <f t="shared" si="9"/>
        <v>0</v>
      </c>
      <c r="DJ17" s="77">
        <f t="shared" si="9"/>
        <v>0</v>
      </c>
      <c r="DK17" s="77">
        <f t="shared" si="9"/>
        <v>0</v>
      </c>
      <c r="DL17" s="77">
        <f t="shared" si="9"/>
        <v>0</v>
      </c>
    </row>
    <row r="18" spans="2:116">
      <c r="B18" s="70" t="s">
        <v>47</v>
      </c>
      <c r="C18" s="71" t="s">
        <v>49</v>
      </c>
      <c r="D18" s="71" t="s">
        <v>97</v>
      </c>
      <c r="E18" s="71" t="s">
        <v>98</v>
      </c>
      <c r="F18" s="71" t="s">
        <v>84</v>
      </c>
      <c r="G18" s="71" t="s">
        <v>104</v>
      </c>
      <c r="H18" s="71" t="s">
        <v>105</v>
      </c>
      <c r="I18" s="71" t="s">
        <v>103</v>
      </c>
      <c r="J18" s="71" t="s">
        <v>99</v>
      </c>
      <c r="K18" s="71" t="s">
        <v>102</v>
      </c>
      <c r="L18" s="71" t="s">
        <v>100</v>
      </c>
      <c r="M18" s="72" t="s">
        <v>101</v>
      </c>
      <c r="N18" s="56"/>
      <c r="O18" s="4" t="s">
        <v>107</v>
      </c>
      <c r="P18" s="4"/>
      <c r="Q18" s="4"/>
      <c r="R18" s="4">
        <f>SUM(R19:R37)</f>
        <v>0</v>
      </c>
      <c r="S18" s="4">
        <f t="shared" ref="S18:CD18" si="10">SUM(S19:S37)</f>
        <v>15</v>
      </c>
      <c r="T18" s="4">
        <f t="shared" si="10"/>
        <v>14</v>
      </c>
      <c r="U18" s="4">
        <f t="shared" si="10"/>
        <v>14</v>
      </c>
      <c r="V18" s="4">
        <f t="shared" si="10"/>
        <v>14</v>
      </c>
      <c r="W18" s="4">
        <f t="shared" si="10"/>
        <v>14</v>
      </c>
      <c r="X18" s="4">
        <f t="shared" si="10"/>
        <v>14</v>
      </c>
      <c r="Y18" s="4">
        <f t="shared" si="10"/>
        <v>10</v>
      </c>
      <c r="Z18" s="4">
        <f t="shared" si="10"/>
        <v>10</v>
      </c>
      <c r="AA18" s="4">
        <f t="shared" si="10"/>
        <v>10</v>
      </c>
      <c r="AB18" s="4">
        <f t="shared" si="10"/>
        <v>10</v>
      </c>
      <c r="AC18" s="4">
        <f t="shared" si="10"/>
        <v>10</v>
      </c>
      <c r="AD18" s="4">
        <f t="shared" si="10"/>
        <v>10</v>
      </c>
      <c r="AE18" s="4">
        <f t="shared" si="10"/>
        <v>10</v>
      </c>
      <c r="AF18" s="4">
        <f t="shared" si="10"/>
        <v>10</v>
      </c>
      <c r="AG18" s="4">
        <f t="shared" si="10"/>
        <v>10</v>
      </c>
      <c r="AH18" s="4">
        <f t="shared" si="10"/>
        <v>10</v>
      </c>
      <c r="AI18" s="4">
        <f t="shared" si="10"/>
        <v>10</v>
      </c>
      <c r="AJ18" s="4">
        <f t="shared" si="10"/>
        <v>10</v>
      </c>
      <c r="AK18" s="4">
        <f t="shared" si="10"/>
        <v>10</v>
      </c>
      <c r="AL18" s="4">
        <f t="shared" si="10"/>
        <v>10</v>
      </c>
      <c r="AM18" s="4">
        <f t="shared" si="10"/>
        <v>10</v>
      </c>
      <c r="AN18" s="4">
        <f t="shared" si="10"/>
        <v>10</v>
      </c>
      <c r="AO18" s="4">
        <f t="shared" si="10"/>
        <v>10</v>
      </c>
      <c r="AP18" s="4">
        <f t="shared" si="10"/>
        <v>10</v>
      </c>
      <c r="AQ18" s="4">
        <f t="shared" si="10"/>
        <v>9</v>
      </c>
      <c r="AR18" s="4">
        <f t="shared" si="10"/>
        <v>9</v>
      </c>
      <c r="AS18" s="4">
        <f t="shared" si="10"/>
        <v>6</v>
      </c>
      <c r="AT18" s="4">
        <f t="shared" si="10"/>
        <v>6</v>
      </c>
      <c r="AU18" s="4">
        <f t="shared" si="10"/>
        <v>6</v>
      </c>
      <c r="AV18" s="4">
        <f t="shared" si="10"/>
        <v>6</v>
      </c>
      <c r="AW18" s="4">
        <f t="shared" si="10"/>
        <v>6</v>
      </c>
      <c r="AX18" s="4">
        <f t="shared" si="10"/>
        <v>6</v>
      </c>
      <c r="AY18" s="4">
        <f t="shared" si="10"/>
        <v>6</v>
      </c>
      <c r="AZ18" s="4">
        <f t="shared" si="10"/>
        <v>6</v>
      </c>
      <c r="BA18" s="4">
        <f t="shared" si="10"/>
        <v>6</v>
      </c>
      <c r="BB18" s="4">
        <f t="shared" si="10"/>
        <v>5</v>
      </c>
      <c r="BC18" s="4">
        <f t="shared" si="10"/>
        <v>5</v>
      </c>
      <c r="BD18" s="4">
        <f t="shared" si="10"/>
        <v>5</v>
      </c>
      <c r="BE18" s="4">
        <f t="shared" si="10"/>
        <v>5</v>
      </c>
      <c r="BF18" s="4">
        <f t="shared" si="10"/>
        <v>5</v>
      </c>
      <c r="BG18" s="4">
        <f t="shared" si="10"/>
        <v>2</v>
      </c>
      <c r="BH18" s="4">
        <f t="shared" si="10"/>
        <v>2</v>
      </c>
      <c r="BI18" s="4">
        <f t="shared" si="10"/>
        <v>2</v>
      </c>
      <c r="BJ18" s="4">
        <f t="shared" si="10"/>
        <v>2</v>
      </c>
      <c r="BK18" s="4">
        <f t="shared" si="10"/>
        <v>2</v>
      </c>
      <c r="BL18" s="4">
        <f t="shared" si="10"/>
        <v>2</v>
      </c>
      <c r="BM18" s="4">
        <f t="shared" si="10"/>
        <v>2</v>
      </c>
      <c r="BN18" s="4">
        <f t="shared" si="10"/>
        <v>2</v>
      </c>
      <c r="BO18" s="4">
        <f t="shared" si="10"/>
        <v>0</v>
      </c>
      <c r="BP18" s="4">
        <f t="shared" si="10"/>
        <v>0</v>
      </c>
      <c r="BQ18" s="4">
        <f t="shared" si="10"/>
        <v>0</v>
      </c>
      <c r="BR18" s="4">
        <f t="shared" si="10"/>
        <v>0</v>
      </c>
      <c r="BS18" s="4">
        <f t="shared" si="10"/>
        <v>0</v>
      </c>
      <c r="BT18" s="4">
        <f t="shared" si="10"/>
        <v>0</v>
      </c>
      <c r="BU18" s="4">
        <f t="shared" si="10"/>
        <v>0</v>
      </c>
      <c r="BV18" s="4">
        <f t="shared" si="10"/>
        <v>0</v>
      </c>
      <c r="BW18" s="4">
        <f t="shared" si="10"/>
        <v>0</v>
      </c>
      <c r="BX18" s="4">
        <f t="shared" si="10"/>
        <v>0</v>
      </c>
      <c r="BY18" s="4">
        <f t="shared" si="10"/>
        <v>0</v>
      </c>
      <c r="BZ18" s="4">
        <f t="shared" si="10"/>
        <v>0</v>
      </c>
      <c r="CA18" s="4">
        <f t="shared" si="10"/>
        <v>0</v>
      </c>
      <c r="CB18" s="4">
        <f t="shared" si="10"/>
        <v>0</v>
      </c>
      <c r="CC18" s="4">
        <f t="shared" si="10"/>
        <v>0</v>
      </c>
      <c r="CD18" s="4">
        <f t="shared" si="10"/>
        <v>0</v>
      </c>
      <c r="CE18" s="4">
        <f t="shared" ref="CE18:DL18" si="11">SUM(CE19:CE37)</f>
        <v>0</v>
      </c>
      <c r="CF18" s="4">
        <f t="shared" si="11"/>
        <v>0</v>
      </c>
      <c r="CG18" s="4">
        <f t="shared" si="11"/>
        <v>0</v>
      </c>
      <c r="CH18" s="4">
        <f t="shared" si="11"/>
        <v>0</v>
      </c>
      <c r="CI18" s="4">
        <f t="shared" si="11"/>
        <v>0</v>
      </c>
      <c r="CJ18" s="4">
        <f t="shared" si="11"/>
        <v>0</v>
      </c>
      <c r="CK18" s="4">
        <f t="shared" si="11"/>
        <v>0</v>
      </c>
      <c r="CL18" s="4">
        <f t="shared" si="11"/>
        <v>0</v>
      </c>
      <c r="CM18" s="4">
        <f t="shared" si="11"/>
        <v>0</v>
      </c>
      <c r="CN18" s="4">
        <f t="shared" si="11"/>
        <v>0</v>
      </c>
      <c r="CO18" s="4">
        <f t="shared" si="11"/>
        <v>0</v>
      </c>
      <c r="CP18" s="4">
        <f t="shared" si="11"/>
        <v>0</v>
      </c>
      <c r="CQ18" s="4">
        <f t="shared" si="11"/>
        <v>0</v>
      </c>
      <c r="CR18" s="4">
        <f t="shared" si="11"/>
        <v>0</v>
      </c>
      <c r="CS18" s="4">
        <f t="shared" si="11"/>
        <v>0</v>
      </c>
      <c r="CT18" s="4">
        <f t="shared" si="11"/>
        <v>0</v>
      </c>
      <c r="CU18" s="4">
        <f t="shared" si="11"/>
        <v>0</v>
      </c>
      <c r="CV18" s="4">
        <f t="shared" si="11"/>
        <v>0</v>
      </c>
      <c r="CW18" s="4">
        <f t="shared" si="11"/>
        <v>0</v>
      </c>
      <c r="CX18" s="4">
        <f t="shared" si="11"/>
        <v>0</v>
      </c>
      <c r="CY18" s="4">
        <f t="shared" si="11"/>
        <v>0</v>
      </c>
      <c r="CZ18" s="4">
        <f t="shared" si="11"/>
        <v>0</v>
      </c>
      <c r="DA18" s="4">
        <f t="shared" si="11"/>
        <v>0</v>
      </c>
      <c r="DB18" s="4">
        <f t="shared" si="11"/>
        <v>0</v>
      </c>
      <c r="DC18" s="4">
        <f t="shared" si="11"/>
        <v>0</v>
      </c>
      <c r="DD18" s="4">
        <f t="shared" si="11"/>
        <v>0</v>
      </c>
      <c r="DE18" s="4">
        <f t="shared" si="11"/>
        <v>0</v>
      </c>
      <c r="DF18" s="4">
        <f t="shared" si="11"/>
        <v>0</v>
      </c>
      <c r="DG18" s="4">
        <f t="shared" si="11"/>
        <v>0</v>
      </c>
      <c r="DH18" s="4">
        <f t="shared" si="11"/>
        <v>0</v>
      </c>
      <c r="DI18" s="4">
        <f t="shared" si="11"/>
        <v>0</v>
      </c>
      <c r="DJ18" s="4">
        <f t="shared" si="11"/>
        <v>0</v>
      </c>
      <c r="DK18" s="4">
        <f t="shared" si="11"/>
        <v>0</v>
      </c>
      <c r="DL18" s="4">
        <f t="shared" si="11"/>
        <v>0</v>
      </c>
    </row>
    <row r="19" spans="2:116">
      <c r="B19" s="27">
        <f>Rentroll!$C$11</f>
        <v>17</v>
      </c>
      <c r="C19" s="69" t="str">
        <f>VLOOKUP($B19,Rentroll!$C$11:$X$29,3,FALSE)</f>
        <v>리마 상사</v>
      </c>
      <c r="D19" s="80">
        <f>VLOOKUP($B19,Rentroll!$C$11:$X$29,9,FALSE)</f>
        <v>45322</v>
      </c>
      <c r="E19" s="80">
        <f>VLOOKUP($B19,Rentroll!$C$11:$X$29,10,FALSE)</f>
        <v>47148</v>
      </c>
      <c r="F19" s="81">
        <f>VLOOKUP($B19,Rentroll!$C$11:$X$29,11,FALSE)</f>
        <v>60</v>
      </c>
      <c r="G19" s="69">
        <f>VLOOKUP($B19,Rentroll!$C$11:$X$29,13,FALSE)</f>
        <v>100000</v>
      </c>
      <c r="H19" s="69">
        <f>VLOOKUP($B19,Rentroll!$C$11:$X$29,14,FALSE)</f>
        <v>75000</v>
      </c>
      <c r="I19" s="69">
        <f>VLOOKUP($B19,Rentroll!$C$11:$X$29,15,FALSE)</f>
        <v>45000</v>
      </c>
      <c r="J19" s="82">
        <f>VLOOKUP($B19,Rentroll!$C$11:$X$29,19,FALSE)</f>
        <v>0.03</v>
      </c>
      <c r="K19" s="83">
        <f>VLOOKUP($B19,Rentroll!$C$11:$X$29,4,FALSE)</f>
        <v>1385.09</v>
      </c>
      <c r="L19" s="81">
        <f>VLOOKUP($B19,Rentroll!$C$11:$X$29,17,FALSE)</f>
        <v>0</v>
      </c>
      <c r="M19" s="84">
        <f>VLOOKUP($B19,Rentroll!$C$11:$X$29,18,FALSE)</f>
        <v>3</v>
      </c>
      <c r="O19" s="46">
        <f>B19</f>
        <v>17</v>
      </c>
      <c r="P19" s="73"/>
      <c r="Q19" s="73"/>
      <c r="R19" s="73">
        <f>IF(R$14&lt;EOMONTH($E19,1),1,0)*R$11</f>
        <v>0</v>
      </c>
      <c r="S19" s="73">
        <f t="shared" ref="S19:AH34" si="12">IF(S$14&lt;EOMONTH($E19,1),1,0)*S$11</f>
        <v>1</v>
      </c>
      <c r="T19" s="73">
        <f t="shared" si="12"/>
        <v>1</v>
      </c>
      <c r="U19" s="73">
        <f t="shared" si="12"/>
        <v>1</v>
      </c>
      <c r="V19" s="73">
        <f t="shared" si="12"/>
        <v>1</v>
      </c>
      <c r="W19" s="73">
        <f t="shared" si="12"/>
        <v>1</v>
      </c>
      <c r="X19" s="73">
        <f t="shared" si="12"/>
        <v>1</v>
      </c>
      <c r="Y19" s="73">
        <f t="shared" si="12"/>
        <v>1</v>
      </c>
      <c r="Z19" s="73">
        <f t="shared" si="12"/>
        <v>1</v>
      </c>
      <c r="AA19" s="73">
        <f t="shared" si="12"/>
        <v>1</v>
      </c>
      <c r="AB19" s="73">
        <f t="shared" si="12"/>
        <v>1</v>
      </c>
      <c r="AC19" s="73">
        <f t="shared" si="12"/>
        <v>1</v>
      </c>
      <c r="AD19" s="73">
        <f t="shared" si="12"/>
        <v>1</v>
      </c>
      <c r="AE19" s="73">
        <f t="shared" si="12"/>
        <v>1</v>
      </c>
      <c r="AF19" s="73">
        <f t="shared" si="12"/>
        <v>1</v>
      </c>
      <c r="AG19" s="73">
        <f t="shared" si="12"/>
        <v>1</v>
      </c>
      <c r="AH19" s="73">
        <f t="shared" si="12"/>
        <v>1</v>
      </c>
      <c r="AI19" s="73">
        <f t="shared" ref="AI19:AX34" si="13">IF(AI$14&lt;EOMONTH($E19,1),1,0)*AI$11</f>
        <v>1</v>
      </c>
      <c r="AJ19" s="73">
        <f t="shared" si="13"/>
        <v>1</v>
      </c>
      <c r="AK19" s="73">
        <f t="shared" si="13"/>
        <v>1</v>
      </c>
      <c r="AL19" s="73">
        <f t="shared" si="13"/>
        <v>1</v>
      </c>
      <c r="AM19" s="73">
        <f t="shared" si="13"/>
        <v>1</v>
      </c>
      <c r="AN19" s="73">
        <f t="shared" si="13"/>
        <v>1</v>
      </c>
      <c r="AO19" s="73">
        <f t="shared" si="13"/>
        <v>1</v>
      </c>
      <c r="AP19" s="73">
        <f t="shared" si="13"/>
        <v>1</v>
      </c>
      <c r="AQ19" s="73">
        <f t="shared" si="13"/>
        <v>1</v>
      </c>
      <c r="AR19" s="73">
        <f t="shared" si="13"/>
        <v>1</v>
      </c>
      <c r="AS19" s="73">
        <f t="shared" si="13"/>
        <v>1</v>
      </c>
      <c r="AT19" s="73">
        <f t="shared" si="13"/>
        <v>1</v>
      </c>
      <c r="AU19" s="73">
        <f t="shared" si="13"/>
        <v>1</v>
      </c>
      <c r="AV19" s="73">
        <f t="shared" si="13"/>
        <v>1</v>
      </c>
      <c r="AW19" s="73">
        <f t="shared" si="13"/>
        <v>1</v>
      </c>
      <c r="AX19" s="73">
        <f t="shared" si="13"/>
        <v>1</v>
      </c>
      <c r="AY19" s="73">
        <f t="shared" ref="AY19:BN34" si="14">IF(AY$14&lt;EOMONTH($E19,1),1,0)*AY$11</f>
        <v>1</v>
      </c>
      <c r="AZ19" s="73">
        <f t="shared" si="14"/>
        <v>1</v>
      </c>
      <c r="BA19" s="73">
        <f t="shared" si="14"/>
        <v>1</v>
      </c>
      <c r="BB19" s="73">
        <f t="shared" si="14"/>
        <v>1</v>
      </c>
      <c r="BC19" s="73">
        <f t="shared" si="14"/>
        <v>1</v>
      </c>
      <c r="BD19" s="73">
        <f t="shared" si="14"/>
        <v>1</v>
      </c>
      <c r="BE19" s="73">
        <f t="shared" si="14"/>
        <v>1</v>
      </c>
      <c r="BF19" s="73">
        <f t="shared" si="14"/>
        <v>1</v>
      </c>
      <c r="BG19" s="73">
        <f t="shared" si="14"/>
        <v>1</v>
      </c>
      <c r="BH19" s="73">
        <f t="shared" si="14"/>
        <v>1</v>
      </c>
      <c r="BI19" s="73">
        <f t="shared" si="14"/>
        <v>1</v>
      </c>
      <c r="BJ19" s="73">
        <f t="shared" si="14"/>
        <v>1</v>
      </c>
      <c r="BK19" s="73">
        <f t="shared" si="14"/>
        <v>1</v>
      </c>
      <c r="BL19" s="73">
        <f t="shared" si="14"/>
        <v>1</v>
      </c>
      <c r="BM19" s="73">
        <f t="shared" si="14"/>
        <v>1</v>
      </c>
      <c r="BN19" s="73">
        <f t="shared" si="14"/>
        <v>1</v>
      </c>
      <c r="BO19" s="73">
        <f t="shared" ref="BO19:CD34" si="15">IF(BO$14&lt;EOMONTH($E19,1),1,0)*BO$11</f>
        <v>0</v>
      </c>
      <c r="BP19" s="73">
        <f t="shared" si="15"/>
        <v>0</v>
      </c>
      <c r="BQ19" s="73">
        <f t="shared" si="15"/>
        <v>0</v>
      </c>
      <c r="BR19" s="73">
        <f t="shared" si="15"/>
        <v>0</v>
      </c>
      <c r="BS19" s="73">
        <f t="shared" si="15"/>
        <v>0</v>
      </c>
      <c r="BT19" s="73">
        <f t="shared" si="15"/>
        <v>0</v>
      </c>
      <c r="BU19" s="73">
        <f t="shared" si="15"/>
        <v>0</v>
      </c>
      <c r="BV19" s="73">
        <f t="shared" si="15"/>
        <v>0</v>
      </c>
      <c r="BW19" s="73">
        <f t="shared" si="15"/>
        <v>0</v>
      </c>
      <c r="BX19" s="73">
        <f t="shared" si="15"/>
        <v>0</v>
      </c>
      <c r="BY19" s="73">
        <f t="shared" si="15"/>
        <v>0</v>
      </c>
      <c r="BZ19" s="73">
        <f t="shared" si="15"/>
        <v>0</v>
      </c>
      <c r="CA19" s="73">
        <f t="shared" si="15"/>
        <v>0</v>
      </c>
      <c r="CB19" s="73">
        <f t="shared" si="15"/>
        <v>0</v>
      </c>
      <c r="CC19" s="73">
        <f t="shared" si="15"/>
        <v>0</v>
      </c>
      <c r="CD19" s="73">
        <f t="shared" si="15"/>
        <v>0</v>
      </c>
      <c r="CE19" s="73">
        <f t="shared" ref="CE19:CT34" si="16">IF(CE$14&lt;EOMONTH($E19,1),1,0)*CE$11</f>
        <v>0</v>
      </c>
      <c r="CF19" s="73">
        <f t="shared" si="16"/>
        <v>0</v>
      </c>
      <c r="CG19" s="73">
        <f t="shared" si="16"/>
        <v>0</v>
      </c>
      <c r="CH19" s="73">
        <f t="shared" si="16"/>
        <v>0</v>
      </c>
      <c r="CI19" s="73">
        <f t="shared" si="16"/>
        <v>0</v>
      </c>
      <c r="CJ19" s="73">
        <f t="shared" si="16"/>
        <v>0</v>
      </c>
      <c r="CK19" s="73">
        <f t="shared" si="16"/>
        <v>0</v>
      </c>
      <c r="CL19" s="73">
        <f t="shared" si="16"/>
        <v>0</v>
      </c>
      <c r="CM19" s="73">
        <f t="shared" si="16"/>
        <v>0</v>
      </c>
      <c r="CN19" s="73">
        <f t="shared" si="16"/>
        <v>0</v>
      </c>
      <c r="CO19" s="73">
        <f t="shared" si="16"/>
        <v>0</v>
      </c>
      <c r="CP19" s="73">
        <f t="shared" si="16"/>
        <v>0</v>
      </c>
      <c r="CQ19" s="73">
        <f t="shared" si="16"/>
        <v>0</v>
      </c>
      <c r="CR19" s="73">
        <f t="shared" si="16"/>
        <v>0</v>
      </c>
      <c r="CS19" s="73">
        <f t="shared" si="16"/>
        <v>0</v>
      </c>
      <c r="CT19" s="73">
        <f t="shared" si="16"/>
        <v>0</v>
      </c>
      <c r="CU19" s="73">
        <f t="shared" ref="CU19:DJ34" si="17">IF(CU$14&lt;EOMONTH($E19,1),1,0)*CU$11</f>
        <v>0</v>
      </c>
      <c r="CV19" s="73">
        <f t="shared" si="17"/>
        <v>0</v>
      </c>
      <c r="CW19" s="73">
        <f t="shared" si="17"/>
        <v>0</v>
      </c>
      <c r="CX19" s="73">
        <f t="shared" si="17"/>
        <v>0</v>
      </c>
      <c r="CY19" s="73">
        <f t="shared" si="17"/>
        <v>0</v>
      </c>
      <c r="CZ19" s="73">
        <f t="shared" si="17"/>
        <v>0</v>
      </c>
      <c r="DA19" s="73">
        <f t="shared" si="17"/>
        <v>0</v>
      </c>
      <c r="DB19" s="73">
        <f t="shared" si="17"/>
        <v>0</v>
      </c>
      <c r="DC19" s="73">
        <f t="shared" si="17"/>
        <v>0</v>
      </c>
      <c r="DD19" s="73">
        <f t="shared" si="17"/>
        <v>0</v>
      </c>
      <c r="DE19" s="73">
        <f t="shared" si="17"/>
        <v>0</v>
      </c>
      <c r="DF19" s="73">
        <f t="shared" si="17"/>
        <v>0</v>
      </c>
      <c r="DG19" s="73">
        <f t="shared" si="17"/>
        <v>0</v>
      </c>
      <c r="DH19" s="73">
        <f t="shared" si="17"/>
        <v>0</v>
      </c>
      <c r="DI19" s="73">
        <f t="shared" si="17"/>
        <v>0</v>
      </c>
      <c r="DJ19" s="73">
        <f t="shared" si="17"/>
        <v>0</v>
      </c>
      <c r="DK19" s="73">
        <f t="shared" ref="DK19:DL37" si="18">IF(DK$14&lt;EOMONTH($E19,1),1,0)*DK$11</f>
        <v>0</v>
      </c>
      <c r="DL19" s="73">
        <f t="shared" si="18"/>
        <v>0</v>
      </c>
    </row>
    <row r="20" spans="2:116" ht="17">
      <c r="B20" s="27">
        <f>Rentroll!$C$12</f>
        <v>16</v>
      </c>
      <c r="C20" s="69" t="str">
        <f>VLOOKUP($B20,Rentroll!$C$11:$X$29,3,FALSE)</f>
        <v>리마 상사</v>
      </c>
      <c r="D20" s="80">
        <f>VLOOKUP($B20,Rentroll!$C$11:$X$29,9,FALSE)</f>
        <v>45322</v>
      </c>
      <c r="E20" s="80">
        <f>VLOOKUP($B20,Rentroll!$C$11:$X$29,10,FALSE)</f>
        <v>47148</v>
      </c>
      <c r="F20" s="81">
        <f>VLOOKUP($B20,Rentroll!$C$11:$X$29,11,FALSE)</f>
        <v>60</v>
      </c>
      <c r="G20" s="69">
        <f>VLOOKUP($B20,Rentroll!$C$11:$X$29,13,FALSE)</f>
        <v>100000</v>
      </c>
      <c r="H20" s="69">
        <f>VLOOKUP($B20,Rentroll!$C$11:$X$29,14,FALSE)</f>
        <v>75000</v>
      </c>
      <c r="I20" s="69">
        <f>VLOOKUP($B20,Rentroll!$C$11:$X$29,15,FALSE)</f>
        <v>45000</v>
      </c>
      <c r="J20" s="82">
        <f>VLOOKUP($B20,Rentroll!$C$11:$X$29,19,FALSE)</f>
        <v>0.03</v>
      </c>
      <c r="K20" s="83">
        <f>VLOOKUP($B20,Rentroll!$C$11:$X$29,4,FALSE)</f>
        <v>1385.09</v>
      </c>
      <c r="L20" s="81">
        <f>VLOOKUP($B20,Rentroll!$C$11:$X$29,17,FALSE)</f>
        <v>0</v>
      </c>
      <c r="M20" s="84">
        <f>VLOOKUP($B20,Rentroll!$C$11:$X$29,18,FALSE)</f>
        <v>3</v>
      </c>
      <c r="N20" s="20"/>
      <c r="O20" s="74">
        <f t="shared" ref="O20:O37" si="19">B20</f>
        <v>16</v>
      </c>
      <c r="P20" s="75"/>
      <c r="Q20" s="75"/>
      <c r="R20" s="75">
        <f t="shared" ref="R20:AG35" si="20">IF(R$14&lt;EOMONTH($E20,1),1,0)*R$11</f>
        <v>0</v>
      </c>
      <c r="S20" s="75">
        <f t="shared" si="12"/>
        <v>1</v>
      </c>
      <c r="T20" s="75">
        <f t="shared" si="12"/>
        <v>1</v>
      </c>
      <c r="U20" s="75">
        <f t="shared" si="12"/>
        <v>1</v>
      </c>
      <c r="V20" s="75">
        <f t="shared" si="12"/>
        <v>1</v>
      </c>
      <c r="W20" s="75">
        <f t="shared" si="12"/>
        <v>1</v>
      </c>
      <c r="X20" s="75">
        <f t="shared" si="12"/>
        <v>1</v>
      </c>
      <c r="Y20" s="75">
        <f t="shared" si="12"/>
        <v>1</v>
      </c>
      <c r="Z20" s="75">
        <f t="shared" si="12"/>
        <v>1</v>
      </c>
      <c r="AA20" s="75">
        <f t="shared" si="12"/>
        <v>1</v>
      </c>
      <c r="AB20" s="75">
        <f t="shared" si="12"/>
        <v>1</v>
      </c>
      <c r="AC20" s="75">
        <f t="shared" si="12"/>
        <v>1</v>
      </c>
      <c r="AD20" s="75">
        <f t="shared" si="12"/>
        <v>1</v>
      </c>
      <c r="AE20" s="75">
        <f t="shared" si="12"/>
        <v>1</v>
      </c>
      <c r="AF20" s="75">
        <f t="shared" si="12"/>
        <v>1</v>
      </c>
      <c r="AG20" s="75">
        <f t="shared" si="12"/>
        <v>1</v>
      </c>
      <c r="AH20" s="75">
        <f t="shared" si="12"/>
        <v>1</v>
      </c>
      <c r="AI20" s="75">
        <f t="shared" si="13"/>
        <v>1</v>
      </c>
      <c r="AJ20" s="75">
        <f t="shared" si="13"/>
        <v>1</v>
      </c>
      <c r="AK20" s="75">
        <f t="shared" si="13"/>
        <v>1</v>
      </c>
      <c r="AL20" s="75">
        <f t="shared" si="13"/>
        <v>1</v>
      </c>
      <c r="AM20" s="75">
        <f t="shared" si="13"/>
        <v>1</v>
      </c>
      <c r="AN20" s="75">
        <f t="shared" si="13"/>
        <v>1</v>
      </c>
      <c r="AO20" s="75">
        <f t="shared" si="13"/>
        <v>1</v>
      </c>
      <c r="AP20" s="75">
        <f t="shared" si="13"/>
        <v>1</v>
      </c>
      <c r="AQ20" s="75">
        <f t="shared" si="13"/>
        <v>1</v>
      </c>
      <c r="AR20" s="75">
        <f t="shared" si="13"/>
        <v>1</v>
      </c>
      <c r="AS20" s="75">
        <f t="shared" si="13"/>
        <v>1</v>
      </c>
      <c r="AT20" s="75">
        <f t="shared" si="13"/>
        <v>1</v>
      </c>
      <c r="AU20" s="75">
        <f t="shared" si="13"/>
        <v>1</v>
      </c>
      <c r="AV20" s="75">
        <f t="shared" si="13"/>
        <v>1</v>
      </c>
      <c r="AW20" s="75">
        <f t="shared" si="13"/>
        <v>1</v>
      </c>
      <c r="AX20" s="75">
        <f t="shared" si="13"/>
        <v>1</v>
      </c>
      <c r="AY20" s="75">
        <f t="shared" si="14"/>
        <v>1</v>
      </c>
      <c r="AZ20" s="75">
        <f t="shared" si="14"/>
        <v>1</v>
      </c>
      <c r="BA20" s="75">
        <f t="shared" si="14"/>
        <v>1</v>
      </c>
      <c r="BB20" s="75">
        <f t="shared" si="14"/>
        <v>1</v>
      </c>
      <c r="BC20" s="75">
        <f t="shared" si="14"/>
        <v>1</v>
      </c>
      <c r="BD20" s="75">
        <f t="shared" si="14"/>
        <v>1</v>
      </c>
      <c r="BE20" s="75">
        <f t="shared" si="14"/>
        <v>1</v>
      </c>
      <c r="BF20" s="75">
        <f t="shared" si="14"/>
        <v>1</v>
      </c>
      <c r="BG20" s="75">
        <f t="shared" si="14"/>
        <v>1</v>
      </c>
      <c r="BH20" s="75">
        <f t="shared" si="14"/>
        <v>1</v>
      </c>
      <c r="BI20" s="75">
        <f t="shared" si="14"/>
        <v>1</v>
      </c>
      <c r="BJ20" s="75">
        <f t="shared" si="14"/>
        <v>1</v>
      </c>
      <c r="BK20" s="75">
        <f t="shared" si="14"/>
        <v>1</v>
      </c>
      <c r="BL20" s="75">
        <f t="shared" si="14"/>
        <v>1</v>
      </c>
      <c r="BM20" s="75">
        <f t="shared" si="14"/>
        <v>1</v>
      </c>
      <c r="BN20" s="75">
        <f t="shared" si="14"/>
        <v>1</v>
      </c>
      <c r="BO20" s="75">
        <f t="shared" si="15"/>
        <v>0</v>
      </c>
      <c r="BP20" s="75">
        <f t="shared" si="15"/>
        <v>0</v>
      </c>
      <c r="BQ20" s="75">
        <f t="shared" si="15"/>
        <v>0</v>
      </c>
      <c r="BR20" s="75">
        <f t="shared" si="15"/>
        <v>0</v>
      </c>
      <c r="BS20" s="75">
        <f t="shared" si="15"/>
        <v>0</v>
      </c>
      <c r="BT20" s="75">
        <f t="shared" si="15"/>
        <v>0</v>
      </c>
      <c r="BU20" s="75">
        <f t="shared" si="15"/>
        <v>0</v>
      </c>
      <c r="BV20" s="75">
        <f t="shared" si="15"/>
        <v>0</v>
      </c>
      <c r="BW20" s="75">
        <f t="shared" si="15"/>
        <v>0</v>
      </c>
      <c r="BX20" s="75">
        <f t="shared" si="15"/>
        <v>0</v>
      </c>
      <c r="BY20" s="75">
        <f t="shared" si="15"/>
        <v>0</v>
      </c>
      <c r="BZ20" s="75">
        <f t="shared" si="15"/>
        <v>0</v>
      </c>
      <c r="CA20" s="75">
        <f t="shared" si="15"/>
        <v>0</v>
      </c>
      <c r="CB20" s="75">
        <f t="shared" si="15"/>
        <v>0</v>
      </c>
      <c r="CC20" s="75">
        <f t="shared" si="15"/>
        <v>0</v>
      </c>
      <c r="CD20" s="75">
        <f t="shared" si="15"/>
        <v>0</v>
      </c>
      <c r="CE20" s="75">
        <f t="shared" si="16"/>
        <v>0</v>
      </c>
      <c r="CF20" s="75">
        <f t="shared" si="16"/>
        <v>0</v>
      </c>
      <c r="CG20" s="75">
        <f t="shared" si="16"/>
        <v>0</v>
      </c>
      <c r="CH20" s="75">
        <f t="shared" si="16"/>
        <v>0</v>
      </c>
      <c r="CI20" s="75">
        <f t="shared" si="16"/>
        <v>0</v>
      </c>
      <c r="CJ20" s="75">
        <f t="shared" si="16"/>
        <v>0</v>
      </c>
      <c r="CK20" s="75">
        <f t="shared" si="16"/>
        <v>0</v>
      </c>
      <c r="CL20" s="75">
        <f t="shared" si="16"/>
        <v>0</v>
      </c>
      <c r="CM20" s="75">
        <f t="shared" si="16"/>
        <v>0</v>
      </c>
      <c r="CN20" s="75">
        <f t="shared" si="16"/>
        <v>0</v>
      </c>
      <c r="CO20" s="75">
        <f t="shared" si="16"/>
        <v>0</v>
      </c>
      <c r="CP20" s="75">
        <f t="shared" si="16"/>
        <v>0</v>
      </c>
      <c r="CQ20" s="75">
        <f t="shared" si="16"/>
        <v>0</v>
      </c>
      <c r="CR20" s="75">
        <f t="shared" si="16"/>
        <v>0</v>
      </c>
      <c r="CS20" s="75">
        <f t="shared" si="16"/>
        <v>0</v>
      </c>
      <c r="CT20" s="75">
        <f t="shared" si="16"/>
        <v>0</v>
      </c>
      <c r="CU20" s="75">
        <f t="shared" si="17"/>
        <v>0</v>
      </c>
      <c r="CV20" s="75">
        <f t="shared" si="17"/>
        <v>0</v>
      </c>
      <c r="CW20" s="75">
        <f t="shared" si="17"/>
        <v>0</v>
      </c>
      <c r="CX20" s="75">
        <f t="shared" si="17"/>
        <v>0</v>
      </c>
      <c r="CY20" s="75">
        <f t="shared" si="17"/>
        <v>0</v>
      </c>
      <c r="CZ20" s="75">
        <f t="shared" si="17"/>
        <v>0</v>
      </c>
      <c r="DA20" s="75">
        <f t="shared" si="17"/>
        <v>0</v>
      </c>
      <c r="DB20" s="75">
        <f t="shared" si="17"/>
        <v>0</v>
      </c>
      <c r="DC20" s="75">
        <f t="shared" si="17"/>
        <v>0</v>
      </c>
      <c r="DD20" s="75">
        <f t="shared" si="17"/>
        <v>0</v>
      </c>
      <c r="DE20" s="75">
        <f t="shared" si="17"/>
        <v>0</v>
      </c>
      <c r="DF20" s="75">
        <f t="shared" si="17"/>
        <v>0</v>
      </c>
      <c r="DG20" s="75">
        <f t="shared" si="17"/>
        <v>0</v>
      </c>
      <c r="DH20" s="75">
        <f t="shared" si="17"/>
        <v>0</v>
      </c>
      <c r="DI20" s="75">
        <f t="shared" si="17"/>
        <v>0</v>
      </c>
      <c r="DJ20" s="75">
        <f t="shared" si="17"/>
        <v>0</v>
      </c>
      <c r="DK20" s="75">
        <f t="shared" si="18"/>
        <v>0</v>
      </c>
      <c r="DL20" s="75">
        <f t="shared" si="18"/>
        <v>0</v>
      </c>
    </row>
    <row r="21" spans="2:116">
      <c r="B21" s="27">
        <f>Rentroll!$C$13</f>
        <v>15</v>
      </c>
      <c r="C21" s="69" t="str">
        <f>VLOOKUP($B21,Rentroll!$C$11:$X$29,3,FALSE)</f>
        <v>모빌리티 테크놀로지</v>
      </c>
      <c r="D21" s="80">
        <f>VLOOKUP($B21,Rentroll!$C$11:$X$29,9,FALSE)</f>
        <v>44042</v>
      </c>
      <c r="E21" s="80">
        <f>VLOOKUP($B21,Rentroll!$C$11:$X$29,10,FALSE)</f>
        <v>45869</v>
      </c>
      <c r="F21" s="81">
        <f>VLOOKUP($B21,Rentroll!$C$11:$X$29,11,FALSE)</f>
        <v>60</v>
      </c>
      <c r="G21" s="69">
        <f>VLOOKUP($B21,Rentroll!$C$11:$X$29,13,FALSE)</f>
        <v>90041</v>
      </c>
      <c r="H21" s="69">
        <f>VLOOKUP($B21,Rentroll!$C$11:$X$29,14,FALSE)</f>
        <v>67530.75</v>
      </c>
      <c r="I21" s="69">
        <f>VLOOKUP($B21,Rentroll!$C$11:$X$29,15,FALSE)</f>
        <v>45020</v>
      </c>
      <c r="J21" s="82">
        <f>VLOOKUP($B21,Rentroll!$C$11:$X$29,19,FALSE)</f>
        <v>0.03</v>
      </c>
      <c r="K21" s="83">
        <f>VLOOKUP($B21,Rentroll!$C$11:$X$29,4,FALSE)</f>
        <v>1385.09</v>
      </c>
      <c r="L21" s="81">
        <f>VLOOKUP($B21,Rentroll!$C$11:$X$29,17,FALSE)</f>
        <v>0</v>
      </c>
      <c r="M21" s="84">
        <f>VLOOKUP($B21,Rentroll!$C$11:$X$29,18,FALSE)</f>
        <v>3</v>
      </c>
      <c r="O21" s="74">
        <f t="shared" si="19"/>
        <v>15</v>
      </c>
      <c r="P21" s="75"/>
      <c r="Q21" s="75"/>
      <c r="R21" s="75">
        <f t="shared" si="20"/>
        <v>0</v>
      </c>
      <c r="S21" s="75">
        <f t="shared" si="12"/>
        <v>1</v>
      </c>
      <c r="T21" s="75">
        <f t="shared" si="12"/>
        <v>1</v>
      </c>
      <c r="U21" s="75">
        <f t="shared" si="12"/>
        <v>1</v>
      </c>
      <c r="V21" s="75">
        <f t="shared" si="12"/>
        <v>1</v>
      </c>
      <c r="W21" s="75">
        <f t="shared" si="12"/>
        <v>1</v>
      </c>
      <c r="X21" s="75">
        <f t="shared" si="12"/>
        <v>1</v>
      </c>
      <c r="Y21" s="75">
        <f t="shared" si="12"/>
        <v>0</v>
      </c>
      <c r="Z21" s="75">
        <f t="shared" si="12"/>
        <v>0</v>
      </c>
      <c r="AA21" s="75">
        <f t="shared" si="12"/>
        <v>0</v>
      </c>
      <c r="AB21" s="75">
        <f t="shared" si="12"/>
        <v>0</v>
      </c>
      <c r="AC21" s="75">
        <f t="shared" si="12"/>
        <v>0</v>
      </c>
      <c r="AD21" s="75">
        <f t="shared" si="12"/>
        <v>0</v>
      </c>
      <c r="AE21" s="75">
        <f t="shared" si="12"/>
        <v>0</v>
      </c>
      <c r="AF21" s="75">
        <f t="shared" si="12"/>
        <v>0</v>
      </c>
      <c r="AG21" s="75">
        <f t="shared" si="12"/>
        <v>0</v>
      </c>
      <c r="AH21" s="75">
        <f t="shared" si="12"/>
        <v>0</v>
      </c>
      <c r="AI21" s="75">
        <f t="shared" si="13"/>
        <v>0</v>
      </c>
      <c r="AJ21" s="75">
        <f t="shared" si="13"/>
        <v>0</v>
      </c>
      <c r="AK21" s="75">
        <f t="shared" si="13"/>
        <v>0</v>
      </c>
      <c r="AL21" s="75">
        <f t="shared" si="13"/>
        <v>0</v>
      </c>
      <c r="AM21" s="75">
        <f t="shared" si="13"/>
        <v>0</v>
      </c>
      <c r="AN21" s="75">
        <f t="shared" si="13"/>
        <v>0</v>
      </c>
      <c r="AO21" s="75">
        <f t="shared" si="13"/>
        <v>0</v>
      </c>
      <c r="AP21" s="75">
        <f t="shared" si="13"/>
        <v>0</v>
      </c>
      <c r="AQ21" s="75">
        <f t="shared" si="13"/>
        <v>0</v>
      </c>
      <c r="AR21" s="75">
        <f t="shared" si="13"/>
        <v>0</v>
      </c>
      <c r="AS21" s="75">
        <f t="shared" si="13"/>
        <v>0</v>
      </c>
      <c r="AT21" s="75">
        <f t="shared" si="13"/>
        <v>0</v>
      </c>
      <c r="AU21" s="75">
        <f t="shared" si="13"/>
        <v>0</v>
      </c>
      <c r="AV21" s="75">
        <f t="shared" si="13"/>
        <v>0</v>
      </c>
      <c r="AW21" s="75">
        <f t="shared" si="13"/>
        <v>0</v>
      </c>
      <c r="AX21" s="75">
        <f t="shared" si="13"/>
        <v>0</v>
      </c>
      <c r="AY21" s="75">
        <f t="shared" si="14"/>
        <v>0</v>
      </c>
      <c r="AZ21" s="75">
        <f t="shared" si="14"/>
        <v>0</v>
      </c>
      <c r="BA21" s="75">
        <f t="shared" si="14"/>
        <v>0</v>
      </c>
      <c r="BB21" s="75">
        <f t="shared" si="14"/>
        <v>0</v>
      </c>
      <c r="BC21" s="75">
        <f t="shared" si="14"/>
        <v>0</v>
      </c>
      <c r="BD21" s="75">
        <f t="shared" si="14"/>
        <v>0</v>
      </c>
      <c r="BE21" s="75">
        <f t="shared" si="14"/>
        <v>0</v>
      </c>
      <c r="BF21" s="75">
        <f t="shared" si="14"/>
        <v>0</v>
      </c>
      <c r="BG21" s="75">
        <f t="shared" si="14"/>
        <v>0</v>
      </c>
      <c r="BH21" s="75">
        <f t="shared" si="14"/>
        <v>0</v>
      </c>
      <c r="BI21" s="75">
        <f t="shared" si="14"/>
        <v>0</v>
      </c>
      <c r="BJ21" s="75">
        <f t="shared" si="14"/>
        <v>0</v>
      </c>
      <c r="BK21" s="75">
        <f t="shared" si="14"/>
        <v>0</v>
      </c>
      <c r="BL21" s="75">
        <f t="shared" si="14"/>
        <v>0</v>
      </c>
      <c r="BM21" s="75">
        <f t="shared" si="14"/>
        <v>0</v>
      </c>
      <c r="BN21" s="75">
        <f t="shared" si="14"/>
        <v>0</v>
      </c>
      <c r="BO21" s="75">
        <f t="shared" si="15"/>
        <v>0</v>
      </c>
      <c r="BP21" s="75">
        <f t="shared" si="15"/>
        <v>0</v>
      </c>
      <c r="BQ21" s="75">
        <f t="shared" si="15"/>
        <v>0</v>
      </c>
      <c r="BR21" s="75">
        <f t="shared" si="15"/>
        <v>0</v>
      </c>
      <c r="BS21" s="75">
        <f t="shared" si="15"/>
        <v>0</v>
      </c>
      <c r="BT21" s="75">
        <f t="shared" si="15"/>
        <v>0</v>
      </c>
      <c r="BU21" s="75">
        <f t="shared" si="15"/>
        <v>0</v>
      </c>
      <c r="BV21" s="75">
        <f t="shared" si="15"/>
        <v>0</v>
      </c>
      <c r="BW21" s="75">
        <f t="shared" si="15"/>
        <v>0</v>
      </c>
      <c r="BX21" s="75">
        <f t="shared" si="15"/>
        <v>0</v>
      </c>
      <c r="BY21" s="75">
        <f t="shared" si="15"/>
        <v>0</v>
      </c>
      <c r="BZ21" s="75">
        <f t="shared" si="15"/>
        <v>0</v>
      </c>
      <c r="CA21" s="75">
        <f t="shared" si="15"/>
        <v>0</v>
      </c>
      <c r="CB21" s="75">
        <f t="shared" si="15"/>
        <v>0</v>
      </c>
      <c r="CC21" s="75">
        <f t="shared" si="15"/>
        <v>0</v>
      </c>
      <c r="CD21" s="75">
        <f t="shared" si="15"/>
        <v>0</v>
      </c>
      <c r="CE21" s="75">
        <f t="shared" si="16"/>
        <v>0</v>
      </c>
      <c r="CF21" s="75">
        <f t="shared" si="16"/>
        <v>0</v>
      </c>
      <c r="CG21" s="75">
        <f t="shared" si="16"/>
        <v>0</v>
      </c>
      <c r="CH21" s="75">
        <f t="shared" si="16"/>
        <v>0</v>
      </c>
      <c r="CI21" s="75">
        <f t="shared" si="16"/>
        <v>0</v>
      </c>
      <c r="CJ21" s="75">
        <f t="shared" si="16"/>
        <v>0</v>
      </c>
      <c r="CK21" s="75">
        <f t="shared" si="16"/>
        <v>0</v>
      </c>
      <c r="CL21" s="75">
        <f t="shared" si="16"/>
        <v>0</v>
      </c>
      <c r="CM21" s="75">
        <f t="shared" si="16"/>
        <v>0</v>
      </c>
      <c r="CN21" s="75">
        <f t="shared" si="16"/>
        <v>0</v>
      </c>
      <c r="CO21" s="75">
        <f t="shared" si="16"/>
        <v>0</v>
      </c>
      <c r="CP21" s="75">
        <f t="shared" si="16"/>
        <v>0</v>
      </c>
      <c r="CQ21" s="75">
        <f t="shared" si="16"/>
        <v>0</v>
      </c>
      <c r="CR21" s="75">
        <f t="shared" si="16"/>
        <v>0</v>
      </c>
      <c r="CS21" s="75">
        <f t="shared" si="16"/>
        <v>0</v>
      </c>
      <c r="CT21" s="75">
        <f t="shared" si="16"/>
        <v>0</v>
      </c>
      <c r="CU21" s="75">
        <f t="shared" si="17"/>
        <v>0</v>
      </c>
      <c r="CV21" s="75">
        <f t="shared" si="17"/>
        <v>0</v>
      </c>
      <c r="CW21" s="75">
        <f t="shared" si="17"/>
        <v>0</v>
      </c>
      <c r="CX21" s="75">
        <f t="shared" si="17"/>
        <v>0</v>
      </c>
      <c r="CY21" s="75">
        <f t="shared" si="17"/>
        <v>0</v>
      </c>
      <c r="CZ21" s="75">
        <f t="shared" si="17"/>
        <v>0</v>
      </c>
      <c r="DA21" s="75">
        <f t="shared" si="17"/>
        <v>0</v>
      </c>
      <c r="DB21" s="75">
        <f t="shared" si="17"/>
        <v>0</v>
      </c>
      <c r="DC21" s="75">
        <f t="shared" si="17"/>
        <v>0</v>
      </c>
      <c r="DD21" s="75">
        <f t="shared" si="17"/>
        <v>0</v>
      </c>
      <c r="DE21" s="75">
        <f t="shared" si="17"/>
        <v>0</v>
      </c>
      <c r="DF21" s="75">
        <f t="shared" si="17"/>
        <v>0</v>
      </c>
      <c r="DG21" s="75">
        <f t="shared" si="17"/>
        <v>0</v>
      </c>
      <c r="DH21" s="75">
        <f t="shared" si="17"/>
        <v>0</v>
      </c>
      <c r="DI21" s="75">
        <f t="shared" si="17"/>
        <v>0</v>
      </c>
      <c r="DJ21" s="75">
        <f t="shared" si="17"/>
        <v>0</v>
      </c>
      <c r="DK21" s="75">
        <f t="shared" si="18"/>
        <v>0</v>
      </c>
      <c r="DL21" s="75">
        <f t="shared" si="18"/>
        <v>0</v>
      </c>
    </row>
    <row r="22" spans="2:116">
      <c r="B22" s="27">
        <f>Rentroll!$C$14</f>
        <v>14</v>
      </c>
      <c r="C22" s="69" t="str">
        <f>VLOOKUP($B22,Rentroll!$C$11:$X$29,3,FALSE)</f>
        <v>모빌리티 테크놀로지</v>
      </c>
      <c r="D22" s="80">
        <f>VLOOKUP($B22,Rentroll!$C$11:$X$29,9,FALSE)</f>
        <v>44043</v>
      </c>
      <c r="E22" s="80">
        <f>VLOOKUP($B22,Rentroll!$C$11:$X$29,10,FALSE)</f>
        <v>45868</v>
      </c>
      <c r="F22" s="81">
        <f>VLOOKUP($B22,Rentroll!$C$11:$X$29,11,FALSE)</f>
        <v>60</v>
      </c>
      <c r="G22" s="69">
        <f>VLOOKUP($B22,Rentroll!$C$11:$X$29,13,FALSE)</f>
        <v>90041</v>
      </c>
      <c r="H22" s="69">
        <f>VLOOKUP($B22,Rentroll!$C$11:$X$29,14,FALSE)</f>
        <v>67530.75</v>
      </c>
      <c r="I22" s="69">
        <f>VLOOKUP($B22,Rentroll!$C$11:$X$29,15,FALSE)</f>
        <v>45020</v>
      </c>
      <c r="J22" s="82">
        <f>VLOOKUP($B22,Rentroll!$C$11:$X$29,19,FALSE)</f>
        <v>0.03</v>
      </c>
      <c r="K22" s="83">
        <f>VLOOKUP($B22,Rentroll!$C$11:$X$29,4,FALSE)</f>
        <v>1385.09</v>
      </c>
      <c r="L22" s="81">
        <f>VLOOKUP($B22,Rentroll!$C$11:$X$29,17,FALSE)</f>
        <v>0</v>
      </c>
      <c r="M22" s="84">
        <f>VLOOKUP($B22,Rentroll!$C$11:$X$29,18,FALSE)</f>
        <v>3</v>
      </c>
      <c r="O22" s="74">
        <f t="shared" si="19"/>
        <v>14</v>
      </c>
      <c r="P22" s="75"/>
      <c r="Q22" s="75"/>
      <c r="R22" s="75">
        <f t="shared" si="20"/>
        <v>0</v>
      </c>
      <c r="S22" s="75">
        <f t="shared" si="12"/>
        <v>1</v>
      </c>
      <c r="T22" s="75">
        <f t="shared" si="12"/>
        <v>1</v>
      </c>
      <c r="U22" s="75">
        <f t="shared" si="12"/>
        <v>1</v>
      </c>
      <c r="V22" s="75">
        <f t="shared" si="12"/>
        <v>1</v>
      </c>
      <c r="W22" s="75">
        <f t="shared" si="12"/>
        <v>1</v>
      </c>
      <c r="X22" s="75">
        <f t="shared" si="12"/>
        <v>1</v>
      </c>
      <c r="Y22" s="75">
        <f t="shared" si="12"/>
        <v>0</v>
      </c>
      <c r="Z22" s="75">
        <f t="shared" si="12"/>
        <v>0</v>
      </c>
      <c r="AA22" s="75">
        <f t="shared" si="12"/>
        <v>0</v>
      </c>
      <c r="AB22" s="75">
        <f t="shared" si="12"/>
        <v>0</v>
      </c>
      <c r="AC22" s="75">
        <f t="shared" si="12"/>
        <v>0</v>
      </c>
      <c r="AD22" s="75">
        <f t="shared" si="12"/>
        <v>0</v>
      </c>
      <c r="AE22" s="75">
        <f t="shared" si="12"/>
        <v>0</v>
      </c>
      <c r="AF22" s="75">
        <f t="shared" si="12"/>
        <v>0</v>
      </c>
      <c r="AG22" s="75">
        <f t="shared" si="12"/>
        <v>0</v>
      </c>
      <c r="AH22" s="75">
        <f t="shared" si="12"/>
        <v>0</v>
      </c>
      <c r="AI22" s="75">
        <f t="shared" si="13"/>
        <v>0</v>
      </c>
      <c r="AJ22" s="75">
        <f t="shared" si="13"/>
        <v>0</v>
      </c>
      <c r="AK22" s="75">
        <f t="shared" si="13"/>
        <v>0</v>
      </c>
      <c r="AL22" s="75">
        <f t="shared" si="13"/>
        <v>0</v>
      </c>
      <c r="AM22" s="75">
        <f t="shared" si="13"/>
        <v>0</v>
      </c>
      <c r="AN22" s="75">
        <f t="shared" si="13"/>
        <v>0</v>
      </c>
      <c r="AO22" s="75">
        <f t="shared" si="13"/>
        <v>0</v>
      </c>
      <c r="AP22" s="75">
        <f t="shared" si="13"/>
        <v>0</v>
      </c>
      <c r="AQ22" s="75">
        <f t="shared" si="13"/>
        <v>0</v>
      </c>
      <c r="AR22" s="75">
        <f t="shared" si="13"/>
        <v>0</v>
      </c>
      <c r="AS22" s="75">
        <f t="shared" si="13"/>
        <v>0</v>
      </c>
      <c r="AT22" s="75">
        <f t="shared" si="13"/>
        <v>0</v>
      </c>
      <c r="AU22" s="75">
        <f t="shared" si="13"/>
        <v>0</v>
      </c>
      <c r="AV22" s="75">
        <f t="shared" si="13"/>
        <v>0</v>
      </c>
      <c r="AW22" s="75">
        <f t="shared" si="13"/>
        <v>0</v>
      </c>
      <c r="AX22" s="75">
        <f t="shared" si="13"/>
        <v>0</v>
      </c>
      <c r="AY22" s="75">
        <f t="shared" si="14"/>
        <v>0</v>
      </c>
      <c r="AZ22" s="75">
        <f t="shared" si="14"/>
        <v>0</v>
      </c>
      <c r="BA22" s="75">
        <f t="shared" si="14"/>
        <v>0</v>
      </c>
      <c r="BB22" s="75">
        <f t="shared" si="14"/>
        <v>0</v>
      </c>
      <c r="BC22" s="75">
        <f t="shared" si="14"/>
        <v>0</v>
      </c>
      <c r="BD22" s="75">
        <f t="shared" si="14"/>
        <v>0</v>
      </c>
      <c r="BE22" s="75">
        <f t="shared" si="14"/>
        <v>0</v>
      </c>
      <c r="BF22" s="75">
        <f t="shared" si="14"/>
        <v>0</v>
      </c>
      <c r="BG22" s="75">
        <f t="shared" si="14"/>
        <v>0</v>
      </c>
      <c r="BH22" s="75">
        <f t="shared" si="14"/>
        <v>0</v>
      </c>
      <c r="BI22" s="75">
        <f t="shared" si="14"/>
        <v>0</v>
      </c>
      <c r="BJ22" s="75">
        <f t="shared" si="14"/>
        <v>0</v>
      </c>
      <c r="BK22" s="75">
        <f t="shared" si="14"/>
        <v>0</v>
      </c>
      <c r="BL22" s="75">
        <f t="shared" si="14"/>
        <v>0</v>
      </c>
      <c r="BM22" s="75">
        <f t="shared" si="14"/>
        <v>0</v>
      </c>
      <c r="BN22" s="75">
        <f t="shared" si="14"/>
        <v>0</v>
      </c>
      <c r="BO22" s="75">
        <f t="shared" si="15"/>
        <v>0</v>
      </c>
      <c r="BP22" s="75">
        <f t="shared" si="15"/>
        <v>0</v>
      </c>
      <c r="BQ22" s="75">
        <f t="shared" si="15"/>
        <v>0</v>
      </c>
      <c r="BR22" s="75">
        <f t="shared" si="15"/>
        <v>0</v>
      </c>
      <c r="BS22" s="75">
        <f t="shared" si="15"/>
        <v>0</v>
      </c>
      <c r="BT22" s="75">
        <f t="shared" si="15"/>
        <v>0</v>
      </c>
      <c r="BU22" s="75">
        <f t="shared" si="15"/>
        <v>0</v>
      </c>
      <c r="BV22" s="75">
        <f t="shared" si="15"/>
        <v>0</v>
      </c>
      <c r="BW22" s="75">
        <f t="shared" si="15"/>
        <v>0</v>
      </c>
      <c r="BX22" s="75">
        <f t="shared" si="15"/>
        <v>0</v>
      </c>
      <c r="BY22" s="75">
        <f t="shared" si="15"/>
        <v>0</v>
      </c>
      <c r="BZ22" s="75">
        <f t="shared" si="15"/>
        <v>0</v>
      </c>
      <c r="CA22" s="75">
        <f t="shared" si="15"/>
        <v>0</v>
      </c>
      <c r="CB22" s="75">
        <f t="shared" si="15"/>
        <v>0</v>
      </c>
      <c r="CC22" s="75">
        <f t="shared" si="15"/>
        <v>0</v>
      </c>
      <c r="CD22" s="75">
        <f t="shared" si="15"/>
        <v>0</v>
      </c>
      <c r="CE22" s="75">
        <f t="shared" si="16"/>
        <v>0</v>
      </c>
      <c r="CF22" s="75">
        <f t="shared" si="16"/>
        <v>0</v>
      </c>
      <c r="CG22" s="75">
        <f t="shared" si="16"/>
        <v>0</v>
      </c>
      <c r="CH22" s="75">
        <f t="shared" si="16"/>
        <v>0</v>
      </c>
      <c r="CI22" s="75">
        <f t="shared" si="16"/>
        <v>0</v>
      </c>
      <c r="CJ22" s="75">
        <f t="shared" si="16"/>
        <v>0</v>
      </c>
      <c r="CK22" s="75">
        <f t="shared" si="16"/>
        <v>0</v>
      </c>
      <c r="CL22" s="75">
        <f t="shared" si="16"/>
        <v>0</v>
      </c>
      <c r="CM22" s="75">
        <f t="shared" si="16"/>
        <v>0</v>
      </c>
      <c r="CN22" s="75">
        <f t="shared" si="16"/>
        <v>0</v>
      </c>
      <c r="CO22" s="75">
        <f t="shared" si="16"/>
        <v>0</v>
      </c>
      <c r="CP22" s="75">
        <f t="shared" si="16"/>
        <v>0</v>
      </c>
      <c r="CQ22" s="75">
        <f t="shared" si="16"/>
        <v>0</v>
      </c>
      <c r="CR22" s="75">
        <f t="shared" si="16"/>
        <v>0</v>
      </c>
      <c r="CS22" s="75">
        <f t="shared" si="16"/>
        <v>0</v>
      </c>
      <c r="CT22" s="75">
        <f t="shared" si="16"/>
        <v>0</v>
      </c>
      <c r="CU22" s="75">
        <f t="shared" si="17"/>
        <v>0</v>
      </c>
      <c r="CV22" s="75">
        <f t="shared" si="17"/>
        <v>0</v>
      </c>
      <c r="CW22" s="75">
        <f t="shared" si="17"/>
        <v>0</v>
      </c>
      <c r="CX22" s="75">
        <f t="shared" si="17"/>
        <v>0</v>
      </c>
      <c r="CY22" s="75">
        <f t="shared" si="17"/>
        <v>0</v>
      </c>
      <c r="CZ22" s="75">
        <f t="shared" si="17"/>
        <v>0</v>
      </c>
      <c r="DA22" s="75">
        <f t="shared" si="17"/>
        <v>0</v>
      </c>
      <c r="DB22" s="75">
        <f t="shared" si="17"/>
        <v>0</v>
      </c>
      <c r="DC22" s="75">
        <f t="shared" si="17"/>
        <v>0</v>
      </c>
      <c r="DD22" s="75">
        <f t="shared" si="17"/>
        <v>0</v>
      </c>
      <c r="DE22" s="75">
        <f t="shared" si="17"/>
        <v>0</v>
      </c>
      <c r="DF22" s="75">
        <f t="shared" si="17"/>
        <v>0</v>
      </c>
      <c r="DG22" s="75">
        <f t="shared" si="17"/>
        <v>0</v>
      </c>
      <c r="DH22" s="75">
        <f t="shared" si="17"/>
        <v>0</v>
      </c>
      <c r="DI22" s="75">
        <f t="shared" si="17"/>
        <v>0</v>
      </c>
      <c r="DJ22" s="75">
        <f t="shared" si="17"/>
        <v>0</v>
      </c>
      <c r="DK22" s="75">
        <f t="shared" si="18"/>
        <v>0</v>
      </c>
      <c r="DL22" s="75">
        <f t="shared" si="18"/>
        <v>0</v>
      </c>
    </row>
    <row r="23" spans="2:116" ht="17">
      <c r="B23" s="27">
        <f>Rentroll!$C$15</f>
        <v>13</v>
      </c>
      <c r="C23" s="69" t="str">
        <f>VLOOKUP($B23,Rentroll!$C$11:$X$29,3,FALSE)</f>
        <v>모빌리티 테크놀로지</v>
      </c>
      <c r="D23" s="80">
        <f>VLOOKUP($B23,Rentroll!$C$11:$X$29,9,FALSE)</f>
        <v>44043</v>
      </c>
      <c r="E23" s="80">
        <f>VLOOKUP($B23,Rentroll!$C$11:$X$29,10,FALSE)</f>
        <v>45868</v>
      </c>
      <c r="F23" s="85">
        <f>VLOOKUP($B23,Rentroll!$C$11:$X$29,11,FALSE)</f>
        <v>60</v>
      </c>
      <c r="G23" s="86">
        <f>VLOOKUP($B23,Rentroll!$C$11:$X$29,13,FALSE)</f>
        <v>90041</v>
      </c>
      <c r="H23" s="69">
        <f>VLOOKUP($B23,Rentroll!$C$11:$X$29,14,FALSE)</f>
        <v>67530.75</v>
      </c>
      <c r="I23" s="69">
        <f>VLOOKUP($B23,Rentroll!$C$11:$X$29,15,FALSE)</f>
        <v>45020</v>
      </c>
      <c r="J23" s="82">
        <f>VLOOKUP($B23,Rentroll!$C$11:$X$29,19,FALSE)</f>
        <v>0.03</v>
      </c>
      <c r="K23" s="83">
        <f>VLOOKUP($B23,Rentroll!$C$11:$X$29,4,FALSE)</f>
        <v>1385.09</v>
      </c>
      <c r="L23" s="81">
        <f>VLOOKUP($B23,Rentroll!$C$11:$X$29,17,FALSE)</f>
        <v>0</v>
      </c>
      <c r="M23" s="84">
        <f>VLOOKUP($B23,Rentroll!$C$11:$X$29,18,FALSE)</f>
        <v>3</v>
      </c>
      <c r="O23" s="74">
        <f t="shared" si="19"/>
        <v>13</v>
      </c>
      <c r="P23" s="75"/>
      <c r="Q23" s="75"/>
      <c r="R23" s="75">
        <f t="shared" si="20"/>
        <v>0</v>
      </c>
      <c r="S23" s="75">
        <f t="shared" si="12"/>
        <v>1</v>
      </c>
      <c r="T23" s="75">
        <f t="shared" si="12"/>
        <v>1</v>
      </c>
      <c r="U23" s="75">
        <f t="shared" si="12"/>
        <v>1</v>
      </c>
      <c r="V23" s="75">
        <f t="shared" si="12"/>
        <v>1</v>
      </c>
      <c r="W23" s="75">
        <f t="shared" si="12"/>
        <v>1</v>
      </c>
      <c r="X23" s="75">
        <f t="shared" si="12"/>
        <v>1</v>
      </c>
      <c r="Y23" s="75">
        <f t="shared" si="12"/>
        <v>0</v>
      </c>
      <c r="Z23" s="75">
        <f t="shared" si="12"/>
        <v>0</v>
      </c>
      <c r="AA23" s="75">
        <f t="shared" si="12"/>
        <v>0</v>
      </c>
      <c r="AB23" s="75">
        <f t="shared" si="12"/>
        <v>0</v>
      </c>
      <c r="AC23" s="75">
        <f t="shared" si="12"/>
        <v>0</v>
      </c>
      <c r="AD23" s="75">
        <f t="shared" si="12"/>
        <v>0</v>
      </c>
      <c r="AE23" s="75">
        <f t="shared" si="12"/>
        <v>0</v>
      </c>
      <c r="AF23" s="75">
        <f t="shared" si="12"/>
        <v>0</v>
      </c>
      <c r="AG23" s="75">
        <f t="shared" si="12"/>
        <v>0</v>
      </c>
      <c r="AH23" s="75">
        <f t="shared" si="12"/>
        <v>0</v>
      </c>
      <c r="AI23" s="75">
        <f t="shared" si="13"/>
        <v>0</v>
      </c>
      <c r="AJ23" s="75">
        <f t="shared" si="13"/>
        <v>0</v>
      </c>
      <c r="AK23" s="75">
        <f t="shared" si="13"/>
        <v>0</v>
      </c>
      <c r="AL23" s="75">
        <f t="shared" si="13"/>
        <v>0</v>
      </c>
      <c r="AM23" s="75">
        <f t="shared" si="13"/>
        <v>0</v>
      </c>
      <c r="AN23" s="75">
        <f t="shared" si="13"/>
        <v>0</v>
      </c>
      <c r="AO23" s="75">
        <f t="shared" si="13"/>
        <v>0</v>
      </c>
      <c r="AP23" s="75">
        <f t="shared" si="13"/>
        <v>0</v>
      </c>
      <c r="AQ23" s="75">
        <f t="shared" si="13"/>
        <v>0</v>
      </c>
      <c r="AR23" s="75">
        <f t="shared" si="13"/>
        <v>0</v>
      </c>
      <c r="AS23" s="75">
        <f t="shared" si="13"/>
        <v>0</v>
      </c>
      <c r="AT23" s="75">
        <f t="shared" si="13"/>
        <v>0</v>
      </c>
      <c r="AU23" s="75">
        <f t="shared" si="13"/>
        <v>0</v>
      </c>
      <c r="AV23" s="75">
        <f t="shared" si="13"/>
        <v>0</v>
      </c>
      <c r="AW23" s="75">
        <f t="shared" si="13"/>
        <v>0</v>
      </c>
      <c r="AX23" s="75">
        <f t="shared" si="13"/>
        <v>0</v>
      </c>
      <c r="AY23" s="75">
        <f t="shared" si="14"/>
        <v>0</v>
      </c>
      <c r="AZ23" s="75">
        <f t="shared" si="14"/>
        <v>0</v>
      </c>
      <c r="BA23" s="75">
        <f t="shared" si="14"/>
        <v>0</v>
      </c>
      <c r="BB23" s="75">
        <f t="shared" si="14"/>
        <v>0</v>
      </c>
      <c r="BC23" s="75">
        <f t="shared" si="14"/>
        <v>0</v>
      </c>
      <c r="BD23" s="75">
        <f t="shared" si="14"/>
        <v>0</v>
      </c>
      <c r="BE23" s="75">
        <f t="shared" si="14"/>
        <v>0</v>
      </c>
      <c r="BF23" s="75">
        <f t="shared" si="14"/>
        <v>0</v>
      </c>
      <c r="BG23" s="75">
        <f t="shared" si="14"/>
        <v>0</v>
      </c>
      <c r="BH23" s="75">
        <f t="shared" si="14"/>
        <v>0</v>
      </c>
      <c r="BI23" s="75">
        <f t="shared" si="14"/>
        <v>0</v>
      </c>
      <c r="BJ23" s="75">
        <f t="shared" si="14"/>
        <v>0</v>
      </c>
      <c r="BK23" s="75">
        <f t="shared" si="14"/>
        <v>0</v>
      </c>
      <c r="BL23" s="75">
        <f t="shared" si="14"/>
        <v>0</v>
      </c>
      <c r="BM23" s="75">
        <f t="shared" si="14"/>
        <v>0</v>
      </c>
      <c r="BN23" s="75">
        <f t="shared" si="14"/>
        <v>0</v>
      </c>
      <c r="BO23" s="75">
        <f t="shared" si="15"/>
        <v>0</v>
      </c>
      <c r="BP23" s="75">
        <f t="shared" si="15"/>
        <v>0</v>
      </c>
      <c r="BQ23" s="75">
        <f t="shared" si="15"/>
        <v>0</v>
      </c>
      <c r="BR23" s="75">
        <f t="shared" si="15"/>
        <v>0</v>
      </c>
      <c r="BS23" s="75">
        <f t="shared" si="15"/>
        <v>0</v>
      </c>
      <c r="BT23" s="75">
        <f t="shared" si="15"/>
        <v>0</v>
      </c>
      <c r="BU23" s="75">
        <f t="shared" si="15"/>
        <v>0</v>
      </c>
      <c r="BV23" s="75">
        <f t="shared" si="15"/>
        <v>0</v>
      </c>
      <c r="BW23" s="75">
        <f t="shared" si="15"/>
        <v>0</v>
      </c>
      <c r="BX23" s="75">
        <f t="shared" si="15"/>
        <v>0</v>
      </c>
      <c r="BY23" s="75">
        <f t="shared" si="15"/>
        <v>0</v>
      </c>
      <c r="BZ23" s="75">
        <f t="shared" si="15"/>
        <v>0</v>
      </c>
      <c r="CA23" s="75">
        <f t="shared" si="15"/>
        <v>0</v>
      </c>
      <c r="CB23" s="75">
        <f t="shared" si="15"/>
        <v>0</v>
      </c>
      <c r="CC23" s="75">
        <f t="shared" si="15"/>
        <v>0</v>
      </c>
      <c r="CD23" s="75">
        <f t="shared" si="15"/>
        <v>0</v>
      </c>
      <c r="CE23" s="75">
        <f t="shared" si="16"/>
        <v>0</v>
      </c>
      <c r="CF23" s="75">
        <f t="shared" si="16"/>
        <v>0</v>
      </c>
      <c r="CG23" s="75">
        <f t="shared" si="16"/>
        <v>0</v>
      </c>
      <c r="CH23" s="75">
        <f t="shared" si="16"/>
        <v>0</v>
      </c>
      <c r="CI23" s="75">
        <f t="shared" si="16"/>
        <v>0</v>
      </c>
      <c r="CJ23" s="75">
        <f t="shared" si="16"/>
        <v>0</v>
      </c>
      <c r="CK23" s="75">
        <f t="shared" si="16"/>
        <v>0</v>
      </c>
      <c r="CL23" s="75">
        <f t="shared" si="16"/>
        <v>0</v>
      </c>
      <c r="CM23" s="75">
        <f t="shared" si="16"/>
        <v>0</v>
      </c>
      <c r="CN23" s="75">
        <f t="shared" si="16"/>
        <v>0</v>
      </c>
      <c r="CO23" s="75">
        <f t="shared" si="16"/>
        <v>0</v>
      </c>
      <c r="CP23" s="75">
        <f t="shared" si="16"/>
        <v>0</v>
      </c>
      <c r="CQ23" s="75">
        <f t="shared" si="16"/>
        <v>0</v>
      </c>
      <c r="CR23" s="75">
        <f t="shared" si="16"/>
        <v>0</v>
      </c>
      <c r="CS23" s="75">
        <f t="shared" si="16"/>
        <v>0</v>
      </c>
      <c r="CT23" s="75">
        <f t="shared" si="16"/>
        <v>0</v>
      </c>
      <c r="CU23" s="75">
        <f t="shared" si="17"/>
        <v>0</v>
      </c>
      <c r="CV23" s="75">
        <f t="shared" si="17"/>
        <v>0</v>
      </c>
      <c r="CW23" s="75">
        <f t="shared" si="17"/>
        <v>0</v>
      </c>
      <c r="CX23" s="75">
        <f t="shared" si="17"/>
        <v>0</v>
      </c>
      <c r="CY23" s="75">
        <f t="shared" si="17"/>
        <v>0</v>
      </c>
      <c r="CZ23" s="75">
        <f t="shared" si="17"/>
        <v>0</v>
      </c>
      <c r="DA23" s="75">
        <f t="shared" si="17"/>
        <v>0</v>
      </c>
      <c r="DB23" s="75">
        <f t="shared" si="17"/>
        <v>0</v>
      </c>
      <c r="DC23" s="75">
        <f t="shared" si="17"/>
        <v>0</v>
      </c>
      <c r="DD23" s="75">
        <f t="shared" si="17"/>
        <v>0</v>
      </c>
      <c r="DE23" s="75">
        <f t="shared" si="17"/>
        <v>0</v>
      </c>
      <c r="DF23" s="75">
        <f t="shared" si="17"/>
        <v>0</v>
      </c>
      <c r="DG23" s="75">
        <f t="shared" si="17"/>
        <v>0</v>
      </c>
      <c r="DH23" s="75">
        <f t="shared" si="17"/>
        <v>0</v>
      </c>
      <c r="DI23" s="75">
        <f t="shared" si="17"/>
        <v>0</v>
      </c>
      <c r="DJ23" s="75">
        <f t="shared" si="17"/>
        <v>0</v>
      </c>
      <c r="DK23" s="75">
        <f t="shared" si="18"/>
        <v>0</v>
      </c>
      <c r="DL23" s="75">
        <f t="shared" si="18"/>
        <v>0</v>
      </c>
    </row>
    <row r="24" spans="2:116">
      <c r="B24" s="27">
        <f>Rentroll!$C$16</f>
        <v>12</v>
      </c>
      <c r="C24" s="69" t="str">
        <f>VLOOKUP($B24,Rentroll!$C$11:$X$29,3,FALSE)</f>
        <v>모빌리티 테크놀로지</v>
      </c>
      <c r="D24" s="80">
        <f>VLOOKUP($B24,Rentroll!$C$11:$X$29,9,FALSE)</f>
        <v>44043</v>
      </c>
      <c r="E24" s="80">
        <f>VLOOKUP($B24,Rentroll!$C$11:$X$29,10,FALSE)</f>
        <v>45868</v>
      </c>
      <c r="F24" s="81">
        <f>VLOOKUP($B24,Rentroll!$C$11:$X$29,11,FALSE)</f>
        <v>60</v>
      </c>
      <c r="G24" s="69">
        <f>VLOOKUP($B24,Rentroll!$C$11:$X$29,13,FALSE)</f>
        <v>90041</v>
      </c>
      <c r="H24" s="69">
        <f>VLOOKUP($B24,Rentroll!$C$11:$X$29,14,FALSE)</f>
        <v>67530.75</v>
      </c>
      <c r="I24" s="69">
        <f>VLOOKUP($B24,Rentroll!$C$11:$X$29,15,FALSE)</f>
        <v>45020</v>
      </c>
      <c r="J24" s="82">
        <f>VLOOKUP($B24,Rentroll!$C$11:$X$29,19,FALSE)</f>
        <v>0.03</v>
      </c>
      <c r="K24" s="83">
        <f>VLOOKUP($B24,Rentroll!$C$11:$X$29,4,FALSE)</f>
        <v>1385.09</v>
      </c>
      <c r="L24" s="81">
        <f>VLOOKUP($B24,Rentroll!$C$11:$X$29,17,FALSE)</f>
        <v>0</v>
      </c>
      <c r="M24" s="84">
        <f>VLOOKUP($B24,Rentroll!$C$11:$X$29,18,FALSE)</f>
        <v>3</v>
      </c>
      <c r="O24" s="74">
        <f t="shared" si="19"/>
        <v>12</v>
      </c>
      <c r="P24" s="75"/>
      <c r="Q24" s="75"/>
      <c r="R24" s="75">
        <f t="shared" si="20"/>
        <v>0</v>
      </c>
      <c r="S24" s="75">
        <f t="shared" si="12"/>
        <v>1</v>
      </c>
      <c r="T24" s="75">
        <f t="shared" si="12"/>
        <v>1</v>
      </c>
      <c r="U24" s="75">
        <f t="shared" si="12"/>
        <v>1</v>
      </c>
      <c r="V24" s="75">
        <f t="shared" si="12"/>
        <v>1</v>
      </c>
      <c r="W24" s="75">
        <f t="shared" si="12"/>
        <v>1</v>
      </c>
      <c r="X24" s="75">
        <f t="shared" si="12"/>
        <v>1</v>
      </c>
      <c r="Y24" s="75">
        <f t="shared" si="12"/>
        <v>0</v>
      </c>
      <c r="Z24" s="75">
        <f t="shared" si="12"/>
        <v>0</v>
      </c>
      <c r="AA24" s="75">
        <f t="shared" si="12"/>
        <v>0</v>
      </c>
      <c r="AB24" s="75">
        <f t="shared" si="12"/>
        <v>0</v>
      </c>
      <c r="AC24" s="75">
        <f t="shared" si="12"/>
        <v>0</v>
      </c>
      <c r="AD24" s="75">
        <f t="shared" si="12"/>
        <v>0</v>
      </c>
      <c r="AE24" s="75">
        <f t="shared" si="12"/>
        <v>0</v>
      </c>
      <c r="AF24" s="75">
        <f t="shared" si="12"/>
        <v>0</v>
      </c>
      <c r="AG24" s="75">
        <f t="shared" si="12"/>
        <v>0</v>
      </c>
      <c r="AH24" s="75">
        <f t="shared" si="12"/>
        <v>0</v>
      </c>
      <c r="AI24" s="75">
        <f t="shared" si="13"/>
        <v>0</v>
      </c>
      <c r="AJ24" s="75">
        <f t="shared" si="13"/>
        <v>0</v>
      </c>
      <c r="AK24" s="75">
        <f t="shared" si="13"/>
        <v>0</v>
      </c>
      <c r="AL24" s="75">
        <f t="shared" si="13"/>
        <v>0</v>
      </c>
      <c r="AM24" s="75">
        <f t="shared" si="13"/>
        <v>0</v>
      </c>
      <c r="AN24" s="75">
        <f t="shared" si="13"/>
        <v>0</v>
      </c>
      <c r="AO24" s="75">
        <f t="shared" si="13"/>
        <v>0</v>
      </c>
      <c r="AP24" s="75">
        <f t="shared" si="13"/>
        <v>0</v>
      </c>
      <c r="AQ24" s="75">
        <f t="shared" si="13"/>
        <v>0</v>
      </c>
      <c r="AR24" s="75">
        <f t="shared" si="13"/>
        <v>0</v>
      </c>
      <c r="AS24" s="75">
        <f t="shared" si="13"/>
        <v>0</v>
      </c>
      <c r="AT24" s="75">
        <f t="shared" si="13"/>
        <v>0</v>
      </c>
      <c r="AU24" s="75">
        <f t="shared" si="13"/>
        <v>0</v>
      </c>
      <c r="AV24" s="75">
        <f t="shared" si="13"/>
        <v>0</v>
      </c>
      <c r="AW24" s="75">
        <f t="shared" si="13"/>
        <v>0</v>
      </c>
      <c r="AX24" s="75">
        <f t="shared" si="13"/>
        <v>0</v>
      </c>
      <c r="AY24" s="75">
        <f t="shared" si="14"/>
        <v>0</v>
      </c>
      <c r="AZ24" s="75">
        <f t="shared" si="14"/>
        <v>0</v>
      </c>
      <c r="BA24" s="75">
        <f t="shared" si="14"/>
        <v>0</v>
      </c>
      <c r="BB24" s="75">
        <f t="shared" si="14"/>
        <v>0</v>
      </c>
      <c r="BC24" s="75">
        <f t="shared" si="14"/>
        <v>0</v>
      </c>
      <c r="BD24" s="75">
        <f t="shared" si="14"/>
        <v>0</v>
      </c>
      <c r="BE24" s="75">
        <f t="shared" si="14"/>
        <v>0</v>
      </c>
      <c r="BF24" s="75">
        <f t="shared" si="14"/>
        <v>0</v>
      </c>
      <c r="BG24" s="75">
        <f t="shared" si="14"/>
        <v>0</v>
      </c>
      <c r="BH24" s="75">
        <f t="shared" si="14"/>
        <v>0</v>
      </c>
      <c r="BI24" s="75">
        <f t="shared" si="14"/>
        <v>0</v>
      </c>
      <c r="BJ24" s="75">
        <f t="shared" si="14"/>
        <v>0</v>
      </c>
      <c r="BK24" s="75">
        <f t="shared" si="14"/>
        <v>0</v>
      </c>
      <c r="BL24" s="75">
        <f t="shared" si="14"/>
        <v>0</v>
      </c>
      <c r="BM24" s="75">
        <f t="shared" si="14"/>
        <v>0</v>
      </c>
      <c r="BN24" s="75">
        <f t="shared" si="14"/>
        <v>0</v>
      </c>
      <c r="BO24" s="75">
        <f t="shared" si="15"/>
        <v>0</v>
      </c>
      <c r="BP24" s="75">
        <f t="shared" si="15"/>
        <v>0</v>
      </c>
      <c r="BQ24" s="75">
        <f t="shared" si="15"/>
        <v>0</v>
      </c>
      <c r="BR24" s="75">
        <f t="shared" si="15"/>
        <v>0</v>
      </c>
      <c r="BS24" s="75">
        <f t="shared" si="15"/>
        <v>0</v>
      </c>
      <c r="BT24" s="75">
        <f t="shared" si="15"/>
        <v>0</v>
      </c>
      <c r="BU24" s="75">
        <f t="shared" si="15"/>
        <v>0</v>
      </c>
      <c r="BV24" s="75">
        <f t="shared" si="15"/>
        <v>0</v>
      </c>
      <c r="BW24" s="75">
        <f t="shared" si="15"/>
        <v>0</v>
      </c>
      <c r="BX24" s="75">
        <f t="shared" si="15"/>
        <v>0</v>
      </c>
      <c r="BY24" s="75">
        <f t="shared" si="15"/>
        <v>0</v>
      </c>
      <c r="BZ24" s="75">
        <f t="shared" si="15"/>
        <v>0</v>
      </c>
      <c r="CA24" s="75">
        <f t="shared" si="15"/>
        <v>0</v>
      </c>
      <c r="CB24" s="75">
        <f t="shared" si="15"/>
        <v>0</v>
      </c>
      <c r="CC24" s="75">
        <f t="shared" si="15"/>
        <v>0</v>
      </c>
      <c r="CD24" s="75">
        <f t="shared" si="15"/>
        <v>0</v>
      </c>
      <c r="CE24" s="75">
        <f t="shared" si="16"/>
        <v>0</v>
      </c>
      <c r="CF24" s="75">
        <f t="shared" si="16"/>
        <v>0</v>
      </c>
      <c r="CG24" s="75">
        <f t="shared" si="16"/>
        <v>0</v>
      </c>
      <c r="CH24" s="75">
        <f t="shared" si="16"/>
        <v>0</v>
      </c>
      <c r="CI24" s="75">
        <f t="shared" si="16"/>
        <v>0</v>
      </c>
      <c r="CJ24" s="75">
        <f t="shared" si="16"/>
        <v>0</v>
      </c>
      <c r="CK24" s="75">
        <f t="shared" si="16"/>
        <v>0</v>
      </c>
      <c r="CL24" s="75">
        <f t="shared" si="16"/>
        <v>0</v>
      </c>
      <c r="CM24" s="75">
        <f t="shared" si="16"/>
        <v>0</v>
      </c>
      <c r="CN24" s="75">
        <f t="shared" si="16"/>
        <v>0</v>
      </c>
      <c r="CO24" s="75">
        <f t="shared" si="16"/>
        <v>0</v>
      </c>
      <c r="CP24" s="75">
        <f t="shared" si="16"/>
        <v>0</v>
      </c>
      <c r="CQ24" s="75">
        <f t="shared" si="16"/>
        <v>0</v>
      </c>
      <c r="CR24" s="75">
        <f t="shared" si="16"/>
        <v>0</v>
      </c>
      <c r="CS24" s="75">
        <f t="shared" si="16"/>
        <v>0</v>
      </c>
      <c r="CT24" s="75">
        <f t="shared" si="16"/>
        <v>0</v>
      </c>
      <c r="CU24" s="75">
        <f t="shared" si="17"/>
        <v>0</v>
      </c>
      <c r="CV24" s="75">
        <f t="shared" si="17"/>
        <v>0</v>
      </c>
      <c r="CW24" s="75">
        <f t="shared" si="17"/>
        <v>0</v>
      </c>
      <c r="CX24" s="75">
        <f t="shared" si="17"/>
        <v>0</v>
      </c>
      <c r="CY24" s="75">
        <f t="shared" si="17"/>
        <v>0</v>
      </c>
      <c r="CZ24" s="75">
        <f t="shared" si="17"/>
        <v>0</v>
      </c>
      <c r="DA24" s="75">
        <f t="shared" si="17"/>
        <v>0</v>
      </c>
      <c r="DB24" s="75">
        <f t="shared" si="17"/>
        <v>0</v>
      </c>
      <c r="DC24" s="75">
        <f t="shared" si="17"/>
        <v>0</v>
      </c>
      <c r="DD24" s="75">
        <f t="shared" si="17"/>
        <v>0</v>
      </c>
      <c r="DE24" s="75">
        <f t="shared" si="17"/>
        <v>0</v>
      </c>
      <c r="DF24" s="75">
        <f t="shared" si="17"/>
        <v>0</v>
      </c>
      <c r="DG24" s="75">
        <f t="shared" si="17"/>
        <v>0</v>
      </c>
      <c r="DH24" s="75">
        <f t="shared" si="17"/>
        <v>0</v>
      </c>
      <c r="DI24" s="75">
        <f t="shared" si="17"/>
        <v>0</v>
      </c>
      <c r="DJ24" s="75">
        <f t="shared" si="17"/>
        <v>0</v>
      </c>
      <c r="DK24" s="75">
        <f t="shared" si="18"/>
        <v>0</v>
      </c>
      <c r="DL24" s="75">
        <f t="shared" si="18"/>
        <v>0</v>
      </c>
    </row>
    <row r="25" spans="2:116">
      <c r="B25" s="27">
        <f>Rentroll!$C$17</f>
        <v>11</v>
      </c>
      <c r="C25" s="69" t="str">
        <f>VLOOKUP($B25,Rentroll!$C$11:$X$29,3,FALSE)</f>
        <v>노벰버 건설</v>
      </c>
      <c r="D25" s="80">
        <f>VLOOKUP($B25,Rentroll!$C$11:$X$29,9,FALSE)</f>
        <v>45077</v>
      </c>
      <c r="E25" s="80">
        <f>VLOOKUP($B25,Rentroll!$C$11:$X$29,10,FALSE)</f>
        <v>46903</v>
      </c>
      <c r="F25" s="81">
        <f>VLOOKUP($B25,Rentroll!$C$11:$X$29,11,FALSE)</f>
        <v>60</v>
      </c>
      <c r="G25" s="69">
        <f>VLOOKUP($B25,Rentroll!$C$11:$X$29,13,FALSE)</f>
        <v>103000</v>
      </c>
      <c r="H25" s="69">
        <f>VLOOKUP($B25,Rentroll!$C$11:$X$29,14,FALSE)</f>
        <v>85833.333333333328</v>
      </c>
      <c r="I25" s="69">
        <f>VLOOKUP($B25,Rentroll!$C$11:$X$29,15,FALSE)</f>
        <v>46350</v>
      </c>
      <c r="J25" s="82">
        <f>VLOOKUP($B25,Rentroll!$C$11:$X$29,19,FALSE)</f>
        <v>0.03</v>
      </c>
      <c r="K25" s="83">
        <f>VLOOKUP($B25,Rentroll!$C$11:$X$29,4,FALSE)</f>
        <v>1385.09</v>
      </c>
      <c r="L25" s="81">
        <f>VLOOKUP($B25,Rentroll!$C$11:$X$29,17,FALSE)</f>
        <v>0</v>
      </c>
      <c r="M25" s="84">
        <f>VLOOKUP($B25,Rentroll!$C$11:$X$29,18,FALSE)</f>
        <v>2</v>
      </c>
      <c r="O25" s="74">
        <f t="shared" si="19"/>
        <v>11</v>
      </c>
      <c r="P25" s="75"/>
      <c r="Q25" s="75"/>
      <c r="R25" s="75">
        <f t="shared" si="20"/>
        <v>0</v>
      </c>
      <c r="S25" s="75">
        <f t="shared" si="12"/>
        <v>1</v>
      </c>
      <c r="T25" s="75">
        <f t="shared" si="12"/>
        <v>1</v>
      </c>
      <c r="U25" s="75">
        <f t="shared" si="12"/>
        <v>1</v>
      </c>
      <c r="V25" s="75">
        <f t="shared" si="12"/>
        <v>1</v>
      </c>
      <c r="W25" s="75">
        <f t="shared" si="12"/>
        <v>1</v>
      </c>
      <c r="X25" s="75">
        <f t="shared" si="12"/>
        <v>1</v>
      </c>
      <c r="Y25" s="75">
        <f t="shared" si="12"/>
        <v>1</v>
      </c>
      <c r="Z25" s="75">
        <f t="shared" si="12"/>
        <v>1</v>
      </c>
      <c r="AA25" s="75">
        <f t="shared" si="12"/>
        <v>1</v>
      </c>
      <c r="AB25" s="75">
        <f t="shared" si="12"/>
        <v>1</v>
      </c>
      <c r="AC25" s="75">
        <f t="shared" si="12"/>
        <v>1</v>
      </c>
      <c r="AD25" s="75">
        <f t="shared" si="12"/>
        <v>1</v>
      </c>
      <c r="AE25" s="75">
        <f t="shared" si="12"/>
        <v>1</v>
      </c>
      <c r="AF25" s="75">
        <f t="shared" si="12"/>
        <v>1</v>
      </c>
      <c r="AG25" s="75">
        <f t="shared" si="12"/>
        <v>1</v>
      </c>
      <c r="AH25" s="75">
        <f t="shared" si="12"/>
        <v>1</v>
      </c>
      <c r="AI25" s="75">
        <f t="shared" si="13"/>
        <v>1</v>
      </c>
      <c r="AJ25" s="75">
        <f t="shared" si="13"/>
        <v>1</v>
      </c>
      <c r="AK25" s="75">
        <f t="shared" si="13"/>
        <v>1</v>
      </c>
      <c r="AL25" s="75">
        <f t="shared" si="13"/>
        <v>1</v>
      </c>
      <c r="AM25" s="75">
        <f t="shared" si="13"/>
        <v>1</v>
      </c>
      <c r="AN25" s="75">
        <f t="shared" si="13"/>
        <v>1</v>
      </c>
      <c r="AO25" s="75">
        <f t="shared" si="13"/>
        <v>1</v>
      </c>
      <c r="AP25" s="75">
        <f t="shared" si="13"/>
        <v>1</v>
      </c>
      <c r="AQ25" s="75">
        <f t="shared" si="13"/>
        <v>1</v>
      </c>
      <c r="AR25" s="75">
        <f t="shared" si="13"/>
        <v>1</v>
      </c>
      <c r="AS25" s="75">
        <f t="shared" si="13"/>
        <v>1</v>
      </c>
      <c r="AT25" s="75">
        <f t="shared" si="13"/>
        <v>1</v>
      </c>
      <c r="AU25" s="75">
        <f t="shared" si="13"/>
        <v>1</v>
      </c>
      <c r="AV25" s="75">
        <f t="shared" si="13"/>
        <v>1</v>
      </c>
      <c r="AW25" s="75">
        <f t="shared" si="13"/>
        <v>1</v>
      </c>
      <c r="AX25" s="75">
        <f t="shared" si="13"/>
        <v>1</v>
      </c>
      <c r="AY25" s="75">
        <f t="shared" si="14"/>
        <v>1</v>
      </c>
      <c r="AZ25" s="75">
        <f t="shared" si="14"/>
        <v>1</v>
      </c>
      <c r="BA25" s="75">
        <f t="shared" si="14"/>
        <v>1</v>
      </c>
      <c r="BB25" s="75">
        <f t="shared" si="14"/>
        <v>1</v>
      </c>
      <c r="BC25" s="75">
        <f t="shared" si="14"/>
        <v>1</v>
      </c>
      <c r="BD25" s="75">
        <f t="shared" si="14"/>
        <v>1</v>
      </c>
      <c r="BE25" s="75">
        <f t="shared" si="14"/>
        <v>1</v>
      </c>
      <c r="BF25" s="75">
        <f t="shared" si="14"/>
        <v>1</v>
      </c>
      <c r="BG25" s="75">
        <f t="shared" si="14"/>
        <v>0</v>
      </c>
      <c r="BH25" s="75">
        <f t="shared" si="14"/>
        <v>0</v>
      </c>
      <c r="BI25" s="75">
        <f t="shared" si="14"/>
        <v>0</v>
      </c>
      <c r="BJ25" s="75">
        <f t="shared" si="14"/>
        <v>0</v>
      </c>
      <c r="BK25" s="75">
        <f t="shared" si="14"/>
        <v>0</v>
      </c>
      <c r="BL25" s="75">
        <f t="shared" si="14"/>
        <v>0</v>
      </c>
      <c r="BM25" s="75">
        <f t="shared" si="14"/>
        <v>0</v>
      </c>
      <c r="BN25" s="75">
        <f t="shared" si="14"/>
        <v>0</v>
      </c>
      <c r="BO25" s="75">
        <f t="shared" si="15"/>
        <v>0</v>
      </c>
      <c r="BP25" s="75">
        <f t="shared" si="15"/>
        <v>0</v>
      </c>
      <c r="BQ25" s="75">
        <f t="shared" si="15"/>
        <v>0</v>
      </c>
      <c r="BR25" s="75">
        <f t="shared" si="15"/>
        <v>0</v>
      </c>
      <c r="BS25" s="75">
        <f t="shared" si="15"/>
        <v>0</v>
      </c>
      <c r="BT25" s="75">
        <f t="shared" si="15"/>
        <v>0</v>
      </c>
      <c r="BU25" s="75">
        <f t="shared" si="15"/>
        <v>0</v>
      </c>
      <c r="BV25" s="75">
        <f t="shared" si="15"/>
        <v>0</v>
      </c>
      <c r="BW25" s="75">
        <f t="shared" si="15"/>
        <v>0</v>
      </c>
      <c r="BX25" s="75">
        <f t="shared" si="15"/>
        <v>0</v>
      </c>
      <c r="BY25" s="75">
        <f t="shared" si="15"/>
        <v>0</v>
      </c>
      <c r="BZ25" s="75">
        <f t="shared" si="15"/>
        <v>0</v>
      </c>
      <c r="CA25" s="75">
        <f t="shared" si="15"/>
        <v>0</v>
      </c>
      <c r="CB25" s="75">
        <f t="shared" si="15"/>
        <v>0</v>
      </c>
      <c r="CC25" s="75">
        <f t="shared" si="15"/>
        <v>0</v>
      </c>
      <c r="CD25" s="75">
        <f t="shared" si="15"/>
        <v>0</v>
      </c>
      <c r="CE25" s="75">
        <f t="shared" si="16"/>
        <v>0</v>
      </c>
      <c r="CF25" s="75">
        <f t="shared" si="16"/>
        <v>0</v>
      </c>
      <c r="CG25" s="75">
        <f t="shared" si="16"/>
        <v>0</v>
      </c>
      <c r="CH25" s="75">
        <f t="shared" si="16"/>
        <v>0</v>
      </c>
      <c r="CI25" s="75">
        <f t="shared" si="16"/>
        <v>0</v>
      </c>
      <c r="CJ25" s="75">
        <f t="shared" si="16"/>
        <v>0</v>
      </c>
      <c r="CK25" s="75">
        <f t="shared" si="16"/>
        <v>0</v>
      </c>
      <c r="CL25" s="75">
        <f t="shared" si="16"/>
        <v>0</v>
      </c>
      <c r="CM25" s="75">
        <f t="shared" si="16"/>
        <v>0</v>
      </c>
      <c r="CN25" s="75">
        <f t="shared" si="16"/>
        <v>0</v>
      </c>
      <c r="CO25" s="75">
        <f t="shared" si="16"/>
        <v>0</v>
      </c>
      <c r="CP25" s="75">
        <f t="shared" si="16"/>
        <v>0</v>
      </c>
      <c r="CQ25" s="75">
        <f t="shared" si="16"/>
        <v>0</v>
      </c>
      <c r="CR25" s="75">
        <f t="shared" si="16"/>
        <v>0</v>
      </c>
      <c r="CS25" s="75">
        <f t="shared" si="16"/>
        <v>0</v>
      </c>
      <c r="CT25" s="75">
        <f t="shared" si="16"/>
        <v>0</v>
      </c>
      <c r="CU25" s="75">
        <f t="shared" si="17"/>
        <v>0</v>
      </c>
      <c r="CV25" s="75">
        <f t="shared" si="17"/>
        <v>0</v>
      </c>
      <c r="CW25" s="75">
        <f t="shared" si="17"/>
        <v>0</v>
      </c>
      <c r="CX25" s="75">
        <f t="shared" si="17"/>
        <v>0</v>
      </c>
      <c r="CY25" s="75">
        <f t="shared" si="17"/>
        <v>0</v>
      </c>
      <c r="CZ25" s="75">
        <f t="shared" si="17"/>
        <v>0</v>
      </c>
      <c r="DA25" s="75">
        <f t="shared" si="17"/>
        <v>0</v>
      </c>
      <c r="DB25" s="75">
        <f t="shared" si="17"/>
        <v>0</v>
      </c>
      <c r="DC25" s="75">
        <f t="shared" si="17"/>
        <v>0</v>
      </c>
      <c r="DD25" s="75">
        <f t="shared" si="17"/>
        <v>0</v>
      </c>
      <c r="DE25" s="75">
        <f t="shared" si="17"/>
        <v>0</v>
      </c>
      <c r="DF25" s="75">
        <f t="shared" si="17"/>
        <v>0</v>
      </c>
      <c r="DG25" s="75">
        <f t="shared" si="17"/>
        <v>0</v>
      </c>
      <c r="DH25" s="75">
        <f t="shared" si="17"/>
        <v>0</v>
      </c>
      <c r="DI25" s="75">
        <f t="shared" si="17"/>
        <v>0</v>
      </c>
      <c r="DJ25" s="75">
        <f t="shared" si="17"/>
        <v>0</v>
      </c>
      <c r="DK25" s="75">
        <f t="shared" si="18"/>
        <v>0</v>
      </c>
      <c r="DL25" s="75">
        <f t="shared" si="18"/>
        <v>0</v>
      </c>
    </row>
    <row r="26" spans="2:116">
      <c r="B26" s="27">
        <f>Rentroll!$C$18</f>
        <v>10</v>
      </c>
      <c r="C26" s="69" t="str">
        <f>VLOOKUP($B26,Rentroll!$C$11:$X$29,3,FALSE)</f>
        <v>노벰버 건설</v>
      </c>
      <c r="D26" s="80">
        <f>VLOOKUP($B26,Rentroll!$C$11:$X$29,9,FALSE)</f>
        <v>45077</v>
      </c>
      <c r="E26" s="80">
        <f>VLOOKUP($B26,Rentroll!$C$11:$X$29,10,FALSE)</f>
        <v>46903</v>
      </c>
      <c r="F26" s="81">
        <f>VLOOKUP($B26,Rentroll!$C$11:$X$29,11,FALSE)</f>
        <v>60</v>
      </c>
      <c r="G26" s="69">
        <f>VLOOKUP($B26,Rentroll!$C$11:$X$29,13,FALSE)</f>
        <v>103000</v>
      </c>
      <c r="H26" s="69">
        <f>VLOOKUP($B26,Rentroll!$C$11:$X$29,14,FALSE)</f>
        <v>85833.333333333328</v>
      </c>
      <c r="I26" s="69">
        <f>VLOOKUP($B26,Rentroll!$C$11:$X$29,15,FALSE)</f>
        <v>46350</v>
      </c>
      <c r="J26" s="82">
        <f>VLOOKUP($B26,Rentroll!$C$11:$X$29,19,FALSE)</f>
        <v>0.03</v>
      </c>
      <c r="K26" s="83">
        <f>VLOOKUP($B26,Rentroll!$C$11:$X$29,4,FALSE)</f>
        <v>1385.09</v>
      </c>
      <c r="L26" s="81">
        <f>VLOOKUP($B26,Rentroll!$C$11:$X$29,17,FALSE)</f>
        <v>0</v>
      </c>
      <c r="M26" s="84">
        <f>VLOOKUP($B26,Rentroll!$C$11:$X$29,18,FALSE)</f>
        <v>2</v>
      </c>
      <c r="O26" s="74">
        <f t="shared" si="19"/>
        <v>10</v>
      </c>
      <c r="P26" s="75"/>
      <c r="Q26" s="75"/>
      <c r="R26" s="75">
        <f t="shared" si="20"/>
        <v>0</v>
      </c>
      <c r="S26" s="75">
        <f t="shared" si="12"/>
        <v>1</v>
      </c>
      <c r="T26" s="75">
        <f t="shared" si="12"/>
        <v>1</v>
      </c>
      <c r="U26" s="75">
        <f t="shared" si="12"/>
        <v>1</v>
      </c>
      <c r="V26" s="75">
        <f t="shared" si="12"/>
        <v>1</v>
      </c>
      <c r="W26" s="75">
        <f t="shared" si="12"/>
        <v>1</v>
      </c>
      <c r="X26" s="75">
        <f t="shared" si="12"/>
        <v>1</v>
      </c>
      <c r="Y26" s="75">
        <f t="shared" si="12"/>
        <v>1</v>
      </c>
      <c r="Z26" s="75">
        <f t="shared" si="12"/>
        <v>1</v>
      </c>
      <c r="AA26" s="75">
        <f t="shared" si="12"/>
        <v>1</v>
      </c>
      <c r="AB26" s="75">
        <f t="shared" si="12"/>
        <v>1</v>
      </c>
      <c r="AC26" s="75">
        <f t="shared" si="12"/>
        <v>1</v>
      </c>
      <c r="AD26" s="75">
        <f t="shared" si="12"/>
        <v>1</v>
      </c>
      <c r="AE26" s="75">
        <f t="shared" si="12"/>
        <v>1</v>
      </c>
      <c r="AF26" s="75">
        <f t="shared" si="12"/>
        <v>1</v>
      </c>
      <c r="AG26" s="75">
        <f t="shared" si="12"/>
        <v>1</v>
      </c>
      <c r="AH26" s="75">
        <f t="shared" si="12"/>
        <v>1</v>
      </c>
      <c r="AI26" s="75">
        <f t="shared" si="13"/>
        <v>1</v>
      </c>
      <c r="AJ26" s="75">
        <f t="shared" si="13"/>
        <v>1</v>
      </c>
      <c r="AK26" s="75">
        <f t="shared" si="13"/>
        <v>1</v>
      </c>
      <c r="AL26" s="75">
        <f t="shared" si="13"/>
        <v>1</v>
      </c>
      <c r="AM26" s="75">
        <f t="shared" si="13"/>
        <v>1</v>
      </c>
      <c r="AN26" s="75">
        <f t="shared" si="13"/>
        <v>1</v>
      </c>
      <c r="AO26" s="75">
        <f t="shared" si="13"/>
        <v>1</v>
      </c>
      <c r="AP26" s="75">
        <f t="shared" si="13"/>
        <v>1</v>
      </c>
      <c r="AQ26" s="75">
        <f t="shared" si="13"/>
        <v>1</v>
      </c>
      <c r="AR26" s="75">
        <f t="shared" si="13"/>
        <v>1</v>
      </c>
      <c r="AS26" s="75">
        <f t="shared" si="13"/>
        <v>1</v>
      </c>
      <c r="AT26" s="75">
        <f t="shared" si="13"/>
        <v>1</v>
      </c>
      <c r="AU26" s="75">
        <f t="shared" si="13"/>
        <v>1</v>
      </c>
      <c r="AV26" s="75">
        <f t="shared" si="13"/>
        <v>1</v>
      </c>
      <c r="AW26" s="75">
        <f t="shared" si="13"/>
        <v>1</v>
      </c>
      <c r="AX26" s="75">
        <f t="shared" si="13"/>
        <v>1</v>
      </c>
      <c r="AY26" s="75">
        <f t="shared" si="14"/>
        <v>1</v>
      </c>
      <c r="AZ26" s="75">
        <f t="shared" si="14"/>
        <v>1</v>
      </c>
      <c r="BA26" s="75">
        <f t="shared" si="14"/>
        <v>1</v>
      </c>
      <c r="BB26" s="75">
        <f t="shared" si="14"/>
        <v>1</v>
      </c>
      <c r="BC26" s="75">
        <f t="shared" si="14"/>
        <v>1</v>
      </c>
      <c r="BD26" s="75">
        <f t="shared" si="14"/>
        <v>1</v>
      </c>
      <c r="BE26" s="75">
        <f t="shared" si="14"/>
        <v>1</v>
      </c>
      <c r="BF26" s="75">
        <f t="shared" si="14"/>
        <v>1</v>
      </c>
      <c r="BG26" s="75">
        <f t="shared" si="14"/>
        <v>0</v>
      </c>
      <c r="BH26" s="75">
        <f t="shared" si="14"/>
        <v>0</v>
      </c>
      <c r="BI26" s="75">
        <f t="shared" si="14"/>
        <v>0</v>
      </c>
      <c r="BJ26" s="75">
        <f t="shared" si="14"/>
        <v>0</v>
      </c>
      <c r="BK26" s="75">
        <f t="shared" si="14"/>
        <v>0</v>
      </c>
      <c r="BL26" s="75">
        <f t="shared" si="14"/>
        <v>0</v>
      </c>
      <c r="BM26" s="75">
        <f t="shared" si="14"/>
        <v>0</v>
      </c>
      <c r="BN26" s="75">
        <f t="shared" si="14"/>
        <v>0</v>
      </c>
      <c r="BO26" s="75">
        <f t="shared" si="15"/>
        <v>0</v>
      </c>
      <c r="BP26" s="75">
        <f t="shared" si="15"/>
        <v>0</v>
      </c>
      <c r="BQ26" s="75">
        <f t="shared" si="15"/>
        <v>0</v>
      </c>
      <c r="BR26" s="75">
        <f t="shared" si="15"/>
        <v>0</v>
      </c>
      <c r="BS26" s="75">
        <f t="shared" si="15"/>
        <v>0</v>
      </c>
      <c r="BT26" s="75">
        <f t="shared" si="15"/>
        <v>0</v>
      </c>
      <c r="BU26" s="75">
        <f t="shared" si="15"/>
        <v>0</v>
      </c>
      <c r="BV26" s="75">
        <f t="shared" si="15"/>
        <v>0</v>
      </c>
      <c r="BW26" s="75">
        <f t="shared" si="15"/>
        <v>0</v>
      </c>
      <c r="BX26" s="75">
        <f t="shared" si="15"/>
        <v>0</v>
      </c>
      <c r="BY26" s="75">
        <f t="shared" si="15"/>
        <v>0</v>
      </c>
      <c r="BZ26" s="75">
        <f t="shared" si="15"/>
        <v>0</v>
      </c>
      <c r="CA26" s="75">
        <f t="shared" si="15"/>
        <v>0</v>
      </c>
      <c r="CB26" s="75">
        <f t="shared" si="15"/>
        <v>0</v>
      </c>
      <c r="CC26" s="75">
        <f t="shared" si="15"/>
        <v>0</v>
      </c>
      <c r="CD26" s="75">
        <f t="shared" si="15"/>
        <v>0</v>
      </c>
      <c r="CE26" s="75">
        <f t="shared" si="16"/>
        <v>0</v>
      </c>
      <c r="CF26" s="75">
        <f t="shared" si="16"/>
        <v>0</v>
      </c>
      <c r="CG26" s="75">
        <f t="shared" si="16"/>
        <v>0</v>
      </c>
      <c r="CH26" s="75">
        <f t="shared" si="16"/>
        <v>0</v>
      </c>
      <c r="CI26" s="75">
        <f t="shared" si="16"/>
        <v>0</v>
      </c>
      <c r="CJ26" s="75">
        <f t="shared" si="16"/>
        <v>0</v>
      </c>
      <c r="CK26" s="75">
        <f t="shared" si="16"/>
        <v>0</v>
      </c>
      <c r="CL26" s="75">
        <f t="shared" si="16"/>
        <v>0</v>
      </c>
      <c r="CM26" s="75">
        <f t="shared" si="16"/>
        <v>0</v>
      </c>
      <c r="CN26" s="75">
        <f t="shared" si="16"/>
        <v>0</v>
      </c>
      <c r="CO26" s="75">
        <f t="shared" si="16"/>
        <v>0</v>
      </c>
      <c r="CP26" s="75">
        <f t="shared" si="16"/>
        <v>0</v>
      </c>
      <c r="CQ26" s="75">
        <f t="shared" si="16"/>
        <v>0</v>
      </c>
      <c r="CR26" s="75">
        <f t="shared" si="16"/>
        <v>0</v>
      </c>
      <c r="CS26" s="75">
        <f t="shared" si="16"/>
        <v>0</v>
      </c>
      <c r="CT26" s="75">
        <f t="shared" si="16"/>
        <v>0</v>
      </c>
      <c r="CU26" s="75">
        <f t="shared" si="17"/>
        <v>0</v>
      </c>
      <c r="CV26" s="75">
        <f t="shared" si="17"/>
        <v>0</v>
      </c>
      <c r="CW26" s="75">
        <f t="shared" si="17"/>
        <v>0</v>
      </c>
      <c r="CX26" s="75">
        <f t="shared" si="17"/>
        <v>0</v>
      </c>
      <c r="CY26" s="75">
        <f t="shared" si="17"/>
        <v>0</v>
      </c>
      <c r="CZ26" s="75">
        <f t="shared" si="17"/>
        <v>0</v>
      </c>
      <c r="DA26" s="75">
        <f t="shared" si="17"/>
        <v>0</v>
      </c>
      <c r="DB26" s="75">
        <f t="shared" si="17"/>
        <v>0</v>
      </c>
      <c r="DC26" s="75">
        <f t="shared" si="17"/>
        <v>0</v>
      </c>
      <c r="DD26" s="75">
        <f t="shared" si="17"/>
        <v>0</v>
      </c>
      <c r="DE26" s="75">
        <f t="shared" si="17"/>
        <v>0</v>
      </c>
      <c r="DF26" s="75">
        <f t="shared" si="17"/>
        <v>0</v>
      </c>
      <c r="DG26" s="75">
        <f t="shared" si="17"/>
        <v>0</v>
      </c>
      <c r="DH26" s="75">
        <f t="shared" si="17"/>
        <v>0</v>
      </c>
      <c r="DI26" s="75">
        <f t="shared" si="17"/>
        <v>0</v>
      </c>
      <c r="DJ26" s="75">
        <f t="shared" si="17"/>
        <v>0</v>
      </c>
      <c r="DK26" s="75">
        <f t="shared" si="18"/>
        <v>0</v>
      </c>
      <c r="DL26" s="75">
        <f t="shared" si="18"/>
        <v>0</v>
      </c>
    </row>
    <row r="27" spans="2:116">
      <c r="B27" s="27">
        <f>Rentroll!$C$19</f>
        <v>9</v>
      </c>
      <c r="C27" s="69" t="str">
        <f>VLOOKUP($B27,Rentroll!$C$11:$X$29,3,FALSE)</f>
        <v>노벰버 건설</v>
      </c>
      <c r="D27" s="80">
        <f>VLOOKUP($B27,Rentroll!$C$11:$X$29,9,FALSE)</f>
        <v>45077</v>
      </c>
      <c r="E27" s="80">
        <f>VLOOKUP($B27,Rentroll!$C$11:$X$29,10,FALSE)</f>
        <v>46903</v>
      </c>
      <c r="F27" s="81">
        <f>VLOOKUP($B27,Rentroll!$C$11:$X$29,11,FALSE)</f>
        <v>60</v>
      </c>
      <c r="G27" s="69">
        <f>VLOOKUP($B27,Rentroll!$C$11:$X$29,13,FALSE)</f>
        <v>103000</v>
      </c>
      <c r="H27" s="69">
        <f>VLOOKUP($B27,Rentroll!$C$11:$X$29,14,FALSE)</f>
        <v>85833.333333333328</v>
      </c>
      <c r="I27" s="69">
        <f>VLOOKUP($B27,Rentroll!$C$11:$X$29,15,FALSE)</f>
        <v>46350</v>
      </c>
      <c r="J27" s="82">
        <f>VLOOKUP($B27,Rentroll!$C$11:$X$29,19,FALSE)</f>
        <v>0.03</v>
      </c>
      <c r="K27" s="83">
        <f>VLOOKUP($B27,Rentroll!$C$11:$X$29,4,FALSE)</f>
        <v>1385.09</v>
      </c>
      <c r="L27" s="81">
        <f>VLOOKUP($B27,Rentroll!$C$11:$X$29,17,FALSE)</f>
        <v>0</v>
      </c>
      <c r="M27" s="84">
        <f>VLOOKUP($B27,Rentroll!$C$11:$X$29,18,FALSE)</f>
        <v>2</v>
      </c>
      <c r="O27" s="74">
        <f t="shared" si="19"/>
        <v>9</v>
      </c>
      <c r="P27" s="75"/>
      <c r="Q27" s="75"/>
      <c r="R27" s="75">
        <f t="shared" si="20"/>
        <v>0</v>
      </c>
      <c r="S27" s="75">
        <f t="shared" si="12"/>
        <v>1</v>
      </c>
      <c r="T27" s="75">
        <f t="shared" si="12"/>
        <v>1</v>
      </c>
      <c r="U27" s="75">
        <f t="shared" si="12"/>
        <v>1</v>
      </c>
      <c r="V27" s="75">
        <f t="shared" si="12"/>
        <v>1</v>
      </c>
      <c r="W27" s="75">
        <f t="shared" si="12"/>
        <v>1</v>
      </c>
      <c r="X27" s="75">
        <f t="shared" si="12"/>
        <v>1</v>
      </c>
      <c r="Y27" s="75">
        <f t="shared" si="12"/>
        <v>1</v>
      </c>
      <c r="Z27" s="75">
        <f t="shared" si="12"/>
        <v>1</v>
      </c>
      <c r="AA27" s="75">
        <f t="shared" si="12"/>
        <v>1</v>
      </c>
      <c r="AB27" s="75">
        <f t="shared" si="12"/>
        <v>1</v>
      </c>
      <c r="AC27" s="75">
        <f t="shared" si="12"/>
        <v>1</v>
      </c>
      <c r="AD27" s="75">
        <f t="shared" si="12"/>
        <v>1</v>
      </c>
      <c r="AE27" s="75">
        <f t="shared" si="12"/>
        <v>1</v>
      </c>
      <c r="AF27" s="75">
        <f t="shared" si="12"/>
        <v>1</v>
      </c>
      <c r="AG27" s="75">
        <f t="shared" si="12"/>
        <v>1</v>
      </c>
      <c r="AH27" s="75">
        <f t="shared" si="12"/>
        <v>1</v>
      </c>
      <c r="AI27" s="75">
        <f t="shared" si="13"/>
        <v>1</v>
      </c>
      <c r="AJ27" s="75">
        <f t="shared" si="13"/>
        <v>1</v>
      </c>
      <c r="AK27" s="75">
        <f t="shared" si="13"/>
        <v>1</v>
      </c>
      <c r="AL27" s="75">
        <f t="shared" si="13"/>
        <v>1</v>
      </c>
      <c r="AM27" s="75">
        <f t="shared" si="13"/>
        <v>1</v>
      </c>
      <c r="AN27" s="75">
        <f t="shared" si="13"/>
        <v>1</v>
      </c>
      <c r="AO27" s="75">
        <f t="shared" si="13"/>
        <v>1</v>
      </c>
      <c r="AP27" s="75">
        <f t="shared" si="13"/>
        <v>1</v>
      </c>
      <c r="AQ27" s="75">
        <f t="shared" si="13"/>
        <v>1</v>
      </c>
      <c r="AR27" s="75">
        <f t="shared" si="13"/>
        <v>1</v>
      </c>
      <c r="AS27" s="75">
        <f t="shared" si="13"/>
        <v>1</v>
      </c>
      <c r="AT27" s="75">
        <f t="shared" si="13"/>
        <v>1</v>
      </c>
      <c r="AU27" s="75">
        <f t="shared" si="13"/>
        <v>1</v>
      </c>
      <c r="AV27" s="75">
        <f t="shared" si="13"/>
        <v>1</v>
      </c>
      <c r="AW27" s="75">
        <f t="shared" si="13"/>
        <v>1</v>
      </c>
      <c r="AX27" s="75">
        <f t="shared" si="13"/>
        <v>1</v>
      </c>
      <c r="AY27" s="75">
        <f t="shared" si="14"/>
        <v>1</v>
      </c>
      <c r="AZ27" s="75">
        <f t="shared" si="14"/>
        <v>1</v>
      </c>
      <c r="BA27" s="75">
        <f t="shared" si="14"/>
        <v>1</v>
      </c>
      <c r="BB27" s="75">
        <f t="shared" si="14"/>
        <v>1</v>
      </c>
      <c r="BC27" s="75">
        <f t="shared" si="14"/>
        <v>1</v>
      </c>
      <c r="BD27" s="75">
        <f t="shared" si="14"/>
        <v>1</v>
      </c>
      <c r="BE27" s="75">
        <f t="shared" si="14"/>
        <v>1</v>
      </c>
      <c r="BF27" s="75">
        <f t="shared" si="14"/>
        <v>1</v>
      </c>
      <c r="BG27" s="75">
        <f t="shared" si="14"/>
        <v>0</v>
      </c>
      <c r="BH27" s="75">
        <f t="shared" si="14"/>
        <v>0</v>
      </c>
      <c r="BI27" s="75">
        <f t="shared" si="14"/>
        <v>0</v>
      </c>
      <c r="BJ27" s="75">
        <f t="shared" si="14"/>
        <v>0</v>
      </c>
      <c r="BK27" s="75">
        <f t="shared" si="14"/>
        <v>0</v>
      </c>
      <c r="BL27" s="75">
        <f t="shared" si="14"/>
        <v>0</v>
      </c>
      <c r="BM27" s="75">
        <f t="shared" si="14"/>
        <v>0</v>
      </c>
      <c r="BN27" s="75">
        <f t="shared" si="14"/>
        <v>0</v>
      </c>
      <c r="BO27" s="75">
        <f t="shared" si="15"/>
        <v>0</v>
      </c>
      <c r="BP27" s="75">
        <f t="shared" si="15"/>
        <v>0</v>
      </c>
      <c r="BQ27" s="75">
        <f t="shared" si="15"/>
        <v>0</v>
      </c>
      <c r="BR27" s="75">
        <f t="shared" si="15"/>
        <v>0</v>
      </c>
      <c r="BS27" s="75">
        <f t="shared" si="15"/>
        <v>0</v>
      </c>
      <c r="BT27" s="75">
        <f t="shared" si="15"/>
        <v>0</v>
      </c>
      <c r="BU27" s="75">
        <f t="shared" si="15"/>
        <v>0</v>
      </c>
      <c r="BV27" s="75">
        <f t="shared" si="15"/>
        <v>0</v>
      </c>
      <c r="BW27" s="75">
        <f t="shared" si="15"/>
        <v>0</v>
      </c>
      <c r="BX27" s="75">
        <f t="shared" si="15"/>
        <v>0</v>
      </c>
      <c r="BY27" s="75">
        <f t="shared" si="15"/>
        <v>0</v>
      </c>
      <c r="BZ27" s="75">
        <f t="shared" si="15"/>
        <v>0</v>
      </c>
      <c r="CA27" s="75">
        <f t="shared" si="15"/>
        <v>0</v>
      </c>
      <c r="CB27" s="75">
        <f t="shared" si="15"/>
        <v>0</v>
      </c>
      <c r="CC27" s="75">
        <f t="shared" si="15"/>
        <v>0</v>
      </c>
      <c r="CD27" s="75">
        <f t="shared" si="15"/>
        <v>0</v>
      </c>
      <c r="CE27" s="75">
        <f t="shared" si="16"/>
        <v>0</v>
      </c>
      <c r="CF27" s="75">
        <f t="shared" si="16"/>
        <v>0</v>
      </c>
      <c r="CG27" s="75">
        <f t="shared" si="16"/>
        <v>0</v>
      </c>
      <c r="CH27" s="75">
        <f t="shared" si="16"/>
        <v>0</v>
      </c>
      <c r="CI27" s="75">
        <f t="shared" si="16"/>
        <v>0</v>
      </c>
      <c r="CJ27" s="75">
        <f t="shared" si="16"/>
        <v>0</v>
      </c>
      <c r="CK27" s="75">
        <f t="shared" si="16"/>
        <v>0</v>
      </c>
      <c r="CL27" s="75">
        <f t="shared" si="16"/>
        <v>0</v>
      </c>
      <c r="CM27" s="75">
        <f t="shared" si="16"/>
        <v>0</v>
      </c>
      <c r="CN27" s="75">
        <f t="shared" si="16"/>
        <v>0</v>
      </c>
      <c r="CO27" s="75">
        <f t="shared" si="16"/>
        <v>0</v>
      </c>
      <c r="CP27" s="75">
        <f t="shared" si="16"/>
        <v>0</v>
      </c>
      <c r="CQ27" s="75">
        <f t="shared" si="16"/>
        <v>0</v>
      </c>
      <c r="CR27" s="75">
        <f t="shared" si="16"/>
        <v>0</v>
      </c>
      <c r="CS27" s="75">
        <f t="shared" si="16"/>
        <v>0</v>
      </c>
      <c r="CT27" s="75">
        <f t="shared" si="16"/>
        <v>0</v>
      </c>
      <c r="CU27" s="75">
        <f t="shared" si="17"/>
        <v>0</v>
      </c>
      <c r="CV27" s="75">
        <f t="shared" si="17"/>
        <v>0</v>
      </c>
      <c r="CW27" s="75">
        <f t="shared" si="17"/>
        <v>0</v>
      </c>
      <c r="CX27" s="75">
        <f t="shared" si="17"/>
        <v>0</v>
      </c>
      <c r="CY27" s="75">
        <f t="shared" si="17"/>
        <v>0</v>
      </c>
      <c r="CZ27" s="75">
        <f t="shared" si="17"/>
        <v>0</v>
      </c>
      <c r="DA27" s="75">
        <f t="shared" si="17"/>
        <v>0</v>
      </c>
      <c r="DB27" s="75">
        <f t="shared" si="17"/>
        <v>0</v>
      </c>
      <c r="DC27" s="75">
        <f t="shared" si="17"/>
        <v>0</v>
      </c>
      <c r="DD27" s="75">
        <f t="shared" si="17"/>
        <v>0</v>
      </c>
      <c r="DE27" s="75">
        <f t="shared" si="17"/>
        <v>0</v>
      </c>
      <c r="DF27" s="75">
        <f t="shared" si="17"/>
        <v>0</v>
      </c>
      <c r="DG27" s="75">
        <f t="shared" si="17"/>
        <v>0</v>
      </c>
      <c r="DH27" s="75">
        <f t="shared" si="17"/>
        <v>0</v>
      </c>
      <c r="DI27" s="75">
        <f t="shared" si="17"/>
        <v>0</v>
      </c>
      <c r="DJ27" s="75">
        <f t="shared" si="17"/>
        <v>0</v>
      </c>
      <c r="DK27" s="75">
        <f t="shared" si="18"/>
        <v>0</v>
      </c>
      <c r="DL27" s="75">
        <f t="shared" si="18"/>
        <v>0</v>
      </c>
    </row>
    <row r="28" spans="2:116">
      <c r="B28" s="27">
        <f>Rentroll!$C$20</f>
        <v>8</v>
      </c>
      <c r="C28" s="69" t="str">
        <f>VLOOKUP($B28,Rentroll!$C$11:$X$29,3,FALSE)</f>
        <v>오토 커머셜</v>
      </c>
      <c r="D28" s="80">
        <f>VLOOKUP($B28,Rentroll!$C$11:$X$29,9,FALSE)</f>
        <v>44651</v>
      </c>
      <c r="E28" s="80">
        <f>VLOOKUP($B28,Rentroll!$C$11:$X$29,10,FALSE)</f>
        <v>46476</v>
      </c>
      <c r="F28" s="81">
        <f>VLOOKUP($B28,Rentroll!$C$11:$X$29,11,FALSE)</f>
        <v>60</v>
      </c>
      <c r="G28" s="69">
        <f>VLOOKUP($B28,Rentroll!$C$11:$X$29,13,FALSE)</f>
        <v>95481</v>
      </c>
      <c r="H28" s="69">
        <f>VLOOKUP($B28,Rentroll!$C$11:$X$29,14,FALSE)</f>
        <v>87524.25</v>
      </c>
      <c r="I28" s="69">
        <f>VLOOKUP($B28,Rentroll!$C$11:$X$29,15,FALSE)</f>
        <v>42436</v>
      </c>
      <c r="J28" s="82">
        <f>VLOOKUP($B28,Rentroll!$C$11:$X$29,19,FALSE)</f>
        <v>0.03</v>
      </c>
      <c r="K28" s="83">
        <f>VLOOKUP($B28,Rentroll!$C$11:$X$29,4,FALSE)</f>
        <v>1385.09</v>
      </c>
      <c r="L28" s="81">
        <f>VLOOKUP($B28,Rentroll!$C$11:$X$29,17,FALSE)</f>
        <v>0</v>
      </c>
      <c r="M28" s="84">
        <f>VLOOKUP($B28,Rentroll!$C$11:$X$29,18,FALSE)</f>
        <v>1</v>
      </c>
      <c r="O28" s="74">
        <f t="shared" si="19"/>
        <v>8</v>
      </c>
      <c r="P28" s="75"/>
      <c r="Q28" s="75"/>
      <c r="R28" s="75">
        <f t="shared" si="20"/>
        <v>0</v>
      </c>
      <c r="S28" s="75">
        <f t="shared" si="12"/>
        <v>1</v>
      </c>
      <c r="T28" s="75">
        <f t="shared" si="12"/>
        <v>1</v>
      </c>
      <c r="U28" s="75">
        <f t="shared" si="12"/>
        <v>1</v>
      </c>
      <c r="V28" s="75">
        <f t="shared" si="12"/>
        <v>1</v>
      </c>
      <c r="W28" s="75">
        <f t="shared" si="12"/>
        <v>1</v>
      </c>
      <c r="X28" s="75">
        <f t="shared" si="12"/>
        <v>1</v>
      </c>
      <c r="Y28" s="75">
        <f t="shared" si="12"/>
        <v>1</v>
      </c>
      <c r="Z28" s="75">
        <f t="shared" si="12"/>
        <v>1</v>
      </c>
      <c r="AA28" s="75">
        <f t="shared" si="12"/>
        <v>1</v>
      </c>
      <c r="AB28" s="75">
        <f t="shared" si="12"/>
        <v>1</v>
      </c>
      <c r="AC28" s="75">
        <f t="shared" si="12"/>
        <v>1</v>
      </c>
      <c r="AD28" s="75">
        <f t="shared" si="12"/>
        <v>1</v>
      </c>
      <c r="AE28" s="75">
        <f t="shared" si="12"/>
        <v>1</v>
      </c>
      <c r="AF28" s="75">
        <f t="shared" si="12"/>
        <v>1</v>
      </c>
      <c r="AG28" s="75">
        <f t="shared" si="12"/>
        <v>1</v>
      </c>
      <c r="AH28" s="75">
        <f t="shared" si="12"/>
        <v>1</v>
      </c>
      <c r="AI28" s="75">
        <f t="shared" si="13"/>
        <v>1</v>
      </c>
      <c r="AJ28" s="75">
        <f t="shared" si="13"/>
        <v>1</v>
      </c>
      <c r="AK28" s="75">
        <f t="shared" si="13"/>
        <v>1</v>
      </c>
      <c r="AL28" s="75">
        <f t="shared" si="13"/>
        <v>1</v>
      </c>
      <c r="AM28" s="75">
        <f t="shared" si="13"/>
        <v>1</v>
      </c>
      <c r="AN28" s="75">
        <f t="shared" si="13"/>
        <v>1</v>
      </c>
      <c r="AO28" s="75">
        <f t="shared" si="13"/>
        <v>1</v>
      </c>
      <c r="AP28" s="75">
        <f t="shared" si="13"/>
        <v>1</v>
      </c>
      <c r="AQ28" s="75">
        <f t="shared" si="13"/>
        <v>1</v>
      </c>
      <c r="AR28" s="75">
        <f t="shared" si="13"/>
        <v>1</v>
      </c>
      <c r="AS28" s="75">
        <f t="shared" si="13"/>
        <v>0</v>
      </c>
      <c r="AT28" s="75">
        <f t="shared" si="13"/>
        <v>0</v>
      </c>
      <c r="AU28" s="75">
        <f t="shared" si="13"/>
        <v>0</v>
      </c>
      <c r="AV28" s="75">
        <f t="shared" si="13"/>
        <v>0</v>
      </c>
      <c r="AW28" s="75">
        <f t="shared" si="13"/>
        <v>0</v>
      </c>
      <c r="AX28" s="75">
        <f t="shared" si="13"/>
        <v>0</v>
      </c>
      <c r="AY28" s="75">
        <f t="shared" si="14"/>
        <v>0</v>
      </c>
      <c r="AZ28" s="75">
        <f t="shared" si="14"/>
        <v>0</v>
      </c>
      <c r="BA28" s="75">
        <f t="shared" si="14"/>
        <v>0</v>
      </c>
      <c r="BB28" s="75">
        <f t="shared" si="14"/>
        <v>0</v>
      </c>
      <c r="BC28" s="75">
        <f t="shared" si="14"/>
        <v>0</v>
      </c>
      <c r="BD28" s="75">
        <f t="shared" si="14"/>
        <v>0</v>
      </c>
      <c r="BE28" s="75">
        <f t="shared" si="14"/>
        <v>0</v>
      </c>
      <c r="BF28" s="75">
        <f t="shared" si="14"/>
        <v>0</v>
      </c>
      <c r="BG28" s="75">
        <f t="shared" si="14"/>
        <v>0</v>
      </c>
      <c r="BH28" s="75">
        <f t="shared" si="14"/>
        <v>0</v>
      </c>
      <c r="BI28" s="75">
        <f t="shared" si="14"/>
        <v>0</v>
      </c>
      <c r="BJ28" s="75">
        <f t="shared" si="14"/>
        <v>0</v>
      </c>
      <c r="BK28" s="75">
        <f t="shared" si="14"/>
        <v>0</v>
      </c>
      <c r="BL28" s="75">
        <f t="shared" si="14"/>
        <v>0</v>
      </c>
      <c r="BM28" s="75">
        <f t="shared" si="14"/>
        <v>0</v>
      </c>
      <c r="BN28" s="75">
        <f t="shared" si="14"/>
        <v>0</v>
      </c>
      <c r="BO28" s="75">
        <f t="shared" si="15"/>
        <v>0</v>
      </c>
      <c r="BP28" s="75">
        <f t="shared" si="15"/>
        <v>0</v>
      </c>
      <c r="BQ28" s="75">
        <f t="shared" si="15"/>
        <v>0</v>
      </c>
      <c r="BR28" s="75">
        <f t="shared" si="15"/>
        <v>0</v>
      </c>
      <c r="BS28" s="75">
        <f t="shared" si="15"/>
        <v>0</v>
      </c>
      <c r="BT28" s="75">
        <f t="shared" si="15"/>
        <v>0</v>
      </c>
      <c r="BU28" s="75">
        <f t="shared" si="15"/>
        <v>0</v>
      </c>
      <c r="BV28" s="75">
        <f t="shared" si="15"/>
        <v>0</v>
      </c>
      <c r="BW28" s="75">
        <f t="shared" si="15"/>
        <v>0</v>
      </c>
      <c r="BX28" s="75">
        <f t="shared" si="15"/>
        <v>0</v>
      </c>
      <c r="BY28" s="75">
        <f t="shared" si="15"/>
        <v>0</v>
      </c>
      <c r="BZ28" s="75">
        <f t="shared" si="15"/>
        <v>0</v>
      </c>
      <c r="CA28" s="75">
        <f t="shared" si="15"/>
        <v>0</v>
      </c>
      <c r="CB28" s="75">
        <f t="shared" si="15"/>
        <v>0</v>
      </c>
      <c r="CC28" s="75">
        <f t="shared" si="15"/>
        <v>0</v>
      </c>
      <c r="CD28" s="75">
        <f t="shared" si="15"/>
        <v>0</v>
      </c>
      <c r="CE28" s="75">
        <f t="shared" si="16"/>
        <v>0</v>
      </c>
      <c r="CF28" s="75">
        <f t="shared" si="16"/>
        <v>0</v>
      </c>
      <c r="CG28" s="75">
        <f t="shared" si="16"/>
        <v>0</v>
      </c>
      <c r="CH28" s="75">
        <f t="shared" si="16"/>
        <v>0</v>
      </c>
      <c r="CI28" s="75">
        <f t="shared" si="16"/>
        <v>0</v>
      </c>
      <c r="CJ28" s="75">
        <f t="shared" si="16"/>
        <v>0</v>
      </c>
      <c r="CK28" s="75">
        <f t="shared" si="16"/>
        <v>0</v>
      </c>
      <c r="CL28" s="75">
        <f t="shared" si="16"/>
        <v>0</v>
      </c>
      <c r="CM28" s="75">
        <f t="shared" si="16"/>
        <v>0</v>
      </c>
      <c r="CN28" s="75">
        <f t="shared" si="16"/>
        <v>0</v>
      </c>
      <c r="CO28" s="75">
        <f t="shared" si="16"/>
        <v>0</v>
      </c>
      <c r="CP28" s="75">
        <f t="shared" si="16"/>
        <v>0</v>
      </c>
      <c r="CQ28" s="75">
        <f t="shared" si="16"/>
        <v>0</v>
      </c>
      <c r="CR28" s="75">
        <f t="shared" si="16"/>
        <v>0</v>
      </c>
      <c r="CS28" s="75">
        <f t="shared" si="16"/>
        <v>0</v>
      </c>
      <c r="CT28" s="75">
        <f t="shared" si="16"/>
        <v>0</v>
      </c>
      <c r="CU28" s="75">
        <f t="shared" si="17"/>
        <v>0</v>
      </c>
      <c r="CV28" s="75">
        <f t="shared" si="17"/>
        <v>0</v>
      </c>
      <c r="CW28" s="75">
        <f t="shared" si="17"/>
        <v>0</v>
      </c>
      <c r="CX28" s="75">
        <f t="shared" si="17"/>
        <v>0</v>
      </c>
      <c r="CY28" s="75">
        <f t="shared" si="17"/>
        <v>0</v>
      </c>
      <c r="CZ28" s="75">
        <f t="shared" si="17"/>
        <v>0</v>
      </c>
      <c r="DA28" s="75">
        <f t="shared" si="17"/>
        <v>0</v>
      </c>
      <c r="DB28" s="75">
        <f t="shared" si="17"/>
        <v>0</v>
      </c>
      <c r="DC28" s="75">
        <f t="shared" si="17"/>
        <v>0</v>
      </c>
      <c r="DD28" s="75">
        <f t="shared" si="17"/>
        <v>0</v>
      </c>
      <c r="DE28" s="75">
        <f t="shared" si="17"/>
        <v>0</v>
      </c>
      <c r="DF28" s="75">
        <f t="shared" si="17"/>
        <v>0</v>
      </c>
      <c r="DG28" s="75">
        <f t="shared" si="17"/>
        <v>0</v>
      </c>
      <c r="DH28" s="75">
        <f t="shared" si="17"/>
        <v>0</v>
      </c>
      <c r="DI28" s="75">
        <f t="shared" si="17"/>
        <v>0</v>
      </c>
      <c r="DJ28" s="75">
        <f t="shared" si="17"/>
        <v>0</v>
      </c>
      <c r="DK28" s="75">
        <f t="shared" si="18"/>
        <v>0</v>
      </c>
      <c r="DL28" s="75">
        <f t="shared" si="18"/>
        <v>0</v>
      </c>
    </row>
    <row r="29" spans="2:116">
      <c r="B29" s="27">
        <f>Rentroll!$C$21</f>
        <v>7</v>
      </c>
      <c r="C29" s="69" t="str">
        <f>VLOOKUP($B29,Rentroll!$C$11:$X$29,3,FALSE)</f>
        <v>오토 커머셜</v>
      </c>
      <c r="D29" s="80">
        <f>VLOOKUP($B29,Rentroll!$C$11:$X$29,9,FALSE)</f>
        <v>44651</v>
      </c>
      <c r="E29" s="80">
        <f>VLOOKUP($B29,Rentroll!$C$11:$X$29,10,FALSE)</f>
        <v>46476</v>
      </c>
      <c r="F29" s="81">
        <f>VLOOKUP($B29,Rentroll!$C$11:$X$29,11,FALSE)</f>
        <v>60</v>
      </c>
      <c r="G29" s="69">
        <f>VLOOKUP($B29,Rentroll!$C$11:$X$29,13,FALSE)</f>
        <v>95481</v>
      </c>
      <c r="H29" s="69">
        <f>VLOOKUP($B29,Rentroll!$C$11:$X$29,14,FALSE)</f>
        <v>87524.25</v>
      </c>
      <c r="I29" s="69">
        <f>VLOOKUP($B29,Rentroll!$C$11:$X$29,15,FALSE)</f>
        <v>42436</v>
      </c>
      <c r="J29" s="82">
        <f>VLOOKUP($B29,Rentroll!$C$11:$X$29,19,FALSE)</f>
        <v>0.03</v>
      </c>
      <c r="K29" s="83">
        <f>VLOOKUP($B29,Rentroll!$C$11:$X$29,4,FALSE)</f>
        <v>1385.09</v>
      </c>
      <c r="L29" s="81">
        <f>VLOOKUP($B29,Rentroll!$C$11:$X$29,17,FALSE)</f>
        <v>0</v>
      </c>
      <c r="M29" s="84">
        <f>VLOOKUP($B29,Rentroll!$C$11:$X$29,18,FALSE)</f>
        <v>1</v>
      </c>
      <c r="O29" s="74">
        <f t="shared" si="19"/>
        <v>7</v>
      </c>
      <c r="P29" s="75"/>
      <c r="Q29" s="75"/>
      <c r="R29" s="75">
        <f t="shared" si="20"/>
        <v>0</v>
      </c>
      <c r="S29" s="75">
        <f t="shared" si="12"/>
        <v>1</v>
      </c>
      <c r="T29" s="75">
        <f t="shared" si="12"/>
        <v>1</v>
      </c>
      <c r="U29" s="75">
        <f t="shared" si="12"/>
        <v>1</v>
      </c>
      <c r="V29" s="75">
        <f t="shared" si="12"/>
        <v>1</v>
      </c>
      <c r="W29" s="75">
        <f t="shared" si="12"/>
        <v>1</v>
      </c>
      <c r="X29" s="75">
        <f t="shared" si="12"/>
        <v>1</v>
      </c>
      <c r="Y29" s="75">
        <f t="shared" si="12"/>
        <v>1</v>
      </c>
      <c r="Z29" s="75">
        <f t="shared" si="12"/>
        <v>1</v>
      </c>
      <c r="AA29" s="75">
        <f t="shared" si="12"/>
        <v>1</v>
      </c>
      <c r="AB29" s="75">
        <f t="shared" si="12"/>
        <v>1</v>
      </c>
      <c r="AC29" s="75">
        <f t="shared" si="12"/>
        <v>1</v>
      </c>
      <c r="AD29" s="75">
        <f t="shared" si="12"/>
        <v>1</v>
      </c>
      <c r="AE29" s="75">
        <f t="shared" si="12"/>
        <v>1</v>
      </c>
      <c r="AF29" s="75">
        <f t="shared" si="12"/>
        <v>1</v>
      </c>
      <c r="AG29" s="75">
        <f t="shared" si="12"/>
        <v>1</v>
      </c>
      <c r="AH29" s="75">
        <f t="shared" si="12"/>
        <v>1</v>
      </c>
      <c r="AI29" s="75">
        <f t="shared" si="13"/>
        <v>1</v>
      </c>
      <c r="AJ29" s="75">
        <f t="shared" si="13"/>
        <v>1</v>
      </c>
      <c r="AK29" s="75">
        <f t="shared" si="13"/>
        <v>1</v>
      </c>
      <c r="AL29" s="75">
        <f t="shared" si="13"/>
        <v>1</v>
      </c>
      <c r="AM29" s="75">
        <f t="shared" si="13"/>
        <v>1</v>
      </c>
      <c r="AN29" s="75">
        <f t="shared" si="13"/>
        <v>1</v>
      </c>
      <c r="AO29" s="75">
        <f t="shared" si="13"/>
        <v>1</v>
      </c>
      <c r="AP29" s="75">
        <f t="shared" si="13"/>
        <v>1</v>
      </c>
      <c r="AQ29" s="75">
        <f t="shared" si="13"/>
        <v>1</v>
      </c>
      <c r="AR29" s="75">
        <f t="shared" si="13"/>
        <v>1</v>
      </c>
      <c r="AS29" s="75">
        <f t="shared" si="13"/>
        <v>0</v>
      </c>
      <c r="AT29" s="75">
        <f t="shared" si="13"/>
        <v>0</v>
      </c>
      <c r="AU29" s="75">
        <f t="shared" si="13"/>
        <v>0</v>
      </c>
      <c r="AV29" s="75">
        <f t="shared" si="13"/>
        <v>0</v>
      </c>
      <c r="AW29" s="75">
        <f t="shared" si="13"/>
        <v>0</v>
      </c>
      <c r="AX29" s="75">
        <f t="shared" si="13"/>
        <v>0</v>
      </c>
      <c r="AY29" s="75">
        <f t="shared" si="14"/>
        <v>0</v>
      </c>
      <c r="AZ29" s="75">
        <f t="shared" si="14"/>
        <v>0</v>
      </c>
      <c r="BA29" s="75">
        <f t="shared" si="14"/>
        <v>0</v>
      </c>
      <c r="BB29" s="75">
        <f t="shared" si="14"/>
        <v>0</v>
      </c>
      <c r="BC29" s="75">
        <f t="shared" si="14"/>
        <v>0</v>
      </c>
      <c r="BD29" s="75">
        <f t="shared" si="14"/>
        <v>0</v>
      </c>
      <c r="BE29" s="75">
        <f t="shared" si="14"/>
        <v>0</v>
      </c>
      <c r="BF29" s="75">
        <f t="shared" si="14"/>
        <v>0</v>
      </c>
      <c r="BG29" s="75">
        <f t="shared" si="14"/>
        <v>0</v>
      </c>
      <c r="BH29" s="75">
        <f t="shared" si="14"/>
        <v>0</v>
      </c>
      <c r="BI29" s="75">
        <f t="shared" si="14"/>
        <v>0</v>
      </c>
      <c r="BJ29" s="75">
        <f t="shared" si="14"/>
        <v>0</v>
      </c>
      <c r="BK29" s="75">
        <f t="shared" si="14"/>
        <v>0</v>
      </c>
      <c r="BL29" s="75">
        <f t="shared" si="14"/>
        <v>0</v>
      </c>
      <c r="BM29" s="75">
        <f t="shared" si="14"/>
        <v>0</v>
      </c>
      <c r="BN29" s="75">
        <f t="shared" si="14"/>
        <v>0</v>
      </c>
      <c r="BO29" s="75">
        <f t="shared" si="15"/>
        <v>0</v>
      </c>
      <c r="BP29" s="75">
        <f t="shared" si="15"/>
        <v>0</v>
      </c>
      <c r="BQ29" s="75">
        <f t="shared" si="15"/>
        <v>0</v>
      </c>
      <c r="BR29" s="75">
        <f t="shared" si="15"/>
        <v>0</v>
      </c>
      <c r="BS29" s="75">
        <f t="shared" si="15"/>
        <v>0</v>
      </c>
      <c r="BT29" s="75">
        <f t="shared" si="15"/>
        <v>0</v>
      </c>
      <c r="BU29" s="75">
        <f t="shared" si="15"/>
        <v>0</v>
      </c>
      <c r="BV29" s="75">
        <f t="shared" si="15"/>
        <v>0</v>
      </c>
      <c r="BW29" s="75">
        <f t="shared" si="15"/>
        <v>0</v>
      </c>
      <c r="BX29" s="75">
        <f t="shared" si="15"/>
        <v>0</v>
      </c>
      <c r="BY29" s="75">
        <f t="shared" si="15"/>
        <v>0</v>
      </c>
      <c r="BZ29" s="75">
        <f t="shared" si="15"/>
        <v>0</v>
      </c>
      <c r="CA29" s="75">
        <f t="shared" si="15"/>
        <v>0</v>
      </c>
      <c r="CB29" s="75">
        <f t="shared" si="15"/>
        <v>0</v>
      </c>
      <c r="CC29" s="75">
        <f t="shared" si="15"/>
        <v>0</v>
      </c>
      <c r="CD29" s="75">
        <f t="shared" si="15"/>
        <v>0</v>
      </c>
      <c r="CE29" s="75">
        <f t="shared" si="16"/>
        <v>0</v>
      </c>
      <c r="CF29" s="75">
        <f t="shared" si="16"/>
        <v>0</v>
      </c>
      <c r="CG29" s="75">
        <f t="shared" si="16"/>
        <v>0</v>
      </c>
      <c r="CH29" s="75">
        <f t="shared" si="16"/>
        <v>0</v>
      </c>
      <c r="CI29" s="75">
        <f t="shared" si="16"/>
        <v>0</v>
      </c>
      <c r="CJ29" s="75">
        <f t="shared" si="16"/>
        <v>0</v>
      </c>
      <c r="CK29" s="75">
        <f t="shared" si="16"/>
        <v>0</v>
      </c>
      <c r="CL29" s="75">
        <f t="shared" si="16"/>
        <v>0</v>
      </c>
      <c r="CM29" s="75">
        <f t="shared" si="16"/>
        <v>0</v>
      </c>
      <c r="CN29" s="75">
        <f t="shared" si="16"/>
        <v>0</v>
      </c>
      <c r="CO29" s="75">
        <f t="shared" si="16"/>
        <v>0</v>
      </c>
      <c r="CP29" s="75">
        <f t="shared" si="16"/>
        <v>0</v>
      </c>
      <c r="CQ29" s="75">
        <f t="shared" si="16"/>
        <v>0</v>
      </c>
      <c r="CR29" s="75">
        <f t="shared" si="16"/>
        <v>0</v>
      </c>
      <c r="CS29" s="75">
        <f t="shared" si="16"/>
        <v>0</v>
      </c>
      <c r="CT29" s="75">
        <f t="shared" si="16"/>
        <v>0</v>
      </c>
      <c r="CU29" s="75">
        <f t="shared" si="17"/>
        <v>0</v>
      </c>
      <c r="CV29" s="75">
        <f t="shared" si="17"/>
        <v>0</v>
      </c>
      <c r="CW29" s="75">
        <f t="shared" si="17"/>
        <v>0</v>
      </c>
      <c r="CX29" s="75">
        <f t="shared" si="17"/>
        <v>0</v>
      </c>
      <c r="CY29" s="75">
        <f t="shared" si="17"/>
        <v>0</v>
      </c>
      <c r="CZ29" s="75">
        <f t="shared" si="17"/>
        <v>0</v>
      </c>
      <c r="DA29" s="75">
        <f t="shared" si="17"/>
        <v>0</v>
      </c>
      <c r="DB29" s="75">
        <f t="shared" si="17"/>
        <v>0</v>
      </c>
      <c r="DC29" s="75">
        <f t="shared" si="17"/>
        <v>0</v>
      </c>
      <c r="DD29" s="75">
        <f t="shared" si="17"/>
        <v>0</v>
      </c>
      <c r="DE29" s="75">
        <f t="shared" si="17"/>
        <v>0</v>
      </c>
      <c r="DF29" s="75">
        <f t="shared" si="17"/>
        <v>0</v>
      </c>
      <c r="DG29" s="75">
        <f t="shared" si="17"/>
        <v>0</v>
      </c>
      <c r="DH29" s="75">
        <f t="shared" si="17"/>
        <v>0</v>
      </c>
      <c r="DI29" s="75">
        <f t="shared" si="17"/>
        <v>0</v>
      </c>
      <c r="DJ29" s="75">
        <f t="shared" si="17"/>
        <v>0</v>
      </c>
      <c r="DK29" s="75">
        <f t="shared" si="18"/>
        <v>0</v>
      </c>
      <c r="DL29" s="75">
        <f t="shared" si="18"/>
        <v>0</v>
      </c>
    </row>
    <row r="30" spans="2:116">
      <c r="B30" s="27">
        <f>Rentroll!$C$22</f>
        <v>6</v>
      </c>
      <c r="C30" s="69" t="str">
        <f>VLOOKUP($B30,Rentroll!$C$11:$X$29,3,FALSE)</f>
        <v>오토 커머셜</v>
      </c>
      <c r="D30" s="80">
        <f>VLOOKUP($B30,Rentroll!$C$11:$X$29,9,FALSE)</f>
        <v>44651</v>
      </c>
      <c r="E30" s="80">
        <f>VLOOKUP($B30,Rentroll!$C$11:$X$29,10,FALSE)</f>
        <v>46476</v>
      </c>
      <c r="F30" s="81">
        <f>VLOOKUP($B30,Rentroll!$C$11:$X$29,11,FALSE)</f>
        <v>60</v>
      </c>
      <c r="G30" s="69">
        <f>VLOOKUP($B30,Rentroll!$C$11:$X$29,13,FALSE)</f>
        <v>95481</v>
      </c>
      <c r="H30" s="69">
        <f>VLOOKUP($B30,Rentroll!$C$11:$X$29,14,FALSE)</f>
        <v>87524.25</v>
      </c>
      <c r="I30" s="69">
        <f>VLOOKUP($B30,Rentroll!$C$11:$X$29,15,FALSE)</f>
        <v>42436</v>
      </c>
      <c r="J30" s="82">
        <f>VLOOKUP($B30,Rentroll!$C$11:$X$29,19,FALSE)</f>
        <v>0.03</v>
      </c>
      <c r="K30" s="83">
        <f>VLOOKUP($B30,Rentroll!$C$11:$X$29,4,FALSE)</f>
        <v>1385.09</v>
      </c>
      <c r="L30" s="81">
        <f>VLOOKUP($B30,Rentroll!$C$11:$X$29,17,FALSE)</f>
        <v>0</v>
      </c>
      <c r="M30" s="84">
        <f>VLOOKUP($B30,Rentroll!$C$11:$X$29,18,FALSE)</f>
        <v>1</v>
      </c>
      <c r="O30" s="74">
        <f t="shared" si="19"/>
        <v>6</v>
      </c>
      <c r="P30" s="75"/>
      <c r="Q30" s="75"/>
      <c r="R30" s="75">
        <f t="shared" si="20"/>
        <v>0</v>
      </c>
      <c r="S30" s="75">
        <f t="shared" si="12"/>
        <v>1</v>
      </c>
      <c r="T30" s="75">
        <f t="shared" si="12"/>
        <v>1</v>
      </c>
      <c r="U30" s="75">
        <f t="shared" si="12"/>
        <v>1</v>
      </c>
      <c r="V30" s="75">
        <f t="shared" si="12"/>
        <v>1</v>
      </c>
      <c r="W30" s="75">
        <f t="shared" si="12"/>
        <v>1</v>
      </c>
      <c r="X30" s="75">
        <f t="shared" si="12"/>
        <v>1</v>
      </c>
      <c r="Y30" s="75">
        <f t="shared" si="12"/>
        <v>1</v>
      </c>
      <c r="Z30" s="75">
        <f t="shared" si="12"/>
        <v>1</v>
      </c>
      <c r="AA30" s="75">
        <f t="shared" si="12"/>
        <v>1</v>
      </c>
      <c r="AB30" s="75">
        <f t="shared" si="12"/>
        <v>1</v>
      </c>
      <c r="AC30" s="75">
        <f t="shared" si="12"/>
        <v>1</v>
      </c>
      <c r="AD30" s="75">
        <f t="shared" si="12"/>
        <v>1</v>
      </c>
      <c r="AE30" s="75">
        <f t="shared" si="12"/>
        <v>1</v>
      </c>
      <c r="AF30" s="75">
        <f t="shared" si="12"/>
        <v>1</v>
      </c>
      <c r="AG30" s="75">
        <f t="shared" si="12"/>
        <v>1</v>
      </c>
      <c r="AH30" s="75">
        <f t="shared" si="12"/>
        <v>1</v>
      </c>
      <c r="AI30" s="75">
        <f t="shared" si="13"/>
        <v>1</v>
      </c>
      <c r="AJ30" s="75">
        <f t="shared" si="13"/>
        <v>1</v>
      </c>
      <c r="AK30" s="75">
        <f t="shared" si="13"/>
        <v>1</v>
      </c>
      <c r="AL30" s="75">
        <f t="shared" si="13"/>
        <v>1</v>
      </c>
      <c r="AM30" s="75">
        <f t="shared" si="13"/>
        <v>1</v>
      </c>
      <c r="AN30" s="75">
        <f t="shared" si="13"/>
        <v>1</v>
      </c>
      <c r="AO30" s="75">
        <f t="shared" si="13"/>
        <v>1</v>
      </c>
      <c r="AP30" s="75">
        <f t="shared" si="13"/>
        <v>1</v>
      </c>
      <c r="AQ30" s="75">
        <f t="shared" si="13"/>
        <v>1</v>
      </c>
      <c r="AR30" s="75">
        <f t="shared" si="13"/>
        <v>1</v>
      </c>
      <c r="AS30" s="75">
        <f t="shared" si="13"/>
        <v>0</v>
      </c>
      <c r="AT30" s="75">
        <f t="shared" si="13"/>
        <v>0</v>
      </c>
      <c r="AU30" s="75">
        <f t="shared" si="13"/>
        <v>0</v>
      </c>
      <c r="AV30" s="75">
        <f t="shared" si="13"/>
        <v>0</v>
      </c>
      <c r="AW30" s="75">
        <f t="shared" si="13"/>
        <v>0</v>
      </c>
      <c r="AX30" s="75">
        <f t="shared" si="13"/>
        <v>0</v>
      </c>
      <c r="AY30" s="75">
        <f t="shared" si="14"/>
        <v>0</v>
      </c>
      <c r="AZ30" s="75">
        <f t="shared" si="14"/>
        <v>0</v>
      </c>
      <c r="BA30" s="75">
        <f t="shared" si="14"/>
        <v>0</v>
      </c>
      <c r="BB30" s="75">
        <f t="shared" si="14"/>
        <v>0</v>
      </c>
      <c r="BC30" s="75">
        <f t="shared" si="14"/>
        <v>0</v>
      </c>
      <c r="BD30" s="75">
        <f t="shared" si="14"/>
        <v>0</v>
      </c>
      <c r="BE30" s="75">
        <f t="shared" si="14"/>
        <v>0</v>
      </c>
      <c r="BF30" s="75">
        <f t="shared" si="14"/>
        <v>0</v>
      </c>
      <c r="BG30" s="75">
        <f t="shared" si="14"/>
        <v>0</v>
      </c>
      <c r="BH30" s="75">
        <f t="shared" si="14"/>
        <v>0</v>
      </c>
      <c r="BI30" s="75">
        <f t="shared" si="14"/>
        <v>0</v>
      </c>
      <c r="BJ30" s="75">
        <f t="shared" si="14"/>
        <v>0</v>
      </c>
      <c r="BK30" s="75">
        <f t="shared" si="14"/>
        <v>0</v>
      </c>
      <c r="BL30" s="75">
        <f t="shared" si="14"/>
        <v>0</v>
      </c>
      <c r="BM30" s="75">
        <f t="shared" si="14"/>
        <v>0</v>
      </c>
      <c r="BN30" s="75">
        <f t="shared" si="14"/>
        <v>0</v>
      </c>
      <c r="BO30" s="75">
        <f t="shared" si="15"/>
        <v>0</v>
      </c>
      <c r="BP30" s="75">
        <f t="shared" si="15"/>
        <v>0</v>
      </c>
      <c r="BQ30" s="75">
        <f t="shared" si="15"/>
        <v>0</v>
      </c>
      <c r="BR30" s="75">
        <f t="shared" si="15"/>
        <v>0</v>
      </c>
      <c r="BS30" s="75">
        <f t="shared" si="15"/>
        <v>0</v>
      </c>
      <c r="BT30" s="75">
        <f t="shared" si="15"/>
        <v>0</v>
      </c>
      <c r="BU30" s="75">
        <f t="shared" si="15"/>
        <v>0</v>
      </c>
      <c r="BV30" s="75">
        <f t="shared" si="15"/>
        <v>0</v>
      </c>
      <c r="BW30" s="75">
        <f t="shared" si="15"/>
        <v>0</v>
      </c>
      <c r="BX30" s="75">
        <f t="shared" si="15"/>
        <v>0</v>
      </c>
      <c r="BY30" s="75">
        <f t="shared" si="15"/>
        <v>0</v>
      </c>
      <c r="BZ30" s="75">
        <f t="shared" si="15"/>
        <v>0</v>
      </c>
      <c r="CA30" s="75">
        <f t="shared" si="15"/>
        <v>0</v>
      </c>
      <c r="CB30" s="75">
        <f t="shared" si="15"/>
        <v>0</v>
      </c>
      <c r="CC30" s="75">
        <f t="shared" si="15"/>
        <v>0</v>
      </c>
      <c r="CD30" s="75">
        <f t="shared" si="15"/>
        <v>0</v>
      </c>
      <c r="CE30" s="75">
        <f t="shared" si="16"/>
        <v>0</v>
      </c>
      <c r="CF30" s="75">
        <f t="shared" si="16"/>
        <v>0</v>
      </c>
      <c r="CG30" s="75">
        <f t="shared" si="16"/>
        <v>0</v>
      </c>
      <c r="CH30" s="75">
        <f t="shared" si="16"/>
        <v>0</v>
      </c>
      <c r="CI30" s="75">
        <f t="shared" si="16"/>
        <v>0</v>
      </c>
      <c r="CJ30" s="75">
        <f t="shared" si="16"/>
        <v>0</v>
      </c>
      <c r="CK30" s="75">
        <f t="shared" si="16"/>
        <v>0</v>
      </c>
      <c r="CL30" s="75">
        <f t="shared" si="16"/>
        <v>0</v>
      </c>
      <c r="CM30" s="75">
        <f t="shared" si="16"/>
        <v>0</v>
      </c>
      <c r="CN30" s="75">
        <f t="shared" si="16"/>
        <v>0</v>
      </c>
      <c r="CO30" s="75">
        <f t="shared" si="16"/>
        <v>0</v>
      </c>
      <c r="CP30" s="75">
        <f t="shared" si="16"/>
        <v>0</v>
      </c>
      <c r="CQ30" s="75">
        <f t="shared" si="16"/>
        <v>0</v>
      </c>
      <c r="CR30" s="75">
        <f t="shared" si="16"/>
        <v>0</v>
      </c>
      <c r="CS30" s="75">
        <f t="shared" si="16"/>
        <v>0</v>
      </c>
      <c r="CT30" s="75">
        <f t="shared" si="16"/>
        <v>0</v>
      </c>
      <c r="CU30" s="75">
        <f t="shared" si="17"/>
        <v>0</v>
      </c>
      <c r="CV30" s="75">
        <f t="shared" si="17"/>
        <v>0</v>
      </c>
      <c r="CW30" s="75">
        <f t="shared" si="17"/>
        <v>0</v>
      </c>
      <c r="CX30" s="75">
        <f t="shared" si="17"/>
        <v>0</v>
      </c>
      <c r="CY30" s="75">
        <f t="shared" si="17"/>
        <v>0</v>
      </c>
      <c r="CZ30" s="75">
        <f t="shared" si="17"/>
        <v>0</v>
      </c>
      <c r="DA30" s="75">
        <f t="shared" si="17"/>
        <v>0</v>
      </c>
      <c r="DB30" s="75">
        <f t="shared" si="17"/>
        <v>0</v>
      </c>
      <c r="DC30" s="75">
        <f t="shared" si="17"/>
        <v>0</v>
      </c>
      <c r="DD30" s="75">
        <f t="shared" si="17"/>
        <v>0</v>
      </c>
      <c r="DE30" s="75">
        <f t="shared" si="17"/>
        <v>0</v>
      </c>
      <c r="DF30" s="75">
        <f t="shared" si="17"/>
        <v>0</v>
      </c>
      <c r="DG30" s="75">
        <f t="shared" si="17"/>
        <v>0</v>
      </c>
      <c r="DH30" s="75">
        <f t="shared" si="17"/>
        <v>0</v>
      </c>
      <c r="DI30" s="75">
        <f t="shared" si="17"/>
        <v>0</v>
      </c>
      <c r="DJ30" s="75">
        <f t="shared" si="17"/>
        <v>0</v>
      </c>
      <c r="DK30" s="75">
        <f t="shared" si="18"/>
        <v>0</v>
      </c>
      <c r="DL30" s="75">
        <f t="shared" si="18"/>
        <v>0</v>
      </c>
    </row>
    <row r="31" spans="2:116">
      <c r="B31" s="27">
        <f>Rentroll!$C$23</f>
        <v>5</v>
      </c>
      <c r="C31" s="69" t="str">
        <f>VLOOKUP($B31,Rentroll!$C$11:$X$29,3,FALSE)</f>
        <v>공실</v>
      </c>
      <c r="D31" s="80"/>
      <c r="E31" s="80"/>
      <c r="F31" s="81">
        <f>VLOOKUP($B31,Rentroll!$C$11:$X$29,11,FALSE)</f>
        <v>0</v>
      </c>
      <c r="G31" s="69">
        <f>VLOOKUP($B31,Rentroll!$C$11:$X$29,13,FALSE)</f>
        <v>0</v>
      </c>
      <c r="H31" s="69">
        <f>VLOOKUP($B31,Rentroll!$C$11:$X$29,14,FALSE)</f>
        <v>0</v>
      </c>
      <c r="I31" s="69">
        <f>VLOOKUP($B31,Rentroll!$C$11:$X$29,15,FALSE)</f>
        <v>0</v>
      </c>
      <c r="J31" s="82">
        <f>VLOOKUP($B31,Rentroll!$C$11:$X$29,19,FALSE)</f>
        <v>0</v>
      </c>
      <c r="K31" s="83">
        <f>VLOOKUP($B31,Rentroll!$C$11:$X$29,4,FALSE)</f>
        <v>1385.09</v>
      </c>
      <c r="L31" s="81">
        <f>VLOOKUP($B31,Rentroll!$C$11:$X$29,17,FALSE)</f>
        <v>0</v>
      </c>
      <c r="M31" s="84">
        <f>VLOOKUP($B31,Rentroll!$C$11:$X$29,18,FALSE)</f>
        <v>0</v>
      </c>
      <c r="O31" s="74">
        <f t="shared" si="19"/>
        <v>5</v>
      </c>
      <c r="P31" s="75"/>
      <c r="Q31" s="75"/>
      <c r="R31" s="75">
        <f t="shared" si="20"/>
        <v>0</v>
      </c>
      <c r="S31" s="75">
        <f t="shared" si="12"/>
        <v>0</v>
      </c>
      <c r="T31" s="75">
        <f t="shared" si="12"/>
        <v>0</v>
      </c>
      <c r="U31" s="75">
        <f t="shared" si="12"/>
        <v>0</v>
      </c>
      <c r="V31" s="75">
        <f t="shared" si="12"/>
        <v>0</v>
      </c>
      <c r="W31" s="75">
        <f t="shared" si="12"/>
        <v>0</v>
      </c>
      <c r="X31" s="75">
        <f t="shared" si="12"/>
        <v>0</v>
      </c>
      <c r="Y31" s="75">
        <f t="shared" si="12"/>
        <v>0</v>
      </c>
      <c r="Z31" s="75">
        <f t="shared" si="12"/>
        <v>0</v>
      </c>
      <c r="AA31" s="75">
        <f t="shared" si="12"/>
        <v>0</v>
      </c>
      <c r="AB31" s="75">
        <f t="shared" si="12"/>
        <v>0</v>
      </c>
      <c r="AC31" s="75">
        <f t="shared" si="12"/>
        <v>0</v>
      </c>
      <c r="AD31" s="75">
        <f t="shared" si="12"/>
        <v>0</v>
      </c>
      <c r="AE31" s="75">
        <f t="shared" si="12"/>
        <v>0</v>
      </c>
      <c r="AF31" s="75">
        <f t="shared" si="12"/>
        <v>0</v>
      </c>
      <c r="AG31" s="75">
        <f t="shared" si="12"/>
        <v>0</v>
      </c>
      <c r="AH31" s="75">
        <f t="shared" si="12"/>
        <v>0</v>
      </c>
      <c r="AI31" s="75">
        <f t="shared" si="13"/>
        <v>0</v>
      </c>
      <c r="AJ31" s="75">
        <f t="shared" si="13"/>
        <v>0</v>
      </c>
      <c r="AK31" s="75">
        <f t="shared" si="13"/>
        <v>0</v>
      </c>
      <c r="AL31" s="75">
        <f t="shared" si="13"/>
        <v>0</v>
      </c>
      <c r="AM31" s="75">
        <f t="shared" si="13"/>
        <v>0</v>
      </c>
      <c r="AN31" s="75">
        <f t="shared" si="13"/>
        <v>0</v>
      </c>
      <c r="AO31" s="75">
        <f t="shared" si="13"/>
        <v>0</v>
      </c>
      <c r="AP31" s="75">
        <f t="shared" si="13"/>
        <v>0</v>
      </c>
      <c r="AQ31" s="75">
        <f t="shared" si="13"/>
        <v>0</v>
      </c>
      <c r="AR31" s="75">
        <f t="shared" si="13"/>
        <v>0</v>
      </c>
      <c r="AS31" s="75">
        <f t="shared" si="13"/>
        <v>0</v>
      </c>
      <c r="AT31" s="75">
        <f t="shared" si="13"/>
        <v>0</v>
      </c>
      <c r="AU31" s="75">
        <f t="shared" si="13"/>
        <v>0</v>
      </c>
      <c r="AV31" s="75">
        <f t="shared" si="13"/>
        <v>0</v>
      </c>
      <c r="AW31" s="75">
        <f t="shared" si="13"/>
        <v>0</v>
      </c>
      <c r="AX31" s="75">
        <f t="shared" si="13"/>
        <v>0</v>
      </c>
      <c r="AY31" s="75">
        <f t="shared" si="14"/>
        <v>0</v>
      </c>
      <c r="AZ31" s="75">
        <f t="shared" si="14"/>
        <v>0</v>
      </c>
      <c r="BA31" s="75">
        <f t="shared" si="14"/>
        <v>0</v>
      </c>
      <c r="BB31" s="75">
        <f t="shared" si="14"/>
        <v>0</v>
      </c>
      <c r="BC31" s="75">
        <f t="shared" si="14"/>
        <v>0</v>
      </c>
      <c r="BD31" s="75">
        <f t="shared" si="14"/>
        <v>0</v>
      </c>
      <c r="BE31" s="75">
        <f t="shared" si="14"/>
        <v>0</v>
      </c>
      <c r="BF31" s="75">
        <f t="shared" si="14"/>
        <v>0</v>
      </c>
      <c r="BG31" s="75">
        <f t="shared" si="14"/>
        <v>0</v>
      </c>
      <c r="BH31" s="75">
        <f t="shared" si="14"/>
        <v>0</v>
      </c>
      <c r="BI31" s="75">
        <f t="shared" si="14"/>
        <v>0</v>
      </c>
      <c r="BJ31" s="75">
        <f t="shared" si="14"/>
        <v>0</v>
      </c>
      <c r="BK31" s="75">
        <f t="shared" si="14"/>
        <v>0</v>
      </c>
      <c r="BL31" s="75">
        <f t="shared" si="14"/>
        <v>0</v>
      </c>
      <c r="BM31" s="75">
        <f t="shared" si="14"/>
        <v>0</v>
      </c>
      <c r="BN31" s="75">
        <f t="shared" si="14"/>
        <v>0</v>
      </c>
      <c r="BO31" s="75">
        <f t="shared" si="15"/>
        <v>0</v>
      </c>
      <c r="BP31" s="75">
        <f t="shared" si="15"/>
        <v>0</v>
      </c>
      <c r="BQ31" s="75">
        <f t="shared" si="15"/>
        <v>0</v>
      </c>
      <c r="BR31" s="75">
        <f t="shared" si="15"/>
        <v>0</v>
      </c>
      <c r="BS31" s="75">
        <f t="shared" si="15"/>
        <v>0</v>
      </c>
      <c r="BT31" s="75">
        <f t="shared" si="15"/>
        <v>0</v>
      </c>
      <c r="BU31" s="75">
        <f t="shared" si="15"/>
        <v>0</v>
      </c>
      <c r="BV31" s="75">
        <f t="shared" si="15"/>
        <v>0</v>
      </c>
      <c r="BW31" s="75">
        <f t="shared" si="15"/>
        <v>0</v>
      </c>
      <c r="BX31" s="75">
        <f t="shared" si="15"/>
        <v>0</v>
      </c>
      <c r="BY31" s="75">
        <f t="shared" si="15"/>
        <v>0</v>
      </c>
      <c r="BZ31" s="75">
        <f t="shared" si="15"/>
        <v>0</v>
      </c>
      <c r="CA31" s="75">
        <f t="shared" si="15"/>
        <v>0</v>
      </c>
      <c r="CB31" s="75">
        <f t="shared" si="15"/>
        <v>0</v>
      </c>
      <c r="CC31" s="75">
        <f t="shared" si="15"/>
        <v>0</v>
      </c>
      <c r="CD31" s="75">
        <f t="shared" si="15"/>
        <v>0</v>
      </c>
      <c r="CE31" s="75">
        <f t="shared" si="16"/>
        <v>0</v>
      </c>
      <c r="CF31" s="75">
        <f t="shared" si="16"/>
        <v>0</v>
      </c>
      <c r="CG31" s="75">
        <f t="shared" si="16"/>
        <v>0</v>
      </c>
      <c r="CH31" s="75">
        <f t="shared" si="16"/>
        <v>0</v>
      </c>
      <c r="CI31" s="75">
        <f t="shared" si="16"/>
        <v>0</v>
      </c>
      <c r="CJ31" s="75">
        <f t="shared" si="16"/>
        <v>0</v>
      </c>
      <c r="CK31" s="75">
        <f t="shared" si="16"/>
        <v>0</v>
      </c>
      <c r="CL31" s="75">
        <f t="shared" si="16"/>
        <v>0</v>
      </c>
      <c r="CM31" s="75">
        <f t="shared" si="16"/>
        <v>0</v>
      </c>
      <c r="CN31" s="75">
        <f t="shared" si="16"/>
        <v>0</v>
      </c>
      <c r="CO31" s="75">
        <f t="shared" si="16"/>
        <v>0</v>
      </c>
      <c r="CP31" s="75">
        <f t="shared" si="16"/>
        <v>0</v>
      </c>
      <c r="CQ31" s="75">
        <f t="shared" si="16"/>
        <v>0</v>
      </c>
      <c r="CR31" s="75">
        <f t="shared" si="16"/>
        <v>0</v>
      </c>
      <c r="CS31" s="75">
        <f t="shared" si="16"/>
        <v>0</v>
      </c>
      <c r="CT31" s="75">
        <f t="shared" si="16"/>
        <v>0</v>
      </c>
      <c r="CU31" s="75">
        <f t="shared" si="17"/>
        <v>0</v>
      </c>
      <c r="CV31" s="75">
        <f t="shared" si="17"/>
        <v>0</v>
      </c>
      <c r="CW31" s="75">
        <f t="shared" si="17"/>
        <v>0</v>
      </c>
      <c r="CX31" s="75">
        <f t="shared" si="17"/>
        <v>0</v>
      </c>
      <c r="CY31" s="75">
        <f t="shared" si="17"/>
        <v>0</v>
      </c>
      <c r="CZ31" s="75">
        <f t="shared" si="17"/>
        <v>0</v>
      </c>
      <c r="DA31" s="75">
        <f t="shared" si="17"/>
        <v>0</v>
      </c>
      <c r="DB31" s="75">
        <f t="shared" si="17"/>
        <v>0</v>
      </c>
      <c r="DC31" s="75">
        <f t="shared" si="17"/>
        <v>0</v>
      </c>
      <c r="DD31" s="75">
        <f t="shared" si="17"/>
        <v>0</v>
      </c>
      <c r="DE31" s="75">
        <f t="shared" si="17"/>
        <v>0</v>
      </c>
      <c r="DF31" s="75">
        <f t="shared" si="17"/>
        <v>0</v>
      </c>
      <c r="DG31" s="75">
        <f t="shared" si="17"/>
        <v>0</v>
      </c>
      <c r="DH31" s="75">
        <f t="shared" si="17"/>
        <v>0</v>
      </c>
      <c r="DI31" s="75">
        <f t="shared" si="17"/>
        <v>0</v>
      </c>
      <c r="DJ31" s="75">
        <f t="shared" si="17"/>
        <v>0</v>
      </c>
      <c r="DK31" s="75">
        <f t="shared" si="18"/>
        <v>0</v>
      </c>
      <c r="DL31" s="75">
        <f t="shared" si="18"/>
        <v>0</v>
      </c>
    </row>
    <row r="32" spans="2:116">
      <c r="B32" s="27">
        <f>Rentroll!$C$24</f>
        <v>4</v>
      </c>
      <c r="C32" s="69" t="str">
        <f>VLOOKUP($B32,Rentroll!$C$11:$X$29,3,FALSE)</f>
        <v>공실</v>
      </c>
      <c r="D32" s="80"/>
      <c r="E32" s="80"/>
      <c r="F32" s="81">
        <f>VLOOKUP($B32,Rentroll!$C$11:$X$29,11,FALSE)</f>
        <v>0</v>
      </c>
      <c r="G32" s="69">
        <f>VLOOKUP($B32,Rentroll!$C$11:$X$29,13,FALSE)</f>
        <v>0</v>
      </c>
      <c r="H32" s="69">
        <f>VLOOKUP($B32,Rentroll!$C$11:$X$29,14,FALSE)</f>
        <v>0</v>
      </c>
      <c r="I32" s="69">
        <f>VLOOKUP($B32,Rentroll!$C$11:$X$29,15,FALSE)</f>
        <v>0</v>
      </c>
      <c r="J32" s="82">
        <f>VLOOKUP($B32,Rentroll!$C$11:$X$29,19,FALSE)</f>
        <v>0</v>
      </c>
      <c r="K32" s="83">
        <f>VLOOKUP($B32,Rentroll!$C$11:$X$29,4,FALSE)</f>
        <v>1385.09</v>
      </c>
      <c r="L32" s="81">
        <f>VLOOKUP($B32,Rentroll!$C$11:$X$29,17,FALSE)</f>
        <v>0</v>
      </c>
      <c r="M32" s="84">
        <f>VLOOKUP($B32,Rentroll!$C$11:$X$29,18,FALSE)</f>
        <v>0</v>
      </c>
      <c r="O32" s="74">
        <f t="shared" si="19"/>
        <v>4</v>
      </c>
      <c r="P32" s="75"/>
      <c r="Q32" s="75"/>
      <c r="R32" s="75">
        <f t="shared" si="20"/>
        <v>0</v>
      </c>
      <c r="S32" s="75">
        <f t="shared" si="12"/>
        <v>0</v>
      </c>
      <c r="T32" s="75">
        <f t="shared" si="12"/>
        <v>0</v>
      </c>
      <c r="U32" s="75">
        <f t="shared" si="12"/>
        <v>0</v>
      </c>
      <c r="V32" s="75">
        <f t="shared" si="12"/>
        <v>0</v>
      </c>
      <c r="W32" s="75">
        <f t="shared" si="12"/>
        <v>0</v>
      </c>
      <c r="X32" s="75">
        <f t="shared" si="12"/>
        <v>0</v>
      </c>
      <c r="Y32" s="75">
        <f t="shared" si="12"/>
        <v>0</v>
      </c>
      <c r="Z32" s="75">
        <f t="shared" si="12"/>
        <v>0</v>
      </c>
      <c r="AA32" s="75">
        <f t="shared" si="12"/>
        <v>0</v>
      </c>
      <c r="AB32" s="75">
        <f t="shared" si="12"/>
        <v>0</v>
      </c>
      <c r="AC32" s="75">
        <f t="shared" si="12"/>
        <v>0</v>
      </c>
      <c r="AD32" s="75">
        <f t="shared" si="12"/>
        <v>0</v>
      </c>
      <c r="AE32" s="75">
        <f t="shared" si="12"/>
        <v>0</v>
      </c>
      <c r="AF32" s="75">
        <f t="shared" si="12"/>
        <v>0</v>
      </c>
      <c r="AG32" s="75">
        <f t="shared" si="12"/>
        <v>0</v>
      </c>
      <c r="AH32" s="75">
        <f t="shared" si="12"/>
        <v>0</v>
      </c>
      <c r="AI32" s="75">
        <f t="shared" si="13"/>
        <v>0</v>
      </c>
      <c r="AJ32" s="75">
        <f t="shared" si="13"/>
        <v>0</v>
      </c>
      <c r="AK32" s="75">
        <f t="shared" si="13"/>
        <v>0</v>
      </c>
      <c r="AL32" s="75">
        <f t="shared" si="13"/>
        <v>0</v>
      </c>
      <c r="AM32" s="75">
        <f t="shared" si="13"/>
        <v>0</v>
      </c>
      <c r="AN32" s="75">
        <f t="shared" si="13"/>
        <v>0</v>
      </c>
      <c r="AO32" s="75">
        <f t="shared" si="13"/>
        <v>0</v>
      </c>
      <c r="AP32" s="75">
        <f t="shared" si="13"/>
        <v>0</v>
      </c>
      <c r="AQ32" s="75">
        <f t="shared" si="13"/>
        <v>0</v>
      </c>
      <c r="AR32" s="75">
        <f t="shared" si="13"/>
        <v>0</v>
      </c>
      <c r="AS32" s="75">
        <f t="shared" si="13"/>
        <v>0</v>
      </c>
      <c r="AT32" s="75">
        <f t="shared" si="13"/>
        <v>0</v>
      </c>
      <c r="AU32" s="75">
        <f t="shared" si="13"/>
        <v>0</v>
      </c>
      <c r="AV32" s="75">
        <f t="shared" si="13"/>
        <v>0</v>
      </c>
      <c r="AW32" s="75">
        <f t="shared" si="13"/>
        <v>0</v>
      </c>
      <c r="AX32" s="75">
        <f t="shared" si="13"/>
        <v>0</v>
      </c>
      <c r="AY32" s="75">
        <f t="shared" si="14"/>
        <v>0</v>
      </c>
      <c r="AZ32" s="75">
        <f t="shared" si="14"/>
        <v>0</v>
      </c>
      <c r="BA32" s="75">
        <f t="shared" si="14"/>
        <v>0</v>
      </c>
      <c r="BB32" s="75">
        <f t="shared" si="14"/>
        <v>0</v>
      </c>
      <c r="BC32" s="75">
        <f t="shared" si="14"/>
        <v>0</v>
      </c>
      <c r="BD32" s="75">
        <f t="shared" si="14"/>
        <v>0</v>
      </c>
      <c r="BE32" s="75">
        <f t="shared" si="14"/>
        <v>0</v>
      </c>
      <c r="BF32" s="75">
        <f t="shared" si="14"/>
        <v>0</v>
      </c>
      <c r="BG32" s="75">
        <f t="shared" si="14"/>
        <v>0</v>
      </c>
      <c r="BH32" s="75">
        <f t="shared" si="14"/>
        <v>0</v>
      </c>
      <c r="BI32" s="75">
        <f t="shared" si="14"/>
        <v>0</v>
      </c>
      <c r="BJ32" s="75">
        <f t="shared" si="14"/>
        <v>0</v>
      </c>
      <c r="BK32" s="75">
        <f t="shared" si="14"/>
        <v>0</v>
      </c>
      <c r="BL32" s="75">
        <f t="shared" si="14"/>
        <v>0</v>
      </c>
      <c r="BM32" s="75">
        <f t="shared" si="14"/>
        <v>0</v>
      </c>
      <c r="BN32" s="75">
        <f t="shared" si="14"/>
        <v>0</v>
      </c>
      <c r="BO32" s="75">
        <f t="shared" si="15"/>
        <v>0</v>
      </c>
      <c r="BP32" s="75">
        <f t="shared" si="15"/>
        <v>0</v>
      </c>
      <c r="BQ32" s="75">
        <f t="shared" si="15"/>
        <v>0</v>
      </c>
      <c r="BR32" s="75">
        <f t="shared" si="15"/>
        <v>0</v>
      </c>
      <c r="BS32" s="75">
        <f t="shared" si="15"/>
        <v>0</v>
      </c>
      <c r="BT32" s="75">
        <f t="shared" si="15"/>
        <v>0</v>
      </c>
      <c r="BU32" s="75">
        <f t="shared" si="15"/>
        <v>0</v>
      </c>
      <c r="BV32" s="75">
        <f t="shared" si="15"/>
        <v>0</v>
      </c>
      <c r="BW32" s="75">
        <f t="shared" si="15"/>
        <v>0</v>
      </c>
      <c r="BX32" s="75">
        <f t="shared" si="15"/>
        <v>0</v>
      </c>
      <c r="BY32" s="75">
        <f t="shared" si="15"/>
        <v>0</v>
      </c>
      <c r="BZ32" s="75">
        <f t="shared" si="15"/>
        <v>0</v>
      </c>
      <c r="CA32" s="75">
        <f t="shared" si="15"/>
        <v>0</v>
      </c>
      <c r="CB32" s="75">
        <f t="shared" si="15"/>
        <v>0</v>
      </c>
      <c r="CC32" s="75">
        <f t="shared" si="15"/>
        <v>0</v>
      </c>
      <c r="CD32" s="75">
        <f t="shared" si="15"/>
        <v>0</v>
      </c>
      <c r="CE32" s="75">
        <f t="shared" si="16"/>
        <v>0</v>
      </c>
      <c r="CF32" s="75">
        <f t="shared" si="16"/>
        <v>0</v>
      </c>
      <c r="CG32" s="75">
        <f t="shared" si="16"/>
        <v>0</v>
      </c>
      <c r="CH32" s="75">
        <f t="shared" si="16"/>
        <v>0</v>
      </c>
      <c r="CI32" s="75">
        <f t="shared" si="16"/>
        <v>0</v>
      </c>
      <c r="CJ32" s="75">
        <f t="shared" si="16"/>
        <v>0</v>
      </c>
      <c r="CK32" s="75">
        <f t="shared" si="16"/>
        <v>0</v>
      </c>
      <c r="CL32" s="75">
        <f t="shared" si="16"/>
        <v>0</v>
      </c>
      <c r="CM32" s="75">
        <f t="shared" si="16"/>
        <v>0</v>
      </c>
      <c r="CN32" s="75">
        <f t="shared" si="16"/>
        <v>0</v>
      </c>
      <c r="CO32" s="75">
        <f t="shared" si="16"/>
        <v>0</v>
      </c>
      <c r="CP32" s="75">
        <f t="shared" si="16"/>
        <v>0</v>
      </c>
      <c r="CQ32" s="75">
        <f t="shared" si="16"/>
        <v>0</v>
      </c>
      <c r="CR32" s="75">
        <f t="shared" si="16"/>
        <v>0</v>
      </c>
      <c r="CS32" s="75">
        <f t="shared" si="16"/>
        <v>0</v>
      </c>
      <c r="CT32" s="75">
        <f t="shared" si="16"/>
        <v>0</v>
      </c>
      <c r="CU32" s="75">
        <f t="shared" si="17"/>
        <v>0</v>
      </c>
      <c r="CV32" s="75">
        <f t="shared" si="17"/>
        <v>0</v>
      </c>
      <c r="CW32" s="75">
        <f t="shared" si="17"/>
        <v>0</v>
      </c>
      <c r="CX32" s="75">
        <f t="shared" si="17"/>
        <v>0</v>
      </c>
      <c r="CY32" s="75">
        <f t="shared" si="17"/>
        <v>0</v>
      </c>
      <c r="CZ32" s="75">
        <f t="shared" si="17"/>
        <v>0</v>
      </c>
      <c r="DA32" s="75">
        <f t="shared" si="17"/>
        <v>0</v>
      </c>
      <c r="DB32" s="75">
        <f t="shared" si="17"/>
        <v>0</v>
      </c>
      <c r="DC32" s="75">
        <f t="shared" si="17"/>
        <v>0</v>
      </c>
      <c r="DD32" s="75">
        <f t="shared" si="17"/>
        <v>0</v>
      </c>
      <c r="DE32" s="75">
        <f t="shared" si="17"/>
        <v>0</v>
      </c>
      <c r="DF32" s="75">
        <f t="shared" si="17"/>
        <v>0</v>
      </c>
      <c r="DG32" s="75">
        <f t="shared" si="17"/>
        <v>0</v>
      </c>
      <c r="DH32" s="75">
        <f t="shared" si="17"/>
        <v>0</v>
      </c>
      <c r="DI32" s="75">
        <f t="shared" si="17"/>
        <v>0</v>
      </c>
      <c r="DJ32" s="75">
        <f t="shared" si="17"/>
        <v>0</v>
      </c>
      <c r="DK32" s="75">
        <f t="shared" si="18"/>
        <v>0</v>
      </c>
      <c r="DL32" s="75">
        <f t="shared" si="18"/>
        <v>0</v>
      </c>
    </row>
    <row r="33" spans="2:116">
      <c r="B33" s="27">
        <f>Rentroll!$C$25</f>
        <v>3</v>
      </c>
      <c r="C33" s="69" t="str">
        <f>VLOOKUP($B33,Rentroll!$C$11:$X$29,3,FALSE)</f>
        <v>공실</v>
      </c>
      <c r="D33" s="80"/>
      <c r="E33" s="80"/>
      <c r="F33" s="81">
        <f>VLOOKUP($B33,Rentroll!$C$11:$X$29,11,FALSE)</f>
        <v>0</v>
      </c>
      <c r="G33" s="69">
        <f>VLOOKUP($B33,Rentroll!$C$11:$X$29,13,FALSE)</f>
        <v>0</v>
      </c>
      <c r="H33" s="69">
        <f>VLOOKUP($B33,Rentroll!$C$11:$X$29,14,FALSE)</f>
        <v>0</v>
      </c>
      <c r="I33" s="69">
        <f>VLOOKUP($B33,Rentroll!$C$11:$X$29,15,FALSE)</f>
        <v>0</v>
      </c>
      <c r="J33" s="82">
        <f>VLOOKUP($B33,Rentroll!$C$11:$X$29,19,FALSE)</f>
        <v>0</v>
      </c>
      <c r="K33" s="83">
        <f>VLOOKUP($B33,Rentroll!$C$11:$X$29,4,FALSE)</f>
        <v>1385.09</v>
      </c>
      <c r="L33" s="81">
        <f>VLOOKUP($B33,Rentroll!$C$11:$X$29,17,FALSE)</f>
        <v>0</v>
      </c>
      <c r="M33" s="84">
        <f>VLOOKUP($B33,Rentroll!$C$11:$X$29,18,FALSE)</f>
        <v>0</v>
      </c>
      <c r="O33" s="74">
        <f t="shared" si="19"/>
        <v>3</v>
      </c>
      <c r="P33" s="75"/>
      <c r="Q33" s="75"/>
      <c r="R33" s="75">
        <f t="shared" si="20"/>
        <v>0</v>
      </c>
      <c r="S33" s="75">
        <f t="shared" si="12"/>
        <v>0</v>
      </c>
      <c r="T33" s="75">
        <f t="shared" si="12"/>
        <v>0</v>
      </c>
      <c r="U33" s="75">
        <f t="shared" si="12"/>
        <v>0</v>
      </c>
      <c r="V33" s="75">
        <f t="shared" si="12"/>
        <v>0</v>
      </c>
      <c r="W33" s="75">
        <f t="shared" si="12"/>
        <v>0</v>
      </c>
      <c r="X33" s="75">
        <f t="shared" si="12"/>
        <v>0</v>
      </c>
      <c r="Y33" s="75">
        <f t="shared" si="12"/>
        <v>0</v>
      </c>
      <c r="Z33" s="75">
        <f t="shared" si="12"/>
        <v>0</v>
      </c>
      <c r="AA33" s="75">
        <f t="shared" si="12"/>
        <v>0</v>
      </c>
      <c r="AB33" s="75">
        <f t="shared" si="12"/>
        <v>0</v>
      </c>
      <c r="AC33" s="75">
        <f t="shared" si="12"/>
        <v>0</v>
      </c>
      <c r="AD33" s="75">
        <f t="shared" si="12"/>
        <v>0</v>
      </c>
      <c r="AE33" s="75">
        <f t="shared" si="12"/>
        <v>0</v>
      </c>
      <c r="AF33" s="75">
        <f t="shared" si="12"/>
        <v>0</v>
      </c>
      <c r="AG33" s="75">
        <f t="shared" si="12"/>
        <v>0</v>
      </c>
      <c r="AH33" s="75">
        <f t="shared" si="12"/>
        <v>0</v>
      </c>
      <c r="AI33" s="75">
        <f t="shared" si="13"/>
        <v>0</v>
      </c>
      <c r="AJ33" s="75">
        <f t="shared" si="13"/>
        <v>0</v>
      </c>
      <c r="AK33" s="75">
        <f t="shared" si="13"/>
        <v>0</v>
      </c>
      <c r="AL33" s="75">
        <f t="shared" si="13"/>
        <v>0</v>
      </c>
      <c r="AM33" s="75">
        <f t="shared" si="13"/>
        <v>0</v>
      </c>
      <c r="AN33" s="75">
        <f t="shared" si="13"/>
        <v>0</v>
      </c>
      <c r="AO33" s="75">
        <f t="shared" si="13"/>
        <v>0</v>
      </c>
      <c r="AP33" s="75">
        <f t="shared" si="13"/>
        <v>0</v>
      </c>
      <c r="AQ33" s="75">
        <f t="shared" si="13"/>
        <v>0</v>
      </c>
      <c r="AR33" s="75">
        <f t="shared" si="13"/>
        <v>0</v>
      </c>
      <c r="AS33" s="75">
        <f t="shared" si="13"/>
        <v>0</v>
      </c>
      <c r="AT33" s="75">
        <f t="shared" si="13"/>
        <v>0</v>
      </c>
      <c r="AU33" s="75">
        <f t="shared" si="13"/>
        <v>0</v>
      </c>
      <c r="AV33" s="75">
        <f t="shared" si="13"/>
        <v>0</v>
      </c>
      <c r="AW33" s="75">
        <f t="shared" si="13"/>
        <v>0</v>
      </c>
      <c r="AX33" s="75">
        <f t="shared" si="13"/>
        <v>0</v>
      </c>
      <c r="AY33" s="75">
        <f t="shared" si="14"/>
        <v>0</v>
      </c>
      <c r="AZ33" s="75">
        <f t="shared" si="14"/>
        <v>0</v>
      </c>
      <c r="BA33" s="75">
        <f t="shared" si="14"/>
        <v>0</v>
      </c>
      <c r="BB33" s="75">
        <f t="shared" si="14"/>
        <v>0</v>
      </c>
      <c r="BC33" s="75">
        <f t="shared" si="14"/>
        <v>0</v>
      </c>
      <c r="BD33" s="75">
        <f t="shared" si="14"/>
        <v>0</v>
      </c>
      <c r="BE33" s="75">
        <f t="shared" si="14"/>
        <v>0</v>
      </c>
      <c r="BF33" s="75">
        <f t="shared" si="14"/>
        <v>0</v>
      </c>
      <c r="BG33" s="75">
        <f t="shared" si="14"/>
        <v>0</v>
      </c>
      <c r="BH33" s="75">
        <f t="shared" si="14"/>
        <v>0</v>
      </c>
      <c r="BI33" s="75">
        <f t="shared" si="14"/>
        <v>0</v>
      </c>
      <c r="BJ33" s="75">
        <f t="shared" si="14"/>
        <v>0</v>
      </c>
      <c r="BK33" s="75">
        <f t="shared" si="14"/>
        <v>0</v>
      </c>
      <c r="BL33" s="75">
        <f t="shared" si="14"/>
        <v>0</v>
      </c>
      <c r="BM33" s="75">
        <f t="shared" si="14"/>
        <v>0</v>
      </c>
      <c r="BN33" s="75">
        <f t="shared" si="14"/>
        <v>0</v>
      </c>
      <c r="BO33" s="75">
        <f t="shared" si="15"/>
        <v>0</v>
      </c>
      <c r="BP33" s="75">
        <f t="shared" si="15"/>
        <v>0</v>
      </c>
      <c r="BQ33" s="75">
        <f t="shared" si="15"/>
        <v>0</v>
      </c>
      <c r="BR33" s="75">
        <f t="shared" si="15"/>
        <v>0</v>
      </c>
      <c r="BS33" s="75">
        <f t="shared" si="15"/>
        <v>0</v>
      </c>
      <c r="BT33" s="75">
        <f t="shared" si="15"/>
        <v>0</v>
      </c>
      <c r="BU33" s="75">
        <f t="shared" si="15"/>
        <v>0</v>
      </c>
      <c r="BV33" s="75">
        <f t="shared" si="15"/>
        <v>0</v>
      </c>
      <c r="BW33" s="75">
        <f t="shared" si="15"/>
        <v>0</v>
      </c>
      <c r="BX33" s="75">
        <f t="shared" si="15"/>
        <v>0</v>
      </c>
      <c r="BY33" s="75">
        <f t="shared" si="15"/>
        <v>0</v>
      </c>
      <c r="BZ33" s="75">
        <f t="shared" si="15"/>
        <v>0</v>
      </c>
      <c r="CA33" s="75">
        <f t="shared" si="15"/>
        <v>0</v>
      </c>
      <c r="CB33" s="75">
        <f t="shared" si="15"/>
        <v>0</v>
      </c>
      <c r="CC33" s="75">
        <f t="shared" si="15"/>
        <v>0</v>
      </c>
      <c r="CD33" s="75">
        <f t="shared" si="15"/>
        <v>0</v>
      </c>
      <c r="CE33" s="75">
        <f t="shared" si="16"/>
        <v>0</v>
      </c>
      <c r="CF33" s="75">
        <f t="shared" si="16"/>
        <v>0</v>
      </c>
      <c r="CG33" s="75">
        <f t="shared" si="16"/>
        <v>0</v>
      </c>
      <c r="CH33" s="75">
        <f t="shared" si="16"/>
        <v>0</v>
      </c>
      <c r="CI33" s="75">
        <f t="shared" si="16"/>
        <v>0</v>
      </c>
      <c r="CJ33" s="75">
        <f t="shared" si="16"/>
        <v>0</v>
      </c>
      <c r="CK33" s="75">
        <f t="shared" si="16"/>
        <v>0</v>
      </c>
      <c r="CL33" s="75">
        <f t="shared" si="16"/>
        <v>0</v>
      </c>
      <c r="CM33" s="75">
        <f t="shared" si="16"/>
        <v>0</v>
      </c>
      <c r="CN33" s="75">
        <f t="shared" si="16"/>
        <v>0</v>
      </c>
      <c r="CO33" s="75">
        <f t="shared" si="16"/>
        <v>0</v>
      </c>
      <c r="CP33" s="75">
        <f t="shared" si="16"/>
        <v>0</v>
      </c>
      <c r="CQ33" s="75">
        <f t="shared" si="16"/>
        <v>0</v>
      </c>
      <c r="CR33" s="75">
        <f t="shared" si="16"/>
        <v>0</v>
      </c>
      <c r="CS33" s="75">
        <f t="shared" si="16"/>
        <v>0</v>
      </c>
      <c r="CT33" s="75">
        <f t="shared" si="16"/>
        <v>0</v>
      </c>
      <c r="CU33" s="75">
        <f t="shared" si="17"/>
        <v>0</v>
      </c>
      <c r="CV33" s="75">
        <f t="shared" si="17"/>
        <v>0</v>
      </c>
      <c r="CW33" s="75">
        <f t="shared" si="17"/>
        <v>0</v>
      </c>
      <c r="CX33" s="75">
        <f t="shared" si="17"/>
        <v>0</v>
      </c>
      <c r="CY33" s="75">
        <f t="shared" si="17"/>
        <v>0</v>
      </c>
      <c r="CZ33" s="75">
        <f t="shared" si="17"/>
        <v>0</v>
      </c>
      <c r="DA33" s="75">
        <f t="shared" si="17"/>
        <v>0</v>
      </c>
      <c r="DB33" s="75">
        <f t="shared" si="17"/>
        <v>0</v>
      </c>
      <c r="DC33" s="75">
        <f t="shared" si="17"/>
        <v>0</v>
      </c>
      <c r="DD33" s="75">
        <f t="shared" si="17"/>
        <v>0</v>
      </c>
      <c r="DE33" s="75">
        <f t="shared" si="17"/>
        <v>0</v>
      </c>
      <c r="DF33" s="75">
        <f t="shared" si="17"/>
        <v>0</v>
      </c>
      <c r="DG33" s="75">
        <f t="shared" si="17"/>
        <v>0</v>
      </c>
      <c r="DH33" s="75">
        <f t="shared" si="17"/>
        <v>0</v>
      </c>
      <c r="DI33" s="75">
        <f t="shared" si="17"/>
        <v>0</v>
      </c>
      <c r="DJ33" s="75">
        <f t="shared" si="17"/>
        <v>0</v>
      </c>
      <c r="DK33" s="75">
        <f t="shared" si="18"/>
        <v>0</v>
      </c>
      <c r="DL33" s="75">
        <f t="shared" si="18"/>
        <v>0</v>
      </c>
    </row>
    <row r="34" spans="2:116">
      <c r="B34" s="27">
        <f>Rentroll!$C$26</f>
        <v>2</v>
      </c>
      <c r="C34" s="69" t="str">
        <f>VLOOKUP($B34,Rentroll!$C$11:$X$29,3,FALSE)</f>
        <v>공실</v>
      </c>
      <c r="D34" s="80"/>
      <c r="E34" s="80"/>
      <c r="F34" s="81">
        <f>VLOOKUP($B34,Rentroll!$C$11:$X$29,11,FALSE)</f>
        <v>0</v>
      </c>
      <c r="G34" s="69">
        <f>VLOOKUP($B34,Rentroll!$C$11:$X$29,13,FALSE)</f>
        <v>0</v>
      </c>
      <c r="H34" s="69">
        <f>VLOOKUP($B34,Rentroll!$C$11:$X$29,14,FALSE)</f>
        <v>0</v>
      </c>
      <c r="I34" s="69">
        <f>VLOOKUP($B34,Rentroll!$C$11:$X$29,15,FALSE)</f>
        <v>0</v>
      </c>
      <c r="J34" s="82">
        <f>VLOOKUP($B34,Rentroll!$C$11:$X$29,19,FALSE)</f>
        <v>0</v>
      </c>
      <c r="K34" s="83">
        <f>VLOOKUP($B34,Rentroll!$C$11:$X$29,4,FALSE)</f>
        <v>1385.09</v>
      </c>
      <c r="L34" s="81">
        <f>VLOOKUP($B34,Rentroll!$C$11:$X$29,17,FALSE)</f>
        <v>0</v>
      </c>
      <c r="M34" s="84">
        <f>VLOOKUP($B34,Rentroll!$C$11:$X$29,18,FALSE)</f>
        <v>0</v>
      </c>
      <c r="O34" s="74">
        <f t="shared" si="19"/>
        <v>2</v>
      </c>
      <c r="P34" s="75"/>
      <c r="Q34" s="75"/>
      <c r="R34" s="75">
        <f t="shared" si="20"/>
        <v>0</v>
      </c>
      <c r="S34" s="75">
        <f t="shared" si="12"/>
        <v>0</v>
      </c>
      <c r="T34" s="75">
        <f t="shared" si="12"/>
        <v>0</v>
      </c>
      <c r="U34" s="75">
        <f t="shared" si="12"/>
        <v>0</v>
      </c>
      <c r="V34" s="75">
        <f t="shared" si="12"/>
        <v>0</v>
      </c>
      <c r="W34" s="75">
        <f t="shared" si="12"/>
        <v>0</v>
      </c>
      <c r="X34" s="75">
        <f t="shared" si="12"/>
        <v>0</v>
      </c>
      <c r="Y34" s="75">
        <f t="shared" si="12"/>
        <v>0</v>
      </c>
      <c r="Z34" s="75">
        <f t="shared" si="12"/>
        <v>0</v>
      </c>
      <c r="AA34" s="75">
        <f t="shared" si="12"/>
        <v>0</v>
      </c>
      <c r="AB34" s="75">
        <f t="shared" si="12"/>
        <v>0</v>
      </c>
      <c r="AC34" s="75">
        <f t="shared" si="12"/>
        <v>0</v>
      </c>
      <c r="AD34" s="75">
        <f t="shared" si="12"/>
        <v>0</v>
      </c>
      <c r="AE34" s="75">
        <f t="shared" si="12"/>
        <v>0</v>
      </c>
      <c r="AF34" s="75">
        <f t="shared" si="12"/>
        <v>0</v>
      </c>
      <c r="AG34" s="75">
        <f t="shared" si="12"/>
        <v>0</v>
      </c>
      <c r="AH34" s="75">
        <f t="shared" ref="AH34:AW37" si="21">IF(AH$14&lt;EOMONTH($E34,1),1,0)*AH$11</f>
        <v>0</v>
      </c>
      <c r="AI34" s="75">
        <f t="shared" si="13"/>
        <v>0</v>
      </c>
      <c r="AJ34" s="75">
        <f t="shared" si="13"/>
        <v>0</v>
      </c>
      <c r="AK34" s="75">
        <f t="shared" si="13"/>
        <v>0</v>
      </c>
      <c r="AL34" s="75">
        <f t="shared" si="13"/>
        <v>0</v>
      </c>
      <c r="AM34" s="75">
        <f t="shared" si="13"/>
        <v>0</v>
      </c>
      <c r="AN34" s="75">
        <f t="shared" si="13"/>
        <v>0</v>
      </c>
      <c r="AO34" s="75">
        <f t="shared" si="13"/>
        <v>0</v>
      </c>
      <c r="AP34" s="75">
        <f t="shared" si="13"/>
        <v>0</v>
      </c>
      <c r="AQ34" s="75">
        <f t="shared" si="13"/>
        <v>0</v>
      </c>
      <c r="AR34" s="75">
        <f t="shared" si="13"/>
        <v>0</v>
      </c>
      <c r="AS34" s="75">
        <f t="shared" si="13"/>
        <v>0</v>
      </c>
      <c r="AT34" s="75">
        <f t="shared" si="13"/>
        <v>0</v>
      </c>
      <c r="AU34" s="75">
        <f t="shared" si="13"/>
        <v>0</v>
      </c>
      <c r="AV34" s="75">
        <f t="shared" si="13"/>
        <v>0</v>
      </c>
      <c r="AW34" s="75">
        <f t="shared" si="13"/>
        <v>0</v>
      </c>
      <c r="AX34" s="75">
        <f t="shared" ref="AX34:BM37" si="22">IF(AX$14&lt;EOMONTH($E34,1),1,0)*AX$11</f>
        <v>0</v>
      </c>
      <c r="AY34" s="75">
        <f t="shared" si="14"/>
        <v>0</v>
      </c>
      <c r="AZ34" s="75">
        <f t="shared" si="14"/>
        <v>0</v>
      </c>
      <c r="BA34" s="75">
        <f t="shared" si="14"/>
        <v>0</v>
      </c>
      <c r="BB34" s="75">
        <f t="shared" si="14"/>
        <v>0</v>
      </c>
      <c r="BC34" s="75">
        <f t="shared" si="14"/>
        <v>0</v>
      </c>
      <c r="BD34" s="75">
        <f t="shared" si="14"/>
        <v>0</v>
      </c>
      <c r="BE34" s="75">
        <f t="shared" si="14"/>
        <v>0</v>
      </c>
      <c r="BF34" s="75">
        <f t="shared" si="14"/>
        <v>0</v>
      </c>
      <c r="BG34" s="75">
        <f t="shared" si="14"/>
        <v>0</v>
      </c>
      <c r="BH34" s="75">
        <f t="shared" si="14"/>
        <v>0</v>
      </c>
      <c r="BI34" s="75">
        <f t="shared" si="14"/>
        <v>0</v>
      </c>
      <c r="BJ34" s="75">
        <f t="shared" si="14"/>
        <v>0</v>
      </c>
      <c r="BK34" s="75">
        <f t="shared" si="14"/>
        <v>0</v>
      </c>
      <c r="BL34" s="75">
        <f t="shared" si="14"/>
        <v>0</v>
      </c>
      <c r="BM34" s="75">
        <f t="shared" si="14"/>
        <v>0</v>
      </c>
      <c r="BN34" s="75">
        <f t="shared" ref="BN34:CC37" si="23">IF(BN$14&lt;EOMONTH($E34,1),1,0)*BN$11</f>
        <v>0</v>
      </c>
      <c r="BO34" s="75">
        <f t="shared" si="15"/>
        <v>0</v>
      </c>
      <c r="BP34" s="75">
        <f t="shared" si="15"/>
        <v>0</v>
      </c>
      <c r="BQ34" s="75">
        <f t="shared" si="15"/>
        <v>0</v>
      </c>
      <c r="BR34" s="75">
        <f t="shared" si="15"/>
        <v>0</v>
      </c>
      <c r="BS34" s="75">
        <f t="shared" si="15"/>
        <v>0</v>
      </c>
      <c r="BT34" s="75">
        <f t="shared" si="15"/>
        <v>0</v>
      </c>
      <c r="BU34" s="75">
        <f t="shared" si="15"/>
        <v>0</v>
      </c>
      <c r="BV34" s="75">
        <f t="shared" si="15"/>
        <v>0</v>
      </c>
      <c r="BW34" s="75">
        <f t="shared" si="15"/>
        <v>0</v>
      </c>
      <c r="BX34" s="75">
        <f t="shared" si="15"/>
        <v>0</v>
      </c>
      <c r="BY34" s="75">
        <f t="shared" si="15"/>
        <v>0</v>
      </c>
      <c r="BZ34" s="75">
        <f t="shared" si="15"/>
        <v>0</v>
      </c>
      <c r="CA34" s="75">
        <f t="shared" si="15"/>
        <v>0</v>
      </c>
      <c r="CB34" s="75">
        <f t="shared" si="15"/>
        <v>0</v>
      </c>
      <c r="CC34" s="75">
        <f t="shared" si="15"/>
        <v>0</v>
      </c>
      <c r="CD34" s="75">
        <f t="shared" ref="CD34:CS37" si="24">IF(CD$14&lt;EOMONTH($E34,1),1,0)*CD$11</f>
        <v>0</v>
      </c>
      <c r="CE34" s="75">
        <f t="shared" si="16"/>
        <v>0</v>
      </c>
      <c r="CF34" s="75">
        <f t="shared" si="16"/>
        <v>0</v>
      </c>
      <c r="CG34" s="75">
        <f t="shared" si="16"/>
        <v>0</v>
      </c>
      <c r="CH34" s="75">
        <f t="shared" si="16"/>
        <v>0</v>
      </c>
      <c r="CI34" s="75">
        <f t="shared" si="16"/>
        <v>0</v>
      </c>
      <c r="CJ34" s="75">
        <f t="shared" si="16"/>
        <v>0</v>
      </c>
      <c r="CK34" s="75">
        <f t="shared" si="16"/>
        <v>0</v>
      </c>
      <c r="CL34" s="75">
        <f t="shared" si="16"/>
        <v>0</v>
      </c>
      <c r="CM34" s="75">
        <f t="shared" si="16"/>
        <v>0</v>
      </c>
      <c r="CN34" s="75">
        <f t="shared" si="16"/>
        <v>0</v>
      </c>
      <c r="CO34" s="75">
        <f t="shared" si="16"/>
        <v>0</v>
      </c>
      <c r="CP34" s="75">
        <f t="shared" si="16"/>
        <v>0</v>
      </c>
      <c r="CQ34" s="75">
        <f t="shared" si="16"/>
        <v>0</v>
      </c>
      <c r="CR34" s="75">
        <f t="shared" si="16"/>
        <v>0</v>
      </c>
      <c r="CS34" s="75">
        <f t="shared" si="16"/>
        <v>0</v>
      </c>
      <c r="CT34" s="75">
        <f t="shared" ref="CT34:DI37" si="25">IF(CT$14&lt;EOMONTH($E34,1),1,0)*CT$11</f>
        <v>0</v>
      </c>
      <c r="CU34" s="75">
        <f t="shared" si="17"/>
        <v>0</v>
      </c>
      <c r="CV34" s="75">
        <f t="shared" si="17"/>
        <v>0</v>
      </c>
      <c r="CW34" s="75">
        <f t="shared" si="17"/>
        <v>0</v>
      </c>
      <c r="CX34" s="75">
        <f t="shared" si="17"/>
        <v>0</v>
      </c>
      <c r="CY34" s="75">
        <f t="shared" si="17"/>
        <v>0</v>
      </c>
      <c r="CZ34" s="75">
        <f t="shared" si="17"/>
        <v>0</v>
      </c>
      <c r="DA34" s="75">
        <f t="shared" si="17"/>
        <v>0</v>
      </c>
      <c r="DB34" s="75">
        <f t="shared" si="17"/>
        <v>0</v>
      </c>
      <c r="DC34" s="75">
        <f t="shared" si="17"/>
        <v>0</v>
      </c>
      <c r="DD34" s="75">
        <f t="shared" si="17"/>
        <v>0</v>
      </c>
      <c r="DE34" s="75">
        <f t="shared" si="17"/>
        <v>0</v>
      </c>
      <c r="DF34" s="75">
        <f t="shared" si="17"/>
        <v>0</v>
      </c>
      <c r="DG34" s="75">
        <f t="shared" si="17"/>
        <v>0</v>
      </c>
      <c r="DH34" s="75">
        <f t="shared" si="17"/>
        <v>0</v>
      </c>
      <c r="DI34" s="75">
        <f t="shared" si="17"/>
        <v>0</v>
      </c>
      <c r="DJ34" s="75">
        <f t="shared" ref="DJ34:DJ37" si="26">IF(DJ$14&lt;EOMONTH($E34,1),1,0)*DJ$11</f>
        <v>0</v>
      </c>
      <c r="DK34" s="75">
        <f t="shared" si="18"/>
        <v>0</v>
      </c>
      <c r="DL34" s="75">
        <f t="shared" si="18"/>
        <v>0</v>
      </c>
    </row>
    <row r="35" spans="2:116">
      <c r="B35" s="27">
        <f>Rentroll!$C$27</f>
        <v>1</v>
      </c>
      <c r="C35" s="69" t="str">
        <f>VLOOKUP($B35,Rentroll!$C$11:$X$29,3,FALSE)</f>
        <v>파파 커피앤도넛</v>
      </c>
      <c r="D35" s="80">
        <f>VLOOKUP($B35,Rentroll!$C$11:$X$29,9,FALSE)</f>
        <v>42064</v>
      </c>
      <c r="E35" s="80">
        <f>VLOOKUP($B35,Rentroll!$C$11:$X$29,10,FALSE)</f>
        <v>45716</v>
      </c>
      <c r="F35" s="81">
        <f>VLOOKUP($B35,Rentroll!$C$11:$X$29,11,FALSE)</f>
        <v>120</v>
      </c>
      <c r="G35" s="69">
        <f>VLOOKUP($B35,Rentroll!$C$11:$X$29,13,FALSE)</f>
        <v>91334</v>
      </c>
      <c r="H35" s="69">
        <f>VLOOKUP($B35,Rentroll!$C$11:$X$29,14,FALSE)</f>
        <v>83722.833333333328</v>
      </c>
      <c r="I35" s="69">
        <f>VLOOKUP($B35,Rentroll!$C$11:$X$29,15,FALSE)</f>
        <v>39143</v>
      </c>
      <c r="J35" s="82">
        <f>VLOOKUP($B35,Rentroll!$C$11:$X$29,19,FALSE)</f>
        <v>0.03</v>
      </c>
      <c r="K35" s="83">
        <f>VLOOKUP($B35,Rentroll!$C$11:$X$29,4,FALSE)</f>
        <v>969.56</v>
      </c>
      <c r="L35" s="81">
        <f>VLOOKUP($B35,Rentroll!$C$11:$X$29,17,FALSE)</f>
        <v>0</v>
      </c>
      <c r="M35" s="84">
        <f>VLOOKUP($B35,Rentroll!$C$11:$X$29,18,FALSE)</f>
        <v>1</v>
      </c>
      <c r="O35" s="74">
        <f t="shared" si="19"/>
        <v>1</v>
      </c>
      <c r="P35" s="75"/>
      <c r="Q35" s="75"/>
      <c r="R35" s="75">
        <f t="shared" si="20"/>
        <v>0</v>
      </c>
      <c r="S35" s="75">
        <f t="shared" si="20"/>
        <v>1</v>
      </c>
      <c r="T35" s="75">
        <f t="shared" si="20"/>
        <v>0</v>
      </c>
      <c r="U35" s="75">
        <f t="shared" si="20"/>
        <v>0</v>
      </c>
      <c r="V35" s="75">
        <f t="shared" si="20"/>
        <v>0</v>
      </c>
      <c r="W35" s="75">
        <f t="shared" si="20"/>
        <v>0</v>
      </c>
      <c r="X35" s="75">
        <f t="shared" si="20"/>
        <v>0</v>
      </c>
      <c r="Y35" s="75">
        <f t="shared" si="20"/>
        <v>0</v>
      </c>
      <c r="Z35" s="75">
        <f t="shared" si="20"/>
        <v>0</v>
      </c>
      <c r="AA35" s="75">
        <f t="shared" si="20"/>
        <v>0</v>
      </c>
      <c r="AB35" s="75">
        <f t="shared" si="20"/>
        <v>0</v>
      </c>
      <c r="AC35" s="75">
        <f t="shared" si="20"/>
        <v>0</v>
      </c>
      <c r="AD35" s="75">
        <f t="shared" si="20"/>
        <v>0</v>
      </c>
      <c r="AE35" s="75">
        <f t="shared" si="20"/>
        <v>0</v>
      </c>
      <c r="AF35" s="75">
        <f t="shared" si="20"/>
        <v>0</v>
      </c>
      <c r="AG35" s="75">
        <f t="shared" si="20"/>
        <v>0</v>
      </c>
      <c r="AH35" s="75">
        <f t="shared" si="21"/>
        <v>0</v>
      </c>
      <c r="AI35" s="75">
        <f t="shared" si="21"/>
        <v>0</v>
      </c>
      <c r="AJ35" s="75">
        <f t="shared" si="21"/>
        <v>0</v>
      </c>
      <c r="AK35" s="75">
        <f t="shared" si="21"/>
        <v>0</v>
      </c>
      <c r="AL35" s="75">
        <f t="shared" si="21"/>
        <v>0</v>
      </c>
      <c r="AM35" s="75">
        <f t="shared" si="21"/>
        <v>0</v>
      </c>
      <c r="AN35" s="75">
        <f t="shared" si="21"/>
        <v>0</v>
      </c>
      <c r="AO35" s="75">
        <f t="shared" si="21"/>
        <v>0</v>
      </c>
      <c r="AP35" s="75">
        <f t="shared" si="21"/>
        <v>0</v>
      </c>
      <c r="AQ35" s="75">
        <f t="shared" si="21"/>
        <v>0</v>
      </c>
      <c r="AR35" s="75">
        <f t="shared" si="21"/>
        <v>0</v>
      </c>
      <c r="AS35" s="75">
        <f t="shared" si="21"/>
        <v>0</v>
      </c>
      <c r="AT35" s="75">
        <f t="shared" si="21"/>
        <v>0</v>
      </c>
      <c r="AU35" s="75">
        <f t="shared" si="21"/>
        <v>0</v>
      </c>
      <c r="AV35" s="75">
        <f t="shared" si="21"/>
        <v>0</v>
      </c>
      <c r="AW35" s="75">
        <f t="shared" si="21"/>
        <v>0</v>
      </c>
      <c r="AX35" s="75">
        <f t="shared" si="22"/>
        <v>0</v>
      </c>
      <c r="AY35" s="75">
        <f t="shared" si="22"/>
        <v>0</v>
      </c>
      <c r="AZ35" s="75">
        <f t="shared" si="22"/>
        <v>0</v>
      </c>
      <c r="BA35" s="75">
        <f t="shared" si="22"/>
        <v>0</v>
      </c>
      <c r="BB35" s="75">
        <f t="shared" si="22"/>
        <v>0</v>
      </c>
      <c r="BC35" s="75">
        <f t="shared" si="22"/>
        <v>0</v>
      </c>
      <c r="BD35" s="75">
        <f t="shared" si="22"/>
        <v>0</v>
      </c>
      <c r="BE35" s="75">
        <f t="shared" si="22"/>
        <v>0</v>
      </c>
      <c r="BF35" s="75">
        <f t="shared" si="22"/>
        <v>0</v>
      </c>
      <c r="BG35" s="75">
        <f t="shared" si="22"/>
        <v>0</v>
      </c>
      <c r="BH35" s="75">
        <f t="shared" si="22"/>
        <v>0</v>
      </c>
      <c r="BI35" s="75">
        <f t="shared" si="22"/>
        <v>0</v>
      </c>
      <c r="BJ35" s="75">
        <f t="shared" si="22"/>
        <v>0</v>
      </c>
      <c r="BK35" s="75">
        <f t="shared" si="22"/>
        <v>0</v>
      </c>
      <c r="BL35" s="75">
        <f t="shared" si="22"/>
        <v>0</v>
      </c>
      <c r="BM35" s="75">
        <f t="shared" si="22"/>
        <v>0</v>
      </c>
      <c r="BN35" s="75">
        <f t="shared" si="23"/>
        <v>0</v>
      </c>
      <c r="BO35" s="75">
        <f t="shared" si="23"/>
        <v>0</v>
      </c>
      <c r="BP35" s="75">
        <f t="shared" si="23"/>
        <v>0</v>
      </c>
      <c r="BQ35" s="75">
        <f t="shared" si="23"/>
        <v>0</v>
      </c>
      <c r="BR35" s="75">
        <f t="shared" si="23"/>
        <v>0</v>
      </c>
      <c r="BS35" s="75">
        <f t="shared" si="23"/>
        <v>0</v>
      </c>
      <c r="BT35" s="75">
        <f t="shared" si="23"/>
        <v>0</v>
      </c>
      <c r="BU35" s="75">
        <f t="shared" si="23"/>
        <v>0</v>
      </c>
      <c r="BV35" s="75">
        <f t="shared" si="23"/>
        <v>0</v>
      </c>
      <c r="BW35" s="75">
        <f t="shared" si="23"/>
        <v>0</v>
      </c>
      <c r="BX35" s="75">
        <f t="shared" si="23"/>
        <v>0</v>
      </c>
      <c r="BY35" s="75">
        <f t="shared" si="23"/>
        <v>0</v>
      </c>
      <c r="BZ35" s="75">
        <f t="shared" si="23"/>
        <v>0</v>
      </c>
      <c r="CA35" s="75">
        <f t="shared" si="23"/>
        <v>0</v>
      </c>
      <c r="CB35" s="75">
        <f t="shared" si="23"/>
        <v>0</v>
      </c>
      <c r="CC35" s="75">
        <f t="shared" si="23"/>
        <v>0</v>
      </c>
      <c r="CD35" s="75">
        <f t="shared" si="24"/>
        <v>0</v>
      </c>
      <c r="CE35" s="75">
        <f t="shared" si="24"/>
        <v>0</v>
      </c>
      <c r="CF35" s="75">
        <f t="shared" si="24"/>
        <v>0</v>
      </c>
      <c r="CG35" s="75">
        <f t="shared" si="24"/>
        <v>0</v>
      </c>
      <c r="CH35" s="75">
        <f t="shared" si="24"/>
        <v>0</v>
      </c>
      <c r="CI35" s="75">
        <f t="shared" si="24"/>
        <v>0</v>
      </c>
      <c r="CJ35" s="75">
        <f t="shared" si="24"/>
        <v>0</v>
      </c>
      <c r="CK35" s="75">
        <f t="shared" si="24"/>
        <v>0</v>
      </c>
      <c r="CL35" s="75">
        <f t="shared" si="24"/>
        <v>0</v>
      </c>
      <c r="CM35" s="75">
        <f t="shared" si="24"/>
        <v>0</v>
      </c>
      <c r="CN35" s="75">
        <f t="shared" si="24"/>
        <v>0</v>
      </c>
      <c r="CO35" s="75">
        <f t="shared" si="24"/>
        <v>0</v>
      </c>
      <c r="CP35" s="75">
        <f t="shared" si="24"/>
        <v>0</v>
      </c>
      <c r="CQ35" s="75">
        <f t="shared" si="24"/>
        <v>0</v>
      </c>
      <c r="CR35" s="75">
        <f t="shared" si="24"/>
        <v>0</v>
      </c>
      <c r="CS35" s="75">
        <f t="shared" si="24"/>
        <v>0</v>
      </c>
      <c r="CT35" s="75">
        <f t="shared" si="25"/>
        <v>0</v>
      </c>
      <c r="CU35" s="75">
        <f t="shared" si="25"/>
        <v>0</v>
      </c>
      <c r="CV35" s="75">
        <f t="shared" si="25"/>
        <v>0</v>
      </c>
      <c r="CW35" s="75">
        <f t="shared" si="25"/>
        <v>0</v>
      </c>
      <c r="CX35" s="75">
        <f t="shared" si="25"/>
        <v>0</v>
      </c>
      <c r="CY35" s="75">
        <f t="shared" si="25"/>
        <v>0</v>
      </c>
      <c r="CZ35" s="75">
        <f t="shared" si="25"/>
        <v>0</v>
      </c>
      <c r="DA35" s="75">
        <f t="shared" si="25"/>
        <v>0</v>
      </c>
      <c r="DB35" s="75">
        <f t="shared" si="25"/>
        <v>0</v>
      </c>
      <c r="DC35" s="75">
        <f t="shared" si="25"/>
        <v>0</v>
      </c>
      <c r="DD35" s="75">
        <f t="shared" si="25"/>
        <v>0</v>
      </c>
      <c r="DE35" s="75">
        <f t="shared" si="25"/>
        <v>0</v>
      </c>
      <c r="DF35" s="75">
        <f t="shared" si="25"/>
        <v>0</v>
      </c>
      <c r="DG35" s="75">
        <f t="shared" si="25"/>
        <v>0</v>
      </c>
      <c r="DH35" s="75">
        <f t="shared" si="25"/>
        <v>0</v>
      </c>
      <c r="DI35" s="75">
        <f t="shared" si="25"/>
        <v>0</v>
      </c>
      <c r="DJ35" s="75">
        <f t="shared" si="26"/>
        <v>0</v>
      </c>
      <c r="DK35" s="75">
        <f t="shared" si="18"/>
        <v>0</v>
      </c>
      <c r="DL35" s="75">
        <f t="shared" si="18"/>
        <v>0</v>
      </c>
    </row>
    <row r="36" spans="2:116">
      <c r="B36" s="27" t="str">
        <f>Rentroll!$C$28</f>
        <v>B101호</v>
      </c>
      <c r="C36" s="69" t="str">
        <f>VLOOKUP($B36,Rentroll!$C$11:$X$29,3,FALSE)</f>
        <v>퀸즈 샌드위치</v>
      </c>
      <c r="D36" s="80">
        <f>VLOOKUP($B36,Rentroll!$C$11:$X$29,9,FALSE)</f>
        <v>44926</v>
      </c>
      <c r="E36" s="80">
        <f>VLOOKUP($B36,Rentroll!$C$11:$X$29,10,FALSE)</f>
        <v>46751</v>
      </c>
      <c r="F36" s="81">
        <f>VLOOKUP($B36,Rentroll!$C$11:$X$29,11,FALSE)</f>
        <v>60</v>
      </c>
      <c r="G36" s="69">
        <f>VLOOKUP($B36,Rentroll!$C$11:$X$29,13,FALSE)</f>
        <v>21218</v>
      </c>
      <c r="H36" s="69">
        <f>VLOOKUP($B36,Rentroll!$C$11:$X$29,14,FALSE)</f>
        <v>17681.666666666668</v>
      </c>
      <c r="I36" s="69">
        <f>VLOOKUP($B36,Rentroll!$C$11:$X$29,15,FALSE)</f>
        <v>31827</v>
      </c>
      <c r="J36" s="82">
        <f>VLOOKUP($B36,Rentroll!$C$11:$X$29,19,FALSE)</f>
        <v>0.03</v>
      </c>
      <c r="K36" s="83">
        <f>VLOOKUP($B36,Rentroll!$C$11:$X$29,4,FALSE)</f>
        <v>969.56</v>
      </c>
      <c r="L36" s="81">
        <f>VLOOKUP($B36,Rentroll!$C$11:$X$29,17,FALSE)</f>
        <v>0</v>
      </c>
      <c r="M36" s="84">
        <f>VLOOKUP($B36,Rentroll!$C$11:$X$29,18,FALSE)</f>
        <v>2</v>
      </c>
      <c r="O36" s="74" t="str">
        <f t="shared" si="19"/>
        <v>B101호</v>
      </c>
      <c r="P36" s="75"/>
      <c r="Q36" s="75"/>
      <c r="R36" s="75">
        <f t="shared" ref="R36:AG37" si="27">IF(R$14&lt;EOMONTH($E36,1),1,0)*R$11</f>
        <v>0</v>
      </c>
      <c r="S36" s="75">
        <f t="shared" si="27"/>
        <v>1</v>
      </c>
      <c r="T36" s="75">
        <f t="shared" si="27"/>
        <v>1</v>
      </c>
      <c r="U36" s="75">
        <f t="shared" si="27"/>
        <v>1</v>
      </c>
      <c r="V36" s="75">
        <f t="shared" si="27"/>
        <v>1</v>
      </c>
      <c r="W36" s="75">
        <f t="shared" si="27"/>
        <v>1</v>
      </c>
      <c r="X36" s="75">
        <f t="shared" si="27"/>
        <v>1</v>
      </c>
      <c r="Y36" s="75">
        <f t="shared" si="27"/>
        <v>1</v>
      </c>
      <c r="Z36" s="75">
        <f t="shared" si="27"/>
        <v>1</v>
      </c>
      <c r="AA36" s="75">
        <f t="shared" si="27"/>
        <v>1</v>
      </c>
      <c r="AB36" s="75">
        <f t="shared" si="27"/>
        <v>1</v>
      </c>
      <c r="AC36" s="75">
        <f t="shared" si="27"/>
        <v>1</v>
      </c>
      <c r="AD36" s="75">
        <f t="shared" si="27"/>
        <v>1</v>
      </c>
      <c r="AE36" s="75">
        <f t="shared" si="27"/>
        <v>1</v>
      </c>
      <c r="AF36" s="75">
        <f t="shared" si="27"/>
        <v>1</v>
      </c>
      <c r="AG36" s="75">
        <f t="shared" si="27"/>
        <v>1</v>
      </c>
      <c r="AH36" s="75">
        <f t="shared" si="21"/>
        <v>1</v>
      </c>
      <c r="AI36" s="75">
        <f t="shared" si="21"/>
        <v>1</v>
      </c>
      <c r="AJ36" s="75">
        <f t="shared" si="21"/>
        <v>1</v>
      </c>
      <c r="AK36" s="75">
        <f t="shared" si="21"/>
        <v>1</v>
      </c>
      <c r="AL36" s="75">
        <f t="shared" si="21"/>
        <v>1</v>
      </c>
      <c r="AM36" s="75">
        <f t="shared" si="21"/>
        <v>1</v>
      </c>
      <c r="AN36" s="75">
        <f t="shared" si="21"/>
        <v>1</v>
      </c>
      <c r="AO36" s="75">
        <f t="shared" si="21"/>
        <v>1</v>
      </c>
      <c r="AP36" s="75">
        <f t="shared" si="21"/>
        <v>1</v>
      </c>
      <c r="AQ36" s="75">
        <f t="shared" si="21"/>
        <v>1</v>
      </c>
      <c r="AR36" s="75">
        <f t="shared" si="21"/>
        <v>1</v>
      </c>
      <c r="AS36" s="75">
        <f t="shared" si="21"/>
        <v>1</v>
      </c>
      <c r="AT36" s="75">
        <f t="shared" si="21"/>
        <v>1</v>
      </c>
      <c r="AU36" s="75">
        <f t="shared" si="21"/>
        <v>1</v>
      </c>
      <c r="AV36" s="75">
        <f t="shared" si="21"/>
        <v>1</v>
      </c>
      <c r="AW36" s="75">
        <f t="shared" si="21"/>
        <v>1</v>
      </c>
      <c r="AX36" s="75">
        <f t="shared" si="22"/>
        <v>1</v>
      </c>
      <c r="AY36" s="75">
        <f t="shared" si="22"/>
        <v>1</v>
      </c>
      <c r="AZ36" s="75">
        <f t="shared" si="22"/>
        <v>1</v>
      </c>
      <c r="BA36" s="75">
        <f t="shared" si="22"/>
        <v>1</v>
      </c>
      <c r="BB36" s="75">
        <f t="shared" si="22"/>
        <v>0</v>
      </c>
      <c r="BC36" s="75">
        <f t="shared" si="22"/>
        <v>0</v>
      </c>
      <c r="BD36" s="75">
        <f t="shared" si="22"/>
        <v>0</v>
      </c>
      <c r="BE36" s="75">
        <f t="shared" si="22"/>
        <v>0</v>
      </c>
      <c r="BF36" s="75">
        <f t="shared" si="22"/>
        <v>0</v>
      </c>
      <c r="BG36" s="75">
        <f t="shared" si="22"/>
        <v>0</v>
      </c>
      <c r="BH36" s="75">
        <f t="shared" si="22"/>
        <v>0</v>
      </c>
      <c r="BI36" s="75">
        <f t="shared" si="22"/>
        <v>0</v>
      </c>
      <c r="BJ36" s="75">
        <f t="shared" si="22"/>
        <v>0</v>
      </c>
      <c r="BK36" s="75">
        <f t="shared" si="22"/>
        <v>0</v>
      </c>
      <c r="BL36" s="75">
        <f t="shared" si="22"/>
        <v>0</v>
      </c>
      <c r="BM36" s="75">
        <f t="shared" si="22"/>
        <v>0</v>
      </c>
      <c r="BN36" s="75">
        <f t="shared" si="23"/>
        <v>0</v>
      </c>
      <c r="BO36" s="75">
        <f t="shared" si="23"/>
        <v>0</v>
      </c>
      <c r="BP36" s="75">
        <f t="shared" si="23"/>
        <v>0</v>
      </c>
      <c r="BQ36" s="75">
        <f t="shared" si="23"/>
        <v>0</v>
      </c>
      <c r="BR36" s="75">
        <f t="shared" si="23"/>
        <v>0</v>
      </c>
      <c r="BS36" s="75">
        <f t="shared" si="23"/>
        <v>0</v>
      </c>
      <c r="BT36" s="75">
        <f t="shared" si="23"/>
        <v>0</v>
      </c>
      <c r="BU36" s="75">
        <f t="shared" si="23"/>
        <v>0</v>
      </c>
      <c r="BV36" s="75">
        <f t="shared" si="23"/>
        <v>0</v>
      </c>
      <c r="BW36" s="75">
        <f t="shared" si="23"/>
        <v>0</v>
      </c>
      <c r="BX36" s="75">
        <f t="shared" si="23"/>
        <v>0</v>
      </c>
      <c r="BY36" s="75">
        <f t="shared" si="23"/>
        <v>0</v>
      </c>
      <c r="BZ36" s="75">
        <f t="shared" si="23"/>
        <v>0</v>
      </c>
      <c r="CA36" s="75">
        <f t="shared" si="23"/>
        <v>0</v>
      </c>
      <c r="CB36" s="75">
        <f t="shared" si="23"/>
        <v>0</v>
      </c>
      <c r="CC36" s="75">
        <f t="shared" si="23"/>
        <v>0</v>
      </c>
      <c r="CD36" s="75">
        <f t="shared" si="24"/>
        <v>0</v>
      </c>
      <c r="CE36" s="75">
        <f t="shared" si="24"/>
        <v>0</v>
      </c>
      <c r="CF36" s="75">
        <f t="shared" si="24"/>
        <v>0</v>
      </c>
      <c r="CG36" s="75">
        <f t="shared" si="24"/>
        <v>0</v>
      </c>
      <c r="CH36" s="75">
        <f t="shared" si="24"/>
        <v>0</v>
      </c>
      <c r="CI36" s="75">
        <f t="shared" si="24"/>
        <v>0</v>
      </c>
      <c r="CJ36" s="75">
        <f t="shared" si="24"/>
        <v>0</v>
      </c>
      <c r="CK36" s="75">
        <f t="shared" si="24"/>
        <v>0</v>
      </c>
      <c r="CL36" s="75">
        <f t="shared" si="24"/>
        <v>0</v>
      </c>
      <c r="CM36" s="75">
        <f t="shared" si="24"/>
        <v>0</v>
      </c>
      <c r="CN36" s="75">
        <f t="shared" si="24"/>
        <v>0</v>
      </c>
      <c r="CO36" s="75">
        <f t="shared" si="24"/>
        <v>0</v>
      </c>
      <c r="CP36" s="75">
        <f t="shared" si="24"/>
        <v>0</v>
      </c>
      <c r="CQ36" s="75">
        <f t="shared" si="24"/>
        <v>0</v>
      </c>
      <c r="CR36" s="75">
        <f t="shared" si="24"/>
        <v>0</v>
      </c>
      <c r="CS36" s="75">
        <f t="shared" si="24"/>
        <v>0</v>
      </c>
      <c r="CT36" s="75">
        <f t="shared" si="25"/>
        <v>0</v>
      </c>
      <c r="CU36" s="75">
        <f t="shared" si="25"/>
        <v>0</v>
      </c>
      <c r="CV36" s="75">
        <f t="shared" si="25"/>
        <v>0</v>
      </c>
      <c r="CW36" s="75">
        <f t="shared" si="25"/>
        <v>0</v>
      </c>
      <c r="CX36" s="75">
        <f t="shared" si="25"/>
        <v>0</v>
      </c>
      <c r="CY36" s="75">
        <f t="shared" si="25"/>
        <v>0</v>
      </c>
      <c r="CZ36" s="75">
        <f t="shared" si="25"/>
        <v>0</v>
      </c>
      <c r="DA36" s="75">
        <f t="shared" si="25"/>
        <v>0</v>
      </c>
      <c r="DB36" s="75">
        <f t="shared" si="25"/>
        <v>0</v>
      </c>
      <c r="DC36" s="75">
        <f t="shared" si="25"/>
        <v>0</v>
      </c>
      <c r="DD36" s="75">
        <f t="shared" si="25"/>
        <v>0</v>
      </c>
      <c r="DE36" s="75">
        <f t="shared" si="25"/>
        <v>0</v>
      </c>
      <c r="DF36" s="75">
        <f t="shared" si="25"/>
        <v>0</v>
      </c>
      <c r="DG36" s="75">
        <f t="shared" si="25"/>
        <v>0</v>
      </c>
      <c r="DH36" s="75">
        <f t="shared" si="25"/>
        <v>0</v>
      </c>
      <c r="DI36" s="75">
        <f t="shared" si="25"/>
        <v>0</v>
      </c>
      <c r="DJ36" s="75">
        <f t="shared" si="26"/>
        <v>0</v>
      </c>
      <c r="DK36" s="75">
        <f t="shared" si="18"/>
        <v>0</v>
      </c>
      <c r="DL36" s="75">
        <f t="shared" si="18"/>
        <v>0</v>
      </c>
    </row>
    <row r="37" spans="2:116">
      <c r="B37" s="27" t="str">
        <f>Rentroll!$C$29</f>
        <v>B102호</v>
      </c>
      <c r="C37" s="69" t="str">
        <f>VLOOKUP($B37,Rentroll!$C$11:$X$29,3,FALSE)</f>
        <v>로미오 문구점</v>
      </c>
      <c r="D37" s="80">
        <f>VLOOKUP($B37,Rentroll!$C$11:$X$29,9,FALSE)</f>
        <v>44592</v>
      </c>
      <c r="E37" s="80">
        <f>VLOOKUP($B37,Rentroll!$C$11:$X$29,10,FALSE)</f>
        <v>46417</v>
      </c>
      <c r="F37" s="81">
        <f>VLOOKUP($B37,Rentroll!$C$11:$X$29,11,FALSE)</f>
        <v>60</v>
      </c>
      <c r="G37" s="69">
        <f>VLOOKUP($B37,Rentroll!$C$11:$X$29,13,FALSE)</f>
        <v>31827</v>
      </c>
      <c r="H37" s="69">
        <f>VLOOKUP($B37,Rentroll!$C$11:$X$29,14,FALSE)</f>
        <v>23870.25</v>
      </c>
      <c r="I37" s="69">
        <f>VLOOKUP($B37,Rentroll!$C$11:$X$29,15,FALSE)</f>
        <v>31827</v>
      </c>
      <c r="J37" s="82">
        <f>VLOOKUP($B37,Rentroll!$C$11:$X$29,19,FALSE)</f>
        <v>0.03</v>
      </c>
      <c r="K37" s="83">
        <f>VLOOKUP($B37,Rentroll!$C$11:$X$29,4,FALSE)</f>
        <v>969.56</v>
      </c>
      <c r="L37" s="81">
        <f>VLOOKUP($B37,Rentroll!$C$11:$X$29,17,FALSE)</f>
        <v>0</v>
      </c>
      <c r="M37" s="84">
        <f>VLOOKUP($B37,Rentroll!$C$11:$X$29,18,FALSE)</f>
        <v>3</v>
      </c>
      <c r="O37" s="26" t="str">
        <f t="shared" si="19"/>
        <v>B102호</v>
      </c>
      <c r="P37" s="76"/>
      <c r="Q37" s="76"/>
      <c r="R37" s="76">
        <f t="shared" si="27"/>
        <v>0</v>
      </c>
      <c r="S37" s="76">
        <f t="shared" si="27"/>
        <v>1</v>
      </c>
      <c r="T37" s="76">
        <f t="shared" si="27"/>
        <v>1</v>
      </c>
      <c r="U37" s="76">
        <f t="shared" si="27"/>
        <v>1</v>
      </c>
      <c r="V37" s="76">
        <f t="shared" si="27"/>
        <v>1</v>
      </c>
      <c r="W37" s="76">
        <f t="shared" si="27"/>
        <v>1</v>
      </c>
      <c r="X37" s="76">
        <f t="shared" si="27"/>
        <v>1</v>
      </c>
      <c r="Y37" s="76">
        <f t="shared" si="27"/>
        <v>1</v>
      </c>
      <c r="Z37" s="76">
        <f t="shared" si="27"/>
        <v>1</v>
      </c>
      <c r="AA37" s="76">
        <f t="shared" si="27"/>
        <v>1</v>
      </c>
      <c r="AB37" s="76">
        <f t="shared" si="27"/>
        <v>1</v>
      </c>
      <c r="AC37" s="76">
        <f t="shared" si="27"/>
        <v>1</v>
      </c>
      <c r="AD37" s="76">
        <f t="shared" si="27"/>
        <v>1</v>
      </c>
      <c r="AE37" s="76">
        <f t="shared" si="27"/>
        <v>1</v>
      </c>
      <c r="AF37" s="76">
        <f t="shared" si="27"/>
        <v>1</v>
      </c>
      <c r="AG37" s="76">
        <f t="shared" si="27"/>
        <v>1</v>
      </c>
      <c r="AH37" s="76">
        <f t="shared" si="21"/>
        <v>1</v>
      </c>
      <c r="AI37" s="76">
        <f t="shared" si="21"/>
        <v>1</v>
      </c>
      <c r="AJ37" s="76">
        <f t="shared" si="21"/>
        <v>1</v>
      </c>
      <c r="AK37" s="76">
        <f t="shared" si="21"/>
        <v>1</v>
      </c>
      <c r="AL37" s="76">
        <f t="shared" si="21"/>
        <v>1</v>
      </c>
      <c r="AM37" s="76">
        <f t="shared" si="21"/>
        <v>1</v>
      </c>
      <c r="AN37" s="76">
        <f t="shared" si="21"/>
        <v>1</v>
      </c>
      <c r="AO37" s="76">
        <f t="shared" si="21"/>
        <v>1</v>
      </c>
      <c r="AP37" s="76">
        <f t="shared" si="21"/>
        <v>1</v>
      </c>
      <c r="AQ37" s="76">
        <f t="shared" si="21"/>
        <v>0</v>
      </c>
      <c r="AR37" s="76">
        <f t="shared" si="21"/>
        <v>0</v>
      </c>
      <c r="AS37" s="76">
        <f t="shared" si="21"/>
        <v>0</v>
      </c>
      <c r="AT37" s="76">
        <f t="shared" si="21"/>
        <v>0</v>
      </c>
      <c r="AU37" s="76">
        <f t="shared" si="21"/>
        <v>0</v>
      </c>
      <c r="AV37" s="76">
        <f t="shared" si="21"/>
        <v>0</v>
      </c>
      <c r="AW37" s="76">
        <f t="shared" si="21"/>
        <v>0</v>
      </c>
      <c r="AX37" s="76">
        <f t="shared" si="22"/>
        <v>0</v>
      </c>
      <c r="AY37" s="76">
        <f t="shared" si="22"/>
        <v>0</v>
      </c>
      <c r="AZ37" s="76">
        <f t="shared" si="22"/>
        <v>0</v>
      </c>
      <c r="BA37" s="76">
        <f t="shared" si="22"/>
        <v>0</v>
      </c>
      <c r="BB37" s="76">
        <f t="shared" si="22"/>
        <v>0</v>
      </c>
      <c r="BC37" s="76">
        <f t="shared" si="22"/>
        <v>0</v>
      </c>
      <c r="BD37" s="76">
        <f t="shared" si="22"/>
        <v>0</v>
      </c>
      <c r="BE37" s="76">
        <f t="shared" si="22"/>
        <v>0</v>
      </c>
      <c r="BF37" s="76">
        <f t="shared" si="22"/>
        <v>0</v>
      </c>
      <c r="BG37" s="76">
        <f t="shared" si="22"/>
        <v>0</v>
      </c>
      <c r="BH37" s="76">
        <f t="shared" si="22"/>
        <v>0</v>
      </c>
      <c r="BI37" s="76">
        <f t="shared" si="22"/>
        <v>0</v>
      </c>
      <c r="BJ37" s="76">
        <f t="shared" si="22"/>
        <v>0</v>
      </c>
      <c r="BK37" s="76">
        <f t="shared" si="22"/>
        <v>0</v>
      </c>
      <c r="BL37" s="76">
        <f t="shared" si="22"/>
        <v>0</v>
      </c>
      <c r="BM37" s="76">
        <f t="shared" si="22"/>
        <v>0</v>
      </c>
      <c r="BN37" s="76">
        <f t="shared" si="23"/>
        <v>0</v>
      </c>
      <c r="BO37" s="76">
        <f t="shared" si="23"/>
        <v>0</v>
      </c>
      <c r="BP37" s="76">
        <f t="shared" si="23"/>
        <v>0</v>
      </c>
      <c r="BQ37" s="76">
        <f t="shared" si="23"/>
        <v>0</v>
      </c>
      <c r="BR37" s="76">
        <f t="shared" si="23"/>
        <v>0</v>
      </c>
      <c r="BS37" s="76">
        <f t="shared" si="23"/>
        <v>0</v>
      </c>
      <c r="BT37" s="76">
        <f t="shared" si="23"/>
        <v>0</v>
      </c>
      <c r="BU37" s="76">
        <f t="shared" si="23"/>
        <v>0</v>
      </c>
      <c r="BV37" s="76">
        <f t="shared" si="23"/>
        <v>0</v>
      </c>
      <c r="BW37" s="76">
        <f t="shared" si="23"/>
        <v>0</v>
      </c>
      <c r="BX37" s="76">
        <f t="shared" si="23"/>
        <v>0</v>
      </c>
      <c r="BY37" s="76">
        <f t="shared" si="23"/>
        <v>0</v>
      </c>
      <c r="BZ37" s="76">
        <f t="shared" si="23"/>
        <v>0</v>
      </c>
      <c r="CA37" s="76">
        <f t="shared" si="23"/>
        <v>0</v>
      </c>
      <c r="CB37" s="76">
        <f t="shared" si="23"/>
        <v>0</v>
      </c>
      <c r="CC37" s="76">
        <f t="shared" si="23"/>
        <v>0</v>
      </c>
      <c r="CD37" s="76">
        <f t="shared" si="24"/>
        <v>0</v>
      </c>
      <c r="CE37" s="76">
        <f t="shared" si="24"/>
        <v>0</v>
      </c>
      <c r="CF37" s="76">
        <f t="shared" si="24"/>
        <v>0</v>
      </c>
      <c r="CG37" s="76">
        <f t="shared" si="24"/>
        <v>0</v>
      </c>
      <c r="CH37" s="76">
        <f t="shared" si="24"/>
        <v>0</v>
      </c>
      <c r="CI37" s="76">
        <f t="shared" si="24"/>
        <v>0</v>
      </c>
      <c r="CJ37" s="76">
        <f t="shared" si="24"/>
        <v>0</v>
      </c>
      <c r="CK37" s="76">
        <f t="shared" si="24"/>
        <v>0</v>
      </c>
      <c r="CL37" s="76">
        <f t="shared" si="24"/>
        <v>0</v>
      </c>
      <c r="CM37" s="76">
        <f t="shared" si="24"/>
        <v>0</v>
      </c>
      <c r="CN37" s="76">
        <f t="shared" si="24"/>
        <v>0</v>
      </c>
      <c r="CO37" s="76">
        <f t="shared" si="24"/>
        <v>0</v>
      </c>
      <c r="CP37" s="76">
        <f t="shared" si="24"/>
        <v>0</v>
      </c>
      <c r="CQ37" s="76">
        <f t="shared" si="24"/>
        <v>0</v>
      </c>
      <c r="CR37" s="76">
        <f t="shared" si="24"/>
        <v>0</v>
      </c>
      <c r="CS37" s="76">
        <f t="shared" si="24"/>
        <v>0</v>
      </c>
      <c r="CT37" s="76">
        <f t="shared" si="25"/>
        <v>0</v>
      </c>
      <c r="CU37" s="76">
        <f t="shared" si="25"/>
        <v>0</v>
      </c>
      <c r="CV37" s="76">
        <f t="shared" si="25"/>
        <v>0</v>
      </c>
      <c r="CW37" s="76">
        <f t="shared" si="25"/>
        <v>0</v>
      </c>
      <c r="CX37" s="76">
        <f t="shared" si="25"/>
        <v>0</v>
      </c>
      <c r="CY37" s="76">
        <f t="shared" si="25"/>
        <v>0</v>
      </c>
      <c r="CZ37" s="76">
        <f t="shared" si="25"/>
        <v>0</v>
      </c>
      <c r="DA37" s="76">
        <f t="shared" si="25"/>
        <v>0</v>
      </c>
      <c r="DB37" s="76">
        <f t="shared" si="25"/>
        <v>0</v>
      </c>
      <c r="DC37" s="76">
        <f t="shared" si="25"/>
        <v>0</v>
      </c>
      <c r="DD37" s="76">
        <f t="shared" si="25"/>
        <v>0</v>
      </c>
      <c r="DE37" s="76">
        <f t="shared" si="25"/>
        <v>0</v>
      </c>
      <c r="DF37" s="76">
        <f t="shared" si="25"/>
        <v>0</v>
      </c>
      <c r="DG37" s="76">
        <f t="shared" si="25"/>
        <v>0</v>
      </c>
      <c r="DH37" s="76">
        <f t="shared" si="25"/>
        <v>0</v>
      </c>
      <c r="DI37" s="76">
        <f t="shared" si="25"/>
        <v>0</v>
      </c>
      <c r="DJ37" s="76">
        <f t="shared" si="26"/>
        <v>0</v>
      </c>
      <c r="DK37" s="76">
        <f t="shared" si="18"/>
        <v>0</v>
      </c>
      <c r="DL37" s="76">
        <f t="shared" si="18"/>
        <v>0</v>
      </c>
    </row>
    <row r="38" spans="2:116">
      <c r="B38" s="70" t="s">
        <v>47</v>
      </c>
      <c r="C38" s="71" t="s">
        <v>49</v>
      </c>
      <c r="D38" s="71" t="s">
        <v>97</v>
      </c>
      <c r="E38" s="71" t="s">
        <v>98</v>
      </c>
      <c r="F38" s="71" t="s">
        <v>84</v>
      </c>
      <c r="G38" s="71" t="s">
        <v>104</v>
      </c>
      <c r="H38" s="71" t="s">
        <v>105</v>
      </c>
      <c r="I38" s="71" t="s">
        <v>103</v>
      </c>
      <c r="J38" s="71" t="s">
        <v>99</v>
      </c>
      <c r="K38" s="71" t="s">
        <v>102</v>
      </c>
      <c r="L38" s="71" t="s">
        <v>100</v>
      </c>
      <c r="M38" s="72" t="s">
        <v>101</v>
      </c>
      <c r="O38" s="4" t="s">
        <v>108</v>
      </c>
      <c r="P38" s="4"/>
      <c r="Q38" s="4"/>
      <c r="R38" s="4">
        <f>SUM(R39:R62)</f>
        <v>0</v>
      </c>
      <c r="S38" s="4">
        <f t="shared" ref="S38:CD38" si="28">SUM(S39:S62)</f>
        <v>3</v>
      </c>
      <c r="T38" s="4">
        <f t="shared" si="28"/>
        <v>3</v>
      </c>
      <c r="U38" s="4">
        <f t="shared" si="28"/>
        <v>7</v>
      </c>
      <c r="V38" s="4">
        <f t="shared" si="28"/>
        <v>7</v>
      </c>
      <c r="W38" s="4">
        <f t="shared" si="28"/>
        <v>7</v>
      </c>
      <c r="X38" s="4">
        <f t="shared" si="28"/>
        <v>9</v>
      </c>
      <c r="Y38" s="4">
        <f t="shared" si="28"/>
        <v>13</v>
      </c>
      <c r="Z38" s="4">
        <f t="shared" si="28"/>
        <v>13</v>
      </c>
      <c r="AA38" s="4">
        <f t="shared" si="28"/>
        <v>13</v>
      </c>
      <c r="AB38" s="4">
        <f t="shared" si="28"/>
        <v>13</v>
      </c>
      <c r="AC38" s="4">
        <f t="shared" si="28"/>
        <v>13</v>
      </c>
      <c r="AD38" s="4">
        <f t="shared" si="28"/>
        <v>13</v>
      </c>
      <c r="AE38" s="4">
        <f t="shared" si="28"/>
        <v>13</v>
      </c>
      <c r="AF38" s="4">
        <f t="shared" si="28"/>
        <v>13</v>
      </c>
      <c r="AG38" s="4">
        <f t="shared" si="28"/>
        <v>13</v>
      </c>
      <c r="AH38" s="4">
        <f t="shared" si="28"/>
        <v>13</v>
      </c>
      <c r="AI38" s="4">
        <f t="shared" si="28"/>
        <v>13</v>
      </c>
      <c r="AJ38" s="4">
        <f t="shared" si="28"/>
        <v>13</v>
      </c>
      <c r="AK38" s="4">
        <f t="shared" si="28"/>
        <v>13</v>
      </c>
      <c r="AL38" s="4">
        <f t="shared" si="28"/>
        <v>13</v>
      </c>
      <c r="AM38" s="4">
        <f t="shared" si="28"/>
        <v>13</v>
      </c>
      <c r="AN38" s="4">
        <f t="shared" si="28"/>
        <v>13</v>
      </c>
      <c r="AO38" s="4">
        <f t="shared" si="28"/>
        <v>13</v>
      </c>
      <c r="AP38" s="4">
        <f t="shared" si="28"/>
        <v>13</v>
      </c>
      <c r="AQ38" s="4">
        <f t="shared" si="28"/>
        <v>14</v>
      </c>
      <c r="AR38" s="4">
        <f t="shared" si="28"/>
        <v>14</v>
      </c>
      <c r="AS38" s="4">
        <f t="shared" si="28"/>
        <v>17</v>
      </c>
      <c r="AT38" s="4">
        <f t="shared" si="28"/>
        <v>17</v>
      </c>
      <c r="AU38" s="4">
        <f t="shared" si="28"/>
        <v>17</v>
      </c>
      <c r="AV38" s="4">
        <f t="shared" si="28"/>
        <v>17</v>
      </c>
      <c r="AW38" s="4">
        <f t="shared" si="28"/>
        <v>17</v>
      </c>
      <c r="AX38" s="4">
        <f t="shared" si="28"/>
        <v>17</v>
      </c>
      <c r="AY38" s="4">
        <f t="shared" si="28"/>
        <v>17</v>
      </c>
      <c r="AZ38" s="4">
        <f t="shared" si="28"/>
        <v>17</v>
      </c>
      <c r="BA38" s="4">
        <f t="shared" si="28"/>
        <v>17</v>
      </c>
      <c r="BB38" s="4">
        <f t="shared" si="28"/>
        <v>18</v>
      </c>
      <c r="BC38" s="4">
        <f t="shared" si="28"/>
        <v>18</v>
      </c>
      <c r="BD38" s="4">
        <f t="shared" si="28"/>
        <v>18</v>
      </c>
      <c r="BE38" s="4">
        <f t="shared" si="28"/>
        <v>18</v>
      </c>
      <c r="BF38" s="4">
        <f t="shared" si="28"/>
        <v>18</v>
      </c>
      <c r="BG38" s="4">
        <f t="shared" si="28"/>
        <v>21</v>
      </c>
      <c r="BH38" s="4">
        <f t="shared" si="28"/>
        <v>21</v>
      </c>
      <c r="BI38" s="4">
        <f t="shared" si="28"/>
        <v>21</v>
      </c>
      <c r="BJ38" s="4">
        <f t="shared" si="28"/>
        <v>21</v>
      </c>
      <c r="BK38" s="4">
        <f t="shared" si="28"/>
        <v>21</v>
      </c>
      <c r="BL38" s="4">
        <f t="shared" si="28"/>
        <v>21</v>
      </c>
      <c r="BM38" s="4">
        <f t="shared" si="28"/>
        <v>21</v>
      </c>
      <c r="BN38" s="4">
        <f t="shared" si="28"/>
        <v>21</v>
      </c>
      <c r="BO38" s="4">
        <f t="shared" si="28"/>
        <v>23</v>
      </c>
      <c r="BP38" s="4">
        <f t="shared" si="28"/>
        <v>23</v>
      </c>
      <c r="BQ38" s="4">
        <f t="shared" si="28"/>
        <v>23</v>
      </c>
      <c r="BR38" s="4">
        <f t="shared" si="28"/>
        <v>23</v>
      </c>
      <c r="BS38" s="4">
        <f t="shared" si="28"/>
        <v>23</v>
      </c>
      <c r="BT38" s="4">
        <f t="shared" si="28"/>
        <v>23</v>
      </c>
      <c r="BU38" s="4">
        <f t="shared" si="28"/>
        <v>23</v>
      </c>
      <c r="BV38" s="4">
        <f t="shared" si="28"/>
        <v>23</v>
      </c>
      <c r="BW38" s="4">
        <f t="shared" si="28"/>
        <v>23</v>
      </c>
      <c r="BX38" s="4">
        <f t="shared" si="28"/>
        <v>23</v>
      </c>
      <c r="BY38" s="4">
        <f t="shared" si="28"/>
        <v>23</v>
      </c>
      <c r="BZ38" s="4">
        <f t="shared" si="28"/>
        <v>23</v>
      </c>
      <c r="CA38" s="4">
        <f t="shared" si="28"/>
        <v>0</v>
      </c>
      <c r="CB38" s="4">
        <f t="shared" si="28"/>
        <v>0</v>
      </c>
      <c r="CC38" s="4">
        <f t="shared" si="28"/>
        <v>0</v>
      </c>
      <c r="CD38" s="4">
        <f t="shared" si="28"/>
        <v>0</v>
      </c>
      <c r="CE38" s="4">
        <f t="shared" ref="CE38:DL38" si="29">SUM(CE39:CE62)</f>
        <v>0</v>
      </c>
      <c r="CF38" s="4">
        <f t="shared" si="29"/>
        <v>0</v>
      </c>
      <c r="CG38" s="4">
        <f t="shared" si="29"/>
        <v>0</v>
      </c>
      <c r="CH38" s="4">
        <f t="shared" si="29"/>
        <v>0</v>
      </c>
      <c r="CI38" s="4">
        <f t="shared" si="29"/>
        <v>0</v>
      </c>
      <c r="CJ38" s="4">
        <f t="shared" si="29"/>
        <v>0</v>
      </c>
      <c r="CK38" s="4">
        <f t="shared" si="29"/>
        <v>0</v>
      </c>
      <c r="CL38" s="4">
        <f t="shared" si="29"/>
        <v>0</v>
      </c>
      <c r="CM38" s="4">
        <f t="shared" si="29"/>
        <v>0</v>
      </c>
      <c r="CN38" s="4">
        <f t="shared" si="29"/>
        <v>0</v>
      </c>
      <c r="CO38" s="4">
        <f t="shared" si="29"/>
        <v>0</v>
      </c>
      <c r="CP38" s="4">
        <f t="shared" si="29"/>
        <v>0</v>
      </c>
      <c r="CQ38" s="4">
        <f t="shared" si="29"/>
        <v>0</v>
      </c>
      <c r="CR38" s="4">
        <f t="shared" si="29"/>
        <v>0</v>
      </c>
      <c r="CS38" s="4">
        <f t="shared" si="29"/>
        <v>0</v>
      </c>
      <c r="CT38" s="4">
        <f t="shared" si="29"/>
        <v>0</v>
      </c>
      <c r="CU38" s="4">
        <f t="shared" si="29"/>
        <v>0</v>
      </c>
      <c r="CV38" s="4">
        <f t="shared" si="29"/>
        <v>0</v>
      </c>
      <c r="CW38" s="4">
        <f t="shared" si="29"/>
        <v>0</v>
      </c>
      <c r="CX38" s="4">
        <f t="shared" si="29"/>
        <v>0</v>
      </c>
      <c r="CY38" s="4">
        <f t="shared" si="29"/>
        <v>0</v>
      </c>
      <c r="CZ38" s="4">
        <f t="shared" si="29"/>
        <v>0</v>
      </c>
      <c r="DA38" s="4">
        <f t="shared" si="29"/>
        <v>0</v>
      </c>
      <c r="DB38" s="4">
        <f t="shared" si="29"/>
        <v>0</v>
      </c>
      <c r="DC38" s="4">
        <f t="shared" si="29"/>
        <v>0</v>
      </c>
      <c r="DD38" s="4">
        <f t="shared" si="29"/>
        <v>0</v>
      </c>
      <c r="DE38" s="4">
        <f t="shared" si="29"/>
        <v>0</v>
      </c>
      <c r="DF38" s="4">
        <f t="shared" si="29"/>
        <v>0</v>
      </c>
      <c r="DG38" s="4">
        <f t="shared" si="29"/>
        <v>0</v>
      </c>
      <c r="DH38" s="4">
        <f t="shared" si="29"/>
        <v>0</v>
      </c>
      <c r="DI38" s="4">
        <f t="shared" si="29"/>
        <v>0</v>
      </c>
      <c r="DJ38" s="4">
        <f t="shared" si="29"/>
        <v>0</v>
      </c>
      <c r="DK38" s="4">
        <f t="shared" si="29"/>
        <v>0</v>
      </c>
      <c r="DL38" s="4">
        <f t="shared" si="29"/>
        <v>0</v>
      </c>
    </row>
    <row r="39" spans="2:116">
      <c r="B39" s="27">
        <f>Rentroll!$C$37</f>
        <v>17</v>
      </c>
      <c r="C39" s="69" t="str">
        <f>VLOOKUP($B39,Rentroll!$C$37:$Z$60,3,FALSE)</f>
        <v>리마 상사</v>
      </c>
      <c r="D39" s="80">
        <f>VLOOKUP($B39,Rentroll!$C$37:$Z$60,9,FALSE)</f>
        <v>47149</v>
      </c>
      <c r="E39" s="80">
        <f>VLOOKUP($B39,Rentroll!$C$37:$Z$60,10,FALSE)</f>
        <v>48975</v>
      </c>
      <c r="F39" s="81">
        <f>VLOOKUP($B39,Rentroll!$C$37:$Z$60,11,FALSE)</f>
        <v>60</v>
      </c>
      <c r="G39" s="69">
        <f>VLOOKUP($B39,Rentroll!$C$37:$Z$60,13,FALSE)</f>
        <v>115927.40742999999</v>
      </c>
      <c r="H39" s="69">
        <f>VLOOKUP($B39,Rentroll!$C$37:$Z$60,14,FALSE)</f>
        <v>106266.79014416666</v>
      </c>
      <c r="I39" s="69">
        <f>VLOOKUP($B39,Rentroll!$C$37:$Z$60,15,FALSE)</f>
        <v>50647.896449999993</v>
      </c>
      <c r="J39" s="82">
        <f>VLOOKUP($B39,Rentroll!$C$37:$Z$60,19,FALSE)</f>
        <v>0.03</v>
      </c>
      <c r="K39" s="83">
        <f>VLOOKUP($B39,Rentroll!$C$37:$Z$60,4,FALSE)</f>
        <v>1385.09</v>
      </c>
      <c r="L39" s="81">
        <f>VLOOKUP($B39,Rentroll!$C$37:$Z$60,17,FALSE)</f>
        <v>0</v>
      </c>
      <c r="M39" s="84">
        <f>VLOOKUP($B39,Rentroll!$C$37:$Z$60,18,FALSE)</f>
        <v>1</v>
      </c>
      <c r="O39" s="46">
        <f>B39</f>
        <v>17</v>
      </c>
      <c r="P39" s="73"/>
      <c r="Q39" s="73"/>
      <c r="R39" s="73">
        <f>(R$14&gt;$D39)*(R$14&lt;=$E39)*R$11*1</f>
        <v>0</v>
      </c>
      <c r="S39" s="73">
        <f t="shared" ref="S39:AH54" si="30">(S$14&gt;$D39)*(S$14&lt;=$E39)*S$11*1</f>
        <v>0</v>
      </c>
      <c r="T39" s="73">
        <f t="shared" si="30"/>
        <v>0</v>
      </c>
      <c r="U39" s="73">
        <f t="shared" si="30"/>
        <v>0</v>
      </c>
      <c r="V39" s="73">
        <f t="shared" si="30"/>
        <v>0</v>
      </c>
      <c r="W39" s="73">
        <f t="shared" si="30"/>
        <v>0</v>
      </c>
      <c r="X39" s="73">
        <f t="shared" si="30"/>
        <v>0</v>
      </c>
      <c r="Y39" s="73">
        <f t="shared" si="30"/>
        <v>0</v>
      </c>
      <c r="Z39" s="73">
        <f t="shared" si="30"/>
        <v>0</v>
      </c>
      <c r="AA39" s="73">
        <f t="shared" si="30"/>
        <v>0</v>
      </c>
      <c r="AB39" s="73">
        <f t="shared" si="30"/>
        <v>0</v>
      </c>
      <c r="AC39" s="73">
        <f t="shared" si="30"/>
        <v>0</v>
      </c>
      <c r="AD39" s="73">
        <f t="shared" si="30"/>
        <v>0</v>
      </c>
      <c r="AE39" s="73">
        <f t="shared" si="30"/>
        <v>0</v>
      </c>
      <c r="AF39" s="73">
        <f t="shared" si="30"/>
        <v>0</v>
      </c>
      <c r="AG39" s="73">
        <f t="shared" si="30"/>
        <v>0</v>
      </c>
      <c r="AH39" s="73">
        <f t="shared" si="30"/>
        <v>0</v>
      </c>
      <c r="AI39" s="73">
        <f t="shared" ref="AI39:AX54" si="31">(AI$14&gt;$D39)*(AI$14&lt;=$E39)*AI$11*1</f>
        <v>0</v>
      </c>
      <c r="AJ39" s="73">
        <f t="shared" si="31"/>
        <v>0</v>
      </c>
      <c r="AK39" s="73">
        <f t="shared" si="31"/>
        <v>0</v>
      </c>
      <c r="AL39" s="73">
        <f t="shared" si="31"/>
        <v>0</v>
      </c>
      <c r="AM39" s="73">
        <f t="shared" si="31"/>
        <v>0</v>
      </c>
      <c r="AN39" s="73">
        <f t="shared" si="31"/>
        <v>0</v>
      </c>
      <c r="AO39" s="73">
        <f t="shared" si="31"/>
        <v>0</v>
      </c>
      <c r="AP39" s="73">
        <f t="shared" si="31"/>
        <v>0</v>
      </c>
      <c r="AQ39" s="73">
        <f t="shared" si="31"/>
        <v>0</v>
      </c>
      <c r="AR39" s="73">
        <f t="shared" si="31"/>
        <v>0</v>
      </c>
      <c r="AS39" s="73">
        <f t="shared" si="31"/>
        <v>0</v>
      </c>
      <c r="AT39" s="73">
        <f t="shared" si="31"/>
        <v>0</v>
      </c>
      <c r="AU39" s="73">
        <f t="shared" si="31"/>
        <v>0</v>
      </c>
      <c r="AV39" s="73">
        <f t="shared" si="31"/>
        <v>0</v>
      </c>
      <c r="AW39" s="73">
        <f t="shared" si="31"/>
        <v>0</v>
      </c>
      <c r="AX39" s="73">
        <f t="shared" si="31"/>
        <v>0</v>
      </c>
      <c r="AY39" s="73">
        <f t="shared" ref="AY39:BN54" si="32">(AY$14&gt;$D39)*(AY$14&lt;=$E39)*AY$11*1</f>
        <v>0</v>
      </c>
      <c r="AZ39" s="73">
        <f t="shared" si="32"/>
        <v>0</v>
      </c>
      <c r="BA39" s="73">
        <f t="shared" si="32"/>
        <v>0</v>
      </c>
      <c r="BB39" s="73">
        <f t="shared" si="32"/>
        <v>0</v>
      </c>
      <c r="BC39" s="73">
        <f t="shared" si="32"/>
        <v>0</v>
      </c>
      <c r="BD39" s="73">
        <f t="shared" si="32"/>
        <v>0</v>
      </c>
      <c r="BE39" s="73">
        <f t="shared" si="32"/>
        <v>0</v>
      </c>
      <c r="BF39" s="73">
        <f t="shared" si="32"/>
        <v>0</v>
      </c>
      <c r="BG39" s="73">
        <f t="shared" si="32"/>
        <v>0</v>
      </c>
      <c r="BH39" s="73">
        <f t="shared" si="32"/>
        <v>0</v>
      </c>
      <c r="BI39" s="73">
        <f t="shared" si="32"/>
        <v>0</v>
      </c>
      <c r="BJ39" s="73">
        <f t="shared" si="32"/>
        <v>0</v>
      </c>
      <c r="BK39" s="73">
        <f t="shared" si="32"/>
        <v>0</v>
      </c>
      <c r="BL39" s="73">
        <f t="shared" si="32"/>
        <v>0</v>
      </c>
      <c r="BM39" s="73">
        <f t="shared" si="32"/>
        <v>0</v>
      </c>
      <c r="BN39" s="73">
        <f t="shared" si="32"/>
        <v>0</v>
      </c>
      <c r="BO39" s="73">
        <f t="shared" ref="BO39:CD54" si="33">(BO$14&gt;$D39)*(BO$14&lt;=$E39)*BO$11*1</f>
        <v>1</v>
      </c>
      <c r="BP39" s="73">
        <f t="shared" si="33"/>
        <v>1</v>
      </c>
      <c r="BQ39" s="73">
        <f t="shared" si="33"/>
        <v>1</v>
      </c>
      <c r="BR39" s="73">
        <f t="shared" si="33"/>
        <v>1</v>
      </c>
      <c r="BS39" s="73">
        <f t="shared" si="33"/>
        <v>1</v>
      </c>
      <c r="BT39" s="73">
        <f t="shared" si="33"/>
        <v>1</v>
      </c>
      <c r="BU39" s="73">
        <f t="shared" si="33"/>
        <v>1</v>
      </c>
      <c r="BV39" s="73">
        <f t="shared" si="33"/>
        <v>1</v>
      </c>
      <c r="BW39" s="73">
        <f t="shared" si="33"/>
        <v>1</v>
      </c>
      <c r="BX39" s="73">
        <f t="shared" si="33"/>
        <v>1</v>
      </c>
      <c r="BY39" s="73">
        <f t="shared" si="33"/>
        <v>1</v>
      </c>
      <c r="BZ39" s="73">
        <f t="shared" si="33"/>
        <v>1</v>
      </c>
      <c r="CA39" s="73">
        <f t="shared" si="33"/>
        <v>0</v>
      </c>
      <c r="CB39" s="73">
        <f t="shared" si="33"/>
        <v>0</v>
      </c>
      <c r="CC39" s="73">
        <f t="shared" si="33"/>
        <v>0</v>
      </c>
      <c r="CD39" s="73">
        <f t="shared" si="33"/>
        <v>0</v>
      </c>
      <c r="CE39" s="73">
        <f t="shared" ref="CE39:CT54" si="34">(CE$14&gt;$D39)*(CE$14&lt;=$E39)*CE$11*1</f>
        <v>0</v>
      </c>
      <c r="CF39" s="73">
        <f t="shared" si="34"/>
        <v>0</v>
      </c>
      <c r="CG39" s="73">
        <f t="shared" si="34"/>
        <v>0</v>
      </c>
      <c r="CH39" s="73">
        <f t="shared" si="34"/>
        <v>0</v>
      </c>
      <c r="CI39" s="73">
        <f t="shared" si="34"/>
        <v>0</v>
      </c>
      <c r="CJ39" s="73">
        <f t="shared" si="34"/>
        <v>0</v>
      </c>
      <c r="CK39" s="73">
        <f t="shared" si="34"/>
        <v>0</v>
      </c>
      <c r="CL39" s="73">
        <f t="shared" si="34"/>
        <v>0</v>
      </c>
      <c r="CM39" s="73">
        <f t="shared" si="34"/>
        <v>0</v>
      </c>
      <c r="CN39" s="73">
        <f t="shared" si="34"/>
        <v>0</v>
      </c>
      <c r="CO39" s="73">
        <f t="shared" si="34"/>
        <v>0</v>
      </c>
      <c r="CP39" s="73">
        <f t="shared" si="34"/>
        <v>0</v>
      </c>
      <c r="CQ39" s="73">
        <f t="shared" si="34"/>
        <v>0</v>
      </c>
      <c r="CR39" s="73">
        <f t="shared" si="34"/>
        <v>0</v>
      </c>
      <c r="CS39" s="73">
        <f t="shared" si="34"/>
        <v>0</v>
      </c>
      <c r="CT39" s="73">
        <f t="shared" si="34"/>
        <v>0</v>
      </c>
      <c r="CU39" s="73">
        <f t="shared" ref="CU39:DJ54" si="35">(CU$14&gt;$D39)*(CU$14&lt;=$E39)*CU$11*1</f>
        <v>0</v>
      </c>
      <c r="CV39" s="73">
        <f t="shared" si="35"/>
        <v>0</v>
      </c>
      <c r="CW39" s="73">
        <f t="shared" si="35"/>
        <v>0</v>
      </c>
      <c r="CX39" s="73">
        <f t="shared" si="35"/>
        <v>0</v>
      </c>
      <c r="CY39" s="73">
        <f t="shared" si="35"/>
        <v>0</v>
      </c>
      <c r="CZ39" s="73">
        <f t="shared" si="35"/>
        <v>0</v>
      </c>
      <c r="DA39" s="73">
        <f t="shared" si="35"/>
        <v>0</v>
      </c>
      <c r="DB39" s="73">
        <f t="shared" si="35"/>
        <v>0</v>
      </c>
      <c r="DC39" s="73">
        <f t="shared" si="35"/>
        <v>0</v>
      </c>
      <c r="DD39" s="73">
        <f t="shared" si="35"/>
        <v>0</v>
      </c>
      <c r="DE39" s="73">
        <f t="shared" si="35"/>
        <v>0</v>
      </c>
      <c r="DF39" s="73">
        <f t="shared" si="35"/>
        <v>0</v>
      </c>
      <c r="DG39" s="73">
        <f t="shared" si="35"/>
        <v>0</v>
      </c>
      <c r="DH39" s="73">
        <f t="shared" si="35"/>
        <v>0</v>
      </c>
      <c r="DI39" s="73">
        <f t="shared" si="35"/>
        <v>0</v>
      </c>
      <c r="DJ39" s="73">
        <f t="shared" si="35"/>
        <v>0</v>
      </c>
      <c r="DK39" s="73">
        <f t="shared" ref="DK39:DL62" si="36">(DK$14&gt;$D39)*(DK$14&lt;=$E39)*DK$11*1</f>
        <v>0</v>
      </c>
      <c r="DL39" s="73">
        <f t="shared" si="36"/>
        <v>0</v>
      </c>
    </row>
    <row r="40" spans="2:116">
      <c r="B40" s="27">
        <f>Rentroll!$C$38</f>
        <v>16</v>
      </c>
      <c r="C40" s="69" t="str">
        <f>VLOOKUP($B40,Rentroll!$C$37:$Z$60,3,FALSE)</f>
        <v>리마 상사</v>
      </c>
      <c r="D40" s="80">
        <f>VLOOKUP($B40,Rentroll!$C$37:$Z$60,9,FALSE)</f>
        <v>47149</v>
      </c>
      <c r="E40" s="80">
        <f>VLOOKUP($B40,Rentroll!$C$37:$Z$60,10,FALSE)</f>
        <v>48975</v>
      </c>
      <c r="F40" s="81">
        <f>VLOOKUP($B40,Rentroll!$C$37:$Z$60,11,FALSE)</f>
        <v>60</v>
      </c>
      <c r="G40" s="69">
        <f>VLOOKUP($B40,Rentroll!$C$37:$Z$60,13,FALSE)</f>
        <v>115927.40742999999</v>
      </c>
      <c r="H40" s="69">
        <f>VLOOKUP($B40,Rentroll!$C$37:$Z$60,14,FALSE)</f>
        <v>106266.79014416666</v>
      </c>
      <c r="I40" s="69">
        <f>VLOOKUP($B40,Rentroll!$C$37:$Z$60,15,FALSE)</f>
        <v>50647.896449999993</v>
      </c>
      <c r="J40" s="82">
        <f>VLOOKUP($B40,Rentroll!$C$37:$Z$60,19,FALSE)</f>
        <v>0.03</v>
      </c>
      <c r="K40" s="83">
        <f>VLOOKUP($B40,Rentroll!$C$37:$Z$60,4,FALSE)</f>
        <v>1385.09</v>
      </c>
      <c r="L40" s="81">
        <f>VLOOKUP($B40,Rentroll!$C$37:$Z$60,17,FALSE)</f>
        <v>0</v>
      </c>
      <c r="M40" s="84">
        <f>VLOOKUP($B40,Rentroll!$C$37:$Z$60,18,FALSE)</f>
        <v>1</v>
      </c>
      <c r="O40" s="74">
        <f t="shared" ref="O40:O57" si="37">B40</f>
        <v>16</v>
      </c>
      <c r="P40" s="75"/>
      <c r="Q40" s="75"/>
      <c r="R40" s="75">
        <f t="shared" ref="R40:AG55" si="38">(R$14&gt;$D40)*(R$14&lt;=$E40)*R$11*1</f>
        <v>0</v>
      </c>
      <c r="S40" s="75">
        <f t="shared" si="30"/>
        <v>0</v>
      </c>
      <c r="T40" s="75">
        <f t="shared" si="30"/>
        <v>0</v>
      </c>
      <c r="U40" s="75">
        <f t="shared" si="30"/>
        <v>0</v>
      </c>
      <c r="V40" s="75">
        <f t="shared" si="30"/>
        <v>0</v>
      </c>
      <c r="W40" s="75">
        <f t="shared" si="30"/>
        <v>0</v>
      </c>
      <c r="X40" s="75">
        <f t="shared" si="30"/>
        <v>0</v>
      </c>
      <c r="Y40" s="75">
        <f t="shared" si="30"/>
        <v>0</v>
      </c>
      <c r="Z40" s="75">
        <f t="shared" si="30"/>
        <v>0</v>
      </c>
      <c r="AA40" s="75">
        <f t="shared" si="30"/>
        <v>0</v>
      </c>
      <c r="AB40" s="75">
        <f t="shared" si="30"/>
        <v>0</v>
      </c>
      <c r="AC40" s="75">
        <f t="shared" si="30"/>
        <v>0</v>
      </c>
      <c r="AD40" s="75">
        <f t="shared" si="30"/>
        <v>0</v>
      </c>
      <c r="AE40" s="75">
        <f t="shared" si="30"/>
        <v>0</v>
      </c>
      <c r="AF40" s="75">
        <f t="shared" si="30"/>
        <v>0</v>
      </c>
      <c r="AG40" s="75">
        <f t="shared" si="30"/>
        <v>0</v>
      </c>
      <c r="AH40" s="75">
        <f t="shared" si="30"/>
        <v>0</v>
      </c>
      <c r="AI40" s="75">
        <f t="shared" si="31"/>
        <v>0</v>
      </c>
      <c r="AJ40" s="75">
        <f t="shared" si="31"/>
        <v>0</v>
      </c>
      <c r="AK40" s="75">
        <f t="shared" si="31"/>
        <v>0</v>
      </c>
      <c r="AL40" s="75">
        <f t="shared" si="31"/>
        <v>0</v>
      </c>
      <c r="AM40" s="75">
        <f t="shared" si="31"/>
        <v>0</v>
      </c>
      <c r="AN40" s="75">
        <f t="shared" si="31"/>
        <v>0</v>
      </c>
      <c r="AO40" s="75">
        <f t="shared" si="31"/>
        <v>0</v>
      </c>
      <c r="AP40" s="75">
        <f t="shared" si="31"/>
        <v>0</v>
      </c>
      <c r="AQ40" s="75">
        <f t="shared" si="31"/>
        <v>0</v>
      </c>
      <c r="AR40" s="75">
        <f t="shared" si="31"/>
        <v>0</v>
      </c>
      <c r="AS40" s="75">
        <f t="shared" si="31"/>
        <v>0</v>
      </c>
      <c r="AT40" s="75">
        <f t="shared" si="31"/>
        <v>0</v>
      </c>
      <c r="AU40" s="75">
        <f t="shared" si="31"/>
        <v>0</v>
      </c>
      <c r="AV40" s="75">
        <f t="shared" si="31"/>
        <v>0</v>
      </c>
      <c r="AW40" s="75">
        <f t="shared" si="31"/>
        <v>0</v>
      </c>
      <c r="AX40" s="75">
        <f t="shared" si="31"/>
        <v>0</v>
      </c>
      <c r="AY40" s="75">
        <f t="shared" si="32"/>
        <v>0</v>
      </c>
      <c r="AZ40" s="75">
        <f t="shared" si="32"/>
        <v>0</v>
      </c>
      <c r="BA40" s="75">
        <f t="shared" si="32"/>
        <v>0</v>
      </c>
      <c r="BB40" s="75">
        <f t="shared" si="32"/>
        <v>0</v>
      </c>
      <c r="BC40" s="75">
        <f t="shared" si="32"/>
        <v>0</v>
      </c>
      <c r="BD40" s="75">
        <f t="shared" si="32"/>
        <v>0</v>
      </c>
      <c r="BE40" s="75">
        <f t="shared" si="32"/>
        <v>0</v>
      </c>
      <c r="BF40" s="75">
        <f t="shared" si="32"/>
        <v>0</v>
      </c>
      <c r="BG40" s="75">
        <f t="shared" si="32"/>
        <v>0</v>
      </c>
      <c r="BH40" s="75">
        <f t="shared" si="32"/>
        <v>0</v>
      </c>
      <c r="BI40" s="75">
        <f t="shared" si="32"/>
        <v>0</v>
      </c>
      <c r="BJ40" s="75">
        <f t="shared" si="32"/>
        <v>0</v>
      </c>
      <c r="BK40" s="75">
        <f t="shared" si="32"/>
        <v>0</v>
      </c>
      <c r="BL40" s="75">
        <f t="shared" si="32"/>
        <v>0</v>
      </c>
      <c r="BM40" s="75">
        <f t="shared" si="32"/>
        <v>0</v>
      </c>
      <c r="BN40" s="75">
        <f t="shared" si="32"/>
        <v>0</v>
      </c>
      <c r="BO40" s="75">
        <f t="shared" si="33"/>
        <v>1</v>
      </c>
      <c r="BP40" s="75">
        <f t="shared" si="33"/>
        <v>1</v>
      </c>
      <c r="BQ40" s="75">
        <f t="shared" si="33"/>
        <v>1</v>
      </c>
      <c r="BR40" s="75">
        <f t="shared" si="33"/>
        <v>1</v>
      </c>
      <c r="BS40" s="75">
        <f t="shared" si="33"/>
        <v>1</v>
      </c>
      <c r="BT40" s="75">
        <f t="shared" si="33"/>
        <v>1</v>
      </c>
      <c r="BU40" s="75">
        <f t="shared" si="33"/>
        <v>1</v>
      </c>
      <c r="BV40" s="75">
        <f t="shared" si="33"/>
        <v>1</v>
      </c>
      <c r="BW40" s="75">
        <f t="shared" si="33"/>
        <v>1</v>
      </c>
      <c r="BX40" s="75">
        <f t="shared" si="33"/>
        <v>1</v>
      </c>
      <c r="BY40" s="75">
        <f t="shared" si="33"/>
        <v>1</v>
      </c>
      <c r="BZ40" s="75">
        <f t="shared" si="33"/>
        <v>1</v>
      </c>
      <c r="CA40" s="75">
        <f t="shared" si="33"/>
        <v>0</v>
      </c>
      <c r="CB40" s="75">
        <f t="shared" si="33"/>
        <v>0</v>
      </c>
      <c r="CC40" s="75">
        <f t="shared" si="33"/>
        <v>0</v>
      </c>
      <c r="CD40" s="75">
        <f t="shared" si="33"/>
        <v>0</v>
      </c>
      <c r="CE40" s="75">
        <f t="shared" si="34"/>
        <v>0</v>
      </c>
      <c r="CF40" s="75">
        <f t="shared" si="34"/>
        <v>0</v>
      </c>
      <c r="CG40" s="75">
        <f t="shared" si="34"/>
        <v>0</v>
      </c>
      <c r="CH40" s="75">
        <f t="shared" si="34"/>
        <v>0</v>
      </c>
      <c r="CI40" s="75">
        <f t="shared" si="34"/>
        <v>0</v>
      </c>
      <c r="CJ40" s="75">
        <f t="shared" si="34"/>
        <v>0</v>
      </c>
      <c r="CK40" s="75">
        <f t="shared" si="34"/>
        <v>0</v>
      </c>
      <c r="CL40" s="75">
        <f t="shared" si="34"/>
        <v>0</v>
      </c>
      <c r="CM40" s="75">
        <f t="shared" si="34"/>
        <v>0</v>
      </c>
      <c r="CN40" s="75">
        <f t="shared" si="34"/>
        <v>0</v>
      </c>
      <c r="CO40" s="75">
        <f t="shared" si="34"/>
        <v>0</v>
      </c>
      <c r="CP40" s="75">
        <f t="shared" si="34"/>
        <v>0</v>
      </c>
      <c r="CQ40" s="75">
        <f t="shared" si="34"/>
        <v>0</v>
      </c>
      <c r="CR40" s="75">
        <f t="shared" si="34"/>
        <v>0</v>
      </c>
      <c r="CS40" s="75">
        <f t="shared" si="34"/>
        <v>0</v>
      </c>
      <c r="CT40" s="75">
        <f t="shared" si="34"/>
        <v>0</v>
      </c>
      <c r="CU40" s="75">
        <f t="shared" si="35"/>
        <v>0</v>
      </c>
      <c r="CV40" s="75">
        <f t="shared" si="35"/>
        <v>0</v>
      </c>
      <c r="CW40" s="75">
        <f t="shared" si="35"/>
        <v>0</v>
      </c>
      <c r="CX40" s="75">
        <f t="shared" si="35"/>
        <v>0</v>
      </c>
      <c r="CY40" s="75">
        <f t="shared" si="35"/>
        <v>0</v>
      </c>
      <c r="CZ40" s="75">
        <f t="shared" si="35"/>
        <v>0</v>
      </c>
      <c r="DA40" s="75">
        <f t="shared" si="35"/>
        <v>0</v>
      </c>
      <c r="DB40" s="75">
        <f t="shared" si="35"/>
        <v>0</v>
      </c>
      <c r="DC40" s="75">
        <f t="shared" si="35"/>
        <v>0</v>
      </c>
      <c r="DD40" s="75">
        <f t="shared" si="35"/>
        <v>0</v>
      </c>
      <c r="DE40" s="75">
        <f t="shared" si="35"/>
        <v>0</v>
      </c>
      <c r="DF40" s="75">
        <f t="shared" si="35"/>
        <v>0</v>
      </c>
      <c r="DG40" s="75">
        <f t="shared" si="35"/>
        <v>0</v>
      </c>
      <c r="DH40" s="75">
        <f t="shared" si="35"/>
        <v>0</v>
      </c>
      <c r="DI40" s="75">
        <f t="shared" si="35"/>
        <v>0</v>
      </c>
      <c r="DJ40" s="75">
        <f t="shared" si="35"/>
        <v>0</v>
      </c>
      <c r="DK40" s="75">
        <f t="shared" si="36"/>
        <v>0</v>
      </c>
      <c r="DL40" s="75">
        <f t="shared" si="36"/>
        <v>0</v>
      </c>
    </row>
    <row r="41" spans="2:116">
      <c r="B41" s="27">
        <f>Rentroll!$C$39</f>
        <v>15</v>
      </c>
      <c r="C41" s="69" t="str">
        <f>VLOOKUP($B41,Rentroll!$C$37:$Z$60,3,FALSE)</f>
        <v>111퍼센트</v>
      </c>
      <c r="D41" s="80">
        <f>VLOOKUP($B41,Rentroll!$C$37:$Z$60,9,FALSE)</f>
        <v>45869</v>
      </c>
      <c r="E41" s="80">
        <f>VLOOKUP($B41,Rentroll!$C$37:$Z$60,10,FALSE)</f>
        <v>47695</v>
      </c>
      <c r="F41" s="81">
        <f>VLOOKUP($B41,Rentroll!$C$37:$Z$60,11,FALSE)</f>
        <v>60</v>
      </c>
      <c r="G41" s="69">
        <f>VLOOKUP($B41,Rentroll!$C$37:$Z$60,13,FALSE)</f>
        <v>103000</v>
      </c>
      <c r="H41" s="69">
        <f>VLOOKUP($B41,Rentroll!$C$37:$Z$60,14,FALSE)</f>
        <v>94416.666666666672</v>
      </c>
      <c r="I41" s="69">
        <f>VLOOKUP($B41,Rentroll!$C$37:$Z$60,15,FALSE)</f>
        <v>45000</v>
      </c>
      <c r="J41" s="82">
        <f>VLOOKUP($B41,Rentroll!$C$37:$Z$60,19,FALSE)</f>
        <v>0.03</v>
      </c>
      <c r="K41" s="83">
        <f>VLOOKUP($B41,Rentroll!$C$37:$Z$60,4,FALSE)</f>
        <v>1385.09</v>
      </c>
      <c r="L41" s="81">
        <f>VLOOKUP($B41,Rentroll!$C$37:$Z$60,17,FALSE)</f>
        <v>1</v>
      </c>
      <c r="M41" s="84">
        <f>VLOOKUP($B41,Rentroll!$C$37:$Z$60,18,FALSE)</f>
        <v>1</v>
      </c>
      <c r="O41" s="74">
        <f t="shared" si="37"/>
        <v>15</v>
      </c>
      <c r="P41" s="75"/>
      <c r="Q41" s="75"/>
      <c r="R41" s="75">
        <f t="shared" si="38"/>
        <v>0</v>
      </c>
      <c r="S41" s="75">
        <f t="shared" si="30"/>
        <v>0</v>
      </c>
      <c r="T41" s="75">
        <f t="shared" si="30"/>
        <v>0</v>
      </c>
      <c r="U41" s="75">
        <f t="shared" si="30"/>
        <v>0</v>
      </c>
      <c r="V41" s="75">
        <f t="shared" si="30"/>
        <v>0</v>
      </c>
      <c r="W41" s="75">
        <f t="shared" si="30"/>
        <v>0</v>
      </c>
      <c r="X41" s="75">
        <f t="shared" si="30"/>
        <v>0</v>
      </c>
      <c r="Y41" s="75">
        <f t="shared" si="30"/>
        <v>1</v>
      </c>
      <c r="Z41" s="75">
        <f t="shared" si="30"/>
        <v>1</v>
      </c>
      <c r="AA41" s="75">
        <f t="shared" si="30"/>
        <v>1</v>
      </c>
      <c r="AB41" s="75">
        <f t="shared" si="30"/>
        <v>1</v>
      </c>
      <c r="AC41" s="75">
        <f t="shared" si="30"/>
        <v>1</v>
      </c>
      <c r="AD41" s="75">
        <f t="shared" si="30"/>
        <v>1</v>
      </c>
      <c r="AE41" s="75">
        <f t="shared" si="30"/>
        <v>1</v>
      </c>
      <c r="AF41" s="75">
        <f t="shared" si="30"/>
        <v>1</v>
      </c>
      <c r="AG41" s="75">
        <f t="shared" si="30"/>
        <v>1</v>
      </c>
      <c r="AH41" s="75">
        <f t="shared" si="30"/>
        <v>1</v>
      </c>
      <c r="AI41" s="75">
        <f t="shared" si="31"/>
        <v>1</v>
      </c>
      <c r="AJ41" s="75">
        <f t="shared" si="31"/>
        <v>1</v>
      </c>
      <c r="AK41" s="75">
        <f t="shared" si="31"/>
        <v>1</v>
      </c>
      <c r="AL41" s="75">
        <f t="shared" si="31"/>
        <v>1</v>
      </c>
      <c r="AM41" s="75">
        <f t="shared" si="31"/>
        <v>1</v>
      </c>
      <c r="AN41" s="75">
        <f t="shared" si="31"/>
        <v>1</v>
      </c>
      <c r="AO41" s="75">
        <f t="shared" si="31"/>
        <v>1</v>
      </c>
      <c r="AP41" s="75">
        <f t="shared" si="31"/>
        <v>1</v>
      </c>
      <c r="AQ41" s="75">
        <f t="shared" si="31"/>
        <v>1</v>
      </c>
      <c r="AR41" s="75">
        <f t="shared" si="31"/>
        <v>1</v>
      </c>
      <c r="AS41" s="75">
        <f t="shared" si="31"/>
        <v>1</v>
      </c>
      <c r="AT41" s="75">
        <f t="shared" si="31"/>
        <v>1</v>
      </c>
      <c r="AU41" s="75">
        <f t="shared" si="31"/>
        <v>1</v>
      </c>
      <c r="AV41" s="75">
        <f t="shared" si="31"/>
        <v>1</v>
      </c>
      <c r="AW41" s="75">
        <f t="shared" si="31"/>
        <v>1</v>
      </c>
      <c r="AX41" s="75">
        <f t="shared" si="31"/>
        <v>1</v>
      </c>
      <c r="AY41" s="75">
        <f t="shared" si="32"/>
        <v>1</v>
      </c>
      <c r="AZ41" s="75">
        <f t="shared" si="32"/>
        <v>1</v>
      </c>
      <c r="BA41" s="75">
        <f t="shared" si="32"/>
        <v>1</v>
      </c>
      <c r="BB41" s="75">
        <f t="shared" si="32"/>
        <v>1</v>
      </c>
      <c r="BC41" s="75">
        <f t="shared" si="32"/>
        <v>1</v>
      </c>
      <c r="BD41" s="75">
        <f t="shared" si="32"/>
        <v>1</v>
      </c>
      <c r="BE41" s="75">
        <f t="shared" si="32"/>
        <v>1</v>
      </c>
      <c r="BF41" s="75">
        <f t="shared" si="32"/>
        <v>1</v>
      </c>
      <c r="BG41" s="75">
        <f t="shared" si="32"/>
        <v>1</v>
      </c>
      <c r="BH41" s="75">
        <f t="shared" si="32"/>
        <v>1</v>
      </c>
      <c r="BI41" s="75">
        <f t="shared" si="32"/>
        <v>1</v>
      </c>
      <c r="BJ41" s="75">
        <f t="shared" si="32"/>
        <v>1</v>
      </c>
      <c r="BK41" s="75">
        <f t="shared" si="32"/>
        <v>1</v>
      </c>
      <c r="BL41" s="75">
        <f t="shared" si="32"/>
        <v>1</v>
      </c>
      <c r="BM41" s="75">
        <f t="shared" si="32"/>
        <v>1</v>
      </c>
      <c r="BN41" s="75">
        <f t="shared" si="32"/>
        <v>1</v>
      </c>
      <c r="BO41" s="75">
        <f t="shared" si="33"/>
        <v>1</v>
      </c>
      <c r="BP41" s="75">
        <f t="shared" si="33"/>
        <v>1</v>
      </c>
      <c r="BQ41" s="75">
        <f t="shared" si="33"/>
        <v>1</v>
      </c>
      <c r="BR41" s="75">
        <f t="shared" si="33"/>
        <v>1</v>
      </c>
      <c r="BS41" s="75">
        <f t="shared" si="33"/>
        <v>1</v>
      </c>
      <c r="BT41" s="75">
        <f t="shared" si="33"/>
        <v>1</v>
      </c>
      <c r="BU41" s="75">
        <f t="shared" si="33"/>
        <v>1</v>
      </c>
      <c r="BV41" s="75">
        <f t="shared" si="33"/>
        <v>1</v>
      </c>
      <c r="BW41" s="75">
        <f t="shared" si="33"/>
        <v>1</v>
      </c>
      <c r="BX41" s="75">
        <f t="shared" si="33"/>
        <v>1</v>
      </c>
      <c r="BY41" s="75">
        <f t="shared" si="33"/>
        <v>1</v>
      </c>
      <c r="BZ41" s="75">
        <f t="shared" si="33"/>
        <v>1</v>
      </c>
      <c r="CA41" s="75">
        <f t="shared" si="33"/>
        <v>0</v>
      </c>
      <c r="CB41" s="75">
        <f t="shared" si="33"/>
        <v>0</v>
      </c>
      <c r="CC41" s="75">
        <f t="shared" si="33"/>
        <v>0</v>
      </c>
      <c r="CD41" s="75">
        <f t="shared" si="33"/>
        <v>0</v>
      </c>
      <c r="CE41" s="75">
        <f t="shared" si="34"/>
        <v>0</v>
      </c>
      <c r="CF41" s="75">
        <f t="shared" si="34"/>
        <v>0</v>
      </c>
      <c r="CG41" s="75">
        <f t="shared" si="34"/>
        <v>0</v>
      </c>
      <c r="CH41" s="75">
        <f t="shared" si="34"/>
        <v>0</v>
      </c>
      <c r="CI41" s="75">
        <f t="shared" si="34"/>
        <v>0</v>
      </c>
      <c r="CJ41" s="75">
        <f t="shared" si="34"/>
        <v>0</v>
      </c>
      <c r="CK41" s="75">
        <f t="shared" si="34"/>
        <v>0</v>
      </c>
      <c r="CL41" s="75">
        <f t="shared" si="34"/>
        <v>0</v>
      </c>
      <c r="CM41" s="75">
        <f t="shared" si="34"/>
        <v>0</v>
      </c>
      <c r="CN41" s="75">
        <f t="shared" si="34"/>
        <v>0</v>
      </c>
      <c r="CO41" s="75">
        <f t="shared" si="34"/>
        <v>0</v>
      </c>
      <c r="CP41" s="75">
        <f t="shared" si="34"/>
        <v>0</v>
      </c>
      <c r="CQ41" s="75">
        <f t="shared" si="34"/>
        <v>0</v>
      </c>
      <c r="CR41" s="75">
        <f t="shared" si="34"/>
        <v>0</v>
      </c>
      <c r="CS41" s="75">
        <f t="shared" si="34"/>
        <v>0</v>
      </c>
      <c r="CT41" s="75">
        <f t="shared" si="34"/>
        <v>0</v>
      </c>
      <c r="CU41" s="75">
        <f t="shared" si="35"/>
        <v>0</v>
      </c>
      <c r="CV41" s="75">
        <f t="shared" si="35"/>
        <v>0</v>
      </c>
      <c r="CW41" s="75">
        <f t="shared" si="35"/>
        <v>0</v>
      </c>
      <c r="CX41" s="75">
        <f t="shared" si="35"/>
        <v>0</v>
      </c>
      <c r="CY41" s="75">
        <f t="shared" si="35"/>
        <v>0</v>
      </c>
      <c r="CZ41" s="75">
        <f t="shared" si="35"/>
        <v>0</v>
      </c>
      <c r="DA41" s="75">
        <f t="shared" si="35"/>
        <v>0</v>
      </c>
      <c r="DB41" s="75">
        <f t="shared" si="35"/>
        <v>0</v>
      </c>
      <c r="DC41" s="75">
        <f t="shared" si="35"/>
        <v>0</v>
      </c>
      <c r="DD41" s="75">
        <f t="shared" si="35"/>
        <v>0</v>
      </c>
      <c r="DE41" s="75">
        <f t="shared" si="35"/>
        <v>0</v>
      </c>
      <c r="DF41" s="75">
        <f t="shared" si="35"/>
        <v>0</v>
      </c>
      <c r="DG41" s="75">
        <f t="shared" si="35"/>
        <v>0</v>
      </c>
      <c r="DH41" s="75">
        <f t="shared" si="35"/>
        <v>0</v>
      </c>
      <c r="DI41" s="75">
        <f t="shared" si="35"/>
        <v>0</v>
      </c>
      <c r="DJ41" s="75">
        <f t="shared" si="35"/>
        <v>0</v>
      </c>
      <c r="DK41" s="75">
        <f t="shared" si="36"/>
        <v>0</v>
      </c>
      <c r="DL41" s="75">
        <f t="shared" si="36"/>
        <v>0</v>
      </c>
    </row>
    <row r="42" spans="2:116">
      <c r="B42" s="27">
        <f>Rentroll!$C$40</f>
        <v>14</v>
      </c>
      <c r="C42" s="69" t="str">
        <f>VLOOKUP($B42,Rentroll!$C$37:$Z$60,3,FALSE)</f>
        <v>111퍼센트</v>
      </c>
      <c r="D42" s="80">
        <f>VLOOKUP($B42,Rentroll!$C$37:$Z$60,9,FALSE)</f>
        <v>45869</v>
      </c>
      <c r="E42" s="80">
        <f>VLOOKUP($B42,Rentroll!$C$37:$Z$60,10,FALSE)</f>
        <v>47695</v>
      </c>
      <c r="F42" s="81">
        <f>VLOOKUP($B42,Rentroll!$C$37:$Z$60,11,FALSE)</f>
        <v>60</v>
      </c>
      <c r="G42" s="69">
        <f>VLOOKUP($B42,Rentroll!$C$37:$Z$60,13,FALSE)</f>
        <v>103000</v>
      </c>
      <c r="H42" s="69">
        <f>VLOOKUP($B42,Rentroll!$C$37:$Z$60,14,FALSE)</f>
        <v>94416.666666666672</v>
      </c>
      <c r="I42" s="69">
        <f>VLOOKUP($B42,Rentroll!$C$37:$Z$60,15,FALSE)</f>
        <v>45000</v>
      </c>
      <c r="J42" s="82">
        <f>VLOOKUP($B42,Rentroll!$C$37:$Z$60,19,FALSE)</f>
        <v>0.03</v>
      </c>
      <c r="K42" s="83">
        <f>VLOOKUP($B42,Rentroll!$C$37:$Z$60,4,FALSE)</f>
        <v>1385.09</v>
      </c>
      <c r="L42" s="81">
        <f>VLOOKUP($B42,Rentroll!$C$37:$Z$60,17,FALSE)</f>
        <v>1</v>
      </c>
      <c r="M42" s="84">
        <f>VLOOKUP($B42,Rentroll!$C$37:$Z$60,18,FALSE)</f>
        <v>1</v>
      </c>
      <c r="O42" s="74">
        <f t="shared" si="37"/>
        <v>14</v>
      </c>
      <c r="P42" s="75"/>
      <c r="Q42" s="75"/>
      <c r="R42" s="75">
        <f t="shared" si="38"/>
        <v>0</v>
      </c>
      <c r="S42" s="75">
        <f t="shared" si="30"/>
        <v>0</v>
      </c>
      <c r="T42" s="75">
        <f t="shared" si="30"/>
        <v>0</v>
      </c>
      <c r="U42" s="75">
        <f t="shared" si="30"/>
        <v>0</v>
      </c>
      <c r="V42" s="75">
        <f t="shared" si="30"/>
        <v>0</v>
      </c>
      <c r="W42" s="75">
        <f t="shared" si="30"/>
        <v>0</v>
      </c>
      <c r="X42" s="75">
        <f t="shared" si="30"/>
        <v>0</v>
      </c>
      <c r="Y42" s="75">
        <f t="shared" si="30"/>
        <v>1</v>
      </c>
      <c r="Z42" s="75">
        <f t="shared" si="30"/>
        <v>1</v>
      </c>
      <c r="AA42" s="75">
        <f t="shared" si="30"/>
        <v>1</v>
      </c>
      <c r="AB42" s="75">
        <f t="shared" si="30"/>
        <v>1</v>
      </c>
      <c r="AC42" s="75">
        <f t="shared" si="30"/>
        <v>1</v>
      </c>
      <c r="AD42" s="75">
        <f t="shared" si="30"/>
        <v>1</v>
      </c>
      <c r="AE42" s="75">
        <f t="shared" si="30"/>
        <v>1</v>
      </c>
      <c r="AF42" s="75">
        <f t="shared" si="30"/>
        <v>1</v>
      </c>
      <c r="AG42" s="75">
        <f t="shared" si="30"/>
        <v>1</v>
      </c>
      <c r="AH42" s="75">
        <f t="shared" si="30"/>
        <v>1</v>
      </c>
      <c r="AI42" s="75">
        <f t="shared" si="31"/>
        <v>1</v>
      </c>
      <c r="AJ42" s="75">
        <f t="shared" si="31"/>
        <v>1</v>
      </c>
      <c r="AK42" s="75">
        <f t="shared" si="31"/>
        <v>1</v>
      </c>
      <c r="AL42" s="75">
        <f t="shared" si="31"/>
        <v>1</v>
      </c>
      <c r="AM42" s="75">
        <f t="shared" si="31"/>
        <v>1</v>
      </c>
      <c r="AN42" s="75">
        <f t="shared" si="31"/>
        <v>1</v>
      </c>
      <c r="AO42" s="75">
        <f t="shared" si="31"/>
        <v>1</v>
      </c>
      <c r="AP42" s="75">
        <f t="shared" si="31"/>
        <v>1</v>
      </c>
      <c r="AQ42" s="75">
        <f t="shared" si="31"/>
        <v>1</v>
      </c>
      <c r="AR42" s="75">
        <f t="shared" si="31"/>
        <v>1</v>
      </c>
      <c r="AS42" s="75">
        <f t="shared" si="31"/>
        <v>1</v>
      </c>
      <c r="AT42" s="75">
        <f t="shared" si="31"/>
        <v>1</v>
      </c>
      <c r="AU42" s="75">
        <f t="shared" si="31"/>
        <v>1</v>
      </c>
      <c r="AV42" s="75">
        <f t="shared" si="31"/>
        <v>1</v>
      </c>
      <c r="AW42" s="75">
        <f t="shared" si="31"/>
        <v>1</v>
      </c>
      <c r="AX42" s="75">
        <f t="shared" si="31"/>
        <v>1</v>
      </c>
      <c r="AY42" s="75">
        <f t="shared" si="32"/>
        <v>1</v>
      </c>
      <c r="AZ42" s="75">
        <f t="shared" si="32"/>
        <v>1</v>
      </c>
      <c r="BA42" s="75">
        <f t="shared" si="32"/>
        <v>1</v>
      </c>
      <c r="BB42" s="75">
        <f t="shared" si="32"/>
        <v>1</v>
      </c>
      <c r="BC42" s="75">
        <f t="shared" si="32"/>
        <v>1</v>
      </c>
      <c r="BD42" s="75">
        <f t="shared" si="32"/>
        <v>1</v>
      </c>
      <c r="BE42" s="75">
        <f t="shared" si="32"/>
        <v>1</v>
      </c>
      <c r="BF42" s="75">
        <f t="shared" si="32"/>
        <v>1</v>
      </c>
      <c r="BG42" s="75">
        <f t="shared" si="32"/>
        <v>1</v>
      </c>
      <c r="BH42" s="75">
        <f t="shared" si="32"/>
        <v>1</v>
      </c>
      <c r="BI42" s="75">
        <f t="shared" si="32"/>
        <v>1</v>
      </c>
      <c r="BJ42" s="75">
        <f t="shared" si="32"/>
        <v>1</v>
      </c>
      <c r="BK42" s="75">
        <f t="shared" si="32"/>
        <v>1</v>
      </c>
      <c r="BL42" s="75">
        <f t="shared" si="32"/>
        <v>1</v>
      </c>
      <c r="BM42" s="75">
        <f t="shared" si="32"/>
        <v>1</v>
      </c>
      <c r="BN42" s="75">
        <f t="shared" si="32"/>
        <v>1</v>
      </c>
      <c r="BO42" s="75">
        <f t="shared" si="33"/>
        <v>1</v>
      </c>
      <c r="BP42" s="75">
        <f t="shared" si="33"/>
        <v>1</v>
      </c>
      <c r="BQ42" s="75">
        <f t="shared" si="33"/>
        <v>1</v>
      </c>
      <c r="BR42" s="75">
        <f t="shared" si="33"/>
        <v>1</v>
      </c>
      <c r="BS42" s="75">
        <f t="shared" si="33"/>
        <v>1</v>
      </c>
      <c r="BT42" s="75">
        <f t="shared" si="33"/>
        <v>1</v>
      </c>
      <c r="BU42" s="75">
        <f t="shared" si="33"/>
        <v>1</v>
      </c>
      <c r="BV42" s="75">
        <f t="shared" si="33"/>
        <v>1</v>
      </c>
      <c r="BW42" s="75">
        <f t="shared" si="33"/>
        <v>1</v>
      </c>
      <c r="BX42" s="75">
        <f t="shared" si="33"/>
        <v>1</v>
      </c>
      <c r="BY42" s="75">
        <f t="shared" si="33"/>
        <v>1</v>
      </c>
      <c r="BZ42" s="75">
        <f t="shared" si="33"/>
        <v>1</v>
      </c>
      <c r="CA42" s="75">
        <f t="shared" si="33"/>
        <v>0</v>
      </c>
      <c r="CB42" s="75">
        <f t="shared" si="33"/>
        <v>0</v>
      </c>
      <c r="CC42" s="75">
        <f t="shared" si="33"/>
        <v>0</v>
      </c>
      <c r="CD42" s="75">
        <f t="shared" si="33"/>
        <v>0</v>
      </c>
      <c r="CE42" s="75">
        <f t="shared" si="34"/>
        <v>0</v>
      </c>
      <c r="CF42" s="75">
        <f t="shared" si="34"/>
        <v>0</v>
      </c>
      <c r="CG42" s="75">
        <f t="shared" si="34"/>
        <v>0</v>
      </c>
      <c r="CH42" s="75">
        <f t="shared" si="34"/>
        <v>0</v>
      </c>
      <c r="CI42" s="75">
        <f t="shared" si="34"/>
        <v>0</v>
      </c>
      <c r="CJ42" s="75">
        <f t="shared" si="34"/>
        <v>0</v>
      </c>
      <c r="CK42" s="75">
        <f t="shared" si="34"/>
        <v>0</v>
      </c>
      <c r="CL42" s="75">
        <f t="shared" si="34"/>
        <v>0</v>
      </c>
      <c r="CM42" s="75">
        <f t="shared" si="34"/>
        <v>0</v>
      </c>
      <c r="CN42" s="75">
        <f t="shared" si="34"/>
        <v>0</v>
      </c>
      <c r="CO42" s="75">
        <f t="shared" si="34"/>
        <v>0</v>
      </c>
      <c r="CP42" s="75">
        <f t="shared" si="34"/>
        <v>0</v>
      </c>
      <c r="CQ42" s="75">
        <f t="shared" si="34"/>
        <v>0</v>
      </c>
      <c r="CR42" s="75">
        <f t="shared" si="34"/>
        <v>0</v>
      </c>
      <c r="CS42" s="75">
        <f t="shared" si="34"/>
        <v>0</v>
      </c>
      <c r="CT42" s="75">
        <f t="shared" si="34"/>
        <v>0</v>
      </c>
      <c r="CU42" s="75">
        <f t="shared" si="35"/>
        <v>0</v>
      </c>
      <c r="CV42" s="75">
        <f t="shared" si="35"/>
        <v>0</v>
      </c>
      <c r="CW42" s="75">
        <f t="shared" si="35"/>
        <v>0</v>
      </c>
      <c r="CX42" s="75">
        <f t="shared" si="35"/>
        <v>0</v>
      </c>
      <c r="CY42" s="75">
        <f t="shared" si="35"/>
        <v>0</v>
      </c>
      <c r="CZ42" s="75">
        <f t="shared" si="35"/>
        <v>0</v>
      </c>
      <c r="DA42" s="75">
        <f t="shared" si="35"/>
        <v>0</v>
      </c>
      <c r="DB42" s="75">
        <f t="shared" si="35"/>
        <v>0</v>
      </c>
      <c r="DC42" s="75">
        <f t="shared" si="35"/>
        <v>0</v>
      </c>
      <c r="DD42" s="75">
        <f t="shared" si="35"/>
        <v>0</v>
      </c>
      <c r="DE42" s="75">
        <f t="shared" si="35"/>
        <v>0</v>
      </c>
      <c r="DF42" s="75">
        <f t="shared" si="35"/>
        <v>0</v>
      </c>
      <c r="DG42" s="75">
        <f t="shared" si="35"/>
        <v>0</v>
      </c>
      <c r="DH42" s="75">
        <f t="shared" si="35"/>
        <v>0</v>
      </c>
      <c r="DI42" s="75">
        <f t="shared" si="35"/>
        <v>0</v>
      </c>
      <c r="DJ42" s="75">
        <f t="shared" si="35"/>
        <v>0</v>
      </c>
      <c r="DK42" s="75">
        <f t="shared" si="36"/>
        <v>0</v>
      </c>
      <c r="DL42" s="75">
        <f t="shared" si="36"/>
        <v>0</v>
      </c>
    </row>
    <row r="43" spans="2:116">
      <c r="B43" s="27">
        <f>Rentroll!$C$41</f>
        <v>13</v>
      </c>
      <c r="C43" s="69" t="str">
        <f>VLOOKUP($B43,Rentroll!$C$37:$Z$60,3,FALSE)</f>
        <v>111퍼센트</v>
      </c>
      <c r="D43" s="80">
        <f>VLOOKUP($B43,Rentroll!$C$37:$Z$60,9,FALSE)</f>
        <v>45869</v>
      </c>
      <c r="E43" s="80">
        <f>VLOOKUP($B43,Rentroll!$C$37:$Z$60,10,FALSE)</f>
        <v>47695</v>
      </c>
      <c r="F43" s="81">
        <f>VLOOKUP($B43,Rentroll!$C$37:$Z$60,11,FALSE)</f>
        <v>60</v>
      </c>
      <c r="G43" s="69">
        <f>VLOOKUP($B43,Rentroll!$C$37:$Z$60,13,FALSE)</f>
        <v>103000</v>
      </c>
      <c r="H43" s="69">
        <f>VLOOKUP($B43,Rentroll!$C$37:$Z$60,14,FALSE)</f>
        <v>94416.666666666672</v>
      </c>
      <c r="I43" s="69">
        <f>VLOOKUP($B43,Rentroll!$C$37:$Z$60,15,FALSE)</f>
        <v>45000</v>
      </c>
      <c r="J43" s="82">
        <f>VLOOKUP($B43,Rentroll!$C$37:$Z$60,19,FALSE)</f>
        <v>0.03</v>
      </c>
      <c r="K43" s="83">
        <f>VLOOKUP($B43,Rentroll!$C$37:$Z$60,4,FALSE)</f>
        <v>1385.09</v>
      </c>
      <c r="L43" s="81">
        <f>VLOOKUP($B43,Rentroll!$C$37:$Z$60,17,FALSE)</f>
        <v>1</v>
      </c>
      <c r="M43" s="84">
        <f>VLOOKUP($B43,Rentroll!$C$37:$Z$60,18,FALSE)</f>
        <v>1</v>
      </c>
      <c r="O43" s="74">
        <f t="shared" si="37"/>
        <v>13</v>
      </c>
      <c r="P43" s="75"/>
      <c r="Q43" s="75"/>
      <c r="R43" s="75">
        <f t="shared" si="38"/>
        <v>0</v>
      </c>
      <c r="S43" s="75">
        <f t="shared" si="30"/>
        <v>0</v>
      </c>
      <c r="T43" s="75">
        <f t="shared" si="30"/>
        <v>0</v>
      </c>
      <c r="U43" s="75">
        <f t="shared" si="30"/>
        <v>0</v>
      </c>
      <c r="V43" s="75">
        <f t="shared" si="30"/>
        <v>0</v>
      </c>
      <c r="W43" s="75">
        <f t="shared" si="30"/>
        <v>0</v>
      </c>
      <c r="X43" s="75">
        <f t="shared" si="30"/>
        <v>0</v>
      </c>
      <c r="Y43" s="75">
        <f t="shared" si="30"/>
        <v>1</v>
      </c>
      <c r="Z43" s="75">
        <f t="shared" si="30"/>
        <v>1</v>
      </c>
      <c r="AA43" s="75">
        <f t="shared" si="30"/>
        <v>1</v>
      </c>
      <c r="AB43" s="75">
        <f t="shared" si="30"/>
        <v>1</v>
      </c>
      <c r="AC43" s="75">
        <f t="shared" si="30"/>
        <v>1</v>
      </c>
      <c r="AD43" s="75">
        <f t="shared" si="30"/>
        <v>1</v>
      </c>
      <c r="AE43" s="75">
        <f t="shared" si="30"/>
        <v>1</v>
      </c>
      <c r="AF43" s="75">
        <f t="shared" si="30"/>
        <v>1</v>
      </c>
      <c r="AG43" s="75">
        <f t="shared" si="30"/>
        <v>1</v>
      </c>
      <c r="AH43" s="75">
        <f t="shared" si="30"/>
        <v>1</v>
      </c>
      <c r="AI43" s="75">
        <f t="shared" si="31"/>
        <v>1</v>
      </c>
      <c r="AJ43" s="75">
        <f t="shared" si="31"/>
        <v>1</v>
      </c>
      <c r="AK43" s="75">
        <f t="shared" si="31"/>
        <v>1</v>
      </c>
      <c r="AL43" s="75">
        <f t="shared" si="31"/>
        <v>1</v>
      </c>
      <c r="AM43" s="75">
        <f t="shared" si="31"/>
        <v>1</v>
      </c>
      <c r="AN43" s="75">
        <f t="shared" si="31"/>
        <v>1</v>
      </c>
      <c r="AO43" s="75">
        <f t="shared" si="31"/>
        <v>1</v>
      </c>
      <c r="AP43" s="75">
        <f t="shared" si="31"/>
        <v>1</v>
      </c>
      <c r="AQ43" s="75">
        <f t="shared" si="31"/>
        <v>1</v>
      </c>
      <c r="AR43" s="75">
        <f t="shared" si="31"/>
        <v>1</v>
      </c>
      <c r="AS43" s="75">
        <f t="shared" si="31"/>
        <v>1</v>
      </c>
      <c r="AT43" s="75">
        <f t="shared" si="31"/>
        <v>1</v>
      </c>
      <c r="AU43" s="75">
        <f t="shared" si="31"/>
        <v>1</v>
      </c>
      <c r="AV43" s="75">
        <f t="shared" si="31"/>
        <v>1</v>
      </c>
      <c r="AW43" s="75">
        <f t="shared" si="31"/>
        <v>1</v>
      </c>
      <c r="AX43" s="75">
        <f t="shared" si="31"/>
        <v>1</v>
      </c>
      <c r="AY43" s="75">
        <f t="shared" si="32"/>
        <v>1</v>
      </c>
      <c r="AZ43" s="75">
        <f t="shared" si="32"/>
        <v>1</v>
      </c>
      <c r="BA43" s="75">
        <f t="shared" si="32"/>
        <v>1</v>
      </c>
      <c r="BB43" s="75">
        <f t="shared" si="32"/>
        <v>1</v>
      </c>
      <c r="BC43" s="75">
        <f t="shared" si="32"/>
        <v>1</v>
      </c>
      <c r="BD43" s="75">
        <f t="shared" si="32"/>
        <v>1</v>
      </c>
      <c r="BE43" s="75">
        <f t="shared" si="32"/>
        <v>1</v>
      </c>
      <c r="BF43" s="75">
        <f t="shared" si="32"/>
        <v>1</v>
      </c>
      <c r="BG43" s="75">
        <f t="shared" si="32"/>
        <v>1</v>
      </c>
      <c r="BH43" s="75">
        <f t="shared" si="32"/>
        <v>1</v>
      </c>
      <c r="BI43" s="75">
        <f t="shared" si="32"/>
        <v>1</v>
      </c>
      <c r="BJ43" s="75">
        <f t="shared" si="32"/>
        <v>1</v>
      </c>
      <c r="BK43" s="75">
        <f t="shared" si="32"/>
        <v>1</v>
      </c>
      <c r="BL43" s="75">
        <f t="shared" si="32"/>
        <v>1</v>
      </c>
      <c r="BM43" s="75">
        <f t="shared" si="32"/>
        <v>1</v>
      </c>
      <c r="BN43" s="75">
        <f t="shared" si="32"/>
        <v>1</v>
      </c>
      <c r="BO43" s="75">
        <f t="shared" si="33"/>
        <v>1</v>
      </c>
      <c r="BP43" s="75">
        <f t="shared" si="33"/>
        <v>1</v>
      </c>
      <c r="BQ43" s="75">
        <f t="shared" si="33"/>
        <v>1</v>
      </c>
      <c r="BR43" s="75">
        <f t="shared" si="33"/>
        <v>1</v>
      </c>
      <c r="BS43" s="75">
        <f t="shared" si="33"/>
        <v>1</v>
      </c>
      <c r="BT43" s="75">
        <f t="shared" si="33"/>
        <v>1</v>
      </c>
      <c r="BU43" s="75">
        <f t="shared" si="33"/>
        <v>1</v>
      </c>
      <c r="BV43" s="75">
        <f t="shared" si="33"/>
        <v>1</v>
      </c>
      <c r="BW43" s="75">
        <f t="shared" si="33"/>
        <v>1</v>
      </c>
      <c r="BX43" s="75">
        <f t="shared" si="33"/>
        <v>1</v>
      </c>
      <c r="BY43" s="75">
        <f t="shared" si="33"/>
        <v>1</v>
      </c>
      <c r="BZ43" s="75">
        <f t="shared" si="33"/>
        <v>1</v>
      </c>
      <c r="CA43" s="75">
        <f t="shared" si="33"/>
        <v>0</v>
      </c>
      <c r="CB43" s="75">
        <f t="shared" si="33"/>
        <v>0</v>
      </c>
      <c r="CC43" s="75">
        <f t="shared" si="33"/>
        <v>0</v>
      </c>
      <c r="CD43" s="75">
        <f t="shared" si="33"/>
        <v>0</v>
      </c>
      <c r="CE43" s="75">
        <f t="shared" si="34"/>
        <v>0</v>
      </c>
      <c r="CF43" s="75">
        <f t="shared" si="34"/>
        <v>0</v>
      </c>
      <c r="CG43" s="75">
        <f t="shared" si="34"/>
        <v>0</v>
      </c>
      <c r="CH43" s="75">
        <f t="shared" si="34"/>
        <v>0</v>
      </c>
      <c r="CI43" s="75">
        <f t="shared" si="34"/>
        <v>0</v>
      </c>
      <c r="CJ43" s="75">
        <f t="shared" si="34"/>
        <v>0</v>
      </c>
      <c r="CK43" s="75">
        <f t="shared" si="34"/>
        <v>0</v>
      </c>
      <c r="CL43" s="75">
        <f t="shared" si="34"/>
        <v>0</v>
      </c>
      <c r="CM43" s="75">
        <f t="shared" si="34"/>
        <v>0</v>
      </c>
      <c r="CN43" s="75">
        <f t="shared" si="34"/>
        <v>0</v>
      </c>
      <c r="CO43" s="75">
        <f t="shared" si="34"/>
        <v>0</v>
      </c>
      <c r="CP43" s="75">
        <f t="shared" si="34"/>
        <v>0</v>
      </c>
      <c r="CQ43" s="75">
        <f t="shared" si="34"/>
        <v>0</v>
      </c>
      <c r="CR43" s="75">
        <f t="shared" si="34"/>
        <v>0</v>
      </c>
      <c r="CS43" s="75">
        <f t="shared" si="34"/>
        <v>0</v>
      </c>
      <c r="CT43" s="75">
        <f t="shared" si="34"/>
        <v>0</v>
      </c>
      <c r="CU43" s="75">
        <f t="shared" si="35"/>
        <v>0</v>
      </c>
      <c r="CV43" s="75">
        <f t="shared" si="35"/>
        <v>0</v>
      </c>
      <c r="CW43" s="75">
        <f t="shared" si="35"/>
        <v>0</v>
      </c>
      <c r="CX43" s="75">
        <f t="shared" si="35"/>
        <v>0</v>
      </c>
      <c r="CY43" s="75">
        <f t="shared" si="35"/>
        <v>0</v>
      </c>
      <c r="CZ43" s="75">
        <f t="shared" si="35"/>
        <v>0</v>
      </c>
      <c r="DA43" s="75">
        <f t="shared" si="35"/>
        <v>0</v>
      </c>
      <c r="DB43" s="75">
        <f t="shared" si="35"/>
        <v>0</v>
      </c>
      <c r="DC43" s="75">
        <f t="shared" si="35"/>
        <v>0</v>
      </c>
      <c r="DD43" s="75">
        <f t="shared" si="35"/>
        <v>0</v>
      </c>
      <c r="DE43" s="75">
        <f t="shared" si="35"/>
        <v>0</v>
      </c>
      <c r="DF43" s="75">
        <f t="shared" si="35"/>
        <v>0</v>
      </c>
      <c r="DG43" s="75">
        <f t="shared" si="35"/>
        <v>0</v>
      </c>
      <c r="DH43" s="75">
        <f t="shared" si="35"/>
        <v>0</v>
      </c>
      <c r="DI43" s="75">
        <f t="shared" si="35"/>
        <v>0</v>
      </c>
      <c r="DJ43" s="75">
        <f t="shared" si="35"/>
        <v>0</v>
      </c>
      <c r="DK43" s="75">
        <f t="shared" si="36"/>
        <v>0</v>
      </c>
      <c r="DL43" s="75">
        <f t="shared" si="36"/>
        <v>0</v>
      </c>
    </row>
    <row r="44" spans="2:116">
      <c r="B44" s="27">
        <f>Rentroll!$C$42</f>
        <v>12</v>
      </c>
      <c r="C44" s="69" t="str">
        <f>VLOOKUP($B44,Rentroll!$C$37:$Z$60,3,FALSE)</f>
        <v>신라젠</v>
      </c>
      <c r="D44" s="80">
        <f>VLOOKUP($B44,Rentroll!$C$37:$Z$60,9,FALSE)</f>
        <v>45869</v>
      </c>
      <c r="E44" s="80">
        <f>VLOOKUP($B44,Rentroll!$C$37:$Z$60,10,FALSE)</f>
        <v>47695</v>
      </c>
      <c r="F44" s="81">
        <f>VLOOKUP($B44,Rentroll!$C$37:$Z$60,11,FALSE)</f>
        <v>60</v>
      </c>
      <c r="G44" s="69">
        <f>VLOOKUP($B44,Rentroll!$C$37:$Z$60,13,FALSE)</f>
        <v>103000</v>
      </c>
      <c r="H44" s="69">
        <f>VLOOKUP($B44,Rentroll!$C$37:$Z$60,14,FALSE)</f>
        <v>94416.666666666672</v>
      </c>
      <c r="I44" s="69">
        <f>VLOOKUP($B44,Rentroll!$C$37:$Z$60,15,FALSE)</f>
        <v>45000</v>
      </c>
      <c r="J44" s="82">
        <f>VLOOKUP($B44,Rentroll!$C$37:$Z$60,19,FALSE)</f>
        <v>0.03</v>
      </c>
      <c r="K44" s="83">
        <f>VLOOKUP($B44,Rentroll!$C$37:$Z$60,4,FALSE)</f>
        <v>1385.09</v>
      </c>
      <c r="L44" s="81">
        <f>VLOOKUP($B44,Rentroll!$C$37:$Z$60,17,FALSE)</f>
        <v>1</v>
      </c>
      <c r="M44" s="84">
        <f>VLOOKUP($B44,Rentroll!$C$37:$Z$60,18,FALSE)</f>
        <v>1</v>
      </c>
      <c r="O44" s="74">
        <f t="shared" si="37"/>
        <v>12</v>
      </c>
      <c r="P44" s="75"/>
      <c r="Q44" s="75"/>
      <c r="R44" s="75">
        <f t="shared" si="38"/>
        <v>0</v>
      </c>
      <c r="S44" s="75">
        <f t="shared" si="30"/>
        <v>0</v>
      </c>
      <c r="T44" s="75">
        <f t="shared" si="30"/>
        <v>0</v>
      </c>
      <c r="U44" s="75">
        <f t="shared" si="30"/>
        <v>0</v>
      </c>
      <c r="V44" s="75">
        <f t="shared" si="30"/>
        <v>0</v>
      </c>
      <c r="W44" s="75">
        <f t="shared" si="30"/>
        <v>0</v>
      </c>
      <c r="X44" s="75">
        <f t="shared" si="30"/>
        <v>0</v>
      </c>
      <c r="Y44" s="75">
        <f t="shared" si="30"/>
        <v>1</v>
      </c>
      <c r="Z44" s="75">
        <f t="shared" si="30"/>
        <v>1</v>
      </c>
      <c r="AA44" s="75">
        <f t="shared" si="30"/>
        <v>1</v>
      </c>
      <c r="AB44" s="75">
        <f t="shared" si="30"/>
        <v>1</v>
      </c>
      <c r="AC44" s="75">
        <f t="shared" si="30"/>
        <v>1</v>
      </c>
      <c r="AD44" s="75">
        <f t="shared" si="30"/>
        <v>1</v>
      </c>
      <c r="AE44" s="75">
        <f t="shared" si="30"/>
        <v>1</v>
      </c>
      <c r="AF44" s="75">
        <f t="shared" si="30"/>
        <v>1</v>
      </c>
      <c r="AG44" s="75">
        <f t="shared" si="30"/>
        <v>1</v>
      </c>
      <c r="AH44" s="75">
        <f t="shared" si="30"/>
        <v>1</v>
      </c>
      <c r="AI44" s="75">
        <f t="shared" si="31"/>
        <v>1</v>
      </c>
      <c r="AJ44" s="75">
        <f t="shared" si="31"/>
        <v>1</v>
      </c>
      <c r="AK44" s="75">
        <f t="shared" si="31"/>
        <v>1</v>
      </c>
      <c r="AL44" s="75">
        <f t="shared" si="31"/>
        <v>1</v>
      </c>
      <c r="AM44" s="75">
        <f t="shared" si="31"/>
        <v>1</v>
      </c>
      <c r="AN44" s="75">
        <f t="shared" si="31"/>
        <v>1</v>
      </c>
      <c r="AO44" s="75">
        <f t="shared" si="31"/>
        <v>1</v>
      </c>
      <c r="AP44" s="75">
        <f t="shared" si="31"/>
        <v>1</v>
      </c>
      <c r="AQ44" s="75">
        <f t="shared" si="31"/>
        <v>1</v>
      </c>
      <c r="AR44" s="75">
        <f t="shared" si="31"/>
        <v>1</v>
      </c>
      <c r="AS44" s="75">
        <f t="shared" si="31"/>
        <v>1</v>
      </c>
      <c r="AT44" s="75">
        <f t="shared" si="31"/>
        <v>1</v>
      </c>
      <c r="AU44" s="75">
        <f t="shared" si="31"/>
        <v>1</v>
      </c>
      <c r="AV44" s="75">
        <f t="shared" si="31"/>
        <v>1</v>
      </c>
      <c r="AW44" s="75">
        <f t="shared" si="31"/>
        <v>1</v>
      </c>
      <c r="AX44" s="75">
        <f t="shared" si="31"/>
        <v>1</v>
      </c>
      <c r="AY44" s="75">
        <f t="shared" si="32"/>
        <v>1</v>
      </c>
      <c r="AZ44" s="75">
        <f t="shared" si="32"/>
        <v>1</v>
      </c>
      <c r="BA44" s="75">
        <f t="shared" si="32"/>
        <v>1</v>
      </c>
      <c r="BB44" s="75">
        <f t="shared" si="32"/>
        <v>1</v>
      </c>
      <c r="BC44" s="75">
        <f t="shared" si="32"/>
        <v>1</v>
      </c>
      <c r="BD44" s="75">
        <f t="shared" si="32"/>
        <v>1</v>
      </c>
      <c r="BE44" s="75">
        <f t="shared" si="32"/>
        <v>1</v>
      </c>
      <c r="BF44" s="75">
        <f t="shared" si="32"/>
        <v>1</v>
      </c>
      <c r="BG44" s="75">
        <f t="shared" si="32"/>
        <v>1</v>
      </c>
      <c r="BH44" s="75">
        <f t="shared" si="32"/>
        <v>1</v>
      </c>
      <c r="BI44" s="75">
        <f t="shared" si="32"/>
        <v>1</v>
      </c>
      <c r="BJ44" s="75">
        <f t="shared" si="32"/>
        <v>1</v>
      </c>
      <c r="BK44" s="75">
        <f t="shared" si="32"/>
        <v>1</v>
      </c>
      <c r="BL44" s="75">
        <f t="shared" si="32"/>
        <v>1</v>
      </c>
      <c r="BM44" s="75">
        <f t="shared" si="32"/>
        <v>1</v>
      </c>
      <c r="BN44" s="75">
        <f t="shared" si="32"/>
        <v>1</v>
      </c>
      <c r="BO44" s="75">
        <f t="shared" si="33"/>
        <v>1</v>
      </c>
      <c r="BP44" s="75">
        <f t="shared" si="33"/>
        <v>1</v>
      </c>
      <c r="BQ44" s="75">
        <f t="shared" si="33"/>
        <v>1</v>
      </c>
      <c r="BR44" s="75">
        <f t="shared" si="33"/>
        <v>1</v>
      </c>
      <c r="BS44" s="75">
        <f t="shared" si="33"/>
        <v>1</v>
      </c>
      <c r="BT44" s="75">
        <f t="shared" si="33"/>
        <v>1</v>
      </c>
      <c r="BU44" s="75">
        <f t="shared" si="33"/>
        <v>1</v>
      </c>
      <c r="BV44" s="75">
        <f t="shared" si="33"/>
        <v>1</v>
      </c>
      <c r="BW44" s="75">
        <f t="shared" si="33"/>
        <v>1</v>
      </c>
      <c r="BX44" s="75">
        <f t="shared" si="33"/>
        <v>1</v>
      </c>
      <c r="BY44" s="75">
        <f t="shared" si="33"/>
        <v>1</v>
      </c>
      <c r="BZ44" s="75">
        <f t="shared" si="33"/>
        <v>1</v>
      </c>
      <c r="CA44" s="75">
        <f t="shared" si="33"/>
        <v>0</v>
      </c>
      <c r="CB44" s="75">
        <f t="shared" si="33"/>
        <v>0</v>
      </c>
      <c r="CC44" s="75">
        <f t="shared" si="33"/>
        <v>0</v>
      </c>
      <c r="CD44" s="75">
        <f t="shared" si="33"/>
        <v>0</v>
      </c>
      <c r="CE44" s="75">
        <f t="shared" si="34"/>
        <v>0</v>
      </c>
      <c r="CF44" s="75">
        <f t="shared" si="34"/>
        <v>0</v>
      </c>
      <c r="CG44" s="75">
        <f t="shared" si="34"/>
        <v>0</v>
      </c>
      <c r="CH44" s="75">
        <f t="shared" si="34"/>
        <v>0</v>
      </c>
      <c r="CI44" s="75">
        <f t="shared" si="34"/>
        <v>0</v>
      </c>
      <c r="CJ44" s="75">
        <f t="shared" si="34"/>
        <v>0</v>
      </c>
      <c r="CK44" s="75">
        <f t="shared" si="34"/>
        <v>0</v>
      </c>
      <c r="CL44" s="75">
        <f t="shared" si="34"/>
        <v>0</v>
      </c>
      <c r="CM44" s="75">
        <f t="shared" si="34"/>
        <v>0</v>
      </c>
      <c r="CN44" s="75">
        <f t="shared" si="34"/>
        <v>0</v>
      </c>
      <c r="CO44" s="75">
        <f t="shared" si="34"/>
        <v>0</v>
      </c>
      <c r="CP44" s="75">
        <f t="shared" si="34"/>
        <v>0</v>
      </c>
      <c r="CQ44" s="75">
        <f t="shared" si="34"/>
        <v>0</v>
      </c>
      <c r="CR44" s="75">
        <f t="shared" si="34"/>
        <v>0</v>
      </c>
      <c r="CS44" s="75">
        <f t="shared" si="34"/>
        <v>0</v>
      </c>
      <c r="CT44" s="75">
        <f t="shared" si="34"/>
        <v>0</v>
      </c>
      <c r="CU44" s="75">
        <f t="shared" si="35"/>
        <v>0</v>
      </c>
      <c r="CV44" s="75">
        <f t="shared" si="35"/>
        <v>0</v>
      </c>
      <c r="CW44" s="75">
        <f t="shared" si="35"/>
        <v>0</v>
      </c>
      <c r="CX44" s="75">
        <f t="shared" si="35"/>
        <v>0</v>
      </c>
      <c r="CY44" s="75">
        <f t="shared" si="35"/>
        <v>0</v>
      </c>
      <c r="CZ44" s="75">
        <f t="shared" si="35"/>
        <v>0</v>
      </c>
      <c r="DA44" s="75">
        <f t="shared" si="35"/>
        <v>0</v>
      </c>
      <c r="DB44" s="75">
        <f t="shared" si="35"/>
        <v>0</v>
      </c>
      <c r="DC44" s="75">
        <f t="shared" si="35"/>
        <v>0</v>
      </c>
      <c r="DD44" s="75">
        <f t="shared" si="35"/>
        <v>0</v>
      </c>
      <c r="DE44" s="75">
        <f t="shared" si="35"/>
        <v>0</v>
      </c>
      <c r="DF44" s="75">
        <f t="shared" si="35"/>
        <v>0</v>
      </c>
      <c r="DG44" s="75">
        <f t="shared" si="35"/>
        <v>0</v>
      </c>
      <c r="DH44" s="75">
        <f t="shared" si="35"/>
        <v>0</v>
      </c>
      <c r="DI44" s="75">
        <f t="shared" si="35"/>
        <v>0</v>
      </c>
      <c r="DJ44" s="75">
        <f t="shared" si="35"/>
        <v>0</v>
      </c>
      <c r="DK44" s="75">
        <f t="shared" si="36"/>
        <v>0</v>
      </c>
      <c r="DL44" s="75">
        <f t="shared" si="36"/>
        <v>0</v>
      </c>
    </row>
    <row r="45" spans="2:116">
      <c r="B45" s="27">
        <f>Rentroll!$C$43</f>
        <v>11</v>
      </c>
      <c r="C45" s="69" t="str">
        <f>VLOOKUP($B45,Rentroll!$C$37:$Z$60,3,FALSE)</f>
        <v>노벰버 건설</v>
      </c>
      <c r="D45" s="80">
        <f>VLOOKUP($B45,Rentroll!$C$37:$Z$60,9,FALSE)</f>
        <v>46904</v>
      </c>
      <c r="E45" s="80">
        <f>VLOOKUP($B45,Rentroll!$C$37:$Z$60,10,FALSE)</f>
        <v>48730</v>
      </c>
      <c r="F45" s="81">
        <f>VLOOKUP($B45,Rentroll!$C$37:$Z$60,11,FALSE)</f>
        <v>60</v>
      </c>
      <c r="G45" s="69">
        <f>VLOOKUP($B45,Rentroll!$C$37:$Z$60,13,FALSE)</f>
        <v>112550.88099999999</v>
      </c>
      <c r="H45" s="69">
        <f>VLOOKUP($B45,Rentroll!$C$37:$Z$60,14,FALSE)</f>
        <v>103171.64091666666</v>
      </c>
      <c r="I45" s="69">
        <f>VLOOKUP($B45,Rentroll!$C$37:$Z$60,15,FALSE)</f>
        <v>49172.715000000004</v>
      </c>
      <c r="J45" s="82">
        <f>VLOOKUP($B45,Rentroll!$C$37:$Z$60,19,FALSE)</f>
        <v>0.03</v>
      </c>
      <c r="K45" s="83">
        <f>VLOOKUP($B45,Rentroll!$C$37:$Z$60,4,FALSE)</f>
        <v>1385.09</v>
      </c>
      <c r="L45" s="81">
        <f>VLOOKUP($B45,Rentroll!$C$37:$Z$60,17,FALSE)</f>
        <v>0</v>
      </c>
      <c r="M45" s="84">
        <f>VLOOKUP($B45,Rentroll!$C$37:$Z$60,18,FALSE)</f>
        <v>1</v>
      </c>
      <c r="O45" s="74">
        <f t="shared" si="37"/>
        <v>11</v>
      </c>
      <c r="P45" s="75"/>
      <c r="Q45" s="75"/>
      <c r="R45" s="75">
        <f t="shared" si="38"/>
        <v>0</v>
      </c>
      <c r="S45" s="75">
        <f t="shared" si="30"/>
        <v>0</v>
      </c>
      <c r="T45" s="75">
        <f t="shared" si="30"/>
        <v>0</v>
      </c>
      <c r="U45" s="75">
        <f t="shared" si="30"/>
        <v>0</v>
      </c>
      <c r="V45" s="75">
        <f t="shared" si="30"/>
        <v>0</v>
      </c>
      <c r="W45" s="75">
        <f t="shared" si="30"/>
        <v>0</v>
      </c>
      <c r="X45" s="75">
        <f t="shared" si="30"/>
        <v>0</v>
      </c>
      <c r="Y45" s="75">
        <f t="shared" si="30"/>
        <v>0</v>
      </c>
      <c r="Z45" s="75">
        <f t="shared" si="30"/>
        <v>0</v>
      </c>
      <c r="AA45" s="75">
        <f t="shared" si="30"/>
        <v>0</v>
      </c>
      <c r="AB45" s="75">
        <f t="shared" si="30"/>
        <v>0</v>
      </c>
      <c r="AC45" s="75">
        <f t="shared" si="30"/>
        <v>0</v>
      </c>
      <c r="AD45" s="75">
        <f t="shared" si="30"/>
        <v>0</v>
      </c>
      <c r="AE45" s="75">
        <f t="shared" si="30"/>
        <v>0</v>
      </c>
      <c r="AF45" s="75">
        <f t="shared" si="30"/>
        <v>0</v>
      </c>
      <c r="AG45" s="75">
        <f t="shared" si="30"/>
        <v>0</v>
      </c>
      <c r="AH45" s="75">
        <f t="shared" si="30"/>
        <v>0</v>
      </c>
      <c r="AI45" s="75">
        <f t="shared" si="31"/>
        <v>0</v>
      </c>
      <c r="AJ45" s="75">
        <f t="shared" si="31"/>
        <v>0</v>
      </c>
      <c r="AK45" s="75">
        <f t="shared" si="31"/>
        <v>0</v>
      </c>
      <c r="AL45" s="75">
        <f t="shared" si="31"/>
        <v>0</v>
      </c>
      <c r="AM45" s="75">
        <f t="shared" si="31"/>
        <v>0</v>
      </c>
      <c r="AN45" s="75">
        <f t="shared" si="31"/>
        <v>0</v>
      </c>
      <c r="AO45" s="75">
        <f t="shared" si="31"/>
        <v>0</v>
      </c>
      <c r="AP45" s="75">
        <f t="shared" si="31"/>
        <v>0</v>
      </c>
      <c r="AQ45" s="75">
        <f t="shared" si="31"/>
        <v>0</v>
      </c>
      <c r="AR45" s="75">
        <f t="shared" si="31"/>
        <v>0</v>
      </c>
      <c r="AS45" s="75">
        <f t="shared" si="31"/>
        <v>0</v>
      </c>
      <c r="AT45" s="75">
        <f t="shared" si="31"/>
        <v>0</v>
      </c>
      <c r="AU45" s="75">
        <f t="shared" si="31"/>
        <v>0</v>
      </c>
      <c r="AV45" s="75">
        <f t="shared" si="31"/>
        <v>0</v>
      </c>
      <c r="AW45" s="75">
        <f t="shared" si="31"/>
        <v>0</v>
      </c>
      <c r="AX45" s="75">
        <f t="shared" si="31"/>
        <v>0</v>
      </c>
      <c r="AY45" s="75">
        <f t="shared" si="32"/>
        <v>0</v>
      </c>
      <c r="AZ45" s="75">
        <f t="shared" si="32"/>
        <v>0</v>
      </c>
      <c r="BA45" s="75">
        <f t="shared" si="32"/>
        <v>0</v>
      </c>
      <c r="BB45" s="75">
        <f t="shared" si="32"/>
        <v>0</v>
      </c>
      <c r="BC45" s="75">
        <f t="shared" si="32"/>
        <v>0</v>
      </c>
      <c r="BD45" s="75">
        <f t="shared" si="32"/>
        <v>0</v>
      </c>
      <c r="BE45" s="75">
        <f t="shared" si="32"/>
        <v>0</v>
      </c>
      <c r="BF45" s="75">
        <f t="shared" si="32"/>
        <v>0</v>
      </c>
      <c r="BG45" s="75">
        <f t="shared" si="32"/>
        <v>1</v>
      </c>
      <c r="BH45" s="75">
        <f t="shared" si="32"/>
        <v>1</v>
      </c>
      <c r="BI45" s="75">
        <f t="shared" si="32"/>
        <v>1</v>
      </c>
      <c r="BJ45" s="75">
        <f t="shared" si="32"/>
        <v>1</v>
      </c>
      <c r="BK45" s="75">
        <f t="shared" si="32"/>
        <v>1</v>
      </c>
      <c r="BL45" s="75">
        <f t="shared" si="32"/>
        <v>1</v>
      </c>
      <c r="BM45" s="75">
        <f t="shared" si="32"/>
        <v>1</v>
      </c>
      <c r="BN45" s="75">
        <f t="shared" si="32"/>
        <v>1</v>
      </c>
      <c r="BO45" s="75">
        <f t="shared" si="33"/>
        <v>1</v>
      </c>
      <c r="BP45" s="75">
        <f t="shared" si="33"/>
        <v>1</v>
      </c>
      <c r="BQ45" s="75">
        <f t="shared" si="33"/>
        <v>1</v>
      </c>
      <c r="BR45" s="75">
        <f t="shared" si="33"/>
        <v>1</v>
      </c>
      <c r="BS45" s="75">
        <f t="shared" si="33"/>
        <v>1</v>
      </c>
      <c r="BT45" s="75">
        <f t="shared" si="33"/>
        <v>1</v>
      </c>
      <c r="BU45" s="75">
        <f t="shared" si="33"/>
        <v>1</v>
      </c>
      <c r="BV45" s="75">
        <f t="shared" si="33"/>
        <v>1</v>
      </c>
      <c r="BW45" s="75">
        <f t="shared" si="33"/>
        <v>1</v>
      </c>
      <c r="BX45" s="75">
        <f t="shared" si="33"/>
        <v>1</v>
      </c>
      <c r="BY45" s="75">
        <f t="shared" si="33"/>
        <v>1</v>
      </c>
      <c r="BZ45" s="75">
        <f t="shared" si="33"/>
        <v>1</v>
      </c>
      <c r="CA45" s="75">
        <f t="shared" si="33"/>
        <v>0</v>
      </c>
      <c r="CB45" s="75">
        <f t="shared" si="33"/>
        <v>0</v>
      </c>
      <c r="CC45" s="75">
        <f t="shared" si="33"/>
        <v>0</v>
      </c>
      <c r="CD45" s="75">
        <f t="shared" si="33"/>
        <v>0</v>
      </c>
      <c r="CE45" s="75">
        <f t="shared" si="34"/>
        <v>0</v>
      </c>
      <c r="CF45" s="75">
        <f t="shared" si="34"/>
        <v>0</v>
      </c>
      <c r="CG45" s="75">
        <f t="shared" si="34"/>
        <v>0</v>
      </c>
      <c r="CH45" s="75">
        <f t="shared" si="34"/>
        <v>0</v>
      </c>
      <c r="CI45" s="75">
        <f t="shared" si="34"/>
        <v>0</v>
      </c>
      <c r="CJ45" s="75">
        <f t="shared" si="34"/>
        <v>0</v>
      </c>
      <c r="CK45" s="75">
        <f t="shared" si="34"/>
        <v>0</v>
      </c>
      <c r="CL45" s="75">
        <f t="shared" si="34"/>
        <v>0</v>
      </c>
      <c r="CM45" s="75">
        <f t="shared" si="34"/>
        <v>0</v>
      </c>
      <c r="CN45" s="75">
        <f t="shared" si="34"/>
        <v>0</v>
      </c>
      <c r="CO45" s="75">
        <f t="shared" si="34"/>
        <v>0</v>
      </c>
      <c r="CP45" s="75">
        <f t="shared" si="34"/>
        <v>0</v>
      </c>
      <c r="CQ45" s="75">
        <f t="shared" si="34"/>
        <v>0</v>
      </c>
      <c r="CR45" s="75">
        <f t="shared" si="34"/>
        <v>0</v>
      </c>
      <c r="CS45" s="75">
        <f t="shared" si="34"/>
        <v>0</v>
      </c>
      <c r="CT45" s="75">
        <f t="shared" si="34"/>
        <v>0</v>
      </c>
      <c r="CU45" s="75">
        <f t="shared" si="35"/>
        <v>0</v>
      </c>
      <c r="CV45" s="75">
        <f t="shared" si="35"/>
        <v>0</v>
      </c>
      <c r="CW45" s="75">
        <f t="shared" si="35"/>
        <v>0</v>
      </c>
      <c r="CX45" s="75">
        <f t="shared" si="35"/>
        <v>0</v>
      </c>
      <c r="CY45" s="75">
        <f t="shared" si="35"/>
        <v>0</v>
      </c>
      <c r="CZ45" s="75">
        <f t="shared" si="35"/>
        <v>0</v>
      </c>
      <c r="DA45" s="75">
        <f t="shared" si="35"/>
        <v>0</v>
      </c>
      <c r="DB45" s="75">
        <f t="shared" si="35"/>
        <v>0</v>
      </c>
      <c r="DC45" s="75">
        <f t="shared" si="35"/>
        <v>0</v>
      </c>
      <c r="DD45" s="75">
        <f t="shared" si="35"/>
        <v>0</v>
      </c>
      <c r="DE45" s="75">
        <f t="shared" si="35"/>
        <v>0</v>
      </c>
      <c r="DF45" s="75">
        <f t="shared" si="35"/>
        <v>0</v>
      </c>
      <c r="DG45" s="75">
        <f t="shared" si="35"/>
        <v>0</v>
      </c>
      <c r="DH45" s="75">
        <f t="shared" si="35"/>
        <v>0</v>
      </c>
      <c r="DI45" s="75">
        <f t="shared" si="35"/>
        <v>0</v>
      </c>
      <c r="DJ45" s="75">
        <f t="shared" si="35"/>
        <v>0</v>
      </c>
      <c r="DK45" s="75">
        <f t="shared" si="36"/>
        <v>0</v>
      </c>
      <c r="DL45" s="75">
        <f t="shared" si="36"/>
        <v>0</v>
      </c>
    </row>
    <row r="46" spans="2:116">
      <c r="B46" s="27">
        <f>Rentroll!$C$44</f>
        <v>10</v>
      </c>
      <c r="C46" s="69" t="str">
        <f>VLOOKUP($B46,Rentroll!$C$37:$Z$60,3,FALSE)</f>
        <v>노벰버 건설</v>
      </c>
      <c r="D46" s="80">
        <f>VLOOKUP($B46,Rentroll!$C$37:$Z$60,9,FALSE)</f>
        <v>46904</v>
      </c>
      <c r="E46" s="80">
        <f>VLOOKUP($B46,Rentroll!$C$37:$Z$60,10,FALSE)</f>
        <v>48730</v>
      </c>
      <c r="F46" s="81">
        <f>VLOOKUP($B46,Rentroll!$C$37:$Z$60,11,FALSE)</f>
        <v>60</v>
      </c>
      <c r="G46" s="69">
        <f>VLOOKUP($B46,Rentroll!$C$37:$Z$60,13,FALSE)</f>
        <v>112550.88099999999</v>
      </c>
      <c r="H46" s="69">
        <f>VLOOKUP($B46,Rentroll!$C$37:$Z$60,14,FALSE)</f>
        <v>103171.64091666666</v>
      </c>
      <c r="I46" s="69">
        <f>VLOOKUP($B46,Rentroll!$C$37:$Z$60,15,FALSE)</f>
        <v>49172.715000000004</v>
      </c>
      <c r="J46" s="82">
        <f>VLOOKUP($B46,Rentroll!$C$37:$Z$60,19,FALSE)</f>
        <v>0.03</v>
      </c>
      <c r="K46" s="83">
        <f>VLOOKUP($B46,Rentroll!$C$37:$Z$60,4,FALSE)</f>
        <v>1385.09</v>
      </c>
      <c r="L46" s="81">
        <f>VLOOKUP($B46,Rentroll!$C$37:$Z$60,17,FALSE)</f>
        <v>0</v>
      </c>
      <c r="M46" s="84">
        <f>VLOOKUP($B46,Rentroll!$C$37:$Z$60,18,FALSE)</f>
        <v>1</v>
      </c>
      <c r="O46" s="74">
        <f t="shared" si="37"/>
        <v>10</v>
      </c>
      <c r="P46" s="75"/>
      <c r="Q46" s="75"/>
      <c r="R46" s="75">
        <f t="shared" si="38"/>
        <v>0</v>
      </c>
      <c r="S46" s="75">
        <f t="shared" si="30"/>
        <v>0</v>
      </c>
      <c r="T46" s="75">
        <f t="shared" si="30"/>
        <v>0</v>
      </c>
      <c r="U46" s="75">
        <f t="shared" si="30"/>
        <v>0</v>
      </c>
      <c r="V46" s="75">
        <f t="shared" si="30"/>
        <v>0</v>
      </c>
      <c r="W46" s="75">
        <f t="shared" si="30"/>
        <v>0</v>
      </c>
      <c r="X46" s="75">
        <f t="shared" si="30"/>
        <v>0</v>
      </c>
      <c r="Y46" s="75">
        <f t="shared" si="30"/>
        <v>0</v>
      </c>
      <c r="Z46" s="75">
        <f t="shared" si="30"/>
        <v>0</v>
      </c>
      <c r="AA46" s="75">
        <f t="shared" si="30"/>
        <v>0</v>
      </c>
      <c r="AB46" s="75">
        <f t="shared" si="30"/>
        <v>0</v>
      </c>
      <c r="AC46" s="75">
        <f t="shared" si="30"/>
        <v>0</v>
      </c>
      <c r="AD46" s="75">
        <f t="shared" si="30"/>
        <v>0</v>
      </c>
      <c r="AE46" s="75">
        <f t="shared" si="30"/>
        <v>0</v>
      </c>
      <c r="AF46" s="75">
        <f t="shared" si="30"/>
        <v>0</v>
      </c>
      <c r="AG46" s="75">
        <f t="shared" si="30"/>
        <v>0</v>
      </c>
      <c r="AH46" s="75">
        <f t="shared" si="30"/>
        <v>0</v>
      </c>
      <c r="AI46" s="75">
        <f t="shared" si="31"/>
        <v>0</v>
      </c>
      <c r="AJ46" s="75">
        <f t="shared" si="31"/>
        <v>0</v>
      </c>
      <c r="AK46" s="75">
        <f t="shared" si="31"/>
        <v>0</v>
      </c>
      <c r="AL46" s="75">
        <f t="shared" si="31"/>
        <v>0</v>
      </c>
      <c r="AM46" s="75">
        <f t="shared" si="31"/>
        <v>0</v>
      </c>
      <c r="AN46" s="75">
        <f t="shared" si="31"/>
        <v>0</v>
      </c>
      <c r="AO46" s="75">
        <f t="shared" si="31"/>
        <v>0</v>
      </c>
      <c r="AP46" s="75">
        <f t="shared" si="31"/>
        <v>0</v>
      </c>
      <c r="AQ46" s="75">
        <f t="shared" si="31"/>
        <v>0</v>
      </c>
      <c r="AR46" s="75">
        <f t="shared" si="31"/>
        <v>0</v>
      </c>
      <c r="AS46" s="75">
        <f t="shared" si="31"/>
        <v>0</v>
      </c>
      <c r="AT46" s="75">
        <f t="shared" si="31"/>
        <v>0</v>
      </c>
      <c r="AU46" s="75">
        <f t="shared" si="31"/>
        <v>0</v>
      </c>
      <c r="AV46" s="75">
        <f t="shared" si="31"/>
        <v>0</v>
      </c>
      <c r="AW46" s="75">
        <f t="shared" si="31"/>
        <v>0</v>
      </c>
      <c r="AX46" s="75">
        <f t="shared" si="31"/>
        <v>0</v>
      </c>
      <c r="AY46" s="75">
        <f t="shared" si="32"/>
        <v>0</v>
      </c>
      <c r="AZ46" s="75">
        <f t="shared" si="32"/>
        <v>0</v>
      </c>
      <c r="BA46" s="75">
        <f t="shared" si="32"/>
        <v>0</v>
      </c>
      <c r="BB46" s="75">
        <f t="shared" si="32"/>
        <v>0</v>
      </c>
      <c r="BC46" s="75">
        <f t="shared" si="32"/>
        <v>0</v>
      </c>
      <c r="BD46" s="75">
        <f t="shared" si="32"/>
        <v>0</v>
      </c>
      <c r="BE46" s="75">
        <f t="shared" si="32"/>
        <v>0</v>
      </c>
      <c r="BF46" s="75">
        <f t="shared" si="32"/>
        <v>0</v>
      </c>
      <c r="BG46" s="75">
        <f t="shared" si="32"/>
        <v>1</v>
      </c>
      <c r="BH46" s="75">
        <f t="shared" si="32"/>
        <v>1</v>
      </c>
      <c r="BI46" s="75">
        <f t="shared" si="32"/>
        <v>1</v>
      </c>
      <c r="BJ46" s="75">
        <f t="shared" si="32"/>
        <v>1</v>
      </c>
      <c r="BK46" s="75">
        <f t="shared" si="32"/>
        <v>1</v>
      </c>
      <c r="BL46" s="75">
        <f t="shared" si="32"/>
        <v>1</v>
      </c>
      <c r="BM46" s="75">
        <f t="shared" si="32"/>
        <v>1</v>
      </c>
      <c r="BN46" s="75">
        <f t="shared" si="32"/>
        <v>1</v>
      </c>
      <c r="BO46" s="75">
        <f t="shared" si="33"/>
        <v>1</v>
      </c>
      <c r="BP46" s="75">
        <f t="shared" si="33"/>
        <v>1</v>
      </c>
      <c r="BQ46" s="75">
        <f t="shared" si="33"/>
        <v>1</v>
      </c>
      <c r="BR46" s="75">
        <f t="shared" si="33"/>
        <v>1</v>
      </c>
      <c r="BS46" s="75">
        <f t="shared" si="33"/>
        <v>1</v>
      </c>
      <c r="BT46" s="75">
        <f t="shared" si="33"/>
        <v>1</v>
      </c>
      <c r="BU46" s="75">
        <f t="shared" si="33"/>
        <v>1</v>
      </c>
      <c r="BV46" s="75">
        <f t="shared" si="33"/>
        <v>1</v>
      </c>
      <c r="BW46" s="75">
        <f t="shared" si="33"/>
        <v>1</v>
      </c>
      <c r="BX46" s="75">
        <f t="shared" si="33"/>
        <v>1</v>
      </c>
      <c r="BY46" s="75">
        <f t="shared" si="33"/>
        <v>1</v>
      </c>
      <c r="BZ46" s="75">
        <f t="shared" si="33"/>
        <v>1</v>
      </c>
      <c r="CA46" s="75">
        <f t="shared" si="33"/>
        <v>0</v>
      </c>
      <c r="CB46" s="75">
        <f t="shared" si="33"/>
        <v>0</v>
      </c>
      <c r="CC46" s="75">
        <f t="shared" si="33"/>
        <v>0</v>
      </c>
      <c r="CD46" s="75">
        <f t="shared" si="33"/>
        <v>0</v>
      </c>
      <c r="CE46" s="75">
        <f t="shared" si="34"/>
        <v>0</v>
      </c>
      <c r="CF46" s="75">
        <f t="shared" si="34"/>
        <v>0</v>
      </c>
      <c r="CG46" s="75">
        <f t="shared" si="34"/>
        <v>0</v>
      </c>
      <c r="CH46" s="75">
        <f t="shared" si="34"/>
        <v>0</v>
      </c>
      <c r="CI46" s="75">
        <f t="shared" si="34"/>
        <v>0</v>
      </c>
      <c r="CJ46" s="75">
        <f t="shared" si="34"/>
        <v>0</v>
      </c>
      <c r="CK46" s="75">
        <f t="shared" si="34"/>
        <v>0</v>
      </c>
      <c r="CL46" s="75">
        <f t="shared" si="34"/>
        <v>0</v>
      </c>
      <c r="CM46" s="75">
        <f t="shared" si="34"/>
        <v>0</v>
      </c>
      <c r="CN46" s="75">
        <f t="shared" si="34"/>
        <v>0</v>
      </c>
      <c r="CO46" s="75">
        <f t="shared" si="34"/>
        <v>0</v>
      </c>
      <c r="CP46" s="75">
        <f t="shared" si="34"/>
        <v>0</v>
      </c>
      <c r="CQ46" s="75">
        <f t="shared" si="34"/>
        <v>0</v>
      </c>
      <c r="CR46" s="75">
        <f t="shared" si="34"/>
        <v>0</v>
      </c>
      <c r="CS46" s="75">
        <f t="shared" si="34"/>
        <v>0</v>
      </c>
      <c r="CT46" s="75">
        <f t="shared" si="34"/>
        <v>0</v>
      </c>
      <c r="CU46" s="75">
        <f t="shared" si="35"/>
        <v>0</v>
      </c>
      <c r="CV46" s="75">
        <f t="shared" si="35"/>
        <v>0</v>
      </c>
      <c r="CW46" s="75">
        <f t="shared" si="35"/>
        <v>0</v>
      </c>
      <c r="CX46" s="75">
        <f t="shared" si="35"/>
        <v>0</v>
      </c>
      <c r="CY46" s="75">
        <f t="shared" si="35"/>
        <v>0</v>
      </c>
      <c r="CZ46" s="75">
        <f t="shared" si="35"/>
        <v>0</v>
      </c>
      <c r="DA46" s="75">
        <f t="shared" si="35"/>
        <v>0</v>
      </c>
      <c r="DB46" s="75">
        <f t="shared" si="35"/>
        <v>0</v>
      </c>
      <c r="DC46" s="75">
        <f t="shared" si="35"/>
        <v>0</v>
      </c>
      <c r="DD46" s="75">
        <f t="shared" si="35"/>
        <v>0</v>
      </c>
      <c r="DE46" s="75">
        <f t="shared" si="35"/>
        <v>0</v>
      </c>
      <c r="DF46" s="75">
        <f t="shared" si="35"/>
        <v>0</v>
      </c>
      <c r="DG46" s="75">
        <f t="shared" si="35"/>
        <v>0</v>
      </c>
      <c r="DH46" s="75">
        <f t="shared" si="35"/>
        <v>0</v>
      </c>
      <c r="DI46" s="75">
        <f t="shared" si="35"/>
        <v>0</v>
      </c>
      <c r="DJ46" s="75">
        <f t="shared" si="35"/>
        <v>0</v>
      </c>
      <c r="DK46" s="75">
        <f t="shared" si="36"/>
        <v>0</v>
      </c>
      <c r="DL46" s="75">
        <f t="shared" si="36"/>
        <v>0</v>
      </c>
    </row>
    <row r="47" spans="2:116">
      <c r="B47" s="27">
        <f>Rentroll!$C$45</f>
        <v>9</v>
      </c>
      <c r="C47" s="69" t="str">
        <f>VLOOKUP($B47,Rentroll!$C$37:$Z$60,3,FALSE)</f>
        <v>노벰버 건설</v>
      </c>
      <c r="D47" s="80">
        <f>VLOOKUP($B47,Rentroll!$C$37:$Z$60,9,FALSE)</f>
        <v>46904</v>
      </c>
      <c r="E47" s="80">
        <f>VLOOKUP($B47,Rentroll!$C$37:$Z$60,10,FALSE)</f>
        <v>48730</v>
      </c>
      <c r="F47" s="81">
        <f>VLOOKUP($B47,Rentroll!$C$37:$Z$60,11,FALSE)</f>
        <v>60</v>
      </c>
      <c r="G47" s="69">
        <f>VLOOKUP($B47,Rentroll!$C$37:$Z$60,13,FALSE)</f>
        <v>112550.88099999999</v>
      </c>
      <c r="H47" s="69">
        <f>VLOOKUP($B47,Rentroll!$C$37:$Z$60,14,FALSE)</f>
        <v>103171.64091666666</v>
      </c>
      <c r="I47" s="69">
        <f>VLOOKUP($B47,Rentroll!$C$37:$Z$60,15,FALSE)</f>
        <v>49172.715000000004</v>
      </c>
      <c r="J47" s="82">
        <f>VLOOKUP($B47,Rentroll!$C$37:$Z$60,19,FALSE)</f>
        <v>0.03</v>
      </c>
      <c r="K47" s="83">
        <f>VLOOKUP($B47,Rentroll!$C$37:$Z$60,4,FALSE)</f>
        <v>1385.09</v>
      </c>
      <c r="L47" s="81">
        <f>VLOOKUP($B47,Rentroll!$C$37:$Z$60,17,FALSE)</f>
        <v>0</v>
      </c>
      <c r="M47" s="84">
        <f>VLOOKUP($B47,Rentroll!$C$37:$Z$60,18,FALSE)</f>
        <v>1</v>
      </c>
      <c r="O47" s="74">
        <f t="shared" si="37"/>
        <v>9</v>
      </c>
      <c r="P47" s="75"/>
      <c r="Q47" s="75"/>
      <c r="R47" s="75">
        <f t="shared" si="38"/>
        <v>0</v>
      </c>
      <c r="S47" s="75">
        <f t="shared" si="30"/>
        <v>0</v>
      </c>
      <c r="T47" s="75">
        <f t="shared" si="30"/>
        <v>0</v>
      </c>
      <c r="U47" s="75">
        <f t="shared" si="30"/>
        <v>0</v>
      </c>
      <c r="V47" s="75">
        <f t="shared" si="30"/>
        <v>0</v>
      </c>
      <c r="W47" s="75">
        <f t="shared" si="30"/>
        <v>0</v>
      </c>
      <c r="X47" s="75">
        <f t="shared" si="30"/>
        <v>0</v>
      </c>
      <c r="Y47" s="75">
        <f t="shared" si="30"/>
        <v>0</v>
      </c>
      <c r="Z47" s="75">
        <f t="shared" si="30"/>
        <v>0</v>
      </c>
      <c r="AA47" s="75">
        <f t="shared" si="30"/>
        <v>0</v>
      </c>
      <c r="AB47" s="75">
        <f t="shared" si="30"/>
        <v>0</v>
      </c>
      <c r="AC47" s="75">
        <f t="shared" si="30"/>
        <v>0</v>
      </c>
      <c r="AD47" s="75">
        <f t="shared" si="30"/>
        <v>0</v>
      </c>
      <c r="AE47" s="75">
        <f t="shared" si="30"/>
        <v>0</v>
      </c>
      <c r="AF47" s="75">
        <f t="shared" si="30"/>
        <v>0</v>
      </c>
      <c r="AG47" s="75">
        <f t="shared" si="30"/>
        <v>0</v>
      </c>
      <c r="AH47" s="75">
        <f t="shared" si="30"/>
        <v>0</v>
      </c>
      <c r="AI47" s="75">
        <f t="shared" si="31"/>
        <v>0</v>
      </c>
      <c r="AJ47" s="75">
        <f t="shared" si="31"/>
        <v>0</v>
      </c>
      <c r="AK47" s="75">
        <f t="shared" si="31"/>
        <v>0</v>
      </c>
      <c r="AL47" s="75">
        <f t="shared" si="31"/>
        <v>0</v>
      </c>
      <c r="AM47" s="75">
        <f t="shared" si="31"/>
        <v>0</v>
      </c>
      <c r="AN47" s="75">
        <f t="shared" si="31"/>
        <v>0</v>
      </c>
      <c r="AO47" s="75">
        <f t="shared" si="31"/>
        <v>0</v>
      </c>
      <c r="AP47" s="75">
        <f t="shared" si="31"/>
        <v>0</v>
      </c>
      <c r="AQ47" s="75">
        <f t="shared" si="31"/>
        <v>0</v>
      </c>
      <c r="AR47" s="75">
        <f t="shared" si="31"/>
        <v>0</v>
      </c>
      <c r="AS47" s="75">
        <f t="shared" si="31"/>
        <v>0</v>
      </c>
      <c r="AT47" s="75">
        <f t="shared" si="31"/>
        <v>0</v>
      </c>
      <c r="AU47" s="75">
        <f t="shared" si="31"/>
        <v>0</v>
      </c>
      <c r="AV47" s="75">
        <f t="shared" si="31"/>
        <v>0</v>
      </c>
      <c r="AW47" s="75">
        <f t="shared" si="31"/>
        <v>0</v>
      </c>
      <c r="AX47" s="75">
        <f t="shared" si="31"/>
        <v>0</v>
      </c>
      <c r="AY47" s="75">
        <f t="shared" si="32"/>
        <v>0</v>
      </c>
      <c r="AZ47" s="75">
        <f t="shared" si="32"/>
        <v>0</v>
      </c>
      <c r="BA47" s="75">
        <f t="shared" si="32"/>
        <v>0</v>
      </c>
      <c r="BB47" s="75">
        <f t="shared" si="32"/>
        <v>0</v>
      </c>
      <c r="BC47" s="75">
        <f t="shared" si="32"/>
        <v>0</v>
      </c>
      <c r="BD47" s="75">
        <f t="shared" si="32"/>
        <v>0</v>
      </c>
      <c r="BE47" s="75">
        <f t="shared" si="32"/>
        <v>0</v>
      </c>
      <c r="BF47" s="75">
        <f t="shared" si="32"/>
        <v>0</v>
      </c>
      <c r="BG47" s="75">
        <f t="shared" si="32"/>
        <v>1</v>
      </c>
      <c r="BH47" s="75">
        <f t="shared" si="32"/>
        <v>1</v>
      </c>
      <c r="BI47" s="75">
        <f t="shared" si="32"/>
        <v>1</v>
      </c>
      <c r="BJ47" s="75">
        <f t="shared" si="32"/>
        <v>1</v>
      </c>
      <c r="BK47" s="75">
        <f t="shared" si="32"/>
        <v>1</v>
      </c>
      <c r="BL47" s="75">
        <f t="shared" si="32"/>
        <v>1</v>
      </c>
      <c r="BM47" s="75">
        <f t="shared" si="32"/>
        <v>1</v>
      </c>
      <c r="BN47" s="75">
        <f t="shared" si="32"/>
        <v>1</v>
      </c>
      <c r="BO47" s="75">
        <f t="shared" si="33"/>
        <v>1</v>
      </c>
      <c r="BP47" s="75">
        <f t="shared" si="33"/>
        <v>1</v>
      </c>
      <c r="BQ47" s="75">
        <f t="shared" si="33"/>
        <v>1</v>
      </c>
      <c r="BR47" s="75">
        <f t="shared" si="33"/>
        <v>1</v>
      </c>
      <c r="BS47" s="75">
        <f t="shared" si="33"/>
        <v>1</v>
      </c>
      <c r="BT47" s="75">
        <f t="shared" si="33"/>
        <v>1</v>
      </c>
      <c r="BU47" s="75">
        <f t="shared" si="33"/>
        <v>1</v>
      </c>
      <c r="BV47" s="75">
        <f t="shared" si="33"/>
        <v>1</v>
      </c>
      <c r="BW47" s="75">
        <f t="shared" si="33"/>
        <v>1</v>
      </c>
      <c r="BX47" s="75">
        <f t="shared" si="33"/>
        <v>1</v>
      </c>
      <c r="BY47" s="75">
        <f t="shared" si="33"/>
        <v>1</v>
      </c>
      <c r="BZ47" s="75">
        <f t="shared" si="33"/>
        <v>1</v>
      </c>
      <c r="CA47" s="75">
        <f t="shared" si="33"/>
        <v>0</v>
      </c>
      <c r="CB47" s="75">
        <f t="shared" si="33"/>
        <v>0</v>
      </c>
      <c r="CC47" s="75">
        <f t="shared" si="33"/>
        <v>0</v>
      </c>
      <c r="CD47" s="75">
        <f t="shared" si="33"/>
        <v>0</v>
      </c>
      <c r="CE47" s="75">
        <f t="shared" si="34"/>
        <v>0</v>
      </c>
      <c r="CF47" s="75">
        <f t="shared" si="34"/>
        <v>0</v>
      </c>
      <c r="CG47" s="75">
        <f t="shared" si="34"/>
        <v>0</v>
      </c>
      <c r="CH47" s="75">
        <f t="shared" si="34"/>
        <v>0</v>
      </c>
      <c r="CI47" s="75">
        <f t="shared" si="34"/>
        <v>0</v>
      </c>
      <c r="CJ47" s="75">
        <f t="shared" si="34"/>
        <v>0</v>
      </c>
      <c r="CK47" s="75">
        <f t="shared" si="34"/>
        <v>0</v>
      </c>
      <c r="CL47" s="75">
        <f t="shared" si="34"/>
        <v>0</v>
      </c>
      <c r="CM47" s="75">
        <f t="shared" si="34"/>
        <v>0</v>
      </c>
      <c r="CN47" s="75">
        <f t="shared" si="34"/>
        <v>0</v>
      </c>
      <c r="CO47" s="75">
        <f t="shared" si="34"/>
        <v>0</v>
      </c>
      <c r="CP47" s="75">
        <f t="shared" si="34"/>
        <v>0</v>
      </c>
      <c r="CQ47" s="75">
        <f t="shared" si="34"/>
        <v>0</v>
      </c>
      <c r="CR47" s="75">
        <f t="shared" si="34"/>
        <v>0</v>
      </c>
      <c r="CS47" s="75">
        <f t="shared" si="34"/>
        <v>0</v>
      </c>
      <c r="CT47" s="75">
        <f t="shared" si="34"/>
        <v>0</v>
      </c>
      <c r="CU47" s="75">
        <f t="shared" si="35"/>
        <v>0</v>
      </c>
      <c r="CV47" s="75">
        <f t="shared" si="35"/>
        <v>0</v>
      </c>
      <c r="CW47" s="75">
        <f t="shared" si="35"/>
        <v>0</v>
      </c>
      <c r="CX47" s="75">
        <f t="shared" si="35"/>
        <v>0</v>
      </c>
      <c r="CY47" s="75">
        <f t="shared" si="35"/>
        <v>0</v>
      </c>
      <c r="CZ47" s="75">
        <f t="shared" si="35"/>
        <v>0</v>
      </c>
      <c r="DA47" s="75">
        <f t="shared" si="35"/>
        <v>0</v>
      </c>
      <c r="DB47" s="75">
        <f t="shared" si="35"/>
        <v>0</v>
      </c>
      <c r="DC47" s="75">
        <f t="shared" si="35"/>
        <v>0</v>
      </c>
      <c r="DD47" s="75">
        <f t="shared" si="35"/>
        <v>0</v>
      </c>
      <c r="DE47" s="75">
        <f t="shared" si="35"/>
        <v>0</v>
      </c>
      <c r="DF47" s="75">
        <f t="shared" si="35"/>
        <v>0</v>
      </c>
      <c r="DG47" s="75">
        <f t="shared" si="35"/>
        <v>0</v>
      </c>
      <c r="DH47" s="75">
        <f t="shared" si="35"/>
        <v>0</v>
      </c>
      <c r="DI47" s="75">
        <f t="shared" si="35"/>
        <v>0</v>
      </c>
      <c r="DJ47" s="75">
        <f t="shared" si="35"/>
        <v>0</v>
      </c>
      <c r="DK47" s="75">
        <f t="shared" si="36"/>
        <v>0</v>
      </c>
      <c r="DL47" s="75">
        <f t="shared" si="36"/>
        <v>0</v>
      </c>
    </row>
    <row r="48" spans="2:116">
      <c r="B48" s="27">
        <f>Rentroll!$C$46</f>
        <v>8</v>
      </c>
      <c r="C48" s="69" t="str">
        <f>VLOOKUP($B48,Rentroll!$C$37:$Z$60,3,FALSE)</f>
        <v>오케스트로</v>
      </c>
      <c r="D48" s="80">
        <f>VLOOKUP($B48,Rentroll!$C$37:$Z$60,9,FALSE)</f>
        <v>46477</v>
      </c>
      <c r="E48" s="80">
        <f>VLOOKUP($B48,Rentroll!$C$37:$Z$60,10,FALSE)</f>
        <v>48304</v>
      </c>
      <c r="F48" s="81">
        <f>VLOOKUP($B48,Rentroll!$C$37:$Z$60,11,FALSE)</f>
        <v>60</v>
      </c>
      <c r="G48" s="69">
        <f>VLOOKUP($B48,Rentroll!$C$37:$Z$60,13,FALSE)</f>
        <v>109272.7</v>
      </c>
      <c r="H48" s="69">
        <f>VLOOKUP($B48,Rentroll!$C$37:$Z$60,14,FALSE)</f>
        <v>100166.64166666666</v>
      </c>
      <c r="I48" s="69">
        <f>VLOOKUP($B48,Rentroll!$C$37:$Z$60,15,FALSE)</f>
        <v>47740.5</v>
      </c>
      <c r="J48" s="82">
        <f>VLOOKUP($B48,Rentroll!$C$37:$Z$60,19,FALSE)</f>
        <v>0.03</v>
      </c>
      <c r="K48" s="83">
        <f>VLOOKUP($B48,Rentroll!$C$37:$Z$60,4,FALSE)</f>
        <v>1385.09</v>
      </c>
      <c r="L48" s="81">
        <f>VLOOKUP($B48,Rentroll!$C$37:$Z$60,17,FALSE)</f>
        <v>1</v>
      </c>
      <c r="M48" s="84">
        <f>VLOOKUP($B48,Rentroll!$C$37:$Z$60,18,FALSE)</f>
        <v>1</v>
      </c>
      <c r="O48" s="74">
        <f t="shared" si="37"/>
        <v>8</v>
      </c>
      <c r="P48" s="75"/>
      <c r="Q48" s="75"/>
      <c r="R48" s="75">
        <f t="shared" si="38"/>
        <v>0</v>
      </c>
      <c r="S48" s="75">
        <f t="shared" si="30"/>
        <v>0</v>
      </c>
      <c r="T48" s="75">
        <f t="shared" si="30"/>
        <v>0</v>
      </c>
      <c r="U48" s="75">
        <f t="shared" si="30"/>
        <v>0</v>
      </c>
      <c r="V48" s="75">
        <f t="shared" si="30"/>
        <v>0</v>
      </c>
      <c r="W48" s="75">
        <f t="shared" si="30"/>
        <v>0</v>
      </c>
      <c r="X48" s="75">
        <f t="shared" si="30"/>
        <v>0</v>
      </c>
      <c r="Y48" s="75">
        <f t="shared" si="30"/>
        <v>0</v>
      </c>
      <c r="Z48" s="75">
        <f t="shared" si="30"/>
        <v>0</v>
      </c>
      <c r="AA48" s="75">
        <f t="shared" si="30"/>
        <v>0</v>
      </c>
      <c r="AB48" s="75">
        <f t="shared" si="30"/>
        <v>0</v>
      </c>
      <c r="AC48" s="75">
        <f t="shared" si="30"/>
        <v>0</v>
      </c>
      <c r="AD48" s="75">
        <f t="shared" si="30"/>
        <v>0</v>
      </c>
      <c r="AE48" s="75">
        <f t="shared" si="30"/>
        <v>0</v>
      </c>
      <c r="AF48" s="75">
        <f t="shared" si="30"/>
        <v>0</v>
      </c>
      <c r="AG48" s="75">
        <f t="shared" si="30"/>
        <v>0</v>
      </c>
      <c r="AH48" s="75">
        <f t="shared" si="30"/>
        <v>0</v>
      </c>
      <c r="AI48" s="75">
        <f t="shared" si="31"/>
        <v>0</v>
      </c>
      <c r="AJ48" s="75">
        <f t="shared" si="31"/>
        <v>0</v>
      </c>
      <c r="AK48" s="75">
        <f t="shared" si="31"/>
        <v>0</v>
      </c>
      <c r="AL48" s="75">
        <f t="shared" si="31"/>
        <v>0</v>
      </c>
      <c r="AM48" s="75">
        <f t="shared" si="31"/>
        <v>0</v>
      </c>
      <c r="AN48" s="75">
        <f t="shared" si="31"/>
        <v>0</v>
      </c>
      <c r="AO48" s="75">
        <f t="shared" si="31"/>
        <v>0</v>
      </c>
      <c r="AP48" s="75">
        <f t="shared" si="31"/>
        <v>0</v>
      </c>
      <c r="AQ48" s="75">
        <f t="shared" si="31"/>
        <v>0</v>
      </c>
      <c r="AR48" s="75">
        <f t="shared" si="31"/>
        <v>0</v>
      </c>
      <c r="AS48" s="75">
        <f t="shared" si="31"/>
        <v>1</v>
      </c>
      <c r="AT48" s="75">
        <f t="shared" si="31"/>
        <v>1</v>
      </c>
      <c r="AU48" s="75">
        <f t="shared" si="31"/>
        <v>1</v>
      </c>
      <c r="AV48" s="75">
        <f t="shared" si="31"/>
        <v>1</v>
      </c>
      <c r="AW48" s="75">
        <f t="shared" si="31"/>
        <v>1</v>
      </c>
      <c r="AX48" s="75">
        <f t="shared" si="31"/>
        <v>1</v>
      </c>
      <c r="AY48" s="75">
        <f t="shared" si="32"/>
        <v>1</v>
      </c>
      <c r="AZ48" s="75">
        <f t="shared" si="32"/>
        <v>1</v>
      </c>
      <c r="BA48" s="75">
        <f t="shared" si="32"/>
        <v>1</v>
      </c>
      <c r="BB48" s="75">
        <f t="shared" si="32"/>
        <v>1</v>
      </c>
      <c r="BC48" s="75">
        <f t="shared" si="32"/>
        <v>1</v>
      </c>
      <c r="BD48" s="75">
        <f t="shared" si="32"/>
        <v>1</v>
      </c>
      <c r="BE48" s="75">
        <f t="shared" si="32"/>
        <v>1</v>
      </c>
      <c r="BF48" s="75">
        <f t="shared" si="32"/>
        <v>1</v>
      </c>
      <c r="BG48" s="75">
        <f t="shared" si="32"/>
        <v>1</v>
      </c>
      <c r="BH48" s="75">
        <f t="shared" si="32"/>
        <v>1</v>
      </c>
      <c r="BI48" s="75">
        <f t="shared" si="32"/>
        <v>1</v>
      </c>
      <c r="BJ48" s="75">
        <f t="shared" si="32"/>
        <v>1</v>
      </c>
      <c r="BK48" s="75">
        <f t="shared" si="32"/>
        <v>1</v>
      </c>
      <c r="BL48" s="75">
        <f t="shared" si="32"/>
        <v>1</v>
      </c>
      <c r="BM48" s="75">
        <f t="shared" si="32"/>
        <v>1</v>
      </c>
      <c r="BN48" s="75">
        <f t="shared" si="32"/>
        <v>1</v>
      </c>
      <c r="BO48" s="75">
        <f t="shared" si="33"/>
        <v>1</v>
      </c>
      <c r="BP48" s="75">
        <f t="shared" si="33"/>
        <v>1</v>
      </c>
      <c r="BQ48" s="75">
        <f t="shared" si="33"/>
        <v>1</v>
      </c>
      <c r="BR48" s="75">
        <f t="shared" si="33"/>
        <v>1</v>
      </c>
      <c r="BS48" s="75">
        <f t="shared" si="33"/>
        <v>1</v>
      </c>
      <c r="BT48" s="75">
        <f t="shared" si="33"/>
        <v>1</v>
      </c>
      <c r="BU48" s="75">
        <f t="shared" si="33"/>
        <v>1</v>
      </c>
      <c r="BV48" s="75">
        <f t="shared" si="33"/>
        <v>1</v>
      </c>
      <c r="BW48" s="75">
        <f t="shared" si="33"/>
        <v>1</v>
      </c>
      <c r="BX48" s="75">
        <f t="shared" si="33"/>
        <v>1</v>
      </c>
      <c r="BY48" s="75">
        <f t="shared" si="33"/>
        <v>1</v>
      </c>
      <c r="BZ48" s="75">
        <f t="shared" si="33"/>
        <v>1</v>
      </c>
      <c r="CA48" s="75">
        <f t="shared" si="33"/>
        <v>0</v>
      </c>
      <c r="CB48" s="75">
        <f t="shared" si="33"/>
        <v>0</v>
      </c>
      <c r="CC48" s="75">
        <f t="shared" si="33"/>
        <v>0</v>
      </c>
      <c r="CD48" s="75">
        <f t="shared" si="33"/>
        <v>0</v>
      </c>
      <c r="CE48" s="75">
        <f t="shared" si="34"/>
        <v>0</v>
      </c>
      <c r="CF48" s="75">
        <f t="shared" si="34"/>
        <v>0</v>
      </c>
      <c r="CG48" s="75">
        <f t="shared" si="34"/>
        <v>0</v>
      </c>
      <c r="CH48" s="75">
        <f t="shared" si="34"/>
        <v>0</v>
      </c>
      <c r="CI48" s="75">
        <f t="shared" si="34"/>
        <v>0</v>
      </c>
      <c r="CJ48" s="75">
        <f t="shared" si="34"/>
        <v>0</v>
      </c>
      <c r="CK48" s="75">
        <f t="shared" si="34"/>
        <v>0</v>
      </c>
      <c r="CL48" s="75">
        <f t="shared" si="34"/>
        <v>0</v>
      </c>
      <c r="CM48" s="75">
        <f t="shared" si="34"/>
        <v>0</v>
      </c>
      <c r="CN48" s="75">
        <f t="shared" si="34"/>
        <v>0</v>
      </c>
      <c r="CO48" s="75">
        <f t="shared" si="34"/>
        <v>0</v>
      </c>
      <c r="CP48" s="75">
        <f t="shared" si="34"/>
        <v>0</v>
      </c>
      <c r="CQ48" s="75">
        <f t="shared" si="34"/>
        <v>0</v>
      </c>
      <c r="CR48" s="75">
        <f t="shared" si="34"/>
        <v>0</v>
      </c>
      <c r="CS48" s="75">
        <f t="shared" si="34"/>
        <v>0</v>
      </c>
      <c r="CT48" s="75">
        <f t="shared" si="34"/>
        <v>0</v>
      </c>
      <c r="CU48" s="75">
        <f t="shared" si="35"/>
        <v>0</v>
      </c>
      <c r="CV48" s="75">
        <f t="shared" si="35"/>
        <v>0</v>
      </c>
      <c r="CW48" s="75">
        <f t="shared" si="35"/>
        <v>0</v>
      </c>
      <c r="CX48" s="75">
        <f t="shared" si="35"/>
        <v>0</v>
      </c>
      <c r="CY48" s="75">
        <f t="shared" si="35"/>
        <v>0</v>
      </c>
      <c r="CZ48" s="75">
        <f t="shared" si="35"/>
        <v>0</v>
      </c>
      <c r="DA48" s="75">
        <f t="shared" si="35"/>
        <v>0</v>
      </c>
      <c r="DB48" s="75">
        <f t="shared" si="35"/>
        <v>0</v>
      </c>
      <c r="DC48" s="75">
        <f t="shared" si="35"/>
        <v>0</v>
      </c>
      <c r="DD48" s="75">
        <f t="shared" si="35"/>
        <v>0</v>
      </c>
      <c r="DE48" s="75">
        <f t="shared" si="35"/>
        <v>0</v>
      </c>
      <c r="DF48" s="75">
        <f t="shared" si="35"/>
        <v>0</v>
      </c>
      <c r="DG48" s="75">
        <f t="shared" si="35"/>
        <v>0</v>
      </c>
      <c r="DH48" s="75">
        <f t="shared" si="35"/>
        <v>0</v>
      </c>
      <c r="DI48" s="75">
        <f t="shared" si="35"/>
        <v>0</v>
      </c>
      <c r="DJ48" s="75">
        <f t="shared" si="35"/>
        <v>0</v>
      </c>
      <c r="DK48" s="75">
        <f t="shared" si="36"/>
        <v>0</v>
      </c>
      <c r="DL48" s="75">
        <f t="shared" si="36"/>
        <v>0</v>
      </c>
    </row>
    <row r="49" spans="2:116">
      <c r="B49" s="27">
        <f>Rentroll!$C$47</f>
        <v>7</v>
      </c>
      <c r="C49" s="69" t="str">
        <f>VLOOKUP($B49,Rentroll!$C$37:$Z$60,3,FALSE)</f>
        <v>오케스트로</v>
      </c>
      <c r="D49" s="80">
        <f>VLOOKUP($B49,Rentroll!$C$37:$Z$60,9,FALSE)</f>
        <v>46477</v>
      </c>
      <c r="E49" s="80">
        <f>VLOOKUP($B49,Rentroll!$C$37:$Z$60,10,FALSE)</f>
        <v>48304</v>
      </c>
      <c r="F49" s="81">
        <f>VLOOKUP($B49,Rentroll!$C$37:$Z$60,11,FALSE)</f>
        <v>60</v>
      </c>
      <c r="G49" s="69">
        <f>VLOOKUP($B49,Rentroll!$C$37:$Z$60,13,FALSE)</f>
        <v>109272.7</v>
      </c>
      <c r="H49" s="69">
        <f>VLOOKUP($B49,Rentroll!$C$37:$Z$60,14,FALSE)</f>
        <v>100166.64166666666</v>
      </c>
      <c r="I49" s="69">
        <f>VLOOKUP($B49,Rentroll!$C$37:$Z$60,15,FALSE)</f>
        <v>47740.5</v>
      </c>
      <c r="J49" s="82">
        <f>VLOOKUP($B49,Rentroll!$C$37:$Z$60,19,FALSE)</f>
        <v>0.03</v>
      </c>
      <c r="K49" s="83">
        <f>VLOOKUP($B49,Rentroll!$C$37:$Z$60,4,FALSE)</f>
        <v>1385.09</v>
      </c>
      <c r="L49" s="81">
        <f>VLOOKUP($B49,Rentroll!$C$37:$Z$60,17,FALSE)</f>
        <v>1</v>
      </c>
      <c r="M49" s="84">
        <f>VLOOKUP($B49,Rentroll!$C$37:$Z$60,18,FALSE)</f>
        <v>1</v>
      </c>
      <c r="O49" s="74">
        <f t="shared" si="37"/>
        <v>7</v>
      </c>
      <c r="P49" s="75"/>
      <c r="Q49" s="75"/>
      <c r="R49" s="75">
        <f t="shared" si="38"/>
        <v>0</v>
      </c>
      <c r="S49" s="75">
        <f t="shared" si="30"/>
        <v>0</v>
      </c>
      <c r="T49" s="75">
        <f t="shared" si="30"/>
        <v>0</v>
      </c>
      <c r="U49" s="75">
        <f t="shared" si="30"/>
        <v>0</v>
      </c>
      <c r="V49" s="75">
        <f t="shared" si="30"/>
        <v>0</v>
      </c>
      <c r="W49" s="75">
        <f t="shared" si="30"/>
        <v>0</v>
      </c>
      <c r="X49" s="75">
        <f t="shared" si="30"/>
        <v>0</v>
      </c>
      <c r="Y49" s="75">
        <f t="shared" si="30"/>
        <v>0</v>
      </c>
      <c r="Z49" s="75">
        <f t="shared" si="30"/>
        <v>0</v>
      </c>
      <c r="AA49" s="75">
        <f t="shared" si="30"/>
        <v>0</v>
      </c>
      <c r="AB49" s="75">
        <f t="shared" si="30"/>
        <v>0</v>
      </c>
      <c r="AC49" s="75">
        <f t="shared" si="30"/>
        <v>0</v>
      </c>
      <c r="AD49" s="75">
        <f t="shared" si="30"/>
        <v>0</v>
      </c>
      <c r="AE49" s="75">
        <f t="shared" si="30"/>
        <v>0</v>
      </c>
      <c r="AF49" s="75">
        <f t="shared" si="30"/>
        <v>0</v>
      </c>
      <c r="AG49" s="75">
        <f t="shared" si="30"/>
        <v>0</v>
      </c>
      <c r="AH49" s="75">
        <f t="shared" si="30"/>
        <v>0</v>
      </c>
      <c r="AI49" s="75">
        <f t="shared" si="31"/>
        <v>0</v>
      </c>
      <c r="AJ49" s="75">
        <f t="shared" si="31"/>
        <v>0</v>
      </c>
      <c r="AK49" s="75">
        <f t="shared" si="31"/>
        <v>0</v>
      </c>
      <c r="AL49" s="75">
        <f t="shared" si="31"/>
        <v>0</v>
      </c>
      <c r="AM49" s="75">
        <f t="shared" si="31"/>
        <v>0</v>
      </c>
      <c r="AN49" s="75">
        <f t="shared" si="31"/>
        <v>0</v>
      </c>
      <c r="AO49" s="75">
        <f t="shared" si="31"/>
        <v>0</v>
      </c>
      <c r="AP49" s="75">
        <f t="shared" si="31"/>
        <v>0</v>
      </c>
      <c r="AQ49" s="75">
        <f t="shared" si="31"/>
        <v>0</v>
      </c>
      <c r="AR49" s="75">
        <f t="shared" si="31"/>
        <v>0</v>
      </c>
      <c r="AS49" s="75">
        <f t="shared" si="31"/>
        <v>1</v>
      </c>
      <c r="AT49" s="75">
        <f t="shared" si="31"/>
        <v>1</v>
      </c>
      <c r="AU49" s="75">
        <f t="shared" si="31"/>
        <v>1</v>
      </c>
      <c r="AV49" s="75">
        <f t="shared" si="31"/>
        <v>1</v>
      </c>
      <c r="AW49" s="75">
        <f t="shared" si="31"/>
        <v>1</v>
      </c>
      <c r="AX49" s="75">
        <f t="shared" si="31"/>
        <v>1</v>
      </c>
      <c r="AY49" s="75">
        <f t="shared" si="32"/>
        <v>1</v>
      </c>
      <c r="AZ49" s="75">
        <f t="shared" si="32"/>
        <v>1</v>
      </c>
      <c r="BA49" s="75">
        <f t="shared" si="32"/>
        <v>1</v>
      </c>
      <c r="BB49" s="75">
        <f t="shared" si="32"/>
        <v>1</v>
      </c>
      <c r="BC49" s="75">
        <f t="shared" si="32"/>
        <v>1</v>
      </c>
      <c r="BD49" s="75">
        <f t="shared" si="32"/>
        <v>1</v>
      </c>
      <c r="BE49" s="75">
        <f t="shared" si="32"/>
        <v>1</v>
      </c>
      <c r="BF49" s="75">
        <f t="shared" si="32"/>
        <v>1</v>
      </c>
      <c r="BG49" s="75">
        <f t="shared" si="32"/>
        <v>1</v>
      </c>
      <c r="BH49" s="75">
        <f t="shared" si="32"/>
        <v>1</v>
      </c>
      <c r="BI49" s="75">
        <f t="shared" si="32"/>
        <v>1</v>
      </c>
      <c r="BJ49" s="75">
        <f t="shared" si="32"/>
        <v>1</v>
      </c>
      <c r="BK49" s="75">
        <f t="shared" si="32"/>
        <v>1</v>
      </c>
      <c r="BL49" s="75">
        <f t="shared" si="32"/>
        <v>1</v>
      </c>
      <c r="BM49" s="75">
        <f t="shared" si="32"/>
        <v>1</v>
      </c>
      <c r="BN49" s="75">
        <f t="shared" si="32"/>
        <v>1</v>
      </c>
      <c r="BO49" s="75">
        <f t="shared" si="33"/>
        <v>1</v>
      </c>
      <c r="BP49" s="75">
        <f t="shared" si="33"/>
        <v>1</v>
      </c>
      <c r="BQ49" s="75">
        <f t="shared" si="33"/>
        <v>1</v>
      </c>
      <c r="BR49" s="75">
        <f t="shared" si="33"/>
        <v>1</v>
      </c>
      <c r="BS49" s="75">
        <f t="shared" si="33"/>
        <v>1</v>
      </c>
      <c r="BT49" s="75">
        <f t="shared" si="33"/>
        <v>1</v>
      </c>
      <c r="BU49" s="75">
        <f t="shared" si="33"/>
        <v>1</v>
      </c>
      <c r="BV49" s="75">
        <f t="shared" si="33"/>
        <v>1</v>
      </c>
      <c r="BW49" s="75">
        <f t="shared" si="33"/>
        <v>1</v>
      </c>
      <c r="BX49" s="75">
        <f t="shared" si="33"/>
        <v>1</v>
      </c>
      <c r="BY49" s="75">
        <f t="shared" si="33"/>
        <v>1</v>
      </c>
      <c r="BZ49" s="75">
        <f t="shared" si="33"/>
        <v>1</v>
      </c>
      <c r="CA49" s="75">
        <f t="shared" si="33"/>
        <v>0</v>
      </c>
      <c r="CB49" s="75">
        <f t="shared" si="33"/>
        <v>0</v>
      </c>
      <c r="CC49" s="75">
        <f t="shared" si="33"/>
        <v>0</v>
      </c>
      <c r="CD49" s="75">
        <f t="shared" si="33"/>
        <v>0</v>
      </c>
      <c r="CE49" s="75">
        <f t="shared" si="34"/>
        <v>0</v>
      </c>
      <c r="CF49" s="75">
        <f t="shared" si="34"/>
        <v>0</v>
      </c>
      <c r="CG49" s="75">
        <f t="shared" si="34"/>
        <v>0</v>
      </c>
      <c r="CH49" s="75">
        <f t="shared" si="34"/>
        <v>0</v>
      </c>
      <c r="CI49" s="75">
        <f t="shared" si="34"/>
        <v>0</v>
      </c>
      <c r="CJ49" s="75">
        <f t="shared" si="34"/>
        <v>0</v>
      </c>
      <c r="CK49" s="75">
        <f t="shared" si="34"/>
        <v>0</v>
      </c>
      <c r="CL49" s="75">
        <f t="shared" si="34"/>
        <v>0</v>
      </c>
      <c r="CM49" s="75">
        <f t="shared" si="34"/>
        <v>0</v>
      </c>
      <c r="CN49" s="75">
        <f t="shared" si="34"/>
        <v>0</v>
      </c>
      <c r="CO49" s="75">
        <f t="shared" si="34"/>
        <v>0</v>
      </c>
      <c r="CP49" s="75">
        <f t="shared" si="34"/>
        <v>0</v>
      </c>
      <c r="CQ49" s="75">
        <f t="shared" si="34"/>
        <v>0</v>
      </c>
      <c r="CR49" s="75">
        <f t="shared" si="34"/>
        <v>0</v>
      </c>
      <c r="CS49" s="75">
        <f t="shared" si="34"/>
        <v>0</v>
      </c>
      <c r="CT49" s="75">
        <f t="shared" si="34"/>
        <v>0</v>
      </c>
      <c r="CU49" s="75">
        <f t="shared" si="35"/>
        <v>0</v>
      </c>
      <c r="CV49" s="75">
        <f t="shared" si="35"/>
        <v>0</v>
      </c>
      <c r="CW49" s="75">
        <f t="shared" si="35"/>
        <v>0</v>
      </c>
      <c r="CX49" s="75">
        <f t="shared" si="35"/>
        <v>0</v>
      </c>
      <c r="CY49" s="75">
        <f t="shared" si="35"/>
        <v>0</v>
      </c>
      <c r="CZ49" s="75">
        <f t="shared" si="35"/>
        <v>0</v>
      </c>
      <c r="DA49" s="75">
        <f t="shared" si="35"/>
        <v>0</v>
      </c>
      <c r="DB49" s="75">
        <f t="shared" si="35"/>
        <v>0</v>
      </c>
      <c r="DC49" s="75">
        <f t="shared" si="35"/>
        <v>0</v>
      </c>
      <c r="DD49" s="75">
        <f t="shared" si="35"/>
        <v>0</v>
      </c>
      <c r="DE49" s="75">
        <f t="shared" si="35"/>
        <v>0</v>
      </c>
      <c r="DF49" s="75">
        <f t="shared" si="35"/>
        <v>0</v>
      </c>
      <c r="DG49" s="75">
        <f t="shared" si="35"/>
        <v>0</v>
      </c>
      <c r="DH49" s="75">
        <f t="shared" si="35"/>
        <v>0</v>
      </c>
      <c r="DI49" s="75">
        <f t="shared" si="35"/>
        <v>0</v>
      </c>
      <c r="DJ49" s="75">
        <f t="shared" si="35"/>
        <v>0</v>
      </c>
      <c r="DK49" s="75">
        <f t="shared" si="36"/>
        <v>0</v>
      </c>
      <c r="DL49" s="75">
        <f t="shared" si="36"/>
        <v>0</v>
      </c>
    </row>
    <row r="50" spans="2:116">
      <c r="B50" s="27">
        <f>Rentroll!$C$48</f>
        <v>6</v>
      </c>
      <c r="C50" s="69" t="str">
        <f>VLOOKUP($B50,Rentroll!$C$37:$Z$60,3,FALSE)</f>
        <v>오케스트로</v>
      </c>
      <c r="D50" s="80">
        <f>VLOOKUP($B50,Rentroll!$C$37:$Z$60,9,FALSE)</f>
        <v>46477</v>
      </c>
      <c r="E50" s="80">
        <f>VLOOKUP($B50,Rentroll!$C$37:$Z$60,10,FALSE)</f>
        <v>48304</v>
      </c>
      <c r="F50" s="81">
        <f>VLOOKUP($B50,Rentroll!$C$37:$Z$60,11,FALSE)</f>
        <v>60</v>
      </c>
      <c r="G50" s="69">
        <f>VLOOKUP($B50,Rentroll!$C$37:$Z$60,13,FALSE)</f>
        <v>109272.7</v>
      </c>
      <c r="H50" s="69">
        <f>VLOOKUP($B50,Rentroll!$C$37:$Z$60,14,FALSE)</f>
        <v>100166.64166666666</v>
      </c>
      <c r="I50" s="69">
        <f>VLOOKUP($B50,Rentroll!$C$37:$Z$60,15,FALSE)</f>
        <v>47740.5</v>
      </c>
      <c r="J50" s="82">
        <f>VLOOKUP($B50,Rentroll!$C$37:$Z$60,19,FALSE)</f>
        <v>0.03</v>
      </c>
      <c r="K50" s="83">
        <f>VLOOKUP($B50,Rentroll!$C$37:$Z$60,4,FALSE)</f>
        <v>1385.09</v>
      </c>
      <c r="L50" s="81">
        <f>VLOOKUP($B50,Rentroll!$C$37:$Z$60,17,FALSE)</f>
        <v>1</v>
      </c>
      <c r="M50" s="84">
        <f>VLOOKUP($B50,Rentroll!$C$37:$Z$60,18,FALSE)</f>
        <v>1</v>
      </c>
      <c r="O50" s="74">
        <f t="shared" si="37"/>
        <v>6</v>
      </c>
      <c r="P50" s="75"/>
      <c r="Q50" s="75"/>
      <c r="R50" s="75">
        <f t="shared" si="38"/>
        <v>0</v>
      </c>
      <c r="S50" s="75">
        <f t="shared" si="30"/>
        <v>0</v>
      </c>
      <c r="T50" s="75">
        <f t="shared" si="30"/>
        <v>0</v>
      </c>
      <c r="U50" s="75">
        <f t="shared" si="30"/>
        <v>0</v>
      </c>
      <c r="V50" s="75">
        <f t="shared" si="30"/>
        <v>0</v>
      </c>
      <c r="W50" s="75">
        <f t="shared" si="30"/>
        <v>0</v>
      </c>
      <c r="X50" s="75">
        <f t="shared" si="30"/>
        <v>0</v>
      </c>
      <c r="Y50" s="75">
        <f t="shared" si="30"/>
        <v>0</v>
      </c>
      <c r="Z50" s="75">
        <f t="shared" si="30"/>
        <v>0</v>
      </c>
      <c r="AA50" s="75">
        <f t="shared" si="30"/>
        <v>0</v>
      </c>
      <c r="AB50" s="75">
        <f t="shared" si="30"/>
        <v>0</v>
      </c>
      <c r="AC50" s="75">
        <f t="shared" si="30"/>
        <v>0</v>
      </c>
      <c r="AD50" s="75">
        <f t="shared" si="30"/>
        <v>0</v>
      </c>
      <c r="AE50" s="75">
        <f t="shared" si="30"/>
        <v>0</v>
      </c>
      <c r="AF50" s="75">
        <f t="shared" si="30"/>
        <v>0</v>
      </c>
      <c r="AG50" s="75">
        <f t="shared" si="30"/>
        <v>0</v>
      </c>
      <c r="AH50" s="75">
        <f t="shared" si="30"/>
        <v>0</v>
      </c>
      <c r="AI50" s="75">
        <f t="shared" si="31"/>
        <v>0</v>
      </c>
      <c r="AJ50" s="75">
        <f t="shared" si="31"/>
        <v>0</v>
      </c>
      <c r="AK50" s="75">
        <f t="shared" si="31"/>
        <v>0</v>
      </c>
      <c r="AL50" s="75">
        <f t="shared" si="31"/>
        <v>0</v>
      </c>
      <c r="AM50" s="75">
        <f t="shared" si="31"/>
        <v>0</v>
      </c>
      <c r="AN50" s="75">
        <f t="shared" si="31"/>
        <v>0</v>
      </c>
      <c r="AO50" s="75">
        <f t="shared" si="31"/>
        <v>0</v>
      </c>
      <c r="AP50" s="75">
        <f t="shared" si="31"/>
        <v>0</v>
      </c>
      <c r="AQ50" s="75">
        <f t="shared" si="31"/>
        <v>0</v>
      </c>
      <c r="AR50" s="75">
        <f t="shared" si="31"/>
        <v>0</v>
      </c>
      <c r="AS50" s="75">
        <f t="shared" si="31"/>
        <v>1</v>
      </c>
      <c r="AT50" s="75">
        <f t="shared" si="31"/>
        <v>1</v>
      </c>
      <c r="AU50" s="75">
        <f t="shared" si="31"/>
        <v>1</v>
      </c>
      <c r="AV50" s="75">
        <f t="shared" si="31"/>
        <v>1</v>
      </c>
      <c r="AW50" s="75">
        <f t="shared" si="31"/>
        <v>1</v>
      </c>
      <c r="AX50" s="75">
        <f t="shared" si="31"/>
        <v>1</v>
      </c>
      <c r="AY50" s="75">
        <f t="shared" si="32"/>
        <v>1</v>
      </c>
      <c r="AZ50" s="75">
        <f t="shared" si="32"/>
        <v>1</v>
      </c>
      <c r="BA50" s="75">
        <f t="shared" si="32"/>
        <v>1</v>
      </c>
      <c r="BB50" s="75">
        <f t="shared" si="32"/>
        <v>1</v>
      </c>
      <c r="BC50" s="75">
        <f t="shared" si="32"/>
        <v>1</v>
      </c>
      <c r="BD50" s="75">
        <f t="shared" si="32"/>
        <v>1</v>
      </c>
      <c r="BE50" s="75">
        <f t="shared" si="32"/>
        <v>1</v>
      </c>
      <c r="BF50" s="75">
        <f t="shared" si="32"/>
        <v>1</v>
      </c>
      <c r="BG50" s="75">
        <f t="shared" si="32"/>
        <v>1</v>
      </c>
      <c r="BH50" s="75">
        <f t="shared" si="32"/>
        <v>1</v>
      </c>
      <c r="BI50" s="75">
        <f t="shared" si="32"/>
        <v>1</v>
      </c>
      <c r="BJ50" s="75">
        <f t="shared" si="32"/>
        <v>1</v>
      </c>
      <c r="BK50" s="75">
        <f t="shared" si="32"/>
        <v>1</v>
      </c>
      <c r="BL50" s="75">
        <f t="shared" si="32"/>
        <v>1</v>
      </c>
      <c r="BM50" s="75">
        <f t="shared" si="32"/>
        <v>1</v>
      </c>
      <c r="BN50" s="75">
        <f t="shared" si="32"/>
        <v>1</v>
      </c>
      <c r="BO50" s="75">
        <f t="shared" si="33"/>
        <v>1</v>
      </c>
      <c r="BP50" s="75">
        <f t="shared" si="33"/>
        <v>1</v>
      </c>
      <c r="BQ50" s="75">
        <f t="shared" si="33"/>
        <v>1</v>
      </c>
      <c r="BR50" s="75">
        <f t="shared" si="33"/>
        <v>1</v>
      </c>
      <c r="BS50" s="75">
        <f t="shared" si="33"/>
        <v>1</v>
      </c>
      <c r="BT50" s="75">
        <f t="shared" si="33"/>
        <v>1</v>
      </c>
      <c r="BU50" s="75">
        <f t="shared" si="33"/>
        <v>1</v>
      </c>
      <c r="BV50" s="75">
        <f t="shared" si="33"/>
        <v>1</v>
      </c>
      <c r="BW50" s="75">
        <f t="shared" si="33"/>
        <v>1</v>
      </c>
      <c r="BX50" s="75">
        <f t="shared" si="33"/>
        <v>1</v>
      </c>
      <c r="BY50" s="75">
        <f t="shared" si="33"/>
        <v>1</v>
      </c>
      <c r="BZ50" s="75">
        <f t="shared" si="33"/>
        <v>1</v>
      </c>
      <c r="CA50" s="75">
        <f t="shared" si="33"/>
        <v>0</v>
      </c>
      <c r="CB50" s="75">
        <f t="shared" si="33"/>
        <v>0</v>
      </c>
      <c r="CC50" s="75">
        <f t="shared" si="33"/>
        <v>0</v>
      </c>
      <c r="CD50" s="75">
        <f t="shared" si="33"/>
        <v>0</v>
      </c>
      <c r="CE50" s="75">
        <f t="shared" si="34"/>
        <v>0</v>
      </c>
      <c r="CF50" s="75">
        <f t="shared" si="34"/>
        <v>0</v>
      </c>
      <c r="CG50" s="75">
        <f t="shared" si="34"/>
        <v>0</v>
      </c>
      <c r="CH50" s="75">
        <f t="shared" si="34"/>
        <v>0</v>
      </c>
      <c r="CI50" s="75">
        <f t="shared" si="34"/>
        <v>0</v>
      </c>
      <c r="CJ50" s="75">
        <f t="shared" si="34"/>
        <v>0</v>
      </c>
      <c r="CK50" s="75">
        <f t="shared" si="34"/>
        <v>0</v>
      </c>
      <c r="CL50" s="75">
        <f t="shared" si="34"/>
        <v>0</v>
      </c>
      <c r="CM50" s="75">
        <f t="shared" si="34"/>
        <v>0</v>
      </c>
      <c r="CN50" s="75">
        <f t="shared" si="34"/>
        <v>0</v>
      </c>
      <c r="CO50" s="75">
        <f t="shared" si="34"/>
        <v>0</v>
      </c>
      <c r="CP50" s="75">
        <f t="shared" si="34"/>
        <v>0</v>
      </c>
      <c r="CQ50" s="75">
        <f t="shared" si="34"/>
        <v>0</v>
      </c>
      <c r="CR50" s="75">
        <f t="shared" si="34"/>
        <v>0</v>
      </c>
      <c r="CS50" s="75">
        <f t="shared" si="34"/>
        <v>0</v>
      </c>
      <c r="CT50" s="75">
        <f t="shared" si="34"/>
        <v>0</v>
      </c>
      <c r="CU50" s="75">
        <f t="shared" si="35"/>
        <v>0</v>
      </c>
      <c r="CV50" s="75">
        <f t="shared" si="35"/>
        <v>0</v>
      </c>
      <c r="CW50" s="75">
        <f t="shared" si="35"/>
        <v>0</v>
      </c>
      <c r="CX50" s="75">
        <f t="shared" si="35"/>
        <v>0</v>
      </c>
      <c r="CY50" s="75">
        <f t="shared" si="35"/>
        <v>0</v>
      </c>
      <c r="CZ50" s="75">
        <f t="shared" si="35"/>
        <v>0</v>
      </c>
      <c r="DA50" s="75">
        <f t="shared" si="35"/>
        <v>0</v>
      </c>
      <c r="DB50" s="75">
        <f t="shared" si="35"/>
        <v>0</v>
      </c>
      <c r="DC50" s="75">
        <f t="shared" si="35"/>
        <v>0</v>
      </c>
      <c r="DD50" s="75">
        <f t="shared" si="35"/>
        <v>0</v>
      </c>
      <c r="DE50" s="75">
        <f t="shared" si="35"/>
        <v>0</v>
      </c>
      <c r="DF50" s="75">
        <f t="shared" si="35"/>
        <v>0</v>
      </c>
      <c r="DG50" s="75">
        <f t="shared" si="35"/>
        <v>0</v>
      </c>
      <c r="DH50" s="75">
        <f t="shared" si="35"/>
        <v>0</v>
      </c>
      <c r="DI50" s="75">
        <f t="shared" si="35"/>
        <v>0</v>
      </c>
      <c r="DJ50" s="75">
        <f t="shared" si="35"/>
        <v>0</v>
      </c>
      <c r="DK50" s="75">
        <f t="shared" si="36"/>
        <v>0</v>
      </c>
      <c r="DL50" s="75">
        <f t="shared" si="36"/>
        <v>0</v>
      </c>
    </row>
    <row r="51" spans="2:116">
      <c r="B51" s="27">
        <f>Rentroll!$C$49</f>
        <v>5</v>
      </c>
      <c r="C51" s="69" t="str">
        <f>VLOOKUP($B51,Rentroll!$C$37:$Z$60,3,FALSE)</f>
        <v>타이거로켓</v>
      </c>
      <c r="D51" s="80">
        <f>VLOOKUP($B51,Rentroll!$C$37:$Z$60,9,FALSE)</f>
        <v>45688</v>
      </c>
      <c r="E51" s="80">
        <f>VLOOKUP($B51,Rentroll!$C$37:$Z$60,10,FALSE)</f>
        <v>47514</v>
      </c>
      <c r="F51" s="81">
        <f>VLOOKUP($B51,Rentroll!$C$37:$Z$60,11,FALSE)</f>
        <v>60</v>
      </c>
      <c r="G51" s="69">
        <f>VLOOKUP($B51,Rentroll!$C$37:$Z$60,13,FALSE)</f>
        <v>103000</v>
      </c>
      <c r="H51" s="69">
        <f>VLOOKUP($B51,Rentroll!$C$37:$Z$60,14,FALSE)</f>
        <v>90125</v>
      </c>
      <c r="I51" s="69">
        <f>VLOOKUP($B51,Rentroll!$C$37:$Z$60,15,FALSE)</f>
        <v>45000</v>
      </c>
      <c r="J51" s="82">
        <f>VLOOKUP($B51,Rentroll!$C$37:$Z$60,19,FALSE)</f>
        <v>0.03</v>
      </c>
      <c r="K51" s="83">
        <f>VLOOKUP($B51,Rentroll!$C$37:$Z$60,4,FALSE)</f>
        <v>1385.09</v>
      </c>
      <c r="L51" s="81">
        <f>VLOOKUP($B51,Rentroll!$C$37:$Z$60,17,FALSE)</f>
        <v>1</v>
      </c>
      <c r="M51" s="84">
        <f>VLOOKUP($B51,Rentroll!$C$37:$Z$60,18,FALSE)</f>
        <v>1.5</v>
      </c>
      <c r="O51" s="74">
        <f t="shared" si="37"/>
        <v>5</v>
      </c>
      <c r="P51" s="75"/>
      <c r="Q51" s="75"/>
      <c r="R51" s="75">
        <f t="shared" si="38"/>
        <v>0</v>
      </c>
      <c r="S51" s="75">
        <f t="shared" si="30"/>
        <v>1</v>
      </c>
      <c r="T51" s="75">
        <f t="shared" si="30"/>
        <v>1</v>
      </c>
      <c r="U51" s="75">
        <f t="shared" si="30"/>
        <v>1</v>
      </c>
      <c r="V51" s="75">
        <f t="shared" si="30"/>
        <v>1</v>
      </c>
      <c r="W51" s="75">
        <f t="shared" si="30"/>
        <v>1</v>
      </c>
      <c r="X51" s="75">
        <f t="shared" si="30"/>
        <v>1</v>
      </c>
      <c r="Y51" s="75">
        <f t="shared" si="30"/>
        <v>1</v>
      </c>
      <c r="Z51" s="75">
        <f t="shared" si="30"/>
        <v>1</v>
      </c>
      <c r="AA51" s="75">
        <f t="shared" si="30"/>
        <v>1</v>
      </c>
      <c r="AB51" s="75">
        <f t="shared" si="30"/>
        <v>1</v>
      </c>
      <c r="AC51" s="75">
        <f t="shared" si="30"/>
        <v>1</v>
      </c>
      <c r="AD51" s="75">
        <f t="shared" si="30"/>
        <v>1</v>
      </c>
      <c r="AE51" s="75">
        <f t="shared" si="30"/>
        <v>1</v>
      </c>
      <c r="AF51" s="75">
        <f t="shared" si="30"/>
        <v>1</v>
      </c>
      <c r="AG51" s="75">
        <f t="shared" si="30"/>
        <v>1</v>
      </c>
      <c r="AH51" s="75">
        <f t="shared" si="30"/>
        <v>1</v>
      </c>
      <c r="AI51" s="75">
        <f t="shared" si="31"/>
        <v>1</v>
      </c>
      <c r="AJ51" s="75">
        <f t="shared" si="31"/>
        <v>1</v>
      </c>
      <c r="AK51" s="75">
        <f t="shared" si="31"/>
        <v>1</v>
      </c>
      <c r="AL51" s="75">
        <f t="shared" si="31"/>
        <v>1</v>
      </c>
      <c r="AM51" s="75">
        <f t="shared" si="31"/>
        <v>1</v>
      </c>
      <c r="AN51" s="75">
        <f t="shared" si="31"/>
        <v>1</v>
      </c>
      <c r="AO51" s="75">
        <f t="shared" si="31"/>
        <v>1</v>
      </c>
      <c r="AP51" s="75">
        <f t="shared" si="31"/>
        <v>1</v>
      </c>
      <c r="AQ51" s="75">
        <f t="shared" si="31"/>
        <v>1</v>
      </c>
      <c r="AR51" s="75">
        <f t="shared" si="31"/>
        <v>1</v>
      </c>
      <c r="AS51" s="75">
        <f t="shared" si="31"/>
        <v>1</v>
      </c>
      <c r="AT51" s="75">
        <f t="shared" si="31"/>
        <v>1</v>
      </c>
      <c r="AU51" s="75">
        <f t="shared" si="31"/>
        <v>1</v>
      </c>
      <c r="AV51" s="75">
        <f t="shared" si="31"/>
        <v>1</v>
      </c>
      <c r="AW51" s="75">
        <f t="shared" si="31"/>
        <v>1</v>
      </c>
      <c r="AX51" s="75">
        <f t="shared" si="31"/>
        <v>1</v>
      </c>
      <c r="AY51" s="75">
        <f t="shared" si="32"/>
        <v>1</v>
      </c>
      <c r="AZ51" s="75">
        <f t="shared" si="32"/>
        <v>1</v>
      </c>
      <c r="BA51" s="75">
        <f t="shared" si="32"/>
        <v>1</v>
      </c>
      <c r="BB51" s="75">
        <f t="shared" si="32"/>
        <v>1</v>
      </c>
      <c r="BC51" s="75">
        <f t="shared" si="32"/>
        <v>1</v>
      </c>
      <c r="BD51" s="75">
        <f t="shared" si="32"/>
        <v>1</v>
      </c>
      <c r="BE51" s="75">
        <f t="shared" si="32"/>
        <v>1</v>
      </c>
      <c r="BF51" s="75">
        <f t="shared" si="32"/>
        <v>1</v>
      </c>
      <c r="BG51" s="75">
        <f t="shared" si="32"/>
        <v>1</v>
      </c>
      <c r="BH51" s="75">
        <f t="shared" si="32"/>
        <v>1</v>
      </c>
      <c r="BI51" s="75">
        <f t="shared" si="32"/>
        <v>1</v>
      </c>
      <c r="BJ51" s="75">
        <f t="shared" si="32"/>
        <v>1</v>
      </c>
      <c r="BK51" s="75">
        <f t="shared" si="32"/>
        <v>1</v>
      </c>
      <c r="BL51" s="75">
        <f t="shared" si="32"/>
        <v>1</v>
      </c>
      <c r="BM51" s="75">
        <f t="shared" si="32"/>
        <v>1</v>
      </c>
      <c r="BN51" s="75">
        <f t="shared" si="32"/>
        <v>1</v>
      </c>
      <c r="BO51" s="75">
        <f t="shared" si="33"/>
        <v>1</v>
      </c>
      <c r="BP51" s="75">
        <f t="shared" si="33"/>
        <v>1</v>
      </c>
      <c r="BQ51" s="75">
        <f t="shared" si="33"/>
        <v>1</v>
      </c>
      <c r="BR51" s="75">
        <f t="shared" si="33"/>
        <v>1</v>
      </c>
      <c r="BS51" s="75">
        <f t="shared" si="33"/>
        <v>1</v>
      </c>
      <c r="BT51" s="75">
        <f t="shared" si="33"/>
        <v>1</v>
      </c>
      <c r="BU51" s="75">
        <f t="shared" si="33"/>
        <v>1</v>
      </c>
      <c r="BV51" s="75">
        <f t="shared" si="33"/>
        <v>1</v>
      </c>
      <c r="BW51" s="75">
        <f t="shared" si="33"/>
        <v>1</v>
      </c>
      <c r="BX51" s="75">
        <f t="shared" si="33"/>
        <v>1</v>
      </c>
      <c r="BY51" s="75">
        <f t="shared" si="33"/>
        <v>1</v>
      </c>
      <c r="BZ51" s="75">
        <f t="shared" si="33"/>
        <v>1</v>
      </c>
      <c r="CA51" s="75">
        <f t="shared" si="33"/>
        <v>0</v>
      </c>
      <c r="CB51" s="75">
        <f t="shared" si="33"/>
        <v>0</v>
      </c>
      <c r="CC51" s="75">
        <f t="shared" si="33"/>
        <v>0</v>
      </c>
      <c r="CD51" s="75">
        <f t="shared" si="33"/>
        <v>0</v>
      </c>
      <c r="CE51" s="75">
        <f t="shared" si="34"/>
        <v>0</v>
      </c>
      <c r="CF51" s="75">
        <f t="shared" si="34"/>
        <v>0</v>
      </c>
      <c r="CG51" s="75">
        <f t="shared" si="34"/>
        <v>0</v>
      </c>
      <c r="CH51" s="75">
        <f t="shared" si="34"/>
        <v>0</v>
      </c>
      <c r="CI51" s="75">
        <f t="shared" si="34"/>
        <v>0</v>
      </c>
      <c r="CJ51" s="75">
        <f t="shared" si="34"/>
        <v>0</v>
      </c>
      <c r="CK51" s="75">
        <f t="shared" si="34"/>
        <v>0</v>
      </c>
      <c r="CL51" s="75">
        <f t="shared" si="34"/>
        <v>0</v>
      </c>
      <c r="CM51" s="75">
        <f t="shared" si="34"/>
        <v>0</v>
      </c>
      <c r="CN51" s="75">
        <f t="shared" si="34"/>
        <v>0</v>
      </c>
      <c r="CO51" s="75">
        <f t="shared" si="34"/>
        <v>0</v>
      </c>
      <c r="CP51" s="75">
        <f t="shared" si="34"/>
        <v>0</v>
      </c>
      <c r="CQ51" s="75">
        <f t="shared" si="34"/>
        <v>0</v>
      </c>
      <c r="CR51" s="75">
        <f t="shared" si="34"/>
        <v>0</v>
      </c>
      <c r="CS51" s="75">
        <f t="shared" si="34"/>
        <v>0</v>
      </c>
      <c r="CT51" s="75">
        <f t="shared" si="34"/>
        <v>0</v>
      </c>
      <c r="CU51" s="75">
        <f t="shared" si="35"/>
        <v>0</v>
      </c>
      <c r="CV51" s="75">
        <f t="shared" si="35"/>
        <v>0</v>
      </c>
      <c r="CW51" s="75">
        <f t="shared" si="35"/>
        <v>0</v>
      </c>
      <c r="CX51" s="75">
        <f t="shared" si="35"/>
        <v>0</v>
      </c>
      <c r="CY51" s="75">
        <f t="shared" si="35"/>
        <v>0</v>
      </c>
      <c r="CZ51" s="75">
        <f t="shared" si="35"/>
        <v>0</v>
      </c>
      <c r="DA51" s="75">
        <f t="shared" si="35"/>
        <v>0</v>
      </c>
      <c r="DB51" s="75">
        <f t="shared" si="35"/>
        <v>0</v>
      </c>
      <c r="DC51" s="75">
        <f t="shared" si="35"/>
        <v>0</v>
      </c>
      <c r="DD51" s="75">
        <f t="shared" si="35"/>
        <v>0</v>
      </c>
      <c r="DE51" s="75">
        <f t="shared" si="35"/>
        <v>0</v>
      </c>
      <c r="DF51" s="75">
        <f t="shared" si="35"/>
        <v>0</v>
      </c>
      <c r="DG51" s="75">
        <f t="shared" si="35"/>
        <v>0</v>
      </c>
      <c r="DH51" s="75">
        <f t="shared" si="35"/>
        <v>0</v>
      </c>
      <c r="DI51" s="75">
        <f t="shared" si="35"/>
        <v>0</v>
      </c>
      <c r="DJ51" s="75">
        <f t="shared" si="35"/>
        <v>0</v>
      </c>
      <c r="DK51" s="75">
        <f t="shared" si="36"/>
        <v>0</v>
      </c>
      <c r="DL51" s="75">
        <f t="shared" si="36"/>
        <v>0</v>
      </c>
    </row>
    <row r="52" spans="2:116">
      <c r="B52" s="27">
        <f>Rentroll!$C$50</f>
        <v>4</v>
      </c>
      <c r="C52" s="69" t="str">
        <f>VLOOKUP($B52,Rentroll!$C$37:$Z$60,3,FALSE)</f>
        <v>타이거로켓</v>
      </c>
      <c r="D52" s="80">
        <f>VLOOKUP($B52,Rentroll!$C$37:$Z$60,9,FALSE)</f>
        <v>45688</v>
      </c>
      <c r="E52" s="80">
        <f>VLOOKUP($B52,Rentroll!$C$37:$Z$60,10,FALSE)</f>
        <v>47514</v>
      </c>
      <c r="F52" s="81">
        <f>VLOOKUP($B52,Rentroll!$C$37:$Z$60,11,FALSE)</f>
        <v>60</v>
      </c>
      <c r="G52" s="69">
        <f>VLOOKUP($B52,Rentroll!$C$37:$Z$60,13,FALSE)</f>
        <v>103000</v>
      </c>
      <c r="H52" s="69">
        <f>VLOOKUP($B52,Rentroll!$C$37:$Z$60,14,FALSE)</f>
        <v>90125</v>
      </c>
      <c r="I52" s="69">
        <f>VLOOKUP($B52,Rentroll!$C$37:$Z$60,15,FALSE)</f>
        <v>45000</v>
      </c>
      <c r="J52" s="82">
        <f>VLOOKUP($B52,Rentroll!$C$37:$Z$60,19,FALSE)</f>
        <v>0.03</v>
      </c>
      <c r="K52" s="83">
        <f>VLOOKUP($B52,Rentroll!$C$37:$Z$60,4,FALSE)</f>
        <v>1385.09</v>
      </c>
      <c r="L52" s="81">
        <f>VLOOKUP($B52,Rentroll!$C$37:$Z$60,17,FALSE)</f>
        <v>1</v>
      </c>
      <c r="M52" s="84">
        <f>VLOOKUP($B52,Rentroll!$C$37:$Z$60,18,FALSE)</f>
        <v>1.5</v>
      </c>
      <c r="O52" s="74">
        <f t="shared" si="37"/>
        <v>4</v>
      </c>
      <c r="P52" s="75"/>
      <c r="Q52" s="75"/>
      <c r="R52" s="75">
        <f t="shared" si="38"/>
        <v>0</v>
      </c>
      <c r="S52" s="75">
        <f t="shared" si="30"/>
        <v>1</v>
      </c>
      <c r="T52" s="75">
        <f t="shared" si="30"/>
        <v>1</v>
      </c>
      <c r="U52" s="75">
        <f t="shared" si="30"/>
        <v>1</v>
      </c>
      <c r="V52" s="75">
        <f t="shared" si="30"/>
        <v>1</v>
      </c>
      <c r="W52" s="75">
        <f t="shared" si="30"/>
        <v>1</v>
      </c>
      <c r="X52" s="75">
        <f t="shared" si="30"/>
        <v>1</v>
      </c>
      <c r="Y52" s="75">
        <f t="shared" si="30"/>
        <v>1</v>
      </c>
      <c r="Z52" s="75">
        <f t="shared" si="30"/>
        <v>1</v>
      </c>
      <c r="AA52" s="75">
        <f t="shared" si="30"/>
        <v>1</v>
      </c>
      <c r="AB52" s="75">
        <f t="shared" si="30"/>
        <v>1</v>
      </c>
      <c r="AC52" s="75">
        <f t="shared" si="30"/>
        <v>1</v>
      </c>
      <c r="AD52" s="75">
        <f t="shared" si="30"/>
        <v>1</v>
      </c>
      <c r="AE52" s="75">
        <f t="shared" si="30"/>
        <v>1</v>
      </c>
      <c r="AF52" s="75">
        <f t="shared" si="30"/>
        <v>1</v>
      </c>
      <c r="AG52" s="75">
        <f t="shared" si="30"/>
        <v>1</v>
      </c>
      <c r="AH52" s="75">
        <f t="shared" si="30"/>
        <v>1</v>
      </c>
      <c r="AI52" s="75">
        <f t="shared" si="31"/>
        <v>1</v>
      </c>
      <c r="AJ52" s="75">
        <f t="shared" si="31"/>
        <v>1</v>
      </c>
      <c r="AK52" s="75">
        <f t="shared" si="31"/>
        <v>1</v>
      </c>
      <c r="AL52" s="75">
        <f t="shared" si="31"/>
        <v>1</v>
      </c>
      <c r="AM52" s="75">
        <f t="shared" si="31"/>
        <v>1</v>
      </c>
      <c r="AN52" s="75">
        <f t="shared" si="31"/>
        <v>1</v>
      </c>
      <c r="AO52" s="75">
        <f t="shared" si="31"/>
        <v>1</v>
      </c>
      <c r="AP52" s="75">
        <f t="shared" si="31"/>
        <v>1</v>
      </c>
      <c r="AQ52" s="75">
        <f t="shared" si="31"/>
        <v>1</v>
      </c>
      <c r="AR52" s="75">
        <f t="shared" si="31"/>
        <v>1</v>
      </c>
      <c r="AS52" s="75">
        <f t="shared" si="31"/>
        <v>1</v>
      </c>
      <c r="AT52" s="75">
        <f t="shared" si="31"/>
        <v>1</v>
      </c>
      <c r="AU52" s="75">
        <f t="shared" si="31"/>
        <v>1</v>
      </c>
      <c r="AV52" s="75">
        <f t="shared" si="31"/>
        <v>1</v>
      </c>
      <c r="AW52" s="75">
        <f t="shared" si="31"/>
        <v>1</v>
      </c>
      <c r="AX52" s="75">
        <f t="shared" si="31"/>
        <v>1</v>
      </c>
      <c r="AY52" s="75">
        <f t="shared" si="32"/>
        <v>1</v>
      </c>
      <c r="AZ52" s="75">
        <f t="shared" si="32"/>
        <v>1</v>
      </c>
      <c r="BA52" s="75">
        <f t="shared" si="32"/>
        <v>1</v>
      </c>
      <c r="BB52" s="75">
        <f t="shared" si="32"/>
        <v>1</v>
      </c>
      <c r="BC52" s="75">
        <f t="shared" si="32"/>
        <v>1</v>
      </c>
      <c r="BD52" s="75">
        <f t="shared" si="32"/>
        <v>1</v>
      </c>
      <c r="BE52" s="75">
        <f t="shared" si="32"/>
        <v>1</v>
      </c>
      <c r="BF52" s="75">
        <f t="shared" si="32"/>
        <v>1</v>
      </c>
      <c r="BG52" s="75">
        <f t="shared" si="32"/>
        <v>1</v>
      </c>
      <c r="BH52" s="75">
        <f t="shared" si="32"/>
        <v>1</v>
      </c>
      <c r="BI52" s="75">
        <f t="shared" si="32"/>
        <v>1</v>
      </c>
      <c r="BJ52" s="75">
        <f t="shared" si="32"/>
        <v>1</v>
      </c>
      <c r="BK52" s="75">
        <f t="shared" si="32"/>
        <v>1</v>
      </c>
      <c r="BL52" s="75">
        <f t="shared" si="32"/>
        <v>1</v>
      </c>
      <c r="BM52" s="75">
        <f t="shared" si="32"/>
        <v>1</v>
      </c>
      <c r="BN52" s="75">
        <f t="shared" si="32"/>
        <v>1</v>
      </c>
      <c r="BO52" s="75">
        <f t="shared" si="33"/>
        <v>1</v>
      </c>
      <c r="BP52" s="75">
        <f t="shared" si="33"/>
        <v>1</v>
      </c>
      <c r="BQ52" s="75">
        <f t="shared" si="33"/>
        <v>1</v>
      </c>
      <c r="BR52" s="75">
        <f t="shared" si="33"/>
        <v>1</v>
      </c>
      <c r="BS52" s="75">
        <f t="shared" si="33"/>
        <v>1</v>
      </c>
      <c r="BT52" s="75">
        <f t="shared" si="33"/>
        <v>1</v>
      </c>
      <c r="BU52" s="75">
        <f t="shared" si="33"/>
        <v>1</v>
      </c>
      <c r="BV52" s="75">
        <f t="shared" si="33"/>
        <v>1</v>
      </c>
      <c r="BW52" s="75">
        <f t="shared" si="33"/>
        <v>1</v>
      </c>
      <c r="BX52" s="75">
        <f t="shared" si="33"/>
        <v>1</v>
      </c>
      <c r="BY52" s="75">
        <f t="shared" si="33"/>
        <v>1</v>
      </c>
      <c r="BZ52" s="75">
        <f t="shared" si="33"/>
        <v>1</v>
      </c>
      <c r="CA52" s="75">
        <f t="shared" si="33"/>
        <v>0</v>
      </c>
      <c r="CB52" s="75">
        <f t="shared" si="33"/>
        <v>0</v>
      </c>
      <c r="CC52" s="75">
        <f t="shared" si="33"/>
        <v>0</v>
      </c>
      <c r="CD52" s="75">
        <f t="shared" si="33"/>
        <v>0</v>
      </c>
      <c r="CE52" s="75">
        <f t="shared" si="34"/>
        <v>0</v>
      </c>
      <c r="CF52" s="75">
        <f t="shared" si="34"/>
        <v>0</v>
      </c>
      <c r="CG52" s="75">
        <f t="shared" si="34"/>
        <v>0</v>
      </c>
      <c r="CH52" s="75">
        <f t="shared" si="34"/>
        <v>0</v>
      </c>
      <c r="CI52" s="75">
        <f t="shared" si="34"/>
        <v>0</v>
      </c>
      <c r="CJ52" s="75">
        <f t="shared" si="34"/>
        <v>0</v>
      </c>
      <c r="CK52" s="75">
        <f t="shared" si="34"/>
        <v>0</v>
      </c>
      <c r="CL52" s="75">
        <f t="shared" si="34"/>
        <v>0</v>
      </c>
      <c r="CM52" s="75">
        <f t="shared" si="34"/>
        <v>0</v>
      </c>
      <c r="CN52" s="75">
        <f t="shared" si="34"/>
        <v>0</v>
      </c>
      <c r="CO52" s="75">
        <f t="shared" si="34"/>
        <v>0</v>
      </c>
      <c r="CP52" s="75">
        <f t="shared" si="34"/>
        <v>0</v>
      </c>
      <c r="CQ52" s="75">
        <f t="shared" si="34"/>
        <v>0</v>
      </c>
      <c r="CR52" s="75">
        <f t="shared" si="34"/>
        <v>0</v>
      </c>
      <c r="CS52" s="75">
        <f t="shared" si="34"/>
        <v>0</v>
      </c>
      <c r="CT52" s="75">
        <f t="shared" si="34"/>
        <v>0</v>
      </c>
      <c r="CU52" s="75">
        <f t="shared" si="35"/>
        <v>0</v>
      </c>
      <c r="CV52" s="75">
        <f t="shared" si="35"/>
        <v>0</v>
      </c>
      <c r="CW52" s="75">
        <f t="shared" si="35"/>
        <v>0</v>
      </c>
      <c r="CX52" s="75">
        <f t="shared" si="35"/>
        <v>0</v>
      </c>
      <c r="CY52" s="75">
        <f t="shared" si="35"/>
        <v>0</v>
      </c>
      <c r="CZ52" s="75">
        <f t="shared" si="35"/>
        <v>0</v>
      </c>
      <c r="DA52" s="75">
        <f t="shared" si="35"/>
        <v>0</v>
      </c>
      <c r="DB52" s="75">
        <f t="shared" si="35"/>
        <v>0</v>
      </c>
      <c r="DC52" s="75">
        <f t="shared" si="35"/>
        <v>0</v>
      </c>
      <c r="DD52" s="75">
        <f t="shared" si="35"/>
        <v>0</v>
      </c>
      <c r="DE52" s="75">
        <f t="shared" si="35"/>
        <v>0</v>
      </c>
      <c r="DF52" s="75">
        <f t="shared" si="35"/>
        <v>0</v>
      </c>
      <c r="DG52" s="75">
        <f t="shared" si="35"/>
        <v>0</v>
      </c>
      <c r="DH52" s="75">
        <f t="shared" si="35"/>
        <v>0</v>
      </c>
      <c r="DI52" s="75">
        <f t="shared" si="35"/>
        <v>0</v>
      </c>
      <c r="DJ52" s="75">
        <f t="shared" si="35"/>
        <v>0</v>
      </c>
      <c r="DK52" s="75">
        <f t="shared" si="36"/>
        <v>0</v>
      </c>
      <c r="DL52" s="75">
        <f t="shared" si="36"/>
        <v>0</v>
      </c>
    </row>
    <row r="53" spans="2:116">
      <c r="B53" s="27">
        <f>Rentroll!$C$51</f>
        <v>3</v>
      </c>
      <c r="C53" s="69" t="str">
        <f>VLOOKUP($B53,Rentroll!$C$37:$Z$60,3,FALSE)</f>
        <v>타이거로켓</v>
      </c>
      <c r="D53" s="80">
        <f>VLOOKUP($B53,Rentroll!$C$37:$Z$60,9,FALSE)</f>
        <v>45688</v>
      </c>
      <c r="E53" s="80">
        <f>VLOOKUP($B53,Rentroll!$C$37:$Z$60,10,FALSE)</f>
        <v>47514</v>
      </c>
      <c r="F53" s="81">
        <f>VLOOKUP($B53,Rentroll!$C$37:$Z$60,11,FALSE)</f>
        <v>60</v>
      </c>
      <c r="G53" s="69">
        <f>VLOOKUP($B53,Rentroll!$C$37:$Z$60,13,FALSE)</f>
        <v>103000</v>
      </c>
      <c r="H53" s="69">
        <f>VLOOKUP($B53,Rentroll!$C$37:$Z$60,14,FALSE)</f>
        <v>90125</v>
      </c>
      <c r="I53" s="69">
        <f>VLOOKUP($B53,Rentroll!$C$37:$Z$60,15,FALSE)</f>
        <v>45000</v>
      </c>
      <c r="J53" s="82">
        <f>VLOOKUP($B53,Rentroll!$C$37:$Z$60,19,FALSE)</f>
        <v>0.03</v>
      </c>
      <c r="K53" s="83">
        <f>VLOOKUP($B53,Rentroll!$C$37:$Z$60,4,FALSE)</f>
        <v>1385.09</v>
      </c>
      <c r="L53" s="81">
        <f>VLOOKUP($B53,Rentroll!$C$37:$Z$60,17,FALSE)</f>
        <v>1</v>
      </c>
      <c r="M53" s="84">
        <f>VLOOKUP($B53,Rentroll!$C$37:$Z$60,18,FALSE)</f>
        <v>1.5</v>
      </c>
      <c r="O53" s="74">
        <f t="shared" si="37"/>
        <v>3</v>
      </c>
      <c r="P53" s="75"/>
      <c r="Q53" s="75"/>
      <c r="R53" s="75">
        <f t="shared" si="38"/>
        <v>0</v>
      </c>
      <c r="S53" s="75">
        <f t="shared" si="30"/>
        <v>1</v>
      </c>
      <c r="T53" s="75">
        <f t="shared" si="30"/>
        <v>1</v>
      </c>
      <c r="U53" s="75">
        <f t="shared" si="30"/>
        <v>1</v>
      </c>
      <c r="V53" s="75">
        <f t="shared" si="30"/>
        <v>1</v>
      </c>
      <c r="W53" s="75">
        <f t="shared" si="30"/>
        <v>1</v>
      </c>
      <c r="X53" s="75">
        <f t="shared" si="30"/>
        <v>1</v>
      </c>
      <c r="Y53" s="75">
        <f t="shared" si="30"/>
        <v>1</v>
      </c>
      <c r="Z53" s="75">
        <f t="shared" si="30"/>
        <v>1</v>
      </c>
      <c r="AA53" s="75">
        <f t="shared" si="30"/>
        <v>1</v>
      </c>
      <c r="AB53" s="75">
        <f t="shared" si="30"/>
        <v>1</v>
      </c>
      <c r="AC53" s="75">
        <f t="shared" si="30"/>
        <v>1</v>
      </c>
      <c r="AD53" s="75">
        <f t="shared" si="30"/>
        <v>1</v>
      </c>
      <c r="AE53" s="75">
        <f t="shared" si="30"/>
        <v>1</v>
      </c>
      <c r="AF53" s="75">
        <f t="shared" si="30"/>
        <v>1</v>
      </c>
      <c r="AG53" s="75">
        <f t="shared" si="30"/>
        <v>1</v>
      </c>
      <c r="AH53" s="75">
        <f t="shared" si="30"/>
        <v>1</v>
      </c>
      <c r="AI53" s="75">
        <f t="shared" si="31"/>
        <v>1</v>
      </c>
      <c r="AJ53" s="75">
        <f t="shared" si="31"/>
        <v>1</v>
      </c>
      <c r="AK53" s="75">
        <f t="shared" si="31"/>
        <v>1</v>
      </c>
      <c r="AL53" s="75">
        <f t="shared" si="31"/>
        <v>1</v>
      </c>
      <c r="AM53" s="75">
        <f t="shared" si="31"/>
        <v>1</v>
      </c>
      <c r="AN53" s="75">
        <f t="shared" si="31"/>
        <v>1</v>
      </c>
      <c r="AO53" s="75">
        <f t="shared" si="31"/>
        <v>1</v>
      </c>
      <c r="AP53" s="75">
        <f t="shared" si="31"/>
        <v>1</v>
      </c>
      <c r="AQ53" s="75">
        <f t="shared" si="31"/>
        <v>1</v>
      </c>
      <c r="AR53" s="75">
        <f t="shared" si="31"/>
        <v>1</v>
      </c>
      <c r="AS53" s="75">
        <f t="shared" si="31"/>
        <v>1</v>
      </c>
      <c r="AT53" s="75">
        <f t="shared" si="31"/>
        <v>1</v>
      </c>
      <c r="AU53" s="75">
        <f t="shared" si="31"/>
        <v>1</v>
      </c>
      <c r="AV53" s="75">
        <f t="shared" si="31"/>
        <v>1</v>
      </c>
      <c r="AW53" s="75">
        <f t="shared" si="31"/>
        <v>1</v>
      </c>
      <c r="AX53" s="75">
        <f t="shared" si="31"/>
        <v>1</v>
      </c>
      <c r="AY53" s="75">
        <f t="shared" si="32"/>
        <v>1</v>
      </c>
      <c r="AZ53" s="75">
        <f t="shared" si="32"/>
        <v>1</v>
      </c>
      <c r="BA53" s="75">
        <f t="shared" si="32"/>
        <v>1</v>
      </c>
      <c r="BB53" s="75">
        <f t="shared" si="32"/>
        <v>1</v>
      </c>
      <c r="BC53" s="75">
        <f t="shared" si="32"/>
        <v>1</v>
      </c>
      <c r="BD53" s="75">
        <f t="shared" si="32"/>
        <v>1</v>
      </c>
      <c r="BE53" s="75">
        <f t="shared" si="32"/>
        <v>1</v>
      </c>
      <c r="BF53" s="75">
        <f t="shared" si="32"/>
        <v>1</v>
      </c>
      <c r="BG53" s="75">
        <f t="shared" si="32"/>
        <v>1</v>
      </c>
      <c r="BH53" s="75">
        <f t="shared" si="32"/>
        <v>1</v>
      </c>
      <c r="BI53" s="75">
        <f t="shared" si="32"/>
        <v>1</v>
      </c>
      <c r="BJ53" s="75">
        <f t="shared" si="32"/>
        <v>1</v>
      </c>
      <c r="BK53" s="75">
        <f t="shared" si="32"/>
        <v>1</v>
      </c>
      <c r="BL53" s="75">
        <f t="shared" si="32"/>
        <v>1</v>
      </c>
      <c r="BM53" s="75">
        <f t="shared" si="32"/>
        <v>1</v>
      </c>
      <c r="BN53" s="75">
        <f t="shared" si="32"/>
        <v>1</v>
      </c>
      <c r="BO53" s="75">
        <f t="shared" si="33"/>
        <v>1</v>
      </c>
      <c r="BP53" s="75">
        <f t="shared" si="33"/>
        <v>1</v>
      </c>
      <c r="BQ53" s="75">
        <f t="shared" si="33"/>
        <v>1</v>
      </c>
      <c r="BR53" s="75">
        <f t="shared" si="33"/>
        <v>1</v>
      </c>
      <c r="BS53" s="75">
        <f t="shared" si="33"/>
        <v>1</v>
      </c>
      <c r="BT53" s="75">
        <f t="shared" si="33"/>
        <v>1</v>
      </c>
      <c r="BU53" s="75">
        <f t="shared" si="33"/>
        <v>1</v>
      </c>
      <c r="BV53" s="75">
        <f t="shared" si="33"/>
        <v>1</v>
      </c>
      <c r="BW53" s="75">
        <f t="shared" si="33"/>
        <v>1</v>
      </c>
      <c r="BX53" s="75">
        <f t="shared" si="33"/>
        <v>1</v>
      </c>
      <c r="BY53" s="75">
        <f t="shared" si="33"/>
        <v>1</v>
      </c>
      <c r="BZ53" s="75">
        <f t="shared" si="33"/>
        <v>1</v>
      </c>
      <c r="CA53" s="75">
        <f t="shared" si="33"/>
        <v>0</v>
      </c>
      <c r="CB53" s="75">
        <f t="shared" si="33"/>
        <v>0</v>
      </c>
      <c r="CC53" s="75">
        <f t="shared" si="33"/>
        <v>0</v>
      </c>
      <c r="CD53" s="75">
        <f t="shared" si="33"/>
        <v>0</v>
      </c>
      <c r="CE53" s="75">
        <f t="shared" si="34"/>
        <v>0</v>
      </c>
      <c r="CF53" s="75">
        <f t="shared" si="34"/>
        <v>0</v>
      </c>
      <c r="CG53" s="75">
        <f t="shared" si="34"/>
        <v>0</v>
      </c>
      <c r="CH53" s="75">
        <f t="shared" si="34"/>
        <v>0</v>
      </c>
      <c r="CI53" s="75">
        <f t="shared" si="34"/>
        <v>0</v>
      </c>
      <c r="CJ53" s="75">
        <f t="shared" si="34"/>
        <v>0</v>
      </c>
      <c r="CK53" s="75">
        <f t="shared" si="34"/>
        <v>0</v>
      </c>
      <c r="CL53" s="75">
        <f t="shared" si="34"/>
        <v>0</v>
      </c>
      <c r="CM53" s="75">
        <f t="shared" si="34"/>
        <v>0</v>
      </c>
      <c r="CN53" s="75">
        <f t="shared" si="34"/>
        <v>0</v>
      </c>
      <c r="CO53" s="75">
        <f t="shared" si="34"/>
        <v>0</v>
      </c>
      <c r="CP53" s="75">
        <f t="shared" si="34"/>
        <v>0</v>
      </c>
      <c r="CQ53" s="75">
        <f t="shared" si="34"/>
        <v>0</v>
      </c>
      <c r="CR53" s="75">
        <f t="shared" si="34"/>
        <v>0</v>
      </c>
      <c r="CS53" s="75">
        <f t="shared" si="34"/>
        <v>0</v>
      </c>
      <c r="CT53" s="75">
        <f t="shared" si="34"/>
        <v>0</v>
      </c>
      <c r="CU53" s="75">
        <f t="shared" si="35"/>
        <v>0</v>
      </c>
      <c r="CV53" s="75">
        <f t="shared" si="35"/>
        <v>0</v>
      </c>
      <c r="CW53" s="75">
        <f t="shared" si="35"/>
        <v>0</v>
      </c>
      <c r="CX53" s="75">
        <f t="shared" si="35"/>
        <v>0</v>
      </c>
      <c r="CY53" s="75">
        <f t="shared" si="35"/>
        <v>0</v>
      </c>
      <c r="CZ53" s="75">
        <f t="shared" si="35"/>
        <v>0</v>
      </c>
      <c r="DA53" s="75">
        <f t="shared" si="35"/>
        <v>0</v>
      </c>
      <c r="DB53" s="75">
        <f t="shared" si="35"/>
        <v>0</v>
      </c>
      <c r="DC53" s="75">
        <f t="shared" si="35"/>
        <v>0</v>
      </c>
      <c r="DD53" s="75">
        <f t="shared" si="35"/>
        <v>0</v>
      </c>
      <c r="DE53" s="75">
        <f t="shared" si="35"/>
        <v>0</v>
      </c>
      <c r="DF53" s="75">
        <f t="shared" si="35"/>
        <v>0</v>
      </c>
      <c r="DG53" s="75">
        <f t="shared" si="35"/>
        <v>0</v>
      </c>
      <c r="DH53" s="75">
        <f t="shared" si="35"/>
        <v>0</v>
      </c>
      <c r="DI53" s="75">
        <f t="shared" si="35"/>
        <v>0</v>
      </c>
      <c r="DJ53" s="75">
        <f t="shared" si="35"/>
        <v>0</v>
      </c>
      <c r="DK53" s="75">
        <f t="shared" si="36"/>
        <v>0</v>
      </c>
      <c r="DL53" s="75">
        <f t="shared" si="36"/>
        <v>0</v>
      </c>
    </row>
    <row r="54" spans="2:116">
      <c r="B54" s="27" t="str">
        <f>Rentroll!$C$52</f>
        <v>201호</v>
      </c>
      <c r="C54" s="69" t="str">
        <f>VLOOKUP($B54,Rentroll!$C$37:$Z$60,3,FALSE)</f>
        <v>RMW CARNE</v>
      </c>
      <c r="D54" s="80">
        <f>VLOOKUP($B54,Rentroll!$C$37:$Z$60,9,FALSE)</f>
        <v>45747</v>
      </c>
      <c r="E54" s="80">
        <f>VLOOKUP($B54,Rentroll!$C$37:$Z$60,10,FALSE)</f>
        <v>47573</v>
      </c>
      <c r="F54" s="81">
        <f>VLOOKUP($B54,Rentroll!$C$37:$Z$60,11,FALSE)</f>
        <v>60</v>
      </c>
      <c r="G54" s="69">
        <f>VLOOKUP($B54,Rentroll!$C$37:$Z$60,13,FALSE)</f>
        <v>130000</v>
      </c>
      <c r="H54" s="69">
        <f>VLOOKUP($B54,Rentroll!$C$37:$Z$60,14,FALSE)</f>
        <v>130000</v>
      </c>
      <c r="I54" s="69">
        <f>VLOOKUP($B54,Rentroll!$C$37:$Z$60,15,FALSE)</f>
        <v>45000</v>
      </c>
      <c r="J54" s="82">
        <f>VLOOKUP($B54,Rentroll!$C$37:$Z$60,19,FALSE)</f>
        <v>0.03</v>
      </c>
      <c r="K54" s="83">
        <f>VLOOKUP($B54,Rentroll!$C$37:$Z$60,4,FALSE)</f>
        <v>346.27249999999998</v>
      </c>
      <c r="L54" s="81">
        <f>VLOOKUP($B54,Rentroll!$C$37:$Z$60,17,FALSE)</f>
        <v>2</v>
      </c>
      <c r="M54" s="84">
        <f>VLOOKUP($B54,Rentroll!$C$37:$Z$60,18,FALSE)</f>
        <v>0</v>
      </c>
      <c r="O54" s="74" t="str">
        <f t="shared" si="37"/>
        <v>201호</v>
      </c>
      <c r="P54" s="75"/>
      <c r="Q54" s="75"/>
      <c r="R54" s="75">
        <f t="shared" si="38"/>
        <v>0</v>
      </c>
      <c r="S54" s="75">
        <f t="shared" si="30"/>
        <v>0</v>
      </c>
      <c r="T54" s="75">
        <f t="shared" si="30"/>
        <v>0</v>
      </c>
      <c r="U54" s="75">
        <f t="shared" si="30"/>
        <v>1</v>
      </c>
      <c r="V54" s="75">
        <f t="shared" si="30"/>
        <v>1</v>
      </c>
      <c r="W54" s="75">
        <f t="shared" si="30"/>
        <v>1</v>
      </c>
      <c r="X54" s="75">
        <f t="shared" si="30"/>
        <v>1</v>
      </c>
      <c r="Y54" s="75">
        <f t="shared" si="30"/>
        <v>1</v>
      </c>
      <c r="Z54" s="75">
        <f t="shared" si="30"/>
        <v>1</v>
      </c>
      <c r="AA54" s="75">
        <f t="shared" si="30"/>
        <v>1</v>
      </c>
      <c r="AB54" s="75">
        <f t="shared" si="30"/>
        <v>1</v>
      </c>
      <c r="AC54" s="75">
        <f t="shared" si="30"/>
        <v>1</v>
      </c>
      <c r="AD54" s="75">
        <f t="shared" si="30"/>
        <v>1</v>
      </c>
      <c r="AE54" s="75">
        <f t="shared" si="30"/>
        <v>1</v>
      </c>
      <c r="AF54" s="75">
        <f t="shared" si="30"/>
        <v>1</v>
      </c>
      <c r="AG54" s="75">
        <f t="shared" si="30"/>
        <v>1</v>
      </c>
      <c r="AH54" s="75">
        <f t="shared" ref="AH54:AW62" si="39">(AH$14&gt;$D54)*(AH$14&lt;=$E54)*AH$11*1</f>
        <v>1</v>
      </c>
      <c r="AI54" s="75">
        <f t="shared" si="31"/>
        <v>1</v>
      </c>
      <c r="AJ54" s="75">
        <f t="shared" si="31"/>
        <v>1</v>
      </c>
      <c r="AK54" s="75">
        <f t="shared" si="31"/>
        <v>1</v>
      </c>
      <c r="AL54" s="75">
        <f t="shared" si="31"/>
        <v>1</v>
      </c>
      <c r="AM54" s="75">
        <f t="shared" si="31"/>
        <v>1</v>
      </c>
      <c r="AN54" s="75">
        <f t="shared" si="31"/>
        <v>1</v>
      </c>
      <c r="AO54" s="75">
        <f t="shared" si="31"/>
        <v>1</v>
      </c>
      <c r="AP54" s="75">
        <f t="shared" si="31"/>
        <v>1</v>
      </c>
      <c r="AQ54" s="75">
        <f t="shared" si="31"/>
        <v>1</v>
      </c>
      <c r="AR54" s="75">
        <f t="shared" si="31"/>
        <v>1</v>
      </c>
      <c r="AS54" s="75">
        <f t="shared" si="31"/>
        <v>1</v>
      </c>
      <c r="AT54" s="75">
        <f t="shared" si="31"/>
        <v>1</v>
      </c>
      <c r="AU54" s="75">
        <f t="shared" si="31"/>
        <v>1</v>
      </c>
      <c r="AV54" s="75">
        <f t="shared" si="31"/>
        <v>1</v>
      </c>
      <c r="AW54" s="75">
        <f t="shared" si="31"/>
        <v>1</v>
      </c>
      <c r="AX54" s="75">
        <f t="shared" ref="AX54:BM62" si="40">(AX$14&gt;$D54)*(AX$14&lt;=$E54)*AX$11*1</f>
        <v>1</v>
      </c>
      <c r="AY54" s="75">
        <f t="shared" si="32"/>
        <v>1</v>
      </c>
      <c r="AZ54" s="75">
        <f t="shared" si="32"/>
        <v>1</v>
      </c>
      <c r="BA54" s="75">
        <f t="shared" si="32"/>
        <v>1</v>
      </c>
      <c r="BB54" s="75">
        <f t="shared" si="32"/>
        <v>1</v>
      </c>
      <c r="BC54" s="75">
        <f t="shared" si="32"/>
        <v>1</v>
      </c>
      <c r="BD54" s="75">
        <f t="shared" si="32"/>
        <v>1</v>
      </c>
      <c r="BE54" s="75">
        <f t="shared" si="32"/>
        <v>1</v>
      </c>
      <c r="BF54" s="75">
        <f t="shared" si="32"/>
        <v>1</v>
      </c>
      <c r="BG54" s="75">
        <f t="shared" si="32"/>
        <v>1</v>
      </c>
      <c r="BH54" s="75">
        <f t="shared" si="32"/>
        <v>1</v>
      </c>
      <c r="BI54" s="75">
        <f t="shared" si="32"/>
        <v>1</v>
      </c>
      <c r="BJ54" s="75">
        <f t="shared" si="32"/>
        <v>1</v>
      </c>
      <c r="BK54" s="75">
        <f t="shared" si="32"/>
        <v>1</v>
      </c>
      <c r="BL54" s="75">
        <f t="shared" si="32"/>
        <v>1</v>
      </c>
      <c r="BM54" s="75">
        <f t="shared" si="32"/>
        <v>1</v>
      </c>
      <c r="BN54" s="75">
        <f t="shared" ref="BN54:CC62" si="41">(BN$14&gt;$D54)*(BN$14&lt;=$E54)*BN$11*1</f>
        <v>1</v>
      </c>
      <c r="BO54" s="75">
        <f t="shared" si="33"/>
        <v>1</v>
      </c>
      <c r="BP54" s="75">
        <f t="shared" si="33"/>
        <v>1</v>
      </c>
      <c r="BQ54" s="75">
        <f t="shared" si="33"/>
        <v>1</v>
      </c>
      <c r="BR54" s="75">
        <f t="shared" si="33"/>
        <v>1</v>
      </c>
      <c r="BS54" s="75">
        <f t="shared" si="33"/>
        <v>1</v>
      </c>
      <c r="BT54" s="75">
        <f t="shared" si="33"/>
        <v>1</v>
      </c>
      <c r="BU54" s="75">
        <f t="shared" si="33"/>
        <v>1</v>
      </c>
      <c r="BV54" s="75">
        <f t="shared" si="33"/>
        <v>1</v>
      </c>
      <c r="BW54" s="75">
        <f t="shared" si="33"/>
        <v>1</v>
      </c>
      <c r="BX54" s="75">
        <f t="shared" si="33"/>
        <v>1</v>
      </c>
      <c r="BY54" s="75">
        <f t="shared" si="33"/>
        <v>1</v>
      </c>
      <c r="BZ54" s="75">
        <f t="shared" si="33"/>
        <v>1</v>
      </c>
      <c r="CA54" s="75">
        <f t="shared" si="33"/>
        <v>0</v>
      </c>
      <c r="CB54" s="75">
        <f t="shared" si="33"/>
        <v>0</v>
      </c>
      <c r="CC54" s="75">
        <f t="shared" si="33"/>
        <v>0</v>
      </c>
      <c r="CD54" s="75">
        <f t="shared" ref="CD54:CS62" si="42">(CD$14&gt;$D54)*(CD$14&lt;=$E54)*CD$11*1</f>
        <v>0</v>
      </c>
      <c r="CE54" s="75">
        <f t="shared" si="34"/>
        <v>0</v>
      </c>
      <c r="CF54" s="75">
        <f t="shared" si="34"/>
        <v>0</v>
      </c>
      <c r="CG54" s="75">
        <f t="shared" si="34"/>
        <v>0</v>
      </c>
      <c r="CH54" s="75">
        <f t="shared" si="34"/>
        <v>0</v>
      </c>
      <c r="CI54" s="75">
        <f t="shared" si="34"/>
        <v>0</v>
      </c>
      <c r="CJ54" s="75">
        <f t="shared" si="34"/>
        <v>0</v>
      </c>
      <c r="CK54" s="75">
        <f t="shared" si="34"/>
        <v>0</v>
      </c>
      <c r="CL54" s="75">
        <f t="shared" si="34"/>
        <v>0</v>
      </c>
      <c r="CM54" s="75">
        <f t="shared" si="34"/>
        <v>0</v>
      </c>
      <c r="CN54" s="75">
        <f t="shared" si="34"/>
        <v>0</v>
      </c>
      <c r="CO54" s="75">
        <f t="shared" si="34"/>
        <v>0</v>
      </c>
      <c r="CP54" s="75">
        <f t="shared" si="34"/>
        <v>0</v>
      </c>
      <c r="CQ54" s="75">
        <f t="shared" si="34"/>
        <v>0</v>
      </c>
      <c r="CR54" s="75">
        <f t="shared" si="34"/>
        <v>0</v>
      </c>
      <c r="CS54" s="75">
        <f t="shared" si="34"/>
        <v>0</v>
      </c>
      <c r="CT54" s="75">
        <f t="shared" ref="CT54:DI62" si="43">(CT$14&gt;$D54)*(CT$14&lt;=$E54)*CT$11*1</f>
        <v>0</v>
      </c>
      <c r="CU54" s="75">
        <f t="shared" si="35"/>
        <v>0</v>
      </c>
      <c r="CV54" s="75">
        <f t="shared" si="35"/>
        <v>0</v>
      </c>
      <c r="CW54" s="75">
        <f t="shared" si="35"/>
        <v>0</v>
      </c>
      <c r="CX54" s="75">
        <f t="shared" si="35"/>
        <v>0</v>
      </c>
      <c r="CY54" s="75">
        <f t="shared" si="35"/>
        <v>0</v>
      </c>
      <c r="CZ54" s="75">
        <f t="shared" si="35"/>
        <v>0</v>
      </c>
      <c r="DA54" s="75">
        <f t="shared" si="35"/>
        <v>0</v>
      </c>
      <c r="DB54" s="75">
        <f t="shared" si="35"/>
        <v>0</v>
      </c>
      <c r="DC54" s="75">
        <f t="shared" si="35"/>
        <v>0</v>
      </c>
      <c r="DD54" s="75">
        <f t="shared" si="35"/>
        <v>0</v>
      </c>
      <c r="DE54" s="75">
        <f t="shared" si="35"/>
        <v>0</v>
      </c>
      <c r="DF54" s="75">
        <f t="shared" si="35"/>
        <v>0</v>
      </c>
      <c r="DG54" s="75">
        <f t="shared" si="35"/>
        <v>0</v>
      </c>
      <c r="DH54" s="75">
        <f t="shared" si="35"/>
        <v>0</v>
      </c>
      <c r="DI54" s="75">
        <f t="shared" si="35"/>
        <v>0</v>
      </c>
      <c r="DJ54" s="75">
        <f t="shared" ref="DJ54:DJ62" si="44">(DJ$14&gt;$D54)*(DJ$14&lt;=$E54)*DJ$11*1</f>
        <v>0</v>
      </c>
      <c r="DK54" s="75">
        <f t="shared" si="36"/>
        <v>0</v>
      </c>
      <c r="DL54" s="75">
        <f t="shared" si="36"/>
        <v>0</v>
      </c>
    </row>
    <row r="55" spans="2:116">
      <c r="B55" s="27" t="str">
        <f>Rentroll!$C$53</f>
        <v>202호</v>
      </c>
      <c r="C55" s="69" t="str">
        <f>VLOOKUP($B55,Rentroll!$C$37:$Z$60,3,FALSE)</f>
        <v>키이로</v>
      </c>
      <c r="D55" s="80">
        <f>VLOOKUP($B55,Rentroll!$C$37:$Z$60,9,FALSE)</f>
        <v>45747</v>
      </c>
      <c r="E55" s="80">
        <f>VLOOKUP($B55,Rentroll!$C$37:$Z$60,10,FALSE)</f>
        <v>47573</v>
      </c>
      <c r="F55" s="81">
        <f>VLOOKUP($B55,Rentroll!$C$37:$Z$60,11,FALSE)</f>
        <v>60</v>
      </c>
      <c r="G55" s="69">
        <f>VLOOKUP($B55,Rentroll!$C$37:$Z$60,13,FALSE)</f>
        <v>130000</v>
      </c>
      <c r="H55" s="69">
        <f>VLOOKUP($B55,Rentroll!$C$37:$Z$60,14,FALSE)</f>
        <v>130000</v>
      </c>
      <c r="I55" s="69">
        <f>VLOOKUP($B55,Rentroll!$C$37:$Z$60,15,FALSE)</f>
        <v>45000</v>
      </c>
      <c r="J55" s="82">
        <f>VLOOKUP($B55,Rentroll!$C$37:$Z$60,19,FALSE)</f>
        <v>0.03</v>
      </c>
      <c r="K55" s="83">
        <f>VLOOKUP($B55,Rentroll!$C$37:$Z$60,4,FALSE)</f>
        <v>346.27249999999998</v>
      </c>
      <c r="L55" s="81">
        <f>VLOOKUP($B55,Rentroll!$C$37:$Z$60,17,FALSE)</f>
        <v>2</v>
      </c>
      <c r="M55" s="84">
        <f>VLOOKUP($B55,Rentroll!$C$37:$Z$60,18,FALSE)</f>
        <v>0</v>
      </c>
      <c r="O55" s="74" t="str">
        <f t="shared" si="37"/>
        <v>202호</v>
      </c>
      <c r="P55" s="75"/>
      <c r="Q55" s="75"/>
      <c r="R55" s="75">
        <f t="shared" si="38"/>
        <v>0</v>
      </c>
      <c r="S55" s="75">
        <f t="shared" si="38"/>
        <v>0</v>
      </c>
      <c r="T55" s="75">
        <f t="shared" si="38"/>
        <v>0</v>
      </c>
      <c r="U55" s="75">
        <f t="shared" si="38"/>
        <v>1</v>
      </c>
      <c r="V55" s="75">
        <f t="shared" si="38"/>
        <v>1</v>
      </c>
      <c r="W55" s="75">
        <f t="shared" si="38"/>
        <v>1</v>
      </c>
      <c r="X55" s="75">
        <f t="shared" si="38"/>
        <v>1</v>
      </c>
      <c r="Y55" s="75">
        <f t="shared" si="38"/>
        <v>1</v>
      </c>
      <c r="Z55" s="75">
        <f t="shared" si="38"/>
        <v>1</v>
      </c>
      <c r="AA55" s="75">
        <f t="shared" si="38"/>
        <v>1</v>
      </c>
      <c r="AB55" s="75">
        <f t="shared" si="38"/>
        <v>1</v>
      </c>
      <c r="AC55" s="75">
        <f t="shared" si="38"/>
        <v>1</v>
      </c>
      <c r="AD55" s="75">
        <f t="shared" si="38"/>
        <v>1</v>
      </c>
      <c r="AE55" s="75">
        <f t="shared" si="38"/>
        <v>1</v>
      </c>
      <c r="AF55" s="75">
        <f t="shared" si="38"/>
        <v>1</v>
      </c>
      <c r="AG55" s="75">
        <f t="shared" si="38"/>
        <v>1</v>
      </c>
      <c r="AH55" s="75">
        <f t="shared" si="39"/>
        <v>1</v>
      </c>
      <c r="AI55" s="75">
        <f t="shared" si="39"/>
        <v>1</v>
      </c>
      <c r="AJ55" s="75">
        <f t="shared" si="39"/>
        <v>1</v>
      </c>
      <c r="AK55" s="75">
        <f t="shared" si="39"/>
        <v>1</v>
      </c>
      <c r="AL55" s="75">
        <f t="shared" si="39"/>
        <v>1</v>
      </c>
      <c r="AM55" s="75">
        <f t="shared" si="39"/>
        <v>1</v>
      </c>
      <c r="AN55" s="75">
        <f t="shared" si="39"/>
        <v>1</v>
      </c>
      <c r="AO55" s="75">
        <f t="shared" si="39"/>
        <v>1</v>
      </c>
      <c r="AP55" s="75">
        <f t="shared" si="39"/>
        <v>1</v>
      </c>
      <c r="AQ55" s="75">
        <f t="shared" si="39"/>
        <v>1</v>
      </c>
      <c r="AR55" s="75">
        <f t="shared" si="39"/>
        <v>1</v>
      </c>
      <c r="AS55" s="75">
        <f t="shared" si="39"/>
        <v>1</v>
      </c>
      <c r="AT55" s="75">
        <f t="shared" si="39"/>
        <v>1</v>
      </c>
      <c r="AU55" s="75">
        <f t="shared" si="39"/>
        <v>1</v>
      </c>
      <c r="AV55" s="75">
        <f t="shared" si="39"/>
        <v>1</v>
      </c>
      <c r="AW55" s="75">
        <f t="shared" si="39"/>
        <v>1</v>
      </c>
      <c r="AX55" s="75">
        <f t="shared" si="40"/>
        <v>1</v>
      </c>
      <c r="AY55" s="75">
        <f t="shared" si="40"/>
        <v>1</v>
      </c>
      <c r="AZ55" s="75">
        <f t="shared" si="40"/>
        <v>1</v>
      </c>
      <c r="BA55" s="75">
        <f t="shared" si="40"/>
        <v>1</v>
      </c>
      <c r="BB55" s="75">
        <f t="shared" si="40"/>
        <v>1</v>
      </c>
      <c r="BC55" s="75">
        <f t="shared" si="40"/>
        <v>1</v>
      </c>
      <c r="BD55" s="75">
        <f t="shared" si="40"/>
        <v>1</v>
      </c>
      <c r="BE55" s="75">
        <f t="shared" si="40"/>
        <v>1</v>
      </c>
      <c r="BF55" s="75">
        <f t="shared" si="40"/>
        <v>1</v>
      </c>
      <c r="BG55" s="75">
        <f t="shared" si="40"/>
        <v>1</v>
      </c>
      <c r="BH55" s="75">
        <f t="shared" si="40"/>
        <v>1</v>
      </c>
      <c r="BI55" s="75">
        <f t="shared" si="40"/>
        <v>1</v>
      </c>
      <c r="BJ55" s="75">
        <f t="shared" si="40"/>
        <v>1</v>
      </c>
      <c r="BK55" s="75">
        <f t="shared" si="40"/>
        <v>1</v>
      </c>
      <c r="BL55" s="75">
        <f t="shared" si="40"/>
        <v>1</v>
      </c>
      <c r="BM55" s="75">
        <f t="shared" si="40"/>
        <v>1</v>
      </c>
      <c r="BN55" s="75">
        <f t="shared" si="41"/>
        <v>1</v>
      </c>
      <c r="BO55" s="75">
        <f t="shared" si="41"/>
        <v>1</v>
      </c>
      <c r="BP55" s="75">
        <f t="shared" si="41"/>
        <v>1</v>
      </c>
      <c r="BQ55" s="75">
        <f t="shared" si="41"/>
        <v>1</v>
      </c>
      <c r="BR55" s="75">
        <f t="shared" si="41"/>
        <v>1</v>
      </c>
      <c r="BS55" s="75">
        <f t="shared" si="41"/>
        <v>1</v>
      </c>
      <c r="BT55" s="75">
        <f t="shared" si="41"/>
        <v>1</v>
      </c>
      <c r="BU55" s="75">
        <f t="shared" si="41"/>
        <v>1</v>
      </c>
      <c r="BV55" s="75">
        <f t="shared" si="41"/>
        <v>1</v>
      </c>
      <c r="BW55" s="75">
        <f t="shared" si="41"/>
        <v>1</v>
      </c>
      <c r="BX55" s="75">
        <f t="shared" si="41"/>
        <v>1</v>
      </c>
      <c r="BY55" s="75">
        <f t="shared" si="41"/>
        <v>1</v>
      </c>
      <c r="BZ55" s="75">
        <f t="shared" si="41"/>
        <v>1</v>
      </c>
      <c r="CA55" s="75">
        <f t="shared" si="41"/>
        <v>0</v>
      </c>
      <c r="CB55" s="75">
        <f t="shared" si="41"/>
        <v>0</v>
      </c>
      <c r="CC55" s="75">
        <f t="shared" si="41"/>
        <v>0</v>
      </c>
      <c r="CD55" s="75">
        <f t="shared" si="42"/>
        <v>0</v>
      </c>
      <c r="CE55" s="75">
        <f t="shared" si="42"/>
        <v>0</v>
      </c>
      <c r="CF55" s="75">
        <f t="shared" si="42"/>
        <v>0</v>
      </c>
      <c r="CG55" s="75">
        <f t="shared" si="42"/>
        <v>0</v>
      </c>
      <c r="CH55" s="75">
        <f t="shared" si="42"/>
        <v>0</v>
      </c>
      <c r="CI55" s="75">
        <f t="shared" si="42"/>
        <v>0</v>
      </c>
      <c r="CJ55" s="75">
        <f t="shared" si="42"/>
        <v>0</v>
      </c>
      <c r="CK55" s="75">
        <f t="shared" si="42"/>
        <v>0</v>
      </c>
      <c r="CL55" s="75">
        <f t="shared" si="42"/>
        <v>0</v>
      </c>
      <c r="CM55" s="75">
        <f t="shared" si="42"/>
        <v>0</v>
      </c>
      <c r="CN55" s="75">
        <f t="shared" si="42"/>
        <v>0</v>
      </c>
      <c r="CO55" s="75">
        <f t="shared" si="42"/>
        <v>0</v>
      </c>
      <c r="CP55" s="75">
        <f t="shared" si="42"/>
        <v>0</v>
      </c>
      <c r="CQ55" s="75">
        <f t="shared" si="42"/>
        <v>0</v>
      </c>
      <c r="CR55" s="75">
        <f t="shared" si="42"/>
        <v>0</v>
      </c>
      <c r="CS55" s="75">
        <f t="shared" si="42"/>
        <v>0</v>
      </c>
      <c r="CT55" s="75">
        <f t="shared" si="43"/>
        <v>0</v>
      </c>
      <c r="CU55" s="75">
        <f t="shared" si="43"/>
        <v>0</v>
      </c>
      <c r="CV55" s="75">
        <f t="shared" si="43"/>
        <v>0</v>
      </c>
      <c r="CW55" s="75">
        <f t="shared" si="43"/>
        <v>0</v>
      </c>
      <c r="CX55" s="75">
        <f t="shared" si="43"/>
        <v>0</v>
      </c>
      <c r="CY55" s="75">
        <f t="shared" si="43"/>
        <v>0</v>
      </c>
      <c r="CZ55" s="75">
        <f t="shared" si="43"/>
        <v>0</v>
      </c>
      <c r="DA55" s="75">
        <f t="shared" si="43"/>
        <v>0</v>
      </c>
      <c r="DB55" s="75">
        <f t="shared" si="43"/>
        <v>0</v>
      </c>
      <c r="DC55" s="75">
        <f t="shared" si="43"/>
        <v>0</v>
      </c>
      <c r="DD55" s="75">
        <f t="shared" si="43"/>
        <v>0</v>
      </c>
      <c r="DE55" s="75">
        <f t="shared" si="43"/>
        <v>0</v>
      </c>
      <c r="DF55" s="75">
        <f t="shared" si="43"/>
        <v>0</v>
      </c>
      <c r="DG55" s="75">
        <f t="shared" si="43"/>
        <v>0</v>
      </c>
      <c r="DH55" s="75">
        <f t="shared" si="43"/>
        <v>0</v>
      </c>
      <c r="DI55" s="75">
        <f t="shared" si="43"/>
        <v>0</v>
      </c>
      <c r="DJ55" s="75">
        <f t="shared" si="44"/>
        <v>0</v>
      </c>
      <c r="DK55" s="75">
        <f t="shared" si="36"/>
        <v>0</v>
      </c>
      <c r="DL55" s="75">
        <f t="shared" si="36"/>
        <v>0</v>
      </c>
    </row>
    <row r="56" spans="2:116">
      <c r="B56" s="27" t="str">
        <f>Rentroll!$C$54</f>
        <v>203호</v>
      </c>
      <c r="C56" s="69" t="str">
        <f>VLOOKUP($B56,Rentroll!$C$37:$Z$60,3,FALSE)</f>
        <v>주 052</v>
      </c>
      <c r="D56" s="80">
        <f>VLOOKUP($B56,Rentroll!$C$37:$Z$60,9,FALSE)</f>
        <v>45747</v>
      </c>
      <c r="E56" s="80">
        <f>VLOOKUP($B56,Rentroll!$C$37:$Z$60,10,FALSE)</f>
        <v>47573</v>
      </c>
      <c r="F56" s="81">
        <f>VLOOKUP($B56,Rentroll!$C$37:$Z$60,11,FALSE)</f>
        <v>60</v>
      </c>
      <c r="G56" s="69">
        <f>VLOOKUP($B56,Rentroll!$C$37:$Z$60,13,FALSE)</f>
        <v>130000</v>
      </c>
      <c r="H56" s="69">
        <f>VLOOKUP($B56,Rentroll!$C$37:$Z$60,14,FALSE)</f>
        <v>130000</v>
      </c>
      <c r="I56" s="69">
        <f>VLOOKUP($B56,Rentroll!$C$37:$Z$60,15,FALSE)</f>
        <v>45000</v>
      </c>
      <c r="J56" s="82">
        <f>VLOOKUP($B56,Rentroll!$C$37:$Z$60,19,FALSE)</f>
        <v>0.03</v>
      </c>
      <c r="K56" s="83">
        <f>VLOOKUP($B56,Rentroll!$C$37:$Z$60,4,FALSE)</f>
        <v>346.27249999999998</v>
      </c>
      <c r="L56" s="81">
        <f>VLOOKUP($B56,Rentroll!$C$37:$Z$60,17,FALSE)</f>
        <v>2</v>
      </c>
      <c r="M56" s="84">
        <f>VLOOKUP($B56,Rentroll!$C$37:$Z$60,18,FALSE)</f>
        <v>0</v>
      </c>
      <c r="O56" s="74" t="str">
        <f t="shared" si="37"/>
        <v>203호</v>
      </c>
      <c r="P56" s="75"/>
      <c r="Q56" s="75"/>
      <c r="R56" s="75">
        <f t="shared" ref="R56:AG62" si="45">(R$14&gt;$D56)*(R$14&lt;=$E56)*R$11*1</f>
        <v>0</v>
      </c>
      <c r="S56" s="75">
        <f t="shared" si="45"/>
        <v>0</v>
      </c>
      <c r="T56" s="75">
        <f t="shared" si="45"/>
        <v>0</v>
      </c>
      <c r="U56" s="75">
        <f t="shared" si="45"/>
        <v>1</v>
      </c>
      <c r="V56" s="75">
        <f t="shared" si="45"/>
        <v>1</v>
      </c>
      <c r="W56" s="75">
        <f t="shared" si="45"/>
        <v>1</v>
      </c>
      <c r="X56" s="75">
        <f t="shared" si="45"/>
        <v>1</v>
      </c>
      <c r="Y56" s="75">
        <f t="shared" si="45"/>
        <v>1</v>
      </c>
      <c r="Z56" s="75">
        <f t="shared" si="45"/>
        <v>1</v>
      </c>
      <c r="AA56" s="75">
        <f t="shared" si="45"/>
        <v>1</v>
      </c>
      <c r="AB56" s="75">
        <f t="shared" si="45"/>
        <v>1</v>
      </c>
      <c r="AC56" s="75">
        <f t="shared" si="45"/>
        <v>1</v>
      </c>
      <c r="AD56" s="75">
        <f t="shared" si="45"/>
        <v>1</v>
      </c>
      <c r="AE56" s="75">
        <f t="shared" si="45"/>
        <v>1</v>
      </c>
      <c r="AF56" s="75">
        <f t="shared" si="45"/>
        <v>1</v>
      </c>
      <c r="AG56" s="75">
        <f t="shared" si="45"/>
        <v>1</v>
      </c>
      <c r="AH56" s="75">
        <f t="shared" si="39"/>
        <v>1</v>
      </c>
      <c r="AI56" s="75">
        <f t="shared" si="39"/>
        <v>1</v>
      </c>
      <c r="AJ56" s="75">
        <f t="shared" si="39"/>
        <v>1</v>
      </c>
      <c r="AK56" s="75">
        <f t="shared" si="39"/>
        <v>1</v>
      </c>
      <c r="AL56" s="75">
        <f t="shared" si="39"/>
        <v>1</v>
      </c>
      <c r="AM56" s="75">
        <f t="shared" si="39"/>
        <v>1</v>
      </c>
      <c r="AN56" s="75">
        <f t="shared" si="39"/>
        <v>1</v>
      </c>
      <c r="AO56" s="75">
        <f t="shared" si="39"/>
        <v>1</v>
      </c>
      <c r="AP56" s="75">
        <f t="shared" si="39"/>
        <v>1</v>
      </c>
      <c r="AQ56" s="75">
        <f t="shared" si="39"/>
        <v>1</v>
      </c>
      <c r="AR56" s="75">
        <f t="shared" si="39"/>
        <v>1</v>
      </c>
      <c r="AS56" s="75">
        <f t="shared" si="39"/>
        <v>1</v>
      </c>
      <c r="AT56" s="75">
        <f t="shared" si="39"/>
        <v>1</v>
      </c>
      <c r="AU56" s="75">
        <f t="shared" si="39"/>
        <v>1</v>
      </c>
      <c r="AV56" s="75">
        <f t="shared" si="39"/>
        <v>1</v>
      </c>
      <c r="AW56" s="75">
        <f t="shared" si="39"/>
        <v>1</v>
      </c>
      <c r="AX56" s="75">
        <f t="shared" si="40"/>
        <v>1</v>
      </c>
      <c r="AY56" s="75">
        <f t="shared" si="40"/>
        <v>1</v>
      </c>
      <c r="AZ56" s="75">
        <f t="shared" si="40"/>
        <v>1</v>
      </c>
      <c r="BA56" s="75">
        <f t="shared" si="40"/>
        <v>1</v>
      </c>
      <c r="BB56" s="75">
        <f t="shared" si="40"/>
        <v>1</v>
      </c>
      <c r="BC56" s="75">
        <f t="shared" si="40"/>
        <v>1</v>
      </c>
      <c r="BD56" s="75">
        <f t="shared" si="40"/>
        <v>1</v>
      </c>
      <c r="BE56" s="75">
        <f t="shared" si="40"/>
        <v>1</v>
      </c>
      <c r="BF56" s="75">
        <f t="shared" si="40"/>
        <v>1</v>
      </c>
      <c r="BG56" s="75">
        <f t="shared" si="40"/>
        <v>1</v>
      </c>
      <c r="BH56" s="75">
        <f t="shared" si="40"/>
        <v>1</v>
      </c>
      <c r="BI56" s="75">
        <f t="shared" si="40"/>
        <v>1</v>
      </c>
      <c r="BJ56" s="75">
        <f t="shared" si="40"/>
        <v>1</v>
      </c>
      <c r="BK56" s="75">
        <f t="shared" si="40"/>
        <v>1</v>
      </c>
      <c r="BL56" s="75">
        <f t="shared" si="40"/>
        <v>1</v>
      </c>
      <c r="BM56" s="75">
        <f t="shared" si="40"/>
        <v>1</v>
      </c>
      <c r="BN56" s="75">
        <f t="shared" si="41"/>
        <v>1</v>
      </c>
      <c r="BO56" s="75">
        <f t="shared" si="41"/>
        <v>1</v>
      </c>
      <c r="BP56" s="75">
        <f t="shared" si="41"/>
        <v>1</v>
      </c>
      <c r="BQ56" s="75">
        <f t="shared" si="41"/>
        <v>1</v>
      </c>
      <c r="BR56" s="75">
        <f t="shared" si="41"/>
        <v>1</v>
      </c>
      <c r="BS56" s="75">
        <f t="shared" si="41"/>
        <v>1</v>
      </c>
      <c r="BT56" s="75">
        <f t="shared" si="41"/>
        <v>1</v>
      </c>
      <c r="BU56" s="75">
        <f t="shared" si="41"/>
        <v>1</v>
      </c>
      <c r="BV56" s="75">
        <f t="shared" si="41"/>
        <v>1</v>
      </c>
      <c r="BW56" s="75">
        <f t="shared" si="41"/>
        <v>1</v>
      </c>
      <c r="BX56" s="75">
        <f t="shared" si="41"/>
        <v>1</v>
      </c>
      <c r="BY56" s="75">
        <f t="shared" si="41"/>
        <v>1</v>
      </c>
      <c r="BZ56" s="75">
        <f t="shared" si="41"/>
        <v>1</v>
      </c>
      <c r="CA56" s="75">
        <f t="shared" si="41"/>
        <v>0</v>
      </c>
      <c r="CB56" s="75">
        <f t="shared" si="41"/>
        <v>0</v>
      </c>
      <c r="CC56" s="75">
        <f t="shared" si="41"/>
        <v>0</v>
      </c>
      <c r="CD56" s="75">
        <f t="shared" si="42"/>
        <v>0</v>
      </c>
      <c r="CE56" s="75">
        <f t="shared" si="42"/>
        <v>0</v>
      </c>
      <c r="CF56" s="75">
        <f t="shared" si="42"/>
        <v>0</v>
      </c>
      <c r="CG56" s="75">
        <f t="shared" si="42"/>
        <v>0</v>
      </c>
      <c r="CH56" s="75">
        <f t="shared" si="42"/>
        <v>0</v>
      </c>
      <c r="CI56" s="75">
        <f t="shared" si="42"/>
        <v>0</v>
      </c>
      <c r="CJ56" s="75">
        <f t="shared" si="42"/>
        <v>0</v>
      </c>
      <c r="CK56" s="75">
        <f t="shared" si="42"/>
        <v>0</v>
      </c>
      <c r="CL56" s="75">
        <f t="shared" si="42"/>
        <v>0</v>
      </c>
      <c r="CM56" s="75">
        <f t="shared" si="42"/>
        <v>0</v>
      </c>
      <c r="CN56" s="75">
        <f t="shared" si="42"/>
        <v>0</v>
      </c>
      <c r="CO56" s="75">
        <f t="shared" si="42"/>
        <v>0</v>
      </c>
      <c r="CP56" s="75">
        <f t="shared" si="42"/>
        <v>0</v>
      </c>
      <c r="CQ56" s="75">
        <f t="shared" si="42"/>
        <v>0</v>
      </c>
      <c r="CR56" s="75">
        <f t="shared" si="42"/>
        <v>0</v>
      </c>
      <c r="CS56" s="75">
        <f t="shared" si="42"/>
        <v>0</v>
      </c>
      <c r="CT56" s="75">
        <f t="shared" si="43"/>
        <v>0</v>
      </c>
      <c r="CU56" s="75">
        <f t="shared" si="43"/>
        <v>0</v>
      </c>
      <c r="CV56" s="75">
        <f t="shared" si="43"/>
        <v>0</v>
      </c>
      <c r="CW56" s="75">
        <f t="shared" si="43"/>
        <v>0</v>
      </c>
      <c r="CX56" s="75">
        <f t="shared" si="43"/>
        <v>0</v>
      </c>
      <c r="CY56" s="75">
        <f t="shared" si="43"/>
        <v>0</v>
      </c>
      <c r="CZ56" s="75">
        <f t="shared" si="43"/>
        <v>0</v>
      </c>
      <c r="DA56" s="75">
        <f t="shared" si="43"/>
        <v>0</v>
      </c>
      <c r="DB56" s="75">
        <f t="shared" si="43"/>
        <v>0</v>
      </c>
      <c r="DC56" s="75">
        <f t="shared" si="43"/>
        <v>0</v>
      </c>
      <c r="DD56" s="75">
        <f t="shared" si="43"/>
        <v>0</v>
      </c>
      <c r="DE56" s="75">
        <f t="shared" si="43"/>
        <v>0</v>
      </c>
      <c r="DF56" s="75">
        <f t="shared" si="43"/>
        <v>0</v>
      </c>
      <c r="DG56" s="75">
        <f t="shared" si="43"/>
        <v>0</v>
      </c>
      <c r="DH56" s="75">
        <f t="shared" si="43"/>
        <v>0</v>
      </c>
      <c r="DI56" s="75">
        <f t="shared" si="43"/>
        <v>0</v>
      </c>
      <c r="DJ56" s="75">
        <f t="shared" si="44"/>
        <v>0</v>
      </c>
      <c r="DK56" s="75">
        <f t="shared" si="36"/>
        <v>0</v>
      </c>
      <c r="DL56" s="75">
        <f t="shared" si="36"/>
        <v>0</v>
      </c>
    </row>
    <row r="57" spans="2:116">
      <c r="B57" s="27" t="str">
        <f>Rentroll!$C$55</f>
        <v>204호</v>
      </c>
      <c r="C57" s="69" t="str">
        <f>VLOOKUP($B57,Rentroll!$C$37:$Z$60,3,FALSE)</f>
        <v>바이닐 청계</v>
      </c>
      <c r="D57" s="80">
        <f>VLOOKUP($B57,Rentroll!$C$37:$Z$60,9,FALSE)</f>
        <v>45747</v>
      </c>
      <c r="E57" s="80">
        <f>VLOOKUP($B57,Rentroll!$C$37:$Z$60,10,FALSE)</f>
        <v>47573</v>
      </c>
      <c r="F57" s="81">
        <f>VLOOKUP($B57,Rentroll!$C$37:$Z$60,11,FALSE)</f>
        <v>60</v>
      </c>
      <c r="G57" s="69">
        <f>VLOOKUP($B57,Rentroll!$C$37:$Z$60,13,FALSE)</f>
        <v>130000</v>
      </c>
      <c r="H57" s="69">
        <f>VLOOKUP($B57,Rentroll!$C$37:$Z$60,14,FALSE)</f>
        <v>130000</v>
      </c>
      <c r="I57" s="69">
        <f>VLOOKUP($B57,Rentroll!$C$37:$Z$60,15,FALSE)</f>
        <v>45000</v>
      </c>
      <c r="J57" s="82">
        <f>VLOOKUP($B57,Rentroll!$C$37:$Z$60,19,FALSE)</f>
        <v>0.03</v>
      </c>
      <c r="K57" s="83">
        <f>VLOOKUP($B57,Rentroll!$C$37:$Z$60,4,FALSE)</f>
        <v>346.27249999999998</v>
      </c>
      <c r="L57" s="81">
        <f>VLOOKUP($B57,Rentroll!$C$37:$Z$60,17,FALSE)</f>
        <v>2</v>
      </c>
      <c r="M57" s="84">
        <f>VLOOKUP($B57,Rentroll!$C$37:$Z$60,18,FALSE)</f>
        <v>0</v>
      </c>
      <c r="O57" s="26" t="str">
        <f t="shared" si="37"/>
        <v>204호</v>
      </c>
      <c r="P57" s="76"/>
      <c r="Q57" s="76"/>
      <c r="R57" s="76">
        <f t="shared" si="45"/>
        <v>0</v>
      </c>
      <c r="S57" s="76">
        <f t="shared" si="45"/>
        <v>0</v>
      </c>
      <c r="T57" s="76">
        <f t="shared" si="45"/>
        <v>0</v>
      </c>
      <c r="U57" s="76">
        <f t="shared" si="45"/>
        <v>1</v>
      </c>
      <c r="V57" s="76">
        <f t="shared" si="45"/>
        <v>1</v>
      </c>
      <c r="W57" s="76">
        <f t="shared" si="45"/>
        <v>1</v>
      </c>
      <c r="X57" s="76">
        <f t="shared" si="45"/>
        <v>1</v>
      </c>
      <c r="Y57" s="76">
        <f t="shared" si="45"/>
        <v>1</v>
      </c>
      <c r="Z57" s="76">
        <f t="shared" si="45"/>
        <v>1</v>
      </c>
      <c r="AA57" s="76">
        <f t="shared" si="45"/>
        <v>1</v>
      </c>
      <c r="AB57" s="76">
        <f t="shared" si="45"/>
        <v>1</v>
      </c>
      <c r="AC57" s="76">
        <f t="shared" si="45"/>
        <v>1</v>
      </c>
      <c r="AD57" s="76">
        <f t="shared" si="45"/>
        <v>1</v>
      </c>
      <c r="AE57" s="76">
        <f t="shared" si="45"/>
        <v>1</v>
      </c>
      <c r="AF57" s="76">
        <f t="shared" si="45"/>
        <v>1</v>
      </c>
      <c r="AG57" s="76">
        <f t="shared" si="45"/>
        <v>1</v>
      </c>
      <c r="AH57" s="76">
        <f t="shared" si="39"/>
        <v>1</v>
      </c>
      <c r="AI57" s="76">
        <f t="shared" si="39"/>
        <v>1</v>
      </c>
      <c r="AJ57" s="76">
        <f t="shared" si="39"/>
        <v>1</v>
      </c>
      <c r="AK57" s="76">
        <f t="shared" si="39"/>
        <v>1</v>
      </c>
      <c r="AL57" s="76">
        <f t="shared" si="39"/>
        <v>1</v>
      </c>
      <c r="AM57" s="76">
        <f t="shared" si="39"/>
        <v>1</v>
      </c>
      <c r="AN57" s="76">
        <f t="shared" si="39"/>
        <v>1</v>
      </c>
      <c r="AO57" s="76">
        <f t="shared" si="39"/>
        <v>1</v>
      </c>
      <c r="AP57" s="76">
        <f t="shared" si="39"/>
        <v>1</v>
      </c>
      <c r="AQ57" s="76">
        <f t="shared" si="39"/>
        <v>1</v>
      </c>
      <c r="AR57" s="76">
        <f t="shared" si="39"/>
        <v>1</v>
      </c>
      <c r="AS57" s="76">
        <f t="shared" si="39"/>
        <v>1</v>
      </c>
      <c r="AT57" s="76">
        <f t="shared" si="39"/>
        <v>1</v>
      </c>
      <c r="AU57" s="76">
        <f t="shared" si="39"/>
        <v>1</v>
      </c>
      <c r="AV57" s="76">
        <f t="shared" si="39"/>
        <v>1</v>
      </c>
      <c r="AW57" s="76">
        <f t="shared" si="39"/>
        <v>1</v>
      </c>
      <c r="AX57" s="76">
        <f t="shared" si="40"/>
        <v>1</v>
      </c>
      <c r="AY57" s="76">
        <f t="shared" si="40"/>
        <v>1</v>
      </c>
      <c r="AZ57" s="76">
        <f t="shared" si="40"/>
        <v>1</v>
      </c>
      <c r="BA57" s="76">
        <f t="shared" si="40"/>
        <v>1</v>
      </c>
      <c r="BB57" s="76">
        <f t="shared" si="40"/>
        <v>1</v>
      </c>
      <c r="BC57" s="76">
        <f t="shared" si="40"/>
        <v>1</v>
      </c>
      <c r="BD57" s="76">
        <f t="shared" si="40"/>
        <v>1</v>
      </c>
      <c r="BE57" s="76">
        <f t="shared" si="40"/>
        <v>1</v>
      </c>
      <c r="BF57" s="76">
        <f t="shared" si="40"/>
        <v>1</v>
      </c>
      <c r="BG57" s="76">
        <f t="shared" si="40"/>
        <v>1</v>
      </c>
      <c r="BH57" s="76">
        <f t="shared" si="40"/>
        <v>1</v>
      </c>
      <c r="BI57" s="76">
        <f t="shared" si="40"/>
        <v>1</v>
      </c>
      <c r="BJ57" s="76">
        <f t="shared" si="40"/>
        <v>1</v>
      </c>
      <c r="BK57" s="76">
        <f t="shared" si="40"/>
        <v>1</v>
      </c>
      <c r="BL57" s="76">
        <f t="shared" si="40"/>
        <v>1</v>
      </c>
      <c r="BM57" s="76">
        <f t="shared" si="40"/>
        <v>1</v>
      </c>
      <c r="BN57" s="76">
        <f t="shared" si="41"/>
        <v>1</v>
      </c>
      <c r="BO57" s="76">
        <f t="shared" si="41"/>
        <v>1</v>
      </c>
      <c r="BP57" s="76">
        <f t="shared" si="41"/>
        <v>1</v>
      </c>
      <c r="BQ57" s="76">
        <f t="shared" si="41"/>
        <v>1</v>
      </c>
      <c r="BR57" s="76">
        <f t="shared" si="41"/>
        <v>1</v>
      </c>
      <c r="BS57" s="76">
        <f t="shared" si="41"/>
        <v>1</v>
      </c>
      <c r="BT57" s="76">
        <f t="shared" si="41"/>
        <v>1</v>
      </c>
      <c r="BU57" s="76">
        <f t="shared" si="41"/>
        <v>1</v>
      </c>
      <c r="BV57" s="76">
        <f t="shared" si="41"/>
        <v>1</v>
      </c>
      <c r="BW57" s="76">
        <f t="shared" si="41"/>
        <v>1</v>
      </c>
      <c r="BX57" s="76">
        <f t="shared" si="41"/>
        <v>1</v>
      </c>
      <c r="BY57" s="76">
        <f t="shared" si="41"/>
        <v>1</v>
      </c>
      <c r="BZ57" s="76">
        <f t="shared" si="41"/>
        <v>1</v>
      </c>
      <c r="CA57" s="76">
        <f t="shared" si="41"/>
        <v>0</v>
      </c>
      <c r="CB57" s="76">
        <f t="shared" si="41"/>
        <v>0</v>
      </c>
      <c r="CC57" s="76">
        <f t="shared" si="41"/>
        <v>0</v>
      </c>
      <c r="CD57" s="76">
        <f t="shared" si="42"/>
        <v>0</v>
      </c>
      <c r="CE57" s="76">
        <f t="shared" si="42"/>
        <v>0</v>
      </c>
      <c r="CF57" s="76">
        <f t="shared" si="42"/>
        <v>0</v>
      </c>
      <c r="CG57" s="76">
        <f t="shared" si="42"/>
        <v>0</v>
      </c>
      <c r="CH57" s="76">
        <f t="shared" si="42"/>
        <v>0</v>
      </c>
      <c r="CI57" s="76">
        <f t="shared" si="42"/>
        <v>0</v>
      </c>
      <c r="CJ57" s="76">
        <f t="shared" si="42"/>
        <v>0</v>
      </c>
      <c r="CK57" s="76">
        <f t="shared" si="42"/>
        <v>0</v>
      </c>
      <c r="CL57" s="76">
        <f t="shared" si="42"/>
        <v>0</v>
      </c>
      <c r="CM57" s="76">
        <f t="shared" si="42"/>
        <v>0</v>
      </c>
      <c r="CN57" s="76">
        <f t="shared" si="42"/>
        <v>0</v>
      </c>
      <c r="CO57" s="76">
        <f t="shared" si="42"/>
        <v>0</v>
      </c>
      <c r="CP57" s="76">
        <f t="shared" si="42"/>
        <v>0</v>
      </c>
      <c r="CQ57" s="76">
        <f t="shared" si="42"/>
        <v>0</v>
      </c>
      <c r="CR57" s="76">
        <f t="shared" si="42"/>
        <v>0</v>
      </c>
      <c r="CS57" s="76">
        <f t="shared" si="42"/>
        <v>0</v>
      </c>
      <c r="CT57" s="76">
        <f t="shared" si="43"/>
        <v>0</v>
      </c>
      <c r="CU57" s="76">
        <f t="shared" si="43"/>
        <v>0</v>
      </c>
      <c r="CV57" s="76">
        <f t="shared" si="43"/>
        <v>0</v>
      </c>
      <c r="CW57" s="76">
        <f t="shared" si="43"/>
        <v>0</v>
      </c>
      <c r="CX57" s="76">
        <f t="shared" si="43"/>
        <v>0</v>
      </c>
      <c r="CY57" s="76">
        <f t="shared" si="43"/>
        <v>0</v>
      </c>
      <c r="CZ57" s="76">
        <f t="shared" si="43"/>
        <v>0</v>
      </c>
      <c r="DA57" s="76">
        <f t="shared" si="43"/>
        <v>0</v>
      </c>
      <c r="DB57" s="76">
        <f t="shared" si="43"/>
        <v>0</v>
      </c>
      <c r="DC57" s="76">
        <f t="shared" si="43"/>
        <v>0</v>
      </c>
      <c r="DD57" s="76">
        <f t="shared" si="43"/>
        <v>0</v>
      </c>
      <c r="DE57" s="76">
        <f t="shared" si="43"/>
        <v>0</v>
      </c>
      <c r="DF57" s="76">
        <f t="shared" si="43"/>
        <v>0</v>
      </c>
      <c r="DG57" s="76">
        <f t="shared" si="43"/>
        <v>0</v>
      </c>
      <c r="DH57" s="76">
        <f t="shared" si="43"/>
        <v>0</v>
      </c>
      <c r="DI57" s="76">
        <f t="shared" si="43"/>
        <v>0</v>
      </c>
      <c r="DJ57" s="76">
        <f t="shared" si="44"/>
        <v>0</v>
      </c>
      <c r="DK57" s="76">
        <f t="shared" si="36"/>
        <v>0</v>
      </c>
      <c r="DL57" s="76">
        <f t="shared" si="36"/>
        <v>0</v>
      </c>
    </row>
    <row r="58" spans="2:116">
      <c r="B58" s="28" t="str">
        <f>Rentroll!$C$56</f>
        <v>101호</v>
      </c>
      <c r="C58" s="69" t="str">
        <f>VLOOKUP($B58,Rentroll!$C$37:$Z$60,3,FALSE)</f>
        <v>카페 1리터</v>
      </c>
      <c r="D58" s="80">
        <f>VLOOKUP($B58,Rentroll!$C$37:$Z$60,9,FALSE)</f>
        <v>45838</v>
      </c>
      <c r="E58" s="80">
        <f>VLOOKUP($B58,Rentroll!$C$37:$Z$60,10,FALSE)</f>
        <v>47634</v>
      </c>
      <c r="F58" s="81">
        <f>VLOOKUP($B58,Rentroll!$C$37:$Z$60,11,FALSE)</f>
        <v>60</v>
      </c>
      <c r="G58" s="69">
        <f>VLOOKUP($B58,Rentroll!$C$37:$Z$60,13,FALSE)</f>
        <v>150000</v>
      </c>
      <c r="H58" s="69">
        <f>VLOOKUP($B58,Rentroll!$C$37:$Z$60,14,FALSE)</f>
        <v>150000</v>
      </c>
      <c r="I58" s="69">
        <f>VLOOKUP($B58,Rentroll!$C$37:$Z$60,15,FALSE)</f>
        <v>45000</v>
      </c>
      <c r="J58" s="82">
        <f>VLOOKUP($B58,Rentroll!$C$37:$Z$60,19,FALSE)</f>
        <v>0.03</v>
      </c>
      <c r="K58" s="83">
        <f>VLOOKUP($B58,Rentroll!$C$37:$Z$60,4,FALSE)</f>
        <v>484.78</v>
      </c>
      <c r="L58" s="81">
        <f>VLOOKUP($B58,Rentroll!$C$37:$Z$60,17,FALSE)</f>
        <v>1</v>
      </c>
      <c r="M58" s="84">
        <f>VLOOKUP($B58,Rentroll!$C$37:$Z$60,18,FALSE)</f>
        <v>0</v>
      </c>
      <c r="O58" s="74" t="str">
        <f t="shared" ref="O58:O62" si="46">B58</f>
        <v>101호</v>
      </c>
      <c r="P58" s="75"/>
      <c r="Q58" s="75"/>
      <c r="R58" s="75">
        <f t="shared" si="45"/>
        <v>0</v>
      </c>
      <c r="S58" s="75">
        <f t="shared" si="45"/>
        <v>0</v>
      </c>
      <c r="T58" s="75">
        <f t="shared" si="45"/>
        <v>0</v>
      </c>
      <c r="U58" s="75">
        <f t="shared" si="45"/>
        <v>0</v>
      </c>
      <c r="V58" s="75">
        <f t="shared" si="45"/>
        <v>0</v>
      </c>
      <c r="W58" s="75">
        <f t="shared" si="45"/>
        <v>0</v>
      </c>
      <c r="X58" s="75">
        <f t="shared" si="45"/>
        <v>1</v>
      </c>
      <c r="Y58" s="75">
        <f t="shared" si="45"/>
        <v>1</v>
      </c>
      <c r="Z58" s="75">
        <f t="shared" si="45"/>
        <v>1</v>
      </c>
      <c r="AA58" s="75">
        <f t="shared" si="45"/>
        <v>1</v>
      </c>
      <c r="AB58" s="75">
        <f t="shared" si="45"/>
        <v>1</v>
      </c>
      <c r="AC58" s="75">
        <f t="shared" si="45"/>
        <v>1</v>
      </c>
      <c r="AD58" s="75">
        <f t="shared" si="45"/>
        <v>1</v>
      </c>
      <c r="AE58" s="75">
        <f t="shared" si="45"/>
        <v>1</v>
      </c>
      <c r="AF58" s="75">
        <f t="shared" si="45"/>
        <v>1</v>
      </c>
      <c r="AG58" s="75">
        <f t="shared" si="45"/>
        <v>1</v>
      </c>
      <c r="AH58" s="75">
        <f t="shared" si="39"/>
        <v>1</v>
      </c>
      <c r="AI58" s="75">
        <f t="shared" si="39"/>
        <v>1</v>
      </c>
      <c r="AJ58" s="75">
        <f t="shared" si="39"/>
        <v>1</v>
      </c>
      <c r="AK58" s="75">
        <f t="shared" si="39"/>
        <v>1</v>
      </c>
      <c r="AL58" s="75">
        <f t="shared" si="39"/>
        <v>1</v>
      </c>
      <c r="AM58" s="75">
        <f t="shared" si="39"/>
        <v>1</v>
      </c>
      <c r="AN58" s="75">
        <f t="shared" si="39"/>
        <v>1</v>
      </c>
      <c r="AO58" s="75">
        <f t="shared" si="39"/>
        <v>1</v>
      </c>
      <c r="AP58" s="75">
        <f t="shared" si="39"/>
        <v>1</v>
      </c>
      <c r="AQ58" s="75">
        <f t="shared" si="39"/>
        <v>1</v>
      </c>
      <c r="AR58" s="75">
        <f t="shared" si="39"/>
        <v>1</v>
      </c>
      <c r="AS58" s="75">
        <f t="shared" si="39"/>
        <v>1</v>
      </c>
      <c r="AT58" s="75">
        <f t="shared" si="39"/>
        <v>1</v>
      </c>
      <c r="AU58" s="75">
        <f t="shared" si="39"/>
        <v>1</v>
      </c>
      <c r="AV58" s="75">
        <f t="shared" si="39"/>
        <v>1</v>
      </c>
      <c r="AW58" s="75">
        <f t="shared" si="39"/>
        <v>1</v>
      </c>
      <c r="AX58" s="75">
        <f t="shared" si="40"/>
        <v>1</v>
      </c>
      <c r="AY58" s="75">
        <f t="shared" si="40"/>
        <v>1</v>
      </c>
      <c r="AZ58" s="75">
        <f t="shared" si="40"/>
        <v>1</v>
      </c>
      <c r="BA58" s="75">
        <f t="shared" si="40"/>
        <v>1</v>
      </c>
      <c r="BB58" s="75">
        <f t="shared" si="40"/>
        <v>1</v>
      </c>
      <c r="BC58" s="75">
        <f t="shared" si="40"/>
        <v>1</v>
      </c>
      <c r="BD58" s="75">
        <f t="shared" si="40"/>
        <v>1</v>
      </c>
      <c r="BE58" s="75">
        <f t="shared" si="40"/>
        <v>1</v>
      </c>
      <c r="BF58" s="75">
        <f t="shared" si="40"/>
        <v>1</v>
      </c>
      <c r="BG58" s="75">
        <f t="shared" si="40"/>
        <v>1</v>
      </c>
      <c r="BH58" s="75">
        <f t="shared" si="40"/>
        <v>1</v>
      </c>
      <c r="BI58" s="75">
        <f t="shared" si="40"/>
        <v>1</v>
      </c>
      <c r="BJ58" s="75">
        <f t="shared" si="40"/>
        <v>1</v>
      </c>
      <c r="BK58" s="75">
        <f t="shared" si="40"/>
        <v>1</v>
      </c>
      <c r="BL58" s="75">
        <f t="shared" si="40"/>
        <v>1</v>
      </c>
      <c r="BM58" s="75">
        <f t="shared" si="40"/>
        <v>1</v>
      </c>
      <c r="BN58" s="75">
        <f t="shared" si="41"/>
        <v>1</v>
      </c>
      <c r="BO58" s="75">
        <f t="shared" si="41"/>
        <v>1</v>
      </c>
      <c r="BP58" s="75">
        <f t="shared" si="41"/>
        <v>1</v>
      </c>
      <c r="BQ58" s="75">
        <f t="shared" si="41"/>
        <v>1</v>
      </c>
      <c r="BR58" s="75">
        <f t="shared" si="41"/>
        <v>1</v>
      </c>
      <c r="BS58" s="75">
        <f t="shared" si="41"/>
        <v>1</v>
      </c>
      <c r="BT58" s="75">
        <f t="shared" si="41"/>
        <v>1</v>
      </c>
      <c r="BU58" s="75">
        <f t="shared" si="41"/>
        <v>1</v>
      </c>
      <c r="BV58" s="75">
        <f t="shared" si="41"/>
        <v>1</v>
      </c>
      <c r="BW58" s="75">
        <f t="shared" si="41"/>
        <v>1</v>
      </c>
      <c r="BX58" s="75">
        <f t="shared" si="41"/>
        <v>1</v>
      </c>
      <c r="BY58" s="75">
        <f t="shared" si="41"/>
        <v>1</v>
      </c>
      <c r="BZ58" s="75">
        <f t="shared" si="41"/>
        <v>1</v>
      </c>
      <c r="CA58" s="75">
        <f t="shared" si="41"/>
        <v>0</v>
      </c>
      <c r="CB58" s="75">
        <f t="shared" si="41"/>
        <v>0</v>
      </c>
      <c r="CC58" s="75">
        <f t="shared" si="41"/>
        <v>0</v>
      </c>
      <c r="CD58" s="75">
        <f t="shared" si="42"/>
        <v>0</v>
      </c>
      <c r="CE58" s="75">
        <f t="shared" si="42"/>
        <v>0</v>
      </c>
      <c r="CF58" s="75">
        <f t="shared" si="42"/>
        <v>0</v>
      </c>
      <c r="CG58" s="75">
        <f t="shared" si="42"/>
        <v>0</v>
      </c>
      <c r="CH58" s="75">
        <f t="shared" si="42"/>
        <v>0</v>
      </c>
      <c r="CI58" s="75">
        <f t="shared" si="42"/>
        <v>0</v>
      </c>
      <c r="CJ58" s="75">
        <f t="shared" si="42"/>
        <v>0</v>
      </c>
      <c r="CK58" s="75">
        <f t="shared" si="42"/>
        <v>0</v>
      </c>
      <c r="CL58" s="75">
        <f t="shared" si="42"/>
        <v>0</v>
      </c>
      <c r="CM58" s="75">
        <f t="shared" si="42"/>
        <v>0</v>
      </c>
      <c r="CN58" s="75">
        <f t="shared" si="42"/>
        <v>0</v>
      </c>
      <c r="CO58" s="75">
        <f t="shared" si="42"/>
        <v>0</v>
      </c>
      <c r="CP58" s="75">
        <f t="shared" si="42"/>
        <v>0</v>
      </c>
      <c r="CQ58" s="75">
        <f t="shared" si="42"/>
        <v>0</v>
      </c>
      <c r="CR58" s="75">
        <f t="shared" si="42"/>
        <v>0</v>
      </c>
      <c r="CS58" s="75">
        <f t="shared" si="42"/>
        <v>0</v>
      </c>
      <c r="CT58" s="75">
        <f t="shared" si="43"/>
        <v>0</v>
      </c>
      <c r="CU58" s="75">
        <f t="shared" si="43"/>
        <v>0</v>
      </c>
      <c r="CV58" s="75">
        <f t="shared" si="43"/>
        <v>0</v>
      </c>
      <c r="CW58" s="75">
        <f t="shared" si="43"/>
        <v>0</v>
      </c>
      <c r="CX58" s="75">
        <f t="shared" si="43"/>
        <v>0</v>
      </c>
      <c r="CY58" s="75">
        <f t="shared" si="43"/>
        <v>0</v>
      </c>
      <c r="CZ58" s="75">
        <f t="shared" si="43"/>
        <v>0</v>
      </c>
      <c r="DA58" s="75">
        <f t="shared" si="43"/>
        <v>0</v>
      </c>
      <c r="DB58" s="75">
        <f t="shared" si="43"/>
        <v>0</v>
      </c>
      <c r="DC58" s="75">
        <f t="shared" si="43"/>
        <v>0</v>
      </c>
      <c r="DD58" s="75">
        <f t="shared" si="43"/>
        <v>0</v>
      </c>
      <c r="DE58" s="75">
        <f t="shared" si="43"/>
        <v>0</v>
      </c>
      <c r="DF58" s="75">
        <f t="shared" si="43"/>
        <v>0</v>
      </c>
      <c r="DG58" s="75">
        <f t="shared" si="43"/>
        <v>0</v>
      </c>
      <c r="DH58" s="75">
        <f t="shared" si="43"/>
        <v>0</v>
      </c>
      <c r="DI58" s="75">
        <f t="shared" si="43"/>
        <v>0</v>
      </c>
      <c r="DJ58" s="75">
        <f t="shared" si="44"/>
        <v>0</v>
      </c>
      <c r="DK58" s="75">
        <f t="shared" si="36"/>
        <v>0</v>
      </c>
      <c r="DL58" s="75">
        <f t="shared" si="36"/>
        <v>0</v>
      </c>
    </row>
    <row r="59" spans="2:116">
      <c r="B59" s="28" t="str">
        <f>Rentroll!$C$57</f>
        <v>102호</v>
      </c>
      <c r="C59" s="69" t="str">
        <f>VLOOKUP($B59,Rentroll!$C$37:$Z$60,3,FALSE)</f>
        <v>DOTZ</v>
      </c>
      <c r="D59" s="80">
        <f>VLOOKUP($B59,Rentroll!$C$37:$Z$60,9,FALSE)</f>
        <v>45838</v>
      </c>
      <c r="E59" s="80">
        <f>VLOOKUP($B59,Rentroll!$C$37:$Z$60,10,FALSE)</f>
        <v>47634</v>
      </c>
      <c r="F59" s="81">
        <f>VLOOKUP($B59,Rentroll!$C$37:$Z$60,11,FALSE)</f>
        <v>60</v>
      </c>
      <c r="G59" s="69">
        <f>VLOOKUP($B59,Rentroll!$C$37:$Z$60,13,FALSE)</f>
        <v>150000</v>
      </c>
      <c r="H59" s="69">
        <f>VLOOKUP($B59,Rentroll!$C$37:$Z$60,14,FALSE)</f>
        <v>150000</v>
      </c>
      <c r="I59" s="69">
        <f>VLOOKUP($B59,Rentroll!$C$37:$Z$60,15,FALSE)</f>
        <v>45000</v>
      </c>
      <c r="J59" s="82">
        <f>VLOOKUP($B59,Rentroll!$C$37:$Z$60,19,FALSE)</f>
        <v>0.03</v>
      </c>
      <c r="K59" s="83">
        <f>VLOOKUP($B59,Rentroll!$C$37:$Z$60,4,FALSE)</f>
        <v>484.78</v>
      </c>
      <c r="L59" s="81">
        <f>VLOOKUP($B59,Rentroll!$C$37:$Z$60,17,FALSE)</f>
        <v>1</v>
      </c>
      <c r="M59" s="84">
        <f>VLOOKUP($B59,Rentroll!$C$37:$Z$60,18,FALSE)</f>
        <v>0</v>
      </c>
      <c r="O59" s="74" t="str">
        <f t="shared" si="46"/>
        <v>102호</v>
      </c>
      <c r="P59" s="75"/>
      <c r="Q59" s="75"/>
      <c r="R59" s="75">
        <f t="shared" si="45"/>
        <v>0</v>
      </c>
      <c r="S59" s="75">
        <f t="shared" si="45"/>
        <v>0</v>
      </c>
      <c r="T59" s="75">
        <f t="shared" si="45"/>
        <v>0</v>
      </c>
      <c r="U59" s="75">
        <f t="shared" si="45"/>
        <v>0</v>
      </c>
      <c r="V59" s="75">
        <f t="shared" si="45"/>
        <v>0</v>
      </c>
      <c r="W59" s="75">
        <f t="shared" si="45"/>
        <v>0</v>
      </c>
      <c r="X59" s="75">
        <f t="shared" si="45"/>
        <v>1</v>
      </c>
      <c r="Y59" s="75">
        <f t="shared" si="45"/>
        <v>1</v>
      </c>
      <c r="Z59" s="75">
        <f t="shared" si="45"/>
        <v>1</v>
      </c>
      <c r="AA59" s="75">
        <f t="shared" si="45"/>
        <v>1</v>
      </c>
      <c r="AB59" s="75">
        <f t="shared" si="45"/>
        <v>1</v>
      </c>
      <c r="AC59" s="75">
        <f t="shared" si="45"/>
        <v>1</v>
      </c>
      <c r="AD59" s="75">
        <f t="shared" si="45"/>
        <v>1</v>
      </c>
      <c r="AE59" s="75">
        <f t="shared" si="45"/>
        <v>1</v>
      </c>
      <c r="AF59" s="75">
        <f t="shared" si="45"/>
        <v>1</v>
      </c>
      <c r="AG59" s="75">
        <f t="shared" si="45"/>
        <v>1</v>
      </c>
      <c r="AH59" s="75">
        <f t="shared" si="39"/>
        <v>1</v>
      </c>
      <c r="AI59" s="75">
        <f t="shared" si="39"/>
        <v>1</v>
      </c>
      <c r="AJ59" s="75">
        <f t="shared" si="39"/>
        <v>1</v>
      </c>
      <c r="AK59" s="75">
        <f t="shared" si="39"/>
        <v>1</v>
      </c>
      <c r="AL59" s="75">
        <f t="shared" si="39"/>
        <v>1</v>
      </c>
      <c r="AM59" s="75">
        <f t="shared" si="39"/>
        <v>1</v>
      </c>
      <c r="AN59" s="75">
        <f t="shared" si="39"/>
        <v>1</v>
      </c>
      <c r="AO59" s="75">
        <f t="shared" si="39"/>
        <v>1</v>
      </c>
      <c r="AP59" s="75">
        <f t="shared" si="39"/>
        <v>1</v>
      </c>
      <c r="AQ59" s="75">
        <f t="shared" si="39"/>
        <v>1</v>
      </c>
      <c r="AR59" s="75">
        <f t="shared" si="39"/>
        <v>1</v>
      </c>
      <c r="AS59" s="75">
        <f t="shared" si="39"/>
        <v>1</v>
      </c>
      <c r="AT59" s="75">
        <f t="shared" si="39"/>
        <v>1</v>
      </c>
      <c r="AU59" s="75">
        <f t="shared" si="39"/>
        <v>1</v>
      </c>
      <c r="AV59" s="75">
        <f t="shared" si="39"/>
        <v>1</v>
      </c>
      <c r="AW59" s="75">
        <f t="shared" si="39"/>
        <v>1</v>
      </c>
      <c r="AX59" s="75">
        <f t="shared" si="40"/>
        <v>1</v>
      </c>
      <c r="AY59" s="75">
        <f t="shared" si="40"/>
        <v>1</v>
      </c>
      <c r="AZ59" s="75">
        <f t="shared" si="40"/>
        <v>1</v>
      </c>
      <c r="BA59" s="75">
        <f t="shared" si="40"/>
        <v>1</v>
      </c>
      <c r="BB59" s="75">
        <f t="shared" si="40"/>
        <v>1</v>
      </c>
      <c r="BC59" s="75">
        <f t="shared" si="40"/>
        <v>1</v>
      </c>
      <c r="BD59" s="75">
        <f t="shared" si="40"/>
        <v>1</v>
      </c>
      <c r="BE59" s="75">
        <f t="shared" si="40"/>
        <v>1</v>
      </c>
      <c r="BF59" s="75">
        <f t="shared" si="40"/>
        <v>1</v>
      </c>
      <c r="BG59" s="75">
        <f t="shared" si="40"/>
        <v>1</v>
      </c>
      <c r="BH59" s="75">
        <f t="shared" si="40"/>
        <v>1</v>
      </c>
      <c r="BI59" s="75">
        <f t="shared" si="40"/>
        <v>1</v>
      </c>
      <c r="BJ59" s="75">
        <f t="shared" si="40"/>
        <v>1</v>
      </c>
      <c r="BK59" s="75">
        <f t="shared" si="40"/>
        <v>1</v>
      </c>
      <c r="BL59" s="75">
        <f t="shared" si="40"/>
        <v>1</v>
      </c>
      <c r="BM59" s="75">
        <f t="shared" si="40"/>
        <v>1</v>
      </c>
      <c r="BN59" s="75">
        <f t="shared" si="41"/>
        <v>1</v>
      </c>
      <c r="BO59" s="75">
        <f t="shared" si="41"/>
        <v>1</v>
      </c>
      <c r="BP59" s="75">
        <f t="shared" si="41"/>
        <v>1</v>
      </c>
      <c r="BQ59" s="75">
        <f t="shared" si="41"/>
        <v>1</v>
      </c>
      <c r="BR59" s="75">
        <f t="shared" si="41"/>
        <v>1</v>
      </c>
      <c r="BS59" s="75">
        <f t="shared" si="41"/>
        <v>1</v>
      </c>
      <c r="BT59" s="75">
        <f t="shared" si="41"/>
        <v>1</v>
      </c>
      <c r="BU59" s="75">
        <f t="shared" si="41"/>
        <v>1</v>
      </c>
      <c r="BV59" s="75">
        <f t="shared" si="41"/>
        <v>1</v>
      </c>
      <c r="BW59" s="75">
        <f t="shared" si="41"/>
        <v>1</v>
      </c>
      <c r="BX59" s="75">
        <f t="shared" si="41"/>
        <v>1</v>
      </c>
      <c r="BY59" s="75">
        <f t="shared" si="41"/>
        <v>1</v>
      </c>
      <c r="BZ59" s="75">
        <f t="shared" si="41"/>
        <v>1</v>
      </c>
      <c r="CA59" s="75">
        <f t="shared" si="41"/>
        <v>0</v>
      </c>
      <c r="CB59" s="75">
        <f t="shared" si="41"/>
        <v>0</v>
      </c>
      <c r="CC59" s="75">
        <f t="shared" si="41"/>
        <v>0</v>
      </c>
      <c r="CD59" s="75">
        <f t="shared" si="42"/>
        <v>0</v>
      </c>
      <c r="CE59" s="75">
        <f t="shared" si="42"/>
        <v>0</v>
      </c>
      <c r="CF59" s="75">
        <f t="shared" si="42"/>
        <v>0</v>
      </c>
      <c r="CG59" s="75">
        <f t="shared" si="42"/>
        <v>0</v>
      </c>
      <c r="CH59" s="75">
        <f t="shared" si="42"/>
        <v>0</v>
      </c>
      <c r="CI59" s="75">
        <f t="shared" si="42"/>
        <v>0</v>
      </c>
      <c r="CJ59" s="75">
        <f t="shared" si="42"/>
        <v>0</v>
      </c>
      <c r="CK59" s="75">
        <f t="shared" si="42"/>
        <v>0</v>
      </c>
      <c r="CL59" s="75">
        <f t="shared" si="42"/>
        <v>0</v>
      </c>
      <c r="CM59" s="75">
        <f t="shared" si="42"/>
        <v>0</v>
      </c>
      <c r="CN59" s="75">
        <f t="shared" si="42"/>
        <v>0</v>
      </c>
      <c r="CO59" s="75">
        <f t="shared" si="42"/>
        <v>0</v>
      </c>
      <c r="CP59" s="75">
        <f t="shared" si="42"/>
        <v>0</v>
      </c>
      <c r="CQ59" s="75">
        <f t="shared" si="42"/>
        <v>0</v>
      </c>
      <c r="CR59" s="75">
        <f t="shared" si="42"/>
        <v>0</v>
      </c>
      <c r="CS59" s="75">
        <f t="shared" si="42"/>
        <v>0</v>
      </c>
      <c r="CT59" s="75">
        <f t="shared" si="43"/>
        <v>0</v>
      </c>
      <c r="CU59" s="75">
        <f t="shared" si="43"/>
        <v>0</v>
      </c>
      <c r="CV59" s="75">
        <f t="shared" si="43"/>
        <v>0</v>
      </c>
      <c r="CW59" s="75">
        <f t="shared" si="43"/>
        <v>0</v>
      </c>
      <c r="CX59" s="75">
        <f t="shared" si="43"/>
        <v>0</v>
      </c>
      <c r="CY59" s="75">
        <f t="shared" si="43"/>
        <v>0</v>
      </c>
      <c r="CZ59" s="75">
        <f t="shared" si="43"/>
        <v>0</v>
      </c>
      <c r="DA59" s="75">
        <f t="shared" si="43"/>
        <v>0</v>
      </c>
      <c r="DB59" s="75">
        <f t="shared" si="43"/>
        <v>0</v>
      </c>
      <c r="DC59" s="75">
        <f t="shared" si="43"/>
        <v>0</v>
      </c>
      <c r="DD59" s="75">
        <f t="shared" si="43"/>
        <v>0</v>
      </c>
      <c r="DE59" s="75">
        <f t="shared" si="43"/>
        <v>0</v>
      </c>
      <c r="DF59" s="75">
        <f t="shared" si="43"/>
        <v>0</v>
      </c>
      <c r="DG59" s="75">
        <f t="shared" si="43"/>
        <v>0</v>
      </c>
      <c r="DH59" s="75">
        <f t="shared" si="43"/>
        <v>0</v>
      </c>
      <c r="DI59" s="75">
        <f t="shared" si="43"/>
        <v>0</v>
      </c>
      <c r="DJ59" s="75">
        <f t="shared" si="44"/>
        <v>0</v>
      </c>
      <c r="DK59" s="75">
        <f t="shared" si="36"/>
        <v>0</v>
      </c>
      <c r="DL59" s="75">
        <f t="shared" si="36"/>
        <v>0</v>
      </c>
    </row>
    <row r="60" spans="2:116">
      <c r="B60" s="28" t="str">
        <f>Rentroll!$C$58</f>
        <v>B101호</v>
      </c>
      <c r="C60" s="69" t="str">
        <f>VLOOKUP($B60,Rentroll!$C$37:$Z$60,3,FALSE)</f>
        <v>편안창고 스토리지</v>
      </c>
      <c r="D60" s="80">
        <f>VLOOKUP($B60,Rentroll!$C$37:$Z$60,9,FALSE)</f>
        <v>46752</v>
      </c>
      <c r="E60" s="80">
        <f>VLOOKUP($B60,Rentroll!$C$37:$Z$60,10,FALSE)</f>
        <v>48579</v>
      </c>
      <c r="F60" s="81">
        <f>VLOOKUP($B60,Rentroll!$C$37:$Z$60,11,FALSE)</f>
        <v>60</v>
      </c>
      <c r="G60" s="69">
        <f>VLOOKUP($B60,Rentroll!$C$37:$Z$60,13,FALSE)</f>
        <v>52116.712499999994</v>
      </c>
      <c r="H60" s="69">
        <f>VLOOKUP($B60,Rentroll!$C$37:$Z$60,14,FALSE)</f>
        <v>52116.712499999994</v>
      </c>
      <c r="I60" s="69">
        <f>VLOOKUP($B60,Rentroll!$C$37:$Z$60,15,FALSE)</f>
        <v>40000</v>
      </c>
      <c r="J60" s="82">
        <f>VLOOKUP($B60,Rentroll!$C$37:$Z$60,19,FALSE)</f>
        <v>0.03</v>
      </c>
      <c r="K60" s="83">
        <f>VLOOKUP($B60,Rentroll!$C$37:$Z$60,4,FALSE)</f>
        <v>969.56</v>
      </c>
      <c r="L60" s="81">
        <f>VLOOKUP($B60,Rentroll!$C$37:$Z$60,17,FALSE)</f>
        <v>1</v>
      </c>
      <c r="M60" s="84">
        <f>VLOOKUP($B60,Rentroll!$C$37:$Z$60,18,FALSE)</f>
        <v>0</v>
      </c>
      <c r="O60" s="74" t="str">
        <f t="shared" ref="O60" si="47">B60</f>
        <v>B101호</v>
      </c>
      <c r="P60" s="75"/>
      <c r="Q60" s="75"/>
      <c r="R60" s="75">
        <f t="shared" si="45"/>
        <v>0</v>
      </c>
      <c r="S60" s="75">
        <f t="shared" si="45"/>
        <v>0</v>
      </c>
      <c r="T60" s="75">
        <f t="shared" si="45"/>
        <v>0</v>
      </c>
      <c r="U60" s="75">
        <f t="shared" si="45"/>
        <v>0</v>
      </c>
      <c r="V60" s="75">
        <f t="shared" si="45"/>
        <v>0</v>
      </c>
      <c r="W60" s="75">
        <f t="shared" si="45"/>
        <v>0</v>
      </c>
      <c r="X60" s="75">
        <f t="shared" si="45"/>
        <v>0</v>
      </c>
      <c r="Y60" s="75">
        <f t="shared" si="45"/>
        <v>0</v>
      </c>
      <c r="Z60" s="75">
        <f t="shared" si="45"/>
        <v>0</v>
      </c>
      <c r="AA60" s="75">
        <f t="shared" si="45"/>
        <v>0</v>
      </c>
      <c r="AB60" s="75">
        <f t="shared" si="45"/>
        <v>0</v>
      </c>
      <c r="AC60" s="75">
        <f t="shared" si="45"/>
        <v>0</v>
      </c>
      <c r="AD60" s="75">
        <f t="shared" si="45"/>
        <v>0</v>
      </c>
      <c r="AE60" s="75">
        <f t="shared" si="45"/>
        <v>0</v>
      </c>
      <c r="AF60" s="75">
        <f t="shared" si="45"/>
        <v>0</v>
      </c>
      <c r="AG60" s="75">
        <f t="shared" si="45"/>
        <v>0</v>
      </c>
      <c r="AH60" s="75">
        <f t="shared" si="39"/>
        <v>0</v>
      </c>
      <c r="AI60" s="75">
        <f t="shared" si="39"/>
        <v>0</v>
      </c>
      <c r="AJ60" s="75">
        <f t="shared" si="39"/>
        <v>0</v>
      </c>
      <c r="AK60" s="75">
        <f t="shared" si="39"/>
        <v>0</v>
      </c>
      <c r="AL60" s="75">
        <f t="shared" si="39"/>
        <v>0</v>
      </c>
      <c r="AM60" s="75">
        <f t="shared" si="39"/>
        <v>0</v>
      </c>
      <c r="AN60" s="75">
        <f t="shared" si="39"/>
        <v>0</v>
      </c>
      <c r="AO60" s="75">
        <f t="shared" si="39"/>
        <v>0</v>
      </c>
      <c r="AP60" s="75">
        <f t="shared" si="39"/>
        <v>0</v>
      </c>
      <c r="AQ60" s="75">
        <f t="shared" si="39"/>
        <v>0</v>
      </c>
      <c r="AR60" s="75">
        <f t="shared" si="39"/>
        <v>0</v>
      </c>
      <c r="AS60" s="75">
        <f t="shared" si="39"/>
        <v>0</v>
      </c>
      <c r="AT60" s="75">
        <f t="shared" si="39"/>
        <v>0</v>
      </c>
      <c r="AU60" s="75">
        <f t="shared" si="39"/>
        <v>0</v>
      </c>
      <c r="AV60" s="75">
        <f t="shared" si="39"/>
        <v>0</v>
      </c>
      <c r="AW60" s="75">
        <f t="shared" si="39"/>
        <v>0</v>
      </c>
      <c r="AX60" s="75">
        <f t="shared" si="40"/>
        <v>0</v>
      </c>
      <c r="AY60" s="75">
        <f t="shared" si="40"/>
        <v>0</v>
      </c>
      <c r="AZ60" s="75">
        <f t="shared" si="40"/>
        <v>0</v>
      </c>
      <c r="BA60" s="75">
        <f t="shared" si="40"/>
        <v>0</v>
      </c>
      <c r="BB60" s="75">
        <f t="shared" si="40"/>
        <v>1</v>
      </c>
      <c r="BC60" s="75">
        <f t="shared" si="40"/>
        <v>1</v>
      </c>
      <c r="BD60" s="75">
        <f t="shared" si="40"/>
        <v>1</v>
      </c>
      <c r="BE60" s="75">
        <f t="shared" si="40"/>
        <v>1</v>
      </c>
      <c r="BF60" s="75">
        <f t="shared" si="40"/>
        <v>1</v>
      </c>
      <c r="BG60" s="75">
        <f t="shared" si="40"/>
        <v>1</v>
      </c>
      <c r="BH60" s="75">
        <f t="shared" si="40"/>
        <v>1</v>
      </c>
      <c r="BI60" s="75">
        <f t="shared" si="40"/>
        <v>1</v>
      </c>
      <c r="BJ60" s="75">
        <f t="shared" si="40"/>
        <v>1</v>
      </c>
      <c r="BK60" s="75">
        <f t="shared" si="40"/>
        <v>1</v>
      </c>
      <c r="BL60" s="75">
        <f t="shared" si="40"/>
        <v>1</v>
      </c>
      <c r="BM60" s="75">
        <f t="shared" si="40"/>
        <v>1</v>
      </c>
      <c r="BN60" s="75">
        <f t="shared" si="41"/>
        <v>1</v>
      </c>
      <c r="BO60" s="75">
        <f t="shared" si="41"/>
        <v>1</v>
      </c>
      <c r="BP60" s="75">
        <f t="shared" si="41"/>
        <v>1</v>
      </c>
      <c r="BQ60" s="75">
        <f t="shared" si="41"/>
        <v>1</v>
      </c>
      <c r="BR60" s="75">
        <f t="shared" si="41"/>
        <v>1</v>
      </c>
      <c r="BS60" s="75">
        <f t="shared" si="41"/>
        <v>1</v>
      </c>
      <c r="BT60" s="75">
        <f t="shared" si="41"/>
        <v>1</v>
      </c>
      <c r="BU60" s="75">
        <f t="shared" si="41"/>
        <v>1</v>
      </c>
      <c r="BV60" s="75">
        <f t="shared" si="41"/>
        <v>1</v>
      </c>
      <c r="BW60" s="75">
        <f t="shared" si="41"/>
        <v>1</v>
      </c>
      <c r="BX60" s="75">
        <f t="shared" si="41"/>
        <v>1</v>
      </c>
      <c r="BY60" s="75">
        <f t="shared" si="41"/>
        <v>1</v>
      </c>
      <c r="BZ60" s="75">
        <f t="shared" si="41"/>
        <v>1</v>
      </c>
      <c r="CA60" s="75">
        <f t="shared" si="41"/>
        <v>0</v>
      </c>
      <c r="CB60" s="75">
        <f t="shared" si="41"/>
        <v>0</v>
      </c>
      <c r="CC60" s="75">
        <f t="shared" si="41"/>
        <v>0</v>
      </c>
      <c r="CD60" s="75">
        <f t="shared" si="42"/>
        <v>0</v>
      </c>
      <c r="CE60" s="75">
        <f t="shared" si="42"/>
        <v>0</v>
      </c>
      <c r="CF60" s="75">
        <f t="shared" si="42"/>
        <v>0</v>
      </c>
      <c r="CG60" s="75">
        <f t="shared" si="42"/>
        <v>0</v>
      </c>
      <c r="CH60" s="75">
        <f t="shared" si="42"/>
        <v>0</v>
      </c>
      <c r="CI60" s="75">
        <f t="shared" si="42"/>
        <v>0</v>
      </c>
      <c r="CJ60" s="75">
        <f t="shared" si="42"/>
        <v>0</v>
      </c>
      <c r="CK60" s="75">
        <f t="shared" si="42"/>
        <v>0</v>
      </c>
      <c r="CL60" s="75">
        <f t="shared" si="42"/>
        <v>0</v>
      </c>
      <c r="CM60" s="75">
        <f t="shared" si="42"/>
        <v>0</v>
      </c>
      <c r="CN60" s="75">
        <f t="shared" si="42"/>
        <v>0</v>
      </c>
      <c r="CO60" s="75">
        <f t="shared" si="42"/>
        <v>0</v>
      </c>
      <c r="CP60" s="75">
        <f t="shared" si="42"/>
        <v>0</v>
      </c>
      <c r="CQ60" s="75">
        <f t="shared" si="42"/>
        <v>0</v>
      </c>
      <c r="CR60" s="75">
        <f t="shared" si="42"/>
        <v>0</v>
      </c>
      <c r="CS60" s="75">
        <f t="shared" si="42"/>
        <v>0</v>
      </c>
      <c r="CT60" s="75">
        <f t="shared" si="43"/>
        <v>0</v>
      </c>
      <c r="CU60" s="75">
        <f t="shared" si="43"/>
        <v>0</v>
      </c>
      <c r="CV60" s="75">
        <f t="shared" si="43"/>
        <v>0</v>
      </c>
      <c r="CW60" s="75">
        <f t="shared" si="43"/>
        <v>0</v>
      </c>
      <c r="CX60" s="75">
        <f t="shared" si="43"/>
        <v>0</v>
      </c>
      <c r="CY60" s="75">
        <f t="shared" si="43"/>
        <v>0</v>
      </c>
      <c r="CZ60" s="75">
        <f t="shared" si="43"/>
        <v>0</v>
      </c>
      <c r="DA60" s="75">
        <f t="shared" si="43"/>
        <v>0</v>
      </c>
      <c r="DB60" s="75">
        <f t="shared" si="43"/>
        <v>0</v>
      </c>
      <c r="DC60" s="75">
        <f t="shared" si="43"/>
        <v>0</v>
      </c>
      <c r="DD60" s="75">
        <f t="shared" si="43"/>
        <v>0</v>
      </c>
      <c r="DE60" s="75">
        <f t="shared" si="43"/>
        <v>0</v>
      </c>
      <c r="DF60" s="75">
        <f t="shared" si="43"/>
        <v>0</v>
      </c>
      <c r="DG60" s="75">
        <f t="shared" si="43"/>
        <v>0</v>
      </c>
      <c r="DH60" s="75">
        <f t="shared" si="43"/>
        <v>0</v>
      </c>
      <c r="DI60" s="75">
        <f t="shared" si="43"/>
        <v>0</v>
      </c>
      <c r="DJ60" s="75">
        <f t="shared" si="44"/>
        <v>0</v>
      </c>
      <c r="DK60" s="75">
        <f t="shared" si="36"/>
        <v>0</v>
      </c>
      <c r="DL60" s="75">
        <f t="shared" si="36"/>
        <v>0</v>
      </c>
    </row>
    <row r="61" spans="2:116">
      <c r="B61" s="28" t="str">
        <f>Rentroll!$C$59</f>
        <v>B102호</v>
      </c>
      <c r="C61" s="69" t="str">
        <f>VLOOKUP($B61,Rentroll!$C$37:$Z$60,3,FALSE)</f>
        <v>스크린 퀀텀</v>
      </c>
      <c r="D61" s="80">
        <f>VLOOKUP($B61,Rentroll!$C$37:$Z$60,9,FALSE)</f>
        <v>46418</v>
      </c>
      <c r="E61" s="80">
        <f>VLOOKUP($B61,Rentroll!$C$37:$Z$60,10,FALSE)</f>
        <v>48244</v>
      </c>
      <c r="F61" s="81">
        <f>VLOOKUP($B61,Rentroll!$C$37:$Z$60,11,FALSE)</f>
        <v>60</v>
      </c>
      <c r="G61" s="69">
        <f>VLOOKUP($B61,Rentroll!$C$37:$Z$60,13,FALSE)</f>
        <v>52116.712499999994</v>
      </c>
      <c r="H61" s="69">
        <f>VLOOKUP($B61,Rentroll!$C$37:$Z$60,14,FALSE)</f>
        <v>52116.712499999994</v>
      </c>
      <c r="I61" s="69">
        <f>VLOOKUP($B61,Rentroll!$C$37:$Z$60,15,FALSE)</f>
        <v>40000</v>
      </c>
      <c r="J61" s="82">
        <f>VLOOKUP($B61,Rentroll!$C$37:$Z$60,19,FALSE)</f>
        <v>0.03</v>
      </c>
      <c r="K61" s="83">
        <f>VLOOKUP($B61,Rentroll!$C$37:$Z$60,4,FALSE)</f>
        <v>969.56</v>
      </c>
      <c r="L61" s="81">
        <f>VLOOKUP($B61,Rentroll!$C$37:$Z$60,17,FALSE)</f>
        <v>1</v>
      </c>
      <c r="M61" s="84">
        <f>VLOOKUP($B61,Rentroll!$C$37:$Z$60,18,FALSE)</f>
        <v>0</v>
      </c>
      <c r="O61" s="74" t="str">
        <f t="shared" si="46"/>
        <v>B102호</v>
      </c>
      <c r="P61" s="75"/>
      <c r="Q61" s="75"/>
      <c r="R61" s="75">
        <f t="shared" si="45"/>
        <v>0</v>
      </c>
      <c r="S61" s="75">
        <f t="shared" si="45"/>
        <v>0</v>
      </c>
      <c r="T61" s="75">
        <f t="shared" si="45"/>
        <v>0</v>
      </c>
      <c r="U61" s="75">
        <f t="shared" si="45"/>
        <v>0</v>
      </c>
      <c r="V61" s="75">
        <f t="shared" si="45"/>
        <v>0</v>
      </c>
      <c r="W61" s="75">
        <f t="shared" si="45"/>
        <v>0</v>
      </c>
      <c r="X61" s="75">
        <f t="shared" si="45"/>
        <v>0</v>
      </c>
      <c r="Y61" s="75">
        <f t="shared" si="45"/>
        <v>0</v>
      </c>
      <c r="Z61" s="75">
        <f t="shared" si="45"/>
        <v>0</v>
      </c>
      <c r="AA61" s="75">
        <f t="shared" si="45"/>
        <v>0</v>
      </c>
      <c r="AB61" s="75">
        <f t="shared" si="45"/>
        <v>0</v>
      </c>
      <c r="AC61" s="75">
        <f t="shared" si="45"/>
        <v>0</v>
      </c>
      <c r="AD61" s="75">
        <f t="shared" si="45"/>
        <v>0</v>
      </c>
      <c r="AE61" s="75">
        <f t="shared" si="45"/>
        <v>0</v>
      </c>
      <c r="AF61" s="75">
        <f t="shared" si="45"/>
        <v>0</v>
      </c>
      <c r="AG61" s="75">
        <f t="shared" si="45"/>
        <v>0</v>
      </c>
      <c r="AH61" s="75">
        <f t="shared" si="39"/>
        <v>0</v>
      </c>
      <c r="AI61" s="75">
        <f t="shared" si="39"/>
        <v>0</v>
      </c>
      <c r="AJ61" s="75">
        <f t="shared" si="39"/>
        <v>0</v>
      </c>
      <c r="AK61" s="75">
        <f t="shared" si="39"/>
        <v>0</v>
      </c>
      <c r="AL61" s="75">
        <f t="shared" si="39"/>
        <v>0</v>
      </c>
      <c r="AM61" s="75">
        <f t="shared" si="39"/>
        <v>0</v>
      </c>
      <c r="AN61" s="75">
        <f t="shared" si="39"/>
        <v>0</v>
      </c>
      <c r="AO61" s="75">
        <f t="shared" si="39"/>
        <v>0</v>
      </c>
      <c r="AP61" s="75">
        <f t="shared" si="39"/>
        <v>0</v>
      </c>
      <c r="AQ61" s="75">
        <f t="shared" si="39"/>
        <v>1</v>
      </c>
      <c r="AR61" s="75">
        <f t="shared" si="39"/>
        <v>1</v>
      </c>
      <c r="AS61" s="75">
        <f t="shared" si="39"/>
        <v>1</v>
      </c>
      <c r="AT61" s="75">
        <f t="shared" si="39"/>
        <v>1</v>
      </c>
      <c r="AU61" s="75">
        <f t="shared" si="39"/>
        <v>1</v>
      </c>
      <c r="AV61" s="75">
        <f t="shared" si="39"/>
        <v>1</v>
      </c>
      <c r="AW61" s="75">
        <f t="shared" si="39"/>
        <v>1</v>
      </c>
      <c r="AX61" s="75">
        <f t="shared" si="40"/>
        <v>1</v>
      </c>
      <c r="AY61" s="75">
        <f t="shared" si="40"/>
        <v>1</v>
      </c>
      <c r="AZ61" s="75">
        <f t="shared" si="40"/>
        <v>1</v>
      </c>
      <c r="BA61" s="75">
        <f t="shared" si="40"/>
        <v>1</v>
      </c>
      <c r="BB61" s="75">
        <f t="shared" si="40"/>
        <v>1</v>
      </c>
      <c r="BC61" s="75">
        <f t="shared" si="40"/>
        <v>1</v>
      </c>
      <c r="BD61" s="75">
        <f t="shared" si="40"/>
        <v>1</v>
      </c>
      <c r="BE61" s="75">
        <f t="shared" si="40"/>
        <v>1</v>
      </c>
      <c r="BF61" s="75">
        <f t="shared" si="40"/>
        <v>1</v>
      </c>
      <c r="BG61" s="75">
        <f t="shared" si="40"/>
        <v>1</v>
      </c>
      <c r="BH61" s="75">
        <f t="shared" si="40"/>
        <v>1</v>
      </c>
      <c r="BI61" s="75">
        <f t="shared" si="40"/>
        <v>1</v>
      </c>
      <c r="BJ61" s="75">
        <f t="shared" si="40"/>
        <v>1</v>
      </c>
      <c r="BK61" s="75">
        <f t="shared" si="40"/>
        <v>1</v>
      </c>
      <c r="BL61" s="75">
        <f t="shared" si="40"/>
        <v>1</v>
      </c>
      <c r="BM61" s="75">
        <f t="shared" si="40"/>
        <v>1</v>
      </c>
      <c r="BN61" s="75">
        <f t="shared" si="41"/>
        <v>1</v>
      </c>
      <c r="BO61" s="75">
        <f t="shared" si="41"/>
        <v>1</v>
      </c>
      <c r="BP61" s="75">
        <f t="shared" si="41"/>
        <v>1</v>
      </c>
      <c r="BQ61" s="75">
        <f t="shared" si="41"/>
        <v>1</v>
      </c>
      <c r="BR61" s="75">
        <f t="shared" si="41"/>
        <v>1</v>
      </c>
      <c r="BS61" s="75">
        <f t="shared" si="41"/>
        <v>1</v>
      </c>
      <c r="BT61" s="75">
        <f t="shared" si="41"/>
        <v>1</v>
      </c>
      <c r="BU61" s="75">
        <f t="shared" si="41"/>
        <v>1</v>
      </c>
      <c r="BV61" s="75">
        <f t="shared" si="41"/>
        <v>1</v>
      </c>
      <c r="BW61" s="75">
        <f t="shared" si="41"/>
        <v>1</v>
      </c>
      <c r="BX61" s="75">
        <f t="shared" si="41"/>
        <v>1</v>
      </c>
      <c r="BY61" s="75">
        <f t="shared" si="41"/>
        <v>1</v>
      </c>
      <c r="BZ61" s="75">
        <f t="shared" si="41"/>
        <v>1</v>
      </c>
      <c r="CA61" s="75">
        <f t="shared" si="41"/>
        <v>0</v>
      </c>
      <c r="CB61" s="75">
        <f t="shared" si="41"/>
        <v>0</v>
      </c>
      <c r="CC61" s="75">
        <f t="shared" si="41"/>
        <v>0</v>
      </c>
      <c r="CD61" s="75">
        <f t="shared" si="42"/>
        <v>0</v>
      </c>
      <c r="CE61" s="75">
        <f t="shared" si="42"/>
        <v>0</v>
      </c>
      <c r="CF61" s="75">
        <f t="shared" si="42"/>
        <v>0</v>
      </c>
      <c r="CG61" s="75">
        <f t="shared" si="42"/>
        <v>0</v>
      </c>
      <c r="CH61" s="75">
        <f t="shared" si="42"/>
        <v>0</v>
      </c>
      <c r="CI61" s="75">
        <f t="shared" si="42"/>
        <v>0</v>
      </c>
      <c r="CJ61" s="75">
        <f t="shared" si="42"/>
        <v>0</v>
      </c>
      <c r="CK61" s="75">
        <f t="shared" si="42"/>
        <v>0</v>
      </c>
      <c r="CL61" s="75">
        <f t="shared" si="42"/>
        <v>0</v>
      </c>
      <c r="CM61" s="75">
        <f t="shared" si="42"/>
        <v>0</v>
      </c>
      <c r="CN61" s="75">
        <f t="shared" si="42"/>
        <v>0</v>
      </c>
      <c r="CO61" s="75">
        <f t="shared" si="42"/>
        <v>0</v>
      </c>
      <c r="CP61" s="75">
        <f t="shared" si="42"/>
        <v>0</v>
      </c>
      <c r="CQ61" s="75">
        <f t="shared" si="42"/>
        <v>0</v>
      </c>
      <c r="CR61" s="75">
        <f t="shared" si="42"/>
        <v>0</v>
      </c>
      <c r="CS61" s="75">
        <f t="shared" si="42"/>
        <v>0</v>
      </c>
      <c r="CT61" s="75">
        <f t="shared" si="43"/>
        <v>0</v>
      </c>
      <c r="CU61" s="75">
        <f t="shared" si="43"/>
        <v>0</v>
      </c>
      <c r="CV61" s="75">
        <f t="shared" si="43"/>
        <v>0</v>
      </c>
      <c r="CW61" s="75">
        <f t="shared" si="43"/>
        <v>0</v>
      </c>
      <c r="CX61" s="75">
        <f t="shared" si="43"/>
        <v>0</v>
      </c>
      <c r="CY61" s="75">
        <f t="shared" si="43"/>
        <v>0</v>
      </c>
      <c r="CZ61" s="75">
        <f t="shared" si="43"/>
        <v>0</v>
      </c>
      <c r="DA61" s="75">
        <f t="shared" si="43"/>
        <v>0</v>
      </c>
      <c r="DB61" s="75">
        <f t="shared" si="43"/>
        <v>0</v>
      </c>
      <c r="DC61" s="75">
        <f t="shared" si="43"/>
        <v>0</v>
      </c>
      <c r="DD61" s="75">
        <f t="shared" si="43"/>
        <v>0</v>
      </c>
      <c r="DE61" s="75">
        <f t="shared" si="43"/>
        <v>0</v>
      </c>
      <c r="DF61" s="75">
        <f t="shared" si="43"/>
        <v>0</v>
      </c>
      <c r="DG61" s="75">
        <f t="shared" si="43"/>
        <v>0</v>
      </c>
      <c r="DH61" s="75">
        <f t="shared" si="43"/>
        <v>0</v>
      </c>
      <c r="DI61" s="75">
        <f t="shared" si="43"/>
        <v>0</v>
      </c>
      <c r="DJ61" s="75">
        <f t="shared" si="44"/>
        <v>0</v>
      </c>
      <c r="DK61" s="75">
        <f t="shared" si="36"/>
        <v>0</v>
      </c>
      <c r="DL61" s="75">
        <f t="shared" si="36"/>
        <v>0</v>
      </c>
    </row>
    <row r="62" spans="2:116">
      <c r="B62" s="28">
        <f>Rentroll!$C$60</f>
        <v>0</v>
      </c>
      <c r="C62" s="69">
        <f>VLOOKUP($B62,Rentroll!$C$37:$Z$60,3,FALSE)</f>
        <v>0</v>
      </c>
      <c r="D62" s="80">
        <f>VLOOKUP($B62,Rentroll!$C$37:$Z$60,9,FALSE)</f>
        <v>0</v>
      </c>
      <c r="E62" s="80">
        <f>VLOOKUP($B62,Rentroll!$C$37:$Z$60,10,FALSE)</f>
        <v>0</v>
      </c>
      <c r="F62" s="81">
        <f>VLOOKUP($B62,Rentroll!$C$37:$Z$60,11,FALSE)</f>
        <v>0</v>
      </c>
      <c r="G62" s="69">
        <f>VLOOKUP($B62,Rentroll!$C$37:$Z$60,13,FALSE)</f>
        <v>0</v>
      </c>
      <c r="H62" s="69">
        <f>VLOOKUP($B62,Rentroll!$C$37:$Z$60,14,FALSE)</f>
        <v>0</v>
      </c>
      <c r="I62" s="69">
        <f>VLOOKUP($B62,Rentroll!$C$37:$Z$60,15,FALSE)</f>
        <v>0</v>
      </c>
      <c r="J62" s="82">
        <f>VLOOKUP($B62,Rentroll!$C$37:$Z$60,19,FALSE)</f>
        <v>0</v>
      </c>
      <c r="K62" s="83">
        <f>VLOOKUP($B62,Rentroll!$C$37:$Z$60,4,FALSE)</f>
        <v>0</v>
      </c>
      <c r="L62" s="81">
        <f>VLOOKUP($B62,Rentroll!$C$37:$Z$60,17,FALSE)</f>
        <v>0</v>
      </c>
      <c r="M62" s="84">
        <f>VLOOKUP($B62,Rentroll!$C$37:$Z$60,18,FALSE)</f>
        <v>0</v>
      </c>
      <c r="O62" s="26">
        <f t="shared" si="46"/>
        <v>0</v>
      </c>
      <c r="P62" s="76"/>
      <c r="Q62" s="76"/>
      <c r="R62" s="76">
        <f t="shared" si="45"/>
        <v>0</v>
      </c>
      <c r="S62" s="76">
        <f t="shared" si="45"/>
        <v>0</v>
      </c>
      <c r="T62" s="76">
        <f t="shared" si="45"/>
        <v>0</v>
      </c>
      <c r="U62" s="76">
        <f t="shared" si="45"/>
        <v>0</v>
      </c>
      <c r="V62" s="76">
        <f t="shared" si="45"/>
        <v>0</v>
      </c>
      <c r="W62" s="76">
        <f t="shared" si="45"/>
        <v>0</v>
      </c>
      <c r="X62" s="76">
        <f t="shared" si="45"/>
        <v>0</v>
      </c>
      <c r="Y62" s="76">
        <f t="shared" si="45"/>
        <v>0</v>
      </c>
      <c r="Z62" s="76">
        <f t="shared" si="45"/>
        <v>0</v>
      </c>
      <c r="AA62" s="76">
        <f t="shared" si="45"/>
        <v>0</v>
      </c>
      <c r="AB62" s="76">
        <f t="shared" si="45"/>
        <v>0</v>
      </c>
      <c r="AC62" s="76">
        <f t="shared" si="45"/>
        <v>0</v>
      </c>
      <c r="AD62" s="76">
        <f t="shared" si="45"/>
        <v>0</v>
      </c>
      <c r="AE62" s="76">
        <f t="shared" si="45"/>
        <v>0</v>
      </c>
      <c r="AF62" s="76">
        <f t="shared" si="45"/>
        <v>0</v>
      </c>
      <c r="AG62" s="76">
        <f t="shared" si="45"/>
        <v>0</v>
      </c>
      <c r="AH62" s="76">
        <f t="shared" si="39"/>
        <v>0</v>
      </c>
      <c r="AI62" s="76">
        <f t="shared" si="39"/>
        <v>0</v>
      </c>
      <c r="AJ62" s="76">
        <f t="shared" si="39"/>
        <v>0</v>
      </c>
      <c r="AK62" s="76">
        <f t="shared" si="39"/>
        <v>0</v>
      </c>
      <c r="AL62" s="76">
        <f t="shared" si="39"/>
        <v>0</v>
      </c>
      <c r="AM62" s="76">
        <f t="shared" si="39"/>
        <v>0</v>
      </c>
      <c r="AN62" s="76">
        <f t="shared" si="39"/>
        <v>0</v>
      </c>
      <c r="AO62" s="76">
        <f t="shared" si="39"/>
        <v>0</v>
      </c>
      <c r="AP62" s="76">
        <f t="shared" si="39"/>
        <v>0</v>
      </c>
      <c r="AQ62" s="76">
        <f t="shared" si="39"/>
        <v>0</v>
      </c>
      <c r="AR62" s="76">
        <f t="shared" si="39"/>
        <v>0</v>
      </c>
      <c r="AS62" s="76">
        <f t="shared" si="39"/>
        <v>0</v>
      </c>
      <c r="AT62" s="76">
        <f t="shared" si="39"/>
        <v>0</v>
      </c>
      <c r="AU62" s="76">
        <f t="shared" si="39"/>
        <v>0</v>
      </c>
      <c r="AV62" s="76">
        <f t="shared" si="39"/>
        <v>0</v>
      </c>
      <c r="AW62" s="76">
        <f t="shared" si="39"/>
        <v>0</v>
      </c>
      <c r="AX62" s="76">
        <f t="shared" si="40"/>
        <v>0</v>
      </c>
      <c r="AY62" s="76">
        <f t="shared" si="40"/>
        <v>0</v>
      </c>
      <c r="AZ62" s="76">
        <f t="shared" si="40"/>
        <v>0</v>
      </c>
      <c r="BA62" s="76">
        <f t="shared" si="40"/>
        <v>0</v>
      </c>
      <c r="BB62" s="76">
        <f t="shared" si="40"/>
        <v>0</v>
      </c>
      <c r="BC62" s="76">
        <f t="shared" si="40"/>
        <v>0</v>
      </c>
      <c r="BD62" s="76">
        <f t="shared" si="40"/>
        <v>0</v>
      </c>
      <c r="BE62" s="76">
        <f t="shared" si="40"/>
        <v>0</v>
      </c>
      <c r="BF62" s="76">
        <f t="shared" si="40"/>
        <v>0</v>
      </c>
      <c r="BG62" s="76">
        <f t="shared" si="40"/>
        <v>0</v>
      </c>
      <c r="BH62" s="76">
        <f t="shared" si="40"/>
        <v>0</v>
      </c>
      <c r="BI62" s="76">
        <f t="shared" si="40"/>
        <v>0</v>
      </c>
      <c r="BJ62" s="76">
        <f t="shared" si="40"/>
        <v>0</v>
      </c>
      <c r="BK62" s="76">
        <f t="shared" si="40"/>
        <v>0</v>
      </c>
      <c r="BL62" s="76">
        <f t="shared" si="40"/>
        <v>0</v>
      </c>
      <c r="BM62" s="76">
        <f t="shared" si="40"/>
        <v>0</v>
      </c>
      <c r="BN62" s="76">
        <f t="shared" si="41"/>
        <v>0</v>
      </c>
      <c r="BO62" s="76">
        <f t="shared" si="41"/>
        <v>0</v>
      </c>
      <c r="BP62" s="76">
        <f t="shared" si="41"/>
        <v>0</v>
      </c>
      <c r="BQ62" s="76">
        <f t="shared" si="41"/>
        <v>0</v>
      </c>
      <c r="BR62" s="76">
        <f t="shared" si="41"/>
        <v>0</v>
      </c>
      <c r="BS62" s="76">
        <f t="shared" si="41"/>
        <v>0</v>
      </c>
      <c r="BT62" s="76">
        <f t="shared" si="41"/>
        <v>0</v>
      </c>
      <c r="BU62" s="76">
        <f t="shared" si="41"/>
        <v>0</v>
      </c>
      <c r="BV62" s="76">
        <f t="shared" si="41"/>
        <v>0</v>
      </c>
      <c r="BW62" s="76">
        <f t="shared" si="41"/>
        <v>0</v>
      </c>
      <c r="BX62" s="76">
        <f t="shared" si="41"/>
        <v>0</v>
      </c>
      <c r="BY62" s="76">
        <f t="shared" si="41"/>
        <v>0</v>
      </c>
      <c r="BZ62" s="76">
        <f t="shared" si="41"/>
        <v>0</v>
      </c>
      <c r="CA62" s="76">
        <f t="shared" si="41"/>
        <v>0</v>
      </c>
      <c r="CB62" s="76">
        <f t="shared" si="41"/>
        <v>0</v>
      </c>
      <c r="CC62" s="76">
        <f t="shared" si="41"/>
        <v>0</v>
      </c>
      <c r="CD62" s="76">
        <f t="shared" si="42"/>
        <v>0</v>
      </c>
      <c r="CE62" s="76">
        <f t="shared" si="42"/>
        <v>0</v>
      </c>
      <c r="CF62" s="76">
        <f t="shared" si="42"/>
        <v>0</v>
      </c>
      <c r="CG62" s="76">
        <f t="shared" si="42"/>
        <v>0</v>
      </c>
      <c r="CH62" s="76">
        <f t="shared" si="42"/>
        <v>0</v>
      </c>
      <c r="CI62" s="76">
        <f t="shared" si="42"/>
        <v>0</v>
      </c>
      <c r="CJ62" s="76">
        <f t="shared" si="42"/>
        <v>0</v>
      </c>
      <c r="CK62" s="76">
        <f t="shared" si="42"/>
        <v>0</v>
      </c>
      <c r="CL62" s="76">
        <f t="shared" si="42"/>
        <v>0</v>
      </c>
      <c r="CM62" s="76">
        <f t="shared" si="42"/>
        <v>0</v>
      </c>
      <c r="CN62" s="76">
        <f t="shared" si="42"/>
        <v>0</v>
      </c>
      <c r="CO62" s="76">
        <f t="shared" si="42"/>
        <v>0</v>
      </c>
      <c r="CP62" s="76">
        <f t="shared" si="42"/>
        <v>0</v>
      </c>
      <c r="CQ62" s="76">
        <f t="shared" si="42"/>
        <v>0</v>
      </c>
      <c r="CR62" s="76">
        <f t="shared" si="42"/>
        <v>0</v>
      </c>
      <c r="CS62" s="76">
        <f t="shared" si="42"/>
        <v>0</v>
      </c>
      <c r="CT62" s="76">
        <f t="shared" si="43"/>
        <v>0</v>
      </c>
      <c r="CU62" s="76">
        <f t="shared" si="43"/>
        <v>0</v>
      </c>
      <c r="CV62" s="76">
        <f t="shared" si="43"/>
        <v>0</v>
      </c>
      <c r="CW62" s="76">
        <f t="shared" si="43"/>
        <v>0</v>
      </c>
      <c r="CX62" s="76">
        <f t="shared" si="43"/>
        <v>0</v>
      </c>
      <c r="CY62" s="76">
        <f t="shared" si="43"/>
        <v>0</v>
      </c>
      <c r="CZ62" s="76">
        <f t="shared" si="43"/>
        <v>0</v>
      </c>
      <c r="DA62" s="76">
        <f t="shared" si="43"/>
        <v>0</v>
      </c>
      <c r="DB62" s="76">
        <f t="shared" si="43"/>
        <v>0</v>
      </c>
      <c r="DC62" s="76">
        <f t="shared" si="43"/>
        <v>0</v>
      </c>
      <c r="DD62" s="76">
        <f t="shared" si="43"/>
        <v>0</v>
      </c>
      <c r="DE62" s="76">
        <f t="shared" si="43"/>
        <v>0</v>
      </c>
      <c r="DF62" s="76">
        <f t="shared" si="43"/>
        <v>0</v>
      </c>
      <c r="DG62" s="76">
        <f t="shared" si="43"/>
        <v>0</v>
      </c>
      <c r="DH62" s="76">
        <f t="shared" si="43"/>
        <v>0</v>
      </c>
      <c r="DI62" s="76">
        <f t="shared" si="43"/>
        <v>0</v>
      </c>
      <c r="DJ62" s="76">
        <f t="shared" si="44"/>
        <v>0</v>
      </c>
      <c r="DK62" s="76">
        <f t="shared" si="36"/>
        <v>0</v>
      </c>
      <c r="DL62" s="76">
        <f t="shared" si="36"/>
        <v>0</v>
      </c>
    </row>
    <row r="64" spans="2:116">
      <c r="B64" s="22" t="s">
        <v>96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O64" s="77" t="s">
        <v>109</v>
      </c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7"/>
      <c r="CE64" s="77"/>
      <c r="CF64" s="77"/>
      <c r="CG64" s="77"/>
      <c r="CH64" s="77"/>
      <c r="CI64" s="77"/>
      <c r="CJ64" s="77"/>
      <c r="CK64" s="77"/>
      <c r="CL64" s="77"/>
      <c r="CM64" s="77"/>
      <c r="CN64" s="77"/>
      <c r="CO64" s="77"/>
      <c r="CP64" s="77"/>
      <c r="CQ64" s="77"/>
      <c r="CR64" s="77"/>
      <c r="CS64" s="77"/>
      <c r="CT64" s="77"/>
      <c r="CU64" s="77"/>
      <c r="CV64" s="77"/>
      <c r="CW64" s="77"/>
      <c r="CX64" s="77"/>
      <c r="CY64" s="77"/>
      <c r="CZ64" s="77"/>
      <c r="DA64" s="77"/>
      <c r="DB64" s="77"/>
      <c r="DC64" s="77"/>
      <c r="DD64" s="77"/>
      <c r="DE64" s="77"/>
      <c r="DF64" s="77"/>
      <c r="DG64" s="77"/>
      <c r="DH64" s="77"/>
      <c r="DI64" s="77"/>
      <c r="DJ64" s="77"/>
      <c r="DK64" s="77"/>
      <c r="DL64" s="77"/>
    </row>
    <row r="65" spans="2:116">
      <c r="B65" s="70" t="s">
        <v>47</v>
      </c>
      <c r="C65" s="71" t="s">
        <v>49</v>
      </c>
      <c r="D65" s="71" t="s">
        <v>97</v>
      </c>
      <c r="E65" s="71" t="s">
        <v>98</v>
      </c>
      <c r="F65" s="71" t="s">
        <v>84</v>
      </c>
      <c r="G65" s="71" t="s">
        <v>104</v>
      </c>
      <c r="H65" s="71" t="s">
        <v>105</v>
      </c>
      <c r="I65" s="71" t="s">
        <v>103</v>
      </c>
      <c r="J65" s="71" t="s">
        <v>99</v>
      </c>
      <c r="K65" s="71" t="s">
        <v>102</v>
      </c>
      <c r="L65" s="71" t="s">
        <v>100</v>
      </c>
      <c r="M65" s="72" t="s">
        <v>101</v>
      </c>
      <c r="N65" s="56"/>
      <c r="O65" s="4" t="s">
        <v>107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</row>
    <row r="66" spans="2:116">
      <c r="B66" s="27">
        <f>Rentroll!$C$11</f>
        <v>17</v>
      </c>
      <c r="C66" s="69" t="str">
        <f>VLOOKUP($B66,Rentroll!$C$11:$X$29,3,FALSE)</f>
        <v>리마 상사</v>
      </c>
      <c r="D66" s="80">
        <f>VLOOKUP($B66,Rentroll!$C$11:$X$29,9,FALSE)</f>
        <v>45322</v>
      </c>
      <c r="E66" s="80">
        <f>VLOOKUP($B66,Rentroll!$C$11:$X$29,10,FALSE)</f>
        <v>47148</v>
      </c>
      <c r="F66" s="81">
        <f>VLOOKUP($B66,Rentroll!$C$11:$X$29,11,FALSE)</f>
        <v>60</v>
      </c>
      <c r="G66" s="69">
        <f>VLOOKUP($B66,Rentroll!$C$11:$X$29,13,FALSE)</f>
        <v>100000</v>
      </c>
      <c r="H66" s="69">
        <f>VLOOKUP($B66,Rentroll!$C$11:$X$29,14,FALSE)</f>
        <v>75000</v>
      </c>
      <c r="I66" s="69">
        <f>VLOOKUP($B66,Rentroll!$C$11:$X$29,15,FALSE)</f>
        <v>45000</v>
      </c>
      <c r="J66" s="82">
        <f>VLOOKUP($B66,Rentroll!$C$11:$X$29,19,FALSE)</f>
        <v>0.03</v>
      </c>
      <c r="K66" s="83">
        <f>VLOOKUP($B66,Rentroll!$C$11:$X$29,4,FALSE)</f>
        <v>1385.09</v>
      </c>
      <c r="L66" s="81">
        <f>VLOOKUP($B66,Rentroll!$C$11:$X$29,17,FALSE)</f>
        <v>0</v>
      </c>
      <c r="M66" s="84">
        <f>VLOOKUP($B66,Rentroll!$C$11:$X$29,18,FALSE)</f>
        <v>3</v>
      </c>
      <c r="O66" s="46">
        <f>B66</f>
        <v>17</v>
      </c>
      <c r="P66" s="73"/>
      <c r="Q66" s="73"/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3">
        <v>0</v>
      </c>
      <c r="Y66" s="73">
        <v>0</v>
      </c>
      <c r="Z66" s="73">
        <v>0</v>
      </c>
      <c r="AA66" s="73">
        <v>0</v>
      </c>
      <c r="AB66" s="73">
        <v>0</v>
      </c>
      <c r="AC66" s="73">
        <v>0</v>
      </c>
      <c r="AD66" s="73">
        <v>0</v>
      </c>
      <c r="AE66" s="73">
        <v>0</v>
      </c>
      <c r="AF66" s="73">
        <v>0</v>
      </c>
      <c r="AG66" s="73">
        <v>0</v>
      </c>
      <c r="AH66" s="73">
        <v>0</v>
      </c>
      <c r="AI66" s="73">
        <v>0</v>
      </c>
      <c r="AJ66" s="73">
        <v>0</v>
      </c>
      <c r="AK66" s="73">
        <v>0</v>
      </c>
      <c r="AL66" s="73">
        <v>0</v>
      </c>
      <c r="AM66" s="73">
        <v>0</v>
      </c>
      <c r="AN66" s="73">
        <v>0</v>
      </c>
      <c r="AO66" s="73">
        <v>0</v>
      </c>
      <c r="AP66" s="73">
        <v>0</v>
      </c>
      <c r="AQ66" s="73">
        <v>0</v>
      </c>
      <c r="AR66" s="73">
        <v>0</v>
      </c>
      <c r="AS66" s="73">
        <v>0</v>
      </c>
      <c r="AT66" s="73">
        <v>0</v>
      </c>
      <c r="AU66" s="73">
        <v>0</v>
      </c>
      <c r="AV66" s="73">
        <v>0</v>
      </c>
      <c r="AW66" s="73">
        <v>0</v>
      </c>
      <c r="AX66" s="73">
        <v>0</v>
      </c>
      <c r="AY66" s="73">
        <v>0</v>
      </c>
      <c r="AZ66" s="73">
        <v>0</v>
      </c>
      <c r="BA66" s="73">
        <v>0</v>
      </c>
      <c r="BB66" s="73">
        <v>0</v>
      </c>
      <c r="BC66" s="73">
        <v>0</v>
      </c>
      <c r="BD66" s="73">
        <v>0</v>
      </c>
      <c r="BE66" s="73">
        <v>0</v>
      </c>
      <c r="BF66" s="73">
        <v>0</v>
      </c>
      <c r="BG66" s="73">
        <v>0</v>
      </c>
      <c r="BH66" s="73">
        <v>0</v>
      </c>
      <c r="BI66" s="73">
        <v>0</v>
      </c>
      <c r="BJ66" s="73">
        <v>0</v>
      </c>
      <c r="BK66" s="73">
        <v>0</v>
      </c>
      <c r="BL66" s="73">
        <v>0</v>
      </c>
      <c r="BM66" s="73">
        <v>0</v>
      </c>
      <c r="BN66" s="73">
        <v>0</v>
      </c>
      <c r="BO66" s="73">
        <v>0</v>
      </c>
      <c r="BP66" s="73">
        <v>0</v>
      </c>
      <c r="BQ66" s="73">
        <v>0</v>
      </c>
      <c r="BR66" s="73">
        <v>0</v>
      </c>
      <c r="BS66" s="73">
        <v>0</v>
      </c>
      <c r="BT66" s="73">
        <v>0</v>
      </c>
      <c r="BU66" s="73">
        <v>0</v>
      </c>
      <c r="BV66" s="73">
        <v>0</v>
      </c>
      <c r="BW66" s="73">
        <v>0</v>
      </c>
      <c r="BX66" s="73">
        <v>0</v>
      </c>
      <c r="BY66" s="73">
        <v>0</v>
      </c>
      <c r="BZ66" s="73">
        <v>0</v>
      </c>
      <c r="CA66" s="73">
        <v>0</v>
      </c>
      <c r="CB66" s="73">
        <v>0</v>
      </c>
      <c r="CC66" s="73">
        <v>0</v>
      </c>
      <c r="CD66" s="73">
        <v>0</v>
      </c>
      <c r="CE66" s="73">
        <v>0</v>
      </c>
      <c r="CF66" s="73">
        <v>0</v>
      </c>
      <c r="CG66" s="73">
        <v>0</v>
      </c>
      <c r="CH66" s="73">
        <v>0</v>
      </c>
      <c r="CI66" s="73">
        <v>0</v>
      </c>
      <c r="CJ66" s="73">
        <v>0</v>
      </c>
      <c r="CK66" s="73">
        <v>0</v>
      </c>
      <c r="CL66" s="73">
        <v>0</v>
      </c>
      <c r="CM66" s="73">
        <v>0</v>
      </c>
      <c r="CN66" s="73">
        <v>0</v>
      </c>
      <c r="CO66" s="73">
        <v>0</v>
      </c>
      <c r="CP66" s="73">
        <v>0</v>
      </c>
      <c r="CQ66" s="73">
        <v>0</v>
      </c>
      <c r="CR66" s="73">
        <v>0</v>
      </c>
      <c r="CS66" s="73">
        <v>0</v>
      </c>
      <c r="CT66" s="73">
        <v>0</v>
      </c>
      <c r="CU66" s="73">
        <v>0</v>
      </c>
      <c r="CV66" s="73">
        <v>0</v>
      </c>
      <c r="CW66" s="73">
        <v>0</v>
      </c>
      <c r="CX66" s="73">
        <v>0</v>
      </c>
      <c r="CY66" s="73">
        <v>0</v>
      </c>
      <c r="CZ66" s="73">
        <v>0</v>
      </c>
      <c r="DA66" s="73">
        <v>0</v>
      </c>
      <c r="DB66" s="73">
        <v>0</v>
      </c>
      <c r="DC66" s="73">
        <v>0</v>
      </c>
      <c r="DD66" s="73">
        <v>0</v>
      </c>
      <c r="DE66" s="73">
        <v>0</v>
      </c>
      <c r="DF66" s="73">
        <v>0</v>
      </c>
      <c r="DG66" s="73">
        <v>0</v>
      </c>
      <c r="DH66" s="73">
        <v>0</v>
      </c>
      <c r="DI66" s="73">
        <v>0</v>
      </c>
      <c r="DJ66" s="73">
        <v>0</v>
      </c>
      <c r="DK66" s="73">
        <v>0</v>
      </c>
      <c r="DL66" s="73">
        <v>0</v>
      </c>
    </row>
    <row r="67" spans="2:116" ht="17">
      <c r="B67" s="27">
        <f>Rentroll!$C$12</f>
        <v>16</v>
      </c>
      <c r="C67" s="69" t="str">
        <f>VLOOKUP($B67,Rentroll!$C$11:$X$29,3,FALSE)</f>
        <v>리마 상사</v>
      </c>
      <c r="D67" s="80">
        <f>VLOOKUP($B67,Rentroll!$C$11:$X$29,9,FALSE)</f>
        <v>45322</v>
      </c>
      <c r="E67" s="80">
        <f>VLOOKUP($B67,Rentroll!$C$11:$X$29,10,FALSE)</f>
        <v>47148</v>
      </c>
      <c r="F67" s="81">
        <f>VLOOKUP($B67,Rentroll!$C$11:$X$29,11,FALSE)</f>
        <v>60</v>
      </c>
      <c r="G67" s="69">
        <f>VLOOKUP($B67,Rentroll!$C$11:$X$29,13,FALSE)</f>
        <v>100000</v>
      </c>
      <c r="H67" s="69">
        <f>VLOOKUP($B67,Rentroll!$C$11:$X$29,14,FALSE)</f>
        <v>75000</v>
      </c>
      <c r="I67" s="69">
        <f>VLOOKUP($B67,Rentroll!$C$11:$X$29,15,FALSE)</f>
        <v>45000</v>
      </c>
      <c r="J67" s="82">
        <f>VLOOKUP($B67,Rentroll!$C$11:$X$29,19,FALSE)</f>
        <v>0.03</v>
      </c>
      <c r="K67" s="83">
        <f>VLOOKUP($B67,Rentroll!$C$11:$X$29,4,FALSE)</f>
        <v>1385.09</v>
      </c>
      <c r="L67" s="81">
        <f>VLOOKUP($B67,Rentroll!$C$11:$X$29,17,FALSE)</f>
        <v>0</v>
      </c>
      <c r="M67" s="84">
        <f>VLOOKUP($B67,Rentroll!$C$11:$X$29,18,FALSE)</f>
        <v>3</v>
      </c>
      <c r="N67" s="20"/>
      <c r="O67" s="74">
        <f t="shared" ref="O67:O84" si="48">B67</f>
        <v>16</v>
      </c>
      <c r="P67" s="75"/>
      <c r="Q67" s="75"/>
      <c r="R67" s="75">
        <v>0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75">
        <v>0</v>
      </c>
      <c r="AB67" s="75">
        <v>0</v>
      </c>
      <c r="AC67" s="75">
        <v>0</v>
      </c>
      <c r="AD67" s="75">
        <v>0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75">
        <v>0</v>
      </c>
      <c r="AK67" s="75">
        <v>0</v>
      </c>
      <c r="AL67" s="75">
        <v>0</v>
      </c>
      <c r="AM67" s="75">
        <v>0</v>
      </c>
      <c r="AN67" s="75">
        <v>0</v>
      </c>
      <c r="AO67" s="75">
        <v>0</v>
      </c>
      <c r="AP67" s="75">
        <v>0</v>
      </c>
      <c r="AQ67" s="75">
        <v>0</v>
      </c>
      <c r="AR67" s="75">
        <v>0</v>
      </c>
      <c r="AS67" s="75">
        <v>0</v>
      </c>
      <c r="AT67" s="75">
        <v>0</v>
      </c>
      <c r="AU67" s="75">
        <v>0</v>
      </c>
      <c r="AV67" s="75">
        <v>0</v>
      </c>
      <c r="AW67" s="75">
        <v>0</v>
      </c>
      <c r="AX67" s="75">
        <v>0</v>
      </c>
      <c r="AY67" s="75">
        <v>0</v>
      </c>
      <c r="AZ67" s="75">
        <v>0</v>
      </c>
      <c r="BA67" s="75">
        <v>0</v>
      </c>
      <c r="BB67" s="75">
        <v>0</v>
      </c>
      <c r="BC67" s="75">
        <v>0</v>
      </c>
      <c r="BD67" s="75">
        <v>0</v>
      </c>
      <c r="BE67" s="75">
        <v>0</v>
      </c>
      <c r="BF67" s="75">
        <v>0</v>
      </c>
      <c r="BG67" s="75">
        <v>0</v>
      </c>
      <c r="BH67" s="75">
        <v>0</v>
      </c>
      <c r="BI67" s="75">
        <v>0</v>
      </c>
      <c r="BJ67" s="75">
        <v>0</v>
      </c>
      <c r="BK67" s="75">
        <v>0</v>
      </c>
      <c r="BL67" s="75">
        <v>0</v>
      </c>
      <c r="BM67" s="75">
        <v>0</v>
      </c>
      <c r="BN67" s="75">
        <v>0</v>
      </c>
      <c r="BO67" s="75">
        <v>0</v>
      </c>
      <c r="BP67" s="75">
        <v>0</v>
      </c>
      <c r="BQ67" s="75">
        <v>0</v>
      </c>
      <c r="BR67" s="75">
        <v>0</v>
      </c>
      <c r="BS67" s="75">
        <v>0</v>
      </c>
      <c r="BT67" s="75">
        <v>0</v>
      </c>
      <c r="BU67" s="75">
        <v>0</v>
      </c>
      <c r="BV67" s="75">
        <v>0</v>
      </c>
      <c r="BW67" s="75">
        <v>0</v>
      </c>
      <c r="BX67" s="75">
        <v>0</v>
      </c>
      <c r="BY67" s="75">
        <v>0</v>
      </c>
      <c r="BZ67" s="75">
        <v>0</v>
      </c>
      <c r="CA67" s="75">
        <v>0</v>
      </c>
      <c r="CB67" s="75">
        <v>0</v>
      </c>
      <c r="CC67" s="75">
        <v>0</v>
      </c>
      <c r="CD67" s="75">
        <v>0</v>
      </c>
      <c r="CE67" s="75">
        <v>0</v>
      </c>
      <c r="CF67" s="75">
        <v>0</v>
      </c>
      <c r="CG67" s="75">
        <v>0</v>
      </c>
      <c r="CH67" s="75">
        <v>0</v>
      </c>
      <c r="CI67" s="75">
        <v>0</v>
      </c>
      <c r="CJ67" s="75">
        <v>0</v>
      </c>
      <c r="CK67" s="75">
        <v>0</v>
      </c>
      <c r="CL67" s="75">
        <v>0</v>
      </c>
      <c r="CM67" s="75">
        <v>0</v>
      </c>
      <c r="CN67" s="75">
        <v>0</v>
      </c>
      <c r="CO67" s="75">
        <v>0</v>
      </c>
      <c r="CP67" s="75">
        <v>0</v>
      </c>
      <c r="CQ67" s="75">
        <v>0</v>
      </c>
      <c r="CR67" s="75">
        <v>0</v>
      </c>
      <c r="CS67" s="75">
        <v>0</v>
      </c>
      <c r="CT67" s="75">
        <v>0</v>
      </c>
      <c r="CU67" s="75">
        <v>0</v>
      </c>
      <c r="CV67" s="75">
        <v>0</v>
      </c>
      <c r="CW67" s="75">
        <v>0</v>
      </c>
      <c r="CX67" s="75">
        <v>0</v>
      </c>
      <c r="CY67" s="75">
        <v>0</v>
      </c>
      <c r="CZ67" s="75">
        <v>0</v>
      </c>
      <c r="DA67" s="75">
        <v>0</v>
      </c>
      <c r="DB67" s="75">
        <v>0</v>
      </c>
      <c r="DC67" s="75">
        <v>0</v>
      </c>
      <c r="DD67" s="75">
        <v>0</v>
      </c>
      <c r="DE67" s="75">
        <v>0</v>
      </c>
      <c r="DF67" s="75">
        <v>0</v>
      </c>
      <c r="DG67" s="75">
        <v>0</v>
      </c>
      <c r="DH67" s="75">
        <v>0</v>
      </c>
      <c r="DI67" s="75">
        <v>0</v>
      </c>
      <c r="DJ67" s="75">
        <v>0</v>
      </c>
      <c r="DK67" s="75">
        <v>0</v>
      </c>
      <c r="DL67" s="75">
        <v>0</v>
      </c>
    </row>
    <row r="68" spans="2:116">
      <c r="B68" s="27">
        <f>Rentroll!$C$13</f>
        <v>15</v>
      </c>
      <c r="C68" s="69" t="str">
        <f>VLOOKUP($B68,Rentroll!$C$11:$X$29,3,FALSE)</f>
        <v>모빌리티 테크놀로지</v>
      </c>
      <c r="D68" s="80">
        <f>VLOOKUP($B68,Rentroll!$C$11:$X$29,9,FALSE)</f>
        <v>44042</v>
      </c>
      <c r="E68" s="80">
        <f>VLOOKUP($B68,Rentroll!$C$11:$X$29,10,FALSE)</f>
        <v>45869</v>
      </c>
      <c r="F68" s="81">
        <f>VLOOKUP($B68,Rentroll!$C$11:$X$29,11,FALSE)</f>
        <v>60</v>
      </c>
      <c r="G68" s="69">
        <f>VLOOKUP($B68,Rentroll!$C$11:$X$29,13,FALSE)</f>
        <v>90041</v>
      </c>
      <c r="H68" s="69">
        <f>VLOOKUP($B68,Rentroll!$C$11:$X$29,14,FALSE)</f>
        <v>67530.75</v>
      </c>
      <c r="I68" s="69">
        <f>VLOOKUP($B68,Rentroll!$C$11:$X$29,15,FALSE)</f>
        <v>45020</v>
      </c>
      <c r="J68" s="82">
        <f>VLOOKUP($B68,Rentroll!$C$11:$X$29,19,FALSE)</f>
        <v>0.03</v>
      </c>
      <c r="K68" s="83">
        <f>VLOOKUP($B68,Rentroll!$C$11:$X$29,4,FALSE)</f>
        <v>1385.09</v>
      </c>
      <c r="L68" s="81">
        <f>VLOOKUP($B68,Rentroll!$C$11:$X$29,17,FALSE)</f>
        <v>0</v>
      </c>
      <c r="M68" s="84">
        <f>VLOOKUP($B68,Rentroll!$C$11:$X$29,18,FALSE)</f>
        <v>3</v>
      </c>
      <c r="O68" s="74">
        <f t="shared" si="48"/>
        <v>15</v>
      </c>
      <c r="P68" s="75"/>
      <c r="Q68" s="75"/>
      <c r="R68" s="75">
        <v>0</v>
      </c>
      <c r="S68" s="75">
        <v>0</v>
      </c>
      <c r="T68" s="75">
        <v>0</v>
      </c>
      <c r="U68" s="75">
        <v>0</v>
      </c>
      <c r="V68" s="75">
        <v>0</v>
      </c>
      <c r="W68" s="75">
        <v>0</v>
      </c>
      <c r="X68" s="75">
        <v>0</v>
      </c>
      <c r="Y68" s="75">
        <v>0</v>
      </c>
      <c r="Z68" s="75">
        <v>0</v>
      </c>
      <c r="AA68" s="75">
        <v>0</v>
      </c>
      <c r="AB68" s="75">
        <v>0</v>
      </c>
      <c r="AC68" s="75">
        <v>0</v>
      </c>
      <c r="AD68" s="75">
        <v>0</v>
      </c>
      <c r="AE68" s="75">
        <v>0</v>
      </c>
      <c r="AF68" s="75">
        <v>0</v>
      </c>
      <c r="AG68" s="75">
        <v>0</v>
      </c>
      <c r="AH68" s="75">
        <v>0</v>
      </c>
      <c r="AI68" s="75">
        <v>0</v>
      </c>
      <c r="AJ68" s="75">
        <v>0</v>
      </c>
      <c r="AK68" s="75">
        <v>0</v>
      </c>
      <c r="AL68" s="75">
        <v>0</v>
      </c>
      <c r="AM68" s="75">
        <v>0</v>
      </c>
      <c r="AN68" s="75">
        <v>0</v>
      </c>
      <c r="AO68" s="75">
        <v>0</v>
      </c>
      <c r="AP68" s="75">
        <v>0</v>
      </c>
      <c r="AQ68" s="75">
        <v>0</v>
      </c>
      <c r="AR68" s="75">
        <v>0</v>
      </c>
      <c r="AS68" s="75">
        <v>0</v>
      </c>
      <c r="AT68" s="75">
        <v>0</v>
      </c>
      <c r="AU68" s="75">
        <v>0</v>
      </c>
      <c r="AV68" s="75">
        <v>0</v>
      </c>
      <c r="AW68" s="75">
        <v>0</v>
      </c>
      <c r="AX68" s="75">
        <v>0</v>
      </c>
      <c r="AY68" s="75">
        <v>0</v>
      </c>
      <c r="AZ68" s="75">
        <v>0</v>
      </c>
      <c r="BA68" s="75">
        <v>0</v>
      </c>
      <c r="BB68" s="75">
        <v>0</v>
      </c>
      <c r="BC68" s="75">
        <v>0</v>
      </c>
      <c r="BD68" s="75">
        <v>0</v>
      </c>
      <c r="BE68" s="75">
        <v>0</v>
      </c>
      <c r="BF68" s="75">
        <v>0</v>
      </c>
      <c r="BG68" s="75">
        <v>0</v>
      </c>
      <c r="BH68" s="75">
        <v>0</v>
      </c>
      <c r="BI68" s="75">
        <v>0</v>
      </c>
      <c r="BJ68" s="75">
        <v>0</v>
      </c>
      <c r="BK68" s="75">
        <v>0</v>
      </c>
      <c r="BL68" s="75">
        <v>0</v>
      </c>
      <c r="BM68" s="75">
        <v>0</v>
      </c>
      <c r="BN68" s="75">
        <v>0</v>
      </c>
      <c r="BO68" s="75">
        <v>0</v>
      </c>
      <c r="BP68" s="75">
        <v>0</v>
      </c>
      <c r="BQ68" s="75">
        <v>0</v>
      </c>
      <c r="BR68" s="75">
        <v>0</v>
      </c>
      <c r="BS68" s="75">
        <v>0</v>
      </c>
      <c r="BT68" s="75">
        <v>0</v>
      </c>
      <c r="BU68" s="75">
        <v>0</v>
      </c>
      <c r="BV68" s="75">
        <v>0</v>
      </c>
      <c r="BW68" s="75">
        <v>0</v>
      </c>
      <c r="BX68" s="75">
        <v>0</v>
      </c>
      <c r="BY68" s="75">
        <v>0</v>
      </c>
      <c r="BZ68" s="75">
        <v>0</v>
      </c>
      <c r="CA68" s="75">
        <v>0</v>
      </c>
      <c r="CB68" s="75">
        <v>0</v>
      </c>
      <c r="CC68" s="75">
        <v>0</v>
      </c>
      <c r="CD68" s="75">
        <v>0</v>
      </c>
      <c r="CE68" s="75">
        <v>0</v>
      </c>
      <c r="CF68" s="75">
        <v>0</v>
      </c>
      <c r="CG68" s="75">
        <v>0</v>
      </c>
      <c r="CH68" s="75">
        <v>0</v>
      </c>
      <c r="CI68" s="75">
        <v>0</v>
      </c>
      <c r="CJ68" s="75">
        <v>0</v>
      </c>
      <c r="CK68" s="75">
        <v>0</v>
      </c>
      <c r="CL68" s="75">
        <v>0</v>
      </c>
      <c r="CM68" s="75">
        <v>0</v>
      </c>
      <c r="CN68" s="75">
        <v>0</v>
      </c>
      <c r="CO68" s="75">
        <v>0</v>
      </c>
      <c r="CP68" s="75">
        <v>0</v>
      </c>
      <c r="CQ68" s="75">
        <v>0</v>
      </c>
      <c r="CR68" s="75">
        <v>0</v>
      </c>
      <c r="CS68" s="75">
        <v>0</v>
      </c>
      <c r="CT68" s="75">
        <v>0</v>
      </c>
      <c r="CU68" s="75">
        <v>0</v>
      </c>
      <c r="CV68" s="75">
        <v>0</v>
      </c>
      <c r="CW68" s="75">
        <v>0</v>
      </c>
      <c r="CX68" s="75">
        <v>0</v>
      </c>
      <c r="CY68" s="75">
        <v>0</v>
      </c>
      <c r="CZ68" s="75">
        <v>0</v>
      </c>
      <c r="DA68" s="75">
        <v>0</v>
      </c>
      <c r="DB68" s="75">
        <v>0</v>
      </c>
      <c r="DC68" s="75">
        <v>0</v>
      </c>
      <c r="DD68" s="75">
        <v>0</v>
      </c>
      <c r="DE68" s="75">
        <v>0</v>
      </c>
      <c r="DF68" s="75">
        <v>0</v>
      </c>
      <c r="DG68" s="75">
        <v>0</v>
      </c>
      <c r="DH68" s="75">
        <v>0</v>
      </c>
      <c r="DI68" s="75">
        <v>0</v>
      </c>
      <c r="DJ68" s="75">
        <v>0</v>
      </c>
      <c r="DK68" s="75">
        <v>0</v>
      </c>
      <c r="DL68" s="75">
        <v>0</v>
      </c>
    </row>
    <row r="69" spans="2:116">
      <c r="B69" s="27">
        <f>Rentroll!$C$14</f>
        <v>14</v>
      </c>
      <c r="C69" s="69" t="str">
        <f>VLOOKUP($B69,Rentroll!$C$11:$X$29,3,FALSE)</f>
        <v>모빌리티 테크놀로지</v>
      </c>
      <c r="D69" s="80">
        <f>VLOOKUP($B69,Rentroll!$C$11:$X$29,9,FALSE)</f>
        <v>44043</v>
      </c>
      <c r="E69" s="80">
        <f>VLOOKUP($B69,Rentroll!$C$11:$X$29,10,FALSE)</f>
        <v>45868</v>
      </c>
      <c r="F69" s="81">
        <f>VLOOKUP($B69,Rentroll!$C$11:$X$29,11,FALSE)</f>
        <v>60</v>
      </c>
      <c r="G69" s="69">
        <f>VLOOKUP($B69,Rentroll!$C$11:$X$29,13,FALSE)</f>
        <v>90041</v>
      </c>
      <c r="H69" s="69">
        <f>VLOOKUP($B69,Rentroll!$C$11:$X$29,14,FALSE)</f>
        <v>67530.75</v>
      </c>
      <c r="I69" s="69">
        <f>VLOOKUP($B69,Rentroll!$C$11:$X$29,15,FALSE)</f>
        <v>45020</v>
      </c>
      <c r="J69" s="82">
        <f>VLOOKUP($B69,Rentroll!$C$11:$X$29,19,FALSE)</f>
        <v>0.03</v>
      </c>
      <c r="K69" s="83">
        <f>VLOOKUP($B69,Rentroll!$C$11:$X$29,4,FALSE)</f>
        <v>1385.09</v>
      </c>
      <c r="L69" s="81">
        <f>VLOOKUP($B69,Rentroll!$C$11:$X$29,17,FALSE)</f>
        <v>0</v>
      </c>
      <c r="M69" s="84">
        <f>VLOOKUP($B69,Rentroll!$C$11:$X$29,18,FALSE)</f>
        <v>3</v>
      </c>
      <c r="O69" s="74">
        <f t="shared" si="48"/>
        <v>14</v>
      </c>
      <c r="P69" s="75"/>
      <c r="Q69" s="75"/>
      <c r="R69" s="75">
        <v>0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  <c r="Z69" s="75">
        <v>0</v>
      </c>
      <c r="AA69" s="75">
        <v>0</v>
      </c>
      <c r="AB69" s="75">
        <v>0</v>
      </c>
      <c r="AC69" s="75">
        <v>0</v>
      </c>
      <c r="AD69" s="75">
        <v>0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75">
        <v>0</v>
      </c>
      <c r="AK69" s="75">
        <v>0</v>
      </c>
      <c r="AL69" s="75">
        <v>0</v>
      </c>
      <c r="AM69" s="75">
        <v>0</v>
      </c>
      <c r="AN69" s="75">
        <v>0</v>
      </c>
      <c r="AO69" s="75">
        <v>0</v>
      </c>
      <c r="AP69" s="75">
        <v>0</v>
      </c>
      <c r="AQ69" s="75">
        <v>0</v>
      </c>
      <c r="AR69" s="75">
        <v>0</v>
      </c>
      <c r="AS69" s="75">
        <v>0</v>
      </c>
      <c r="AT69" s="75">
        <v>0</v>
      </c>
      <c r="AU69" s="75">
        <v>0</v>
      </c>
      <c r="AV69" s="75">
        <v>0</v>
      </c>
      <c r="AW69" s="75">
        <v>0</v>
      </c>
      <c r="AX69" s="75">
        <v>0</v>
      </c>
      <c r="AY69" s="75">
        <v>0</v>
      </c>
      <c r="AZ69" s="75">
        <v>0</v>
      </c>
      <c r="BA69" s="75">
        <v>0</v>
      </c>
      <c r="BB69" s="75">
        <v>0</v>
      </c>
      <c r="BC69" s="75">
        <v>0</v>
      </c>
      <c r="BD69" s="75">
        <v>0</v>
      </c>
      <c r="BE69" s="75">
        <v>0</v>
      </c>
      <c r="BF69" s="75">
        <v>0</v>
      </c>
      <c r="BG69" s="75">
        <v>0</v>
      </c>
      <c r="BH69" s="75">
        <v>0</v>
      </c>
      <c r="BI69" s="75">
        <v>0</v>
      </c>
      <c r="BJ69" s="75">
        <v>0</v>
      </c>
      <c r="BK69" s="75">
        <v>0</v>
      </c>
      <c r="BL69" s="75">
        <v>0</v>
      </c>
      <c r="BM69" s="75">
        <v>0</v>
      </c>
      <c r="BN69" s="75">
        <v>0</v>
      </c>
      <c r="BO69" s="75">
        <v>0</v>
      </c>
      <c r="BP69" s="75">
        <v>0</v>
      </c>
      <c r="BQ69" s="75">
        <v>0</v>
      </c>
      <c r="BR69" s="75">
        <v>0</v>
      </c>
      <c r="BS69" s="75">
        <v>0</v>
      </c>
      <c r="BT69" s="75">
        <v>0</v>
      </c>
      <c r="BU69" s="75">
        <v>0</v>
      </c>
      <c r="BV69" s="75">
        <v>0</v>
      </c>
      <c r="BW69" s="75">
        <v>0</v>
      </c>
      <c r="BX69" s="75">
        <v>0</v>
      </c>
      <c r="BY69" s="75">
        <v>0</v>
      </c>
      <c r="BZ69" s="75">
        <v>0</v>
      </c>
      <c r="CA69" s="75">
        <v>0</v>
      </c>
      <c r="CB69" s="75">
        <v>0</v>
      </c>
      <c r="CC69" s="75">
        <v>0</v>
      </c>
      <c r="CD69" s="75">
        <v>0</v>
      </c>
      <c r="CE69" s="75">
        <v>0</v>
      </c>
      <c r="CF69" s="75">
        <v>0</v>
      </c>
      <c r="CG69" s="75">
        <v>0</v>
      </c>
      <c r="CH69" s="75">
        <v>0</v>
      </c>
      <c r="CI69" s="75">
        <v>0</v>
      </c>
      <c r="CJ69" s="75">
        <v>0</v>
      </c>
      <c r="CK69" s="75">
        <v>0</v>
      </c>
      <c r="CL69" s="75">
        <v>0</v>
      </c>
      <c r="CM69" s="75">
        <v>0</v>
      </c>
      <c r="CN69" s="75">
        <v>0</v>
      </c>
      <c r="CO69" s="75">
        <v>0</v>
      </c>
      <c r="CP69" s="75">
        <v>0</v>
      </c>
      <c r="CQ69" s="75">
        <v>0</v>
      </c>
      <c r="CR69" s="75">
        <v>0</v>
      </c>
      <c r="CS69" s="75">
        <v>0</v>
      </c>
      <c r="CT69" s="75">
        <v>0</v>
      </c>
      <c r="CU69" s="75">
        <v>0</v>
      </c>
      <c r="CV69" s="75">
        <v>0</v>
      </c>
      <c r="CW69" s="75">
        <v>0</v>
      </c>
      <c r="CX69" s="75">
        <v>0</v>
      </c>
      <c r="CY69" s="75">
        <v>0</v>
      </c>
      <c r="CZ69" s="75">
        <v>0</v>
      </c>
      <c r="DA69" s="75">
        <v>0</v>
      </c>
      <c r="DB69" s="75">
        <v>0</v>
      </c>
      <c r="DC69" s="75">
        <v>0</v>
      </c>
      <c r="DD69" s="75">
        <v>0</v>
      </c>
      <c r="DE69" s="75">
        <v>0</v>
      </c>
      <c r="DF69" s="75">
        <v>0</v>
      </c>
      <c r="DG69" s="75">
        <v>0</v>
      </c>
      <c r="DH69" s="75">
        <v>0</v>
      </c>
      <c r="DI69" s="75">
        <v>0</v>
      </c>
      <c r="DJ69" s="75">
        <v>0</v>
      </c>
      <c r="DK69" s="75">
        <v>0</v>
      </c>
      <c r="DL69" s="75">
        <v>0</v>
      </c>
    </row>
    <row r="70" spans="2:116" ht="17">
      <c r="B70" s="27">
        <f>Rentroll!$C$15</f>
        <v>13</v>
      </c>
      <c r="C70" s="69" t="str">
        <f>VLOOKUP($B70,Rentroll!$C$11:$X$29,3,FALSE)</f>
        <v>모빌리티 테크놀로지</v>
      </c>
      <c r="D70" s="80">
        <f>VLOOKUP($B70,Rentroll!$C$11:$X$29,9,FALSE)</f>
        <v>44043</v>
      </c>
      <c r="E70" s="80">
        <f>VLOOKUP($B70,Rentroll!$C$11:$X$29,10,FALSE)</f>
        <v>45868</v>
      </c>
      <c r="F70" s="85">
        <f>VLOOKUP($B70,Rentroll!$C$11:$X$29,11,FALSE)</f>
        <v>60</v>
      </c>
      <c r="G70" s="86">
        <f>VLOOKUP($B70,Rentroll!$C$11:$X$29,13,FALSE)</f>
        <v>90041</v>
      </c>
      <c r="H70" s="69">
        <f>VLOOKUP($B70,Rentroll!$C$11:$X$29,14,FALSE)</f>
        <v>67530.75</v>
      </c>
      <c r="I70" s="69">
        <f>VLOOKUP($B70,Rentroll!$C$11:$X$29,15,FALSE)</f>
        <v>45020</v>
      </c>
      <c r="J70" s="82">
        <f>VLOOKUP($B70,Rentroll!$C$11:$X$29,19,FALSE)</f>
        <v>0.03</v>
      </c>
      <c r="K70" s="83">
        <f>VLOOKUP($B70,Rentroll!$C$11:$X$29,4,FALSE)</f>
        <v>1385.09</v>
      </c>
      <c r="L70" s="81">
        <f>VLOOKUP($B70,Rentroll!$C$11:$X$29,17,FALSE)</f>
        <v>0</v>
      </c>
      <c r="M70" s="84">
        <f>VLOOKUP($B70,Rentroll!$C$11:$X$29,18,FALSE)</f>
        <v>3</v>
      </c>
      <c r="O70" s="74">
        <f t="shared" si="48"/>
        <v>13</v>
      </c>
      <c r="P70" s="75"/>
      <c r="Q70" s="75"/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75">
        <v>0</v>
      </c>
      <c r="AH70" s="75">
        <v>0</v>
      </c>
      <c r="AI70" s="75">
        <v>0</v>
      </c>
      <c r="AJ70" s="75">
        <v>0</v>
      </c>
      <c r="AK70" s="75">
        <v>0</v>
      </c>
      <c r="AL70" s="75">
        <v>0</v>
      </c>
      <c r="AM70" s="75">
        <v>0</v>
      </c>
      <c r="AN70" s="75">
        <v>0</v>
      </c>
      <c r="AO70" s="75">
        <v>0</v>
      </c>
      <c r="AP70" s="75">
        <v>0</v>
      </c>
      <c r="AQ70" s="75">
        <v>0</v>
      </c>
      <c r="AR70" s="75">
        <v>0</v>
      </c>
      <c r="AS70" s="75">
        <v>0</v>
      </c>
      <c r="AT70" s="75">
        <v>0</v>
      </c>
      <c r="AU70" s="75">
        <v>0</v>
      </c>
      <c r="AV70" s="75">
        <v>0</v>
      </c>
      <c r="AW70" s="75">
        <v>0</v>
      </c>
      <c r="AX70" s="75">
        <v>0</v>
      </c>
      <c r="AY70" s="75">
        <v>0</v>
      </c>
      <c r="AZ70" s="75">
        <v>0</v>
      </c>
      <c r="BA70" s="75">
        <v>0</v>
      </c>
      <c r="BB70" s="75">
        <v>0</v>
      </c>
      <c r="BC70" s="75">
        <v>0</v>
      </c>
      <c r="BD70" s="75">
        <v>0</v>
      </c>
      <c r="BE70" s="75">
        <v>0</v>
      </c>
      <c r="BF70" s="75">
        <v>0</v>
      </c>
      <c r="BG70" s="75">
        <v>0</v>
      </c>
      <c r="BH70" s="75">
        <v>0</v>
      </c>
      <c r="BI70" s="75">
        <v>0</v>
      </c>
      <c r="BJ70" s="75">
        <v>0</v>
      </c>
      <c r="BK70" s="75">
        <v>0</v>
      </c>
      <c r="BL70" s="75">
        <v>0</v>
      </c>
      <c r="BM70" s="75">
        <v>0</v>
      </c>
      <c r="BN70" s="75">
        <v>0</v>
      </c>
      <c r="BO70" s="75">
        <v>0</v>
      </c>
      <c r="BP70" s="75">
        <v>0</v>
      </c>
      <c r="BQ70" s="75">
        <v>0</v>
      </c>
      <c r="BR70" s="75">
        <v>0</v>
      </c>
      <c r="BS70" s="75">
        <v>0</v>
      </c>
      <c r="BT70" s="75">
        <v>0</v>
      </c>
      <c r="BU70" s="75">
        <v>0</v>
      </c>
      <c r="BV70" s="75">
        <v>0</v>
      </c>
      <c r="BW70" s="75">
        <v>0</v>
      </c>
      <c r="BX70" s="75">
        <v>0</v>
      </c>
      <c r="BY70" s="75">
        <v>0</v>
      </c>
      <c r="BZ70" s="75">
        <v>0</v>
      </c>
      <c r="CA70" s="75">
        <v>0</v>
      </c>
      <c r="CB70" s="75">
        <v>0</v>
      </c>
      <c r="CC70" s="75">
        <v>0</v>
      </c>
      <c r="CD70" s="75">
        <v>0</v>
      </c>
      <c r="CE70" s="75">
        <v>0</v>
      </c>
      <c r="CF70" s="75">
        <v>0</v>
      </c>
      <c r="CG70" s="75">
        <v>0</v>
      </c>
      <c r="CH70" s="75">
        <v>0</v>
      </c>
      <c r="CI70" s="75">
        <v>0</v>
      </c>
      <c r="CJ70" s="75">
        <v>0</v>
      </c>
      <c r="CK70" s="75">
        <v>0</v>
      </c>
      <c r="CL70" s="75">
        <v>0</v>
      </c>
      <c r="CM70" s="75">
        <v>0</v>
      </c>
      <c r="CN70" s="75">
        <v>0</v>
      </c>
      <c r="CO70" s="75">
        <v>0</v>
      </c>
      <c r="CP70" s="75">
        <v>0</v>
      </c>
      <c r="CQ70" s="75">
        <v>0</v>
      </c>
      <c r="CR70" s="75">
        <v>0</v>
      </c>
      <c r="CS70" s="75">
        <v>0</v>
      </c>
      <c r="CT70" s="75">
        <v>0</v>
      </c>
      <c r="CU70" s="75">
        <v>0</v>
      </c>
      <c r="CV70" s="75">
        <v>0</v>
      </c>
      <c r="CW70" s="75">
        <v>0</v>
      </c>
      <c r="CX70" s="75">
        <v>0</v>
      </c>
      <c r="CY70" s="75">
        <v>0</v>
      </c>
      <c r="CZ70" s="75">
        <v>0</v>
      </c>
      <c r="DA70" s="75">
        <v>0</v>
      </c>
      <c r="DB70" s="75">
        <v>0</v>
      </c>
      <c r="DC70" s="75">
        <v>0</v>
      </c>
      <c r="DD70" s="75">
        <v>0</v>
      </c>
      <c r="DE70" s="75">
        <v>0</v>
      </c>
      <c r="DF70" s="75">
        <v>0</v>
      </c>
      <c r="DG70" s="75">
        <v>0</v>
      </c>
      <c r="DH70" s="75">
        <v>0</v>
      </c>
      <c r="DI70" s="75">
        <v>0</v>
      </c>
      <c r="DJ70" s="75">
        <v>0</v>
      </c>
      <c r="DK70" s="75">
        <v>0</v>
      </c>
      <c r="DL70" s="75">
        <v>0</v>
      </c>
    </row>
    <row r="71" spans="2:116">
      <c r="B71" s="27">
        <f>Rentroll!$C$16</f>
        <v>12</v>
      </c>
      <c r="C71" s="69" t="str">
        <f>VLOOKUP($B71,Rentroll!$C$11:$X$29,3,FALSE)</f>
        <v>모빌리티 테크놀로지</v>
      </c>
      <c r="D71" s="80">
        <f>VLOOKUP($B71,Rentroll!$C$11:$X$29,9,FALSE)</f>
        <v>44043</v>
      </c>
      <c r="E71" s="80">
        <f>VLOOKUP($B71,Rentroll!$C$11:$X$29,10,FALSE)</f>
        <v>45868</v>
      </c>
      <c r="F71" s="81">
        <f>VLOOKUP($B71,Rentroll!$C$11:$X$29,11,FALSE)</f>
        <v>60</v>
      </c>
      <c r="G71" s="69">
        <f>VLOOKUP($B71,Rentroll!$C$11:$X$29,13,FALSE)</f>
        <v>90041</v>
      </c>
      <c r="H71" s="69">
        <f>VLOOKUP($B71,Rentroll!$C$11:$X$29,14,FALSE)</f>
        <v>67530.75</v>
      </c>
      <c r="I71" s="69">
        <f>VLOOKUP($B71,Rentroll!$C$11:$X$29,15,FALSE)</f>
        <v>45020</v>
      </c>
      <c r="J71" s="82">
        <f>VLOOKUP($B71,Rentroll!$C$11:$X$29,19,FALSE)</f>
        <v>0.03</v>
      </c>
      <c r="K71" s="83">
        <f>VLOOKUP($B71,Rentroll!$C$11:$X$29,4,FALSE)</f>
        <v>1385.09</v>
      </c>
      <c r="L71" s="81">
        <f>VLOOKUP($B71,Rentroll!$C$11:$X$29,17,FALSE)</f>
        <v>0</v>
      </c>
      <c r="M71" s="84">
        <f>VLOOKUP($B71,Rentroll!$C$11:$X$29,18,FALSE)</f>
        <v>3</v>
      </c>
      <c r="O71" s="74">
        <f t="shared" si="48"/>
        <v>12</v>
      </c>
      <c r="P71" s="75"/>
      <c r="Q71" s="75"/>
      <c r="R71" s="75">
        <v>0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  <c r="X71" s="75">
        <v>0</v>
      </c>
      <c r="Y71" s="75">
        <v>0</v>
      </c>
      <c r="Z71" s="75">
        <v>0</v>
      </c>
      <c r="AA71" s="75">
        <v>0</v>
      </c>
      <c r="AB71" s="75">
        <v>0</v>
      </c>
      <c r="AC71" s="75">
        <v>0</v>
      </c>
      <c r="AD71" s="75">
        <v>0</v>
      </c>
      <c r="AE71" s="75">
        <v>0</v>
      </c>
      <c r="AF71" s="75">
        <v>0</v>
      </c>
      <c r="AG71" s="75">
        <v>0</v>
      </c>
      <c r="AH71" s="75">
        <v>0</v>
      </c>
      <c r="AI71" s="75">
        <v>0</v>
      </c>
      <c r="AJ71" s="75">
        <v>0</v>
      </c>
      <c r="AK71" s="75">
        <v>0</v>
      </c>
      <c r="AL71" s="75">
        <v>0</v>
      </c>
      <c r="AM71" s="75">
        <v>0</v>
      </c>
      <c r="AN71" s="75">
        <v>0</v>
      </c>
      <c r="AO71" s="75">
        <v>0</v>
      </c>
      <c r="AP71" s="75">
        <v>0</v>
      </c>
      <c r="AQ71" s="75">
        <v>0</v>
      </c>
      <c r="AR71" s="75">
        <v>0</v>
      </c>
      <c r="AS71" s="75">
        <v>0</v>
      </c>
      <c r="AT71" s="75">
        <v>0</v>
      </c>
      <c r="AU71" s="75">
        <v>0</v>
      </c>
      <c r="AV71" s="75">
        <v>0</v>
      </c>
      <c r="AW71" s="75">
        <v>0</v>
      </c>
      <c r="AX71" s="75">
        <v>0</v>
      </c>
      <c r="AY71" s="75">
        <v>0</v>
      </c>
      <c r="AZ71" s="75">
        <v>0</v>
      </c>
      <c r="BA71" s="75">
        <v>0</v>
      </c>
      <c r="BB71" s="75">
        <v>0</v>
      </c>
      <c r="BC71" s="75">
        <v>0</v>
      </c>
      <c r="BD71" s="75">
        <v>0</v>
      </c>
      <c r="BE71" s="75">
        <v>0</v>
      </c>
      <c r="BF71" s="75">
        <v>0</v>
      </c>
      <c r="BG71" s="75">
        <v>0</v>
      </c>
      <c r="BH71" s="75">
        <v>0</v>
      </c>
      <c r="BI71" s="75">
        <v>0</v>
      </c>
      <c r="BJ71" s="75">
        <v>0</v>
      </c>
      <c r="BK71" s="75">
        <v>0</v>
      </c>
      <c r="BL71" s="75">
        <v>0</v>
      </c>
      <c r="BM71" s="75">
        <v>0</v>
      </c>
      <c r="BN71" s="75">
        <v>0</v>
      </c>
      <c r="BO71" s="75">
        <v>0</v>
      </c>
      <c r="BP71" s="75">
        <v>0</v>
      </c>
      <c r="BQ71" s="75">
        <v>0</v>
      </c>
      <c r="BR71" s="75">
        <v>0</v>
      </c>
      <c r="BS71" s="75">
        <v>0</v>
      </c>
      <c r="BT71" s="75">
        <v>0</v>
      </c>
      <c r="BU71" s="75">
        <v>0</v>
      </c>
      <c r="BV71" s="75">
        <v>0</v>
      </c>
      <c r="BW71" s="75">
        <v>0</v>
      </c>
      <c r="BX71" s="75">
        <v>0</v>
      </c>
      <c r="BY71" s="75">
        <v>0</v>
      </c>
      <c r="BZ71" s="75">
        <v>0</v>
      </c>
      <c r="CA71" s="75">
        <v>0</v>
      </c>
      <c r="CB71" s="75">
        <v>0</v>
      </c>
      <c r="CC71" s="75">
        <v>0</v>
      </c>
      <c r="CD71" s="75">
        <v>0</v>
      </c>
      <c r="CE71" s="75">
        <v>0</v>
      </c>
      <c r="CF71" s="75">
        <v>0</v>
      </c>
      <c r="CG71" s="75">
        <v>0</v>
      </c>
      <c r="CH71" s="75">
        <v>0</v>
      </c>
      <c r="CI71" s="75">
        <v>0</v>
      </c>
      <c r="CJ71" s="75">
        <v>0</v>
      </c>
      <c r="CK71" s="75">
        <v>0</v>
      </c>
      <c r="CL71" s="75">
        <v>0</v>
      </c>
      <c r="CM71" s="75">
        <v>0</v>
      </c>
      <c r="CN71" s="75">
        <v>0</v>
      </c>
      <c r="CO71" s="75">
        <v>0</v>
      </c>
      <c r="CP71" s="75">
        <v>0</v>
      </c>
      <c r="CQ71" s="75">
        <v>0</v>
      </c>
      <c r="CR71" s="75">
        <v>0</v>
      </c>
      <c r="CS71" s="75">
        <v>0</v>
      </c>
      <c r="CT71" s="75">
        <v>0</v>
      </c>
      <c r="CU71" s="75">
        <v>0</v>
      </c>
      <c r="CV71" s="75">
        <v>0</v>
      </c>
      <c r="CW71" s="75">
        <v>0</v>
      </c>
      <c r="CX71" s="75">
        <v>0</v>
      </c>
      <c r="CY71" s="75">
        <v>0</v>
      </c>
      <c r="CZ71" s="75">
        <v>0</v>
      </c>
      <c r="DA71" s="75">
        <v>0</v>
      </c>
      <c r="DB71" s="75">
        <v>0</v>
      </c>
      <c r="DC71" s="75">
        <v>0</v>
      </c>
      <c r="DD71" s="75">
        <v>0</v>
      </c>
      <c r="DE71" s="75">
        <v>0</v>
      </c>
      <c r="DF71" s="75">
        <v>0</v>
      </c>
      <c r="DG71" s="75">
        <v>0</v>
      </c>
      <c r="DH71" s="75">
        <v>0</v>
      </c>
      <c r="DI71" s="75">
        <v>0</v>
      </c>
      <c r="DJ71" s="75">
        <v>0</v>
      </c>
      <c r="DK71" s="75">
        <v>0</v>
      </c>
      <c r="DL71" s="75">
        <v>0</v>
      </c>
    </row>
    <row r="72" spans="2:116">
      <c r="B72" s="27">
        <f>Rentroll!$C$17</f>
        <v>11</v>
      </c>
      <c r="C72" s="69" t="str">
        <f>VLOOKUP($B72,Rentroll!$C$11:$X$29,3,FALSE)</f>
        <v>노벰버 건설</v>
      </c>
      <c r="D72" s="80">
        <f>VLOOKUP($B72,Rentroll!$C$11:$X$29,9,FALSE)</f>
        <v>45077</v>
      </c>
      <c r="E72" s="80">
        <f>VLOOKUP($B72,Rentroll!$C$11:$X$29,10,FALSE)</f>
        <v>46903</v>
      </c>
      <c r="F72" s="81">
        <f>VLOOKUP($B72,Rentroll!$C$11:$X$29,11,FALSE)</f>
        <v>60</v>
      </c>
      <c r="G72" s="69">
        <f>VLOOKUP($B72,Rentroll!$C$11:$X$29,13,FALSE)</f>
        <v>103000</v>
      </c>
      <c r="H72" s="69">
        <f>VLOOKUP($B72,Rentroll!$C$11:$X$29,14,FALSE)</f>
        <v>85833.333333333328</v>
      </c>
      <c r="I72" s="69">
        <f>VLOOKUP($B72,Rentroll!$C$11:$X$29,15,FALSE)</f>
        <v>46350</v>
      </c>
      <c r="J72" s="82">
        <f>VLOOKUP($B72,Rentroll!$C$11:$X$29,19,FALSE)</f>
        <v>0.03</v>
      </c>
      <c r="K72" s="83">
        <f>VLOOKUP($B72,Rentroll!$C$11:$X$29,4,FALSE)</f>
        <v>1385.09</v>
      </c>
      <c r="L72" s="81">
        <f>VLOOKUP($B72,Rentroll!$C$11:$X$29,17,FALSE)</f>
        <v>0</v>
      </c>
      <c r="M72" s="84">
        <f>VLOOKUP($B72,Rentroll!$C$11:$X$29,18,FALSE)</f>
        <v>2</v>
      </c>
      <c r="O72" s="74">
        <f t="shared" si="48"/>
        <v>11</v>
      </c>
      <c r="P72" s="75"/>
      <c r="Q72" s="75"/>
      <c r="R72" s="75">
        <v>0</v>
      </c>
      <c r="S72" s="75">
        <v>0</v>
      </c>
      <c r="T72" s="75">
        <v>0</v>
      </c>
      <c r="U72" s="75">
        <v>0</v>
      </c>
      <c r="V72" s="75">
        <v>0</v>
      </c>
      <c r="W72" s="75">
        <v>0</v>
      </c>
      <c r="X72" s="75">
        <v>0</v>
      </c>
      <c r="Y72" s="75">
        <v>0</v>
      </c>
      <c r="Z72" s="75">
        <v>0</v>
      </c>
      <c r="AA72" s="75">
        <v>0</v>
      </c>
      <c r="AB72" s="75">
        <v>0</v>
      </c>
      <c r="AC72" s="75">
        <v>0</v>
      </c>
      <c r="AD72" s="75">
        <v>0</v>
      </c>
      <c r="AE72" s="75">
        <v>0</v>
      </c>
      <c r="AF72" s="75">
        <v>0</v>
      </c>
      <c r="AG72" s="75">
        <v>0</v>
      </c>
      <c r="AH72" s="75">
        <v>0</v>
      </c>
      <c r="AI72" s="75">
        <v>0</v>
      </c>
      <c r="AJ72" s="75">
        <v>0</v>
      </c>
      <c r="AK72" s="75">
        <v>0</v>
      </c>
      <c r="AL72" s="75">
        <v>0</v>
      </c>
      <c r="AM72" s="75">
        <v>0</v>
      </c>
      <c r="AN72" s="75">
        <v>0</v>
      </c>
      <c r="AO72" s="75">
        <v>0</v>
      </c>
      <c r="AP72" s="75">
        <v>0</v>
      </c>
      <c r="AQ72" s="75">
        <v>0</v>
      </c>
      <c r="AR72" s="75">
        <v>0</v>
      </c>
      <c r="AS72" s="75">
        <v>0</v>
      </c>
      <c r="AT72" s="75">
        <v>0</v>
      </c>
      <c r="AU72" s="75">
        <v>0</v>
      </c>
      <c r="AV72" s="75">
        <v>0</v>
      </c>
      <c r="AW72" s="75">
        <v>0</v>
      </c>
      <c r="AX72" s="75">
        <v>0</v>
      </c>
      <c r="AY72" s="75">
        <v>0</v>
      </c>
      <c r="AZ72" s="75">
        <v>0</v>
      </c>
      <c r="BA72" s="75">
        <v>0</v>
      </c>
      <c r="BB72" s="75">
        <v>0</v>
      </c>
      <c r="BC72" s="75">
        <v>0</v>
      </c>
      <c r="BD72" s="75">
        <v>0</v>
      </c>
      <c r="BE72" s="75">
        <v>0</v>
      </c>
      <c r="BF72" s="75">
        <v>0</v>
      </c>
      <c r="BG72" s="75">
        <v>0</v>
      </c>
      <c r="BH72" s="75">
        <v>0</v>
      </c>
      <c r="BI72" s="75">
        <v>0</v>
      </c>
      <c r="BJ72" s="75">
        <v>0</v>
      </c>
      <c r="BK72" s="75">
        <v>0</v>
      </c>
      <c r="BL72" s="75">
        <v>0</v>
      </c>
      <c r="BM72" s="75">
        <v>0</v>
      </c>
      <c r="BN72" s="75">
        <v>0</v>
      </c>
      <c r="BO72" s="75">
        <v>0</v>
      </c>
      <c r="BP72" s="75">
        <v>0</v>
      </c>
      <c r="BQ72" s="75">
        <v>0</v>
      </c>
      <c r="BR72" s="75">
        <v>0</v>
      </c>
      <c r="BS72" s="75">
        <v>0</v>
      </c>
      <c r="BT72" s="75">
        <v>0</v>
      </c>
      <c r="BU72" s="75">
        <v>0</v>
      </c>
      <c r="BV72" s="75">
        <v>0</v>
      </c>
      <c r="BW72" s="75">
        <v>0</v>
      </c>
      <c r="BX72" s="75">
        <v>0</v>
      </c>
      <c r="BY72" s="75">
        <v>0</v>
      </c>
      <c r="BZ72" s="75">
        <v>0</v>
      </c>
      <c r="CA72" s="75">
        <v>0</v>
      </c>
      <c r="CB72" s="75">
        <v>0</v>
      </c>
      <c r="CC72" s="75">
        <v>0</v>
      </c>
      <c r="CD72" s="75">
        <v>0</v>
      </c>
      <c r="CE72" s="75">
        <v>0</v>
      </c>
      <c r="CF72" s="75">
        <v>0</v>
      </c>
      <c r="CG72" s="75">
        <v>0</v>
      </c>
      <c r="CH72" s="75">
        <v>0</v>
      </c>
      <c r="CI72" s="75">
        <v>0</v>
      </c>
      <c r="CJ72" s="75">
        <v>0</v>
      </c>
      <c r="CK72" s="75">
        <v>0</v>
      </c>
      <c r="CL72" s="75">
        <v>0</v>
      </c>
      <c r="CM72" s="75">
        <v>0</v>
      </c>
      <c r="CN72" s="75">
        <v>0</v>
      </c>
      <c r="CO72" s="75">
        <v>0</v>
      </c>
      <c r="CP72" s="75">
        <v>0</v>
      </c>
      <c r="CQ72" s="75">
        <v>0</v>
      </c>
      <c r="CR72" s="75">
        <v>0</v>
      </c>
      <c r="CS72" s="75">
        <v>0</v>
      </c>
      <c r="CT72" s="75">
        <v>0</v>
      </c>
      <c r="CU72" s="75">
        <v>0</v>
      </c>
      <c r="CV72" s="75">
        <v>0</v>
      </c>
      <c r="CW72" s="75">
        <v>0</v>
      </c>
      <c r="CX72" s="75">
        <v>0</v>
      </c>
      <c r="CY72" s="75">
        <v>0</v>
      </c>
      <c r="CZ72" s="75">
        <v>0</v>
      </c>
      <c r="DA72" s="75">
        <v>0</v>
      </c>
      <c r="DB72" s="75">
        <v>0</v>
      </c>
      <c r="DC72" s="75">
        <v>0</v>
      </c>
      <c r="DD72" s="75">
        <v>0</v>
      </c>
      <c r="DE72" s="75">
        <v>0</v>
      </c>
      <c r="DF72" s="75">
        <v>0</v>
      </c>
      <c r="DG72" s="75">
        <v>0</v>
      </c>
      <c r="DH72" s="75">
        <v>0</v>
      </c>
      <c r="DI72" s="75">
        <v>0</v>
      </c>
      <c r="DJ72" s="75">
        <v>0</v>
      </c>
      <c r="DK72" s="75">
        <v>0</v>
      </c>
      <c r="DL72" s="75">
        <v>0</v>
      </c>
    </row>
    <row r="73" spans="2:116">
      <c r="B73" s="27">
        <f>Rentroll!$C$18</f>
        <v>10</v>
      </c>
      <c r="C73" s="69" t="str">
        <f>VLOOKUP($B73,Rentroll!$C$11:$X$29,3,FALSE)</f>
        <v>노벰버 건설</v>
      </c>
      <c r="D73" s="80">
        <f>VLOOKUP($B73,Rentroll!$C$11:$X$29,9,FALSE)</f>
        <v>45077</v>
      </c>
      <c r="E73" s="80">
        <f>VLOOKUP($B73,Rentroll!$C$11:$X$29,10,FALSE)</f>
        <v>46903</v>
      </c>
      <c r="F73" s="81">
        <f>VLOOKUP($B73,Rentroll!$C$11:$X$29,11,FALSE)</f>
        <v>60</v>
      </c>
      <c r="G73" s="69">
        <f>VLOOKUP($B73,Rentroll!$C$11:$X$29,13,FALSE)</f>
        <v>103000</v>
      </c>
      <c r="H73" s="69">
        <f>VLOOKUP($B73,Rentroll!$C$11:$X$29,14,FALSE)</f>
        <v>85833.333333333328</v>
      </c>
      <c r="I73" s="69">
        <f>VLOOKUP($B73,Rentroll!$C$11:$X$29,15,FALSE)</f>
        <v>46350</v>
      </c>
      <c r="J73" s="82">
        <f>VLOOKUP($B73,Rentroll!$C$11:$X$29,19,FALSE)</f>
        <v>0.03</v>
      </c>
      <c r="K73" s="83">
        <f>VLOOKUP($B73,Rentroll!$C$11:$X$29,4,FALSE)</f>
        <v>1385.09</v>
      </c>
      <c r="L73" s="81">
        <f>VLOOKUP($B73,Rentroll!$C$11:$X$29,17,FALSE)</f>
        <v>0</v>
      </c>
      <c r="M73" s="84">
        <f>VLOOKUP($B73,Rentroll!$C$11:$X$29,18,FALSE)</f>
        <v>2</v>
      </c>
      <c r="O73" s="74">
        <f t="shared" si="48"/>
        <v>10</v>
      </c>
      <c r="P73" s="75"/>
      <c r="Q73" s="75"/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75">
        <v>0</v>
      </c>
      <c r="AH73" s="75">
        <v>0</v>
      </c>
      <c r="AI73" s="75">
        <v>0</v>
      </c>
      <c r="AJ73" s="75">
        <v>0</v>
      </c>
      <c r="AK73" s="75">
        <v>0</v>
      </c>
      <c r="AL73" s="75">
        <v>0</v>
      </c>
      <c r="AM73" s="75">
        <v>0</v>
      </c>
      <c r="AN73" s="75">
        <v>0</v>
      </c>
      <c r="AO73" s="75">
        <v>0</v>
      </c>
      <c r="AP73" s="75">
        <v>0</v>
      </c>
      <c r="AQ73" s="75">
        <v>0</v>
      </c>
      <c r="AR73" s="75">
        <v>0</v>
      </c>
      <c r="AS73" s="75">
        <v>0</v>
      </c>
      <c r="AT73" s="75">
        <v>0</v>
      </c>
      <c r="AU73" s="75">
        <v>0</v>
      </c>
      <c r="AV73" s="75">
        <v>0</v>
      </c>
      <c r="AW73" s="75">
        <v>0</v>
      </c>
      <c r="AX73" s="75">
        <v>0</v>
      </c>
      <c r="AY73" s="75">
        <v>0</v>
      </c>
      <c r="AZ73" s="75">
        <v>0</v>
      </c>
      <c r="BA73" s="75">
        <v>0</v>
      </c>
      <c r="BB73" s="75">
        <v>0</v>
      </c>
      <c r="BC73" s="75">
        <v>0</v>
      </c>
      <c r="BD73" s="75">
        <v>0</v>
      </c>
      <c r="BE73" s="75">
        <v>0</v>
      </c>
      <c r="BF73" s="75">
        <v>0</v>
      </c>
      <c r="BG73" s="75">
        <v>0</v>
      </c>
      <c r="BH73" s="75">
        <v>0</v>
      </c>
      <c r="BI73" s="75">
        <v>0</v>
      </c>
      <c r="BJ73" s="75">
        <v>0</v>
      </c>
      <c r="BK73" s="75">
        <v>0</v>
      </c>
      <c r="BL73" s="75">
        <v>0</v>
      </c>
      <c r="BM73" s="75">
        <v>0</v>
      </c>
      <c r="BN73" s="75">
        <v>0</v>
      </c>
      <c r="BO73" s="75">
        <v>0</v>
      </c>
      <c r="BP73" s="75">
        <v>0</v>
      </c>
      <c r="BQ73" s="75">
        <v>0</v>
      </c>
      <c r="BR73" s="75">
        <v>0</v>
      </c>
      <c r="BS73" s="75">
        <v>0</v>
      </c>
      <c r="BT73" s="75">
        <v>0</v>
      </c>
      <c r="BU73" s="75">
        <v>0</v>
      </c>
      <c r="BV73" s="75">
        <v>0</v>
      </c>
      <c r="BW73" s="75">
        <v>0</v>
      </c>
      <c r="BX73" s="75">
        <v>0</v>
      </c>
      <c r="BY73" s="75">
        <v>0</v>
      </c>
      <c r="BZ73" s="75">
        <v>0</v>
      </c>
      <c r="CA73" s="75">
        <v>0</v>
      </c>
      <c r="CB73" s="75">
        <v>0</v>
      </c>
      <c r="CC73" s="75">
        <v>0</v>
      </c>
      <c r="CD73" s="75">
        <v>0</v>
      </c>
      <c r="CE73" s="75">
        <v>0</v>
      </c>
      <c r="CF73" s="75">
        <v>0</v>
      </c>
      <c r="CG73" s="75">
        <v>0</v>
      </c>
      <c r="CH73" s="75">
        <v>0</v>
      </c>
      <c r="CI73" s="75">
        <v>0</v>
      </c>
      <c r="CJ73" s="75">
        <v>0</v>
      </c>
      <c r="CK73" s="75">
        <v>0</v>
      </c>
      <c r="CL73" s="75">
        <v>0</v>
      </c>
      <c r="CM73" s="75">
        <v>0</v>
      </c>
      <c r="CN73" s="75">
        <v>0</v>
      </c>
      <c r="CO73" s="75">
        <v>0</v>
      </c>
      <c r="CP73" s="75">
        <v>0</v>
      </c>
      <c r="CQ73" s="75">
        <v>0</v>
      </c>
      <c r="CR73" s="75">
        <v>0</v>
      </c>
      <c r="CS73" s="75">
        <v>0</v>
      </c>
      <c r="CT73" s="75">
        <v>0</v>
      </c>
      <c r="CU73" s="75">
        <v>0</v>
      </c>
      <c r="CV73" s="75">
        <v>0</v>
      </c>
      <c r="CW73" s="75">
        <v>0</v>
      </c>
      <c r="CX73" s="75">
        <v>0</v>
      </c>
      <c r="CY73" s="75">
        <v>0</v>
      </c>
      <c r="CZ73" s="75">
        <v>0</v>
      </c>
      <c r="DA73" s="75">
        <v>0</v>
      </c>
      <c r="DB73" s="75">
        <v>0</v>
      </c>
      <c r="DC73" s="75">
        <v>0</v>
      </c>
      <c r="DD73" s="75">
        <v>0</v>
      </c>
      <c r="DE73" s="75">
        <v>0</v>
      </c>
      <c r="DF73" s="75">
        <v>0</v>
      </c>
      <c r="DG73" s="75">
        <v>0</v>
      </c>
      <c r="DH73" s="75">
        <v>0</v>
      </c>
      <c r="DI73" s="75">
        <v>0</v>
      </c>
      <c r="DJ73" s="75">
        <v>0</v>
      </c>
      <c r="DK73" s="75">
        <v>0</v>
      </c>
      <c r="DL73" s="75">
        <v>0</v>
      </c>
    </row>
    <row r="74" spans="2:116">
      <c r="B74" s="27">
        <f>Rentroll!$C$19</f>
        <v>9</v>
      </c>
      <c r="C74" s="69" t="str">
        <f>VLOOKUP($B74,Rentroll!$C$11:$X$29,3,FALSE)</f>
        <v>노벰버 건설</v>
      </c>
      <c r="D74" s="80">
        <f>VLOOKUP($B74,Rentroll!$C$11:$X$29,9,FALSE)</f>
        <v>45077</v>
      </c>
      <c r="E74" s="80">
        <f>VLOOKUP($B74,Rentroll!$C$11:$X$29,10,FALSE)</f>
        <v>46903</v>
      </c>
      <c r="F74" s="81">
        <f>VLOOKUP($B74,Rentroll!$C$11:$X$29,11,FALSE)</f>
        <v>60</v>
      </c>
      <c r="G74" s="69">
        <f>VLOOKUP($B74,Rentroll!$C$11:$X$29,13,FALSE)</f>
        <v>103000</v>
      </c>
      <c r="H74" s="69">
        <f>VLOOKUP($B74,Rentroll!$C$11:$X$29,14,FALSE)</f>
        <v>85833.333333333328</v>
      </c>
      <c r="I74" s="69">
        <f>VLOOKUP($B74,Rentroll!$C$11:$X$29,15,FALSE)</f>
        <v>46350</v>
      </c>
      <c r="J74" s="82">
        <f>VLOOKUP($B74,Rentroll!$C$11:$X$29,19,FALSE)</f>
        <v>0.03</v>
      </c>
      <c r="K74" s="83">
        <f>VLOOKUP($B74,Rentroll!$C$11:$X$29,4,FALSE)</f>
        <v>1385.09</v>
      </c>
      <c r="L74" s="81">
        <f>VLOOKUP($B74,Rentroll!$C$11:$X$29,17,FALSE)</f>
        <v>0</v>
      </c>
      <c r="M74" s="84">
        <f>VLOOKUP($B74,Rentroll!$C$11:$X$29,18,FALSE)</f>
        <v>2</v>
      </c>
      <c r="O74" s="74">
        <f t="shared" si="48"/>
        <v>9</v>
      </c>
      <c r="P74" s="75"/>
      <c r="Q74" s="75"/>
      <c r="R74" s="75">
        <v>0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  <c r="Z74" s="75">
        <v>0</v>
      </c>
      <c r="AA74" s="75">
        <v>0</v>
      </c>
      <c r="AB74" s="75">
        <v>0</v>
      </c>
      <c r="AC74" s="75">
        <v>0</v>
      </c>
      <c r="AD74" s="75">
        <v>0</v>
      </c>
      <c r="AE74" s="75">
        <v>0</v>
      </c>
      <c r="AF74" s="75">
        <v>0</v>
      </c>
      <c r="AG74" s="75">
        <v>0</v>
      </c>
      <c r="AH74" s="75">
        <v>0</v>
      </c>
      <c r="AI74" s="75">
        <v>0</v>
      </c>
      <c r="AJ74" s="75">
        <v>0</v>
      </c>
      <c r="AK74" s="75">
        <v>0</v>
      </c>
      <c r="AL74" s="75">
        <v>0</v>
      </c>
      <c r="AM74" s="75">
        <v>0</v>
      </c>
      <c r="AN74" s="75">
        <v>0</v>
      </c>
      <c r="AO74" s="75">
        <v>0</v>
      </c>
      <c r="AP74" s="75">
        <v>0</v>
      </c>
      <c r="AQ74" s="75">
        <v>0</v>
      </c>
      <c r="AR74" s="75">
        <v>0</v>
      </c>
      <c r="AS74" s="75">
        <v>0</v>
      </c>
      <c r="AT74" s="75">
        <v>0</v>
      </c>
      <c r="AU74" s="75">
        <v>0</v>
      </c>
      <c r="AV74" s="75">
        <v>0</v>
      </c>
      <c r="AW74" s="75">
        <v>0</v>
      </c>
      <c r="AX74" s="75">
        <v>0</v>
      </c>
      <c r="AY74" s="75">
        <v>0</v>
      </c>
      <c r="AZ74" s="75">
        <v>0</v>
      </c>
      <c r="BA74" s="75">
        <v>0</v>
      </c>
      <c r="BB74" s="75">
        <v>0</v>
      </c>
      <c r="BC74" s="75">
        <v>0</v>
      </c>
      <c r="BD74" s="75">
        <v>0</v>
      </c>
      <c r="BE74" s="75">
        <v>0</v>
      </c>
      <c r="BF74" s="75">
        <v>0</v>
      </c>
      <c r="BG74" s="75">
        <v>0</v>
      </c>
      <c r="BH74" s="75">
        <v>0</v>
      </c>
      <c r="BI74" s="75">
        <v>0</v>
      </c>
      <c r="BJ74" s="75">
        <v>0</v>
      </c>
      <c r="BK74" s="75">
        <v>0</v>
      </c>
      <c r="BL74" s="75">
        <v>0</v>
      </c>
      <c r="BM74" s="75">
        <v>0</v>
      </c>
      <c r="BN74" s="75">
        <v>0</v>
      </c>
      <c r="BO74" s="75">
        <v>0</v>
      </c>
      <c r="BP74" s="75">
        <v>0</v>
      </c>
      <c r="BQ74" s="75">
        <v>0</v>
      </c>
      <c r="BR74" s="75">
        <v>0</v>
      </c>
      <c r="BS74" s="75">
        <v>0</v>
      </c>
      <c r="BT74" s="75">
        <v>0</v>
      </c>
      <c r="BU74" s="75">
        <v>0</v>
      </c>
      <c r="BV74" s="75">
        <v>0</v>
      </c>
      <c r="BW74" s="75">
        <v>0</v>
      </c>
      <c r="BX74" s="75">
        <v>0</v>
      </c>
      <c r="BY74" s="75">
        <v>0</v>
      </c>
      <c r="BZ74" s="75">
        <v>0</v>
      </c>
      <c r="CA74" s="75">
        <v>0</v>
      </c>
      <c r="CB74" s="75">
        <v>0</v>
      </c>
      <c r="CC74" s="75">
        <v>0</v>
      </c>
      <c r="CD74" s="75">
        <v>0</v>
      </c>
      <c r="CE74" s="75">
        <v>0</v>
      </c>
      <c r="CF74" s="75">
        <v>0</v>
      </c>
      <c r="CG74" s="75">
        <v>0</v>
      </c>
      <c r="CH74" s="75">
        <v>0</v>
      </c>
      <c r="CI74" s="75">
        <v>0</v>
      </c>
      <c r="CJ74" s="75">
        <v>0</v>
      </c>
      <c r="CK74" s="75">
        <v>0</v>
      </c>
      <c r="CL74" s="75">
        <v>0</v>
      </c>
      <c r="CM74" s="75">
        <v>0</v>
      </c>
      <c r="CN74" s="75">
        <v>0</v>
      </c>
      <c r="CO74" s="75">
        <v>0</v>
      </c>
      <c r="CP74" s="75">
        <v>0</v>
      </c>
      <c r="CQ74" s="75">
        <v>0</v>
      </c>
      <c r="CR74" s="75">
        <v>0</v>
      </c>
      <c r="CS74" s="75">
        <v>0</v>
      </c>
      <c r="CT74" s="75">
        <v>0</v>
      </c>
      <c r="CU74" s="75">
        <v>0</v>
      </c>
      <c r="CV74" s="75">
        <v>0</v>
      </c>
      <c r="CW74" s="75">
        <v>0</v>
      </c>
      <c r="CX74" s="75">
        <v>0</v>
      </c>
      <c r="CY74" s="75">
        <v>0</v>
      </c>
      <c r="CZ74" s="75">
        <v>0</v>
      </c>
      <c r="DA74" s="75">
        <v>0</v>
      </c>
      <c r="DB74" s="75">
        <v>0</v>
      </c>
      <c r="DC74" s="75">
        <v>0</v>
      </c>
      <c r="DD74" s="75">
        <v>0</v>
      </c>
      <c r="DE74" s="75">
        <v>0</v>
      </c>
      <c r="DF74" s="75">
        <v>0</v>
      </c>
      <c r="DG74" s="75">
        <v>0</v>
      </c>
      <c r="DH74" s="75">
        <v>0</v>
      </c>
      <c r="DI74" s="75">
        <v>0</v>
      </c>
      <c r="DJ74" s="75">
        <v>0</v>
      </c>
      <c r="DK74" s="75">
        <v>0</v>
      </c>
      <c r="DL74" s="75">
        <v>0</v>
      </c>
    </row>
    <row r="75" spans="2:116">
      <c r="B75" s="27">
        <f>Rentroll!$C$20</f>
        <v>8</v>
      </c>
      <c r="C75" s="69" t="str">
        <f>VLOOKUP($B75,Rentroll!$C$11:$X$29,3,FALSE)</f>
        <v>오토 커머셜</v>
      </c>
      <c r="D75" s="80">
        <f>VLOOKUP($B75,Rentroll!$C$11:$X$29,9,FALSE)</f>
        <v>44651</v>
      </c>
      <c r="E75" s="80">
        <f>VLOOKUP($B75,Rentroll!$C$11:$X$29,10,FALSE)</f>
        <v>46476</v>
      </c>
      <c r="F75" s="81">
        <f>VLOOKUP($B75,Rentroll!$C$11:$X$29,11,FALSE)</f>
        <v>60</v>
      </c>
      <c r="G75" s="69">
        <f>VLOOKUP($B75,Rentroll!$C$11:$X$29,13,FALSE)</f>
        <v>95481</v>
      </c>
      <c r="H75" s="69">
        <f>VLOOKUP($B75,Rentroll!$C$11:$X$29,14,FALSE)</f>
        <v>87524.25</v>
      </c>
      <c r="I75" s="69">
        <f>VLOOKUP($B75,Rentroll!$C$11:$X$29,15,FALSE)</f>
        <v>42436</v>
      </c>
      <c r="J75" s="82">
        <f>VLOOKUP($B75,Rentroll!$C$11:$X$29,19,FALSE)</f>
        <v>0.03</v>
      </c>
      <c r="K75" s="83">
        <f>VLOOKUP($B75,Rentroll!$C$11:$X$29,4,FALSE)</f>
        <v>1385.09</v>
      </c>
      <c r="L75" s="81">
        <f>VLOOKUP($B75,Rentroll!$C$11:$X$29,17,FALSE)</f>
        <v>0</v>
      </c>
      <c r="M75" s="84">
        <f>VLOOKUP($B75,Rentroll!$C$11:$X$29,18,FALSE)</f>
        <v>1</v>
      </c>
      <c r="O75" s="74">
        <f t="shared" si="48"/>
        <v>8</v>
      </c>
      <c r="P75" s="75"/>
      <c r="Q75" s="75"/>
      <c r="R75" s="75">
        <v>0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0</v>
      </c>
      <c r="AB75" s="75">
        <v>0</v>
      </c>
      <c r="AC75" s="75">
        <v>0</v>
      </c>
      <c r="AD75" s="75">
        <v>0</v>
      </c>
      <c r="AE75" s="75">
        <v>0</v>
      </c>
      <c r="AF75" s="75">
        <v>0</v>
      </c>
      <c r="AG75" s="75">
        <v>0</v>
      </c>
      <c r="AH75" s="75">
        <v>0</v>
      </c>
      <c r="AI75" s="75">
        <v>0</v>
      </c>
      <c r="AJ75" s="75">
        <v>0</v>
      </c>
      <c r="AK75" s="75">
        <v>0</v>
      </c>
      <c r="AL75" s="75">
        <v>0</v>
      </c>
      <c r="AM75" s="75">
        <v>0</v>
      </c>
      <c r="AN75" s="75">
        <v>0</v>
      </c>
      <c r="AO75" s="75">
        <v>0</v>
      </c>
      <c r="AP75" s="75">
        <v>0</v>
      </c>
      <c r="AQ75" s="75">
        <v>0</v>
      </c>
      <c r="AR75" s="75">
        <v>0</v>
      </c>
      <c r="AS75" s="75">
        <v>0</v>
      </c>
      <c r="AT75" s="75">
        <v>0</v>
      </c>
      <c r="AU75" s="75">
        <v>0</v>
      </c>
      <c r="AV75" s="75">
        <v>0</v>
      </c>
      <c r="AW75" s="75">
        <v>0</v>
      </c>
      <c r="AX75" s="75">
        <v>0</v>
      </c>
      <c r="AY75" s="75">
        <v>0</v>
      </c>
      <c r="AZ75" s="75">
        <v>0</v>
      </c>
      <c r="BA75" s="75">
        <v>0</v>
      </c>
      <c r="BB75" s="75">
        <v>0</v>
      </c>
      <c r="BC75" s="75">
        <v>0</v>
      </c>
      <c r="BD75" s="75">
        <v>0</v>
      </c>
      <c r="BE75" s="75">
        <v>0</v>
      </c>
      <c r="BF75" s="75">
        <v>0</v>
      </c>
      <c r="BG75" s="75">
        <v>0</v>
      </c>
      <c r="BH75" s="75">
        <v>0</v>
      </c>
      <c r="BI75" s="75">
        <v>0</v>
      </c>
      <c r="BJ75" s="75">
        <v>0</v>
      </c>
      <c r="BK75" s="75">
        <v>0</v>
      </c>
      <c r="BL75" s="75">
        <v>0</v>
      </c>
      <c r="BM75" s="75">
        <v>0</v>
      </c>
      <c r="BN75" s="75">
        <v>0</v>
      </c>
      <c r="BO75" s="75">
        <v>0</v>
      </c>
      <c r="BP75" s="75">
        <v>0</v>
      </c>
      <c r="BQ75" s="75">
        <v>0</v>
      </c>
      <c r="BR75" s="75">
        <v>0</v>
      </c>
      <c r="BS75" s="75">
        <v>0</v>
      </c>
      <c r="BT75" s="75">
        <v>0</v>
      </c>
      <c r="BU75" s="75">
        <v>0</v>
      </c>
      <c r="BV75" s="75">
        <v>0</v>
      </c>
      <c r="BW75" s="75">
        <v>0</v>
      </c>
      <c r="BX75" s="75">
        <v>0</v>
      </c>
      <c r="BY75" s="75">
        <v>0</v>
      </c>
      <c r="BZ75" s="75">
        <v>0</v>
      </c>
      <c r="CA75" s="75">
        <v>0</v>
      </c>
      <c r="CB75" s="75">
        <v>0</v>
      </c>
      <c r="CC75" s="75">
        <v>0</v>
      </c>
      <c r="CD75" s="75">
        <v>0</v>
      </c>
      <c r="CE75" s="75">
        <v>0</v>
      </c>
      <c r="CF75" s="75">
        <v>0</v>
      </c>
      <c r="CG75" s="75">
        <v>0</v>
      </c>
      <c r="CH75" s="75">
        <v>0</v>
      </c>
      <c r="CI75" s="75">
        <v>0</v>
      </c>
      <c r="CJ75" s="75">
        <v>0</v>
      </c>
      <c r="CK75" s="75">
        <v>0</v>
      </c>
      <c r="CL75" s="75">
        <v>0</v>
      </c>
      <c r="CM75" s="75">
        <v>0</v>
      </c>
      <c r="CN75" s="75">
        <v>0</v>
      </c>
      <c r="CO75" s="75">
        <v>0</v>
      </c>
      <c r="CP75" s="75">
        <v>0</v>
      </c>
      <c r="CQ75" s="75">
        <v>0</v>
      </c>
      <c r="CR75" s="75">
        <v>0</v>
      </c>
      <c r="CS75" s="75">
        <v>0</v>
      </c>
      <c r="CT75" s="75">
        <v>0</v>
      </c>
      <c r="CU75" s="75">
        <v>0</v>
      </c>
      <c r="CV75" s="75">
        <v>0</v>
      </c>
      <c r="CW75" s="75">
        <v>0</v>
      </c>
      <c r="CX75" s="75">
        <v>0</v>
      </c>
      <c r="CY75" s="75">
        <v>0</v>
      </c>
      <c r="CZ75" s="75">
        <v>0</v>
      </c>
      <c r="DA75" s="75">
        <v>0</v>
      </c>
      <c r="DB75" s="75">
        <v>0</v>
      </c>
      <c r="DC75" s="75">
        <v>0</v>
      </c>
      <c r="DD75" s="75">
        <v>0</v>
      </c>
      <c r="DE75" s="75">
        <v>0</v>
      </c>
      <c r="DF75" s="75">
        <v>0</v>
      </c>
      <c r="DG75" s="75">
        <v>0</v>
      </c>
      <c r="DH75" s="75">
        <v>0</v>
      </c>
      <c r="DI75" s="75">
        <v>0</v>
      </c>
      <c r="DJ75" s="75">
        <v>0</v>
      </c>
      <c r="DK75" s="75">
        <v>0</v>
      </c>
      <c r="DL75" s="75">
        <v>0</v>
      </c>
    </row>
    <row r="76" spans="2:116">
      <c r="B76" s="27">
        <f>Rentroll!$C$21</f>
        <v>7</v>
      </c>
      <c r="C76" s="69" t="str">
        <f>VLOOKUP($B76,Rentroll!$C$11:$X$29,3,FALSE)</f>
        <v>오토 커머셜</v>
      </c>
      <c r="D76" s="80">
        <f>VLOOKUP($B76,Rentroll!$C$11:$X$29,9,FALSE)</f>
        <v>44651</v>
      </c>
      <c r="E76" s="80">
        <f>VLOOKUP($B76,Rentroll!$C$11:$X$29,10,FALSE)</f>
        <v>46476</v>
      </c>
      <c r="F76" s="81">
        <f>VLOOKUP($B76,Rentroll!$C$11:$X$29,11,FALSE)</f>
        <v>60</v>
      </c>
      <c r="G76" s="69">
        <f>VLOOKUP($B76,Rentroll!$C$11:$X$29,13,FALSE)</f>
        <v>95481</v>
      </c>
      <c r="H76" s="69">
        <f>VLOOKUP($B76,Rentroll!$C$11:$X$29,14,FALSE)</f>
        <v>87524.25</v>
      </c>
      <c r="I76" s="69">
        <f>VLOOKUP($B76,Rentroll!$C$11:$X$29,15,FALSE)</f>
        <v>42436</v>
      </c>
      <c r="J76" s="82">
        <f>VLOOKUP($B76,Rentroll!$C$11:$X$29,19,FALSE)</f>
        <v>0.03</v>
      </c>
      <c r="K76" s="83">
        <f>VLOOKUP($B76,Rentroll!$C$11:$X$29,4,FALSE)</f>
        <v>1385.09</v>
      </c>
      <c r="L76" s="81">
        <f>VLOOKUP($B76,Rentroll!$C$11:$X$29,17,FALSE)</f>
        <v>0</v>
      </c>
      <c r="M76" s="84">
        <f>VLOOKUP($B76,Rentroll!$C$11:$X$29,18,FALSE)</f>
        <v>1</v>
      </c>
      <c r="O76" s="74">
        <f t="shared" si="48"/>
        <v>7</v>
      </c>
      <c r="P76" s="75"/>
      <c r="Q76" s="75"/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5">
        <v>0</v>
      </c>
      <c r="AH76" s="75">
        <v>0</v>
      </c>
      <c r="AI76" s="75">
        <v>0</v>
      </c>
      <c r="AJ76" s="75">
        <v>0</v>
      </c>
      <c r="AK76" s="75">
        <v>0</v>
      </c>
      <c r="AL76" s="75">
        <v>0</v>
      </c>
      <c r="AM76" s="75">
        <v>0</v>
      </c>
      <c r="AN76" s="75">
        <v>0</v>
      </c>
      <c r="AO76" s="75">
        <v>0</v>
      </c>
      <c r="AP76" s="75">
        <v>0</v>
      </c>
      <c r="AQ76" s="75">
        <v>0</v>
      </c>
      <c r="AR76" s="75">
        <v>0</v>
      </c>
      <c r="AS76" s="75">
        <v>0</v>
      </c>
      <c r="AT76" s="75">
        <v>0</v>
      </c>
      <c r="AU76" s="75">
        <v>0</v>
      </c>
      <c r="AV76" s="75">
        <v>0</v>
      </c>
      <c r="AW76" s="75">
        <v>0</v>
      </c>
      <c r="AX76" s="75">
        <v>0</v>
      </c>
      <c r="AY76" s="75">
        <v>0</v>
      </c>
      <c r="AZ76" s="75">
        <v>0</v>
      </c>
      <c r="BA76" s="75">
        <v>0</v>
      </c>
      <c r="BB76" s="75">
        <v>0</v>
      </c>
      <c r="BC76" s="75">
        <v>0</v>
      </c>
      <c r="BD76" s="75">
        <v>0</v>
      </c>
      <c r="BE76" s="75">
        <v>0</v>
      </c>
      <c r="BF76" s="75">
        <v>0</v>
      </c>
      <c r="BG76" s="75">
        <v>0</v>
      </c>
      <c r="BH76" s="75">
        <v>0</v>
      </c>
      <c r="BI76" s="75">
        <v>0</v>
      </c>
      <c r="BJ76" s="75">
        <v>0</v>
      </c>
      <c r="BK76" s="75">
        <v>0</v>
      </c>
      <c r="BL76" s="75">
        <v>0</v>
      </c>
      <c r="BM76" s="75">
        <v>0</v>
      </c>
      <c r="BN76" s="75">
        <v>0</v>
      </c>
      <c r="BO76" s="75">
        <v>0</v>
      </c>
      <c r="BP76" s="75">
        <v>0</v>
      </c>
      <c r="BQ76" s="75">
        <v>0</v>
      </c>
      <c r="BR76" s="75">
        <v>0</v>
      </c>
      <c r="BS76" s="75">
        <v>0</v>
      </c>
      <c r="BT76" s="75">
        <v>0</v>
      </c>
      <c r="BU76" s="75">
        <v>0</v>
      </c>
      <c r="BV76" s="75">
        <v>0</v>
      </c>
      <c r="BW76" s="75">
        <v>0</v>
      </c>
      <c r="BX76" s="75">
        <v>0</v>
      </c>
      <c r="BY76" s="75">
        <v>0</v>
      </c>
      <c r="BZ76" s="75">
        <v>0</v>
      </c>
      <c r="CA76" s="75">
        <v>0</v>
      </c>
      <c r="CB76" s="75">
        <v>0</v>
      </c>
      <c r="CC76" s="75">
        <v>0</v>
      </c>
      <c r="CD76" s="75">
        <v>0</v>
      </c>
      <c r="CE76" s="75">
        <v>0</v>
      </c>
      <c r="CF76" s="75">
        <v>0</v>
      </c>
      <c r="CG76" s="75">
        <v>0</v>
      </c>
      <c r="CH76" s="75">
        <v>0</v>
      </c>
      <c r="CI76" s="75">
        <v>0</v>
      </c>
      <c r="CJ76" s="75">
        <v>0</v>
      </c>
      <c r="CK76" s="75">
        <v>0</v>
      </c>
      <c r="CL76" s="75">
        <v>0</v>
      </c>
      <c r="CM76" s="75">
        <v>0</v>
      </c>
      <c r="CN76" s="75">
        <v>0</v>
      </c>
      <c r="CO76" s="75">
        <v>0</v>
      </c>
      <c r="CP76" s="75">
        <v>0</v>
      </c>
      <c r="CQ76" s="75">
        <v>0</v>
      </c>
      <c r="CR76" s="75">
        <v>0</v>
      </c>
      <c r="CS76" s="75">
        <v>0</v>
      </c>
      <c r="CT76" s="75">
        <v>0</v>
      </c>
      <c r="CU76" s="75">
        <v>0</v>
      </c>
      <c r="CV76" s="75">
        <v>0</v>
      </c>
      <c r="CW76" s="75">
        <v>0</v>
      </c>
      <c r="CX76" s="75">
        <v>0</v>
      </c>
      <c r="CY76" s="75">
        <v>0</v>
      </c>
      <c r="CZ76" s="75">
        <v>0</v>
      </c>
      <c r="DA76" s="75">
        <v>0</v>
      </c>
      <c r="DB76" s="75">
        <v>0</v>
      </c>
      <c r="DC76" s="75">
        <v>0</v>
      </c>
      <c r="DD76" s="75">
        <v>0</v>
      </c>
      <c r="DE76" s="75">
        <v>0</v>
      </c>
      <c r="DF76" s="75">
        <v>0</v>
      </c>
      <c r="DG76" s="75">
        <v>0</v>
      </c>
      <c r="DH76" s="75">
        <v>0</v>
      </c>
      <c r="DI76" s="75">
        <v>0</v>
      </c>
      <c r="DJ76" s="75">
        <v>0</v>
      </c>
      <c r="DK76" s="75">
        <v>0</v>
      </c>
      <c r="DL76" s="75">
        <v>0</v>
      </c>
    </row>
    <row r="77" spans="2:116">
      <c r="B77" s="27">
        <f>Rentroll!$C$22</f>
        <v>6</v>
      </c>
      <c r="C77" s="69" t="str">
        <f>VLOOKUP($B77,Rentroll!$C$11:$X$29,3,FALSE)</f>
        <v>오토 커머셜</v>
      </c>
      <c r="D77" s="80">
        <f>VLOOKUP($B77,Rentroll!$C$11:$X$29,9,FALSE)</f>
        <v>44651</v>
      </c>
      <c r="E77" s="80">
        <f>VLOOKUP($B77,Rentroll!$C$11:$X$29,10,FALSE)</f>
        <v>46476</v>
      </c>
      <c r="F77" s="81">
        <f>VLOOKUP($B77,Rentroll!$C$11:$X$29,11,FALSE)</f>
        <v>60</v>
      </c>
      <c r="G77" s="69">
        <f>VLOOKUP($B77,Rentroll!$C$11:$X$29,13,FALSE)</f>
        <v>95481</v>
      </c>
      <c r="H77" s="69">
        <f>VLOOKUP($B77,Rentroll!$C$11:$X$29,14,FALSE)</f>
        <v>87524.25</v>
      </c>
      <c r="I77" s="69">
        <f>VLOOKUP($B77,Rentroll!$C$11:$X$29,15,FALSE)</f>
        <v>42436</v>
      </c>
      <c r="J77" s="82">
        <f>VLOOKUP($B77,Rentroll!$C$11:$X$29,19,FALSE)</f>
        <v>0.03</v>
      </c>
      <c r="K77" s="83">
        <f>VLOOKUP($B77,Rentroll!$C$11:$X$29,4,FALSE)</f>
        <v>1385.09</v>
      </c>
      <c r="L77" s="81">
        <f>VLOOKUP($B77,Rentroll!$C$11:$X$29,17,FALSE)</f>
        <v>0</v>
      </c>
      <c r="M77" s="84">
        <f>VLOOKUP($B77,Rentroll!$C$11:$X$29,18,FALSE)</f>
        <v>1</v>
      </c>
      <c r="O77" s="74">
        <f t="shared" si="48"/>
        <v>6</v>
      </c>
      <c r="P77" s="75"/>
      <c r="Q77" s="75"/>
      <c r="R77" s="75">
        <v>0</v>
      </c>
      <c r="S77" s="75">
        <v>0</v>
      </c>
      <c r="T77" s="75">
        <v>0</v>
      </c>
      <c r="U77" s="75">
        <v>0</v>
      </c>
      <c r="V77" s="75">
        <v>0</v>
      </c>
      <c r="W77" s="75">
        <v>0</v>
      </c>
      <c r="X77" s="75">
        <v>0</v>
      </c>
      <c r="Y77" s="75">
        <v>0</v>
      </c>
      <c r="Z77" s="75">
        <v>0</v>
      </c>
      <c r="AA77" s="75">
        <v>0</v>
      </c>
      <c r="AB77" s="75">
        <v>0</v>
      </c>
      <c r="AC77" s="75">
        <v>0</v>
      </c>
      <c r="AD77" s="75">
        <v>0</v>
      </c>
      <c r="AE77" s="75">
        <v>0</v>
      </c>
      <c r="AF77" s="75">
        <v>0</v>
      </c>
      <c r="AG77" s="75">
        <v>0</v>
      </c>
      <c r="AH77" s="75">
        <v>0</v>
      </c>
      <c r="AI77" s="75">
        <v>0</v>
      </c>
      <c r="AJ77" s="75">
        <v>0</v>
      </c>
      <c r="AK77" s="75">
        <v>0</v>
      </c>
      <c r="AL77" s="75">
        <v>0</v>
      </c>
      <c r="AM77" s="75">
        <v>0</v>
      </c>
      <c r="AN77" s="75">
        <v>0</v>
      </c>
      <c r="AO77" s="75">
        <v>0</v>
      </c>
      <c r="AP77" s="75">
        <v>0</v>
      </c>
      <c r="AQ77" s="75">
        <v>0</v>
      </c>
      <c r="AR77" s="75">
        <v>0</v>
      </c>
      <c r="AS77" s="75">
        <v>0</v>
      </c>
      <c r="AT77" s="75">
        <v>0</v>
      </c>
      <c r="AU77" s="75">
        <v>0</v>
      </c>
      <c r="AV77" s="75">
        <v>0</v>
      </c>
      <c r="AW77" s="75">
        <v>0</v>
      </c>
      <c r="AX77" s="75">
        <v>0</v>
      </c>
      <c r="AY77" s="75">
        <v>0</v>
      </c>
      <c r="AZ77" s="75">
        <v>0</v>
      </c>
      <c r="BA77" s="75">
        <v>0</v>
      </c>
      <c r="BB77" s="75">
        <v>0</v>
      </c>
      <c r="BC77" s="75">
        <v>0</v>
      </c>
      <c r="BD77" s="75">
        <v>0</v>
      </c>
      <c r="BE77" s="75">
        <v>0</v>
      </c>
      <c r="BF77" s="75">
        <v>0</v>
      </c>
      <c r="BG77" s="75">
        <v>0</v>
      </c>
      <c r="BH77" s="75">
        <v>0</v>
      </c>
      <c r="BI77" s="75">
        <v>0</v>
      </c>
      <c r="BJ77" s="75">
        <v>0</v>
      </c>
      <c r="BK77" s="75">
        <v>0</v>
      </c>
      <c r="BL77" s="75">
        <v>0</v>
      </c>
      <c r="BM77" s="75">
        <v>0</v>
      </c>
      <c r="BN77" s="75">
        <v>0</v>
      </c>
      <c r="BO77" s="75">
        <v>0</v>
      </c>
      <c r="BP77" s="75">
        <v>0</v>
      </c>
      <c r="BQ77" s="75">
        <v>0</v>
      </c>
      <c r="BR77" s="75">
        <v>0</v>
      </c>
      <c r="BS77" s="75">
        <v>0</v>
      </c>
      <c r="BT77" s="75">
        <v>0</v>
      </c>
      <c r="BU77" s="75">
        <v>0</v>
      </c>
      <c r="BV77" s="75">
        <v>0</v>
      </c>
      <c r="BW77" s="75">
        <v>0</v>
      </c>
      <c r="BX77" s="75">
        <v>0</v>
      </c>
      <c r="BY77" s="75">
        <v>0</v>
      </c>
      <c r="BZ77" s="75">
        <v>0</v>
      </c>
      <c r="CA77" s="75">
        <v>0</v>
      </c>
      <c r="CB77" s="75">
        <v>0</v>
      </c>
      <c r="CC77" s="75">
        <v>0</v>
      </c>
      <c r="CD77" s="75">
        <v>0</v>
      </c>
      <c r="CE77" s="75">
        <v>0</v>
      </c>
      <c r="CF77" s="75">
        <v>0</v>
      </c>
      <c r="CG77" s="75">
        <v>0</v>
      </c>
      <c r="CH77" s="75">
        <v>0</v>
      </c>
      <c r="CI77" s="75">
        <v>0</v>
      </c>
      <c r="CJ77" s="75">
        <v>0</v>
      </c>
      <c r="CK77" s="75">
        <v>0</v>
      </c>
      <c r="CL77" s="75">
        <v>0</v>
      </c>
      <c r="CM77" s="75">
        <v>0</v>
      </c>
      <c r="CN77" s="75">
        <v>0</v>
      </c>
      <c r="CO77" s="75">
        <v>0</v>
      </c>
      <c r="CP77" s="75">
        <v>0</v>
      </c>
      <c r="CQ77" s="75">
        <v>0</v>
      </c>
      <c r="CR77" s="75">
        <v>0</v>
      </c>
      <c r="CS77" s="75">
        <v>0</v>
      </c>
      <c r="CT77" s="75">
        <v>0</v>
      </c>
      <c r="CU77" s="75">
        <v>0</v>
      </c>
      <c r="CV77" s="75">
        <v>0</v>
      </c>
      <c r="CW77" s="75">
        <v>0</v>
      </c>
      <c r="CX77" s="75">
        <v>0</v>
      </c>
      <c r="CY77" s="75">
        <v>0</v>
      </c>
      <c r="CZ77" s="75">
        <v>0</v>
      </c>
      <c r="DA77" s="75">
        <v>0</v>
      </c>
      <c r="DB77" s="75">
        <v>0</v>
      </c>
      <c r="DC77" s="75">
        <v>0</v>
      </c>
      <c r="DD77" s="75">
        <v>0</v>
      </c>
      <c r="DE77" s="75">
        <v>0</v>
      </c>
      <c r="DF77" s="75">
        <v>0</v>
      </c>
      <c r="DG77" s="75">
        <v>0</v>
      </c>
      <c r="DH77" s="75">
        <v>0</v>
      </c>
      <c r="DI77" s="75">
        <v>0</v>
      </c>
      <c r="DJ77" s="75">
        <v>0</v>
      </c>
      <c r="DK77" s="75">
        <v>0</v>
      </c>
      <c r="DL77" s="75">
        <v>0</v>
      </c>
    </row>
    <row r="78" spans="2:116">
      <c r="B78" s="27">
        <f>Rentroll!$C$23</f>
        <v>5</v>
      </c>
      <c r="C78" s="69" t="str">
        <f>VLOOKUP($B78,Rentroll!$C$11:$X$29,3,FALSE)</f>
        <v>공실</v>
      </c>
      <c r="D78" s="80"/>
      <c r="E78" s="80"/>
      <c r="F78" s="81">
        <f>VLOOKUP($B78,Rentroll!$C$11:$X$29,11,FALSE)</f>
        <v>0</v>
      </c>
      <c r="G78" s="69">
        <f>VLOOKUP($B78,Rentroll!$C$11:$X$29,13,FALSE)</f>
        <v>0</v>
      </c>
      <c r="H78" s="69">
        <f>VLOOKUP($B78,Rentroll!$C$11:$X$29,14,FALSE)</f>
        <v>0</v>
      </c>
      <c r="I78" s="69">
        <f>VLOOKUP($B78,Rentroll!$C$11:$X$29,15,FALSE)</f>
        <v>0</v>
      </c>
      <c r="J78" s="82">
        <f>VLOOKUP($B78,Rentroll!$C$11:$X$29,19,FALSE)</f>
        <v>0</v>
      </c>
      <c r="K78" s="83">
        <f>VLOOKUP($B78,Rentroll!$C$11:$X$29,4,FALSE)</f>
        <v>1385.09</v>
      </c>
      <c r="L78" s="81">
        <f>VLOOKUP($B78,Rentroll!$C$11:$X$29,17,FALSE)</f>
        <v>0</v>
      </c>
      <c r="M78" s="84">
        <f>VLOOKUP($B78,Rentroll!$C$11:$X$29,18,FALSE)</f>
        <v>0</v>
      </c>
      <c r="O78" s="74">
        <f t="shared" si="48"/>
        <v>5</v>
      </c>
      <c r="P78" s="75"/>
      <c r="Q78" s="75"/>
      <c r="R78" s="75">
        <v>0</v>
      </c>
      <c r="S78" s="75">
        <v>0</v>
      </c>
      <c r="T78" s="75">
        <v>0</v>
      </c>
      <c r="U78" s="75">
        <v>0</v>
      </c>
      <c r="V78" s="75">
        <v>0</v>
      </c>
      <c r="W78" s="75">
        <v>0</v>
      </c>
      <c r="X78" s="75">
        <v>0</v>
      </c>
      <c r="Y78" s="75">
        <v>0</v>
      </c>
      <c r="Z78" s="75">
        <v>0</v>
      </c>
      <c r="AA78" s="75">
        <v>0</v>
      </c>
      <c r="AB78" s="75">
        <v>0</v>
      </c>
      <c r="AC78" s="75">
        <v>0</v>
      </c>
      <c r="AD78" s="75">
        <v>0</v>
      </c>
      <c r="AE78" s="75">
        <v>0</v>
      </c>
      <c r="AF78" s="75">
        <v>0</v>
      </c>
      <c r="AG78" s="75">
        <v>0</v>
      </c>
      <c r="AH78" s="75">
        <v>0</v>
      </c>
      <c r="AI78" s="75">
        <v>0</v>
      </c>
      <c r="AJ78" s="75">
        <v>0</v>
      </c>
      <c r="AK78" s="75">
        <v>0</v>
      </c>
      <c r="AL78" s="75">
        <v>0</v>
      </c>
      <c r="AM78" s="75">
        <v>0</v>
      </c>
      <c r="AN78" s="75">
        <v>0</v>
      </c>
      <c r="AO78" s="75">
        <v>0</v>
      </c>
      <c r="AP78" s="75">
        <v>0</v>
      </c>
      <c r="AQ78" s="75">
        <v>0</v>
      </c>
      <c r="AR78" s="75">
        <v>0</v>
      </c>
      <c r="AS78" s="75">
        <v>0</v>
      </c>
      <c r="AT78" s="75">
        <v>0</v>
      </c>
      <c r="AU78" s="75">
        <v>0</v>
      </c>
      <c r="AV78" s="75">
        <v>0</v>
      </c>
      <c r="AW78" s="75">
        <v>0</v>
      </c>
      <c r="AX78" s="75">
        <v>0</v>
      </c>
      <c r="AY78" s="75">
        <v>0</v>
      </c>
      <c r="AZ78" s="75">
        <v>0</v>
      </c>
      <c r="BA78" s="75">
        <v>0</v>
      </c>
      <c r="BB78" s="75">
        <v>0</v>
      </c>
      <c r="BC78" s="75">
        <v>0</v>
      </c>
      <c r="BD78" s="75">
        <v>0</v>
      </c>
      <c r="BE78" s="75">
        <v>0</v>
      </c>
      <c r="BF78" s="75">
        <v>0</v>
      </c>
      <c r="BG78" s="75">
        <v>0</v>
      </c>
      <c r="BH78" s="75">
        <v>0</v>
      </c>
      <c r="BI78" s="75">
        <v>0</v>
      </c>
      <c r="BJ78" s="75">
        <v>0</v>
      </c>
      <c r="BK78" s="75">
        <v>0</v>
      </c>
      <c r="BL78" s="75">
        <v>0</v>
      </c>
      <c r="BM78" s="75">
        <v>0</v>
      </c>
      <c r="BN78" s="75">
        <v>0</v>
      </c>
      <c r="BO78" s="75">
        <v>0</v>
      </c>
      <c r="BP78" s="75">
        <v>0</v>
      </c>
      <c r="BQ78" s="75">
        <v>0</v>
      </c>
      <c r="BR78" s="75">
        <v>0</v>
      </c>
      <c r="BS78" s="75">
        <v>0</v>
      </c>
      <c r="BT78" s="75">
        <v>0</v>
      </c>
      <c r="BU78" s="75">
        <v>0</v>
      </c>
      <c r="BV78" s="75">
        <v>0</v>
      </c>
      <c r="BW78" s="75">
        <v>0</v>
      </c>
      <c r="BX78" s="75">
        <v>0</v>
      </c>
      <c r="BY78" s="75">
        <v>0</v>
      </c>
      <c r="BZ78" s="75">
        <v>0</v>
      </c>
      <c r="CA78" s="75">
        <v>0</v>
      </c>
      <c r="CB78" s="75">
        <v>0</v>
      </c>
      <c r="CC78" s="75">
        <v>0</v>
      </c>
      <c r="CD78" s="75">
        <v>0</v>
      </c>
      <c r="CE78" s="75">
        <v>0</v>
      </c>
      <c r="CF78" s="75">
        <v>0</v>
      </c>
      <c r="CG78" s="75">
        <v>0</v>
      </c>
      <c r="CH78" s="75">
        <v>0</v>
      </c>
      <c r="CI78" s="75">
        <v>0</v>
      </c>
      <c r="CJ78" s="75">
        <v>0</v>
      </c>
      <c r="CK78" s="75">
        <v>0</v>
      </c>
      <c r="CL78" s="75">
        <v>0</v>
      </c>
      <c r="CM78" s="75">
        <v>0</v>
      </c>
      <c r="CN78" s="75">
        <v>0</v>
      </c>
      <c r="CO78" s="75">
        <v>0</v>
      </c>
      <c r="CP78" s="75">
        <v>0</v>
      </c>
      <c r="CQ78" s="75">
        <v>0</v>
      </c>
      <c r="CR78" s="75">
        <v>0</v>
      </c>
      <c r="CS78" s="75">
        <v>0</v>
      </c>
      <c r="CT78" s="75">
        <v>0</v>
      </c>
      <c r="CU78" s="75">
        <v>0</v>
      </c>
      <c r="CV78" s="75">
        <v>0</v>
      </c>
      <c r="CW78" s="75">
        <v>0</v>
      </c>
      <c r="CX78" s="75">
        <v>0</v>
      </c>
      <c r="CY78" s="75">
        <v>0</v>
      </c>
      <c r="CZ78" s="75">
        <v>0</v>
      </c>
      <c r="DA78" s="75">
        <v>0</v>
      </c>
      <c r="DB78" s="75">
        <v>0</v>
      </c>
      <c r="DC78" s="75">
        <v>0</v>
      </c>
      <c r="DD78" s="75">
        <v>0</v>
      </c>
      <c r="DE78" s="75">
        <v>0</v>
      </c>
      <c r="DF78" s="75">
        <v>0</v>
      </c>
      <c r="DG78" s="75">
        <v>0</v>
      </c>
      <c r="DH78" s="75">
        <v>0</v>
      </c>
      <c r="DI78" s="75">
        <v>0</v>
      </c>
      <c r="DJ78" s="75">
        <v>0</v>
      </c>
      <c r="DK78" s="75">
        <v>0</v>
      </c>
      <c r="DL78" s="75">
        <v>0</v>
      </c>
    </row>
    <row r="79" spans="2:116">
      <c r="B79" s="27">
        <f>Rentroll!$C$24</f>
        <v>4</v>
      </c>
      <c r="C79" s="69" t="str">
        <f>VLOOKUP($B79,Rentroll!$C$11:$X$29,3,FALSE)</f>
        <v>공실</v>
      </c>
      <c r="D79" s="80"/>
      <c r="E79" s="80"/>
      <c r="F79" s="81">
        <f>VLOOKUP($B79,Rentroll!$C$11:$X$29,11,FALSE)</f>
        <v>0</v>
      </c>
      <c r="G79" s="69">
        <f>VLOOKUP($B79,Rentroll!$C$11:$X$29,13,FALSE)</f>
        <v>0</v>
      </c>
      <c r="H79" s="69">
        <f>VLOOKUP($B79,Rentroll!$C$11:$X$29,14,FALSE)</f>
        <v>0</v>
      </c>
      <c r="I79" s="69">
        <f>VLOOKUP($B79,Rentroll!$C$11:$X$29,15,FALSE)</f>
        <v>0</v>
      </c>
      <c r="J79" s="82">
        <f>VLOOKUP($B79,Rentroll!$C$11:$X$29,19,FALSE)</f>
        <v>0</v>
      </c>
      <c r="K79" s="83">
        <f>VLOOKUP($B79,Rentroll!$C$11:$X$29,4,FALSE)</f>
        <v>1385.09</v>
      </c>
      <c r="L79" s="81">
        <f>VLOOKUP($B79,Rentroll!$C$11:$X$29,17,FALSE)</f>
        <v>0</v>
      </c>
      <c r="M79" s="84">
        <f>VLOOKUP($B79,Rentroll!$C$11:$X$29,18,FALSE)</f>
        <v>0</v>
      </c>
      <c r="O79" s="74">
        <f t="shared" si="48"/>
        <v>4</v>
      </c>
      <c r="P79" s="75"/>
      <c r="Q79" s="75"/>
      <c r="R79" s="75">
        <v>0</v>
      </c>
      <c r="S79" s="75">
        <v>0</v>
      </c>
      <c r="T79" s="75">
        <v>0</v>
      </c>
      <c r="U79" s="75">
        <v>0</v>
      </c>
      <c r="V79" s="75">
        <v>0</v>
      </c>
      <c r="W79" s="75">
        <v>0</v>
      </c>
      <c r="X79" s="75">
        <v>0</v>
      </c>
      <c r="Y79" s="75">
        <v>0</v>
      </c>
      <c r="Z79" s="75">
        <v>0</v>
      </c>
      <c r="AA79" s="75">
        <v>0</v>
      </c>
      <c r="AB79" s="75">
        <v>0</v>
      </c>
      <c r="AC79" s="75">
        <v>0</v>
      </c>
      <c r="AD79" s="75">
        <v>0</v>
      </c>
      <c r="AE79" s="75">
        <v>0</v>
      </c>
      <c r="AF79" s="75">
        <v>0</v>
      </c>
      <c r="AG79" s="75">
        <v>0</v>
      </c>
      <c r="AH79" s="75">
        <v>0</v>
      </c>
      <c r="AI79" s="75">
        <v>0</v>
      </c>
      <c r="AJ79" s="75">
        <v>0</v>
      </c>
      <c r="AK79" s="75">
        <v>0</v>
      </c>
      <c r="AL79" s="75">
        <v>0</v>
      </c>
      <c r="AM79" s="75">
        <v>0</v>
      </c>
      <c r="AN79" s="75">
        <v>0</v>
      </c>
      <c r="AO79" s="75">
        <v>0</v>
      </c>
      <c r="AP79" s="75">
        <v>0</v>
      </c>
      <c r="AQ79" s="75">
        <v>0</v>
      </c>
      <c r="AR79" s="75">
        <v>0</v>
      </c>
      <c r="AS79" s="75">
        <v>0</v>
      </c>
      <c r="AT79" s="75">
        <v>0</v>
      </c>
      <c r="AU79" s="75">
        <v>0</v>
      </c>
      <c r="AV79" s="75">
        <v>0</v>
      </c>
      <c r="AW79" s="75">
        <v>0</v>
      </c>
      <c r="AX79" s="75">
        <v>0</v>
      </c>
      <c r="AY79" s="75">
        <v>0</v>
      </c>
      <c r="AZ79" s="75">
        <v>0</v>
      </c>
      <c r="BA79" s="75">
        <v>0</v>
      </c>
      <c r="BB79" s="75">
        <v>0</v>
      </c>
      <c r="BC79" s="75">
        <v>0</v>
      </c>
      <c r="BD79" s="75">
        <v>0</v>
      </c>
      <c r="BE79" s="75">
        <v>0</v>
      </c>
      <c r="BF79" s="75">
        <v>0</v>
      </c>
      <c r="BG79" s="75">
        <v>0</v>
      </c>
      <c r="BH79" s="75">
        <v>0</v>
      </c>
      <c r="BI79" s="75">
        <v>0</v>
      </c>
      <c r="BJ79" s="75">
        <v>0</v>
      </c>
      <c r="BK79" s="75">
        <v>0</v>
      </c>
      <c r="BL79" s="75">
        <v>0</v>
      </c>
      <c r="BM79" s="75">
        <v>0</v>
      </c>
      <c r="BN79" s="75">
        <v>0</v>
      </c>
      <c r="BO79" s="75">
        <v>0</v>
      </c>
      <c r="BP79" s="75">
        <v>0</v>
      </c>
      <c r="BQ79" s="75">
        <v>0</v>
      </c>
      <c r="BR79" s="75">
        <v>0</v>
      </c>
      <c r="BS79" s="75">
        <v>0</v>
      </c>
      <c r="BT79" s="75">
        <v>0</v>
      </c>
      <c r="BU79" s="75">
        <v>0</v>
      </c>
      <c r="BV79" s="75">
        <v>0</v>
      </c>
      <c r="BW79" s="75">
        <v>0</v>
      </c>
      <c r="BX79" s="75">
        <v>0</v>
      </c>
      <c r="BY79" s="75">
        <v>0</v>
      </c>
      <c r="BZ79" s="75">
        <v>0</v>
      </c>
      <c r="CA79" s="75">
        <v>0</v>
      </c>
      <c r="CB79" s="75">
        <v>0</v>
      </c>
      <c r="CC79" s="75">
        <v>0</v>
      </c>
      <c r="CD79" s="75">
        <v>0</v>
      </c>
      <c r="CE79" s="75">
        <v>0</v>
      </c>
      <c r="CF79" s="75">
        <v>0</v>
      </c>
      <c r="CG79" s="75">
        <v>0</v>
      </c>
      <c r="CH79" s="75">
        <v>0</v>
      </c>
      <c r="CI79" s="75">
        <v>0</v>
      </c>
      <c r="CJ79" s="75">
        <v>0</v>
      </c>
      <c r="CK79" s="75">
        <v>0</v>
      </c>
      <c r="CL79" s="75">
        <v>0</v>
      </c>
      <c r="CM79" s="75">
        <v>0</v>
      </c>
      <c r="CN79" s="75">
        <v>0</v>
      </c>
      <c r="CO79" s="75">
        <v>0</v>
      </c>
      <c r="CP79" s="75">
        <v>0</v>
      </c>
      <c r="CQ79" s="75">
        <v>0</v>
      </c>
      <c r="CR79" s="75">
        <v>0</v>
      </c>
      <c r="CS79" s="75">
        <v>0</v>
      </c>
      <c r="CT79" s="75">
        <v>0</v>
      </c>
      <c r="CU79" s="75">
        <v>0</v>
      </c>
      <c r="CV79" s="75">
        <v>0</v>
      </c>
      <c r="CW79" s="75">
        <v>0</v>
      </c>
      <c r="CX79" s="75">
        <v>0</v>
      </c>
      <c r="CY79" s="75">
        <v>0</v>
      </c>
      <c r="CZ79" s="75">
        <v>0</v>
      </c>
      <c r="DA79" s="75">
        <v>0</v>
      </c>
      <c r="DB79" s="75">
        <v>0</v>
      </c>
      <c r="DC79" s="75">
        <v>0</v>
      </c>
      <c r="DD79" s="75">
        <v>0</v>
      </c>
      <c r="DE79" s="75">
        <v>0</v>
      </c>
      <c r="DF79" s="75">
        <v>0</v>
      </c>
      <c r="DG79" s="75">
        <v>0</v>
      </c>
      <c r="DH79" s="75">
        <v>0</v>
      </c>
      <c r="DI79" s="75">
        <v>0</v>
      </c>
      <c r="DJ79" s="75">
        <v>0</v>
      </c>
      <c r="DK79" s="75">
        <v>0</v>
      </c>
      <c r="DL79" s="75">
        <v>0</v>
      </c>
    </row>
    <row r="80" spans="2:116">
      <c r="B80" s="27">
        <f>Rentroll!$C$25</f>
        <v>3</v>
      </c>
      <c r="C80" s="69" t="str">
        <f>VLOOKUP($B80,Rentroll!$C$11:$X$29,3,FALSE)</f>
        <v>공실</v>
      </c>
      <c r="D80" s="80"/>
      <c r="E80" s="80"/>
      <c r="F80" s="81">
        <f>VLOOKUP($B80,Rentroll!$C$11:$X$29,11,FALSE)</f>
        <v>0</v>
      </c>
      <c r="G80" s="69">
        <f>VLOOKUP($B80,Rentroll!$C$11:$X$29,13,FALSE)</f>
        <v>0</v>
      </c>
      <c r="H80" s="69">
        <f>VLOOKUP($B80,Rentroll!$C$11:$X$29,14,FALSE)</f>
        <v>0</v>
      </c>
      <c r="I80" s="69">
        <f>VLOOKUP($B80,Rentroll!$C$11:$X$29,15,FALSE)</f>
        <v>0</v>
      </c>
      <c r="J80" s="82">
        <f>VLOOKUP($B80,Rentroll!$C$11:$X$29,19,FALSE)</f>
        <v>0</v>
      </c>
      <c r="K80" s="83">
        <f>VLOOKUP($B80,Rentroll!$C$11:$X$29,4,FALSE)</f>
        <v>1385.09</v>
      </c>
      <c r="L80" s="81">
        <f>VLOOKUP($B80,Rentroll!$C$11:$X$29,17,FALSE)</f>
        <v>0</v>
      </c>
      <c r="M80" s="84">
        <f>VLOOKUP($B80,Rentroll!$C$11:$X$29,18,FALSE)</f>
        <v>0</v>
      </c>
      <c r="O80" s="74">
        <f t="shared" si="48"/>
        <v>3</v>
      </c>
      <c r="P80" s="75"/>
      <c r="Q80" s="75"/>
      <c r="R80" s="75">
        <v>0</v>
      </c>
      <c r="S80" s="75">
        <v>0</v>
      </c>
      <c r="T80" s="75">
        <v>0</v>
      </c>
      <c r="U80" s="75">
        <v>0</v>
      </c>
      <c r="V80" s="75">
        <v>0</v>
      </c>
      <c r="W80" s="75">
        <v>0</v>
      </c>
      <c r="X80" s="75">
        <v>0</v>
      </c>
      <c r="Y80" s="75">
        <v>0</v>
      </c>
      <c r="Z80" s="75">
        <v>0</v>
      </c>
      <c r="AA80" s="75">
        <v>0</v>
      </c>
      <c r="AB80" s="75">
        <v>0</v>
      </c>
      <c r="AC80" s="75">
        <v>0</v>
      </c>
      <c r="AD80" s="75">
        <v>0</v>
      </c>
      <c r="AE80" s="75">
        <v>0</v>
      </c>
      <c r="AF80" s="75">
        <v>0</v>
      </c>
      <c r="AG80" s="75">
        <v>0</v>
      </c>
      <c r="AH80" s="75">
        <v>0</v>
      </c>
      <c r="AI80" s="75">
        <v>0</v>
      </c>
      <c r="AJ80" s="75">
        <v>0</v>
      </c>
      <c r="AK80" s="75">
        <v>0</v>
      </c>
      <c r="AL80" s="75">
        <v>0</v>
      </c>
      <c r="AM80" s="75">
        <v>0</v>
      </c>
      <c r="AN80" s="75">
        <v>0</v>
      </c>
      <c r="AO80" s="75">
        <v>0</v>
      </c>
      <c r="AP80" s="75">
        <v>0</v>
      </c>
      <c r="AQ80" s="75">
        <v>0</v>
      </c>
      <c r="AR80" s="75">
        <v>0</v>
      </c>
      <c r="AS80" s="75">
        <v>0</v>
      </c>
      <c r="AT80" s="75">
        <v>0</v>
      </c>
      <c r="AU80" s="75">
        <v>0</v>
      </c>
      <c r="AV80" s="75">
        <v>0</v>
      </c>
      <c r="AW80" s="75">
        <v>0</v>
      </c>
      <c r="AX80" s="75">
        <v>0</v>
      </c>
      <c r="AY80" s="75">
        <v>0</v>
      </c>
      <c r="AZ80" s="75">
        <v>0</v>
      </c>
      <c r="BA80" s="75">
        <v>0</v>
      </c>
      <c r="BB80" s="75">
        <v>0</v>
      </c>
      <c r="BC80" s="75">
        <v>0</v>
      </c>
      <c r="BD80" s="75">
        <v>0</v>
      </c>
      <c r="BE80" s="75">
        <v>0</v>
      </c>
      <c r="BF80" s="75">
        <v>0</v>
      </c>
      <c r="BG80" s="75">
        <v>0</v>
      </c>
      <c r="BH80" s="75">
        <v>0</v>
      </c>
      <c r="BI80" s="75">
        <v>0</v>
      </c>
      <c r="BJ80" s="75">
        <v>0</v>
      </c>
      <c r="BK80" s="75">
        <v>0</v>
      </c>
      <c r="BL80" s="75">
        <v>0</v>
      </c>
      <c r="BM80" s="75">
        <v>0</v>
      </c>
      <c r="BN80" s="75">
        <v>0</v>
      </c>
      <c r="BO80" s="75">
        <v>0</v>
      </c>
      <c r="BP80" s="75">
        <v>0</v>
      </c>
      <c r="BQ80" s="75">
        <v>0</v>
      </c>
      <c r="BR80" s="75">
        <v>0</v>
      </c>
      <c r="BS80" s="75">
        <v>0</v>
      </c>
      <c r="BT80" s="75">
        <v>0</v>
      </c>
      <c r="BU80" s="75">
        <v>0</v>
      </c>
      <c r="BV80" s="75">
        <v>0</v>
      </c>
      <c r="BW80" s="75">
        <v>0</v>
      </c>
      <c r="BX80" s="75">
        <v>0</v>
      </c>
      <c r="BY80" s="75">
        <v>0</v>
      </c>
      <c r="BZ80" s="75">
        <v>0</v>
      </c>
      <c r="CA80" s="75">
        <v>0</v>
      </c>
      <c r="CB80" s="75">
        <v>0</v>
      </c>
      <c r="CC80" s="75">
        <v>0</v>
      </c>
      <c r="CD80" s="75">
        <v>0</v>
      </c>
      <c r="CE80" s="75">
        <v>0</v>
      </c>
      <c r="CF80" s="75">
        <v>0</v>
      </c>
      <c r="CG80" s="75">
        <v>0</v>
      </c>
      <c r="CH80" s="75">
        <v>0</v>
      </c>
      <c r="CI80" s="75">
        <v>0</v>
      </c>
      <c r="CJ80" s="75">
        <v>0</v>
      </c>
      <c r="CK80" s="75">
        <v>0</v>
      </c>
      <c r="CL80" s="75">
        <v>0</v>
      </c>
      <c r="CM80" s="75">
        <v>0</v>
      </c>
      <c r="CN80" s="75">
        <v>0</v>
      </c>
      <c r="CO80" s="75">
        <v>0</v>
      </c>
      <c r="CP80" s="75">
        <v>0</v>
      </c>
      <c r="CQ80" s="75">
        <v>0</v>
      </c>
      <c r="CR80" s="75">
        <v>0</v>
      </c>
      <c r="CS80" s="75">
        <v>0</v>
      </c>
      <c r="CT80" s="75">
        <v>0</v>
      </c>
      <c r="CU80" s="75">
        <v>0</v>
      </c>
      <c r="CV80" s="75">
        <v>0</v>
      </c>
      <c r="CW80" s="75">
        <v>0</v>
      </c>
      <c r="CX80" s="75">
        <v>0</v>
      </c>
      <c r="CY80" s="75">
        <v>0</v>
      </c>
      <c r="CZ80" s="75">
        <v>0</v>
      </c>
      <c r="DA80" s="75">
        <v>0</v>
      </c>
      <c r="DB80" s="75">
        <v>0</v>
      </c>
      <c r="DC80" s="75">
        <v>0</v>
      </c>
      <c r="DD80" s="75">
        <v>0</v>
      </c>
      <c r="DE80" s="75">
        <v>0</v>
      </c>
      <c r="DF80" s="75">
        <v>0</v>
      </c>
      <c r="DG80" s="75">
        <v>0</v>
      </c>
      <c r="DH80" s="75">
        <v>0</v>
      </c>
      <c r="DI80" s="75">
        <v>0</v>
      </c>
      <c r="DJ80" s="75">
        <v>0</v>
      </c>
      <c r="DK80" s="75">
        <v>0</v>
      </c>
      <c r="DL80" s="75">
        <v>0</v>
      </c>
    </row>
    <row r="81" spans="2:116">
      <c r="B81" s="27">
        <f>Rentroll!$C$26</f>
        <v>2</v>
      </c>
      <c r="C81" s="69" t="str">
        <f>VLOOKUP($B81,Rentroll!$C$11:$X$29,3,FALSE)</f>
        <v>공실</v>
      </c>
      <c r="D81" s="80"/>
      <c r="E81" s="80"/>
      <c r="F81" s="81">
        <f>VLOOKUP($B81,Rentroll!$C$11:$X$29,11,FALSE)</f>
        <v>0</v>
      </c>
      <c r="G81" s="69">
        <f>VLOOKUP($B81,Rentroll!$C$11:$X$29,13,FALSE)</f>
        <v>0</v>
      </c>
      <c r="H81" s="69">
        <f>VLOOKUP($B81,Rentroll!$C$11:$X$29,14,FALSE)</f>
        <v>0</v>
      </c>
      <c r="I81" s="69">
        <f>VLOOKUP($B81,Rentroll!$C$11:$X$29,15,FALSE)</f>
        <v>0</v>
      </c>
      <c r="J81" s="82">
        <f>VLOOKUP($B81,Rentroll!$C$11:$X$29,19,FALSE)</f>
        <v>0</v>
      </c>
      <c r="K81" s="83">
        <f>VLOOKUP($B81,Rentroll!$C$11:$X$29,4,FALSE)</f>
        <v>1385.09</v>
      </c>
      <c r="L81" s="81">
        <f>VLOOKUP($B81,Rentroll!$C$11:$X$29,17,FALSE)</f>
        <v>0</v>
      </c>
      <c r="M81" s="84">
        <f>VLOOKUP($B81,Rentroll!$C$11:$X$29,18,FALSE)</f>
        <v>0</v>
      </c>
      <c r="O81" s="74">
        <f t="shared" si="48"/>
        <v>2</v>
      </c>
      <c r="P81" s="75"/>
      <c r="Q81" s="75"/>
      <c r="R81" s="75">
        <v>0</v>
      </c>
      <c r="S81" s="75">
        <v>0</v>
      </c>
      <c r="T81" s="75">
        <v>0</v>
      </c>
      <c r="U81" s="75">
        <v>0</v>
      </c>
      <c r="V81" s="75">
        <v>0</v>
      </c>
      <c r="W81" s="75">
        <v>0</v>
      </c>
      <c r="X81" s="75">
        <v>0</v>
      </c>
      <c r="Y81" s="75">
        <v>0</v>
      </c>
      <c r="Z81" s="75">
        <v>0</v>
      </c>
      <c r="AA81" s="75">
        <v>0</v>
      </c>
      <c r="AB81" s="75">
        <v>0</v>
      </c>
      <c r="AC81" s="75">
        <v>0</v>
      </c>
      <c r="AD81" s="75">
        <v>0</v>
      </c>
      <c r="AE81" s="75">
        <v>0</v>
      </c>
      <c r="AF81" s="75">
        <v>0</v>
      </c>
      <c r="AG81" s="75">
        <v>0</v>
      </c>
      <c r="AH81" s="75">
        <v>0</v>
      </c>
      <c r="AI81" s="75">
        <v>0</v>
      </c>
      <c r="AJ81" s="75">
        <v>0</v>
      </c>
      <c r="AK81" s="75">
        <v>0</v>
      </c>
      <c r="AL81" s="75">
        <v>0</v>
      </c>
      <c r="AM81" s="75">
        <v>0</v>
      </c>
      <c r="AN81" s="75">
        <v>0</v>
      </c>
      <c r="AO81" s="75">
        <v>0</v>
      </c>
      <c r="AP81" s="75">
        <v>0</v>
      </c>
      <c r="AQ81" s="75">
        <v>0</v>
      </c>
      <c r="AR81" s="75">
        <v>0</v>
      </c>
      <c r="AS81" s="75">
        <v>0</v>
      </c>
      <c r="AT81" s="75">
        <v>0</v>
      </c>
      <c r="AU81" s="75">
        <v>0</v>
      </c>
      <c r="AV81" s="75">
        <v>0</v>
      </c>
      <c r="AW81" s="75">
        <v>0</v>
      </c>
      <c r="AX81" s="75">
        <v>0</v>
      </c>
      <c r="AY81" s="75">
        <v>0</v>
      </c>
      <c r="AZ81" s="75">
        <v>0</v>
      </c>
      <c r="BA81" s="75">
        <v>0</v>
      </c>
      <c r="BB81" s="75">
        <v>0</v>
      </c>
      <c r="BC81" s="75">
        <v>0</v>
      </c>
      <c r="BD81" s="75">
        <v>0</v>
      </c>
      <c r="BE81" s="75">
        <v>0</v>
      </c>
      <c r="BF81" s="75">
        <v>0</v>
      </c>
      <c r="BG81" s="75">
        <v>0</v>
      </c>
      <c r="BH81" s="75">
        <v>0</v>
      </c>
      <c r="BI81" s="75">
        <v>0</v>
      </c>
      <c r="BJ81" s="75">
        <v>0</v>
      </c>
      <c r="BK81" s="75">
        <v>0</v>
      </c>
      <c r="BL81" s="75">
        <v>0</v>
      </c>
      <c r="BM81" s="75">
        <v>0</v>
      </c>
      <c r="BN81" s="75">
        <v>0</v>
      </c>
      <c r="BO81" s="75">
        <v>0</v>
      </c>
      <c r="BP81" s="75">
        <v>0</v>
      </c>
      <c r="BQ81" s="75">
        <v>0</v>
      </c>
      <c r="BR81" s="75">
        <v>0</v>
      </c>
      <c r="BS81" s="75">
        <v>0</v>
      </c>
      <c r="BT81" s="75">
        <v>0</v>
      </c>
      <c r="BU81" s="75">
        <v>0</v>
      </c>
      <c r="BV81" s="75">
        <v>0</v>
      </c>
      <c r="BW81" s="75">
        <v>0</v>
      </c>
      <c r="BX81" s="75">
        <v>0</v>
      </c>
      <c r="BY81" s="75">
        <v>0</v>
      </c>
      <c r="BZ81" s="75">
        <v>0</v>
      </c>
      <c r="CA81" s="75">
        <v>0</v>
      </c>
      <c r="CB81" s="75">
        <v>0</v>
      </c>
      <c r="CC81" s="75">
        <v>0</v>
      </c>
      <c r="CD81" s="75">
        <v>0</v>
      </c>
      <c r="CE81" s="75">
        <v>0</v>
      </c>
      <c r="CF81" s="75">
        <v>0</v>
      </c>
      <c r="CG81" s="75">
        <v>0</v>
      </c>
      <c r="CH81" s="75">
        <v>0</v>
      </c>
      <c r="CI81" s="75">
        <v>0</v>
      </c>
      <c r="CJ81" s="75">
        <v>0</v>
      </c>
      <c r="CK81" s="75">
        <v>0</v>
      </c>
      <c r="CL81" s="75">
        <v>0</v>
      </c>
      <c r="CM81" s="75">
        <v>0</v>
      </c>
      <c r="CN81" s="75">
        <v>0</v>
      </c>
      <c r="CO81" s="75">
        <v>0</v>
      </c>
      <c r="CP81" s="75">
        <v>0</v>
      </c>
      <c r="CQ81" s="75">
        <v>0</v>
      </c>
      <c r="CR81" s="75">
        <v>0</v>
      </c>
      <c r="CS81" s="75">
        <v>0</v>
      </c>
      <c r="CT81" s="75">
        <v>0</v>
      </c>
      <c r="CU81" s="75">
        <v>0</v>
      </c>
      <c r="CV81" s="75">
        <v>0</v>
      </c>
      <c r="CW81" s="75">
        <v>0</v>
      </c>
      <c r="CX81" s="75">
        <v>0</v>
      </c>
      <c r="CY81" s="75">
        <v>0</v>
      </c>
      <c r="CZ81" s="75">
        <v>0</v>
      </c>
      <c r="DA81" s="75">
        <v>0</v>
      </c>
      <c r="DB81" s="75">
        <v>0</v>
      </c>
      <c r="DC81" s="75">
        <v>0</v>
      </c>
      <c r="DD81" s="75">
        <v>0</v>
      </c>
      <c r="DE81" s="75">
        <v>0</v>
      </c>
      <c r="DF81" s="75">
        <v>0</v>
      </c>
      <c r="DG81" s="75">
        <v>0</v>
      </c>
      <c r="DH81" s="75">
        <v>0</v>
      </c>
      <c r="DI81" s="75">
        <v>0</v>
      </c>
      <c r="DJ81" s="75">
        <v>0</v>
      </c>
      <c r="DK81" s="75">
        <v>0</v>
      </c>
      <c r="DL81" s="75">
        <v>0</v>
      </c>
    </row>
    <row r="82" spans="2:116">
      <c r="B82" s="27">
        <f>Rentroll!$C$27</f>
        <v>1</v>
      </c>
      <c r="C82" s="69" t="str">
        <f>VLOOKUP($B82,Rentroll!$C$11:$X$29,3,FALSE)</f>
        <v>파파 커피앤도넛</v>
      </c>
      <c r="D82" s="80">
        <f>VLOOKUP($B82,Rentroll!$C$11:$X$29,9,FALSE)</f>
        <v>42064</v>
      </c>
      <c r="E82" s="80">
        <f>VLOOKUP($B82,Rentroll!$C$11:$X$29,10,FALSE)</f>
        <v>45716</v>
      </c>
      <c r="F82" s="81">
        <f>VLOOKUP($B82,Rentroll!$C$11:$X$29,11,FALSE)</f>
        <v>120</v>
      </c>
      <c r="G82" s="69">
        <f>VLOOKUP($B82,Rentroll!$C$11:$X$29,13,FALSE)</f>
        <v>91334</v>
      </c>
      <c r="H82" s="69">
        <f>VLOOKUP($B82,Rentroll!$C$11:$X$29,14,FALSE)</f>
        <v>83722.833333333328</v>
      </c>
      <c r="I82" s="69">
        <f>VLOOKUP($B82,Rentroll!$C$11:$X$29,15,FALSE)</f>
        <v>39143</v>
      </c>
      <c r="J82" s="82">
        <f>VLOOKUP($B82,Rentroll!$C$11:$X$29,19,FALSE)</f>
        <v>0.03</v>
      </c>
      <c r="K82" s="83">
        <f>VLOOKUP($B82,Rentroll!$C$11:$X$29,4,FALSE)</f>
        <v>969.56</v>
      </c>
      <c r="L82" s="81">
        <f>VLOOKUP($B82,Rentroll!$C$11:$X$29,17,FALSE)</f>
        <v>0</v>
      </c>
      <c r="M82" s="84">
        <f>VLOOKUP($B82,Rentroll!$C$11:$X$29,18,FALSE)</f>
        <v>1</v>
      </c>
      <c r="O82" s="74">
        <f t="shared" si="48"/>
        <v>1</v>
      </c>
      <c r="P82" s="75"/>
      <c r="Q82" s="75"/>
      <c r="R82" s="75">
        <v>0</v>
      </c>
      <c r="S82" s="75">
        <v>0</v>
      </c>
      <c r="T82" s="75">
        <v>0</v>
      </c>
      <c r="U82" s="75">
        <v>0</v>
      </c>
      <c r="V82" s="75">
        <v>0</v>
      </c>
      <c r="W82" s="75">
        <v>0</v>
      </c>
      <c r="X82" s="75">
        <v>0</v>
      </c>
      <c r="Y82" s="75">
        <v>0</v>
      </c>
      <c r="Z82" s="75">
        <v>0</v>
      </c>
      <c r="AA82" s="75">
        <v>0</v>
      </c>
      <c r="AB82" s="75">
        <v>0</v>
      </c>
      <c r="AC82" s="75">
        <v>0</v>
      </c>
      <c r="AD82" s="75">
        <v>0</v>
      </c>
      <c r="AE82" s="75">
        <v>0</v>
      </c>
      <c r="AF82" s="75">
        <v>0</v>
      </c>
      <c r="AG82" s="75">
        <v>0</v>
      </c>
      <c r="AH82" s="75">
        <v>0</v>
      </c>
      <c r="AI82" s="75">
        <v>0</v>
      </c>
      <c r="AJ82" s="75">
        <v>0</v>
      </c>
      <c r="AK82" s="75">
        <v>0</v>
      </c>
      <c r="AL82" s="75">
        <v>0</v>
      </c>
      <c r="AM82" s="75">
        <v>0</v>
      </c>
      <c r="AN82" s="75">
        <v>0</v>
      </c>
      <c r="AO82" s="75">
        <v>0</v>
      </c>
      <c r="AP82" s="75">
        <v>0</v>
      </c>
      <c r="AQ82" s="75">
        <v>0</v>
      </c>
      <c r="AR82" s="75">
        <v>0</v>
      </c>
      <c r="AS82" s="75">
        <v>0</v>
      </c>
      <c r="AT82" s="75">
        <v>0</v>
      </c>
      <c r="AU82" s="75">
        <v>0</v>
      </c>
      <c r="AV82" s="75">
        <v>0</v>
      </c>
      <c r="AW82" s="75">
        <v>0</v>
      </c>
      <c r="AX82" s="75">
        <v>0</v>
      </c>
      <c r="AY82" s="75">
        <v>0</v>
      </c>
      <c r="AZ82" s="75">
        <v>0</v>
      </c>
      <c r="BA82" s="75">
        <v>0</v>
      </c>
      <c r="BB82" s="75">
        <v>0</v>
      </c>
      <c r="BC82" s="75">
        <v>0</v>
      </c>
      <c r="BD82" s="75">
        <v>0</v>
      </c>
      <c r="BE82" s="75">
        <v>0</v>
      </c>
      <c r="BF82" s="75">
        <v>0</v>
      </c>
      <c r="BG82" s="75">
        <v>0</v>
      </c>
      <c r="BH82" s="75">
        <v>0</v>
      </c>
      <c r="BI82" s="75">
        <v>0</v>
      </c>
      <c r="BJ82" s="75">
        <v>0</v>
      </c>
      <c r="BK82" s="75">
        <v>0</v>
      </c>
      <c r="BL82" s="75">
        <v>0</v>
      </c>
      <c r="BM82" s="75">
        <v>0</v>
      </c>
      <c r="BN82" s="75">
        <v>0</v>
      </c>
      <c r="BO82" s="75">
        <v>0</v>
      </c>
      <c r="BP82" s="75">
        <v>0</v>
      </c>
      <c r="BQ82" s="75">
        <v>0</v>
      </c>
      <c r="BR82" s="75">
        <v>0</v>
      </c>
      <c r="BS82" s="75">
        <v>0</v>
      </c>
      <c r="BT82" s="75">
        <v>0</v>
      </c>
      <c r="BU82" s="75">
        <v>0</v>
      </c>
      <c r="BV82" s="75">
        <v>0</v>
      </c>
      <c r="BW82" s="75">
        <v>0</v>
      </c>
      <c r="BX82" s="75">
        <v>0</v>
      </c>
      <c r="BY82" s="75">
        <v>0</v>
      </c>
      <c r="BZ82" s="75">
        <v>0</v>
      </c>
      <c r="CA82" s="75">
        <v>0</v>
      </c>
      <c r="CB82" s="75">
        <v>0</v>
      </c>
      <c r="CC82" s="75">
        <v>0</v>
      </c>
      <c r="CD82" s="75">
        <v>0</v>
      </c>
      <c r="CE82" s="75">
        <v>0</v>
      </c>
      <c r="CF82" s="75">
        <v>0</v>
      </c>
      <c r="CG82" s="75">
        <v>0</v>
      </c>
      <c r="CH82" s="75">
        <v>0</v>
      </c>
      <c r="CI82" s="75">
        <v>0</v>
      </c>
      <c r="CJ82" s="75">
        <v>0</v>
      </c>
      <c r="CK82" s="75">
        <v>0</v>
      </c>
      <c r="CL82" s="75">
        <v>0</v>
      </c>
      <c r="CM82" s="75">
        <v>0</v>
      </c>
      <c r="CN82" s="75">
        <v>0</v>
      </c>
      <c r="CO82" s="75">
        <v>0</v>
      </c>
      <c r="CP82" s="75">
        <v>0</v>
      </c>
      <c r="CQ82" s="75">
        <v>0</v>
      </c>
      <c r="CR82" s="75">
        <v>0</v>
      </c>
      <c r="CS82" s="75">
        <v>0</v>
      </c>
      <c r="CT82" s="75">
        <v>0</v>
      </c>
      <c r="CU82" s="75">
        <v>0</v>
      </c>
      <c r="CV82" s="75">
        <v>0</v>
      </c>
      <c r="CW82" s="75">
        <v>0</v>
      </c>
      <c r="CX82" s="75">
        <v>0</v>
      </c>
      <c r="CY82" s="75">
        <v>0</v>
      </c>
      <c r="CZ82" s="75">
        <v>0</v>
      </c>
      <c r="DA82" s="75">
        <v>0</v>
      </c>
      <c r="DB82" s="75">
        <v>0</v>
      </c>
      <c r="DC82" s="75">
        <v>0</v>
      </c>
      <c r="DD82" s="75">
        <v>0</v>
      </c>
      <c r="DE82" s="75">
        <v>0</v>
      </c>
      <c r="DF82" s="75">
        <v>0</v>
      </c>
      <c r="DG82" s="75">
        <v>0</v>
      </c>
      <c r="DH82" s="75">
        <v>0</v>
      </c>
      <c r="DI82" s="75">
        <v>0</v>
      </c>
      <c r="DJ82" s="75">
        <v>0</v>
      </c>
      <c r="DK82" s="75">
        <v>0</v>
      </c>
      <c r="DL82" s="75">
        <v>0</v>
      </c>
    </row>
    <row r="83" spans="2:116">
      <c r="B83" s="27" t="str">
        <f>Rentroll!$C$28</f>
        <v>B101호</v>
      </c>
      <c r="C83" s="69" t="str">
        <f>VLOOKUP($B83,Rentroll!$C$11:$X$29,3,FALSE)</f>
        <v>퀸즈 샌드위치</v>
      </c>
      <c r="D83" s="80">
        <f>VLOOKUP($B83,Rentroll!$C$11:$X$29,9,FALSE)</f>
        <v>44926</v>
      </c>
      <c r="E83" s="80">
        <f>VLOOKUP($B83,Rentroll!$C$11:$X$29,10,FALSE)</f>
        <v>46751</v>
      </c>
      <c r="F83" s="81">
        <f>VLOOKUP($B83,Rentroll!$C$11:$X$29,11,FALSE)</f>
        <v>60</v>
      </c>
      <c r="G83" s="69">
        <f>VLOOKUP($B83,Rentroll!$C$11:$X$29,13,FALSE)</f>
        <v>21218</v>
      </c>
      <c r="H83" s="69">
        <f>VLOOKUP($B83,Rentroll!$C$11:$X$29,14,FALSE)</f>
        <v>17681.666666666668</v>
      </c>
      <c r="I83" s="69">
        <f>VLOOKUP($B83,Rentroll!$C$11:$X$29,15,FALSE)</f>
        <v>31827</v>
      </c>
      <c r="J83" s="82">
        <f>VLOOKUP($B83,Rentroll!$C$11:$X$29,19,FALSE)</f>
        <v>0.03</v>
      </c>
      <c r="K83" s="83">
        <f>VLOOKUP($B83,Rentroll!$C$11:$X$29,4,FALSE)</f>
        <v>969.56</v>
      </c>
      <c r="L83" s="81">
        <f>VLOOKUP($B83,Rentroll!$C$11:$X$29,17,FALSE)</f>
        <v>0</v>
      </c>
      <c r="M83" s="84">
        <f>VLOOKUP($B83,Rentroll!$C$11:$X$29,18,FALSE)</f>
        <v>2</v>
      </c>
      <c r="O83" s="74" t="str">
        <f t="shared" si="48"/>
        <v>B101호</v>
      </c>
      <c r="P83" s="75"/>
      <c r="Q83" s="75"/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  <c r="AK83" s="75">
        <v>0</v>
      </c>
      <c r="AL83" s="75">
        <v>0</v>
      </c>
      <c r="AM83" s="75">
        <v>0</v>
      </c>
      <c r="AN83" s="75">
        <v>0</v>
      </c>
      <c r="AO83" s="75">
        <v>0</v>
      </c>
      <c r="AP83" s="75">
        <v>0</v>
      </c>
      <c r="AQ83" s="75">
        <v>0</v>
      </c>
      <c r="AR83" s="75">
        <v>0</v>
      </c>
      <c r="AS83" s="75">
        <v>0</v>
      </c>
      <c r="AT83" s="75">
        <v>0</v>
      </c>
      <c r="AU83" s="75">
        <v>0</v>
      </c>
      <c r="AV83" s="75">
        <v>0</v>
      </c>
      <c r="AW83" s="75">
        <v>0</v>
      </c>
      <c r="AX83" s="75">
        <v>0</v>
      </c>
      <c r="AY83" s="75">
        <v>0</v>
      </c>
      <c r="AZ83" s="75">
        <v>0</v>
      </c>
      <c r="BA83" s="75">
        <v>0</v>
      </c>
      <c r="BB83" s="75">
        <v>0</v>
      </c>
      <c r="BC83" s="75">
        <v>0</v>
      </c>
      <c r="BD83" s="75">
        <v>0</v>
      </c>
      <c r="BE83" s="75">
        <v>0</v>
      </c>
      <c r="BF83" s="75">
        <v>0</v>
      </c>
      <c r="BG83" s="75">
        <v>0</v>
      </c>
      <c r="BH83" s="75">
        <v>0</v>
      </c>
      <c r="BI83" s="75">
        <v>0</v>
      </c>
      <c r="BJ83" s="75">
        <v>0</v>
      </c>
      <c r="BK83" s="75">
        <v>0</v>
      </c>
      <c r="BL83" s="75">
        <v>0</v>
      </c>
      <c r="BM83" s="75">
        <v>0</v>
      </c>
      <c r="BN83" s="75">
        <v>0</v>
      </c>
      <c r="BO83" s="75">
        <v>0</v>
      </c>
      <c r="BP83" s="75">
        <v>0</v>
      </c>
      <c r="BQ83" s="75">
        <v>0</v>
      </c>
      <c r="BR83" s="75">
        <v>0</v>
      </c>
      <c r="BS83" s="75">
        <v>0</v>
      </c>
      <c r="BT83" s="75">
        <v>0</v>
      </c>
      <c r="BU83" s="75">
        <v>0</v>
      </c>
      <c r="BV83" s="75">
        <v>0</v>
      </c>
      <c r="BW83" s="75">
        <v>0</v>
      </c>
      <c r="BX83" s="75">
        <v>0</v>
      </c>
      <c r="BY83" s="75">
        <v>0</v>
      </c>
      <c r="BZ83" s="75">
        <v>0</v>
      </c>
      <c r="CA83" s="75">
        <v>0</v>
      </c>
      <c r="CB83" s="75">
        <v>0</v>
      </c>
      <c r="CC83" s="75">
        <v>0</v>
      </c>
      <c r="CD83" s="75">
        <v>0</v>
      </c>
      <c r="CE83" s="75">
        <v>0</v>
      </c>
      <c r="CF83" s="75">
        <v>0</v>
      </c>
      <c r="CG83" s="75">
        <v>0</v>
      </c>
      <c r="CH83" s="75">
        <v>0</v>
      </c>
      <c r="CI83" s="75">
        <v>0</v>
      </c>
      <c r="CJ83" s="75">
        <v>0</v>
      </c>
      <c r="CK83" s="75">
        <v>0</v>
      </c>
      <c r="CL83" s="75">
        <v>0</v>
      </c>
      <c r="CM83" s="75">
        <v>0</v>
      </c>
      <c r="CN83" s="75">
        <v>0</v>
      </c>
      <c r="CO83" s="75">
        <v>0</v>
      </c>
      <c r="CP83" s="75">
        <v>0</v>
      </c>
      <c r="CQ83" s="75">
        <v>0</v>
      </c>
      <c r="CR83" s="75">
        <v>0</v>
      </c>
      <c r="CS83" s="75">
        <v>0</v>
      </c>
      <c r="CT83" s="75">
        <v>0</v>
      </c>
      <c r="CU83" s="75">
        <v>0</v>
      </c>
      <c r="CV83" s="75">
        <v>0</v>
      </c>
      <c r="CW83" s="75">
        <v>0</v>
      </c>
      <c r="CX83" s="75">
        <v>0</v>
      </c>
      <c r="CY83" s="75">
        <v>0</v>
      </c>
      <c r="CZ83" s="75">
        <v>0</v>
      </c>
      <c r="DA83" s="75">
        <v>0</v>
      </c>
      <c r="DB83" s="75">
        <v>0</v>
      </c>
      <c r="DC83" s="75">
        <v>0</v>
      </c>
      <c r="DD83" s="75">
        <v>0</v>
      </c>
      <c r="DE83" s="75">
        <v>0</v>
      </c>
      <c r="DF83" s="75">
        <v>0</v>
      </c>
      <c r="DG83" s="75">
        <v>0</v>
      </c>
      <c r="DH83" s="75">
        <v>0</v>
      </c>
      <c r="DI83" s="75">
        <v>0</v>
      </c>
      <c r="DJ83" s="75">
        <v>0</v>
      </c>
      <c r="DK83" s="75">
        <v>0</v>
      </c>
      <c r="DL83" s="75">
        <v>0</v>
      </c>
    </row>
    <row r="84" spans="2:116">
      <c r="B84" s="27" t="str">
        <f>Rentroll!$C$29</f>
        <v>B102호</v>
      </c>
      <c r="C84" s="69" t="str">
        <f>VLOOKUP($B84,Rentroll!$C$11:$X$29,3,FALSE)</f>
        <v>로미오 문구점</v>
      </c>
      <c r="D84" s="80">
        <f>VLOOKUP($B84,Rentroll!$C$11:$X$29,9,FALSE)</f>
        <v>44592</v>
      </c>
      <c r="E84" s="80">
        <f>VLOOKUP($B84,Rentroll!$C$11:$X$29,10,FALSE)</f>
        <v>46417</v>
      </c>
      <c r="F84" s="81">
        <f>VLOOKUP($B84,Rentroll!$C$11:$X$29,11,FALSE)</f>
        <v>60</v>
      </c>
      <c r="G84" s="69">
        <f>VLOOKUP($B84,Rentroll!$C$11:$X$29,13,FALSE)</f>
        <v>31827</v>
      </c>
      <c r="H84" s="69">
        <f>VLOOKUP($B84,Rentroll!$C$11:$X$29,14,FALSE)</f>
        <v>23870.25</v>
      </c>
      <c r="I84" s="69">
        <f>VLOOKUP($B84,Rentroll!$C$11:$X$29,15,FALSE)</f>
        <v>31827</v>
      </c>
      <c r="J84" s="82">
        <f>VLOOKUP($B84,Rentroll!$C$11:$X$29,19,FALSE)</f>
        <v>0.03</v>
      </c>
      <c r="K84" s="83">
        <f>VLOOKUP($B84,Rentroll!$C$11:$X$29,4,FALSE)</f>
        <v>969.56</v>
      </c>
      <c r="L84" s="81">
        <f>VLOOKUP($B84,Rentroll!$C$11:$X$29,17,FALSE)</f>
        <v>0</v>
      </c>
      <c r="M84" s="84">
        <f>VLOOKUP($B84,Rentroll!$C$11:$X$29,18,FALSE)</f>
        <v>3</v>
      </c>
      <c r="O84" s="26" t="str">
        <f t="shared" si="48"/>
        <v>B102호</v>
      </c>
      <c r="P84" s="76"/>
      <c r="Q84" s="76"/>
      <c r="R84" s="76">
        <v>0</v>
      </c>
      <c r="S84" s="76">
        <v>0</v>
      </c>
      <c r="T84" s="76">
        <v>0</v>
      </c>
      <c r="U84" s="76">
        <v>0</v>
      </c>
      <c r="V84" s="76">
        <v>0</v>
      </c>
      <c r="W84" s="76">
        <v>0</v>
      </c>
      <c r="X84" s="76">
        <v>0</v>
      </c>
      <c r="Y84" s="76">
        <v>0</v>
      </c>
      <c r="Z84" s="76">
        <v>0</v>
      </c>
      <c r="AA84" s="76">
        <v>0</v>
      </c>
      <c r="AB84" s="76">
        <v>0</v>
      </c>
      <c r="AC84" s="76">
        <v>0</v>
      </c>
      <c r="AD84" s="76">
        <v>0</v>
      </c>
      <c r="AE84" s="76">
        <v>0</v>
      </c>
      <c r="AF84" s="76">
        <v>0</v>
      </c>
      <c r="AG84" s="76">
        <v>0</v>
      </c>
      <c r="AH84" s="76">
        <v>0</v>
      </c>
      <c r="AI84" s="76">
        <v>0</v>
      </c>
      <c r="AJ84" s="76">
        <v>0</v>
      </c>
      <c r="AK84" s="76">
        <v>0</v>
      </c>
      <c r="AL84" s="76">
        <v>0</v>
      </c>
      <c r="AM84" s="76">
        <v>0</v>
      </c>
      <c r="AN84" s="76">
        <v>0</v>
      </c>
      <c r="AO84" s="76">
        <v>0</v>
      </c>
      <c r="AP84" s="76">
        <v>0</v>
      </c>
      <c r="AQ84" s="76">
        <v>0</v>
      </c>
      <c r="AR84" s="76">
        <v>0</v>
      </c>
      <c r="AS84" s="76">
        <v>0</v>
      </c>
      <c r="AT84" s="76">
        <v>0</v>
      </c>
      <c r="AU84" s="76">
        <v>0</v>
      </c>
      <c r="AV84" s="76">
        <v>0</v>
      </c>
      <c r="AW84" s="76">
        <v>0</v>
      </c>
      <c r="AX84" s="76">
        <v>0</v>
      </c>
      <c r="AY84" s="76">
        <v>0</v>
      </c>
      <c r="AZ84" s="76">
        <v>0</v>
      </c>
      <c r="BA84" s="76">
        <v>0</v>
      </c>
      <c r="BB84" s="76">
        <v>0</v>
      </c>
      <c r="BC84" s="76">
        <v>0</v>
      </c>
      <c r="BD84" s="76">
        <v>0</v>
      </c>
      <c r="BE84" s="76">
        <v>0</v>
      </c>
      <c r="BF84" s="76">
        <v>0</v>
      </c>
      <c r="BG84" s="76">
        <v>0</v>
      </c>
      <c r="BH84" s="76">
        <v>0</v>
      </c>
      <c r="BI84" s="76">
        <v>0</v>
      </c>
      <c r="BJ84" s="76">
        <v>0</v>
      </c>
      <c r="BK84" s="76">
        <v>0</v>
      </c>
      <c r="BL84" s="76">
        <v>0</v>
      </c>
      <c r="BM84" s="76">
        <v>0</v>
      </c>
      <c r="BN84" s="76">
        <v>0</v>
      </c>
      <c r="BO84" s="76">
        <v>0</v>
      </c>
      <c r="BP84" s="76">
        <v>0</v>
      </c>
      <c r="BQ84" s="76">
        <v>0</v>
      </c>
      <c r="BR84" s="76">
        <v>0</v>
      </c>
      <c r="BS84" s="76">
        <v>0</v>
      </c>
      <c r="BT84" s="76">
        <v>0</v>
      </c>
      <c r="BU84" s="76">
        <v>0</v>
      </c>
      <c r="BV84" s="76">
        <v>0</v>
      </c>
      <c r="BW84" s="76">
        <v>0</v>
      </c>
      <c r="BX84" s="76">
        <v>0</v>
      </c>
      <c r="BY84" s="76">
        <v>0</v>
      </c>
      <c r="BZ84" s="76">
        <v>0</v>
      </c>
      <c r="CA84" s="76">
        <v>0</v>
      </c>
      <c r="CB84" s="76">
        <v>0</v>
      </c>
      <c r="CC84" s="76">
        <v>0</v>
      </c>
      <c r="CD84" s="76">
        <v>0</v>
      </c>
      <c r="CE84" s="76">
        <v>0</v>
      </c>
      <c r="CF84" s="76">
        <v>0</v>
      </c>
      <c r="CG84" s="76">
        <v>0</v>
      </c>
      <c r="CH84" s="76">
        <v>0</v>
      </c>
      <c r="CI84" s="76">
        <v>0</v>
      </c>
      <c r="CJ84" s="76">
        <v>0</v>
      </c>
      <c r="CK84" s="76">
        <v>0</v>
      </c>
      <c r="CL84" s="76">
        <v>0</v>
      </c>
      <c r="CM84" s="76">
        <v>0</v>
      </c>
      <c r="CN84" s="76">
        <v>0</v>
      </c>
      <c r="CO84" s="76">
        <v>0</v>
      </c>
      <c r="CP84" s="76">
        <v>0</v>
      </c>
      <c r="CQ84" s="76">
        <v>0</v>
      </c>
      <c r="CR84" s="76">
        <v>0</v>
      </c>
      <c r="CS84" s="76">
        <v>0</v>
      </c>
      <c r="CT84" s="76">
        <v>0</v>
      </c>
      <c r="CU84" s="76">
        <v>0</v>
      </c>
      <c r="CV84" s="76">
        <v>0</v>
      </c>
      <c r="CW84" s="76">
        <v>0</v>
      </c>
      <c r="CX84" s="76">
        <v>0</v>
      </c>
      <c r="CY84" s="76">
        <v>0</v>
      </c>
      <c r="CZ84" s="76">
        <v>0</v>
      </c>
      <c r="DA84" s="76">
        <v>0</v>
      </c>
      <c r="DB84" s="76">
        <v>0</v>
      </c>
      <c r="DC84" s="76">
        <v>0</v>
      </c>
      <c r="DD84" s="76">
        <v>0</v>
      </c>
      <c r="DE84" s="76">
        <v>0</v>
      </c>
      <c r="DF84" s="76">
        <v>0</v>
      </c>
      <c r="DG84" s="76">
        <v>0</v>
      </c>
      <c r="DH84" s="76">
        <v>0</v>
      </c>
      <c r="DI84" s="76">
        <v>0</v>
      </c>
      <c r="DJ84" s="76">
        <v>0</v>
      </c>
      <c r="DK84" s="76">
        <v>0</v>
      </c>
      <c r="DL84" s="76">
        <v>0</v>
      </c>
    </row>
    <row r="85" spans="2:116">
      <c r="B85" s="70" t="s">
        <v>47</v>
      </c>
      <c r="C85" s="71" t="s">
        <v>49</v>
      </c>
      <c r="D85" s="71" t="s">
        <v>97</v>
      </c>
      <c r="E85" s="71" t="s">
        <v>98</v>
      </c>
      <c r="F85" s="71" t="s">
        <v>84</v>
      </c>
      <c r="G85" s="71" t="s">
        <v>104</v>
      </c>
      <c r="H85" s="71" t="s">
        <v>105</v>
      </c>
      <c r="I85" s="71" t="s">
        <v>103</v>
      </c>
      <c r="J85" s="71" t="s">
        <v>99</v>
      </c>
      <c r="K85" s="71" t="s">
        <v>102</v>
      </c>
      <c r="L85" s="71" t="s">
        <v>100</v>
      </c>
      <c r="M85" s="72" t="s">
        <v>101</v>
      </c>
      <c r="O85" s="4" t="s">
        <v>108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</row>
    <row r="86" spans="2:116">
      <c r="B86" s="27">
        <f>Rentroll!$C$37</f>
        <v>17</v>
      </c>
      <c r="C86" s="69" t="str">
        <f>VLOOKUP($B86,Rentroll!$C$37:$Z$60,3,FALSE)</f>
        <v>리마 상사</v>
      </c>
      <c r="D86" s="80">
        <f>VLOOKUP($B86,Rentroll!$C$37:$Z$60,9,FALSE)</f>
        <v>47149</v>
      </c>
      <c r="E86" s="80">
        <f>VLOOKUP($B86,Rentroll!$C$37:$Z$60,10,FALSE)</f>
        <v>48975</v>
      </c>
      <c r="F86" s="81">
        <f>VLOOKUP($B86,Rentroll!$C$37:$Z$60,11,FALSE)</f>
        <v>60</v>
      </c>
      <c r="G86" s="69">
        <f>VLOOKUP($B86,Rentroll!$C$37:$Z$60,13,FALSE)</f>
        <v>115927.40742999999</v>
      </c>
      <c r="H86" s="69">
        <f>VLOOKUP($B86,Rentroll!$C$37:$Z$60,14,FALSE)</f>
        <v>106266.79014416666</v>
      </c>
      <c r="I86" s="69">
        <f>VLOOKUP($B86,Rentroll!$C$37:$Z$60,15,FALSE)</f>
        <v>50647.896449999993</v>
      </c>
      <c r="J86" s="82">
        <f>VLOOKUP($B86,Rentroll!$C$37:$Z$60,19,FALSE)</f>
        <v>0.03</v>
      </c>
      <c r="K86" s="83">
        <f>VLOOKUP($B86,Rentroll!$C$37:$Z$60,4,FALSE)</f>
        <v>1385.09</v>
      </c>
      <c r="L86" s="81">
        <f>VLOOKUP($B86,Rentroll!$C$37:$Z$60,17,FALSE)</f>
        <v>0</v>
      </c>
      <c r="M86" s="84">
        <f>VLOOKUP($B86,Rentroll!$C$37:$Z$60,18,FALSE)</f>
        <v>1</v>
      </c>
      <c r="O86" s="46">
        <f>B86</f>
        <v>17</v>
      </c>
      <c r="P86" s="73"/>
      <c r="Q86" s="73"/>
      <c r="R86" s="73">
        <f>IF($L86=0,0,(EOMONTH($D86,1)&lt;=R$14)*(EOMONTH($D86,$L86)&gt;=R$14)*1)</f>
        <v>0</v>
      </c>
      <c r="S86" s="73">
        <f t="shared" ref="S86:CD87" si="49">IF($L86=0,0,(EOMONTH($D86,1)&lt;=S$14)*(EOMONTH($D86,$L86)&gt;=S$14)*1)</f>
        <v>0</v>
      </c>
      <c r="T86" s="73">
        <f t="shared" si="49"/>
        <v>0</v>
      </c>
      <c r="U86" s="73">
        <f t="shared" si="49"/>
        <v>0</v>
      </c>
      <c r="V86" s="73">
        <f t="shared" si="49"/>
        <v>0</v>
      </c>
      <c r="W86" s="73">
        <f t="shared" si="49"/>
        <v>0</v>
      </c>
      <c r="X86" s="73">
        <f t="shared" si="49"/>
        <v>0</v>
      </c>
      <c r="Y86" s="73">
        <f t="shared" si="49"/>
        <v>0</v>
      </c>
      <c r="Z86" s="73">
        <f t="shared" si="49"/>
        <v>0</v>
      </c>
      <c r="AA86" s="73">
        <f t="shared" si="49"/>
        <v>0</v>
      </c>
      <c r="AB86" s="73">
        <f t="shared" si="49"/>
        <v>0</v>
      </c>
      <c r="AC86" s="73">
        <f t="shared" si="49"/>
        <v>0</v>
      </c>
      <c r="AD86" s="73">
        <f t="shared" si="49"/>
        <v>0</v>
      </c>
      <c r="AE86" s="73">
        <f t="shared" si="49"/>
        <v>0</v>
      </c>
      <c r="AF86" s="73">
        <f t="shared" si="49"/>
        <v>0</v>
      </c>
      <c r="AG86" s="73">
        <f t="shared" si="49"/>
        <v>0</v>
      </c>
      <c r="AH86" s="73">
        <f t="shared" si="49"/>
        <v>0</v>
      </c>
      <c r="AI86" s="73">
        <f t="shared" si="49"/>
        <v>0</v>
      </c>
      <c r="AJ86" s="73">
        <f t="shared" si="49"/>
        <v>0</v>
      </c>
      <c r="AK86" s="73">
        <f t="shared" si="49"/>
        <v>0</v>
      </c>
      <c r="AL86" s="73">
        <f t="shared" si="49"/>
        <v>0</v>
      </c>
      <c r="AM86" s="73">
        <f t="shared" si="49"/>
        <v>0</v>
      </c>
      <c r="AN86" s="73">
        <f t="shared" si="49"/>
        <v>0</v>
      </c>
      <c r="AO86" s="73">
        <f t="shared" si="49"/>
        <v>0</v>
      </c>
      <c r="AP86" s="73">
        <f t="shared" si="49"/>
        <v>0</v>
      </c>
      <c r="AQ86" s="73">
        <f t="shared" si="49"/>
        <v>0</v>
      </c>
      <c r="AR86" s="73">
        <f t="shared" si="49"/>
        <v>0</v>
      </c>
      <c r="AS86" s="73">
        <f t="shared" si="49"/>
        <v>0</v>
      </c>
      <c r="AT86" s="73">
        <f t="shared" si="49"/>
        <v>0</v>
      </c>
      <c r="AU86" s="73">
        <f t="shared" si="49"/>
        <v>0</v>
      </c>
      <c r="AV86" s="73">
        <f t="shared" si="49"/>
        <v>0</v>
      </c>
      <c r="AW86" s="73">
        <f t="shared" si="49"/>
        <v>0</v>
      </c>
      <c r="AX86" s="73">
        <f t="shared" si="49"/>
        <v>0</v>
      </c>
      <c r="AY86" s="73">
        <f t="shared" si="49"/>
        <v>0</v>
      </c>
      <c r="AZ86" s="73">
        <f t="shared" si="49"/>
        <v>0</v>
      </c>
      <c r="BA86" s="73">
        <f t="shared" si="49"/>
        <v>0</v>
      </c>
      <c r="BB86" s="73">
        <f t="shared" si="49"/>
        <v>0</v>
      </c>
      <c r="BC86" s="73">
        <f t="shared" si="49"/>
        <v>0</v>
      </c>
      <c r="BD86" s="73">
        <f t="shared" si="49"/>
        <v>0</v>
      </c>
      <c r="BE86" s="73">
        <f t="shared" si="49"/>
        <v>0</v>
      </c>
      <c r="BF86" s="73">
        <f t="shared" si="49"/>
        <v>0</v>
      </c>
      <c r="BG86" s="73">
        <f t="shared" si="49"/>
        <v>0</v>
      </c>
      <c r="BH86" s="73">
        <f t="shared" si="49"/>
        <v>0</v>
      </c>
      <c r="BI86" s="73">
        <f t="shared" si="49"/>
        <v>0</v>
      </c>
      <c r="BJ86" s="73">
        <f t="shared" si="49"/>
        <v>0</v>
      </c>
      <c r="BK86" s="73">
        <f t="shared" si="49"/>
        <v>0</v>
      </c>
      <c r="BL86" s="73">
        <f t="shared" si="49"/>
        <v>0</v>
      </c>
      <c r="BM86" s="73">
        <f t="shared" si="49"/>
        <v>0</v>
      </c>
      <c r="BN86" s="73">
        <f t="shared" si="49"/>
        <v>0</v>
      </c>
      <c r="BO86" s="73">
        <f t="shared" si="49"/>
        <v>0</v>
      </c>
      <c r="BP86" s="73">
        <f t="shared" si="49"/>
        <v>0</v>
      </c>
      <c r="BQ86" s="73">
        <f t="shared" si="49"/>
        <v>0</v>
      </c>
      <c r="BR86" s="73">
        <f t="shared" si="49"/>
        <v>0</v>
      </c>
      <c r="BS86" s="73">
        <f t="shared" si="49"/>
        <v>0</v>
      </c>
      <c r="BT86" s="73">
        <f t="shared" si="49"/>
        <v>0</v>
      </c>
      <c r="BU86" s="73">
        <f t="shared" si="49"/>
        <v>0</v>
      </c>
      <c r="BV86" s="73">
        <f t="shared" si="49"/>
        <v>0</v>
      </c>
      <c r="BW86" s="73">
        <f t="shared" si="49"/>
        <v>0</v>
      </c>
      <c r="BX86" s="73">
        <f t="shared" si="49"/>
        <v>0</v>
      </c>
      <c r="BY86" s="73">
        <f t="shared" si="49"/>
        <v>0</v>
      </c>
      <c r="BZ86" s="73">
        <f t="shared" si="49"/>
        <v>0</v>
      </c>
      <c r="CA86" s="73">
        <f t="shared" si="49"/>
        <v>0</v>
      </c>
      <c r="CB86" s="73">
        <f t="shared" si="49"/>
        <v>0</v>
      </c>
      <c r="CC86" s="73">
        <f t="shared" si="49"/>
        <v>0</v>
      </c>
      <c r="CD86" s="73">
        <f t="shared" si="49"/>
        <v>0</v>
      </c>
      <c r="CE86" s="73">
        <f t="shared" ref="CE86:DL90" si="50">IF($L86=0,0,(EOMONTH($D86,1)&lt;=CE$14)*(EOMONTH($D86,$L86)&gt;=CE$14)*1)</f>
        <v>0</v>
      </c>
      <c r="CF86" s="73">
        <f t="shared" si="50"/>
        <v>0</v>
      </c>
      <c r="CG86" s="73">
        <f t="shared" si="50"/>
        <v>0</v>
      </c>
      <c r="CH86" s="73">
        <f t="shared" si="50"/>
        <v>0</v>
      </c>
      <c r="CI86" s="73">
        <f t="shared" si="50"/>
        <v>0</v>
      </c>
      <c r="CJ86" s="73">
        <f t="shared" si="50"/>
        <v>0</v>
      </c>
      <c r="CK86" s="73">
        <f t="shared" si="50"/>
        <v>0</v>
      </c>
      <c r="CL86" s="73">
        <f t="shared" si="50"/>
        <v>0</v>
      </c>
      <c r="CM86" s="73">
        <f t="shared" si="50"/>
        <v>0</v>
      </c>
      <c r="CN86" s="73">
        <f t="shared" si="50"/>
        <v>0</v>
      </c>
      <c r="CO86" s="73">
        <f t="shared" si="50"/>
        <v>0</v>
      </c>
      <c r="CP86" s="73">
        <f t="shared" si="50"/>
        <v>0</v>
      </c>
      <c r="CQ86" s="73">
        <f t="shared" si="50"/>
        <v>0</v>
      </c>
      <c r="CR86" s="73">
        <f t="shared" si="50"/>
        <v>0</v>
      </c>
      <c r="CS86" s="73">
        <f t="shared" si="50"/>
        <v>0</v>
      </c>
      <c r="CT86" s="73">
        <f t="shared" si="50"/>
        <v>0</v>
      </c>
      <c r="CU86" s="73">
        <f t="shared" si="50"/>
        <v>0</v>
      </c>
      <c r="CV86" s="73">
        <f t="shared" si="50"/>
        <v>0</v>
      </c>
      <c r="CW86" s="73">
        <f t="shared" si="50"/>
        <v>0</v>
      </c>
      <c r="CX86" s="73">
        <f t="shared" si="50"/>
        <v>0</v>
      </c>
      <c r="CY86" s="73">
        <f t="shared" si="50"/>
        <v>0</v>
      </c>
      <c r="CZ86" s="73">
        <f t="shared" si="50"/>
        <v>0</v>
      </c>
      <c r="DA86" s="73">
        <f t="shared" si="50"/>
        <v>0</v>
      </c>
      <c r="DB86" s="73">
        <f t="shared" si="50"/>
        <v>0</v>
      </c>
      <c r="DC86" s="73">
        <f t="shared" si="50"/>
        <v>0</v>
      </c>
      <c r="DD86" s="73">
        <f t="shared" si="50"/>
        <v>0</v>
      </c>
      <c r="DE86" s="73">
        <f t="shared" si="50"/>
        <v>0</v>
      </c>
      <c r="DF86" s="73">
        <f t="shared" si="50"/>
        <v>0</v>
      </c>
      <c r="DG86" s="73">
        <f t="shared" si="50"/>
        <v>0</v>
      </c>
      <c r="DH86" s="73">
        <f t="shared" si="50"/>
        <v>0</v>
      </c>
      <c r="DI86" s="73">
        <f t="shared" si="50"/>
        <v>0</v>
      </c>
      <c r="DJ86" s="73">
        <f t="shared" si="50"/>
        <v>0</v>
      </c>
      <c r="DK86" s="73">
        <f t="shared" si="50"/>
        <v>0</v>
      </c>
      <c r="DL86" s="73">
        <f t="shared" si="50"/>
        <v>0</v>
      </c>
    </row>
    <row r="87" spans="2:116">
      <c r="B87" s="27">
        <f>Rentroll!$C$38</f>
        <v>16</v>
      </c>
      <c r="C87" s="69" t="str">
        <f>VLOOKUP($B87,Rentroll!$C$37:$Z$60,3,FALSE)</f>
        <v>리마 상사</v>
      </c>
      <c r="D87" s="80">
        <f>VLOOKUP($B87,Rentroll!$C$37:$Z$60,9,FALSE)</f>
        <v>47149</v>
      </c>
      <c r="E87" s="80">
        <f>VLOOKUP($B87,Rentroll!$C$37:$Z$60,10,FALSE)</f>
        <v>48975</v>
      </c>
      <c r="F87" s="81">
        <f>VLOOKUP($B87,Rentroll!$C$37:$Z$60,11,FALSE)</f>
        <v>60</v>
      </c>
      <c r="G87" s="69">
        <f>VLOOKUP($B87,Rentroll!$C$37:$Z$60,13,FALSE)</f>
        <v>115927.40742999999</v>
      </c>
      <c r="H87" s="69">
        <f>VLOOKUP($B87,Rentroll!$C$37:$Z$60,14,FALSE)</f>
        <v>106266.79014416666</v>
      </c>
      <c r="I87" s="69">
        <f>VLOOKUP($B87,Rentroll!$C$37:$Z$60,15,FALSE)</f>
        <v>50647.896449999993</v>
      </c>
      <c r="J87" s="82">
        <f>VLOOKUP($B87,Rentroll!$C$37:$Z$60,19,FALSE)</f>
        <v>0.03</v>
      </c>
      <c r="K87" s="83">
        <f>VLOOKUP($B87,Rentroll!$C$37:$Z$60,4,FALSE)</f>
        <v>1385.09</v>
      </c>
      <c r="L87" s="81">
        <f>VLOOKUP($B87,Rentroll!$C$37:$Z$60,17,FALSE)</f>
        <v>0</v>
      </c>
      <c r="M87" s="84">
        <f>VLOOKUP($B87,Rentroll!$C$37:$Z$60,18,FALSE)</f>
        <v>1</v>
      </c>
      <c r="O87" s="74">
        <f t="shared" ref="O87:O104" si="51">B87</f>
        <v>16</v>
      </c>
      <c r="P87" s="75"/>
      <c r="Q87" s="75"/>
      <c r="R87" s="75">
        <f t="shared" ref="R87:AG102" si="52">IF($L87=0,0,(EOMONTH($D87,1)&lt;=R$14)*(EOMONTH($D87,$L87)&gt;=R$14)*1)</f>
        <v>0</v>
      </c>
      <c r="S87" s="75">
        <f t="shared" si="52"/>
        <v>0</v>
      </c>
      <c r="T87" s="75">
        <f t="shared" si="52"/>
        <v>0</v>
      </c>
      <c r="U87" s="75">
        <f t="shared" si="52"/>
        <v>0</v>
      </c>
      <c r="V87" s="75">
        <f t="shared" si="52"/>
        <v>0</v>
      </c>
      <c r="W87" s="75">
        <f t="shared" si="52"/>
        <v>0</v>
      </c>
      <c r="X87" s="75">
        <f t="shared" si="52"/>
        <v>0</v>
      </c>
      <c r="Y87" s="75">
        <f t="shared" si="52"/>
        <v>0</v>
      </c>
      <c r="Z87" s="75">
        <f t="shared" si="52"/>
        <v>0</v>
      </c>
      <c r="AA87" s="75">
        <f t="shared" si="52"/>
        <v>0</v>
      </c>
      <c r="AB87" s="75">
        <f t="shared" si="52"/>
        <v>0</v>
      </c>
      <c r="AC87" s="75">
        <f t="shared" si="52"/>
        <v>0</v>
      </c>
      <c r="AD87" s="75">
        <f t="shared" si="52"/>
        <v>0</v>
      </c>
      <c r="AE87" s="75">
        <f t="shared" si="52"/>
        <v>0</v>
      </c>
      <c r="AF87" s="75">
        <f t="shared" si="52"/>
        <v>0</v>
      </c>
      <c r="AG87" s="75">
        <f t="shared" si="52"/>
        <v>0</v>
      </c>
      <c r="AH87" s="75">
        <f t="shared" si="49"/>
        <v>0</v>
      </c>
      <c r="AI87" s="75">
        <f t="shared" si="49"/>
        <v>0</v>
      </c>
      <c r="AJ87" s="75">
        <f t="shared" si="49"/>
        <v>0</v>
      </c>
      <c r="AK87" s="75">
        <f t="shared" si="49"/>
        <v>0</v>
      </c>
      <c r="AL87" s="75">
        <f t="shared" si="49"/>
        <v>0</v>
      </c>
      <c r="AM87" s="75">
        <f t="shared" si="49"/>
        <v>0</v>
      </c>
      <c r="AN87" s="75">
        <f t="shared" si="49"/>
        <v>0</v>
      </c>
      <c r="AO87" s="75">
        <f t="shared" si="49"/>
        <v>0</v>
      </c>
      <c r="AP87" s="75">
        <f t="shared" si="49"/>
        <v>0</v>
      </c>
      <c r="AQ87" s="75">
        <f t="shared" si="49"/>
        <v>0</v>
      </c>
      <c r="AR87" s="75">
        <f t="shared" si="49"/>
        <v>0</v>
      </c>
      <c r="AS87" s="75">
        <f t="shared" si="49"/>
        <v>0</v>
      </c>
      <c r="AT87" s="75">
        <f t="shared" si="49"/>
        <v>0</v>
      </c>
      <c r="AU87" s="75">
        <f t="shared" si="49"/>
        <v>0</v>
      </c>
      <c r="AV87" s="75">
        <f t="shared" si="49"/>
        <v>0</v>
      </c>
      <c r="AW87" s="75">
        <f t="shared" si="49"/>
        <v>0</v>
      </c>
      <c r="AX87" s="75">
        <f t="shared" si="49"/>
        <v>0</v>
      </c>
      <c r="AY87" s="75">
        <f t="shared" si="49"/>
        <v>0</v>
      </c>
      <c r="AZ87" s="75">
        <f t="shared" si="49"/>
        <v>0</v>
      </c>
      <c r="BA87" s="75">
        <f t="shared" si="49"/>
        <v>0</v>
      </c>
      <c r="BB87" s="75">
        <f t="shared" si="49"/>
        <v>0</v>
      </c>
      <c r="BC87" s="75">
        <f t="shared" si="49"/>
        <v>0</v>
      </c>
      <c r="BD87" s="75">
        <f t="shared" si="49"/>
        <v>0</v>
      </c>
      <c r="BE87" s="75">
        <f t="shared" si="49"/>
        <v>0</v>
      </c>
      <c r="BF87" s="75">
        <f t="shared" si="49"/>
        <v>0</v>
      </c>
      <c r="BG87" s="75">
        <f t="shared" si="49"/>
        <v>0</v>
      </c>
      <c r="BH87" s="75">
        <f t="shared" si="49"/>
        <v>0</v>
      </c>
      <c r="BI87" s="75">
        <f t="shared" si="49"/>
        <v>0</v>
      </c>
      <c r="BJ87" s="75">
        <f t="shared" si="49"/>
        <v>0</v>
      </c>
      <c r="BK87" s="75">
        <f t="shared" si="49"/>
        <v>0</v>
      </c>
      <c r="BL87" s="75">
        <f t="shared" si="49"/>
        <v>0</v>
      </c>
      <c r="BM87" s="75">
        <f t="shared" si="49"/>
        <v>0</v>
      </c>
      <c r="BN87" s="75">
        <f t="shared" si="49"/>
        <v>0</v>
      </c>
      <c r="BO87" s="75">
        <f t="shared" si="49"/>
        <v>0</v>
      </c>
      <c r="BP87" s="75">
        <f t="shared" si="49"/>
        <v>0</v>
      </c>
      <c r="BQ87" s="75">
        <f t="shared" si="49"/>
        <v>0</v>
      </c>
      <c r="BR87" s="75">
        <f t="shared" si="49"/>
        <v>0</v>
      </c>
      <c r="BS87" s="75">
        <f t="shared" si="49"/>
        <v>0</v>
      </c>
      <c r="BT87" s="75">
        <f t="shared" si="49"/>
        <v>0</v>
      </c>
      <c r="BU87" s="75">
        <f t="shared" si="49"/>
        <v>0</v>
      </c>
      <c r="BV87" s="75">
        <f t="shared" si="49"/>
        <v>0</v>
      </c>
      <c r="BW87" s="75">
        <f t="shared" si="49"/>
        <v>0</v>
      </c>
      <c r="BX87" s="75">
        <f t="shared" si="49"/>
        <v>0</v>
      </c>
      <c r="BY87" s="75">
        <f t="shared" si="49"/>
        <v>0</v>
      </c>
      <c r="BZ87" s="75">
        <f t="shared" si="49"/>
        <v>0</v>
      </c>
      <c r="CA87" s="75">
        <f t="shared" si="49"/>
        <v>0</v>
      </c>
      <c r="CB87" s="75">
        <f t="shared" si="49"/>
        <v>0</v>
      </c>
      <c r="CC87" s="75">
        <f t="shared" si="49"/>
        <v>0</v>
      </c>
      <c r="CD87" s="75">
        <f t="shared" si="49"/>
        <v>0</v>
      </c>
      <c r="CE87" s="75">
        <f t="shared" si="50"/>
        <v>0</v>
      </c>
      <c r="CF87" s="75">
        <f t="shared" si="50"/>
        <v>0</v>
      </c>
      <c r="CG87" s="75">
        <f t="shared" si="50"/>
        <v>0</v>
      </c>
      <c r="CH87" s="75">
        <f t="shared" si="50"/>
        <v>0</v>
      </c>
      <c r="CI87" s="75">
        <f t="shared" si="50"/>
        <v>0</v>
      </c>
      <c r="CJ87" s="75">
        <f t="shared" si="50"/>
        <v>0</v>
      </c>
      <c r="CK87" s="75">
        <f t="shared" si="50"/>
        <v>0</v>
      </c>
      <c r="CL87" s="75">
        <f t="shared" si="50"/>
        <v>0</v>
      </c>
      <c r="CM87" s="75">
        <f t="shared" si="50"/>
        <v>0</v>
      </c>
      <c r="CN87" s="75">
        <f t="shared" si="50"/>
        <v>0</v>
      </c>
      <c r="CO87" s="75">
        <f t="shared" si="50"/>
        <v>0</v>
      </c>
      <c r="CP87" s="75">
        <f t="shared" si="50"/>
        <v>0</v>
      </c>
      <c r="CQ87" s="75">
        <f t="shared" si="50"/>
        <v>0</v>
      </c>
      <c r="CR87" s="75">
        <f t="shared" si="50"/>
        <v>0</v>
      </c>
      <c r="CS87" s="75">
        <f t="shared" si="50"/>
        <v>0</v>
      </c>
      <c r="CT87" s="75">
        <f t="shared" si="50"/>
        <v>0</v>
      </c>
      <c r="CU87" s="75">
        <f t="shared" si="50"/>
        <v>0</v>
      </c>
      <c r="CV87" s="75">
        <f t="shared" si="50"/>
        <v>0</v>
      </c>
      <c r="CW87" s="75">
        <f t="shared" si="50"/>
        <v>0</v>
      </c>
      <c r="CX87" s="75">
        <f t="shared" si="50"/>
        <v>0</v>
      </c>
      <c r="CY87" s="75">
        <f t="shared" si="50"/>
        <v>0</v>
      </c>
      <c r="CZ87" s="75">
        <f t="shared" si="50"/>
        <v>0</v>
      </c>
      <c r="DA87" s="75">
        <f t="shared" si="50"/>
        <v>0</v>
      </c>
      <c r="DB87" s="75">
        <f t="shared" si="50"/>
        <v>0</v>
      </c>
      <c r="DC87" s="75">
        <f t="shared" si="50"/>
        <v>0</v>
      </c>
      <c r="DD87" s="75">
        <f t="shared" si="50"/>
        <v>0</v>
      </c>
      <c r="DE87" s="75">
        <f t="shared" si="50"/>
        <v>0</v>
      </c>
      <c r="DF87" s="75">
        <f t="shared" si="50"/>
        <v>0</v>
      </c>
      <c r="DG87" s="75">
        <f t="shared" si="50"/>
        <v>0</v>
      </c>
      <c r="DH87" s="75">
        <f t="shared" si="50"/>
        <v>0</v>
      </c>
      <c r="DI87" s="75">
        <f t="shared" si="50"/>
        <v>0</v>
      </c>
      <c r="DJ87" s="75">
        <f t="shared" si="50"/>
        <v>0</v>
      </c>
      <c r="DK87" s="75">
        <f t="shared" si="50"/>
        <v>0</v>
      </c>
      <c r="DL87" s="75">
        <f t="shared" si="50"/>
        <v>0</v>
      </c>
    </row>
    <row r="88" spans="2:116">
      <c r="B88" s="27">
        <f>Rentroll!$C$39</f>
        <v>15</v>
      </c>
      <c r="C88" s="69" t="str">
        <f>VLOOKUP($B88,Rentroll!$C$37:$Z$60,3,FALSE)</f>
        <v>111퍼센트</v>
      </c>
      <c r="D88" s="80">
        <f>VLOOKUP($B88,Rentroll!$C$37:$Z$60,9,FALSE)</f>
        <v>45869</v>
      </c>
      <c r="E88" s="80">
        <f>VLOOKUP($B88,Rentroll!$C$37:$Z$60,10,FALSE)</f>
        <v>47695</v>
      </c>
      <c r="F88" s="81">
        <f>VLOOKUP($B88,Rentroll!$C$37:$Z$60,11,FALSE)</f>
        <v>60</v>
      </c>
      <c r="G88" s="69">
        <f>VLOOKUP($B88,Rentroll!$C$37:$Z$60,13,FALSE)</f>
        <v>103000</v>
      </c>
      <c r="H88" s="69">
        <f>VLOOKUP($B88,Rentroll!$C$37:$Z$60,14,FALSE)</f>
        <v>94416.666666666672</v>
      </c>
      <c r="I88" s="69">
        <f>VLOOKUP($B88,Rentroll!$C$37:$Z$60,15,FALSE)</f>
        <v>45000</v>
      </c>
      <c r="J88" s="82">
        <f>VLOOKUP($B88,Rentroll!$C$37:$Z$60,19,FALSE)</f>
        <v>0.03</v>
      </c>
      <c r="K88" s="83">
        <f>VLOOKUP($B88,Rentroll!$C$37:$Z$60,4,FALSE)</f>
        <v>1385.09</v>
      </c>
      <c r="L88" s="81">
        <f>VLOOKUP($B88,Rentroll!$C$37:$Z$60,17,FALSE)</f>
        <v>1</v>
      </c>
      <c r="M88" s="84">
        <f>VLOOKUP($B88,Rentroll!$C$37:$Z$60,18,FALSE)</f>
        <v>1</v>
      </c>
      <c r="O88" s="74">
        <f t="shared" si="51"/>
        <v>15</v>
      </c>
      <c r="P88" s="75"/>
      <c r="Q88" s="75"/>
      <c r="R88" s="75">
        <f t="shared" si="52"/>
        <v>0</v>
      </c>
      <c r="S88" s="75">
        <f t="shared" ref="S88:CD91" si="53">IF($L88=0,0,(EOMONTH($D88,1)&lt;=S$14)*(EOMONTH($D88,$L88)&gt;=S$14)*1)</f>
        <v>0</v>
      </c>
      <c r="T88" s="75">
        <f t="shared" si="53"/>
        <v>0</v>
      </c>
      <c r="U88" s="75">
        <f t="shared" si="53"/>
        <v>0</v>
      </c>
      <c r="V88" s="75">
        <f t="shared" si="53"/>
        <v>0</v>
      </c>
      <c r="W88" s="75">
        <f t="shared" si="53"/>
        <v>0</v>
      </c>
      <c r="X88" s="75">
        <f t="shared" si="53"/>
        <v>0</v>
      </c>
      <c r="Y88" s="75">
        <f t="shared" si="53"/>
        <v>1</v>
      </c>
      <c r="Z88" s="75">
        <f t="shared" si="53"/>
        <v>0</v>
      </c>
      <c r="AA88" s="75">
        <f t="shared" si="53"/>
        <v>0</v>
      </c>
      <c r="AB88" s="75">
        <f t="shared" si="53"/>
        <v>0</v>
      </c>
      <c r="AC88" s="75">
        <f t="shared" si="53"/>
        <v>0</v>
      </c>
      <c r="AD88" s="75">
        <f t="shared" si="53"/>
        <v>0</v>
      </c>
      <c r="AE88" s="75">
        <f t="shared" si="53"/>
        <v>0</v>
      </c>
      <c r="AF88" s="75">
        <f t="shared" si="53"/>
        <v>0</v>
      </c>
      <c r="AG88" s="75">
        <f t="shared" si="53"/>
        <v>0</v>
      </c>
      <c r="AH88" s="75">
        <f t="shared" si="53"/>
        <v>0</v>
      </c>
      <c r="AI88" s="75">
        <f t="shared" si="53"/>
        <v>0</v>
      </c>
      <c r="AJ88" s="75">
        <f t="shared" si="53"/>
        <v>0</v>
      </c>
      <c r="AK88" s="75">
        <f t="shared" si="53"/>
        <v>0</v>
      </c>
      <c r="AL88" s="75">
        <f t="shared" si="53"/>
        <v>0</v>
      </c>
      <c r="AM88" s="75">
        <f t="shared" si="53"/>
        <v>0</v>
      </c>
      <c r="AN88" s="75">
        <f t="shared" si="53"/>
        <v>0</v>
      </c>
      <c r="AO88" s="75">
        <f t="shared" si="53"/>
        <v>0</v>
      </c>
      <c r="AP88" s="75">
        <f t="shared" si="53"/>
        <v>0</v>
      </c>
      <c r="AQ88" s="75">
        <f t="shared" si="53"/>
        <v>0</v>
      </c>
      <c r="AR88" s="75">
        <f t="shared" si="53"/>
        <v>0</v>
      </c>
      <c r="AS88" s="75">
        <f t="shared" si="53"/>
        <v>0</v>
      </c>
      <c r="AT88" s="75">
        <f t="shared" si="53"/>
        <v>0</v>
      </c>
      <c r="AU88" s="75">
        <f t="shared" si="53"/>
        <v>0</v>
      </c>
      <c r="AV88" s="75">
        <f t="shared" si="53"/>
        <v>0</v>
      </c>
      <c r="AW88" s="75">
        <f t="shared" si="53"/>
        <v>0</v>
      </c>
      <c r="AX88" s="75">
        <f t="shared" si="53"/>
        <v>0</v>
      </c>
      <c r="AY88" s="75">
        <f t="shared" si="53"/>
        <v>0</v>
      </c>
      <c r="AZ88" s="75">
        <f t="shared" si="53"/>
        <v>0</v>
      </c>
      <c r="BA88" s="75">
        <f t="shared" si="53"/>
        <v>0</v>
      </c>
      <c r="BB88" s="75">
        <f t="shared" si="53"/>
        <v>0</v>
      </c>
      <c r="BC88" s="75">
        <f t="shared" si="53"/>
        <v>0</v>
      </c>
      <c r="BD88" s="75">
        <f t="shared" si="53"/>
        <v>0</v>
      </c>
      <c r="BE88" s="75">
        <f t="shared" si="53"/>
        <v>0</v>
      </c>
      <c r="BF88" s="75">
        <f t="shared" si="53"/>
        <v>0</v>
      </c>
      <c r="BG88" s="75">
        <f t="shared" si="53"/>
        <v>0</v>
      </c>
      <c r="BH88" s="75">
        <f t="shared" si="53"/>
        <v>0</v>
      </c>
      <c r="BI88" s="75">
        <f t="shared" si="53"/>
        <v>0</v>
      </c>
      <c r="BJ88" s="75">
        <f t="shared" si="53"/>
        <v>0</v>
      </c>
      <c r="BK88" s="75">
        <f t="shared" si="53"/>
        <v>0</v>
      </c>
      <c r="BL88" s="75">
        <f t="shared" si="53"/>
        <v>0</v>
      </c>
      <c r="BM88" s="75">
        <f t="shared" si="53"/>
        <v>0</v>
      </c>
      <c r="BN88" s="75">
        <f t="shared" si="53"/>
        <v>0</v>
      </c>
      <c r="BO88" s="75">
        <f t="shared" si="53"/>
        <v>0</v>
      </c>
      <c r="BP88" s="75">
        <f t="shared" si="53"/>
        <v>0</v>
      </c>
      <c r="BQ88" s="75">
        <f t="shared" si="53"/>
        <v>0</v>
      </c>
      <c r="BR88" s="75">
        <f t="shared" si="53"/>
        <v>0</v>
      </c>
      <c r="BS88" s="75">
        <f t="shared" si="53"/>
        <v>0</v>
      </c>
      <c r="BT88" s="75">
        <f t="shared" si="53"/>
        <v>0</v>
      </c>
      <c r="BU88" s="75">
        <f t="shared" si="53"/>
        <v>0</v>
      </c>
      <c r="BV88" s="75">
        <f t="shared" si="53"/>
        <v>0</v>
      </c>
      <c r="BW88" s="75">
        <f t="shared" si="53"/>
        <v>0</v>
      </c>
      <c r="BX88" s="75">
        <f t="shared" si="53"/>
        <v>0</v>
      </c>
      <c r="BY88" s="75">
        <f t="shared" si="53"/>
        <v>0</v>
      </c>
      <c r="BZ88" s="75">
        <f t="shared" si="53"/>
        <v>0</v>
      </c>
      <c r="CA88" s="75">
        <f t="shared" si="53"/>
        <v>0</v>
      </c>
      <c r="CB88" s="75">
        <f t="shared" si="53"/>
        <v>0</v>
      </c>
      <c r="CC88" s="75">
        <f t="shared" si="53"/>
        <v>0</v>
      </c>
      <c r="CD88" s="75">
        <f t="shared" si="53"/>
        <v>0</v>
      </c>
      <c r="CE88" s="75">
        <f t="shared" si="50"/>
        <v>0</v>
      </c>
      <c r="CF88" s="75">
        <f t="shared" si="50"/>
        <v>0</v>
      </c>
      <c r="CG88" s="75">
        <f t="shared" si="50"/>
        <v>0</v>
      </c>
      <c r="CH88" s="75">
        <f t="shared" si="50"/>
        <v>0</v>
      </c>
      <c r="CI88" s="75">
        <f t="shared" si="50"/>
        <v>0</v>
      </c>
      <c r="CJ88" s="75">
        <f t="shared" si="50"/>
        <v>0</v>
      </c>
      <c r="CK88" s="75">
        <f t="shared" si="50"/>
        <v>0</v>
      </c>
      <c r="CL88" s="75">
        <f t="shared" si="50"/>
        <v>0</v>
      </c>
      <c r="CM88" s="75">
        <f t="shared" si="50"/>
        <v>0</v>
      </c>
      <c r="CN88" s="75">
        <f t="shared" si="50"/>
        <v>0</v>
      </c>
      <c r="CO88" s="75">
        <f t="shared" si="50"/>
        <v>0</v>
      </c>
      <c r="CP88" s="75">
        <f t="shared" si="50"/>
        <v>0</v>
      </c>
      <c r="CQ88" s="75">
        <f t="shared" si="50"/>
        <v>0</v>
      </c>
      <c r="CR88" s="75">
        <f t="shared" si="50"/>
        <v>0</v>
      </c>
      <c r="CS88" s="75">
        <f t="shared" si="50"/>
        <v>0</v>
      </c>
      <c r="CT88" s="75">
        <f t="shared" si="50"/>
        <v>0</v>
      </c>
      <c r="CU88" s="75">
        <f t="shared" si="50"/>
        <v>0</v>
      </c>
      <c r="CV88" s="75">
        <f t="shared" si="50"/>
        <v>0</v>
      </c>
      <c r="CW88" s="75">
        <f t="shared" si="50"/>
        <v>0</v>
      </c>
      <c r="CX88" s="75">
        <f t="shared" si="50"/>
        <v>0</v>
      </c>
      <c r="CY88" s="75">
        <f t="shared" si="50"/>
        <v>0</v>
      </c>
      <c r="CZ88" s="75">
        <f t="shared" si="50"/>
        <v>0</v>
      </c>
      <c r="DA88" s="75">
        <f t="shared" si="50"/>
        <v>0</v>
      </c>
      <c r="DB88" s="75">
        <f t="shared" si="50"/>
        <v>0</v>
      </c>
      <c r="DC88" s="75">
        <f t="shared" si="50"/>
        <v>0</v>
      </c>
      <c r="DD88" s="75">
        <f t="shared" si="50"/>
        <v>0</v>
      </c>
      <c r="DE88" s="75">
        <f t="shared" si="50"/>
        <v>0</v>
      </c>
      <c r="DF88" s="75">
        <f t="shared" si="50"/>
        <v>0</v>
      </c>
      <c r="DG88" s="75">
        <f t="shared" si="50"/>
        <v>0</v>
      </c>
      <c r="DH88" s="75">
        <f t="shared" si="50"/>
        <v>0</v>
      </c>
      <c r="DI88" s="75">
        <f t="shared" si="50"/>
        <v>0</v>
      </c>
      <c r="DJ88" s="75">
        <f t="shared" si="50"/>
        <v>0</v>
      </c>
      <c r="DK88" s="75">
        <f t="shared" si="50"/>
        <v>0</v>
      </c>
      <c r="DL88" s="75">
        <f t="shared" si="50"/>
        <v>0</v>
      </c>
    </row>
    <row r="89" spans="2:116">
      <c r="B89" s="27">
        <f>Rentroll!$C$40</f>
        <v>14</v>
      </c>
      <c r="C89" s="69" t="str">
        <f>VLOOKUP($B89,Rentroll!$C$37:$Z$60,3,FALSE)</f>
        <v>111퍼센트</v>
      </c>
      <c r="D89" s="80">
        <f>VLOOKUP($B89,Rentroll!$C$37:$Z$60,9,FALSE)</f>
        <v>45869</v>
      </c>
      <c r="E89" s="80">
        <f>VLOOKUP($B89,Rentroll!$C$37:$Z$60,10,FALSE)</f>
        <v>47695</v>
      </c>
      <c r="F89" s="81">
        <f>VLOOKUP($B89,Rentroll!$C$37:$Z$60,11,FALSE)</f>
        <v>60</v>
      </c>
      <c r="G89" s="69">
        <f>VLOOKUP($B89,Rentroll!$C$37:$Z$60,13,FALSE)</f>
        <v>103000</v>
      </c>
      <c r="H89" s="69">
        <f>VLOOKUP($B89,Rentroll!$C$37:$Z$60,14,FALSE)</f>
        <v>94416.666666666672</v>
      </c>
      <c r="I89" s="69">
        <f>VLOOKUP($B89,Rentroll!$C$37:$Z$60,15,FALSE)</f>
        <v>45000</v>
      </c>
      <c r="J89" s="82">
        <f>VLOOKUP($B89,Rentroll!$C$37:$Z$60,19,FALSE)</f>
        <v>0.03</v>
      </c>
      <c r="K89" s="83">
        <f>VLOOKUP($B89,Rentroll!$C$37:$Z$60,4,FALSE)</f>
        <v>1385.09</v>
      </c>
      <c r="L89" s="81">
        <f>VLOOKUP($B89,Rentroll!$C$37:$Z$60,17,FALSE)</f>
        <v>1</v>
      </c>
      <c r="M89" s="84">
        <f>VLOOKUP($B89,Rentroll!$C$37:$Z$60,18,FALSE)</f>
        <v>1</v>
      </c>
      <c r="O89" s="74">
        <f t="shared" si="51"/>
        <v>14</v>
      </c>
      <c r="P89" s="75"/>
      <c r="Q89" s="75"/>
      <c r="R89" s="75">
        <f t="shared" si="52"/>
        <v>0</v>
      </c>
      <c r="S89" s="75">
        <f t="shared" si="53"/>
        <v>0</v>
      </c>
      <c r="T89" s="75">
        <f t="shared" si="53"/>
        <v>0</v>
      </c>
      <c r="U89" s="75">
        <f t="shared" si="53"/>
        <v>0</v>
      </c>
      <c r="V89" s="75">
        <f t="shared" si="53"/>
        <v>0</v>
      </c>
      <c r="W89" s="75">
        <f t="shared" si="53"/>
        <v>0</v>
      </c>
      <c r="X89" s="75">
        <f t="shared" si="53"/>
        <v>0</v>
      </c>
      <c r="Y89" s="75">
        <f t="shared" si="53"/>
        <v>1</v>
      </c>
      <c r="Z89" s="75">
        <f t="shared" si="53"/>
        <v>0</v>
      </c>
      <c r="AA89" s="75">
        <f t="shared" si="53"/>
        <v>0</v>
      </c>
      <c r="AB89" s="75">
        <f t="shared" si="53"/>
        <v>0</v>
      </c>
      <c r="AC89" s="75">
        <f t="shared" si="53"/>
        <v>0</v>
      </c>
      <c r="AD89" s="75">
        <f t="shared" si="53"/>
        <v>0</v>
      </c>
      <c r="AE89" s="75">
        <f t="shared" si="53"/>
        <v>0</v>
      </c>
      <c r="AF89" s="75">
        <f t="shared" si="53"/>
        <v>0</v>
      </c>
      <c r="AG89" s="75">
        <f t="shared" si="53"/>
        <v>0</v>
      </c>
      <c r="AH89" s="75">
        <f t="shared" si="53"/>
        <v>0</v>
      </c>
      <c r="AI89" s="75">
        <f t="shared" si="53"/>
        <v>0</v>
      </c>
      <c r="AJ89" s="75">
        <f t="shared" si="53"/>
        <v>0</v>
      </c>
      <c r="AK89" s="75">
        <f t="shared" si="53"/>
        <v>0</v>
      </c>
      <c r="AL89" s="75">
        <f t="shared" si="53"/>
        <v>0</v>
      </c>
      <c r="AM89" s="75">
        <f t="shared" si="53"/>
        <v>0</v>
      </c>
      <c r="AN89" s="75">
        <f t="shared" si="53"/>
        <v>0</v>
      </c>
      <c r="AO89" s="75">
        <f t="shared" si="53"/>
        <v>0</v>
      </c>
      <c r="AP89" s="75">
        <f t="shared" si="53"/>
        <v>0</v>
      </c>
      <c r="AQ89" s="75">
        <f t="shared" si="53"/>
        <v>0</v>
      </c>
      <c r="AR89" s="75">
        <f t="shared" si="53"/>
        <v>0</v>
      </c>
      <c r="AS89" s="75">
        <f t="shared" si="53"/>
        <v>0</v>
      </c>
      <c r="AT89" s="75">
        <f t="shared" si="53"/>
        <v>0</v>
      </c>
      <c r="AU89" s="75">
        <f t="shared" si="53"/>
        <v>0</v>
      </c>
      <c r="AV89" s="75">
        <f t="shared" si="53"/>
        <v>0</v>
      </c>
      <c r="AW89" s="75">
        <f t="shared" si="53"/>
        <v>0</v>
      </c>
      <c r="AX89" s="75">
        <f t="shared" si="53"/>
        <v>0</v>
      </c>
      <c r="AY89" s="75">
        <f t="shared" si="53"/>
        <v>0</v>
      </c>
      <c r="AZ89" s="75">
        <f t="shared" si="53"/>
        <v>0</v>
      </c>
      <c r="BA89" s="75">
        <f t="shared" si="53"/>
        <v>0</v>
      </c>
      <c r="BB89" s="75">
        <f t="shared" si="53"/>
        <v>0</v>
      </c>
      <c r="BC89" s="75">
        <f t="shared" si="53"/>
        <v>0</v>
      </c>
      <c r="BD89" s="75">
        <f t="shared" si="53"/>
        <v>0</v>
      </c>
      <c r="BE89" s="75">
        <f t="shared" si="53"/>
        <v>0</v>
      </c>
      <c r="BF89" s="75">
        <f t="shared" si="53"/>
        <v>0</v>
      </c>
      <c r="BG89" s="75">
        <f t="shared" si="53"/>
        <v>0</v>
      </c>
      <c r="BH89" s="75">
        <f t="shared" si="53"/>
        <v>0</v>
      </c>
      <c r="BI89" s="75">
        <f t="shared" si="53"/>
        <v>0</v>
      </c>
      <c r="BJ89" s="75">
        <f t="shared" si="53"/>
        <v>0</v>
      </c>
      <c r="BK89" s="75">
        <f t="shared" si="53"/>
        <v>0</v>
      </c>
      <c r="BL89" s="75">
        <f t="shared" si="53"/>
        <v>0</v>
      </c>
      <c r="BM89" s="75">
        <f t="shared" si="53"/>
        <v>0</v>
      </c>
      <c r="BN89" s="75">
        <f t="shared" si="53"/>
        <v>0</v>
      </c>
      <c r="BO89" s="75">
        <f t="shared" si="53"/>
        <v>0</v>
      </c>
      <c r="BP89" s="75">
        <f t="shared" si="53"/>
        <v>0</v>
      </c>
      <c r="BQ89" s="75">
        <f t="shared" si="53"/>
        <v>0</v>
      </c>
      <c r="BR89" s="75">
        <f t="shared" si="53"/>
        <v>0</v>
      </c>
      <c r="BS89" s="75">
        <f t="shared" si="53"/>
        <v>0</v>
      </c>
      <c r="BT89" s="75">
        <f t="shared" si="53"/>
        <v>0</v>
      </c>
      <c r="BU89" s="75">
        <f t="shared" si="53"/>
        <v>0</v>
      </c>
      <c r="BV89" s="75">
        <f t="shared" si="53"/>
        <v>0</v>
      </c>
      <c r="BW89" s="75">
        <f t="shared" si="53"/>
        <v>0</v>
      </c>
      <c r="BX89" s="75">
        <f t="shared" si="53"/>
        <v>0</v>
      </c>
      <c r="BY89" s="75">
        <f t="shared" si="53"/>
        <v>0</v>
      </c>
      <c r="BZ89" s="75">
        <f t="shared" si="53"/>
        <v>0</v>
      </c>
      <c r="CA89" s="75">
        <f t="shared" si="53"/>
        <v>0</v>
      </c>
      <c r="CB89" s="75">
        <f t="shared" si="53"/>
        <v>0</v>
      </c>
      <c r="CC89" s="75">
        <f t="shared" si="53"/>
        <v>0</v>
      </c>
      <c r="CD89" s="75">
        <f t="shared" si="53"/>
        <v>0</v>
      </c>
      <c r="CE89" s="75">
        <f t="shared" si="50"/>
        <v>0</v>
      </c>
      <c r="CF89" s="75">
        <f t="shared" si="50"/>
        <v>0</v>
      </c>
      <c r="CG89" s="75">
        <f t="shared" si="50"/>
        <v>0</v>
      </c>
      <c r="CH89" s="75">
        <f t="shared" si="50"/>
        <v>0</v>
      </c>
      <c r="CI89" s="75">
        <f t="shared" si="50"/>
        <v>0</v>
      </c>
      <c r="CJ89" s="75">
        <f t="shared" si="50"/>
        <v>0</v>
      </c>
      <c r="CK89" s="75">
        <f t="shared" si="50"/>
        <v>0</v>
      </c>
      <c r="CL89" s="75">
        <f t="shared" si="50"/>
        <v>0</v>
      </c>
      <c r="CM89" s="75">
        <f t="shared" si="50"/>
        <v>0</v>
      </c>
      <c r="CN89" s="75">
        <f t="shared" si="50"/>
        <v>0</v>
      </c>
      <c r="CO89" s="75">
        <f t="shared" si="50"/>
        <v>0</v>
      </c>
      <c r="CP89" s="75">
        <f t="shared" si="50"/>
        <v>0</v>
      </c>
      <c r="CQ89" s="75">
        <f t="shared" si="50"/>
        <v>0</v>
      </c>
      <c r="CR89" s="75">
        <f t="shared" si="50"/>
        <v>0</v>
      </c>
      <c r="CS89" s="75">
        <f t="shared" si="50"/>
        <v>0</v>
      </c>
      <c r="CT89" s="75">
        <f t="shared" si="50"/>
        <v>0</v>
      </c>
      <c r="CU89" s="75">
        <f t="shared" si="50"/>
        <v>0</v>
      </c>
      <c r="CV89" s="75">
        <f t="shared" si="50"/>
        <v>0</v>
      </c>
      <c r="CW89" s="75">
        <f t="shared" si="50"/>
        <v>0</v>
      </c>
      <c r="CX89" s="75">
        <f t="shared" si="50"/>
        <v>0</v>
      </c>
      <c r="CY89" s="75">
        <f t="shared" si="50"/>
        <v>0</v>
      </c>
      <c r="CZ89" s="75">
        <f t="shared" si="50"/>
        <v>0</v>
      </c>
      <c r="DA89" s="75">
        <f t="shared" si="50"/>
        <v>0</v>
      </c>
      <c r="DB89" s="75">
        <f t="shared" si="50"/>
        <v>0</v>
      </c>
      <c r="DC89" s="75">
        <f t="shared" si="50"/>
        <v>0</v>
      </c>
      <c r="DD89" s="75">
        <f t="shared" si="50"/>
        <v>0</v>
      </c>
      <c r="DE89" s="75">
        <f t="shared" si="50"/>
        <v>0</v>
      </c>
      <c r="DF89" s="75">
        <f t="shared" si="50"/>
        <v>0</v>
      </c>
      <c r="DG89" s="75">
        <f t="shared" si="50"/>
        <v>0</v>
      </c>
      <c r="DH89" s="75">
        <f t="shared" si="50"/>
        <v>0</v>
      </c>
      <c r="DI89" s="75">
        <f t="shared" si="50"/>
        <v>0</v>
      </c>
      <c r="DJ89" s="75">
        <f t="shared" si="50"/>
        <v>0</v>
      </c>
      <c r="DK89" s="75">
        <f t="shared" si="50"/>
        <v>0</v>
      </c>
      <c r="DL89" s="75">
        <f t="shared" si="50"/>
        <v>0</v>
      </c>
    </row>
    <row r="90" spans="2:116">
      <c r="B90" s="27">
        <f>Rentroll!$C$41</f>
        <v>13</v>
      </c>
      <c r="C90" s="69" t="str">
        <f>VLOOKUP($B90,Rentroll!$C$37:$Z$60,3,FALSE)</f>
        <v>111퍼센트</v>
      </c>
      <c r="D90" s="80">
        <f>VLOOKUP($B90,Rentroll!$C$37:$Z$60,9,FALSE)</f>
        <v>45869</v>
      </c>
      <c r="E90" s="80">
        <f>VLOOKUP($B90,Rentroll!$C$37:$Z$60,10,FALSE)</f>
        <v>47695</v>
      </c>
      <c r="F90" s="81">
        <f>VLOOKUP($B90,Rentroll!$C$37:$Z$60,11,FALSE)</f>
        <v>60</v>
      </c>
      <c r="G90" s="69">
        <f>VLOOKUP($B90,Rentroll!$C$37:$Z$60,13,FALSE)</f>
        <v>103000</v>
      </c>
      <c r="H90" s="69">
        <f>VLOOKUP($B90,Rentroll!$C$37:$Z$60,14,FALSE)</f>
        <v>94416.666666666672</v>
      </c>
      <c r="I90" s="69">
        <f>VLOOKUP($B90,Rentroll!$C$37:$Z$60,15,FALSE)</f>
        <v>45000</v>
      </c>
      <c r="J90" s="82">
        <f>VLOOKUP($B90,Rentroll!$C$37:$Z$60,19,FALSE)</f>
        <v>0.03</v>
      </c>
      <c r="K90" s="83">
        <f>VLOOKUP($B90,Rentroll!$C$37:$Z$60,4,FALSE)</f>
        <v>1385.09</v>
      </c>
      <c r="L90" s="81">
        <f>VLOOKUP($B90,Rentroll!$C$37:$Z$60,17,FALSE)</f>
        <v>1</v>
      </c>
      <c r="M90" s="84">
        <f>VLOOKUP($B90,Rentroll!$C$37:$Z$60,18,FALSE)</f>
        <v>1</v>
      </c>
      <c r="O90" s="74">
        <f t="shared" si="51"/>
        <v>13</v>
      </c>
      <c r="P90" s="75"/>
      <c r="Q90" s="75"/>
      <c r="R90" s="75">
        <f t="shared" si="52"/>
        <v>0</v>
      </c>
      <c r="S90" s="75">
        <f t="shared" si="53"/>
        <v>0</v>
      </c>
      <c r="T90" s="75">
        <f t="shared" si="53"/>
        <v>0</v>
      </c>
      <c r="U90" s="75">
        <f t="shared" si="53"/>
        <v>0</v>
      </c>
      <c r="V90" s="75">
        <f t="shared" si="53"/>
        <v>0</v>
      </c>
      <c r="W90" s="75">
        <f t="shared" si="53"/>
        <v>0</v>
      </c>
      <c r="X90" s="75">
        <f t="shared" si="53"/>
        <v>0</v>
      </c>
      <c r="Y90" s="75">
        <f t="shared" si="53"/>
        <v>1</v>
      </c>
      <c r="Z90" s="75">
        <f t="shared" si="53"/>
        <v>0</v>
      </c>
      <c r="AA90" s="75">
        <f t="shared" si="53"/>
        <v>0</v>
      </c>
      <c r="AB90" s="75">
        <f t="shared" si="53"/>
        <v>0</v>
      </c>
      <c r="AC90" s="75">
        <f t="shared" si="53"/>
        <v>0</v>
      </c>
      <c r="AD90" s="75">
        <f t="shared" si="53"/>
        <v>0</v>
      </c>
      <c r="AE90" s="75">
        <f t="shared" si="53"/>
        <v>0</v>
      </c>
      <c r="AF90" s="75">
        <f t="shared" si="53"/>
        <v>0</v>
      </c>
      <c r="AG90" s="75">
        <f t="shared" si="53"/>
        <v>0</v>
      </c>
      <c r="AH90" s="75">
        <f t="shared" si="53"/>
        <v>0</v>
      </c>
      <c r="AI90" s="75">
        <f t="shared" si="53"/>
        <v>0</v>
      </c>
      <c r="AJ90" s="75">
        <f t="shared" si="53"/>
        <v>0</v>
      </c>
      <c r="AK90" s="75">
        <f t="shared" si="53"/>
        <v>0</v>
      </c>
      <c r="AL90" s="75">
        <f t="shared" si="53"/>
        <v>0</v>
      </c>
      <c r="AM90" s="75">
        <f t="shared" si="53"/>
        <v>0</v>
      </c>
      <c r="AN90" s="75">
        <f t="shared" si="53"/>
        <v>0</v>
      </c>
      <c r="AO90" s="75">
        <f t="shared" si="53"/>
        <v>0</v>
      </c>
      <c r="AP90" s="75">
        <f t="shared" si="53"/>
        <v>0</v>
      </c>
      <c r="AQ90" s="75">
        <f t="shared" si="53"/>
        <v>0</v>
      </c>
      <c r="AR90" s="75">
        <f t="shared" si="53"/>
        <v>0</v>
      </c>
      <c r="AS90" s="75">
        <f t="shared" si="53"/>
        <v>0</v>
      </c>
      <c r="AT90" s="75">
        <f t="shared" si="53"/>
        <v>0</v>
      </c>
      <c r="AU90" s="75">
        <f t="shared" si="53"/>
        <v>0</v>
      </c>
      <c r="AV90" s="75">
        <f t="shared" si="53"/>
        <v>0</v>
      </c>
      <c r="AW90" s="75">
        <f t="shared" si="53"/>
        <v>0</v>
      </c>
      <c r="AX90" s="75">
        <f t="shared" si="53"/>
        <v>0</v>
      </c>
      <c r="AY90" s="75">
        <f t="shared" si="53"/>
        <v>0</v>
      </c>
      <c r="AZ90" s="75">
        <f t="shared" si="53"/>
        <v>0</v>
      </c>
      <c r="BA90" s="75">
        <f t="shared" si="53"/>
        <v>0</v>
      </c>
      <c r="BB90" s="75">
        <f t="shared" si="53"/>
        <v>0</v>
      </c>
      <c r="BC90" s="75">
        <f t="shared" si="53"/>
        <v>0</v>
      </c>
      <c r="BD90" s="75">
        <f t="shared" si="53"/>
        <v>0</v>
      </c>
      <c r="BE90" s="75">
        <f t="shared" si="53"/>
        <v>0</v>
      </c>
      <c r="BF90" s="75">
        <f t="shared" si="53"/>
        <v>0</v>
      </c>
      <c r="BG90" s="75">
        <f t="shared" si="53"/>
        <v>0</v>
      </c>
      <c r="BH90" s="75">
        <f t="shared" si="53"/>
        <v>0</v>
      </c>
      <c r="BI90" s="75">
        <f t="shared" si="53"/>
        <v>0</v>
      </c>
      <c r="BJ90" s="75">
        <f t="shared" si="53"/>
        <v>0</v>
      </c>
      <c r="BK90" s="75">
        <f t="shared" si="53"/>
        <v>0</v>
      </c>
      <c r="BL90" s="75">
        <f t="shared" si="53"/>
        <v>0</v>
      </c>
      <c r="BM90" s="75">
        <f t="shared" si="53"/>
        <v>0</v>
      </c>
      <c r="BN90" s="75">
        <f t="shared" si="53"/>
        <v>0</v>
      </c>
      <c r="BO90" s="75">
        <f t="shared" si="53"/>
        <v>0</v>
      </c>
      <c r="BP90" s="75">
        <f t="shared" si="53"/>
        <v>0</v>
      </c>
      <c r="BQ90" s="75">
        <f t="shared" si="53"/>
        <v>0</v>
      </c>
      <c r="BR90" s="75">
        <f t="shared" si="53"/>
        <v>0</v>
      </c>
      <c r="BS90" s="75">
        <f t="shared" si="53"/>
        <v>0</v>
      </c>
      <c r="BT90" s="75">
        <f t="shared" si="53"/>
        <v>0</v>
      </c>
      <c r="BU90" s="75">
        <f t="shared" si="53"/>
        <v>0</v>
      </c>
      <c r="BV90" s="75">
        <f t="shared" si="53"/>
        <v>0</v>
      </c>
      <c r="BW90" s="75">
        <f t="shared" si="53"/>
        <v>0</v>
      </c>
      <c r="BX90" s="75">
        <f t="shared" si="53"/>
        <v>0</v>
      </c>
      <c r="BY90" s="75">
        <f t="shared" si="53"/>
        <v>0</v>
      </c>
      <c r="BZ90" s="75">
        <f t="shared" si="53"/>
        <v>0</v>
      </c>
      <c r="CA90" s="75">
        <f t="shared" si="53"/>
        <v>0</v>
      </c>
      <c r="CB90" s="75">
        <f t="shared" si="53"/>
        <v>0</v>
      </c>
      <c r="CC90" s="75">
        <f t="shared" si="53"/>
        <v>0</v>
      </c>
      <c r="CD90" s="75">
        <f t="shared" si="53"/>
        <v>0</v>
      </c>
      <c r="CE90" s="75">
        <f t="shared" si="50"/>
        <v>0</v>
      </c>
      <c r="CF90" s="75">
        <f t="shared" si="50"/>
        <v>0</v>
      </c>
      <c r="CG90" s="75">
        <f t="shared" si="50"/>
        <v>0</v>
      </c>
      <c r="CH90" s="75">
        <f t="shared" si="50"/>
        <v>0</v>
      </c>
      <c r="CI90" s="75">
        <f t="shared" si="50"/>
        <v>0</v>
      </c>
      <c r="CJ90" s="75">
        <f t="shared" si="50"/>
        <v>0</v>
      </c>
      <c r="CK90" s="75">
        <f t="shared" si="50"/>
        <v>0</v>
      </c>
      <c r="CL90" s="75">
        <f t="shared" si="50"/>
        <v>0</v>
      </c>
      <c r="CM90" s="75">
        <f t="shared" si="50"/>
        <v>0</v>
      </c>
      <c r="CN90" s="75">
        <f t="shared" si="50"/>
        <v>0</v>
      </c>
      <c r="CO90" s="75">
        <f t="shared" si="50"/>
        <v>0</v>
      </c>
      <c r="CP90" s="75">
        <f t="shared" si="50"/>
        <v>0</v>
      </c>
      <c r="CQ90" s="75">
        <f t="shared" si="50"/>
        <v>0</v>
      </c>
      <c r="CR90" s="75">
        <f t="shared" si="50"/>
        <v>0</v>
      </c>
      <c r="CS90" s="75">
        <f t="shared" si="50"/>
        <v>0</v>
      </c>
      <c r="CT90" s="75">
        <f t="shared" si="50"/>
        <v>0</v>
      </c>
      <c r="CU90" s="75">
        <f t="shared" si="50"/>
        <v>0</v>
      </c>
      <c r="CV90" s="75">
        <f t="shared" si="50"/>
        <v>0</v>
      </c>
      <c r="CW90" s="75">
        <f t="shared" si="50"/>
        <v>0</v>
      </c>
      <c r="CX90" s="75">
        <f t="shared" si="50"/>
        <v>0</v>
      </c>
      <c r="CY90" s="75">
        <f t="shared" si="50"/>
        <v>0</v>
      </c>
      <c r="CZ90" s="75">
        <f t="shared" si="50"/>
        <v>0</v>
      </c>
      <c r="DA90" s="75">
        <f t="shared" si="50"/>
        <v>0</v>
      </c>
      <c r="DB90" s="75">
        <f t="shared" si="50"/>
        <v>0</v>
      </c>
      <c r="DC90" s="75">
        <f t="shared" si="50"/>
        <v>0</v>
      </c>
      <c r="DD90" s="75">
        <f t="shared" si="50"/>
        <v>0</v>
      </c>
      <c r="DE90" s="75">
        <f t="shared" si="50"/>
        <v>0</v>
      </c>
      <c r="DF90" s="75">
        <f t="shared" si="50"/>
        <v>0</v>
      </c>
      <c r="DG90" s="75">
        <f t="shared" si="50"/>
        <v>0</v>
      </c>
      <c r="DH90" s="75">
        <f t="shared" si="50"/>
        <v>0</v>
      </c>
      <c r="DI90" s="75">
        <f t="shared" si="50"/>
        <v>0</v>
      </c>
      <c r="DJ90" s="75">
        <f t="shared" si="50"/>
        <v>0</v>
      </c>
      <c r="DK90" s="75">
        <f t="shared" si="50"/>
        <v>0</v>
      </c>
      <c r="DL90" s="75">
        <f t="shared" si="50"/>
        <v>0</v>
      </c>
    </row>
    <row r="91" spans="2:116">
      <c r="B91" s="27">
        <f>Rentroll!$C$42</f>
        <v>12</v>
      </c>
      <c r="C91" s="69" t="str">
        <f>VLOOKUP($B91,Rentroll!$C$37:$Z$60,3,FALSE)</f>
        <v>신라젠</v>
      </c>
      <c r="D91" s="80">
        <f>VLOOKUP($B91,Rentroll!$C$37:$Z$60,9,FALSE)</f>
        <v>45869</v>
      </c>
      <c r="E91" s="80">
        <f>VLOOKUP($B91,Rentroll!$C$37:$Z$60,10,FALSE)</f>
        <v>47695</v>
      </c>
      <c r="F91" s="81">
        <f>VLOOKUP($B91,Rentroll!$C$37:$Z$60,11,FALSE)</f>
        <v>60</v>
      </c>
      <c r="G91" s="69">
        <f>VLOOKUP($B91,Rentroll!$C$37:$Z$60,13,FALSE)</f>
        <v>103000</v>
      </c>
      <c r="H91" s="69">
        <f>VLOOKUP($B91,Rentroll!$C$37:$Z$60,14,FALSE)</f>
        <v>94416.666666666672</v>
      </c>
      <c r="I91" s="69">
        <f>VLOOKUP($B91,Rentroll!$C$37:$Z$60,15,FALSE)</f>
        <v>45000</v>
      </c>
      <c r="J91" s="82">
        <f>VLOOKUP($B91,Rentroll!$C$37:$Z$60,19,FALSE)</f>
        <v>0.03</v>
      </c>
      <c r="K91" s="83">
        <f>VLOOKUP($B91,Rentroll!$C$37:$Z$60,4,FALSE)</f>
        <v>1385.09</v>
      </c>
      <c r="L91" s="81">
        <f>VLOOKUP($B91,Rentroll!$C$37:$Z$60,17,FALSE)</f>
        <v>1</v>
      </c>
      <c r="M91" s="84">
        <f>VLOOKUP($B91,Rentroll!$C$37:$Z$60,18,FALSE)</f>
        <v>1</v>
      </c>
      <c r="O91" s="74">
        <f t="shared" si="51"/>
        <v>12</v>
      </c>
      <c r="P91" s="75"/>
      <c r="Q91" s="75"/>
      <c r="R91" s="75">
        <f t="shared" si="52"/>
        <v>0</v>
      </c>
      <c r="S91" s="75">
        <f t="shared" si="53"/>
        <v>0</v>
      </c>
      <c r="T91" s="75">
        <f t="shared" si="53"/>
        <v>0</v>
      </c>
      <c r="U91" s="75">
        <f t="shared" si="53"/>
        <v>0</v>
      </c>
      <c r="V91" s="75">
        <f t="shared" si="53"/>
        <v>0</v>
      </c>
      <c r="W91" s="75">
        <f t="shared" si="53"/>
        <v>0</v>
      </c>
      <c r="X91" s="75">
        <f t="shared" si="53"/>
        <v>0</v>
      </c>
      <c r="Y91" s="75">
        <f t="shared" si="53"/>
        <v>1</v>
      </c>
      <c r="Z91" s="75">
        <f t="shared" si="53"/>
        <v>0</v>
      </c>
      <c r="AA91" s="75">
        <f t="shared" si="53"/>
        <v>0</v>
      </c>
      <c r="AB91" s="75">
        <f t="shared" si="53"/>
        <v>0</v>
      </c>
      <c r="AC91" s="75">
        <f t="shared" si="53"/>
        <v>0</v>
      </c>
      <c r="AD91" s="75">
        <f t="shared" si="53"/>
        <v>0</v>
      </c>
      <c r="AE91" s="75">
        <f t="shared" si="53"/>
        <v>0</v>
      </c>
      <c r="AF91" s="75">
        <f t="shared" si="53"/>
        <v>0</v>
      </c>
      <c r="AG91" s="75">
        <f t="shared" si="53"/>
        <v>0</v>
      </c>
      <c r="AH91" s="75">
        <f t="shared" si="53"/>
        <v>0</v>
      </c>
      <c r="AI91" s="75">
        <f t="shared" si="53"/>
        <v>0</v>
      </c>
      <c r="AJ91" s="75">
        <f t="shared" si="53"/>
        <v>0</v>
      </c>
      <c r="AK91" s="75">
        <f t="shared" si="53"/>
        <v>0</v>
      </c>
      <c r="AL91" s="75">
        <f t="shared" si="53"/>
        <v>0</v>
      </c>
      <c r="AM91" s="75">
        <f t="shared" si="53"/>
        <v>0</v>
      </c>
      <c r="AN91" s="75">
        <f t="shared" si="53"/>
        <v>0</v>
      </c>
      <c r="AO91" s="75">
        <f t="shared" si="53"/>
        <v>0</v>
      </c>
      <c r="AP91" s="75">
        <f t="shared" si="53"/>
        <v>0</v>
      </c>
      <c r="AQ91" s="75">
        <f t="shared" si="53"/>
        <v>0</v>
      </c>
      <c r="AR91" s="75">
        <f t="shared" si="53"/>
        <v>0</v>
      </c>
      <c r="AS91" s="75">
        <f t="shared" si="53"/>
        <v>0</v>
      </c>
      <c r="AT91" s="75">
        <f t="shared" si="53"/>
        <v>0</v>
      </c>
      <c r="AU91" s="75">
        <f t="shared" si="53"/>
        <v>0</v>
      </c>
      <c r="AV91" s="75">
        <f t="shared" si="53"/>
        <v>0</v>
      </c>
      <c r="AW91" s="75">
        <f t="shared" si="53"/>
        <v>0</v>
      </c>
      <c r="AX91" s="75">
        <f t="shared" si="53"/>
        <v>0</v>
      </c>
      <c r="AY91" s="75">
        <f t="shared" si="53"/>
        <v>0</v>
      </c>
      <c r="AZ91" s="75">
        <f t="shared" si="53"/>
        <v>0</v>
      </c>
      <c r="BA91" s="75">
        <f t="shared" si="53"/>
        <v>0</v>
      </c>
      <c r="BB91" s="75">
        <f t="shared" si="53"/>
        <v>0</v>
      </c>
      <c r="BC91" s="75">
        <f t="shared" si="53"/>
        <v>0</v>
      </c>
      <c r="BD91" s="75">
        <f t="shared" si="53"/>
        <v>0</v>
      </c>
      <c r="BE91" s="75">
        <f t="shared" si="53"/>
        <v>0</v>
      </c>
      <c r="BF91" s="75">
        <f t="shared" si="53"/>
        <v>0</v>
      </c>
      <c r="BG91" s="75">
        <f t="shared" si="53"/>
        <v>0</v>
      </c>
      <c r="BH91" s="75">
        <f t="shared" si="53"/>
        <v>0</v>
      </c>
      <c r="BI91" s="75">
        <f t="shared" si="53"/>
        <v>0</v>
      </c>
      <c r="BJ91" s="75">
        <f t="shared" si="53"/>
        <v>0</v>
      </c>
      <c r="BK91" s="75">
        <f t="shared" si="53"/>
        <v>0</v>
      </c>
      <c r="BL91" s="75">
        <f t="shared" si="53"/>
        <v>0</v>
      </c>
      <c r="BM91" s="75">
        <f t="shared" si="53"/>
        <v>0</v>
      </c>
      <c r="BN91" s="75">
        <f t="shared" si="53"/>
        <v>0</v>
      </c>
      <c r="BO91" s="75">
        <f t="shared" si="53"/>
        <v>0</v>
      </c>
      <c r="BP91" s="75">
        <f t="shared" si="53"/>
        <v>0</v>
      </c>
      <c r="BQ91" s="75">
        <f t="shared" si="53"/>
        <v>0</v>
      </c>
      <c r="BR91" s="75">
        <f t="shared" si="53"/>
        <v>0</v>
      </c>
      <c r="BS91" s="75">
        <f t="shared" si="53"/>
        <v>0</v>
      </c>
      <c r="BT91" s="75">
        <f t="shared" si="53"/>
        <v>0</v>
      </c>
      <c r="BU91" s="75">
        <f t="shared" si="53"/>
        <v>0</v>
      </c>
      <c r="BV91" s="75">
        <f t="shared" si="53"/>
        <v>0</v>
      </c>
      <c r="BW91" s="75">
        <f t="shared" si="53"/>
        <v>0</v>
      </c>
      <c r="BX91" s="75">
        <f t="shared" si="53"/>
        <v>0</v>
      </c>
      <c r="BY91" s="75">
        <f t="shared" si="53"/>
        <v>0</v>
      </c>
      <c r="BZ91" s="75">
        <f t="shared" si="53"/>
        <v>0</v>
      </c>
      <c r="CA91" s="75">
        <f t="shared" si="53"/>
        <v>0</v>
      </c>
      <c r="CB91" s="75">
        <f t="shared" si="53"/>
        <v>0</v>
      </c>
      <c r="CC91" s="75">
        <f t="shared" si="53"/>
        <v>0</v>
      </c>
      <c r="CD91" s="75">
        <f t="shared" ref="CD91:DL94" si="54">IF($L91=0,0,(EOMONTH($D91,1)&lt;=CD$14)*(EOMONTH($D91,$L91)&gt;=CD$14)*1)</f>
        <v>0</v>
      </c>
      <c r="CE91" s="75">
        <f t="shared" si="54"/>
        <v>0</v>
      </c>
      <c r="CF91" s="75">
        <f t="shared" si="54"/>
        <v>0</v>
      </c>
      <c r="CG91" s="75">
        <f t="shared" si="54"/>
        <v>0</v>
      </c>
      <c r="CH91" s="75">
        <f t="shared" si="54"/>
        <v>0</v>
      </c>
      <c r="CI91" s="75">
        <f t="shared" si="54"/>
        <v>0</v>
      </c>
      <c r="CJ91" s="75">
        <f t="shared" si="54"/>
        <v>0</v>
      </c>
      <c r="CK91" s="75">
        <f t="shared" si="54"/>
        <v>0</v>
      </c>
      <c r="CL91" s="75">
        <f t="shared" si="54"/>
        <v>0</v>
      </c>
      <c r="CM91" s="75">
        <f t="shared" si="54"/>
        <v>0</v>
      </c>
      <c r="CN91" s="75">
        <f t="shared" si="54"/>
        <v>0</v>
      </c>
      <c r="CO91" s="75">
        <f t="shared" si="54"/>
        <v>0</v>
      </c>
      <c r="CP91" s="75">
        <f t="shared" si="54"/>
        <v>0</v>
      </c>
      <c r="CQ91" s="75">
        <f t="shared" si="54"/>
        <v>0</v>
      </c>
      <c r="CR91" s="75">
        <f t="shared" si="54"/>
        <v>0</v>
      </c>
      <c r="CS91" s="75">
        <f t="shared" si="54"/>
        <v>0</v>
      </c>
      <c r="CT91" s="75">
        <f t="shared" si="54"/>
        <v>0</v>
      </c>
      <c r="CU91" s="75">
        <f t="shared" si="54"/>
        <v>0</v>
      </c>
      <c r="CV91" s="75">
        <f t="shared" si="54"/>
        <v>0</v>
      </c>
      <c r="CW91" s="75">
        <f t="shared" si="54"/>
        <v>0</v>
      </c>
      <c r="CX91" s="75">
        <f t="shared" si="54"/>
        <v>0</v>
      </c>
      <c r="CY91" s="75">
        <f t="shared" si="54"/>
        <v>0</v>
      </c>
      <c r="CZ91" s="75">
        <f t="shared" si="54"/>
        <v>0</v>
      </c>
      <c r="DA91" s="75">
        <f t="shared" si="54"/>
        <v>0</v>
      </c>
      <c r="DB91" s="75">
        <f t="shared" si="54"/>
        <v>0</v>
      </c>
      <c r="DC91" s="75">
        <f t="shared" si="54"/>
        <v>0</v>
      </c>
      <c r="DD91" s="75">
        <f t="shared" si="54"/>
        <v>0</v>
      </c>
      <c r="DE91" s="75">
        <f t="shared" si="54"/>
        <v>0</v>
      </c>
      <c r="DF91" s="75">
        <f t="shared" si="54"/>
        <v>0</v>
      </c>
      <c r="DG91" s="75">
        <f t="shared" si="54"/>
        <v>0</v>
      </c>
      <c r="DH91" s="75">
        <f t="shared" si="54"/>
        <v>0</v>
      </c>
      <c r="DI91" s="75">
        <f t="shared" si="54"/>
        <v>0</v>
      </c>
      <c r="DJ91" s="75">
        <f t="shared" si="54"/>
        <v>0</v>
      </c>
      <c r="DK91" s="75">
        <f t="shared" si="54"/>
        <v>0</v>
      </c>
      <c r="DL91" s="75">
        <f t="shared" si="54"/>
        <v>0</v>
      </c>
    </row>
    <row r="92" spans="2:116">
      <c r="B92" s="27">
        <f>Rentroll!$C$43</f>
        <v>11</v>
      </c>
      <c r="C92" s="69" t="str">
        <f>VLOOKUP($B92,Rentroll!$C$37:$Z$60,3,FALSE)</f>
        <v>노벰버 건설</v>
      </c>
      <c r="D92" s="80">
        <f>VLOOKUP($B92,Rentroll!$C$37:$Z$60,9,FALSE)</f>
        <v>46904</v>
      </c>
      <c r="E92" s="80">
        <f>VLOOKUP($B92,Rentroll!$C$37:$Z$60,10,FALSE)</f>
        <v>48730</v>
      </c>
      <c r="F92" s="81">
        <f>VLOOKUP($B92,Rentroll!$C$37:$Z$60,11,FALSE)</f>
        <v>60</v>
      </c>
      <c r="G92" s="69">
        <f>VLOOKUP($B92,Rentroll!$C$37:$Z$60,13,FALSE)</f>
        <v>112550.88099999999</v>
      </c>
      <c r="H92" s="69">
        <f>VLOOKUP($B92,Rentroll!$C$37:$Z$60,14,FALSE)</f>
        <v>103171.64091666666</v>
      </c>
      <c r="I92" s="69">
        <f>VLOOKUP($B92,Rentroll!$C$37:$Z$60,15,FALSE)</f>
        <v>49172.715000000004</v>
      </c>
      <c r="J92" s="82">
        <f>VLOOKUP($B92,Rentroll!$C$37:$Z$60,19,FALSE)</f>
        <v>0.03</v>
      </c>
      <c r="K92" s="83">
        <f>VLOOKUP($B92,Rentroll!$C$37:$Z$60,4,FALSE)</f>
        <v>1385.09</v>
      </c>
      <c r="L92" s="81">
        <f>VLOOKUP($B92,Rentroll!$C$37:$Z$60,17,FALSE)</f>
        <v>0</v>
      </c>
      <c r="M92" s="84">
        <f>VLOOKUP($B92,Rentroll!$C$37:$Z$60,18,FALSE)</f>
        <v>1</v>
      </c>
      <c r="O92" s="74">
        <f t="shared" si="51"/>
        <v>11</v>
      </c>
      <c r="P92" s="75"/>
      <c r="Q92" s="75"/>
      <c r="R92" s="75">
        <f t="shared" si="52"/>
        <v>0</v>
      </c>
      <c r="S92" s="75">
        <f t="shared" ref="S92:CD95" si="55">IF($L92=0,0,(EOMONTH($D92,1)&lt;=S$14)*(EOMONTH($D92,$L92)&gt;=S$14)*1)</f>
        <v>0</v>
      </c>
      <c r="T92" s="75">
        <f t="shared" si="55"/>
        <v>0</v>
      </c>
      <c r="U92" s="75">
        <f t="shared" si="55"/>
        <v>0</v>
      </c>
      <c r="V92" s="75">
        <f t="shared" si="55"/>
        <v>0</v>
      </c>
      <c r="W92" s="75">
        <f t="shared" si="55"/>
        <v>0</v>
      </c>
      <c r="X92" s="75">
        <f t="shared" si="55"/>
        <v>0</v>
      </c>
      <c r="Y92" s="75">
        <f t="shared" si="55"/>
        <v>0</v>
      </c>
      <c r="Z92" s="75">
        <f t="shared" si="55"/>
        <v>0</v>
      </c>
      <c r="AA92" s="75">
        <f t="shared" si="55"/>
        <v>0</v>
      </c>
      <c r="AB92" s="75">
        <f t="shared" si="55"/>
        <v>0</v>
      </c>
      <c r="AC92" s="75">
        <f t="shared" si="55"/>
        <v>0</v>
      </c>
      <c r="AD92" s="75">
        <f t="shared" si="55"/>
        <v>0</v>
      </c>
      <c r="AE92" s="75">
        <f t="shared" si="55"/>
        <v>0</v>
      </c>
      <c r="AF92" s="75">
        <f t="shared" si="55"/>
        <v>0</v>
      </c>
      <c r="AG92" s="75">
        <f t="shared" si="55"/>
        <v>0</v>
      </c>
      <c r="AH92" s="75">
        <f t="shared" si="55"/>
        <v>0</v>
      </c>
      <c r="AI92" s="75">
        <f t="shared" si="55"/>
        <v>0</v>
      </c>
      <c r="AJ92" s="75">
        <f t="shared" si="55"/>
        <v>0</v>
      </c>
      <c r="AK92" s="75">
        <f t="shared" si="55"/>
        <v>0</v>
      </c>
      <c r="AL92" s="75">
        <f t="shared" si="55"/>
        <v>0</v>
      </c>
      <c r="AM92" s="75">
        <f t="shared" si="55"/>
        <v>0</v>
      </c>
      <c r="AN92" s="75">
        <f t="shared" si="55"/>
        <v>0</v>
      </c>
      <c r="AO92" s="75">
        <f t="shared" si="55"/>
        <v>0</v>
      </c>
      <c r="AP92" s="75">
        <f t="shared" si="55"/>
        <v>0</v>
      </c>
      <c r="AQ92" s="75">
        <f t="shared" si="55"/>
        <v>0</v>
      </c>
      <c r="AR92" s="75">
        <f t="shared" si="55"/>
        <v>0</v>
      </c>
      <c r="AS92" s="75">
        <f t="shared" si="55"/>
        <v>0</v>
      </c>
      <c r="AT92" s="75">
        <f t="shared" si="55"/>
        <v>0</v>
      </c>
      <c r="AU92" s="75">
        <f t="shared" si="55"/>
        <v>0</v>
      </c>
      <c r="AV92" s="75">
        <f t="shared" si="55"/>
        <v>0</v>
      </c>
      <c r="AW92" s="75">
        <f t="shared" si="55"/>
        <v>0</v>
      </c>
      <c r="AX92" s="75">
        <f t="shared" si="55"/>
        <v>0</v>
      </c>
      <c r="AY92" s="75">
        <f t="shared" si="55"/>
        <v>0</v>
      </c>
      <c r="AZ92" s="75">
        <f t="shared" si="55"/>
        <v>0</v>
      </c>
      <c r="BA92" s="75">
        <f t="shared" si="55"/>
        <v>0</v>
      </c>
      <c r="BB92" s="75">
        <f t="shared" si="55"/>
        <v>0</v>
      </c>
      <c r="BC92" s="75">
        <f t="shared" si="55"/>
        <v>0</v>
      </c>
      <c r="BD92" s="75">
        <f t="shared" si="55"/>
        <v>0</v>
      </c>
      <c r="BE92" s="75">
        <f t="shared" si="55"/>
        <v>0</v>
      </c>
      <c r="BF92" s="75">
        <f t="shared" si="55"/>
        <v>0</v>
      </c>
      <c r="BG92" s="75">
        <f t="shared" si="55"/>
        <v>0</v>
      </c>
      <c r="BH92" s="75">
        <f t="shared" si="55"/>
        <v>0</v>
      </c>
      <c r="BI92" s="75">
        <f t="shared" si="55"/>
        <v>0</v>
      </c>
      <c r="BJ92" s="75">
        <f t="shared" si="55"/>
        <v>0</v>
      </c>
      <c r="BK92" s="75">
        <f t="shared" si="55"/>
        <v>0</v>
      </c>
      <c r="BL92" s="75">
        <f t="shared" si="55"/>
        <v>0</v>
      </c>
      <c r="BM92" s="75">
        <f t="shared" si="55"/>
        <v>0</v>
      </c>
      <c r="BN92" s="75">
        <f t="shared" si="55"/>
        <v>0</v>
      </c>
      <c r="BO92" s="75">
        <f t="shared" si="55"/>
        <v>0</v>
      </c>
      <c r="BP92" s="75">
        <f t="shared" si="55"/>
        <v>0</v>
      </c>
      <c r="BQ92" s="75">
        <f t="shared" si="55"/>
        <v>0</v>
      </c>
      <c r="BR92" s="75">
        <f t="shared" si="55"/>
        <v>0</v>
      </c>
      <c r="BS92" s="75">
        <f t="shared" si="55"/>
        <v>0</v>
      </c>
      <c r="BT92" s="75">
        <f t="shared" si="55"/>
        <v>0</v>
      </c>
      <c r="BU92" s="75">
        <f t="shared" si="55"/>
        <v>0</v>
      </c>
      <c r="BV92" s="75">
        <f t="shared" si="55"/>
        <v>0</v>
      </c>
      <c r="BW92" s="75">
        <f t="shared" si="55"/>
        <v>0</v>
      </c>
      <c r="BX92" s="75">
        <f t="shared" si="55"/>
        <v>0</v>
      </c>
      <c r="BY92" s="75">
        <f t="shared" si="55"/>
        <v>0</v>
      </c>
      <c r="BZ92" s="75">
        <f t="shared" si="55"/>
        <v>0</v>
      </c>
      <c r="CA92" s="75">
        <f t="shared" si="55"/>
        <v>0</v>
      </c>
      <c r="CB92" s="75">
        <f t="shared" si="55"/>
        <v>0</v>
      </c>
      <c r="CC92" s="75">
        <f t="shared" si="55"/>
        <v>0</v>
      </c>
      <c r="CD92" s="75">
        <f t="shared" si="55"/>
        <v>0</v>
      </c>
      <c r="CE92" s="75">
        <f t="shared" si="54"/>
        <v>0</v>
      </c>
      <c r="CF92" s="75">
        <f t="shared" si="54"/>
        <v>0</v>
      </c>
      <c r="CG92" s="75">
        <f t="shared" si="54"/>
        <v>0</v>
      </c>
      <c r="CH92" s="75">
        <f t="shared" si="54"/>
        <v>0</v>
      </c>
      <c r="CI92" s="75">
        <f t="shared" si="54"/>
        <v>0</v>
      </c>
      <c r="CJ92" s="75">
        <f t="shared" si="54"/>
        <v>0</v>
      </c>
      <c r="CK92" s="75">
        <f t="shared" si="54"/>
        <v>0</v>
      </c>
      <c r="CL92" s="75">
        <f t="shared" si="54"/>
        <v>0</v>
      </c>
      <c r="CM92" s="75">
        <f t="shared" si="54"/>
        <v>0</v>
      </c>
      <c r="CN92" s="75">
        <f t="shared" si="54"/>
        <v>0</v>
      </c>
      <c r="CO92" s="75">
        <f t="shared" si="54"/>
        <v>0</v>
      </c>
      <c r="CP92" s="75">
        <f t="shared" si="54"/>
        <v>0</v>
      </c>
      <c r="CQ92" s="75">
        <f t="shared" si="54"/>
        <v>0</v>
      </c>
      <c r="CR92" s="75">
        <f t="shared" si="54"/>
        <v>0</v>
      </c>
      <c r="CS92" s="75">
        <f t="shared" si="54"/>
        <v>0</v>
      </c>
      <c r="CT92" s="75">
        <f t="shared" si="54"/>
        <v>0</v>
      </c>
      <c r="CU92" s="75">
        <f t="shared" si="54"/>
        <v>0</v>
      </c>
      <c r="CV92" s="75">
        <f t="shared" si="54"/>
        <v>0</v>
      </c>
      <c r="CW92" s="75">
        <f t="shared" si="54"/>
        <v>0</v>
      </c>
      <c r="CX92" s="75">
        <f t="shared" si="54"/>
        <v>0</v>
      </c>
      <c r="CY92" s="75">
        <f t="shared" si="54"/>
        <v>0</v>
      </c>
      <c r="CZ92" s="75">
        <f t="shared" si="54"/>
        <v>0</v>
      </c>
      <c r="DA92" s="75">
        <f t="shared" si="54"/>
        <v>0</v>
      </c>
      <c r="DB92" s="75">
        <f t="shared" si="54"/>
        <v>0</v>
      </c>
      <c r="DC92" s="75">
        <f t="shared" si="54"/>
        <v>0</v>
      </c>
      <c r="DD92" s="75">
        <f t="shared" si="54"/>
        <v>0</v>
      </c>
      <c r="DE92" s="75">
        <f t="shared" si="54"/>
        <v>0</v>
      </c>
      <c r="DF92" s="75">
        <f t="shared" si="54"/>
        <v>0</v>
      </c>
      <c r="DG92" s="75">
        <f t="shared" si="54"/>
        <v>0</v>
      </c>
      <c r="DH92" s="75">
        <f t="shared" si="54"/>
        <v>0</v>
      </c>
      <c r="DI92" s="75">
        <f t="shared" si="54"/>
        <v>0</v>
      </c>
      <c r="DJ92" s="75">
        <f t="shared" si="54"/>
        <v>0</v>
      </c>
      <c r="DK92" s="75">
        <f t="shared" si="54"/>
        <v>0</v>
      </c>
      <c r="DL92" s="75">
        <f t="shared" si="54"/>
        <v>0</v>
      </c>
    </row>
    <row r="93" spans="2:116">
      <c r="B93" s="27">
        <f>Rentroll!$C$44</f>
        <v>10</v>
      </c>
      <c r="C93" s="69" t="str">
        <f>VLOOKUP($B93,Rentroll!$C$37:$Z$60,3,FALSE)</f>
        <v>노벰버 건설</v>
      </c>
      <c r="D93" s="80">
        <f>VLOOKUP($B93,Rentroll!$C$37:$Z$60,9,FALSE)</f>
        <v>46904</v>
      </c>
      <c r="E93" s="80">
        <f>VLOOKUP($B93,Rentroll!$C$37:$Z$60,10,FALSE)</f>
        <v>48730</v>
      </c>
      <c r="F93" s="81">
        <f>VLOOKUP($B93,Rentroll!$C$37:$Z$60,11,FALSE)</f>
        <v>60</v>
      </c>
      <c r="G93" s="69">
        <f>VLOOKUP($B93,Rentroll!$C$37:$Z$60,13,FALSE)</f>
        <v>112550.88099999999</v>
      </c>
      <c r="H93" s="69">
        <f>VLOOKUP($B93,Rentroll!$C$37:$Z$60,14,FALSE)</f>
        <v>103171.64091666666</v>
      </c>
      <c r="I93" s="69">
        <f>VLOOKUP($B93,Rentroll!$C$37:$Z$60,15,FALSE)</f>
        <v>49172.715000000004</v>
      </c>
      <c r="J93" s="82">
        <f>VLOOKUP($B93,Rentroll!$C$37:$Z$60,19,FALSE)</f>
        <v>0.03</v>
      </c>
      <c r="K93" s="83">
        <f>VLOOKUP($B93,Rentroll!$C$37:$Z$60,4,FALSE)</f>
        <v>1385.09</v>
      </c>
      <c r="L93" s="81">
        <f>VLOOKUP($B93,Rentroll!$C$37:$Z$60,17,FALSE)</f>
        <v>0</v>
      </c>
      <c r="M93" s="84">
        <f>VLOOKUP($B93,Rentroll!$C$37:$Z$60,18,FALSE)</f>
        <v>1</v>
      </c>
      <c r="O93" s="74">
        <f t="shared" si="51"/>
        <v>10</v>
      </c>
      <c r="P93" s="75"/>
      <c r="Q93" s="75"/>
      <c r="R93" s="75">
        <f t="shared" si="52"/>
        <v>0</v>
      </c>
      <c r="S93" s="75">
        <f t="shared" si="55"/>
        <v>0</v>
      </c>
      <c r="T93" s="75">
        <f t="shared" si="55"/>
        <v>0</v>
      </c>
      <c r="U93" s="75">
        <f t="shared" si="55"/>
        <v>0</v>
      </c>
      <c r="V93" s="75">
        <f t="shared" si="55"/>
        <v>0</v>
      </c>
      <c r="W93" s="75">
        <f t="shared" si="55"/>
        <v>0</v>
      </c>
      <c r="X93" s="75">
        <f t="shared" si="55"/>
        <v>0</v>
      </c>
      <c r="Y93" s="75">
        <f t="shared" si="55"/>
        <v>0</v>
      </c>
      <c r="Z93" s="75">
        <f t="shared" si="55"/>
        <v>0</v>
      </c>
      <c r="AA93" s="75">
        <f t="shared" si="55"/>
        <v>0</v>
      </c>
      <c r="AB93" s="75">
        <f t="shared" si="55"/>
        <v>0</v>
      </c>
      <c r="AC93" s="75">
        <f t="shared" si="55"/>
        <v>0</v>
      </c>
      <c r="AD93" s="75">
        <f t="shared" si="55"/>
        <v>0</v>
      </c>
      <c r="AE93" s="75">
        <f t="shared" si="55"/>
        <v>0</v>
      </c>
      <c r="AF93" s="75">
        <f t="shared" si="55"/>
        <v>0</v>
      </c>
      <c r="AG93" s="75">
        <f t="shared" si="55"/>
        <v>0</v>
      </c>
      <c r="AH93" s="75">
        <f t="shared" si="55"/>
        <v>0</v>
      </c>
      <c r="AI93" s="75">
        <f t="shared" si="55"/>
        <v>0</v>
      </c>
      <c r="AJ93" s="75">
        <f t="shared" si="55"/>
        <v>0</v>
      </c>
      <c r="AK93" s="75">
        <f t="shared" si="55"/>
        <v>0</v>
      </c>
      <c r="AL93" s="75">
        <f t="shared" si="55"/>
        <v>0</v>
      </c>
      <c r="AM93" s="75">
        <f t="shared" si="55"/>
        <v>0</v>
      </c>
      <c r="AN93" s="75">
        <f t="shared" si="55"/>
        <v>0</v>
      </c>
      <c r="AO93" s="75">
        <f t="shared" si="55"/>
        <v>0</v>
      </c>
      <c r="AP93" s="75">
        <f t="shared" si="55"/>
        <v>0</v>
      </c>
      <c r="AQ93" s="75">
        <f t="shared" si="55"/>
        <v>0</v>
      </c>
      <c r="AR93" s="75">
        <f t="shared" si="55"/>
        <v>0</v>
      </c>
      <c r="AS93" s="75">
        <f t="shared" si="55"/>
        <v>0</v>
      </c>
      <c r="AT93" s="75">
        <f t="shared" si="55"/>
        <v>0</v>
      </c>
      <c r="AU93" s="75">
        <f t="shared" si="55"/>
        <v>0</v>
      </c>
      <c r="AV93" s="75">
        <f t="shared" si="55"/>
        <v>0</v>
      </c>
      <c r="AW93" s="75">
        <f t="shared" si="55"/>
        <v>0</v>
      </c>
      <c r="AX93" s="75">
        <f t="shared" si="55"/>
        <v>0</v>
      </c>
      <c r="AY93" s="75">
        <f t="shared" si="55"/>
        <v>0</v>
      </c>
      <c r="AZ93" s="75">
        <f t="shared" si="55"/>
        <v>0</v>
      </c>
      <c r="BA93" s="75">
        <f t="shared" si="55"/>
        <v>0</v>
      </c>
      <c r="BB93" s="75">
        <f t="shared" si="55"/>
        <v>0</v>
      </c>
      <c r="BC93" s="75">
        <f t="shared" si="55"/>
        <v>0</v>
      </c>
      <c r="BD93" s="75">
        <f t="shared" si="55"/>
        <v>0</v>
      </c>
      <c r="BE93" s="75">
        <f t="shared" si="55"/>
        <v>0</v>
      </c>
      <c r="BF93" s="75">
        <f t="shared" si="55"/>
        <v>0</v>
      </c>
      <c r="BG93" s="75">
        <f t="shared" si="55"/>
        <v>0</v>
      </c>
      <c r="BH93" s="75">
        <f t="shared" si="55"/>
        <v>0</v>
      </c>
      <c r="BI93" s="75">
        <f t="shared" si="55"/>
        <v>0</v>
      </c>
      <c r="BJ93" s="75">
        <f t="shared" si="55"/>
        <v>0</v>
      </c>
      <c r="BK93" s="75">
        <f t="shared" si="55"/>
        <v>0</v>
      </c>
      <c r="BL93" s="75">
        <f t="shared" si="55"/>
        <v>0</v>
      </c>
      <c r="BM93" s="75">
        <f t="shared" si="55"/>
        <v>0</v>
      </c>
      <c r="BN93" s="75">
        <f t="shared" si="55"/>
        <v>0</v>
      </c>
      <c r="BO93" s="75">
        <f t="shared" si="55"/>
        <v>0</v>
      </c>
      <c r="BP93" s="75">
        <f t="shared" si="55"/>
        <v>0</v>
      </c>
      <c r="BQ93" s="75">
        <f t="shared" si="55"/>
        <v>0</v>
      </c>
      <c r="BR93" s="75">
        <f t="shared" si="55"/>
        <v>0</v>
      </c>
      <c r="BS93" s="75">
        <f t="shared" si="55"/>
        <v>0</v>
      </c>
      <c r="BT93" s="75">
        <f t="shared" si="55"/>
        <v>0</v>
      </c>
      <c r="BU93" s="75">
        <f t="shared" si="55"/>
        <v>0</v>
      </c>
      <c r="BV93" s="75">
        <f t="shared" si="55"/>
        <v>0</v>
      </c>
      <c r="BW93" s="75">
        <f t="shared" si="55"/>
        <v>0</v>
      </c>
      <c r="BX93" s="75">
        <f t="shared" si="55"/>
        <v>0</v>
      </c>
      <c r="BY93" s="75">
        <f t="shared" si="55"/>
        <v>0</v>
      </c>
      <c r="BZ93" s="75">
        <f t="shared" si="55"/>
        <v>0</v>
      </c>
      <c r="CA93" s="75">
        <f t="shared" si="55"/>
        <v>0</v>
      </c>
      <c r="CB93" s="75">
        <f t="shared" si="55"/>
        <v>0</v>
      </c>
      <c r="CC93" s="75">
        <f t="shared" si="55"/>
        <v>0</v>
      </c>
      <c r="CD93" s="75">
        <f t="shared" si="55"/>
        <v>0</v>
      </c>
      <c r="CE93" s="75">
        <f t="shared" si="54"/>
        <v>0</v>
      </c>
      <c r="CF93" s="75">
        <f t="shared" si="54"/>
        <v>0</v>
      </c>
      <c r="CG93" s="75">
        <f t="shared" si="54"/>
        <v>0</v>
      </c>
      <c r="CH93" s="75">
        <f t="shared" si="54"/>
        <v>0</v>
      </c>
      <c r="CI93" s="75">
        <f t="shared" si="54"/>
        <v>0</v>
      </c>
      <c r="CJ93" s="75">
        <f t="shared" si="54"/>
        <v>0</v>
      </c>
      <c r="CK93" s="75">
        <f t="shared" si="54"/>
        <v>0</v>
      </c>
      <c r="CL93" s="75">
        <f t="shared" si="54"/>
        <v>0</v>
      </c>
      <c r="CM93" s="75">
        <f t="shared" si="54"/>
        <v>0</v>
      </c>
      <c r="CN93" s="75">
        <f t="shared" si="54"/>
        <v>0</v>
      </c>
      <c r="CO93" s="75">
        <f t="shared" si="54"/>
        <v>0</v>
      </c>
      <c r="CP93" s="75">
        <f t="shared" si="54"/>
        <v>0</v>
      </c>
      <c r="CQ93" s="75">
        <f t="shared" si="54"/>
        <v>0</v>
      </c>
      <c r="CR93" s="75">
        <f t="shared" si="54"/>
        <v>0</v>
      </c>
      <c r="CS93" s="75">
        <f t="shared" si="54"/>
        <v>0</v>
      </c>
      <c r="CT93" s="75">
        <f t="shared" si="54"/>
        <v>0</v>
      </c>
      <c r="CU93" s="75">
        <f t="shared" si="54"/>
        <v>0</v>
      </c>
      <c r="CV93" s="75">
        <f t="shared" si="54"/>
        <v>0</v>
      </c>
      <c r="CW93" s="75">
        <f t="shared" si="54"/>
        <v>0</v>
      </c>
      <c r="CX93" s="75">
        <f t="shared" si="54"/>
        <v>0</v>
      </c>
      <c r="CY93" s="75">
        <f t="shared" si="54"/>
        <v>0</v>
      </c>
      <c r="CZ93" s="75">
        <f t="shared" si="54"/>
        <v>0</v>
      </c>
      <c r="DA93" s="75">
        <f t="shared" si="54"/>
        <v>0</v>
      </c>
      <c r="DB93" s="75">
        <f t="shared" si="54"/>
        <v>0</v>
      </c>
      <c r="DC93" s="75">
        <f t="shared" si="54"/>
        <v>0</v>
      </c>
      <c r="DD93" s="75">
        <f t="shared" si="54"/>
        <v>0</v>
      </c>
      <c r="DE93" s="75">
        <f t="shared" si="54"/>
        <v>0</v>
      </c>
      <c r="DF93" s="75">
        <f t="shared" si="54"/>
        <v>0</v>
      </c>
      <c r="DG93" s="75">
        <f t="shared" si="54"/>
        <v>0</v>
      </c>
      <c r="DH93" s="75">
        <f t="shared" si="54"/>
        <v>0</v>
      </c>
      <c r="DI93" s="75">
        <f t="shared" si="54"/>
        <v>0</v>
      </c>
      <c r="DJ93" s="75">
        <f t="shared" si="54"/>
        <v>0</v>
      </c>
      <c r="DK93" s="75">
        <f t="shared" si="54"/>
        <v>0</v>
      </c>
      <c r="DL93" s="75">
        <f t="shared" si="54"/>
        <v>0</v>
      </c>
    </row>
    <row r="94" spans="2:116">
      <c r="B94" s="27">
        <f>Rentroll!$C$45</f>
        <v>9</v>
      </c>
      <c r="C94" s="69" t="str">
        <f>VLOOKUP($B94,Rentroll!$C$37:$Z$60,3,FALSE)</f>
        <v>노벰버 건설</v>
      </c>
      <c r="D94" s="80">
        <f>VLOOKUP($B94,Rentroll!$C$37:$Z$60,9,FALSE)</f>
        <v>46904</v>
      </c>
      <c r="E94" s="80">
        <f>VLOOKUP($B94,Rentroll!$C$37:$Z$60,10,FALSE)</f>
        <v>48730</v>
      </c>
      <c r="F94" s="81">
        <f>VLOOKUP($B94,Rentroll!$C$37:$Z$60,11,FALSE)</f>
        <v>60</v>
      </c>
      <c r="G94" s="69">
        <f>VLOOKUP($B94,Rentroll!$C$37:$Z$60,13,FALSE)</f>
        <v>112550.88099999999</v>
      </c>
      <c r="H94" s="69">
        <f>VLOOKUP($B94,Rentroll!$C$37:$Z$60,14,FALSE)</f>
        <v>103171.64091666666</v>
      </c>
      <c r="I94" s="69">
        <f>VLOOKUP($B94,Rentroll!$C$37:$Z$60,15,FALSE)</f>
        <v>49172.715000000004</v>
      </c>
      <c r="J94" s="82">
        <f>VLOOKUP($B94,Rentroll!$C$37:$Z$60,19,FALSE)</f>
        <v>0.03</v>
      </c>
      <c r="K94" s="83">
        <f>VLOOKUP($B94,Rentroll!$C$37:$Z$60,4,FALSE)</f>
        <v>1385.09</v>
      </c>
      <c r="L94" s="81">
        <f>VLOOKUP($B94,Rentroll!$C$37:$Z$60,17,FALSE)</f>
        <v>0</v>
      </c>
      <c r="M94" s="84">
        <f>VLOOKUP($B94,Rentroll!$C$37:$Z$60,18,FALSE)</f>
        <v>1</v>
      </c>
      <c r="O94" s="74">
        <f t="shared" si="51"/>
        <v>9</v>
      </c>
      <c r="P94" s="75"/>
      <c r="Q94" s="75"/>
      <c r="R94" s="75">
        <f t="shared" si="52"/>
        <v>0</v>
      </c>
      <c r="S94" s="75">
        <f t="shared" si="55"/>
        <v>0</v>
      </c>
      <c r="T94" s="75">
        <f t="shared" si="55"/>
        <v>0</v>
      </c>
      <c r="U94" s="75">
        <f t="shared" si="55"/>
        <v>0</v>
      </c>
      <c r="V94" s="75">
        <f t="shared" si="55"/>
        <v>0</v>
      </c>
      <c r="W94" s="75">
        <f t="shared" si="55"/>
        <v>0</v>
      </c>
      <c r="X94" s="75">
        <f t="shared" si="55"/>
        <v>0</v>
      </c>
      <c r="Y94" s="75">
        <f t="shared" si="55"/>
        <v>0</v>
      </c>
      <c r="Z94" s="75">
        <f t="shared" si="55"/>
        <v>0</v>
      </c>
      <c r="AA94" s="75">
        <f t="shared" si="55"/>
        <v>0</v>
      </c>
      <c r="AB94" s="75">
        <f t="shared" si="55"/>
        <v>0</v>
      </c>
      <c r="AC94" s="75">
        <f t="shared" si="55"/>
        <v>0</v>
      </c>
      <c r="AD94" s="75">
        <f t="shared" si="55"/>
        <v>0</v>
      </c>
      <c r="AE94" s="75">
        <f t="shared" si="55"/>
        <v>0</v>
      </c>
      <c r="AF94" s="75">
        <f t="shared" si="55"/>
        <v>0</v>
      </c>
      <c r="AG94" s="75">
        <f t="shared" si="55"/>
        <v>0</v>
      </c>
      <c r="AH94" s="75">
        <f t="shared" si="55"/>
        <v>0</v>
      </c>
      <c r="AI94" s="75">
        <f t="shared" si="55"/>
        <v>0</v>
      </c>
      <c r="AJ94" s="75">
        <f t="shared" si="55"/>
        <v>0</v>
      </c>
      <c r="AK94" s="75">
        <f t="shared" si="55"/>
        <v>0</v>
      </c>
      <c r="AL94" s="75">
        <f t="shared" si="55"/>
        <v>0</v>
      </c>
      <c r="AM94" s="75">
        <f t="shared" si="55"/>
        <v>0</v>
      </c>
      <c r="AN94" s="75">
        <f t="shared" si="55"/>
        <v>0</v>
      </c>
      <c r="AO94" s="75">
        <f t="shared" si="55"/>
        <v>0</v>
      </c>
      <c r="AP94" s="75">
        <f t="shared" si="55"/>
        <v>0</v>
      </c>
      <c r="AQ94" s="75">
        <f t="shared" si="55"/>
        <v>0</v>
      </c>
      <c r="AR94" s="75">
        <f t="shared" si="55"/>
        <v>0</v>
      </c>
      <c r="AS94" s="75">
        <f t="shared" si="55"/>
        <v>0</v>
      </c>
      <c r="AT94" s="75">
        <f t="shared" si="55"/>
        <v>0</v>
      </c>
      <c r="AU94" s="75">
        <f t="shared" si="55"/>
        <v>0</v>
      </c>
      <c r="AV94" s="75">
        <f t="shared" si="55"/>
        <v>0</v>
      </c>
      <c r="AW94" s="75">
        <f t="shared" si="55"/>
        <v>0</v>
      </c>
      <c r="AX94" s="75">
        <f t="shared" si="55"/>
        <v>0</v>
      </c>
      <c r="AY94" s="75">
        <f t="shared" si="55"/>
        <v>0</v>
      </c>
      <c r="AZ94" s="75">
        <f t="shared" si="55"/>
        <v>0</v>
      </c>
      <c r="BA94" s="75">
        <f t="shared" si="55"/>
        <v>0</v>
      </c>
      <c r="BB94" s="75">
        <f t="shared" si="55"/>
        <v>0</v>
      </c>
      <c r="BC94" s="75">
        <f t="shared" si="55"/>
        <v>0</v>
      </c>
      <c r="BD94" s="75">
        <f t="shared" si="55"/>
        <v>0</v>
      </c>
      <c r="BE94" s="75">
        <f t="shared" si="55"/>
        <v>0</v>
      </c>
      <c r="BF94" s="75">
        <f t="shared" si="55"/>
        <v>0</v>
      </c>
      <c r="BG94" s="75">
        <f t="shared" si="55"/>
        <v>0</v>
      </c>
      <c r="BH94" s="75">
        <f t="shared" si="55"/>
        <v>0</v>
      </c>
      <c r="BI94" s="75">
        <f t="shared" si="55"/>
        <v>0</v>
      </c>
      <c r="BJ94" s="75">
        <f t="shared" si="55"/>
        <v>0</v>
      </c>
      <c r="BK94" s="75">
        <f t="shared" si="55"/>
        <v>0</v>
      </c>
      <c r="BL94" s="75">
        <f t="shared" si="55"/>
        <v>0</v>
      </c>
      <c r="BM94" s="75">
        <f t="shared" si="55"/>
        <v>0</v>
      </c>
      <c r="BN94" s="75">
        <f t="shared" si="55"/>
        <v>0</v>
      </c>
      <c r="BO94" s="75">
        <f t="shared" si="55"/>
        <v>0</v>
      </c>
      <c r="BP94" s="75">
        <f t="shared" si="55"/>
        <v>0</v>
      </c>
      <c r="BQ94" s="75">
        <f t="shared" si="55"/>
        <v>0</v>
      </c>
      <c r="BR94" s="75">
        <f t="shared" si="55"/>
        <v>0</v>
      </c>
      <c r="BS94" s="75">
        <f t="shared" si="55"/>
        <v>0</v>
      </c>
      <c r="BT94" s="75">
        <f t="shared" si="55"/>
        <v>0</v>
      </c>
      <c r="BU94" s="75">
        <f t="shared" si="55"/>
        <v>0</v>
      </c>
      <c r="BV94" s="75">
        <f t="shared" si="55"/>
        <v>0</v>
      </c>
      <c r="BW94" s="75">
        <f t="shared" si="55"/>
        <v>0</v>
      </c>
      <c r="BX94" s="75">
        <f t="shared" si="55"/>
        <v>0</v>
      </c>
      <c r="BY94" s="75">
        <f t="shared" si="55"/>
        <v>0</v>
      </c>
      <c r="BZ94" s="75">
        <f t="shared" si="55"/>
        <v>0</v>
      </c>
      <c r="CA94" s="75">
        <f t="shared" si="55"/>
        <v>0</v>
      </c>
      <c r="CB94" s="75">
        <f t="shared" si="55"/>
        <v>0</v>
      </c>
      <c r="CC94" s="75">
        <f t="shared" si="55"/>
        <v>0</v>
      </c>
      <c r="CD94" s="75">
        <f t="shared" si="55"/>
        <v>0</v>
      </c>
      <c r="CE94" s="75">
        <f t="shared" si="54"/>
        <v>0</v>
      </c>
      <c r="CF94" s="75">
        <f t="shared" si="54"/>
        <v>0</v>
      </c>
      <c r="CG94" s="75">
        <f t="shared" si="54"/>
        <v>0</v>
      </c>
      <c r="CH94" s="75">
        <f t="shared" si="54"/>
        <v>0</v>
      </c>
      <c r="CI94" s="75">
        <f t="shared" si="54"/>
        <v>0</v>
      </c>
      <c r="CJ94" s="75">
        <f t="shared" si="54"/>
        <v>0</v>
      </c>
      <c r="CK94" s="75">
        <f t="shared" si="54"/>
        <v>0</v>
      </c>
      <c r="CL94" s="75">
        <f t="shared" si="54"/>
        <v>0</v>
      </c>
      <c r="CM94" s="75">
        <f t="shared" si="54"/>
        <v>0</v>
      </c>
      <c r="CN94" s="75">
        <f t="shared" si="54"/>
        <v>0</v>
      </c>
      <c r="CO94" s="75">
        <f t="shared" si="54"/>
        <v>0</v>
      </c>
      <c r="CP94" s="75">
        <f t="shared" si="54"/>
        <v>0</v>
      </c>
      <c r="CQ94" s="75">
        <f t="shared" si="54"/>
        <v>0</v>
      </c>
      <c r="CR94" s="75">
        <f t="shared" si="54"/>
        <v>0</v>
      </c>
      <c r="CS94" s="75">
        <f t="shared" si="54"/>
        <v>0</v>
      </c>
      <c r="CT94" s="75">
        <f t="shared" si="54"/>
        <v>0</v>
      </c>
      <c r="CU94" s="75">
        <f t="shared" si="54"/>
        <v>0</v>
      </c>
      <c r="CV94" s="75">
        <f t="shared" si="54"/>
        <v>0</v>
      </c>
      <c r="CW94" s="75">
        <f t="shared" si="54"/>
        <v>0</v>
      </c>
      <c r="CX94" s="75">
        <f t="shared" si="54"/>
        <v>0</v>
      </c>
      <c r="CY94" s="75">
        <f t="shared" si="54"/>
        <v>0</v>
      </c>
      <c r="CZ94" s="75">
        <f t="shared" si="54"/>
        <v>0</v>
      </c>
      <c r="DA94" s="75">
        <f t="shared" si="54"/>
        <v>0</v>
      </c>
      <c r="DB94" s="75">
        <f t="shared" si="54"/>
        <v>0</v>
      </c>
      <c r="DC94" s="75">
        <f t="shared" si="54"/>
        <v>0</v>
      </c>
      <c r="DD94" s="75">
        <f t="shared" si="54"/>
        <v>0</v>
      </c>
      <c r="DE94" s="75">
        <f t="shared" si="54"/>
        <v>0</v>
      </c>
      <c r="DF94" s="75">
        <f t="shared" si="54"/>
        <v>0</v>
      </c>
      <c r="DG94" s="75">
        <f t="shared" si="54"/>
        <v>0</v>
      </c>
      <c r="DH94" s="75">
        <f t="shared" si="54"/>
        <v>0</v>
      </c>
      <c r="DI94" s="75">
        <f t="shared" si="54"/>
        <v>0</v>
      </c>
      <c r="DJ94" s="75">
        <f t="shared" si="54"/>
        <v>0</v>
      </c>
      <c r="DK94" s="75">
        <f t="shared" si="54"/>
        <v>0</v>
      </c>
      <c r="DL94" s="75">
        <f t="shared" si="54"/>
        <v>0</v>
      </c>
    </row>
    <row r="95" spans="2:116">
      <c r="B95" s="27">
        <f>Rentroll!$C$46</f>
        <v>8</v>
      </c>
      <c r="C95" s="69" t="str">
        <f>VLOOKUP($B95,Rentroll!$C$37:$Z$60,3,FALSE)</f>
        <v>오케스트로</v>
      </c>
      <c r="D95" s="80">
        <f>VLOOKUP($B95,Rentroll!$C$37:$Z$60,9,FALSE)</f>
        <v>46477</v>
      </c>
      <c r="E95" s="80">
        <f>VLOOKUP($B95,Rentroll!$C$37:$Z$60,10,FALSE)</f>
        <v>48304</v>
      </c>
      <c r="F95" s="81">
        <f>VLOOKUP($B95,Rentroll!$C$37:$Z$60,11,FALSE)</f>
        <v>60</v>
      </c>
      <c r="G95" s="69">
        <f>VLOOKUP($B95,Rentroll!$C$37:$Z$60,13,FALSE)</f>
        <v>109272.7</v>
      </c>
      <c r="H95" s="69">
        <f>VLOOKUP($B95,Rentroll!$C$37:$Z$60,14,FALSE)</f>
        <v>100166.64166666666</v>
      </c>
      <c r="I95" s="69">
        <f>VLOOKUP($B95,Rentroll!$C$37:$Z$60,15,FALSE)</f>
        <v>47740.5</v>
      </c>
      <c r="J95" s="82">
        <f>VLOOKUP($B95,Rentroll!$C$37:$Z$60,19,FALSE)</f>
        <v>0.03</v>
      </c>
      <c r="K95" s="83">
        <f>VLOOKUP($B95,Rentroll!$C$37:$Z$60,4,FALSE)</f>
        <v>1385.09</v>
      </c>
      <c r="L95" s="81">
        <f>VLOOKUP($B95,Rentroll!$C$37:$Z$60,17,FALSE)</f>
        <v>1</v>
      </c>
      <c r="M95" s="84">
        <f>VLOOKUP($B95,Rentroll!$C$37:$Z$60,18,FALSE)</f>
        <v>1</v>
      </c>
      <c r="O95" s="74">
        <f t="shared" si="51"/>
        <v>8</v>
      </c>
      <c r="P95" s="75"/>
      <c r="Q95" s="75"/>
      <c r="R95" s="75">
        <f t="shared" si="52"/>
        <v>0</v>
      </c>
      <c r="S95" s="75">
        <f t="shared" si="55"/>
        <v>0</v>
      </c>
      <c r="T95" s="75">
        <f t="shared" si="55"/>
        <v>0</v>
      </c>
      <c r="U95" s="75">
        <f t="shared" si="55"/>
        <v>0</v>
      </c>
      <c r="V95" s="75">
        <f t="shared" si="55"/>
        <v>0</v>
      </c>
      <c r="W95" s="75">
        <f t="shared" si="55"/>
        <v>0</v>
      </c>
      <c r="X95" s="75">
        <f t="shared" si="55"/>
        <v>0</v>
      </c>
      <c r="Y95" s="75">
        <f t="shared" si="55"/>
        <v>0</v>
      </c>
      <c r="Z95" s="75">
        <f t="shared" si="55"/>
        <v>0</v>
      </c>
      <c r="AA95" s="75">
        <f t="shared" si="55"/>
        <v>0</v>
      </c>
      <c r="AB95" s="75">
        <f t="shared" si="55"/>
        <v>0</v>
      </c>
      <c r="AC95" s="75">
        <f t="shared" si="55"/>
        <v>0</v>
      </c>
      <c r="AD95" s="75">
        <f t="shared" si="55"/>
        <v>0</v>
      </c>
      <c r="AE95" s="75">
        <f t="shared" si="55"/>
        <v>0</v>
      </c>
      <c r="AF95" s="75">
        <f t="shared" si="55"/>
        <v>0</v>
      </c>
      <c r="AG95" s="75">
        <f t="shared" si="55"/>
        <v>0</v>
      </c>
      <c r="AH95" s="75">
        <f t="shared" si="55"/>
        <v>0</v>
      </c>
      <c r="AI95" s="75">
        <f t="shared" si="55"/>
        <v>0</v>
      </c>
      <c r="AJ95" s="75">
        <f t="shared" si="55"/>
        <v>0</v>
      </c>
      <c r="AK95" s="75">
        <f t="shared" si="55"/>
        <v>0</v>
      </c>
      <c r="AL95" s="75">
        <f t="shared" si="55"/>
        <v>0</v>
      </c>
      <c r="AM95" s="75">
        <f t="shared" si="55"/>
        <v>0</v>
      </c>
      <c r="AN95" s="75">
        <f t="shared" si="55"/>
        <v>0</v>
      </c>
      <c r="AO95" s="75">
        <f t="shared" si="55"/>
        <v>0</v>
      </c>
      <c r="AP95" s="75">
        <f t="shared" si="55"/>
        <v>0</v>
      </c>
      <c r="AQ95" s="75">
        <f t="shared" si="55"/>
        <v>0</v>
      </c>
      <c r="AR95" s="75">
        <f t="shared" si="55"/>
        <v>0</v>
      </c>
      <c r="AS95" s="75">
        <f t="shared" si="55"/>
        <v>1</v>
      </c>
      <c r="AT95" s="75">
        <f t="shared" si="55"/>
        <v>0</v>
      </c>
      <c r="AU95" s="75">
        <f t="shared" si="55"/>
        <v>0</v>
      </c>
      <c r="AV95" s="75">
        <f t="shared" si="55"/>
        <v>0</v>
      </c>
      <c r="AW95" s="75">
        <f t="shared" si="55"/>
        <v>0</v>
      </c>
      <c r="AX95" s="75">
        <f t="shared" si="55"/>
        <v>0</v>
      </c>
      <c r="AY95" s="75">
        <f t="shared" si="55"/>
        <v>0</v>
      </c>
      <c r="AZ95" s="75">
        <f t="shared" si="55"/>
        <v>0</v>
      </c>
      <c r="BA95" s="75">
        <f t="shared" si="55"/>
        <v>0</v>
      </c>
      <c r="BB95" s="75">
        <f t="shared" si="55"/>
        <v>0</v>
      </c>
      <c r="BC95" s="75">
        <f t="shared" si="55"/>
        <v>0</v>
      </c>
      <c r="BD95" s="75">
        <f t="shared" si="55"/>
        <v>0</v>
      </c>
      <c r="BE95" s="75">
        <f t="shared" si="55"/>
        <v>0</v>
      </c>
      <c r="BF95" s="75">
        <f t="shared" si="55"/>
        <v>0</v>
      </c>
      <c r="BG95" s="75">
        <f t="shared" si="55"/>
        <v>0</v>
      </c>
      <c r="BH95" s="75">
        <f t="shared" si="55"/>
        <v>0</v>
      </c>
      <c r="BI95" s="75">
        <f t="shared" si="55"/>
        <v>0</v>
      </c>
      <c r="BJ95" s="75">
        <f t="shared" si="55"/>
        <v>0</v>
      </c>
      <c r="BK95" s="75">
        <f t="shared" si="55"/>
        <v>0</v>
      </c>
      <c r="BL95" s="75">
        <f t="shared" si="55"/>
        <v>0</v>
      </c>
      <c r="BM95" s="75">
        <f t="shared" si="55"/>
        <v>0</v>
      </c>
      <c r="BN95" s="75">
        <f t="shared" si="55"/>
        <v>0</v>
      </c>
      <c r="BO95" s="75">
        <f t="shared" si="55"/>
        <v>0</v>
      </c>
      <c r="BP95" s="75">
        <f t="shared" si="55"/>
        <v>0</v>
      </c>
      <c r="BQ95" s="75">
        <f t="shared" si="55"/>
        <v>0</v>
      </c>
      <c r="BR95" s="75">
        <f t="shared" si="55"/>
        <v>0</v>
      </c>
      <c r="BS95" s="75">
        <f t="shared" si="55"/>
        <v>0</v>
      </c>
      <c r="BT95" s="75">
        <f t="shared" si="55"/>
        <v>0</v>
      </c>
      <c r="BU95" s="75">
        <f t="shared" si="55"/>
        <v>0</v>
      </c>
      <c r="BV95" s="75">
        <f t="shared" si="55"/>
        <v>0</v>
      </c>
      <c r="BW95" s="75">
        <f t="shared" si="55"/>
        <v>0</v>
      </c>
      <c r="BX95" s="75">
        <f t="shared" si="55"/>
        <v>0</v>
      </c>
      <c r="BY95" s="75">
        <f t="shared" si="55"/>
        <v>0</v>
      </c>
      <c r="BZ95" s="75">
        <f t="shared" si="55"/>
        <v>0</v>
      </c>
      <c r="CA95" s="75">
        <f t="shared" si="55"/>
        <v>0</v>
      </c>
      <c r="CB95" s="75">
        <f t="shared" si="55"/>
        <v>0</v>
      </c>
      <c r="CC95" s="75">
        <f t="shared" si="55"/>
        <v>0</v>
      </c>
      <c r="CD95" s="75">
        <f t="shared" ref="CD95:DL102" si="56">IF($L95=0,0,(EOMONTH($D95,1)&lt;=CD$14)*(EOMONTH($D95,$L95)&gt;=CD$14)*1)</f>
        <v>0</v>
      </c>
      <c r="CE95" s="75">
        <f t="shared" si="56"/>
        <v>0</v>
      </c>
      <c r="CF95" s="75">
        <f t="shared" si="56"/>
        <v>0</v>
      </c>
      <c r="CG95" s="75">
        <f t="shared" si="56"/>
        <v>0</v>
      </c>
      <c r="CH95" s="75">
        <f t="shared" si="56"/>
        <v>0</v>
      </c>
      <c r="CI95" s="75">
        <f t="shared" si="56"/>
        <v>0</v>
      </c>
      <c r="CJ95" s="75">
        <f t="shared" si="56"/>
        <v>0</v>
      </c>
      <c r="CK95" s="75">
        <f t="shared" si="56"/>
        <v>0</v>
      </c>
      <c r="CL95" s="75">
        <f t="shared" si="56"/>
        <v>0</v>
      </c>
      <c r="CM95" s="75">
        <f t="shared" si="56"/>
        <v>0</v>
      </c>
      <c r="CN95" s="75">
        <f t="shared" si="56"/>
        <v>0</v>
      </c>
      <c r="CO95" s="75">
        <f t="shared" si="56"/>
        <v>0</v>
      </c>
      <c r="CP95" s="75">
        <f t="shared" si="56"/>
        <v>0</v>
      </c>
      <c r="CQ95" s="75">
        <f t="shared" si="56"/>
        <v>0</v>
      </c>
      <c r="CR95" s="75">
        <f t="shared" si="56"/>
        <v>0</v>
      </c>
      <c r="CS95" s="75">
        <f t="shared" si="56"/>
        <v>0</v>
      </c>
      <c r="CT95" s="75">
        <f t="shared" si="56"/>
        <v>0</v>
      </c>
      <c r="CU95" s="75">
        <f t="shared" si="56"/>
        <v>0</v>
      </c>
      <c r="CV95" s="75">
        <f t="shared" si="56"/>
        <v>0</v>
      </c>
      <c r="CW95" s="75">
        <f t="shared" si="56"/>
        <v>0</v>
      </c>
      <c r="CX95" s="75">
        <f t="shared" si="56"/>
        <v>0</v>
      </c>
      <c r="CY95" s="75">
        <f t="shared" si="56"/>
        <v>0</v>
      </c>
      <c r="CZ95" s="75">
        <f t="shared" si="56"/>
        <v>0</v>
      </c>
      <c r="DA95" s="75">
        <f t="shared" si="56"/>
        <v>0</v>
      </c>
      <c r="DB95" s="75">
        <f t="shared" si="56"/>
        <v>0</v>
      </c>
      <c r="DC95" s="75">
        <f t="shared" si="56"/>
        <v>0</v>
      </c>
      <c r="DD95" s="75">
        <f t="shared" si="56"/>
        <v>0</v>
      </c>
      <c r="DE95" s="75">
        <f t="shared" si="56"/>
        <v>0</v>
      </c>
      <c r="DF95" s="75">
        <f t="shared" si="56"/>
        <v>0</v>
      </c>
      <c r="DG95" s="75">
        <f t="shared" si="56"/>
        <v>0</v>
      </c>
      <c r="DH95" s="75">
        <f t="shared" si="56"/>
        <v>0</v>
      </c>
      <c r="DI95" s="75">
        <f t="shared" si="56"/>
        <v>0</v>
      </c>
      <c r="DJ95" s="75">
        <f t="shared" si="56"/>
        <v>0</v>
      </c>
      <c r="DK95" s="75">
        <f t="shared" si="56"/>
        <v>0</v>
      </c>
      <c r="DL95" s="75">
        <f t="shared" si="56"/>
        <v>0</v>
      </c>
    </row>
    <row r="96" spans="2:116">
      <c r="B96" s="27">
        <f>Rentroll!$C$47</f>
        <v>7</v>
      </c>
      <c r="C96" s="69" t="str">
        <f>VLOOKUP($B96,Rentroll!$C$37:$Z$60,3,FALSE)</f>
        <v>오케스트로</v>
      </c>
      <c r="D96" s="80">
        <f>VLOOKUP($B96,Rentroll!$C$37:$Z$60,9,FALSE)</f>
        <v>46477</v>
      </c>
      <c r="E96" s="80">
        <f>VLOOKUP($B96,Rentroll!$C$37:$Z$60,10,FALSE)</f>
        <v>48304</v>
      </c>
      <c r="F96" s="81">
        <f>VLOOKUP($B96,Rentroll!$C$37:$Z$60,11,FALSE)</f>
        <v>60</v>
      </c>
      <c r="G96" s="69">
        <f>VLOOKUP($B96,Rentroll!$C$37:$Z$60,13,FALSE)</f>
        <v>109272.7</v>
      </c>
      <c r="H96" s="69">
        <f>VLOOKUP($B96,Rentroll!$C$37:$Z$60,14,FALSE)</f>
        <v>100166.64166666666</v>
      </c>
      <c r="I96" s="69">
        <f>VLOOKUP($B96,Rentroll!$C$37:$Z$60,15,FALSE)</f>
        <v>47740.5</v>
      </c>
      <c r="J96" s="82">
        <f>VLOOKUP($B96,Rentroll!$C$37:$Z$60,19,FALSE)</f>
        <v>0.03</v>
      </c>
      <c r="K96" s="83">
        <f>VLOOKUP($B96,Rentroll!$C$37:$Z$60,4,FALSE)</f>
        <v>1385.09</v>
      </c>
      <c r="L96" s="81">
        <f>VLOOKUP($B96,Rentroll!$C$37:$Z$60,17,FALSE)</f>
        <v>1</v>
      </c>
      <c r="M96" s="84">
        <f>VLOOKUP($B96,Rentroll!$C$37:$Z$60,18,FALSE)</f>
        <v>1</v>
      </c>
      <c r="O96" s="74">
        <f t="shared" si="51"/>
        <v>7</v>
      </c>
      <c r="P96" s="75"/>
      <c r="Q96" s="75"/>
      <c r="R96" s="75">
        <f>IF($L96=0,0,(EOMONTH($D96,1)&lt;=R$14)*(EOMONTH($D96,$L96)&gt;=R$14)*1)</f>
        <v>0</v>
      </c>
      <c r="S96" s="75">
        <f t="shared" ref="S96:CC100" si="57">IF($L96=0,0,(EOMONTH($D96,1)&lt;=S$14)*(EOMONTH($D96,$L96)&gt;=S$14)*1)</f>
        <v>0</v>
      </c>
      <c r="T96" s="75">
        <f t="shared" si="57"/>
        <v>0</v>
      </c>
      <c r="U96" s="75">
        <f t="shared" si="57"/>
        <v>0</v>
      </c>
      <c r="V96" s="75">
        <f t="shared" si="57"/>
        <v>0</v>
      </c>
      <c r="W96" s="75">
        <f t="shared" si="57"/>
        <v>0</v>
      </c>
      <c r="X96" s="75">
        <f t="shared" si="57"/>
        <v>0</v>
      </c>
      <c r="Y96" s="75">
        <f t="shared" si="57"/>
        <v>0</v>
      </c>
      <c r="Z96" s="75">
        <f t="shared" si="57"/>
        <v>0</v>
      </c>
      <c r="AA96" s="75">
        <f t="shared" si="57"/>
        <v>0</v>
      </c>
      <c r="AB96" s="75">
        <f t="shared" si="57"/>
        <v>0</v>
      </c>
      <c r="AC96" s="75">
        <f t="shared" si="57"/>
        <v>0</v>
      </c>
      <c r="AD96" s="75">
        <f t="shared" si="57"/>
        <v>0</v>
      </c>
      <c r="AE96" s="75">
        <f t="shared" si="57"/>
        <v>0</v>
      </c>
      <c r="AF96" s="75">
        <f t="shared" si="57"/>
        <v>0</v>
      </c>
      <c r="AG96" s="75">
        <f t="shared" si="57"/>
        <v>0</v>
      </c>
      <c r="AH96" s="75">
        <f t="shared" si="57"/>
        <v>0</v>
      </c>
      <c r="AI96" s="75">
        <f t="shared" si="57"/>
        <v>0</v>
      </c>
      <c r="AJ96" s="75">
        <f t="shared" si="57"/>
        <v>0</v>
      </c>
      <c r="AK96" s="75">
        <f t="shared" si="57"/>
        <v>0</v>
      </c>
      <c r="AL96" s="75">
        <f t="shared" si="57"/>
        <v>0</v>
      </c>
      <c r="AM96" s="75">
        <f t="shared" si="57"/>
        <v>0</v>
      </c>
      <c r="AN96" s="75">
        <f t="shared" si="57"/>
        <v>0</v>
      </c>
      <c r="AO96" s="75">
        <f t="shared" si="57"/>
        <v>0</v>
      </c>
      <c r="AP96" s="75">
        <f t="shared" si="57"/>
        <v>0</v>
      </c>
      <c r="AQ96" s="75">
        <f t="shared" si="57"/>
        <v>0</v>
      </c>
      <c r="AR96" s="75">
        <f t="shared" si="57"/>
        <v>0</v>
      </c>
      <c r="AS96" s="75">
        <f t="shared" si="57"/>
        <v>1</v>
      </c>
      <c r="AT96" s="75">
        <f t="shared" si="57"/>
        <v>0</v>
      </c>
      <c r="AU96" s="75">
        <f t="shared" si="57"/>
        <v>0</v>
      </c>
      <c r="AV96" s="75">
        <f t="shared" si="57"/>
        <v>0</v>
      </c>
      <c r="AW96" s="75">
        <f t="shared" si="57"/>
        <v>0</v>
      </c>
      <c r="AX96" s="75">
        <f t="shared" si="57"/>
        <v>0</v>
      </c>
      <c r="AY96" s="75">
        <f t="shared" si="57"/>
        <v>0</v>
      </c>
      <c r="AZ96" s="75">
        <f t="shared" si="57"/>
        <v>0</v>
      </c>
      <c r="BA96" s="75">
        <f t="shared" si="57"/>
        <v>0</v>
      </c>
      <c r="BB96" s="75">
        <f t="shared" si="57"/>
        <v>0</v>
      </c>
      <c r="BC96" s="75">
        <f t="shared" si="57"/>
        <v>0</v>
      </c>
      <c r="BD96" s="75">
        <f t="shared" si="57"/>
        <v>0</v>
      </c>
      <c r="BE96" s="75">
        <f t="shared" si="57"/>
        <v>0</v>
      </c>
      <c r="BF96" s="75">
        <f t="shared" si="57"/>
        <v>0</v>
      </c>
      <c r="BG96" s="75">
        <f t="shared" si="57"/>
        <v>0</v>
      </c>
      <c r="BH96" s="75">
        <f t="shared" si="57"/>
        <v>0</v>
      </c>
      <c r="BI96" s="75">
        <f t="shared" si="57"/>
        <v>0</v>
      </c>
      <c r="BJ96" s="75">
        <f t="shared" si="57"/>
        <v>0</v>
      </c>
      <c r="BK96" s="75">
        <f t="shared" si="57"/>
        <v>0</v>
      </c>
      <c r="BL96" s="75">
        <f t="shared" si="57"/>
        <v>0</v>
      </c>
      <c r="BM96" s="75">
        <f t="shared" si="57"/>
        <v>0</v>
      </c>
      <c r="BN96" s="75">
        <f t="shared" si="57"/>
        <v>0</v>
      </c>
      <c r="BO96" s="75">
        <f t="shared" si="57"/>
        <v>0</v>
      </c>
      <c r="BP96" s="75">
        <f t="shared" si="57"/>
        <v>0</v>
      </c>
      <c r="BQ96" s="75">
        <f t="shared" si="57"/>
        <v>0</v>
      </c>
      <c r="BR96" s="75">
        <f t="shared" si="57"/>
        <v>0</v>
      </c>
      <c r="BS96" s="75">
        <f t="shared" si="57"/>
        <v>0</v>
      </c>
      <c r="BT96" s="75">
        <f t="shared" si="57"/>
        <v>0</v>
      </c>
      <c r="BU96" s="75">
        <f t="shared" si="57"/>
        <v>0</v>
      </c>
      <c r="BV96" s="75">
        <f t="shared" si="57"/>
        <v>0</v>
      </c>
      <c r="BW96" s="75">
        <f t="shared" si="57"/>
        <v>0</v>
      </c>
      <c r="BX96" s="75">
        <f t="shared" si="57"/>
        <v>0</v>
      </c>
      <c r="BY96" s="75">
        <f t="shared" si="57"/>
        <v>0</v>
      </c>
      <c r="BZ96" s="75">
        <f t="shared" si="57"/>
        <v>0</v>
      </c>
      <c r="CA96" s="75">
        <f t="shared" si="57"/>
        <v>0</v>
      </c>
      <c r="CB96" s="75">
        <f t="shared" si="57"/>
        <v>0</v>
      </c>
      <c r="CC96" s="75">
        <f t="shared" si="57"/>
        <v>0</v>
      </c>
      <c r="CD96" s="75">
        <f t="shared" si="56"/>
        <v>0</v>
      </c>
      <c r="CE96" s="75">
        <f t="shared" si="56"/>
        <v>0</v>
      </c>
      <c r="CF96" s="75">
        <f t="shared" si="56"/>
        <v>0</v>
      </c>
      <c r="CG96" s="75">
        <f t="shared" si="56"/>
        <v>0</v>
      </c>
      <c r="CH96" s="75">
        <f t="shared" si="56"/>
        <v>0</v>
      </c>
      <c r="CI96" s="75">
        <f t="shared" si="56"/>
        <v>0</v>
      </c>
      <c r="CJ96" s="75">
        <f t="shared" si="56"/>
        <v>0</v>
      </c>
      <c r="CK96" s="75">
        <f t="shared" si="56"/>
        <v>0</v>
      </c>
      <c r="CL96" s="75">
        <f t="shared" si="56"/>
        <v>0</v>
      </c>
      <c r="CM96" s="75">
        <f t="shared" si="56"/>
        <v>0</v>
      </c>
      <c r="CN96" s="75">
        <f t="shared" si="56"/>
        <v>0</v>
      </c>
      <c r="CO96" s="75">
        <f t="shared" si="56"/>
        <v>0</v>
      </c>
      <c r="CP96" s="75">
        <f t="shared" si="56"/>
        <v>0</v>
      </c>
      <c r="CQ96" s="75">
        <f t="shared" si="56"/>
        <v>0</v>
      </c>
      <c r="CR96" s="75">
        <f t="shared" si="56"/>
        <v>0</v>
      </c>
      <c r="CS96" s="75">
        <f t="shared" si="56"/>
        <v>0</v>
      </c>
      <c r="CT96" s="75">
        <f t="shared" si="56"/>
        <v>0</v>
      </c>
      <c r="CU96" s="75">
        <f t="shared" si="56"/>
        <v>0</v>
      </c>
      <c r="CV96" s="75">
        <f t="shared" si="56"/>
        <v>0</v>
      </c>
      <c r="CW96" s="75">
        <f t="shared" si="56"/>
        <v>0</v>
      </c>
      <c r="CX96" s="75">
        <f t="shared" si="56"/>
        <v>0</v>
      </c>
      <c r="CY96" s="75">
        <f t="shared" si="56"/>
        <v>0</v>
      </c>
      <c r="CZ96" s="75">
        <f t="shared" si="56"/>
        <v>0</v>
      </c>
      <c r="DA96" s="75">
        <f t="shared" si="56"/>
        <v>0</v>
      </c>
      <c r="DB96" s="75">
        <f t="shared" si="56"/>
        <v>0</v>
      </c>
      <c r="DC96" s="75">
        <f t="shared" si="56"/>
        <v>0</v>
      </c>
      <c r="DD96" s="75">
        <f t="shared" si="56"/>
        <v>0</v>
      </c>
      <c r="DE96" s="75">
        <f t="shared" si="56"/>
        <v>0</v>
      </c>
      <c r="DF96" s="75">
        <f t="shared" si="56"/>
        <v>0</v>
      </c>
      <c r="DG96" s="75">
        <f t="shared" si="56"/>
        <v>0</v>
      </c>
      <c r="DH96" s="75">
        <f t="shared" si="56"/>
        <v>0</v>
      </c>
      <c r="DI96" s="75">
        <f t="shared" si="56"/>
        <v>0</v>
      </c>
      <c r="DJ96" s="75">
        <f t="shared" si="56"/>
        <v>0</v>
      </c>
      <c r="DK96" s="75">
        <f t="shared" si="56"/>
        <v>0</v>
      </c>
      <c r="DL96" s="75">
        <f t="shared" si="56"/>
        <v>0</v>
      </c>
    </row>
    <row r="97" spans="2:116">
      <c r="B97" s="27">
        <f>Rentroll!$C$48</f>
        <v>6</v>
      </c>
      <c r="C97" s="69" t="str">
        <f>VLOOKUP($B97,Rentroll!$C$37:$Z$60,3,FALSE)</f>
        <v>오케스트로</v>
      </c>
      <c r="D97" s="80">
        <f>VLOOKUP($B97,Rentroll!$C$37:$Z$60,9,FALSE)</f>
        <v>46477</v>
      </c>
      <c r="E97" s="80">
        <f>VLOOKUP($B97,Rentroll!$C$37:$Z$60,10,FALSE)</f>
        <v>48304</v>
      </c>
      <c r="F97" s="81">
        <f>VLOOKUP($B97,Rentroll!$C$37:$Z$60,11,FALSE)</f>
        <v>60</v>
      </c>
      <c r="G97" s="69">
        <f>VLOOKUP($B97,Rentroll!$C$37:$Z$60,13,FALSE)</f>
        <v>109272.7</v>
      </c>
      <c r="H97" s="69">
        <f>VLOOKUP($B97,Rentroll!$C$37:$Z$60,14,FALSE)</f>
        <v>100166.64166666666</v>
      </c>
      <c r="I97" s="69">
        <f>VLOOKUP($B97,Rentroll!$C$37:$Z$60,15,FALSE)</f>
        <v>47740.5</v>
      </c>
      <c r="J97" s="82">
        <f>VLOOKUP($B97,Rentroll!$C$37:$Z$60,19,FALSE)</f>
        <v>0.03</v>
      </c>
      <c r="K97" s="83">
        <f>VLOOKUP($B97,Rentroll!$C$37:$Z$60,4,FALSE)</f>
        <v>1385.09</v>
      </c>
      <c r="L97" s="81">
        <f>VLOOKUP($B97,Rentroll!$C$37:$Z$60,17,FALSE)</f>
        <v>1</v>
      </c>
      <c r="M97" s="84">
        <f>VLOOKUP($B97,Rentroll!$C$37:$Z$60,18,FALSE)</f>
        <v>1</v>
      </c>
      <c r="O97" s="74">
        <f t="shared" si="51"/>
        <v>6</v>
      </c>
      <c r="P97" s="75"/>
      <c r="Q97" s="75"/>
      <c r="R97" s="75">
        <f t="shared" si="52"/>
        <v>0</v>
      </c>
      <c r="S97" s="75">
        <f t="shared" si="57"/>
        <v>0</v>
      </c>
      <c r="T97" s="75">
        <f t="shared" si="57"/>
        <v>0</v>
      </c>
      <c r="U97" s="75">
        <f t="shared" si="57"/>
        <v>0</v>
      </c>
      <c r="V97" s="75">
        <f t="shared" si="57"/>
        <v>0</v>
      </c>
      <c r="W97" s="75">
        <f t="shared" si="57"/>
        <v>0</v>
      </c>
      <c r="X97" s="75">
        <f t="shared" si="57"/>
        <v>0</v>
      </c>
      <c r="Y97" s="75">
        <f t="shared" si="57"/>
        <v>0</v>
      </c>
      <c r="Z97" s="75">
        <f t="shared" si="57"/>
        <v>0</v>
      </c>
      <c r="AA97" s="75">
        <f t="shared" si="57"/>
        <v>0</v>
      </c>
      <c r="AB97" s="75">
        <f t="shared" si="57"/>
        <v>0</v>
      </c>
      <c r="AC97" s="75">
        <f t="shared" si="57"/>
        <v>0</v>
      </c>
      <c r="AD97" s="75">
        <f t="shared" si="57"/>
        <v>0</v>
      </c>
      <c r="AE97" s="75">
        <f t="shared" si="57"/>
        <v>0</v>
      </c>
      <c r="AF97" s="75">
        <f t="shared" si="57"/>
        <v>0</v>
      </c>
      <c r="AG97" s="75">
        <f t="shared" si="57"/>
        <v>0</v>
      </c>
      <c r="AH97" s="75">
        <f t="shared" si="57"/>
        <v>0</v>
      </c>
      <c r="AI97" s="75">
        <f t="shared" si="57"/>
        <v>0</v>
      </c>
      <c r="AJ97" s="75">
        <f t="shared" si="57"/>
        <v>0</v>
      </c>
      <c r="AK97" s="75">
        <f t="shared" si="57"/>
        <v>0</v>
      </c>
      <c r="AL97" s="75">
        <f t="shared" si="57"/>
        <v>0</v>
      </c>
      <c r="AM97" s="75">
        <f t="shared" si="57"/>
        <v>0</v>
      </c>
      <c r="AN97" s="75">
        <f t="shared" si="57"/>
        <v>0</v>
      </c>
      <c r="AO97" s="75">
        <f t="shared" si="57"/>
        <v>0</v>
      </c>
      <c r="AP97" s="75">
        <f t="shared" si="57"/>
        <v>0</v>
      </c>
      <c r="AQ97" s="75">
        <f t="shared" si="57"/>
        <v>0</v>
      </c>
      <c r="AR97" s="75">
        <f t="shared" si="57"/>
        <v>0</v>
      </c>
      <c r="AS97" s="75">
        <f t="shared" si="57"/>
        <v>1</v>
      </c>
      <c r="AT97" s="75">
        <f t="shared" si="57"/>
        <v>0</v>
      </c>
      <c r="AU97" s="75">
        <f t="shared" si="57"/>
        <v>0</v>
      </c>
      <c r="AV97" s="75">
        <f t="shared" si="57"/>
        <v>0</v>
      </c>
      <c r="AW97" s="75">
        <f t="shared" si="57"/>
        <v>0</v>
      </c>
      <c r="AX97" s="75">
        <f t="shared" si="57"/>
        <v>0</v>
      </c>
      <c r="AY97" s="75">
        <f t="shared" si="57"/>
        <v>0</v>
      </c>
      <c r="AZ97" s="75">
        <f t="shared" si="57"/>
        <v>0</v>
      </c>
      <c r="BA97" s="75">
        <f t="shared" si="57"/>
        <v>0</v>
      </c>
      <c r="BB97" s="75">
        <f t="shared" si="57"/>
        <v>0</v>
      </c>
      <c r="BC97" s="75">
        <f t="shared" si="57"/>
        <v>0</v>
      </c>
      <c r="BD97" s="75">
        <f t="shared" si="57"/>
        <v>0</v>
      </c>
      <c r="BE97" s="75">
        <f t="shared" si="57"/>
        <v>0</v>
      </c>
      <c r="BF97" s="75">
        <f t="shared" si="57"/>
        <v>0</v>
      </c>
      <c r="BG97" s="75">
        <f t="shared" si="57"/>
        <v>0</v>
      </c>
      <c r="BH97" s="75">
        <f t="shared" si="57"/>
        <v>0</v>
      </c>
      <c r="BI97" s="75">
        <f t="shared" si="57"/>
        <v>0</v>
      </c>
      <c r="BJ97" s="75">
        <f t="shared" si="57"/>
        <v>0</v>
      </c>
      <c r="BK97" s="75">
        <f t="shared" si="57"/>
        <v>0</v>
      </c>
      <c r="BL97" s="75">
        <f t="shared" si="57"/>
        <v>0</v>
      </c>
      <c r="BM97" s="75">
        <f t="shared" si="57"/>
        <v>0</v>
      </c>
      <c r="BN97" s="75">
        <f t="shared" si="57"/>
        <v>0</v>
      </c>
      <c r="BO97" s="75">
        <f t="shared" si="57"/>
        <v>0</v>
      </c>
      <c r="BP97" s="75">
        <f t="shared" si="57"/>
        <v>0</v>
      </c>
      <c r="BQ97" s="75">
        <f t="shared" si="57"/>
        <v>0</v>
      </c>
      <c r="BR97" s="75">
        <f t="shared" si="57"/>
        <v>0</v>
      </c>
      <c r="BS97" s="75">
        <f t="shared" si="57"/>
        <v>0</v>
      </c>
      <c r="BT97" s="75">
        <f t="shared" si="57"/>
        <v>0</v>
      </c>
      <c r="BU97" s="75">
        <f t="shared" si="57"/>
        <v>0</v>
      </c>
      <c r="BV97" s="75">
        <f t="shared" si="57"/>
        <v>0</v>
      </c>
      <c r="BW97" s="75">
        <f t="shared" si="57"/>
        <v>0</v>
      </c>
      <c r="BX97" s="75">
        <f t="shared" si="57"/>
        <v>0</v>
      </c>
      <c r="BY97" s="75">
        <f t="shared" si="57"/>
        <v>0</v>
      </c>
      <c r="BZ97" s="75">
        <f t="shared" si="57"/>
        <v>0</v>
      </c>
      <c r="CA97" s="75">
        <f t="shared" si="57"/>
        <v>0</v>
      </c>
      <c r="CB97" s="75">
        <f t="shared" si="57"/>
        <v>0</v>
      </c>
      <c r="CC97" s="75">
        <f t="shared" si="57"/>
        <v>0</v>
      </c>
      <c r="CD97" s="75">
        <f t="shared" si="56"/>
        <v>0</v>
      </c>
      <c r="CE97" s="75">
        <f t="shared" si="56"/>
        <v>0</v>
      </c>
      <c r="CF97" s="75">
        <f t="shared" si="56"/>
        <v>0</v>
      </c>
      <c r="CG97" s="75">
        <f t="shared" si="56"/>
        <v>0</v>
      </c>
      <c r="CH97" s="75">
        <f t="shared" si="56"/>
        <v>0</v>
      </c>
      <c r="CI97" s="75">
        <f t="shared" si="56"/>
        <v>0</v>
      </c>
      <c r="CJ97" s="75">
        <f t="shared" si="56"/>
        <v>0</v>
      </c>
      <c r="CK97" s="75">
        <f t="shared" si="56"/>
        <v>0</v>
      </c>
      <c r="CL97" s="75">
        <f t="shared" si="56"/>
        <v>0</v>
      </c>
      <c r="CM97" s="75">
        <f t="shared" si="56"/>
        <v>0</v>
      </c>
      <c r="CN97" s="75">
        <f t="shared" si="56"/>
        <v>0</v>
      </c>
      <c r="CO97" s="75">
        <f t="shared" si="56"/>
        <v>0</v>
      </c>
      <c r="CP97" s="75">
        <f t="shared" si="56"/>
        <v>0</v>
      </c>
      <c r="CQ97" s="75">
        <f t="shared" si="56"/>
        <v>0</v>
      </c>
      <c r="CR97" s="75">
        <f t="shared" si="56"/>
        <v>0</v>
      </c>
      <c r="CS97" s="75">
        <f t="shared" si="56"/>
        <v>0</v>
      </c>
      <c r="CT97" s="75">
        <f t="shared" si="56"/>
        <v>0</v>
      </c>
      <c r="CU97" s="75">
        <f t="shared" si="56"/>
        <v>0</v>
      </c>
      <c r="CV97" s="75">
        <f t="shared" si="56"/>
        <v>0</v>
      </c>
      <c r="CW97" s="75">
        <f t="shared" si="56"/>
        <v>0</v>
      </c>
      <c r="CX97" s="75">
        <f t="shared" si="56"/>
        <v>0</v>
      </c>
      <c r="CY97" s="75">
        <f t="shared" si="56"/>
        <v>0</v>
      </c>
      <c r="CZ97" s="75">
        <f t="shared" si="56"/>
        <v>0</v>
      </c>
      <c r="DA97" s="75">
        <f t="shared" si="56"/>
        <v>0</v>
      </c>
      <c r="DB97" s="75">
        <f t="shared" si="56"/>
        <v>0</v>
      </c>
      <c r="DC97" s="75">
        <f t="shared" si="56"/>
        <v>0</v>
      </c>
      <c r="DD97" s="75">
        <f t="shared" si="56"/>
        <v>0</v>
      </c>
      <c r="DE97" s="75">
        <f t="shared" si="56"/>
        <v>0</v>
      </c>
      <c r="DF97" s="75">
        <f t="shared" si="56"/>
        <v>0</v>
      </c>
      <c r="DG97" s="75">
        <f t="shared" si="56"/>
        <v>0</v>
      </c>
      <c r="DH97" s="75">
        <f t="shared" si="56"/>
        <v>0</v>
      </c>
      <c r="DI97" s="75">
        <f t="shared" si="56"/>
        <v>0</v>
      </c>
      <c r="DJ97" s="75">
        <f t="shared" si="56"/>
        <v>0</v>
      </c>
      <c r="DK97" s="75">
        <f t="shared" si="56"/>
        <v>0</v>
      </c>
      <c r="DL97" s="75">
        <f t="shared" si="56"/>
        <v>0</v>
      </c>
    </row>
    <row r="98" spans="2:116">
      <c r="B98" s="27">
        <f>Rentroll!$C$49</f>
        <v>5</v>
      </c>
      <c r="C98" s="69" t="str">
        <f>VLOOKUP($B98,Rentroll!$C$37:$Z$60,3,FALSE)</f>
        <v>타이거로켓</v>
      </c>
      <c r="D98" s="80">
        <f>VLOOKUP($B98,Rentroll!$C$37:$Z$60,9,FALSE)</f>
        <v>45688</v>
      </c>
      <c r="E98" s="80">
        <f>VLOOKUP($B98,Rentroll!$C$37:$Z$60,10,FALSE)</f>
        <v>47514</v>
      </c>
      <c r="F98" s="81">
        <f>VLOOKUP($B98,Rentroll!$C$37:$Z$60,11,FALSE)</f>
        <v>60</v>
      </c>
      <c r="G98" s="69">
        <f>VLOOKUP($B98,Rentroll!$C$37:$Z$60,13,FALSE)</f>
        <v>103000</v>
      </c>
      <c r="H98" s="69">
        <f>VLOOKUP($B98,Rentroll!$C$37:$Z$60,14,FALSE)</f>
        <v>90125</v>
      </c>
      <c r="I98" s="69">
        <f>VLOOKUP($B98,Rentroll!$C$37:$Z$60,15,FALSE)</f>
        <v>45000</v>
      </c>
      <c r="J98" s="82">
        <f>VLOOKUP($B98,Rentroll!$C$37:$Z$60,19,FALSE)</f>
        <v>0.03</v>
      </c>
      <c r="K98" s="83">
        <f>VLOOKUP($B98,Rentroll!$C$37:$Z$60,4,FALSE)</f>
        <v>1385.09</v>
      </c>
      <c r="L98" s="81">
        <f>VLOOKUP($B98,Rentroll!$C$37:$Z$60,17,FALSE)</f>
        <v>1</v>
      </c>
      <c r="M98" s="84">
        <f>VLOOKUP($B98,Rentroll!$C$37:$Z$60,18,FALSE)</f>
        <v>1.5</v>
      </c>
      <c r="O98" s="74">
        <f t="shared" si="51"/>
        <v>5</v>
      </c>
      <c r="P98" s="75"/>
      <c r="Q98" s="75"/>
      <c r="R98" s="75">
        <f t="shared" si="52"/>
        <v>0</v>
      </c>
      <c r="S98" s="75">
        <f t="shared" si="57"/>
        <v>1</v>
      </c>
      <c r="T98" s="75">
        <f t="shared" si="57"/>
        <v>0</v>
      </c>
      <c r="U98" s="75">
        <f t="shared" si="57"/>
        <v>0</v>
      </c>
      <c r="V98" s="75">
        <f t="shared" si="57"/>
        <v>0</v>
      </c>
      <c r="W98" s="75">
        <f t="shared" si="57"/>
        <v>0</v>
      </c>
      <c r="X98" s="75">
        <f t="shared" si="57"/>
        <v>0</v>
      </c>
      <c r="Y98" s="75">
        <f t="shared" si="57"/>
        <v>0</v>
      </c>
      <c r="Z98" s="75">
        <f t="shared" si="57"/>
        <v>0</v>
      </c>
      <c r="AA98" s="75">
        <f t="shared" si="57"/>
        <v>0</v>
      </c>
      <c r="AB98" s="75">
        <f t="shared" si="57"/>
        <v>0</v>
      </c>
      <c r="AC98" s="75">
        <f t="shared" si="57"/>
        <v>0</v>
      </c>
      <c r="AD98" s="75">
        <f t="shared" si="57"/>
        <v>0</v>
      </c>
      <c r="AE98" s="75">
        <f t="shared" si="57"/>
        <v>0</v>
      </c>
      <c r="AF98" s="75">
        <f t="shared" si="57"/>
        <v>0</v>
      </c>
      <c r="AG98" s="75">
        <f t="shared" si="57"/>
        <v>0</v>
      </c>
      <c r="AH98" s="75">
        <f t="shared" si="57"/>
        <v>0</v>
      </c>
      <c r="AI98" s="75">
        <f t="shared" si="57"/>
        <v>0</v>
      </c>
      <c r="AJ98" s="75">
        <f t="shared" si="57"/>
        <v>0</v>
      </c>
      <c r="AK98" s="75">
        <f t="shared" si="57"/>
        <v>0</v>
      </c>
      <c r="AL98" s="75">
        <f t="shared" si="57"/>
        <v>0</v>
      </c>
      <c r="AM98" s="75">
        <f t="shared" si="57"/>
        <v>0</v>
      </c>
      <c r="AN98" s="75">
        <f t="shared" si="57"/>
        <v>0</v>
      </c>
      <c r="AO98" s="75">
        <f t="shared" si="57"/>
        <v>0</v>
      </c>
      <c r="AP98" s="75">
        <f t="shared" si="57"/>
        <v>0</v>
      </c>
      <c r="AQ98" s="75">
        <f t="shared" si="57"/>
        <v>0</v>
      </c>
      <c r="AR98" s="75">
        <f t="shared" si="57"/>
        <v>0</v>
      </c>
      <c r="AS98" s="75">
        <f t="shared" si="57"/>
        <v>0</v>
      </c>
      <c r="AT98" s="75">
        <f t="shared" si="57"/>
        <v>0</v>
      </c>
      <c r="AU98" s="75">
        <f t="shared" si="57"/>
        <v>0</v>
      </c>
      <c r="AV98" s="75">
        <f t="shared" si="57"/>
        <v>0</v>
      </c>
      <c r="AW98" s="75">
        <f t="shared" si="57"/>
        <v>0</v>
      </c>
      <c r="AX98" s="75">
        <f t="shared" si="57"/>
        <v>0</v>
      </c>
      <c r="AY98" s="75">
        <f t="shared" si="57"/>
        <v>0</v>
      </c>
      <c r="AZ98" s="75">
        <f t="shared" si="57"/>
        <v>0</v>
      </c>
      <c r="BA98" s="75">
        <f t="shared" si="57"/>
        <v>0</v>
      </c>
      <c r="BB98" s="75">
        <f t="shared" si="57"/>
        <v>0</v>
      </c>
      <c r="BC98" s="75">
        <f t="shared" si="57"/>
        <v>0</v>
      </c>
      <c r="BD98" s="75">
        <f t="shared" si="57"/>
        <v>0</v>
      </c>
      <c r="BE98" s="75">
        <f t="shared" si="57"/>
        <v>0</v>
      </c>
      <c r="BF98" s="75">
        <f t="shared" si="57"/>
        <v>0</v>
      </c>
      <c r="BG98" s="75">
        <f t="shared" si="57"/>
        <v>0</v>
      </c>
      <c r="BH98" s="75">
        <f t="shared" si="57"/>
        <v>0</v>
      </c>
      <c r="BI98" s="75">
        <f t="shared" si="57"/>
        <v>0</v>
      </c>
      <c r="BJ98" s="75">
        <f t="shared" si="57"/>
        <v>0</v>
      </c>
      <c r="BK98" s="75">
        <f t="shared" si="57"/>
        <v>0</v>
      </c>
      <c r="BL98" s="75">
        <f t="shared" si="57"/>
        <v>0</v>
      </c>
      <c r="BM98" s="75">
        <f t="shared" si="57"/>
        <v>0</v>
      </c>
      <c r="BN98" s="75">
        <f t="shared" si="57"/>
        <v>0</v>
      </c>
      <c r="BO98" s="75">
        <f t="shared" si="57"/>
        <v>0</v>
      </c>
      <c r="BP98" s="75">
        <f t="shared" si="57"/>
        <v>0</v>
      </c>
      <c r="BQ98" s="75">
        <f t="shared" si="57"/>
        <v>0</v>
      </c>
      <c r="BR98" s="75">
        <f t="shared" si="57"/>
        <v>0</v>
      </c>
      <c r="BS98" s="75">
        <f t="shared" si="57"/>
        <v>0</v>
      </c>
      <c r="BT98" s="75">
        <f t="shared" si="57"/>
        <v>0</v>
      </c>
      <c r="BU98" s="75">
        <f t="shared" si="57"/>
        <v>0</v>
      </c>
      <c r="BV98" s="75">
        <f t="shared" si="57"/>
        <v>0</v>
      </c>
      <c r="BW98" s="75">
        <f t="shared" si="57"/>
        <v>0</v>
      </c>
      <c r="BX98" s="75">
        <f t="shared" si="57"/>
        <v>0</v>
      </c>
      <c r="BY98" s="75">
        <f t="shared" si="57"/>
        <v>0</v>
      </c>
      <c r="BZ98" s="75">
        <f t="shared" si="57"/>
        <v>0</v>
      </c>
      <c r="CA98" s="75">
        <f t="shared" si="57"/>
        <v>0</v>
      </c>
      <c r="CB98" s="75">
        <f t="shared" si="57"/>
        <v>0</v>
      </c>
      <c r="CC98" s="75">
        <f t="shared" si="57"/>
        <v>0</v>
      </c>
      <c r="CD98" s="75">
        <f t="shared" si="56"/>
        <v>0</v>
      </c>
      <c r="CE98" s="75">
        <f t="shared" si="56"/>
        <v>0</v>
      </c>
      <c r="CF98" s="75">
        <f t="shared" si="56"/>
        <v>0</v>
      </c>
      <c r="CG98" s="75">
        <f t="shared" si="56"/>
        <v>0</v>
      </c>
      <c r="CH98" s="75">
        <f t="shared" si="56"/>
        <v>0</v>
      </c>
      <c r="CI98" s="75">
        <f t="shared" si="56"/>
        <v>0</v>
      </c>
      <c r="CJ98" s="75">
        <f t="shared" si="56"/>
        <v>0</v>
      </c>
      <c r="CK98" s="75">
        <f t="shared" si="56"/>
        <v>0</v>
      </c>
      <c r="CL98" s="75">
        <f t="shared" si="56"/>
        <v>0</v>
      </c>
      <c r="CM98" s="75">
        <f t="shared" si="56"/>
        <v>0</v>
      </c>
      <c r="CN98" s="75">
        <f t="shared" si="56"/>
        <v>0</v>
      </c>
      <c r="CO98" s="75">
        <f t="shared" si="56"/>
        <v>0</v>
      </c>
      <c r="CP98" s="75">
        <f t="shared" si="56"/>
        <v>0</v>
      </c>
      <c r="CQ98" s="75">
        <f t="shared" si="56"/>
        <v>0</v>
      </c>
      <c r="CR98" s="75">
        <f t="shared" si="56"/>
        <v>0</v>
      </c>
      <c r="CS98" s="75">
        <f t="shared" si="56"/>
        <v>0</v>
      </c>
      <c r="CT98" s="75">
        <f t="shared" si="56"/>
        <v>0</v>
      </c>
      <c r="CU98" s="75">
        <f t="shared" si="56"/>
        <v>0</v>
      </c>
      <c r="CV98" s="75">
        <f t="shared" si="56"/>
        <v>0</v>
      </c>
      <c r="CW98" s="75">
        <f t="shared" si="56"/>
        <v>0</v>
      </c>
      <c r="CX98" s="75">
        <f t="shared" si="56"/>
        <v>0</v>
      </c>
      <c r="CY98" s="75">
        <f t="shared" si="56"/>
        <v>0</v>
      </c>
      <c r="CZ98" s="75">
        <f t="shared" si="56"/>
        <v>0</v>
      </c>
      <c r="DA98" s="75">
        <f t="shared" si="56"/>
        <v>0</v>
      </c>
      <c r="DB98" s="75">
        <f t="shared" si="56"/>
        <v>0</v>
      </c>
      <c r="DC98" s="75">
        <f t="shared" si="56"/>
        <v>0</v>
      </c>
      <c r="DD98" s="75">
        <f t="shared" si="56"/>
        <v>0</v>
      </c>
      <c r="DE98" s="75">
        <f t="shared" si="56"/>
        <v>0</v>
      </c>
      <c r="DF98" s="75">
        <f t="shared" si="56"/>
        <v>0</v>
      </c>
      <c r="DG98" s="75">
        <f t="shared" si="56"/>
        <v>0</v>
      </c>
      <c r="DH98" s="75">
        <f t="shared" si="56"/>
        <v>0</v>
      </c>
      <c r="DI98" s="75">
        <f t="shared" si="56"/>
        <v>0</v>
      </c>
      <c r="DJ98" s="75">
        <f t="shared" si="56"/>
        <v>0</v>
      </c>
      <c r="DK98" s="75">
        <f t="shared" si="56"/>
        <v>0</v>
      </c>
      <c r="DL98" s="75">
        <f t="shared" si="56"/>
        <v>0</v>
      </c>
    </row>
    <row r="99" spans="2:116">
      <c r="B99" s="27">
        <f>Rentroll!$C$50</f>
        <v>4</v>
      </c>
      <c r="C99" s="69" t="str">
        <f>VLOOKUP($B99,Rentroll!$C$37:$Z$60,3,FALSE)</f>
        <v>타이거로켓</v>
      </c>
      <c r="D99" s="80">
        <f>VLOOKUP($B99,Rentroll!$C$37:$Z$60,9,FALSE)</f>
        <v>45688</v>
      </c>
      <c r="E99" s="80">
        <f>VLOOKUP($B99,Rentroll!$C$37:$Z$60,10,FALSE)</f>
        <v>47514</v>
      </c>
      <c r="F99" s="81">
        <f>VLOOKUP($B99,Rentroll!$C$37:$Z$60,11,FALSE)</f>
        <v>60</v>
      </c>
      <c r="G99" s="69">
        <f>VLOOKUP($B99,Rentroll!$C$37:$Z$60,13,FALSE)</f>
        <v>103000</v>
      </c>
      <c r="H99" s="69">
        <f>VLOOKUP($B99,Rentroll!$C$37:$Z$60,14,FALSE)</f>
        <v>90125</v>
      </c>
      <c r="I99" s="69">
        <f>VLOOKUP($B99,Rentroll!$C$37:$Z$60,15,FALSE)</f>
        <v>45000</v>
      </c>
      <c r="J99" s="82">
        <f>VLOOKUP($B99,Rentroll!$C$37:$Z$60,19,FALSE)</f>
        <v>0.03</v>
      </c>
      <c r="K99" s="83">
        <f>VLOOKUP($B99,Rentroll!$C$37:$Z$60,4,FALSE)</f>
        <v>1385.09</v>
      </c>
      <c r="L99" s="81">
        <f>VLOOKUP($B99,Rentroll!$C$37:$Z$60,17,FALSE)</f>
        <v>1</v>
      </c>
      <c r="M99" s="84">
        <f>VLOOKUP($B99,Rentroll!$C$37:$Z$60,18,FALSE)</f>
        <v>1.5</v>
      </c>
      <c r="O99" s="74">
        <f t="shared" si="51"/>
        <v>4</v>
      </c>
      <c r="P99" s="75"/>
      <c r="Q99" s="75"/>
      <c r="R99" s="75">
        <f t="shared" si="52"/>
        <v>0</v>
      </c>
      <c r="S99" s="75">
        <f t="shared" si="57"/>
        <v>1</v>
      </c>
      <c r="T99" s="75">
        <f t="shared" si="57"/>
        <v>0</v>
      </c>
      <c r="U99" s="75">
        <f t="shared" si="57"/>
        <v>0</v>
      </c>
      <c r="V99" s="75">
        <f t="shared" si="57"/>
        <v>0</v>
      </c>
      <c r="W99" s="75">
        <f t="shared" si="57"/>
        <v>0</v>
      </c>
      <c r="X99" s="75">
        <f t="shared" si="57"/>
        <v>0</v>
      </c>
      <c r="Y99" s="75">
        <f t="shared" si="57"/>
        <v>0</v>
      </c>
      <c r="Z99" s="75">
        <f t="shared" si="57"/>
        <v>0</v>
      </c>
      <c r="AA99" s="75">
        <f t="shared" si="57"/>
        <v>0</v>
      </c>
      <c r="AB99" s="75">
        <f t="shared" si="57"/>
        <v>0</v>
      </c>
      <c r="AC99" s="75">
        <f t="shared" si="57"/>
        <v>0</v>
      </c>
      <c r="AD99" s="75">
        <f t="shared" si="57"/>
        <v>0</v>
      </c>
      <c r="AE99" s="75">
        <f t="shared" si="57"/>
        <v>0</v>
      </c>
      <c r="AF99" s="75">
        <f t="shared" si="57"/>
        <v>0</v>
      </c>
      <c r="AG99" s="75">
        <f t="shared" si="57"/>
        <v>0</v>
      </c>
      <c r="AH99" s="75">
        <f t="shared" si="57"/>
        <v>0</v>
      </c>
      <c r="AI99" s="75">
        <f t="shared" si="57"/>
        <v>0</v>
      </c>
      <c r="AJ99" s="75">
        <f t="shared" si="57"/>
        <v>0</v>
      </c>
      <c r="AK99" s="75">
        <f t="shared" si="57"/>
        <v>0</v>
      </c>
      <c r="AL99" s="75">
        <f t="shared" si="57"/>
        <v>0</v>
      </c>
      <c r="AM99" s="75">
        <f t="shared" si="57"/>
        <v>0</v>
      </c>
      <c r="AN99" s="75">
        <f t="shared" si="57"/>
        <v>0</v>
      </c>
      <c r="AO99" s="75">
        <f t="shared" si="57"/>
        <v>0</v>
      </c>
      <c r="AP99" s="75">
        <f t="shared" si="57"/>
        <v>0</v>
      </c>
      <c r="AQ99" s="75">
        <f t="shared" si="57"/>
        <v>0</v>
      </c>
      <c r="AR99" s="75">
        <f t="shared" si="57"/>
        <v>0</v>
      </c>
      <c r="AS99" s="75">
        <f t="shared" si="57"/>
        <v>0</v>
      </c>
      <c r="AT99" s="75">
        <f t="shared" si="57"/>
        <v>0</v>
      </c>
      <c r="AU99" s="75">
        <f t="shared" si="57"/>
        <v>0</v>
      </c>
      <c r="AV99" s="75">
        <f t="shared" si="57"/>
        <v>0</v>
      </c>
      <c r="AW99" s="75">
        <f t="shared" si="57"/>
        <v>0</v>
      </c>
      <c r="AX99" s="75">
        <f t="shared" si="57"/>
        <v>0</v>
      </c>
      <c r="AY99" s="75">
        <f t="shared" si="57"/>
        <v>0</v>
      </c>
      <c r="AZ99" s="75">
        <f t="shared" si="57"/>
        <v>0</v>
      </c>
      <c r="BA99" s="75">
        <f t="shared" si="57"/>
        <v>0</v>
      </c>
      <c r="BB99" s="75">
        <f t="shared" si="57"/>
        <v>0</v>
      </c>
      <c r="BC99" s="75">
        <f t="shared" si="57"/>
        <v>0</v>
      </c>
      <c r="BD99" s="75">
        <f t="shared" si="57"/>
        <v>0</v>
      </c>
      <c r="BE99" s="75">
        <f t="shared" si="57"/>
        <v>0</v>
      </c>
      <c r="BF99" s="75">
        <f t="shared" si="57"/>
        <v>0</v>
      </c>
      <c r="BG99" s="75">
        <f t="shared" si="57"/>
        <v>0</v>
      </c>
      <c r="BH99" s="75">
        <f t="shared" si="57"/>
        <v>0</v>
      </c>
      <c r="BI99" s="75">
        <f t="shared" si="57"/>
        <v>0</v>
      </c>
      <c r="BJ99" s="75">
        <f t="shared" si="57"/>
        <v>0</v>
      </c>
      <c r="BK99" s="75">
        <f t="shared" si="57"/>
        <v>0</v>
      </c>
      <c r="BL99" s="75">
        <f t="shared" si="57"/>
        <v>0</v>
      </c>
      <c r="BM99" s="75">
        <f t="shared" si="57"/>
        <v>0</v>
      </c>
      <c r="BN99" s="75">
        <f t="shared" si="57"/>
        <v>0</v>
      </c>
      <c r="BO99" s="75">
        <f t="shared" si="57"/>
        <v>0</v>
      </c>
      <c r="BP99" s="75">
        <f t="shared" si="57"/>
        <v>0</v>
      </c>
      <c r="BQ99" s="75">
        <f t="shared" si="57"/>
        <v>0</v>
      </c>
      <c r="BR99" s="75">
        <f t="shared" si="57"/>
        <v>0</v>
      </c>
      <c r="BS99" s="75">
        <f t="shared" si="57"/>
        <v>0</v>
      </c>
      <c r="BT99" s="75">
        <f t="shared" si="57"/>
        <v>0</v>
      </c>
      <c r="BU99" s="75">
        <f t="shared" si="57"/>
        <v>0</v>
      </c>
      <c r="BV99" s="75">
        <f t="shared" si="57"/>
        <v>0</v>
      </c>
      <c r="BW99" s="75">
        <f t="shared" si="57"/>
        <v>0</v>
      </c>
      <c r="BX99" s="75">
        <f t="shared" si="57"/>
        <v>0</v>
      </c>
      <c r="BY99" s="75">
        <f t="shared" si="57"/>
        <v>0</v>
      </c>
      <c r="BZ99" s="75">
        <f t="shared" si="57"/>
        <v>0</v>
      </c>
      <c r="CA99" s="75">
        <f t="shared" si="57"/>
        <v>0</v>
      </c>
      <c r="CB99" s="75">
        <f t="shared" si="57"/>
        <v>0</v>
      </c>
      <c r="CC99" s="75">
        <f t="shared" si="57"/>
        <v>0</v>
      </c>
      <c r="CD99" s="75">
        <f t="shared" si="56"/>
        <v>0</v>
      </c>
      <c r="CE99" s="75">
        <f t="shared" si="56"/>
        <v>0</v>
      </c>
      <c r="CF99" s="75">
        <f t="shared" si="56"/>
        <v>0</v>
      </c>
      <c r="CG99" s="75">
        <f t="shared" si="56"/>
        <v>0</v>
      </c>
      <c r="CH99" s="75">
        <f t="shared" si="56"/>
        <v>0</v>
      </c>
      <c r="CI99" s="75">
        <f t="shared" si="56"/>
        <v>0</v>
      </c>
      <c r="CJ99" s="75">
        <f t="shared" si="56"/>
        <v>0</v>
      </c>
      <c r="CK99" s="75">
        <f t="shared" si="56"/>
        <v>0</v>
      </c>
      <c r="CL99" s="75">
        <f t="shared" si="56"/>
        <v>0</v>
      </c>
      <c r="CM99" s="75">
        <f t="shared" si="56"/>
        <v>0</v>
      </c>
      <c r="CN99" s="75">
        <f t="shared" si="56"/>
        <v>0</v>
      </c>
      <c r="CO99" s="75">
        <f t="shared" si="56"/>
        <v>0</v>
      </c>
      <c r="CP99" s="75">
        <f t="shared" si="56"/>
        <v>0</v>
      </c>
      <c r="CQ99" s="75">
        <f t="shared" si="56"/>
        <v>0</v>
      </c>
      <c r="CR99" s="75">
        <f t="shared" si="56"/>
        <v>0</v>
      </c>
      <c r="CS99" s="75">
        <f t="shared" si="56"/>
        <v>0</v>
      </c>
      <c r="CT99" s="75">
        <f t="shared" si="56"/>
        <v>0</v>
      </c>
      <c r="CU99" s="75">
        <f t="shared" si="56"/>
        <v>0</v>
      </c>
      <c r="CV99" s="75">
        <f t="shared" si="56"/>
        <v>0</v>
      </c>
      <c r="CW99" s="75">
        <f t="shared" si="56"/>
        <v>0</v>
      </c>
      <c r="CX99" s="75">
        <f t="shared" si="56"/>
        <v>0</v>
      </c>
      <c r="CY99" s="75">
        <f t="shared" si="56"/>
        <v>0</v>
      </c>
      <c r="CZ99" s="75">
        <f t="shared" si="56"/>
        <v>0</v>
      </c>
      <c r="DA99" s="75">
        <f t="shared" si="56"/>
        <v>0</v>
      </c>
      <c r="DB99" s="75">
        <f t="shared" si="56"/>
        <v>0</v>
      </c>
      <c r="DC99" s="75">
        <f t="shared" si="56"/>
        <v>0</v>
      </c>
      <c r="DD99" s="75">
        <f t="shared" si="56"/>
        <v>0</v>
      </c>
      <c r="DE99" s="75">
        <f t="shared" si="56"/>
        <v>0</v>
      </c>
      <c r="DF99" s="75">
        <f t="shared" si="56"/>
        <v>0</v>
      </c>
      <c r="DG99" s="75">
        <f t="shared" si="56"/>
        <v>0</v>
      </c>
      <c r="DH99" s="75">
        <f t="shared" si="56"/>
        <v>0</v>
      </c>
      <c r="DI99" s="75">
        <f t="shared" si="56"/>
        <v>0</v>
      </c>
      <c r="DJ99" s="75">
        <f t="shared" si="56"/>
        <v>0</v>
      </c>
      <c r="DK99" s="75">
        <f t="shared" si="56"/>
        <v>0</v>
      </c>
      <c r="DL99" s="75">
        <f t="shared" si="56"/>
        <v>0</v>
      </c>
    </row>
    <row r="100" spans="2:116">
      <c r="B100" s="27">
        <f>Rentroll!$C$51</f>
        <v>3</v>
      </c>
      <c r="C100" s="69" t="str">
        <f>VLOOKUP($B100,Rentroll!$C$37:$Z$60,3,FALSE)</f>
        <v>타이거로켓</v>
      </c>
      <c r="D100" s="80">
        <f>VLOOKUP($B100,Rentroll!$C$37:$Z$60,9,FALSE)</f>
        <v>45688</v>
      </c>
      <c r="E100" s="80">
        <f>VLOOKUP($B100,Rentroll!$C$37:$Z$60,10,FALSE)</f>
        <v>47514</v>
      </c>
      <c r="F100" s="81">
        <f>VLOOKUP($B100,Rentroll!$C$37:$Z$60,11,FALSE)</f>
        <v>60</v>
      </c>
      <c r="G100" s="69">
        <f>VLOOKUP($B100,Rentroll!$C$37:$Z$60,13,FALSE)</f>
        <v>103000</v>
      </c>
      <c r="H100" s="69">
        <f>VLOOKUP($B100,Rentroll!$C$37:$Z$60,14,FALSE)</f>
        <v>90125</v>
      </c>
      <c r="I100" s="69">
        <f>VLOOKUP($B100,Rentroll!$C$37:$Z$60,15,FALSE)</f>
        <v>45000</v>
      </c>
      <c r="J100" s="82">
        <f>VLOOKUP($B100,Rentroll!$C$37:$Z$60,19,FALSE)</f>
        <v>0.03</v>
      </c>
      <c r="K100" s="83">
        <f>VLOOKUP($B100,Rentroll!$C$37:$Z$60,4,FALSE)</f>
        <v>1385.09</v>
      </c>
      <c r="L100" s="81">
        <f>VLOOKUP($B100,Rentroll!$C$37:$Z$60,17,FALSE)</f>
        <v>1</v>
      </c>
      <c r="M100" s="84">
        <f>VLOOKUP($B100,Rentroll!$C$37:$Z$60,18,FALSE)</f>
        <v>1.5</v>
      </c>
      <c r="O100" s="74">
        <f t="shared" si="51"/>
        <v>3</v>
      </c>
      <c r="P100" s="75"/>
      <c r="Q100" s="75"/>
      <c r="R100" s="75">
        <f t="shared" si="52"/>
        <v>0</v>
      </c>
      <c r="S100" s="75">
        <f t="shared" si="57"/>
        <v>1</v>
      </c>
      <c r="T100" s="75">
        <f t="shared" si="57"/>
        <v>0</v>
      </c>
      <c r="U100" s="75">
        <f t="shared" si="57"/>
        <v>0</v>
      </c>
      <c r="V100" s="75">
        <f t="shared" ref="V100:CG103" si="58">IF($L100=0,0,(EOMONTH($D100,1)&lt;=V$14)*(EOMONTH($D100,$L100)&gt;=V$14)*1)</f>
        <v>0</v>
      </c>
      <c r="W100" s="75">
        <f t="shared" si="58"/>
        <v>0</v>
      </c>
      <c r="X100" s="75">
        <f t="shared" si="58"/>
        <v>0</v>
      </c>
      <c r="Y100" s="75">
        <f t="shared" si="58"/>
        <v>0</v>
      </c>
      <c r="Z100" s="75">
        <f t="shared" si="58"/>
        <v>0</v>
      </c>
      <c r="AA100" s="75">
        <f t="shared" si="58"/>
        <v>0</v>
      </c>
      <c r="AB100" s="75">
        <f t="shared" si="58"/>
        <v>0</v>
      </c>
      <c r="AC100" s="75">
        <f t="shared" si="58"/>
        <v>0</v>
      </c>
      <c r="AD100" s="75">
        <f t="shared" si="58"/>
        <v>0</v>
      </c>
      <c r="AE100" s="75">
        <f t="shared" si="58"/>
        <v>0</v>
      </c>
      <c r="AF100" s="75">
        <f t="shared" si="58"/>
        <v>0</v>
      </c>
      <c r="AG100" s="75">
        <f t="shared" si="58"/>
        <v>0</v>
      </c>
      <c r="AH100" s="75">
        <f t="shared" si="58"/>
        <v>0</v>
      </c>
      <c r="AI100" s="75">
        <f t="shared" si="58"/>
        <v>0</v>
      </c>
      <c r="AJ100" s="75">
        <f t="shared" si="58"/>
        <v>0</v>
      </c>
      <c r="AK100" s="75">
        <f t="shared" si="58"/>
        <v>0</v>
      </c>
      <c r="AL100" s="75">
        <f t="shared" si="58"/>
        <v>0</v>
      </c>
      <c r="AM100" s="75">
        <f t="shared" si="58"/>
        <v>0</v>
      </c>
      <c r="AN100" s="75">
        <f t="shared" si="58"/>
        <v>0</v>
      </c>
      <c r="AO100" s="75">
        <f t="shared" si="58"/>
        <v>0</v>
      </c>
      <c r="AP100" s="75">
        <f t="shared" si="58"/>
        <v>0</v>
      </c>
      <c r="AQ100" s="75">
        <f t="shared" si="58"/>
        <v>0</v>
      </c>
      <c r="AR100" s="75">
        <f t="shared" si="58"/>
        <v>0</v>
      </c>
      <c r="AS100" s="75">
        <f t="shared" si="58"/>
        <v>0</v>
      </c>
      <c r="AT100" s="75">
        <f t="shared" si="58"/>
        <v>0</v>
      </c>
      <c r="AU100" s="75">
        <f t="shared" si="58"/>
        <v>0</v>
      </c>
      <c r="AV100" s="75">
        <f t="shared" si="58"/>
        <v>0</v>
      </c>
      <c r="AW100" s="75">
        <f t="shared" si="58"/>
        <v>0</v>
      </c>
      <c r="AX100" s="75">
        <f t="shared" si="58"/>
        <v>0</v>
      </c>
      <c r="AY100" s="75">
        <f t="shared" si="58"/>
        <v>0</v>
      </c>
      <c r="AZ100" s="75">
        <f t="shared" si="58"/>
        <v>0</v>
      </c>
      <c r="BA100" s="75">
        <f t="shared" si="58"/>
        <v>0</v>
      </c>
      <c r="BB100" s="75">
        <f t="shared" si="58"/>
        <v>0</v>
      </c>
      <c r="BC100" s="75">
        <f t="shared" si="58"/>
        <v>0</v>
      </c>
      <c r="BD100" s="75">
        <f t="shared" si="58"/>
        <v>0</v>
      </c>
      <c r="BE100" s="75">
        <f t="shared" si="58"/>
        <v>0</v>
      </c>
      <c r="BF100" s="75">
        <f t="shared" si="58"/>
        <v>0</v>
      </c>
      <c r="BG100" s="75">
        <f t="shared" si="58"/>
        <v>0</v>
      </c>
      <c r="BH100" s="75">
        <f t="shared" si="58"/>
        <v>0</v>
      </c>
      <c r="BI100" s="75">
        <f t="shared" si="58"/>
        <v>0</v>
      </c>
      <c r="BJ100" s="75">
        <f t="shared" si="58"/>
        <v>0</v>
      </c>
      <c r="BK100" s="75">
        <f t="shared" si="58"/>
        <v>0</v>
      </c>
      <c r="BL100" s="75">
        <f t="shared" si="58"/>
        <v>0</v>
      </c>
      <c r="BM100" s="75">
        <f t="shared" si="58"/>
        <v>0</v>
      </c>
      <c r="BN100" s="75">
        <f t="shared" si="58"/>
        <v>0</v>
      </c>
      <c r="BO100" s="75">
        <f t="shared" si="58"/>
        <v>0</v>
      </c>
      <c r="BP100" s="75">
        <f t="shared" si="58"/>
        <v>0</v>
      </c>
      <c r="BQ100" s="75">
        <f t="shared" si="58"/>
        <v>0</v>
      </c>
      <c r="BR100" s="75">
        <f t="shared" si="58"/>
        <v>0</v>
      </c>
      <c r="BS100" s="75">
        <f t="shared" si="58"/>
        <v>0</v>
      </c>
      <c r="BT100" s="75">
        <f t="shared" si="58"/>
        <v>0</v>
      </c>
      <c r="BU100" s="75">
        <f t="shared" si="58"/>
        <v>0</v>
      </c>
      <c r="BV100" s="75">
        <f t="shared" si="58"/>
        <v>0</v>
      </c>
      <c r="BW100" s="75">
        <f t="shared" si="58"/>
        <v>0</v>
      </c>
      <c r="BX100" s="75">
        <f t="shared" si="58"/>
        <v>0</v>
      </c>
      <c r="BY100" s="75">
        <f t="shared" si="58"/>
        <v>0</v>
      </c>
      <c r="BZ100" s="75">
        <f t="shared" si="58"/>
        <v>0</v>
      </c>
      <c r="CA100" s="75">
        <f t="shared" si="58"/>
        <v>0</v>
      </c>
      <c r="CB100" s="75">
        <f t="shared" si="58"/>
        <v>0</v>
      </c>
      <c r="CC100" s="75">
        <f t="shared" si="58"/>
        <v>0</v>
      </c>
      <c r="CD100" s="75">
        <f t="shared" si="58"/>
        <v>0</v>
      </c>
      <c r="CE100" s="75">
        <f t="shared" si="58"/>
        <v>0</v>
      </c>
      <c r="CF100" s="75">
        <f t="shared" si="58"/>
        <v>0</v>
      </c>
      <c r="CG100" s="75">
        <f t="shared" si="58"/>
        <v>0</v>
      </c>
      <c r="CH100" s="75">
        <f t="shared" si="56"/>
        <v>0</v>
      </c>
      <c r="CI100" s="75">
        <f t="shared" si="56"/>
        <v>0</v>
      </c>
      <c r="CJ100" s="75">
        <f t="shared" si="56"/>
        <v>0</v>
      </c>
      <c r="CK100" s="75">
        <f t="shared" si="56"/>
        <v>0</v>
      </c>
      <c r="CL100" s="75">
        <f t="shared" si="56"/>
        <v>0</v>
      </c>
      <c r="CM100" s="75">
        <f t="shared" si="56"/>
        <v>0</v>
      </c>
      <c r="CN100" s="75">
        <f t="shared" si="56"/>
        <v>0</v>
      </c>
      <c r="CO100" s="75">
        <f t="shared" si="56"/>
        <v>0</v>
      </c>
      <c r="CP100" s="75">
        <f t="shared" si="56"/>
        <v>0</v>
      </c>
      <c r="CQ100" s="75">
        <f t="shared" si="56"/>
        <v>0</v>
      </c>
      <c r="CR100" s="75">
        <f t="shared" si="56"/>
        <v>0</v>
      </c>
      <c r="CS100" s="75">
        <f t="shared" si="56"/>
        <v>0</v>
      </c>
      <c r="CT100" s="75">
        <f t="shared" si="56"/>
        <v>0</v>
      </c>
      <c r="CU100" s="75">
        <f t="shared" si="56"/>
        <v>0</v>
      </c>
      <c r="CV100" s="75">
        <f t="shared" si="56"/>
        <v>0</v>
      </c>
      <c r="CW100" s="75">
        <f t="shared" si="56"/>
        <v>0</v>
      </c>
      <c r="CX100" s="75">
        <f t="shared" si="56"/>
        <v>0</v>
      </c>
      <c r="CY100" s="75">
        <f t="shared" si="56"/>
        <v>0</v>
      </c>
      <c r="CZ100" s="75">
        <f t="shared" si="56"/>
        <v>0</v>
      </c>
      <c r="DA100" s="75">
        <f t="shared" si="56"/>
        <v>0</v>
      </c>
      <c r="DB100" s="75">
        <f t="shared" si="56"/>
        <v>0</v>
      </c>
      <c r="DC100" s="75">
        <f t="shared" si="56"/>
        <v>0</v>
      </c>
      <c r="DD100" s="75">
        <f t="shared" si="56"/>
        <v>0</v>
      </c>
      <c r="DE100" s="75">
        <f t="shared" si="56"/>
        <v>0</v>
      </c>
      <c r="DF100" s="75">
        <f t="shared" si="56"/>
        <v>0</v>
      </c>
      <c r="DG100" s="75">
        <f t="shared" si="56"/>
        <v>0</v>
      </c>
      <c r="DH100" s="75">
        <f t="shared" si="56"/>
        <v>0</v>
      </c>
      <c r="DI100" s="75">
        <f t="shared" si="56"/>
        <v>0</v>
      </c>
      <c r="DJ100" s="75">
        <f t="shared" si="56"/>
        <v>0</v>
      </c>
      <c r="DK100" s="75">
        <f t="shared" si="56"/>
        <v>0</v>
      </c>
      <c r="DL100" s="75">
        <f t="shared" si="56"/>
        <v>0</v>
      </c>
    </row>
    <row r="101" spans="2:116">
      <c r="B101" s="27" t="str">
        <f>Rentroll!$C$52</f>
        <v>201호</v>
      </c>
      <c r="C101" s="69" t="str">
        <f>VLOOKUP($B101,Rentroll!$C$37:$Z$60,3,FALSE)</f>
        <v>RMW CARNE</v>
      </c>
      <c r="D101" s="80">
        <f>VLOOKUP($B101,Rentroll!$C$37:$Z$60,9,FALSE)</f>
        <v>45747</v>
      </c>
      <c r="E101" s="80">
        <f>VLOOKUP($B101,Rentroll!$C$37:$Z$60,10,FALSE)</f>
        <v>47573</v>
      </c>
      <c r="F101" s="81">
        <f>VLOOKUP($B101,Rentroll!$C$37:$Z$60,11,FALSE)</f>
        <v>60</v>
      </c>
      <c r="G101" s="69">
        <f>VLOOKUP($B101,Rentroll!$C$37:$Z$60,13,FALSE)</f>
        <v>130000</v>
      </c>
      <c r="H101" s="69">
        <f>VLOOKUP($B101,Rentroll!$C$37:$Z$60,14,FALSE)</f>
        <v>130000</v>
      </c>
      <c r="I101" s="69">
        <f>VLOOKUP($B101,Rentroll!$C$37:$Z$60,15,FALSE)</f>
        <v>45000</v>
      </c>
      <c r="J101" s="82">
        <f>VLOOKUP($B101,Rentroll!$C$37:$Z$60,19,FALSE)</f>
        <v>0.03</v>
      </c>
      <c r="K101" s="83">
        <f>VLOOKUP($B101,Rentroll!$C$37:$Z$60,4,FALSE)</f>
        <v>346.27249999999998</v>
      </c>
      <c r="L101" s="81">
        <f>VLOOKUP($B101,Rentroll!$C$37:$Z$60,17,FALSE)</f>
        <v>2</v>
      </c>
      <c r="M101" s="84">
        <f>VLOOKUP($B101,Rentroll!$C$37:$Z$60,18,FALSE)</f>
        <v>0</v>
      </c>
      <c r="O101" s="74" t="str">
        <f t="shared" si="51"/>
        <v>201호</v>
      </c>
      <c r="P101" s="75"/>
      <c r="Q101" s="75"/>
      <c r="R101" s="75">
        <f t="shared" si="52"/>
        <v>0</v>
      </c>
      <c r="S101" s="75">
        <f t="shared" ref="S101:CD103" si="59">IF($L101=0,0,(EOMONTH($D101,1)&lt;=S$14)*(EOMONTH($D101,$L101)&gt;=S$14)*1)</f>
        <v>0</v>
      </c>
      <c r="T101" s="75">
        <f t="shared" si="59"/>
        <v>0</v>
      </c>
      <c r="U101" s="75">
        <f t="shared" si="59"/>
        <v>1</v>
      </c>
      <c r="V101" s="75">
        <f t="shared" si="59"/>
        <v>1</v>
      </c>
      <c r="W101" s="75">
        <f t="shared" si="59"/>
        <v>0</v>
      </c>
      <c r="X101" s="75">
        <f t="shared" si="59"/>
        <v>0</v>
      </c>
      <c r="Y101" s="75">
        <f t="shared" si="59"/>
        <v>0</v>
      </c>
      <c r="Z101" s="75">
        <f t="shared" si="59"/>
        <v>0</v>
      </c>
      <c r="AA101" s="75">
        <f t="shared" si="59"/>
        <v>0</v>
      </c>
      <c r="AB101" s="75">
        <f t="shared" si="59"/>
        <v>0</v>
      </c>
      <c r="AC101" s="75">
        <f t="shared" si="59"/>
        <v>0</v>
      </c>
      <c r="AD101" s="75">
        <f t="shared" si="59"/>
        <v>0</v>
      </c>
      <c r="AE101" s="75">
        <f t="shared" si="59"/>
        <v>0</v>
      </c>
      <c r="AF101" s="75">
        <f t="shared" si="59"/>
        <v>0</v>
      </c>
      <c r="AG101" s="75">
        <f t="shared" si="59"/>
        <v>0</v>
      </c>
      <c r="AH101" s="75">
        <f t="shared" si="59"/>
        <v>0</v>
      </c>
      <c r="AI101" s="75">
        <f t="shared" si="59"/>
        <v>0</v>
      </c>
      <c r="AJ101" s="75">
        <f t="shared" si="59"/>
        <v>0</v>
      </c>
      <c r="AK101" s="75">
        <f t="shared" si="59"/>
        <v>0</v>
      </c>
      <c r="AL101" s="75">
        <f t="shared" si="59"/>
        <v>0</v>
      </c>
      <c r="AM101" s="75">
        <f t="shared" si="59"/>
        <v>0</v>
      </c>
      <c r="AN101" s="75">
        <f t="shared" si="59"/>
        <v>0</v>
      </c>
      <c r="AO101" s="75">
        <f t="shared" si="59"/>
        <v>0</v>
      </c>
      <c r="AP101" s="75">
        <f t="shared" si="59"/>
        <v>0</v>
      </c>
      <c r="AQ101" s="75">
        <f t="shared" si="59"/>
        <v>0</v>
      </c>
      <c r="AR101" s="75">
        <f t="shared" si="59"/>
        <v>0</v>
      </c>
      <c r="AS101" s="75">
        <f t="shared" si="59"/>
        <v>0</v>
      </c>
      <c r="AT101" s="75">
        <f t="shared" si="59"/>
        <v>0</v>
      </c>
      <c r="AU101" s="75">
        <f t="shared" si="59"/>
        <v>0</v>
      </c>
      <c r="AV101" s="75">
        <f t="shared" si="59"/>
        <v>0</v>
      </c>
      <c r="AW101" s="75">
        <f t="shared" si="59"/>
        <v>0</v>
      </c>
      <c r="AX101" s="75">
        <f t="shared" si="59"/>
        <v>0</v>
      </c>
      <c r="AY101" s="75">
        <f t="shared" si="59"/>
        <v>0</v>
      </c>
      <c r="AZ101" s="75">
        <f t="shared" si="59"/>
        <v>0</v>
      </c>
      <c r="BA101" s="75">
        <f t="shared" si="59"/>
        <v>0</v>
      </c>
      <c r="BB101" s="75">
        <f t="shared" si="59"/>
        <v>0</v>
      </c>
      <c r="BC101" s="75">
        <f t="shared" si="59"/>
        <v>0</v>
      </c>
      <c r="BD101" s="75">
        <f t="shared" si="59"/>
        <v>0</v>
      </c>
      <c r="BE101" s="75">
        <f t="shared" si="59"/>
        <v>0</v>
      </c>
      <c r="BF101" s="75">
        <f t="shared" si="59"/>
        <v>0</v>
      </c>
      <c r="BG101" s="75">
        <f t="shared" si="59"/>
        <v>0</v>
      </c>
      <c r="BH101" s="75">
        <f t="shared" si="59"/>
        <v>0</v>
      </c>
      <c r="BI101" s="75">
        <f t="shared" si="59"/>
        <v>0</v>
      </c>
      <c r="BJ101" s="75">
        <f t="shared" si="59"/>
        <v>0</v>
      </c>
      <c r="BK101" s="75">
        <f t="shared" si="59"/>
        <v>0</v>
      </c>
      <c r="BL101" s="75">
        <f t="shared" si="59"/>
        <v>0</v>
      </c>
      <c r="BM101" s="75">
        <f t="shared" si="59"/>
        <v>0</v>
      </c>
      <c r="BN101" s="75">
        <f t="shared" si="59"/>
        <v>0</v>
      </c>
      <c r="BO101" s="75">
        <f t="shared" si="59"/>
        <v>0</v>
      </c>
      <c r="BP101" s="75">
        <f t="shared" si="59"/>
        <v>0</v>
      </c>
      <c r="BQ101" s="75">
        <f t="shared" si="59"/>
        <v>0</v>
      </c>
      <c r="BR101" s="75">
        <f t="shared" si="59"/>
        <v>0</v>
      </c>
      <c r="BS101" s="75">
        <f t="shared" si="59"/>
        <v>0</v>
      </c>
      <c r="BT101" s="75">
        <f t="shared" si="59"/>
        <v>0</v>
      </c>
      <c r="BU101" s="75">
        <f t="shared" si="59"/>
        <v>0</v>
      </c>
      <c r="BV101" s="75">
        <f t="shared" si="59"/>
        <v>0</v>
      </c>
      <c r="BW101" s="75">
        <f t="shared" si="59"/>
        <v>0</v>
      </c>
      <c r="BX101" s="75">
        <f t="shared" si="59"/>
        <v>0</v>
      </c>
      <c r="BY101" s="75">
        <f t="shared" si="59"/>
        <v>0</v>
      </c>
      <c r="BZ101" s="75">
        <f t="shared" si="59"/>
        <v>0</v>
      </c>
      <c r="CA101" s="75">
        <f t="shared" si="59"/>
        <v>0</v>
      </c>
      <c r="CB101" s="75">
        <f t="shared" si="59"/>
        <v>0</v>
      </c>
      <c r="CC101" s="75">
        <f t="shared" si="59"/>
        <v>0</v>
      </c>
      <c r="CD101" s="75">
        <f t="shared" si="59"/>
        <v>0</v>
      </c>
      <c r="CE101" s="75">
        <f t="shared" si="58"/>
        <v>0</v>
      </c>
      <c r="CF101" s="75">
        <f t="shared" si="58"/>
        <v>0</v>
      </c>
      <c r="CG101" s="75">
        <f t="shared" si="58"/>
        <v>0</v>
      </c>
      <c r="CH101" s="75">
        <f t="shared" si="56"/>
        <v>0</v>
      </c>
      <c r="CI101" s="75">
        <f t="shared" si="56"/>
        <v>0</v>
      </c>
      <c r="CJ101" s="75">
        <f t="shared" si="56"/>
        <v>0</v>
      </c>
      <c r="CK101" s="75">
        <f t="shared" si="56"/>
        <v>0</v>
      </c>
      <c r="CL101" s="75">
        <f t="shared" si="56"/>
        <v>0</v>
      </c>
      <c r="CM101" s="75">
        <f t="shared" si="56"/>
        <v>0</v>
      </c>
      <c r="CN101" s="75">
        <f t="shared" si="56"/>
        <v>0</v>
      </c>
      <c r="CO101" s="75">
        <f t="shared" si="56"/>
        <v>0</v>
      </c>
      <c r="CP101" s="75">
        <f t="shared" si="56"/>
        <v>0</v>
      </c>
      <c r="CQ101" s="75">
        <f t="shared" si="56"/>
        <v>0</v>
      </c>
      <c r="CR101" s="75">
        <f t="shared" si="56"/>
        <v>0</v>
      </c>
      <c r="CS101" s="75">
        <f t="shared" si="56"/>
        <v>0</v>
      </c>
      <c r="CT101" s="75">
        <f t="shared" si="56"/>
        <v>0</v>
      </c>
      <c r="CU101" s="75">
        <f t="shared" si="56"/>
        <v>0</v>
      </c>
      <c r="CV101" s="75">
        <f t="shared" si="56"/>
        <v>0</v>
      </c>
      <c r="CW101" s="75">
        <f t="shared" si="56"/>
        <v>0</v>
      </c>
      <c r="CX101" s="75">
        <f t="shared" si="56"/>
        <v>0</v>
      </c>
      <c r="CY101" s="75">
        <f t="shared" si="56"/>
        <v>0</v>
      </c>
      <c r="CZ101" s="75">
        <f t="shared" si="56"/>
        <v>0</v>
      </c>
      <c r="DA101" s="75">
        <f t="shared" si="56"/>
        <v>0</v>
      </c>
      <c r="DB101" s="75">
        <f t="shared" si="56"/>
        <v>0</v>
      </c>
      <c r="DC101" s="75">
        <f t="shared" si="56"/>
        <v>0</v>
      </c>
      <c r="DD101" s="75">
        <f t="shared" si="56"/>
        <v>0</v>
      </c>
      <c r="DE101" s="75">
        <f t="shared" si="56"/>
        <v>0</v>
      </c>
      <c r="DF101" s="75">
        <f t="shared" si="56"/>
        <v>0</v>
      </c>
      <c r="DG101" s="75">
        <f t="shared" si="56"/>
        <v>0</v>
      </c>
      <c r="DH101" s="75">
        <f t="shared" si="56"/>
        <v>0</v>
      </c>
      <c r="DI101" s="75">
        <f t="shared" si="56"/>
        <v>0</v>
      </c>
      <c r="DJ101" s="75">
        <f t="shared" si="56"/>
        <v>0</v>
      </c>
      <c r="DK101" s="75">
        <f t="shared" si="56"/>
        <v>0</v>
      </c>
      <c r="DL101" s="75">
        <f t="shared" si="56"/>
        <v>0</v>
      </c>
    </row>
    <row r="102" spans="2:116">
      <c r="B102" s="27" t="str">
        <f>Rentroll!$C$53</f>
        <v>202호</v>
      </c>
      <c r="C102" s="69" t="str">
        <f>VLOOKUP($B102,Rentroll!$C$37:$Z$60,3,FALSE)</f>
        <v>키이로</v>
      </c>
      <c r="D102" s="80">
        <f>VLOOKUP($B102,Rentroll!$C$37:$Z$60,9,FALSE)</f>
        <v>45747</v>
      </c>
      <c r="E102" s="80">
        <f>VLOOKUP($B102,Rentroll!$C$37:$Z$60,10,FALSE)</f>
        <v>47573</v>
      </c>
      <c r="F102" s="81">
        <f>VLOOKUP($B102,Rentroll!$C$37:$Z$60,11,FALSE)</f>
        <v>60</v>
      </c>
      <c r="G102" s="69">
        <f>VLOOKUP($B102,Rentroll!$C$37:$Z$60,13,FALSE)</f>
        <v>130000</v>
      </c>
      <c r="H102" s="69">
        <f>VLOOKUP($B102,Rentroll!$C$37:$Z$60,14,FALSE)</f>
        <v>130000</v>
      </c>
      <c r="I102" s="69">
        <f>VLOOKUP($B102,Rentroll!$C$37:$Z$60,15,FALSE)</f>
        <v>45000</v>
      </c>
      <c r="J102" s="82">
        <f>VLOOKUP($B102,Rentroll!$C$37:$Z$60,19,FALSE)</f>
        <v>0.03</v>
      </c>
      <c r="K102" s="83">
        <f>VLOOKUP($B102,Rentroll!$C$37:$Z$60,4,FALSE)</f>
        <v>346.27249999999998</v>
      </c>
      <c r="L102" s="81">
        <f>VLOOKUP($B102,Rentroll!$C$37:$Z$60,17,FALSE)</f>
        <v>2</v>
      </c>
      <c r="M102" s="84">
        <f>VLOOKUP($B102,Rentroll!$C$37:$Z$60,18,FALSE)</f>
        <v>0</v>
      </c>
      <c r="O102" s="74" t="str">
        <f t="shared" si="51"/>
        <v>202호</v>
      </c>
      <c r="P102" s="75"/>
      <c r="Q102" s="75"/>
      <c r="R102" s="75">
        <f t="shared" si="52"/>
        <v>0</v>
      </c>
      <c r="S102" s="75">
        <f t="shared" si="59"/>
        <v>0</v>
      </c>
      <c r="T102" s="75">
        <f t="shared" si="59"/>
        <v>0</v>
      </c>
      <c r="U102" s="75">
        <f t="shared" si="59"/>
        <v>1</v>
      </c>
      <c r="V102" s="75">
        <f t="shared" si="59"/>
        <v>1</v>
      </c>
      <c r="W102" s="75">
        <f t="shared" si="59"/>
        <v>0</v>
      </c>
      <c r="X102" s="75">
        <f t="shared" si="59"/>
        <v>0</v>
      </c>
      <c r="Y102" s="75">
        <f t="shared" si="59"/>
        <v>0</v>
      </c>
      <c r="Z102" s="75">
        <f t="shared" si="59"/>
        <v>0</v>
      </c>
      <c r="AA102" s="75">
        <f t="shared" si="59"/>
        <v>0</v>
      </c>
      <c r="AB102" s="75">
        <f t="shared" si="59"/>
        <v>0</v>
      </c>
      <c r="AC102" s="75">
        <f t="shared" si="59"/>
        <v>0</v>
      </c>
      <c r="AD102" s="75">
        <f t="shared" si="59"/>
        <v>0</v>
      </c>
      <c r="AE102" s="75">
        <f t="shared" si="59"/>
        <v>0</v>
      </c>
      <c r="AF102" s="75">
        <f t="shared" si="59"/>
        <v>0</v>
      </c>
      <c r="AG102" s="75">
        <f t="shared" si="59"/>
        <v>0</v>
      </c>
      <c r="AH102" s="75">
        <f t="shared" si="59"/>
        <v>0</v>
      </c>
      <c r="AI102" s="75">
        <f t="shared" si="59"/>
        <v>0</v>
      </c>
      <c r="AJ102" s="75">
        <f t="shared" si="59"/>
        <v>0</v>
      </c>
      <c r="AK102" s="75">
        <f t="shared" si="59"/>
        <v>0</v>
      </c>
      <c r="AL102" s="75">
        <f t="shared" si="59"/>
        <v>0</v>
      </c>
      <c r="AM102" s="75">
        <f t="shared" si="59"/>
        <v>0</v>
      </c>
      <c r="AN102" s="75">
        <f t="shared" si="59"/>
        <v>0</v>
      </c>
      <c r="AO102" s="75">
        <f t="shared" si="59"/>
        <v>0</v>
      </c>
      <c r="AP102" s="75">
        <f t="shared" si="59"/>
        <v>0</v>
      </c>
      <c r="AQ102" s="75">
        <f t="shared" si="59"/>
        <v>0</v>
      </c>
      <c r="AR102" s="75">
        <f t="shared" si="59"/>
        <v>0</v>
      </c>
      <c r="AS102" s="75">
        <f t="shared" si="59"/>
        <v>0</v>
      </c>
      <c r="AT102" s="75">
        <f t="shared" si="59"/>
        <v>0</v>
      </c>
      <c r="AU102" s="75">
        <f t="shared" si="59"/>
        <v>0</v>
      </c>
      <c r="AV102" s="75">
        <f t="shared" si="59"/>
        <v>0</v>
      </c>
      <c r="AW102" s="75">
        <f t="shared" si="59"/>
        <v>0</v>
      </c>
      <c r="AX102" s="75">
        <f t="shared" si="59"/>
        <v>0</v>
      </c>
      <c r="AY102" s="75">
        <f t="shared" si="59"/>
        <v>0</v>
      </c>
      <c r="AZ102" s="75">
        <f t="shared" si="59"/>
        <v>0</v>
      </c>
      <c r="BA102" s="75">
        <f t="shared" si="59"/>
        <v>0</v>
      </c>
      <c r="BB102" s="75">
        <f t="shared" si="59"/>
        <v>0</v>
      </c>
      <c r="BC102" s="75">
        <f t="shared" si="59"/>
        <v>0</v>
      </c>
      <c r="BD102" s="75">
        <f t="shared" si="59"/>
        <v>0</v>
      </c>
      <c r="BE102" s="75">
        <f t="shared" si="59"/>
        <v>0</v>
      </c>
      <c r="BF102" s="75">
        <f t="shared" si="59"/>
        <v>0</v>
      </c>
      <c r="BG102" s="75">
        <f t="shared" si="59"/>
        <v>0</v>
      </c>
      <c r="BH102" s="75">
        <f t="shared" si="59"/>
        <v>0</v>
      </c>
      <c r="BI102" s="75">
        <f t="shared" si="59"/>
        <v>0</v>
      </c>
      <c r="BJ102" s="75">
        <f t="shared" si="59"/>
        <v>0</v>
      </c>
      <c r="BK102" s="75">
        <f t="shared" si="59"/>
        <v>0</v>
      </c>
      <c r="BL102" s="75">
        <f t="shared" si="59"/>
        <v>0</v>
      </c>
      <c r="BM102" s="75">
        <f t="shared" si="59"/>
        <v>0</v>
      </c>
      <c r="BN102" s="75">
        <f t="shared" si="59"/>
        <v>0</v>
      </c>
      <c r="BO102" s="75">
        <f t="shared" si="59"/>
        <v>0</v>
      </c>
      <c r="BP102" s="75">
        <f t="shared" si="59"/>
        <v>0</v>
      </c>
      <c r="BQ102" s="75">
        <f t="shared" si="59"/>
        <v>0</v>
      </c>
      <c r="BR102" s="75">
        <f t="shared" si="59"/>
        <v>0</v>
      </c>
      <c r="BS102" s="75">
        <f t="shared" si="59"/>
        <v>0</v>
      </c>
      <c r="BT102" s="75">
        <f t="shared" si="59"/>
        <v>0</v>
      </c>
      <c r="BU102" s="75">
        <f t="shared" si="59"/>
        <v>0</v>
      </c>
      <c r="BV102" s="75">
        <f t="shared" si="59"/>
        <v>0</v>
      </c>
      <c r="BW102" s="75">
        <f t="shared" si="59"/>
        <v>0</v>
      </c>
      <c r="BX102" s="75">
        <f t="shared" si="59"/>
        <v>0</v>
      </c>
      <c r="BY102" s="75">
        <f t="shared" si="59"/>
        <v>0</v>
      </c>
      <c r="BZ102" s="75">
        <f t="shared" si="59"/>
        <v>0</v>
      </c>
      <c r="CA102" s="75">
        <f t="shared" si="59"/>
        <v>0</v>
      </c>
      <c r="CB102" s="75">
        <f t="shared" si="59"/>
        <v>0</v>
      </c>
      <c r="CC102" s="75">
        <f t="shared" si="59"/>
        <v>0</v>
      </c>
      <c r="CD102" s="75">
        <f t="shared" si="59"/>
        <v>0</v>
      </c>
      <c r="CE102" s="75">
        <f t="shared" si="58"/>
        <v>0</v>
      </c>
      <c r="CF102" s="75">
        <f t="shared" si="58"/>
        <v>0</v>
      </c>
      <c r="CG102" s="75">
        <f t="shared" si="58"/>
        <v>0</v>
      </c>
      <c r="CH102" s="75">
        <f t="shared" si="56"/>
        <v>0</v>
      </c>
      <c r="CI102" s="75">
        <f t="shared" si="56"/>
        <v>0</v>
      </c>
      <c r="CJ102" s="75">
        <f t="shared" si="56"/>
        <v>0</v>
      </c>
      <c r="CK102" s="75">
        <f t="shared" si="56"/>
        <v>0</v>
      </c>
      <c r="CL102" s="75">
        <f t="shared" si="56"/>
        <v>0</v>
      </c>
      <c r="CM102" s="75">
        <f t="shared" si="56"/>
        <v>0</v>
      </c>
      <c r="CN102" s="75">
        <f t="shared" si="56"/>
        <v>0</v>
      </c>
      <c r="CO102" s="75">
        <f t="shared" si="56"/>
        <v>0</v>
      </c>
      <c r="CP102" s="75">
        <f t="shared" si="56"/>
        <v>0</v>
      </c>
      <c r="CQ102" s="75">
        <f t="shared" si="56"/>
        <v>0</v>
      </c>
      <c r="CR102" s="75">
        <f t="shared" si="56"/>
        <v>0</v>
      </c>
      <c r="CS102" s="75">
        <f t="shared" si="56"/>
        <v>0</v>
      </c>
      <c r="CT102" s="75">
        <f t="shared" si="56"/>
        <v>0</v>
      </c>
      <c r="CU102" s="75">
        <f t="shared" si="56"/>
        <v>0</v>
      </c>
      <c r="CV102" s="75">
        <f t="shared" si="56"/>
        <v>0</v>
      </c>
      <c r="CW102" s="75">
        <f t="shared" si="56"/>
        <v>0</v>
      </c>
      <c r="CX102" s="75">
        <f t="shared" si="56"/>
        <v>0</v>
      </c>
      <c r="CY102" s="75">
        <f t="shared" si="56"/>
        <v>0</v>
      </c>
      <c r="CZ102" s="75">
        <f t="shared" ref="CZ102:DL102" si="60">IF($L102=0,0,(EOMONTH($D102,1)&lt;=CZ$14)*(EOMONTH($D102,$L102)&gt;=CZ$14)*1)</f>
        <v>0</v>
      </c>
      <c r="DA102" s="75">
        <f t="shared" si="60"/>
        <v>0</v>
      </c>
      <c r="DB102" s="75">
        <f t="shared" si="60"/>
        <v>0</v>
      </c>
      <c r="DC102" s="75">
        <f t="shared" si="60"/>
        <v>0</v>
      </c>
      <c r="DD102" s="75">
        <f t="shared" si="60"/>
        <v>0</v>
      </c>
      <c r="DE102" s="75">
        <f t="shared" si="60"/>
        <v>0</v>
      </c>
      <c r="DF102" s="75">
        <f t="shared" si="60"/>
        <v>0</v>
      </c>
      <c r="DG102" s="75">
        <f t="shared" si="60"/>
        <v>0</v>
      </c>
      <c r="DH102" s="75">
        <f t="shared" si="60"/>
        <v>0</v>
      </c>
      <c r="DI102" s="75">
        <f t="shared" si="60"/>
        <v>0</v>
      </c>
      <c r="DJ102" s="75">
        <f t="shared" si="60"/>
        <v>0</v>
      </c>
      <c r="DK102" s="75">
        <f t="shared" si="60"/>
        <v>0</v>
      </c>
      <c r="DL102" s="75">
        <f t="shared" si="60"/>
        <v>0</v>
      </c>
    </row>
    <row r="103" spans="2:116">
      <c r="B103" s="27" t="str">
        <f>Rentroll!$C$54</f>
        <v>203호</v>
      </c>
      <c r="C103" s="69" t="str">
        <f>VLOOKUP($B103,Rentroll!$C$37:$Z$60,3,FALSE)</f>
        <v>주 052</v>
      </c>
      <c r="D103" s="80">
        <f>VLOOKUP($B103,Rentroll!$C$37:$Z$60,9,FALSE)</f>
        <v>45747</v>
      </c>
      <c r="E103" s="80">
        <f>VLOOKUP($B103,Rentroll!$C$37:$Z$60,10,FALSE)</f>
        <v>47573</v>
      </c>
      <c r="F103" s="81">
        <f>VLOOKUP($B103,Rentroll!$C$37:$Z$60,11,FALSE)</f>
        <v>60</v>
      </c>
      <c r="G103" s="69">
        <f>VLOOKUP($B103,Rentroll!$C$37:$Z$60,13,FALSE)</f>
        <v>130000</v>
      </c>
      <c r="H103" s="69">
        <f>VLOOKUP($B103,Rentroll!$C$37:$Z$60,14,FALSE)</f>
        <v>130000</v>
      </c>
      <c r="I103" s="69">
        <f>VLOOKUP($B103,Rentroll!$C$37:$Z$60,15,FALSE)</f>
        <v>45000</v>
      </c>
      <c r="J103" s="82">
        <f>VLOOKUP($B103,Rentroll!$C$37:$Z$60,19,FALSE)</f>
        <v>0.03</v>
      </c>
      <c r="K103" s="83">
        <f>VLOOKUP($B103,Rentroll!$C$37:$Z$60,4,FALSE)</f>
        <v>346.27249999999998</v>
      </c>
      <c r="L103" s="81">
        <f>VLOOKUP($B103,Rentroll!$C$37:$Z$60,17,FALSE)</f>
        <v>2</v>
      </c>
      <c r="M103" s="84">
        <f>VLOOKUP($B103,Rentroll!$C$37:$Z$60,18,FALSE)</f>
        <v>0</v>
      </c>
      <c r="O103" s="74" t="str">
        <f t="shared" si="51"/>
        <v>203호</v>
      </c>
      <c r="P103" s="75"/>
      <c r="Q103" s="75"/>
      <c r="R103" s="75">
        <f t="shared" ref="R103:AG109" si="61">IF($L103=0,0,(EOMONTH($D103,1)&lt;=R$14)*(EOMONTH($D103,$L103)&gt;=R$14)*1)</f>
        <v>0</v>
      </c>
      <c r="S103" s="75">
        <f t="shared" si="61"/>
        <v>0</v>
      </c>
      <c r="T103" s="75">
        <f t="shared" si="61"/>
        <v>0</v>
      </c>
      <c r="U103" s="75">
        <f t="shared" si="61"/>
        <v>1</v>
      </c>
      <c r="V103" s="75">
        <f t="shared" si="61"/>
        <v>1</v>
      </c>
      <c r="W103" s="75">
        <f t="shared" si="61"/>
        <v>0</v>
      </c>
      <c r="X103" s="75">
        <f t="shared" si="61"/>
        <v>0</v>
      </c>
      <c r="Y103" s="75">
        <f t="shared" si="61"/>
        <v>0</v>
      </c>
      <c r="Z103" s="75">
        <f t="shared" si="61"/>
        <v>0</v>
      </c>
      <c r="AA103" s="75">
        <f t="shared" si="61"/>
        <v>0</v>
      </c>
      <c r="AB103" s="75">
        <f t="shared" si="61"/>
        <v>0</v>
      </c>
      <c r="AC103" s="75">
        <f t="shared" si="61"/>
        <v>0</v>
      </c>
      <c r="AD103" s="75">
        <f t="shared" si="61"/>
        <v>0</v>
      </c>
      <c r="AE103" s="75">
        <f t="shared" si="61"/>
        <v>0</v>
      </c>
      <c r="AF103" s="75">
        <f t="shared" si="61"/>
        <v>0</v>
      </c>
      <c r="AG103" s="75">
        <f t="shared" si="61"/>
        <v>0</v>
      </c>
      <c r="AH103" s="75">
        <f t="shared" si="59"/>
        <v>0</v>
      </c>
      <c r="AI103" s="75">
        <f t="shared" si="59"/>
        <v>0</v>
      </c>
      <c r="AJ103" s="75">
        <f t="shared" si="59"/>
        <v>0</v>
      </c>
      <c r="AK103" s="75">
        <f t="shared" si="59"/>
        <v>0</v>
      </c>
      <c r="AL103" s="75">
        <f t="shared" si="59"/>
        <v>0</v>
      </c>
      <c r="AM103" s="75">
        <f t="shared" si="59"/>
        <v>0</v>
      </c>
      <c r="AN103" s="75">
        <f t="shared" si="59"/>
        <v>0</v>
      </c>
      <c r="AO103" s="75">
        <f t="shared" si="59"/>
        <v>0</v>
      </c>
      <c r="AP103" s="75">
        <f t="shared" si="59"/>
        <v>0</v>
      </c>
      <c r="AQ103" s="75">
        <f t="shared" si="59"/>
        <v>0</v>
      </c>
      <c r="AR103" s="75">
        <f t="shared" si="59"/>
        <v>0</v>
      </c>
      <c r="AS103" s="75">
        <f t="shared" si="59"/>
        <v>0</v>
      </c>
      <c r="AT103" s="75">
        <f t="shared" si="59"/>
        <v>0</v>
      </c>
      <c r="AU103" s="75">
        <f t="shared" si="59"/>
        <v>0</v>
      </c>
      <c r="AV103" s="75">
        <f t="shared" si="59"/>
        <v>0</v>
      </c>
      <c r="AW103" s="75">
        <f t="shared" si="59"/>
        <v>0</v>
      </c>
      <c r="AX103" s="75">
        <f t="shared" si="59"/>
        <v>0</v>
      </c>
      <c r="AY103" s="75">
        <f t="shared" si="59"/>
        <v>0</v>
      </c>
      <c r="AZ103" s="75">
        <f t="shared" si="59"/>
        <v>0</v>
      </c>
      <c r="BA103" s="75">
        <f t="shared" si="59"/>
        <v>0</v>
      </c>
      <c r="BB103" s="75">
        <f t="shared" si="59"/>
        <v>0</v>
      </c>
      <c r="BC103" s="75">
        <f t="shared" si="59"/>
        <v>0</v>
      </c>
      <c r="BD103" s="75">
        <f t="shared" si="59"/>
        <v>0</v>
      </c>
      <c r="BE103" s="75">
        <f t="shared" si="59"/>
        <v>0</v>
      </c>
      <c r="BF103" s="75">
        <f t="shared" si="59"/>
        <v>0</v>
      </c>
      <c r="BG103" s="75">
        <f t="shared" si="59"/>
        <v>0</v>
      </c>
      <c r="BH103" s="75">
        <f t="shared" si="59"/>
        <v>0</v>
      </c>
      <c r="BI103" s="75">
        <f t="shared" si="59"/>
        <v>0</v>
      </c>
      <c r="BJ103" s="75">
        <f t="shared" si="59"/>
        <v>0</v>
      </c>
      <c r="BK103" s="75">
        <f t="shared" si="59"/>
        <v>0</v>
      </c>
      <c r="BL103" s="75">
        <f t="shared" si="59"/>
        <v>0</v>
      </c>
      <c r="BM103" s="75">
        <f t="shared" si="59"/>
        <v>0</v>
      </c>
      <c r="BN103" s="75">
        <f t="shared" si="59"/>
        <v>0</v>
      </c>
      <c r="BO103" s="75">
        <f t="shared" si="59"/>
        <v>0</v>
      </c>
      <c r="BP103" s="75">
        <f t="shared" si="59"/>
        <v>0</v>
      </c>
      <c r="BQ103" s="75">
        <f t="shared" si="59"/>
        <v>0</v>
      </c>
      <c r="BR103" s="75">
        <f t="shared" si="59"/>
        <v>0</v>
      </c>
      <c r="BS103" s="75">
        <f t="shared" si="59"/>
        <v>0</v>
      </c>
      <c r="BT103" s="75">
        <f t="shared" si="59"/>
        <v>0</v>
      </c>
      <c r="BU103" s="75">
        <f t="shared" si="59"/>
        <v>0</v>
      </c>
      <c r="BV103" s="75">
        <f t="shared" si="59"/>
        <v>0</v>
      </c>
      <c r="BW103" s="75">
        <f t="shared" si="59"/>
        <v>0</v>
      </c>
      <c r="BX103" s="75">
        <f t="shared" si="59"/>
        <v>0</v>
      </c>
      <c r="BY103" s="75">
        <f t="shared" si="59"/>
        <v>0</v>
      </c>
      <c r="BZ103" s="75">
        <f t="shared" si="59"/>
        <v>0</v>
      </c>
      <c r="CA103" s="75">
        <f t="shared" si="59"/>
        <v>0</v>
      </c>
      <c r="CB103" s="75">
        <f t="shared" si="59"/>
        <v>0</v>
      </c>
      <c r="CC103" s="75">
        <f t="shared" si="59"/>
        <v>0</v>
      </c>
      <c r="CD103" s="75">
        <f t="shared" si="59"/>
        <v>0</v>
      </c>
      <c r="CE103" s="75">
        <f t="shared" si="58"/>
        <v>0</v>
      </c>
      <c r="CF103" s="75">
        <f t="shared" si="58"/>
        <v>0</v>
      </c>
      <c r="CG103" s="75">
        <f t="shared" si="58"/>
        <v>0</v>
      </c>
      <c r="CH103" s="75">
        <f t="shared" ref="CH103:DL103" si="62">IF($L103=0,0,(EOMONTH($D103,1)&lt;=CH$14)*(EOMONTH($D103,$L103)&gt;=CH$14)*1)</f>
        <v>0</v>
      </c>
      <c r="CI103" s="75">
        <f t="shared" si="62"/>
        <v>0</v>
      </c>
      <c r="CJ103" s="75">
        <f t="shared" si="62"/>
        <v>0</v>
      </c>
      <c r="CK103" s="75">
        <f t="shared" si="62"/>
        <v>0</v>
      </c>
      <c r="CL103" s="75">
        <f t="shared" si="62"/>
        <v>0</v>
      </c>
      <c r="CM103" s="75">
        <f t="shared" si="62"/>
        <v>0</v>
      </c>
      <c r="CN103" s="75">
        <f t="shared" si="62"/>
        <v>0</v>
      </c>
      <c r="CO103" s="75">
        <f t="shared" si="62"/>
        <v>0</v>
      </c>
      <c r="CP103" s="75">
        <f t="shared" si="62"/>
        <v>0</v>
      </c>
      <c r="CQ103" s="75">
        <f t="shared" si="62"/>
        <v>0</v>
      </c>
      <c r="CR103" s="75">
        <f t="shared" si="62"/>
        <v>0</v>
      </c>
      <c r="CS103" s="75">
        <f t="shared" si="62"/>
        <v>0</v>
      </c>
      <c r="CT103" s="75">
        <f t="shared" si="62"/>
        <v>0</v>
      </c>
      <c r="CU103" s="75">
        <f t="shared" si="62"/>
        <v>0</v>
      </c>
      <c r="CV103" s="75">
        <f t="shared" si="62"/>
        <v>0</v>
      </c>
      <c r="CW103" s="75">
        <f t="shared" si="62"/>
        <v>0</v>
      </c>
      <c r="CX103" s="75">
        <f t="shared" si="62"/>
        <v>0</v>
      </c>
      <c r="CY103" s="75">
        <f t="shared" si="62"/>
        <v>0</v>
      </c>
      <c r="CZ103" s="75">
        <f t="shared" si="62"/>
        <v>0</v>
      </c>
      <c r="DA103" s="75">
        <f t="shared" si="62"/>
        <v>0</v>
      </c>
      <c r="DB103" s="75">
        <f t="shared" si="62"/>
        <v>0</v>
      </c>
      <c r="DC103" s="75">
        <f t="shared" si="62"/>
        <v>0</v>
      </c>
      <c r="DD103" s="75">
        <f t="shared" si="62"/>
        <v>0</v>
      </c>
      <c r="DE103" s="75">
        <f t="shared" si="62"/>
        <v>0</v>
      </c>
      <c r="DF103" s="75">
        <f t="shared" si="62"/>
        <v>0</v>
      </c>
      <c r="DG103" s="75">
        <f t="shared" si="62"/>
        <v>0</v>
      </c>
      <c r="DH103" s="75">
        <f t="shared" si="62"/>
        <v>0</v>
      </c>
      <c r="DI103" s="75">
        <f t="shared" si="62"/>
        <v>0</v>
      </c>
      <c r="DJ103" s="75">
        <f t="shared" si="62"/>
        <v>0</v>
      </c>
      <c r="DK103" s="75">
        <f t="shared" si="62"/>
        <v>0</v>
      </c>
      <c r="DL103" s="75">
        <f t="shared" si="62"/>
        <v>0</v>
      </c>
    </row>
    <row r="104" spans="2:116">
      <c r="B104" s="27" t="str">
        <f>Rentroll!$C$55</f>
        <v>204호</v>
      </c>
      <c r="C104" s="69" t="str">
        <f>VLOOKUP($B104,Rentroll!$C$37:$Z$60,3,FALSE)</f>
        <v>바이닐 청계</v>
      </c>
      <c r="D104" s="80">
        <f>VLOOKUP($B104,Rentroll!$C$37:$Z$60,9,FALSE)</f>
        <v>45747</v>
      </c>
      <c r="E104" s="80">
        <f>VLOOKUP($B104,Rentroll!$C$37:$Z$60,10,FALSE)</f>
        <v>47573</v>
      </c>
      <c r="F104" s="81">
        <f>VLOOKUP($B104,Rentroll!$C$37:$Z$60,11,FALSE)</f>
        <v>60</v>
      </c>
      <c r="G104" s="69">
        <f>VLOOKUP($B104,Rentroll!$C$37:$Z$60,13,FALSE)</f>
        <v>130000</v>
      </c>
      <c r="H104" s="69">
        <f>VLOOKUP($B104,Rentroll!$C$37:$Z$60,14,FALSE)</f>
        <v>130000</v>
      </c>
      <c r="I104" s="69">
        <f>VLOOKUP($B104,Rentroll!$C$37:$Z$60,15,FALSE)</f>
        <v>45000</v>
      </c>
      <c r="J104" s="82">
        <f>VLOOKUP($B104,Rentroll!$C$37:$Z$60,19,FALSE)</f>
        <v>0.03</v>
      </c>
      <c r="K104" s="83">
        <f>VLOOKUP($B104,Rentroll!$C$37:$Z$60,4,FALSE)</f>
        <v>346.27249999999998</v>
      </c>
      <c r="L104" s="81">
        <f>VLOOKUP($B104,Rentroll!$C$37:$Z$60,17,FALSE)</f>
        <v>2</v>
      </c>
      <c r="M104" s="84">
        <f>VLOOKUP($B104,Rentroll!$C$37:$Z$60,18,FALSE)</f>
        <v>0</v>
      </c>
      <c r="O104" s="26" t="str">
        <f t="shared" si="51"/>
        <v>204호</v>
      </c>
      <c r="P104" s="76"/>
      <c r="Q104" s="76"/>
      <c r="R104" s="75">
        <f>IF($L104=0,0,(EOMONTH($D104,0)&lt;=R$14)*(EOMONTH($D104,$L104-1)&gt;=R$14)*1)</f>
        <v>0</v>
      </c>
      <c r="S104" s="76">
        <f t="shared" ref="S104:CD104" si="63">IF($L104=0,0,(EOMONTH($D104,0)&lt;=S$14)*(EOMONTH($D104,$L104-1)&gt;=S$14)*1)</f>
        <v>0</v>
      </c>
      <c r="T104" s="76">
        <f t="shared" si="63"/>
        <v>1</v>
      </c>
      <c r="U104" s="76">
        <f t="shared" si="63"/>
        <v>1</v>
      </c>
      <c r="V104" s="76">
        <f t="shared" si="63"/>
        <v>0</v>
      </c>
      <c r="W104" s="76">
        <f t="shared" si="63"/>
        <v>0</v>
      </c>
      <c r="X104" s="76">
        <f t="shared" si="63"/>
        <v>0</v>
      </c>
      <c r="Y104" s="76">
        <f t="shared" si="63"/>
        <v>0</v>
      </c>
      <c r="Z104" s="76">
        <f t="shared" si="63"/>
        <v>0</v>
      </c>
      <c r="AA104" s="76">
        <f t="shared" si="63"/>
        <v>0</v>
      </c>
      <c r="AB104" s="76">
        <f t="shared" si="63"/>
        <v>0</v>
      </c>
      <c r="AC104" s="76">
        <f t="shared" si="63"/>
        <v>0</v>
      </c>
      <c r="AD104" s="76">
        <f t="shared" si="63"/>
        <v>0</v>
      </c>
      <c r="AE104" s="76">
        <f t="shared" si="63"/>
        <v>0</v>
      </c>
      <c r="AF104" s="76">
        <f t="shared" si="63"/>
        <v>0</v>
      </c>
      <c r="AG104" s="76">
        <f t="shared" si="63"/>
        <v>0</v>
      </c>
      <c r="AH104" s="76">
        <f t="shared" si="63"/>
        <v>0</v>
      </c>
      <c r="AI104" s="76">
        <f t="shared" si="63"/>
        <v>0</v>
      </c>
      <c r="AJ104" s="76">
        <f t="shared" si="63"/>
        <v>0</v>
      </c>
      <c r="AK104" s="76">
        <f t="shared" si="63"/>
        <v>0</v>
      </c>
      <c r="AL104" s="76">
        <f t="shared" si="63"/>
        <v>0</v>
      </c>
      <c r="AM104" s="76">
        <f t="shared" si="63"/>
        <v>0</v>
      </c>
      <c r="AN104" s="76">
        <f t="shared" si="63"/>
        <v>0</v>
      </c>
      <c r="AO104" s="76">
        <f t="shared" si="63"/>
        <v>0</v>
      </c>
      <c r="AP104" s="76">
        <f t="shared" si="63"/>
        <v>0</v>
      </c>
      <c r="AQ104" s="76">
        <f t="shared" si="63"/>
        <v>0</v>
      </c>
      <c r="AR104" s="76">
        <f t="shared" si="63"/>
        <v>0</v>
      </c>
      <c r="AS104" s="76">
        <f t="shared" si="63"/>
        <v>0</v>
      </c>
      <c r="AT104" s="76">
        <f t="shared" si="63"/>
        <v>0</v>
      </c>
      <c r="AU104" s="76">
        <f t="shared" si="63"/>
        <v>0</v>
      </c>
      <c r="AV104" s="76">
        <f t="shared" si="63"/>
        <v>0</v>
      </c>
      <c r="AW104" s="76">
        <f t="shared" si="63"/>
        <v>0</v>
      </c>
      <c r="AX104" s="76">
        <f t="shared" si="63"/>
        <v>0</v>
      </c>
      <c r="AY104" s="76">
        <f t="shared" si="63"/>
        <v>0</v>
      </c>
      <c r="AZ104" s="76">
        <f t="shared" si="63"/>
        <v>0</v>
      </c>
      <c r="BA104" s="76">
        <f t="shared" si="63"/>
        <v>0</v>
      </c>
      <c r="BB104" s="76">
        <f t="shared" si="63"/>
        <v>0</v>
      </c>
      <c r="BC104" s="76">
        <f t="shared" si="63"/>
        <v>0</v>
      </c>
      <c r="BD104" s="76">
        <f t="shared" si="63"/>
        <v>0</v>
      </c>
      <c r="BE104" s="76">
        <f t="shared" si="63"/>
        <v>0</v>
      </c>
      <c r="BF104" s="76">
        <f t="shared" si="63"/>
        <v>0</v>
      </c>
      <c r="BG104" s="76">
        <f t="shared" si="63"/>
        <v>0</v>
      </c>
      <c r="BH104" s="76">
        <f t="shared" si="63"/>
        <v>0</v>
      </c>
      <c r="BI104" s="76">
        <f t="shared" si="63"/>
        <v>0</v>
      </c>
      <c r="BJ104" s="76">
        <f t="shared" si="63"/>
        <v>0</v>
      </c>
      <c r="BK104" s="76">
        <f t="shared" si="63"/>
        <v>0</v>
      </c>
      <c r="BL104" s="76">
        <f t="shared" si="63"/>
        <v>0</v>
      </c>
      <c r="BM104" s="76">
        <f t="shared" si="63"/>
        <v>0</v>
      </c>
      <c r="BN104" s="76">
        <f t="shared" si="63"/>
        <v>0</v>
      </c>
      <c r="BO104" s="76">
        <f t="shared" si="63"/>
        <v>0</v>
      </c>
      <c r="BP104" s="76">
        <f t="shared" si="63"/>
        <v>0</v>
      </c>
      <c r="BQ104" s="76">
        <f t="shared" si="63"/>
        <v>0</v>
      </c>
      <c r="BR104" s="76">
        <f t="shared" si="63"/>
        <v>0</v>
      </c>
      <c r="BS104" s="76">
        <f t="shared" si="63"/>
        <v>0</v>
      </c>
      <c r="BT104" s="76">
        <f t="shared" si="63"/>
        <v>0</v>
      </c>
      <c r="BU104" s="76">
        <f t="shared" si="63"/>
        <v>0</v>
      </c>
      <c r="BV104" s="76">
        <f t="shared" si="63"/>
        <v>0</v>
      </c>
      <c r="BW104" s="76">
        <f t="shared" si="63"/>
        <v>0</v>
      </c>
      <c r="BX104" s="76">
        <f t="shared" si="63"/>
        <v>0</v>
      </c>
      <c r="BY104" s="76">
        <f t="shared" si="63"/>
        <v>0</v>
      </c>
      <c r="BZ104" s="76">
        <f t="shared" si="63"/>
        <v>0</v>
      </c>
      <c r="CA104" s="76">
        <f t="shared" si="63"/>
        <v>0</v>
      </c>
      <c r="CB104" s="76">
        <f t="shared" si="63"/>
        <v>0</v>
      </c>
      <c r="CC104" s="76">
        <f t="shared" si="63"/>
        <v>0</v>
      </c>
      <c r="CD104" s="76">
        <f t="shared" si="63"/>
        <v>0</v>
      </c>
      <c r="CE104" s="76">
        <f t="shared" ref="CE104:DL104" si="64">IF($L104=0,0,(EOMONTH($D104,0)&lt;=CE$14)*(EOMONTH($D104,$L104-1)&gt;=CE$14)*1)</f>
        <v>0</v>
      </c>
      <c r="CF104" s="76">
        <f t="shared" si="64"/>
        <v>0</v>
      </c>
      <c r="CG104" s="76">
        <f t="shared" si="64"/>
        <v>0</v>
      </c>
      <c r="CH104" s="76">
        <f t="shared" si="64"/>
        <v>0</v>
      </c>
      <c r="CI104" s="76">
        <f t="shared" si="64"/>
        <v>0</v>
      </c>
      <c r="CJ104" s="76">
        <f t="shared" si="64"/>
        <v>0</v>
      </c>
      <c r="CK104" s="76">
        <f t="shared" si="64"/>
        <v>0</v>
      </c>
      <c r="CL104" s="76">
        <f t="shared" si="64"/>
        <v>0</v>
      </c>
      <c r="CM104" s="76">
        <f t="shared" si="64"/>
        <v>0</v>
      </c>
      <c r="CN104" s="76">
        <f t="shared" si="64"/>
        <v>0</v>
      </c>
      <c r="CO104" s="76">
        <f t="shared" si="64"/>
        <v>0</v>
      </c>
      <c r="CP104" s="76">
        <f t="shared" si="64"/>
        <v>0</v>
      </c>
      <c r="CQ104" s="76">
        <f t="shared" si="64"/>
        <v>0</v>
      </c>
      <c r="CR104" s="76">
        <f t="shared" si="64"/>
        <v>0</v>
      </c>
      <c r="CS104" s="76">
        <f t="shared" si="64"/>
        <v>0</v>
      </c>
      <c r="CT104" s="76">
        <f t="shared" si="64"/>
        <v>0</v>
      </c>
      <c r="CU104" s="76">
        <f t="shared" si="64"/>
        <v>0</v>
      </c>
      <c r="CV104" s="76">
        <f t="shared" si="64"/>
        <v>0</v>
      </c>
      <c r="CW104" s="76">
        <f t="shared" si="64"/>
        <v>0</v>
      </c>
      <c r="CX104" s="76">
        <f t="shared" si="64"/>
        <v>0</v>
      </c>
      <c r="CY104" s="76">
        <f t="shared" si="64"/>
        <v>0</v>
      </c>
      <c r="CZ104" s="76">
        <f t="shared" si="64"/>
        <v>0</v>
      </c>
      <c r="DA104" s="76">
        <f t="shared" si="64"/>
        <v>0</v>
      </c>
      <c r="DB104" s="76">
        <f t="shared" si="64"/>
        <v>0</v>
      </c>
      <c r="DC104" s="76">
        <f t="shared" si="64"/>
        <v>0</v>
      </c>
      <c r="DD104" s="76">
        <f t="shared" si="64"/>
        <v>0</v>
      </c>
      <c r="DE104" s="76">
        <f t="shared" si="64"/>
        <v>0</v>
      </c>
      <c r="DF104" s="76">
        <f t="shared" si="64"/>
        <v>0</v>
      </c>
      <c r="DG104" s="76">
        <f t="shared" si="64"/>
        <v>0</v>
      </c>
      <c r="DH104" s="76">
        <f t="shared" si="64"/>
        <v>0</v>
      </c>
      <c r="DI104" s="76">
        <f t="shared" si="64"/>
        <v>0</v>
      </c>
      <c r="DJ104" s="76">
        <f t="shared" si="64"/>
        <v>0</v>
      </c>
      <c r="DK104" s="76">
        <f t="shared" si="64"/>
        <v>0</v>
      </c>
      <c r="DL104" s="76">
        <f t="shared" si="64"/>
        <v>0</v>
      </c>
    </row>
    <row r="105" spans="2:116">
      <c r="B105" s="28" t="str">
        <f>Rentroll!$C$56</f>
        <v>101호</v>
      </c>
      <c r="C105" s="69" t="str">
        <f>VLOOKUP($B105,Rentroll!$C$37:$Z$60,3,FALSE)</f>
        <v>카페 1리터</v>
      </c>
      <c r="D105" s="80">
        <f>VLOOKUP($B105,Rentroll!$C$37:$Z$60,9,FALSE)</f>
        <v>45838</v>
      </c>
      <c r="E105" s="80">
        <f>VLOOKUP($B105,Rentroll!$C$37:$Z$60,10,FALSE)</f>
        <v>47634</v>
      </c>
      <c r="F105" s="81">
        <f>VLOOKUP($B105,Rentroll!$C$37:$Z$60,11,FALSE)</f>
        <v>60</v>
      </c>
      <c r="G105" s="69">
        <f>VLOOKUP($B105,Rentroll!$C$37:$Z$60,13,FALSE)</f>
        <v>150000</v>
      </c>
      <c r="H105" s="69">
        <f>VLOOKUP($B105,Rentroll!$C$37:$Z$60,14,FALSE)</f>
        <v>150000</v>
      </c>
      <c r="I105" s="69">
        <f>VLOOKUP($B105,Rentroll!$C$37:$Z$60,15,FALSE)</f>
        <v>45000</v>
      </c>
      <c r="J105" s="82">
        <f>VLOOKUP($B105,Rentroll!$C$37:$Z$60,19,FALSE)</f>
        <v>0.03</v>
      </c>
      <c r="K105" s="83">
        <f>VLOOKUP($B105,Rentroll!$C$37:$Z$60,4,FALSE)</f>
        <v>484.78</v>
      </c>
      <c r="L105" s="81">
        <f>VLOOKUP($B105,Rentroll!$C$37:$Z$60,17,FALSE)</f>
        <v>1</v>
      </c>
      <c r="M105" s="84">
        <f>VLOOKUP($B105,Rentroll!$C$37:$Z$60,18,FALSE)</f>
        <v>0</v>
      </c>
      <c r="O105" s="74" t="str">
        <f t="shared" ref="O105:O109" si="65">B105</f>
        <v>101호</v>
      </c>
      <c r="P105" s="75"/>
      <c r="Q105" s="75"/>
      <c r="R105" s="75">
        <f t="shared" si="61"/>
        <v>0</v>
      </c>
      <c r="S105" s="75">
        <f t="shared" ref="S105:CD109" si="66">IF($L105=0,0,(EOMONTH($D105,1)&lt;=S$14)*(EOMONTH($D105,$L105)&gt;=S$14)*1)</f>
        <v>0</v>
      </c>
      <c r="T105" s="75">
        <f t="shared" si="66"/>
        <v>0</v>
      </c>
      <c r="U105" s="75">
        <f t="shared" si="66"/>
        <v>0</v>
      </c>
      <c r="V105" s="75">
        <f t="shared" si="66"/>
        <v>0</v>
      </c>
      <c r="W105" s="75">
        <f t="shared" si="66"/>
        <v>0</v>
      </c>
      <c r="X105" s="75">
        <f t="shared" si="66"/>
        <v>1</v>
      </c>
      <c r="Y105" s="75">
        <f t="shared" si="66"/>
        <v>0</v>
      </c>
      <c r="Z105" s="75">
        <f t="shared" si="66"/>
        <v>0</v>
      </c>
      <c r="AA105" s="75">
        <f t="shared" si="66"/>
        <v>0</v>
      </c>
      <c r="AB105" s="75">
        <f t="shared" si="66"/>
        <v>0</v>
      </c>
      <c r="AC105" s="75">
        <f t="shared" si="66"/>
        <v>0</v>
      </c>
      <c r="AD105" s="75">
        <f t="shared" si="66"/>
        <v>0</v>
      </c>
      <c r="AE105" s="75">
        <f t="shared" si="66"/>
        <v>0</v>
      </c>
      <c r="AF105" s="75">
        <f t="shared" si="66"/>
        <v>0</v>
      </c>
      <c r="AG105" s="75">
        <f t="shared" si="66"/>
        <v>0</v>
      </c>
      <c r="AH105" s="75">
        <f t="shared" si="66"/>
        <v>0</v>
      </c>
      <c r="AI105" s="75">
        <f t="shared" si="66"/>
        <v>0</v>
      </c>
      <c r="AJ105" s="75">
        <f t="shared" si="66"/>
        <v>0</v>
      </c>
      <c r="AK105" s="75">
        <f t="shared" si="66"/>
        <v>0</v>
      </c>
      <c r="AL105" s="75">
        <f t="shared" si="66"/>
        <v>0</v>
      </c>
      <c r="AM105" s="75">
        <f t="shared" si="66"/>
        <v>0</v>
      </c>
      <c r="AN105" s="75">
        <f t="shared" si="66"/>
        <v>0</v>
      </c>
      <c r="AO105" s="75">
        <f t="shared" si="66"/>
        <v>0</v>
      </c>
      <c r="AP105" s="75">
        <f t="shared" si="66"/>
        <v>0</v>
      </c>
      <c r="AQ105" s="75">
        <f t="shared" si="66"/>
        <v>0</v>
      </c>
      <c r="AR105" s="75">
        <f t="shared" si="66"/>
        <v>0</v>
      </c>
      <c r="AS105" s="75">
        <f t="shared" si="66"/>
        <v>0</v>
      </c>
      <c r="AT105" s="75">
        <f t="shared" si="66"/>
        <v>0</v>
      </c>
      <c r="AU105" s="75">
        <f t="shared" si="66"/>
        <v>0</v>
      </c>
      <c r="AV105" s="75">
        <f t="shared" si="66"/>
        <v>0</v>
      </c>
      <c r="AW105" s="75">
        <f t="shared" si="66"/>
        <v>0</v>
      </c>
      <c r="AX105" s="75">
        <f t="shared" si="66"/>
        <v>0</v>
      </c>
      <c r="AY105" s="75">
        <f t="shared" si="66"/>
        <v>0</v>
      </c>
      <c r="AZ105" s="75">
        <f t="shared" si="66"/>
        <v>0</v>
      </c>
      <c r="BA105" s="75">
        <f t="shared" si="66"/>
        <v>0</v>
      </c>
      <c r="BB105" s="75">
        <f t="shared" si="66"/>
        <v>0</v>
      </c>
      <c r="BC105" s="75">
        <f t="shared" si="66"/>
        <v>0</v>
      </c>
      <c r="BD105" s="75">
        <f t="shared" si="66"/>
        <v>0</v>
      </c>
      <c r="BE105" s="75">
        <f t="shared" si="66"/>
        <v>0</v>
      </c>
      <c r="BF105" s="75">
        <f t="shared" si="66"/>
        <v>0</v>
      </c>
      <c r="BG105" s="75">
        <f t="shared" si="66"/>
        <v>0</v>
      </c>
      <c r="BH105" s="75">
        <f t="shared" si="66"/>
        <v>0</v>
      </c>
      <c r="BI105" s="75">
        <f t="shared" si="66"/>
        <v>0</v>
      </c>
      <c r="BJ105" s="75">
        <f t="shared" si="66"/>
        <v>0</v>
      </c>
      <c r="BK105" s="75">
        <f t="shared" si="66"/>
        <v>0</v>
      </c>
      <c r="BL105" s="75">
        <f t="shared" si="66"/>
        <v>0</v>
      </c>
      <c r="BM105" s="75">
        <f t="shared" si="66"/>
        <v>0</v>
      </c>
      <c r="BN105" s="75">
        <f t="shared" si="66"/>
        <v>0</v>
      </c>
      <c r="BO105" s="75">
        <f t="shared" si="66"/>
        <v>0</v>
      </c>
      <c r="BP105" s="75">
        <f t="shared" si="66"/>
        <v>0</v>
      </c>
      <c r="BQ105" s="75">
        <f t="shared" si="66"/>
        <v>0</v>
      </c>
      <c r="BR105" s="75">
        <f t="shared" si="66"/>
        <v>0</v>
      </c>
      <c r="BS105" s="75">
        <f t="shared" si="66"/>
        <v>0</v>
      </c>
      <c r="BT105" s="75">
        <f t="shared" si="66"/>
        <v>0</v>
      </c>
      <c r="BU105" s="75">
        <f t="shared" si="66"/>
        <v>0</v>
      </c>
      <c r="BV105" s="75">
        <f t="shared" si="66"/>
        <v>0</v>
      </c>
      <c r="BW105" s="75">
        <f t="shared" si="66"/>
        <v>0</v>
      </c>
      <c r="BX105" s="75">
        <f t="shared" si="66"/>
        <v>0</v>
      </c>
      <c r="BY105" s="75">
        <f t="shared" si="66"/>
        <v>0</v>
      </c>
      <c r="BZ105" s="75">
        <f t="shared" si="66"/>
        <v>0</v>
      </c>
      <c r="CA105" s="75">
        <f t="shared" si="66"/>
        <v>0</v>
      </c>
      <c r="CB105" s="75">
        <f t="shared" si="66"/>
        <v>0</v>
      </c>
      <c r="CC105" s="75">
        <f t="shared" si="66"/>
        <v>0</v>
      </c>
      <c r="CD105" s="75">
        <f t="shared" si="66"/>
        <v>0</v>
      </c>
      <c r="CE105" s="75">
        <f t="shared" ref="CE105:DL108" si="67">IF($L105=0,0,(EOMONTH($D105,1)&lt;=CE$14)*(EOMONTH($D105,$L105)&gt;=CE$14)*1)</f>
        <v>0</v>
      </c>
      <c r="CF105" s="75">
        <f t="shared" si="67"/>
        <v>0</v>
      </c>
      <c r="CG105" s="75">
        <f t="shared" si="67"/>
        <v>0</v>
      </c>
      <c r="CH105" s="75">
        <f t="shared" si="67"/>
        <v>0</v>
      </c>
      <c r="CI105" s="75">
        <f t="shared" si="67"/>
        <v>0</v>
      </c>
      <c r="CJ105" s="75">
        <f t="shared" si="67"/>
        <v>0</v>
      </c>
      <c r="CK105" s="75">
        <f t="shared" si="67"/>
        <v>0</v>
      </c>
      <c r="CL105" s="75">
        <f t="shared" si="67"/>
        <v>0</v>
      </c>
      <c r="CM105" s="75">
        <f t="shared" si="67"/>
        <v>0</v>
      </c>
      <c r="CN105" s="75">
        <f t="shared" si="67"/>
        <v>0</v>
      </c>
      <c r="CO105" s="75">
        <f t="shared" si="67"/>
        <v>0</v>
      </c>
      <c r="CP105" s="75">
        <f t="shared" si="67"/>
        <v>0</v>
      </c>
      <c r="CQ105" s="75">
        <f t="shared" si="67"/>
        <v>0</v>
      </c>
      <c r="CR105" s="75">
        <f t="shared" si="67"/>
        <v>0</v>
      </c>
      <c r="CS105" s="75">
        <f t="shared" si="67"/>
        <v>0</v>
      </c>
      <c r="CT105" s="75">
        <f t="shared" si="67"/>
        <v>0</v>
      </c>
      <c r="CU105" s="75">
        <f t="shared" si="67"/>
        <v>0</v>
      </c>
      <c r="CV105" s="75">
        <f t="shared" si="67"/>
        <v>0</v>
      </c>
      <c r="CW105" s="75">
        <f t="shared" si="67"/>
        <v>0</v>
      </c>
      <c r="CX105" s="75">
        <f t="shared" si="67"/>
        <v>0</v>
      </c>
      <c r="CY105" s="75">
        <f t="shared" si="67"/>
        <v>0</v>
      </c>
      <c r="CZ105" s="75">
        <f t="shared" si="67"/>
        <v>0</v>
      </c>
      <c r="DA105" s="75">
        <f t="shared" si="67"/>
        <v>0</v>
      </c>
      <c r="DB105" s="75">
        <f t="shared" si="67"/>
        <v>0</v>
      </c>
      <c r="DC105" s="75">
        <f t="shared" si="67"/>
        <v>0</v>
      </c>
      <c r="DD105" s="75">
        <f t="shared" si="67"/>
        <v>0</v>
      </c>
      <c r="DE105" s="75">
        <f t="shared" si="67"/>
        <v>0</v>
      </c>
      <c r="DF105" s="75">
        <f t="shared" si="67"/>
        <v>0</v>
      </c>
      <c r="DG105" s="75">
        <f t="shared" si="67"/>
        <v>0</v>
      </c>
      <c r="DH105" s="75">
        <f t="shared" si="67"/>
        <v>0</v>
      </c>
      <c r="DI105" s="75">
        <f t="shared" si="67"/>
        <v>0</v>
      </c>
      <c r="DJ105" s="75">
        <f t="shared" si="67"/>
        <v>0</v>
      </c>
      <c r="DK105" s="75">
        <f t="shared" si="67"/>
        <v>0</v>
      </c>
      <c r="DL105" s="75">
        <f t="shared" si="67"/>
        <v>0</v>
      </c>
    </row>
    <row r="106" spans="2:116">
      <c r="B106" s="28" t="str">
        <f>Rentroll!$C$57</f>
        <v>102호</v>
      </c>
      <c r="C106" s="69" t="str">
        <f>VLOOKUP($B106,Rentroll!$C$37:$Z$60,3,FALSE)</f>
        <v>DOTZ</v>
      </c>
      <c r="D106" s="80">
        <f>VLOOKUP($B106,Rentroll!$C$37:$Z$60,9,FALSE)</f>
        <v>45838</v>
      </c>
      <c r="E106" s="80">
        <f>VLOOKUP($B106,Rentroll!$C$37:$Z$60,10,FALSE)</f>
        <v>47634</v>
      </c>
      <c r="F106" s="81">
        <f>VLOOKUP($B106,Rentroll!$C$37:$Z$60,11,FALSE)</f>
        <v>60</v>
      </c>
      <c r="G106" s="69">
        <f>VLOOKUP($B106,Rentroll!$C$37:$Z$60,13,FALSE)</f>
        <v>150000</v>
      </c>
      <c r="H106" s="69">
        <f>VLOOKUP($B106,Rentroll!$C$37:$Z$60,14,FALSE)</f>
        <v>150000</v>
      </c>
      <c r="I106" s="69">
        <f>VLOOKUP($B106,Rentroll!$C$37:$Z$60,15,FALSE)</f>
        <v>45000</v>
      </c>
      <c r="J106" s="82">
        <f>VLOOKUP($B106,Rentroll!$C$37:$Z$60,19,FALSE)</f>
        <v>0.03</v>
      </c>
      <c r="K106" s="83">
        <f>VLOOKUP($B106,Rentroll!$C$37:$Z$60,4,FALSE)</f>
        <v>484.78</v>
      </c>
      <c r="L106" s="81">
        <f>VLOOKUP($B106,Rentroll!$C$37:$Z$60,17,FALSE)</f>
        <v>1</v>
      </c>
      <c r="M106" s="84">
        <f>VLOOKUP($B106,Rentroll!$C$37:$Z$60,18,FALSE)</f>
        <v>0</v>
      </c>
      <c r="O106" s="74" t="str">
        <f t="shared" si="65"/>
        <v>102호</v>
      </c>
      <c r="P106" s="75"/>
      <c r="Q106" s="75"/>
      <c r="R106" s="75">
        <f t="shared" si="61"/>
        <v>0</v>
      </c>
      <c r="S106" s="75">
        <f t="shared" si="66"/>
        <v>0</v>
      </c>
      <c r="T106" s="75">
        <f t="shared" si="66"/>
        <v>0</v>
      </c>
      <c r="U106" s="75">
        <f t="shared" si="66"/>
        <v>0</v>
      </c>
      <c r="V106" s="75">
        <f t="shared" si="66"/>
        <v>0</v>
      </c>
      <c r="W106" s="75">
        <f t="shared" si="66"/>
        <v>0</v>
      </c>
      <c r="X106" s="75">
        <f t="shared" si="66"/>
        <v>1</v>
      </c>
      <c r="Y106" s="75">
        <f t="shared" si="66"/>
        <v>0</v>
      </c>
      <c r="Z106" s="75">
        <f t="shared" si="66"/>
        <v>0</v>
      </c>
      <c r="AA106" s="75">
        <f t="shared" si="66"/>
        <v>0</v>
      </c>
      <c r="AB106" s="75">
        <f t="shared" si="66"/>
        <v>0</v>
      </c>
      <c r="AC106" s="75">
        <f t="shared" si="66"/>
        <v>0</v>
      </c>
      <c r="AD106" s="75">
        <f t="shared" si="66"/>
        <v>0</v>
      </c>
      <c r="AE106" s="75">
        <f t="shared" si="66"/>
        <v>0</v>
      </c>
      <c r="AF106" s="75">
        <f t="shared" si="66"/>
        <v>0</v>
      </c>
      <c r="AG106" s="75">
        <f t="shared" si="66"/>
        <v>0</v>
      </c>
      <c r="AH106" s="75">
        <f t="shared" si="66"/>
        <v>0</v>
      </c>
      <c r="AI106" s="75">
        <f t="shared" si="66"/>
        <v>0</v>
      </c>
      <c r="AJ106" s="75">
        <f t="shared" si="66"/>
        <v>0</v>
      </c>
      <c r="AK106" s="75">
        <f t="shared" si="66"/>
        <v>0</v>
      </c>
      <c r="AL106" s="75">
        <f t="shared" si="66"/>
        <v>0</v>
      </c>
      <c r="AM106" s="75">
        <f t="shared" si="66"/>
        <v>0</v>
      </c>
      <c r="AN106" s="75">
        <f t="shared" si="66"/>
        <v>0</v>
      </c>
      <c r="AO106" s="75">
        <f t="shared" si="66"/>
        <v>0</v>
      </c>
      <c r="AP106" s="75">
        <f t="shared" si="66"/>
        <v>0</v>
      </c>
      <c r="AQ106" s="75">
        <f t="shared" si="66"/>
        <v>0</v>
      </c>
      <c r="AR106" s="75">
        <f t="shared" si="66"/>
        <v>0</v>
      </c>
      <c r="AS106" s="75">
        <f t="shared" si="66"/>
        <v>0</v>
      </c>
      <c r="AT106" s="75">
        <f t="shared" si="66"/>
        <v>0</v>
      </c>
      <c r="AU106" s="75">
        <f t="shared" si="66"/>
        <v>0</v>
      </c>
      <c r="AV106" s="75">
        <f t="shared" si="66"/>
        <v>0</v>
      </c>
      <c r="AW106" s="75">
        <f t="shared" si="66"/>
        <v>0</v>
      </c>
      <c r="AX106" s="75">
        <f t="shared" si="66"/>
        <v>0</v>
      </c>
      <c r="AY106" s="75">
        <f t="shared" si="66"/>
        <v>0</v>
      </c>
      <c r="AZ106" s="75">
        <f t="shared" si="66"/>
        <v>0</v>
      </c>
      <c r="BA106" s="75">
        <f t="shared" si="66"/>
        <v>0</v>
      </c>
      <c r="BB106" s="75">
        <f t="shared" si="66"/>
        <v>0</v>
      </c>
      <c r="BC106" s="75">
        <f t="shared" si="66"/>
        <v>0</v>
      </c>
      <c r="BD106" s="75">
        <f t="shared" si="66"/>
        <v>0</v>
      </c>
      <c r="BE106" s="75">
        <f t="shared" si="66"/>
        <v>0</v>
      </c>
      <c r="BF106" s="75">
        <f t="shared" si="66"/>
        <v>0</v>
      </c>
      <c r="BG106" s="75">
        <f t="shared" si="66"/>
        <v>0</v>
      </c>
      <c r="BH106" s="75">
        <f t="shared" si="66"/>
        <v>0</v>
      </c>
      <c r="BI106" s="75">
        <f t="shared" si="66"/>
        <v>0</v>
      </c>
      <c r="BJ106" s="75">
        <f t="shared" si="66"/>
        <v>0</v>
      </c>
      <c r="BK106" s="75">
        <f t="shared" si="66"/>
        <v>0</v>
      </c>
      <c r="BL106" s="75">
        <f t="shared" si="66"/>
        <v>0</v>
      </c>
      <c r="BM106" s="75">
        <f t="shared" si="66"/>
        <v>0</v>
      </c>
      <c r="BN106" s="75">
        <f t="shared" si="66"/>
        <v>0</v>
      </c>
      <c r="BO106" s="75">
        <f t="shared" si="66"/>
        <v>0</v>
      </c>
      <c r="BP106" s="75">
        <f t="shared" si="66"/>
        <v>0</v>
      </c>
      <c r="BQ106" s="75">
        <f t="shared" si="66"/>
        <v>0</v>
      </c>
      <c r="BR106" s="75">
        <f t="shared" si="66"/>
        <v>0</v>
      </c>
      <c r="BS106" s="75">
        <f t="shared" si="66"/>
        <v>0</v>
      </c>
      <c r="BT106" s="75">
        <f t="shared" si="66"/>
        <v>0</v>
      </c>
      <c r="BU106" s="75">
        <f t="shared" si="66"/>
        <v>0</v>
      </c>
      <c r="BV106" s="75">
        <f t="shared" si="66"/>
        <v>0</v>
      </c>
      <c r="BW106" s="75">
        <f t="shared" si="66"/>
        <v>0</v>
      </c>
      <c r="BX106" s="75">
        <f t="shared" si="66"/>
        <v>0</v>
      </c>
      <c r="BY106" s="75">
        <f t="shared" si="66"/>
        <v>0</v>
      </c>
      <c r="BZ106" s="75">
        <f t="shared" si="66"/>
        <v>0</v>
      </c>
      <c r="CA106" s="75">
        <f t="shared" si="66"/>
        <v>0</v>
      </c>
      <c r="CB106" s="75">
        <f t="shared" si="66"/>
        <v>0</v>
      </c>
      <c r="CC106" s="75">
        <f t="shared" si="66"/>
        <v>0</v>
      </c>
      <c r="CD106" s="75">
        <f t="shared" si="66"/>
        <v>0</v>
      </c>
      <c r="CE106" s="75">
        <f t="shared" si="67"/>
        <v>0</v>
      </c>
      <c r="CF106" s="75">
        <f t="shared" si="67"/>
        <v>0</v>
      </c>
      <c r="CG106" s="75">
        <f t="shared" si="67"/>
        <v>0</v>
      </c>
      <c r="CH106" s="75">
        <f t="shared" si="67"/>
        <v>0</v>
      </c>
      <c r="CI106" s="75">
        <f t="shared" si="67"/>
        <v>0</v>
      </c>
      <c r="CJ106" s="75">
        <f t="shared" si="67"/>
        <v>0</v>
      </c>
      <c r="CK106" s="75">
        <f t="shared" si="67"/>
        <v>0</v>
      </c>
      <c r="CL106" s="75">
        <f t="shared" si="67"/>
        <v>0</v>
      </c>
      <c r="CM106" s="75">
        <f t="shared" si="67"/>
        <v>0</v>
      </c>
      <c r="CN106" s="75">
        <f t="shared" si="67"/>
        <v>0</v>
      </c>
      <c r="CO106" s="75">
        <f t="shared" si="67"/>
        <v>0</v>
      </c>
      <c r="CP106" s="75">
        <f t="shared" si="67"/>
        <v>0</v>
      </c>
      <c r="CQ106" s="75">
        <f t="shared" si="67"/>
        <v>0</v>
      </c>
      <c r="CR106" s="75">
        <f t="shared" si="67"/>
        <v>0</v>
      </c>
      <c r="CS106" s="75">
        <f t="shared" si="67"/>
        <v>0</v>
      </c>
      <c r="CT106" s="75">
        <f t="shared" si="67"/>
        <v>0</v>
      </c>
      <c r="CU106" s="75">
        <f t="shared" si="67"/>
        <v>0</v>
      </c>
      <c r="CV106" s="75">
        <f t="shared" si="67"/>
        <v>0</v>
      </c>
      <c r="CW106" s="75">
        <f t="shared" si="67"/>
        <v>0</v>
      </c>
      <c r="CX106" s="75">
        <f t="shared" si="67"/>
        <v>0</v>
      </c>
      <c r="CY106" s="75">
        <f t="shared" si="67"/>
        <v>0</v>
      </c>
      <c r="CZ106" s="75">
        <f t="shared" si="67"/>
        <v>0</v>
      </c>
      <c r="DA106" s="75">
        <f t="shared" si="67"/>
        <v>0</v>
      </c>
      <c r="DB106" s="75">
        <f t="shared" si="67"/>
        <v>0</v>
      </c>
      <c r="DC106" s="75">
        <f t="shared" si="67"/>
        <v>0</v>
      </c>
      <c r="DD106" s="75">
        <f t="shared" si="67"/>
        <v>0</v>
      </c>
      <c r="DE106" s="75">
        <f t="shared" si="67"/>
        <v>0</v>
      </c>
      <c r="DF106" s="75">
        <f t="shared" si="67"/>
        <v>0</v>
      </c>
      <c r="DG106" s="75">
        <f t="shared" si="67"/>
        <v>0</v>
      </c>
      <c r="DH106" s="75">
        <f t="shared" si="67"/>
        <v>0</v>
      </c>
      <c r="DI106" s="75">
        <f t="shared" si="67"/>
        <v>0</v>
      </c>
      <c r="DJ106" s="75">
        <f t="shared" si="67"/>
        <v>0</v>
      </c>
      <c r="DK106" s="75">
        <f t="shared" si="67"/>
        <v>0</v>
      </c>
      <c r="DL106" s="75">
        <f t="shared" si="67"/>
        <v>0</v>
      </c>
    </row>
    <row r="107" spans="2:116">
      <c r="B107" s="28" t="str">
        <f>Rentroll!$C$58</f>
        <v>B101호</v>
      </c>
      <c r="C107" s="69" t="str">
        <f>VLOOKUP($B107,Rentroll!$C$37:$Z$60,3,FALSE)</f>
        <v>편안창고 스토리지</v>
      </c>
      <c r="D107" s="80">
        <f>VLOOKUP($B107,Rentroll!$C$37:$Z$60,9,FALSE)</f>
        <v>46752</v>
      </c>
      <c r="E107" s="80">
        <f>VLOOKUP($B107,Rentroll!$C$37:$Z$60,10,FALSE)</f>
        <v>48579</v>
      </c>
      <c r="F107" s="81">
        <f>VLOOKUP($B107,Rentroll!$C$37:$Z$60,11,FALSE)</f>
        <v>60</v>
      </c>
      <c r="G107" s="69">
        <f>VLOOKUP($B107,Rentroll!$C$37:$Z$60,13,FALSE)</f>
        <v>52116.712499999994</v>
      </c>
      <c r="H107" s="69">
        <f>VLOOKUP($B107,Rentroll!$C$37:$Z$60,14,FALSE)</f>
        <v>52116.712499999994</v>
      </c>
      <c r="I107" s="69">
        <f>VLOOKUP($B107,Rentroll!$C$37:$Z$60,15,FALSE)</f>
        <v>40000</v>
      </c>
      <c r="J107" s="82">
        <f>VLOOKUP($B107,Rentroll!$C$37:$Z$60,19,FALSE)</f>
        <v>0.03</v>
      </c>
      <c r="K107" s="83">
        <f>VLOOKUP($B107,Rentroll!$C$37:$Z$60,4,FALSE)</f>
        <v>969.56</v>
      </c>
      <c r="L107" s="81">
        <f>VLOOKUP($B107,Rentroll!$C$37:$Z$60,17,FALSE)</f>
        <v>1</v>
      </c>
      <c r="M107" s="84">
        <f>VLOOKUP($B107,Rentroll!$C$37:$Z$60,18,FALSE)</f>
        <v>0</v>
      </c>
      <c r="O107" s="74" t="str">
        <f t="shared" ref="O107" si="68">B107</f>
        <v>B101호</v>
      </c>
      <c r="P107" s="75"/>
      <c r="Q107" s="75"/>
      <c r="R107" s="75">
        <f t="shared" si="61"/>
        <v>0</v>
      </c>
      <c r="S107" s="75">
        <f t="shared" si="61"/>
        <v>0</v>
      </c>
      <c r="T107" s="75">
        <f t="shared" si="61"/>
        <v>0</v>
      </c>
      <c r="U107" s="75">
        <f t="shared" si="61"/>
        <v>0</v>
      </c>
      <c r="V107" s="75">
        <f t="shared" si="61"/>
        <v>0</v>
      </c>
      <c r="W107" s="75">
        <f t="shared" si="61"/>
        <v>0</v>
      </c>
      <c r="X107" s="75">
        <f t="shared" si="61"/>
        <v>0</v>
      </c>
      <c r="Y107" s="75">
        <f t="shared" si="61"/>
        <v>0</v>
      </c>
      <c r="Z107" s="75">
        <f t="shared" si="61"/>
        <v>0</v>
      </c>
      <c r="AA107" s="75">
        <f t="shared" si="61"/>
        <v>0</v>
      </c>
      <c r="AB107" s="75">
        <f t="shared" si="61"/>
        <v>0</v>
      </c>
      <c r="AC107" s="75">
        <f t="shared" si="61"/>
        <v>0</v>
      </c>
      <c r="AD107" s="75">
        <f t="shared" si="61"/>
        <v>0</v>
      </c>
      <c r="AE107" s="75">
        <f t="shared" si="61"/>
        <v>0</v>
      </c>
      <c r="AF107" s="75">
        <f t="shared" si="61"/>
        <v>0</v>
      </c>
      <c r="AG107" s="75">
        <f t="shared" si="61"/>
        <v>0</v>
      </c>
      <c r="AH107" s="75">
        <f t="shared" ref="AH107:CD107" si="69">IF($L107=0,0,(EOMONTH($D107,1)&lt;=AH$14)*(EOMONTH($D107,$L107)&gt;=AH$14)*1)</f>
        <v>0</v>
      </c>
      <c r="AI107" s="75">
        <f t="shared" si="69"/>
        <v>0</v>
      </c>
      <c r="AJ107" s="75">
        <f t="shared" si="69"/>
        <v>0</v>
      </c>
      <c r="AK107" s="75">
        <f t="shared" si="69"/>
        <v>0</v>
      </c>
      <c r="AL107" s="75">
        <f t="shared" si="69"/>
        <v>0</v>
      </c>
      <c r="AM107" s="75">
        <f t="shared" si="69"/>
        <v>0</v>
      </c>
      <c r="AN107" s="75">
        <f t="shared" si="69"/>
        <v>0</v>
      </c>
      <c r="AO107" s="75">
        <f t="shared" si="69"/>
        <v>0</v>
      </c>
      <c r="AP107" s="75">
        <f t="shared" si="69"/>
        <v>0</v>
      </c>
      <c r="AQ107" s="75">
        <f t="shared" si="69"/>
        <v>0</v>
      </c>
      <c r="AR107" s="75">
        <f t="shared" si="69"/>
        <v>0</v>
      </c>
      <c r="AS107" s="75">
        <f t="shared" si="69"/>
        <v>0</v>
      </c>
      <c r="AT107" s="75">
        <f t="shared" si="69"/>
        <v>0</v>
      </c>
      <c r="AU107" s="75">
        <f t="shared" si="69"/>
        <v>0</v>
      </c>
      <c r="AV107" s="75">
        <f t="shared" si="69"/>
        <v>0</v>
      </c>
      <c r="AW107" s="75">
        <f t="shared" si="69"/>
        <v>0</v>
      </c>
      <c r="AX107" s="75">
        <f t="shared" si="69"/>
        <v>0</v>
      </c>
      <c r="AY107" s="75">
        <f t="shared" si="69"/>
        <v>0</v>
      </c>
      <c r="AZ107" s="75">
        <f t="shared" si="69"/>
        <v>0</v>
      </c>
      <c r="BA107" s="75">
        <f t="shared" si="69"/>
        <v>0</v>
      </c>
      <c r="BB107" s="75">
        <f t="shared" si="69"/>
        <v>1</v>
      </c>
      <c r="BC107" s="75">
        <f t="shared" si="69"/>
        <v>0</v>
      </c>
      <c r="BD107" s="75">
        <f t="shared" si="69"/>
        <v>0</v>
      </c>
      <c r="BE107" s="75">
        <f t="shared" si="69"/>
        <v>0</v>
      </c>
      <c r="BF107" s="75">
        <f t="shared" si="69"/>
        <v>0</v>
      </c>
      <c r="BG107" s="75">
        <f t="shared" si="69"/>
        <v>0</v>
      </c>
      <c r="BH107" s="75">
        <f t="shared" si="69"/>
        <v>0</v>
      </c>
      <c r="BI107" s="75">
        <f t="shared" si="69"/>
        <v>0</v>
      </c>
      <c r="BJ107" s="75">
        <f t="shared" si="69"/>
        <v>0</v>
      </c>
      <c r="BK107" s="75">
        <f t="shared" si="69"/>
        <v>0</v>
      </c>
      <c r="BL107" s="75">
        <f t="shared" si="69"/>
        <v>0</v>
      </c>
      <c r="BM107" s="75">
        <f t="shared" si="69"/>
        <v>0</v>
      </c>
      <c r="BN107" s="75">
        <f t="shared" si="69"/>
        <v>0</v>
      </c>
      <c r="BO107" s="75">
        <f t="shared" si="69"/>
        <v>0</v>
      </c>
      <c r="BP107" s="75">
        <f t="shared" si="69"/>
        <v>0</v>
      </c>
      <c r="BQ107" s="75">
        <f t="shared" si="69"/>
        <v>0</v>
      </c>
      <c r="BR107" s="75">
        <f t="shared" si="69"/>
        <v>0</v>
      </c>
      <c r="BS107" s="75">
        <f t="shared" si="69"/>
        <v>0</v>
      </c>
      <c r="BT107" s="75">
        <f t="shared" si="69"/>
        <v>0</v>
      </c>
      <c r="BU107" s="75">
        <f t="shared" si="69"/>
        <v>0</v>
      </c>
      <c r="BV107" s="75">
        <f t="shared" si="69"/>
        <v>0</v>
      </c>
      <c r="BW107" s="75">
        <f t="shared" si="69"/>
        <v>0</v>
      </c>
      <c r="BX107" s="75">
        <f t="shared" si="69"/>
        <v>0</v>
      </c>
      <c r="BY107" s="75">
        <f t="shared" si="69"/>
        <v>0</v>
      </c>
      <c r="BZ107" s="75">
        <f t="shared" si="69"/>
        <v>0</v>
      </c>
      <c r="CA107" s="75">
        <f t="shared" si="69"/>
        <v>0</v>
      </c>
      <c r="CB107" s="75">
        <f t="shared" si="69"/>
        <v>0</v>
      </c>
      <c r="CC107" s="75">
        <f t="shared" si="69"/>
        <v>0</v>
      </c>
      <c r="CD107" s="75">
        <f t="shared" si="69"/>
        <v>0</v>
      </c>
      <c r="CE107" s="75">
        <f t="shared" si="67"/>
        <v>0</v>
      </c>
      <c r="CF107" s="75">
        <f t="shared" si="67"/>
        <v>0</v>
      </c>
      <c r="CG107" s="75">
        <f t="shared" si="67"/>
        <v>0</v>
      </c>
      <c r="CH107" s="75">
        <f t="shared" si="67"/>
        <v>0</v>
      </c>
      <c r="CI107" s="75">
        <f t="shared" si="67"/>
        <v>0</v>
      </c>
      <c r="CJ107" s="75">
        <f t="shared" si="67"/>
        <v>0</v>
      </c>
      <c r="CK107" s="75">
        <f t="shared" si="67"/>
        <v>0</v>
      </c>
      <c r="CL107" s="75">
        <f t="shared" si="67"/>
        <v>0</v>
      </c>
      <c r="CM107" s="75">
        <f t="shared" si="67"/>
        <v>0</v>
      </c>
      <c r="CN107" s="75">
        <f t="shared" si="67"/>
        <v>0</v>
      </c>
      <c r="CO107" s="75">
        <f t="shared" si="67"/>
        <v>0</v>
      </c>
      <c r="CP107" s="75">
        <f t="shared" si="67"/>
        <v>0</v>
      </c>
      <c r="CQ107" s="75">
        <f t="shared" si="67"/>
        <v>0</v>
      </c>
      <c r="CR107" s="75">
        <f t="shared" si="67"/>
        <v>0</v>
      </c>
      <c r="CS107" s="75">
        <f t="shared" si="67"/>
        <v>0</v>
      </c>
      <c r="CT107" s="75">
        <f t="shared" si="67"/>
        <v>0</v>
      </c>
      <c r="CU107" s="75">
        <f t="shared" si="67"/>
        <v>0</v>
      </c>
      <c r="CV107" s="75">
        <f t="shared" si="67"/>
        <v>0</v>
      </c>
      <c r="CW107" s="75">
        <f t="shared" si="67"/>
        <v>0</v>
      </c>
      <c r="CX107" s="75">
        <f t="shared" si="67"/>
        <v>0</v>
      </c>
      <c r="CY107" s="75">
        <f t="shared" si="67"/>
        <v>0</v>
      </c>
      <c r="CZ107" s="75">
        <f t="shared" si="67"/>
        <v>0</v>
      </c>
      <c r="DA107" s="75">
        <f t="shared" si="67"/>
        <v>0</v>
      </c>
      <c r="DB107" s="75">
        <f t="shared" si="67"/>
        <v>0</v>
      </c>
      <c r="DC107" s="75">
        <f t="shared" si="67"/>
        <v>0</v>
      </c>
      <c r="DD107" s="75">
        <f t="shared" si="67"/>
        <v>0</v>
      </c>
      <c r="DE107" s="75">
        <f t="shared" si="67"/>
        <v>0</v>
      </c>
      <c r="DF107" s="75">
        <f t="shared" si="67"/>
        <v>0</v>
      </c>
      <c r="DG107" s="75">
        <f t="shared" si="67"/>
        <v>0</v>
      </c>
      <c r="DH107" s="75">
        <f t="shared" si="67"/>
        <v>0</v>
      </c>
      <c r="DI107" s="75">
        <f t="shared" si="67"/>
        <v>0</v>
      </c>
      <c r="DJ107" s="75">
        <f t="shared" si="67"/>
        <v>0</v>
      </c>
      <c r="DK107" s="75">
        <f t="shared" si="67"/>
        <v>0</v>
      </c>
      <c r="DL107" s="75">
        <f t="shared" si="67"/>
        <v>0</v>
      </c>
    </row>
    <row r="108" spans="2:116">
      <c r="B108" s="28" t="str">
        <f>Rentroll!$C$59</f>
        <v>B102호</v>
      </c>
      <c r="C108" s="69" t="str">
        <f>VLOOKUP($B108,Rentroll!$C$37:$Z$60,3,FALSE)</f>
        <v>스크린 퀀텀</v>
      </c>
      <c r="D108" s="80">
        <f>VLOOKUP($B108,Rentroll!$C$37:$Z$60,9,FALSE)</f>
        <v>46418</v>
      </c>
      <c r="E108" s="80">
        <f>VLOOKUP($B108,Rentroll!$C$37:$Z$60,10,FALSE)</f>
        <v>48244</v>
      </c>
      <c r="F108" s="81">
        <f>VLOOKUP($B108,Rentroll!$C$37:$Z$60,11,FALSE)</f>
        <v>60</v>
      </c>
      <c r="G108" s="69">
        <f>VLOOKUP($B108,Rentroll!$C$37:$Z$60,13,FALSE)</f>
        <v>52116.712499999994</v>
      </c>
      <c r="H108" s="69">
        <f>VLOOKUP($B108,Rentroll!$C$37:$Z$60,14,FALSE)</f>
        <v>52116.712499999994</v>
      </c>
      <c r="I108" s="69">
        <f>VLOOKUP($B108,Rentroll!$C$37:$Z$60,15,FALSE)</f>
        <v>40000</v>
      </c>
      <c r="J108" s="82">
        <f>VLOOKUP($B108,Rentroll!$C$37:$Z$60,19,FALSE)</f>
        <v>0.03</v>
      </c>
      <c r="K108" s="83">
        <f>VLOOKUP($B108,Rentroll!$C$37:$Z$60,4,FALSE)</f>
        <v>969.56</v>
      </c>
      <c r="L108" s="81">
        <f>VLOOKUP($B108,Rentroll!$C$37:$Z$60,17,FALSE)</f>
        <v>1</v>
      </c>
      <c r="M108" s="84">
        <f>VLOOKUP($B108,Rentroll!$C$37:$Z$60,18,FALSE)</f>
        <v>0</v>
      </c>
      <c r="O108" s="74" t="str">
        <f t="shared" si="65"/>
        <v>B102호</v>
      </c>
      <c r="P108" s="75"/>
      <c r="Q108" s="75"/>
      <c r="R108" s="75">
        <f t="shared" si="61"/>
        <v>0</v>
      </c>
      <c r="S108" s="75">
        <f t="shared" si="66"/>
        <v>0</v>
      </c>
      <c r="T108" s="75">
        <f t="shared" si="66"/>
        <v>0</v>
      </c>
      <c r="U108" s="75">
        <f t="shared" si="66"/>
        <v>0</v>
      </c>
      <c r="V108" s="75">
        <f t="shared" si="66"/>
        <v>0</v>
      </c>
      <c r="W108" s="75">
        <f t="shared" si="66"/>
        <v>0</v>
      </c>
      <c r="X108" s="75">
        <f t="shared" si="66"/>
        <v>0</v>
      </c>
      <c r="Y108" s="75">
        <f t="shared" si="66"/>
        <v>0</v>
      </c>
      <c r="Z108" s="75">
        <f t="shared" si="66"/>
        <v>0</v>
      </c>
      <c r="AA108" s="75">
        <f t="shared" si="66"/>
        <v>0</v>
      </c>
      <c r="AB108" s="75">
        <f t="shared" si="66"/>
        <v>0</v>
      </c>
      <c r="AC108" s="75">
        <f t="shared" si="66"/>
        <v>0</v>
      </c>
      <c r="AD108" s="75">
        <f t="shared" si="66"/>
        <v>0</v>
      </c>
      <c r="AE108" s="75">
        <f t="shared" si="66"/>
        <v>0</v>
      </c>
      <c r="AF108" s="75">
        <f t="shared" si="66"/>
        <v>0</v>
      </c>
      <c r="AG108" s="75">
        <f t="shared" si="66"/>
        <v>0</v>
      </c>
      <c r="AH108" s="75">
        <f t="shared" si="66"/>
        <v>0</v>
      </c>
      <c r="AI108" s="75">
        <f t="shared" si="66"/>
        <v>0</v>
      </c>
      <c r="AJ108" s="75">
        <f t="shared" si="66"/>
        <v>0</v>
      </c>
      <c r="AK108" s="75">
        <f t="shared" si="66"/>
        <v>0</v>
      </c>
      <c r="AL108" s="75">
        <f t="shared" si="66"/>
        <v>0</v>
      </c>
      <c r="AM108" s="75">
        <f t="shared" si="66"/>
        <v>0</v>
      </c>
      <c r="AN108" s="75">
        <f t="shared" si="66"/>
        <v>0</v>
      </c>
      <c r="AO108" s="75">
        <f t="shared" si="66"/>
        <v>0</v>
      </c>
      <c r="AP108" s="75">
        <f t="shared" si="66"/>
        <v>0</v>
      </c>
      <c r="AQ108" s="75">
        <f t="shared" si="66"/>
        <v>1</v>
      </c>
      <c r="AR108" s="75">
        <f t="shared" si="66"/>
        <v>0</v>
      </c>
      <c r="AS108" s="75">
        <f t="shared" si="66"/>
        <v>0</v>
      </c>
      <c r="AT108" s="75">
        <f t="shared" si="66"/>
        <v>0</v>
      </c>
      <c r="AU108" s="75">
        <f t="shared" si="66"/>
        <v>0</v>
      </c>
      <c r="AV108" s="75">
        <f t="shared" si="66"/>
        <v>0</v>
      </c>
      <c r="AW108" s="75">
        <f t="shared" si="66"/>
        <v>0</v>
      </c>
      <c r="AX108" s="75">
        <f t="shared" si="66"/>
        <v>0</v>
      </c>
      <c r="AY108" s="75">
        <f t="shared" si="66"/>
        <v>0</v>
      </c>
      <c r="AZ108" s="75">
        <f t="shared" si="66"/>
        <v>0</v>
      </c>
      <c r="BA108" s="75">
        <f t="shared" si="66"/>
        <v>0</v>
      </c>
      <c r="BB108" s="75">
        <f t="shared" si="66"/>
        <v>0</v>
      </c>
      <c r="BC108" s="75">
        <f t="shared" si="66"/>
        <v>0</v>
      </c>
      <c r="BD108" s="75">
        <f t="shared" si="66"/>
        <v>0</v>
      </c>
      <c r="BE108" s="75">
        <f t="shared" si="66"/>
        <v>0</v>
      </c>
      <c r="BF108" s="75">
        <f t="shared" si="66"/>
        <v>0</v>
      </c>
      <c r="BG108" s="75">
        <f t="shared" si="66"/>
        <v>0</v>
      </c>
      <c r="BH108" s="75">
        <f t="shared" si="66"/>
        <v>0</v>
      </c>
      <c r="BI108" s="75">
        <f t="shared" si="66"/>
        <v>0</v>
      </c>
      <c r="BJ108" s="75">
        <f t="shared" si="66"/>
        <v>0</v>
      </c>
      <c r="BK108" s="75">
        <f t="shared" si="66"/>
        <v>0</v>
      </c>
      <c r="BL108" s="75">
        <f t="shared" si="66"/>
        <v>0</v>
      </c>
      <c r="BM108" s="75">
        <f t="shared" si="66"/>
        <v>0</v>
      </c>
      <c r="BN108" s="75">
        <f t="shared" si="66"/>
        <v>0</v>
      </c>
      <c r="BO108" s="75">
        <f t="shared" si="66"/>
        <v>0</v>
      </c>
      <c r="BP108" s="75">
        <f t="shared" si="66"/>
        <v>0</v>
      </c>
      <c r="BQ108" s="75">
        <f t="shared" si="66"/>
        <v>0</v>
      </c>
      <c r="BR108" s="75">
        <f t="shared" si="66"/>
        <v>0</v>
      </c>
      <c r="BS108" s="75">
        <f t="shared" si="66"/>
        <v>0</v>
      </c>
      <c r="BT108" s="75">
        <f t="shared" si="66"/>
        <v>0</v>
      </c>
      <c r="BU108" s="75">
        <f t="shared" si="66"/>
        <v>0</v>
      </c>
      <c r="BV108" s="75">
        <f t="shared" si="66"/>
        <v>0</v>
      </c>
      <c r="BW108" s="75">
        <f t="shared" si="66"/>
        <v>0</v>
      </c>
      <c r="BX108" s="75">
        <f t="shared" si="66"/>
        <v>0</v>
      </c>
      <c r="BY108" s="75">
        <f t="shared" si="66"/>
        <v>0</v>
      </c>
      <c r="BZ108" s="75">
        <f t="shared" si="66"/>
        <v>0</v>
      </c>
      <c r="CA108" s="75">
        <f t="shared" si="66"/>
        <v>0</v>
      </c>
      <c r="CB108" s="75">
        <f t="shared" si="66"/>
        <v>0</v>
      </c>
      <c r="CC108" s="75">
        <f t="shared" si="66"/>
        <v>0</v>
      </c>
      <c r="CD108" s="75">
        <f t="shared" si="66"/>
        <v>0</v>
      </c>
      <c r="CE108" s="75">
        <f t="shared" si="67"/>
        <v>0</v>
      </c>
      <c r="CF108" s="75">
        <f t="shared" si="67"/>
        <v>0</v>
      </c>
      <c r="CG108" s="75">
        <f t="shared" si="67"/>
        <v>0</v>
      </c>
      <c r="CH108" s="75">
        <f t="shared" si="67"/>
        <v>0</v>
      </c>
      <c r="CI108" s="75">
        <f t="shared" si="67"/>
        <v>0</v>
      </c>
      <c r="CJ108" s="75">
        <f t="shared" si="67"/>
        <v>0</v>
      </c>
      <c r="CK108" s="75">
        <f t="shared" si="67"/>
        <v>0</v>
      </c>
      <c r="CL108" s="75">
        <f t="shared" si="67"/>
        <v>0</v>
      </c>
      <c r="CM108" s="75">
        <f t="shared" si="67"/>
        <v>0</v>
      </c>
      <c r="CN108" s="75">
        <f t="shared" si="67"/>
        <v>0</v>
      </c>
      <c r="CO108" s="75">
        <f t="shared" si="67"/>
        <v>0</v>
      </c>
      <c r="CP108" s="75">
        <f t="shared" si="67"/>
        <v>0</v>
      </c>
      <c r="CQ108" s="75">
        <f t="shared" si="67"/>
        <v>0</v>
      </c>
      <c r="CR108" s="75">
        <f t="shared" si="67"/>
        <v>0</v>
      </c>
      <c r="CS108" s="75">
        <f t="shared" si="67"/>
        <v>0</v>
      </c>
      <c r="CT108" s="75">
        <f t="shared" si="67"/>
        <v>0</v>
      </c>
      <c r="CU108" s="75">
        <f t="shared" si="67"/>
        <v>0</v>
      </c>
      <c r="CV108" s="75">
        <f t="shared" si="67"/>
        <v>0</v>
      </c>
      <c r="CW108" s="75">
        <f t="shared" si="67"/>
        <v>0</v>
      </c>
      <c r="CX108" s="75">
        <f t="shared" si="67"/>
        <v>0</v>
      </c>
      <c r="CY108" s="75">
        <f t="shared" si="67"/>
        <v>0</v>
      </c>
      <c r="CZ108" s="75">
        <f t="shared" si="67"/>
        <v>0</v>
      </c>
      <c r="DA108" s="75">
        <f t="shared" si="67"/>
        <v>0</v>
      </c>
      <c r="DB108" s="75">
        <f t="shared" si="67"/>
        <v>0</v>
      </c>
      <c r="DC108" s="75">
        <f t="shared" si="67"/>
        <v>0</v>
      </c>
      <c r="DD108" s="75">
        <f t="shared" si="67"/>
        <v>0</v>
      </c>
      <c r="DE108" s="75">
        <f t="shared" si="67"/>
        <v>0</v>
      </c>
      <c r="DF108" s="75">
        <f t="shared" si="67"/>
        <v>0</v>
      </c>
      <c r="DG108" s="75">
        <f t="shared" si="67"/>
        <v>0</v>
      </c>
      <c r="DH108" s="75">
        <f t="shared" si="67"/>
        <v>0</v>
      </c>
      <c r="DI108" s="75">
        <f t="shared" si="67"/>
        <v>0</v>
      </c>
      <c r="DJ108" s="75">
        <f t="shared" si="67"/>
        <v>0</v>
      </c>
      <c r="DK108" s="75">
        <f t="shared" si="67"/>
        <v>0</v>
      </c>
      <c r="DL108" s="75">
        <f t="shared" si="67"/>
        <v>0</v>
      </c>
    </row>
    <row r="109" spans="2:116">
      <c r="B109" s="28">
        <f>Rentroll!$C$60</f>
        <v>0</v>
      </c>
      <c r="C109" s="69">
        <f>VLOOKUP($B109,Rentroll!$C$37:$Z$60,3,FALSE)</f>
        <v>0</v>
      </c>
      <c r="D109" s="80">
        <f>VLOOKUP($B109,Rentroll!$C$37:$Z$60,9,FALSE)</f>
        <v>0</v>
      </c>
      <c r="E109" s="80">
        <f>VLOOKUP($B109,Rentroll!$C$37:$Z$60,10,FALSE)</f>
        <v>0</v>
      </c>
      <c r="F109" s="81">
        <f>VLOOKUP($B109,Rentroll!$C$37:$Z$60,11,FALSE)</f>
        <v>0</v>
      </c>
      <c r="G109" s="69">
        <f>VLOOKUP($B109,Rentroll!$C$37:$Z$60,13,FALSE)</f>
        <v>0</v>
      </c>
      <c r="H109" s="69">
        <f>VLOOKUP($B109,Rentroll!$C$37:$Z$60,14,FALSE)</f>
        <v>0</v>
      </c>
      <c r="I109" s="69">
        <f>VLOOKUP($B109,Rentroll!$C$37:$Z$60,15,FALSE)</f>
        <v>0</v>
      </c>
      <c r="J109" s="82">
        <f>VLOOKUP($B109,Rentroll!$C$37:$Z$60,19,FALSE)</f>
        <v>0</v>
      </c>
      <c r="K109" s="83">
        <f>VLOOKUP($B109,Rentroll!$C$37:$Z$60,4,FALSE)</f>
        <v>0</v>
      </c>
      <c r="L109" s="81">
        <f>VLOOKUP($B109,Rentroll!$C$37:$Z$60,17,FALSE)</f>
        <v>0</v>
      </c>
      <c r="M109" s="84">
        <f>VLOOKUP($B109,Rentroll!$C$37:$Z$60,18,FALSE)</f>
        <v>0</v>
      </c>
      <c r="O109" s="26">
        <f t="shared" si="65"/>
        <v>0</v>
      </c>
      <c r="P109" s="76"/>
      <c r="Q109" s="76"/>
      <c r="R109" s="76">
        <f t="shared" si="61"/>
        <v>0</v>
      </c>
      <c r="S109" s="76">
        <f t="shared" si="66"/>
        <v>0</v>
      </c>
      <c r="T109" s="76">
        <f t="shared" si="66"/>
        <v>0</v>
      </c>
      <c r="U109" s="76">
        <f t="shared" si="66"/>
        <v>0</v>
      </c>
      <c r="V109" s="76">
        <f t="shared" si="66"/>
        <v>0</v>
      </c>
      <c r="W109" s="76">
        <f t="shared" si="66"/>
        <v>0</v>
      </c>
      <c r="X109" s="76">
        <f t="shared" si="66"/>
        <v>0</v>
      </c>
      <c r="Y109" s="76">
        <f t="shared" si="66"/>
        <v>0</v>
      </c>
      <c r="Z109" s="76">
        <f t="shared" si="66"/>
        <v>0</v>
      </c>
      <c r="AA109" s="76">
        <f t="shared" si="66"/>
        <v>0</v>
      </c>
      <c r="AB109" s="76">
        <f t="shared" si="66"/>
        <v>0</v>
      </c>
      <c r="AC109" s="76">
        <f t="shared" si="66"/>
        <v>0</v>
      </c>
      <c r="AD109" s="76">
        <f t="shared" si="66"/>
        <v>0</v>
      </c>
      <c r="AE109" s="76">
        <f t="shared" si="66"/>
        <v>0</v>
      </c>
      <c r="AF109" s="76">
        <f t="shared" si="66"/>
        <v>0</v>
      </c>
      <c r="AG109" s="76">
        <f t="shared" si="66"/>
        <v>0</v>
      </c>
      <c r="AH109" s="76">
        <f t="shared" si="66"/>
        <v>0</v>
      </c>
      <c r="AI109" s="76">
        <f t="shared" si="66"/>
        <v>0</v>
      </c>
      <c r="AJ109" s="76">
        <f t="shared" si="66"/>
        <v>0</v>
      </c>
      <c r="AK109" s="76">
        <f t="shared" si="66"/>
        <v>0</v>
      </c>
      <c r="AL109" s="76">
        <f t="shared" si="66"/>
        <v>0</v>
      </c>
      <c r="AM109" s="76">
        <f t="shared" si="66"/>
        <v>0</v>
      </c>
      <c r="AN109" s="76">
        <f t="shared" si="66"/>
        <v>0</v>
      </c>
      <c r="AO109" s="76">
        <f t="shared" si="66"/>
        <v>0</v>
      </c>
      <c r="AP109" s="76">
        <f t="shared" si="66"/>
        <v>0</v>
      </c>
      <c r="AQ109" s="76">
        <f t="shared" si="66"/>
        <v>0</v>
      </c>
      <c r="AR109" s="76">
        <f t="shared" si="66"/>
        <v>0</v>
      </c>
      <c r="AS109" s="76">
        <f t="shared" si="66"/>
        <v>0</v>
      </c>
      <c r="AT109" s="76">
        <f t="shared" si="66"/>
        <v>0</v>
      </c>
      <c r="AU109" s="76">
        <f t="shared" si="66"/>
        <v>0</v>
      </c>
      <c r="AV109" s="76">
        <f t="shared" si="66"/>
        <v>0</v>
      </c>
      <c r="AW109" s="76">
        <f t="shared" si="66"/>
        <v>0</v>
      </c>
      <c r="AX109" s="76">
        <f t="shared" si="66"/>
        <v>0</v>
      </c>
      <c r="AY109" s="76">
        <f t="shared" si="66"/>
        <v>0</v>
      </c>
      <c r="AZ109" s="76">
        <f t="shared" si="66"/>
        <v>0</v>
      </c>
      <c r="BA109" s="76">
        <f t="shared" si="66"/>
        <v>0</v>
      </c>
      <c r="BB109" s="76">
        <f t="shared" si="66"/>
        <v>0</v>
      </c>
      <c r="BC109" s="76">
        <f t="shared" si="66"/>
        <v>0</v>
      </c>
      <c r="BD109" s="76">
        <f t="shared" si="66"/>
        <v>0</v>
      </c>
      <c r="BE109" s="76">
        <f t="shared" si="66"/>
        <v>0</v>
      </c>
      <c r="BF109" s="76">
        <f t="shared" si="66"/>
        <v>0</v>
      </c>
      <c r="BG109" s="76">
        <f t="shared" si="66"/>
        <v>0</v>
      </c>
      <c r="BH109" s="76">
        <f t="shared" si="66"/>
        <v>0</v>
      </c>
      <c r="BI109" s="76">
        <f t="shared" si="66"/>
        <v>0</v>
      </c>
      <c r="BJ109" s="76">
        <f t="shared" si="66"/>
        <v>0</v>
      </c>
      <c r="BK109" s="76">
        <f t="shared" si="66"/>
        <v>0</v>
      </c>
      <c r="BL109" s="76">
        <f t="shared" si="66"/>
        <v>0</v>
      </c>
      <c r="BM109" s="76">
        <f t="shared" si="66"/>
        <v>0</v>
      </c>
      <c r="BN109" s="76">
        <f t="shared" si="66"/>
        <v>0</v>
      </c>
      <c r="BO109" s="76">
        <f t="shared" si="66"/>
        <v>0</v>
      </c>
      <c r="BP109" s="76">
        <f t="shared" si="66"/>
        <v>0</v>
      </c>
      <c r="BQ109" s="76">
        <f t="shared" si="66"/>
        <v>0</v>
      </c>
      <c r="BR109" s="76">
        <f t="shared" si="66"/>
        <v>0</v>
      </c>
      <c r="BS109" s="76">
        <f t="shared" si="66"/>
        <v>0</v>
      </c>
      <c r="BT109" s="76">
        <f t="shared" si="66"/>
        <v>0</v>
      </c>
      <c r="BU109" s="76">
        <f t="shared" si="66"/>
        <v>0</v>
      </c>
      <c r="BV109" s="76">
        <f t="shared" si="66"/>
        <v>0</v>
      </c>
      <c r="BW109" s="76">
        <f t="shared" si="66"/>
        <v>0</v>
      </c>
      <c r="BX109" s="76">
        <f t="shared" si="66"/>
        <v>0</v>
      </c>
      <c r="BY109" s="76">
        <f t="shared" si="66"/>
        <v>0</v>
      </c>
      <c r="BZ109" s="76">
        <f t="shared" si="66"/>
        <v>0</v>
      </c>
      <c r="CA109" s="76">
        <f t="shared" si="66"/>
        <v>0</v>
      </c>
      <c r="CB109" s="76">
        <f t="shared" si="66"/>
        <v>0</v>
      </c>
      <c r="CC109" s="76">
        <f t="shared" si="66"/>
        <v>0</v>
      </c>
      <c r="CD109" s="76">
        <f t="shared" ref="CD109:DL109" si="70">IF($L109=0,0,(EOMONTH($D109,1)&lt;=CD$14)*(EOMONTH($D109,$L109)&gt;=CD$14)*1)</f>
        <v>0</v>
      </c>
      <c r="CE109" s="76">
        <f t="shared" si="70"/>
        <v>0</v>
      </c>
      <c r="CF109" s="76">
        <f t="shared" si="70"/>
        <v>0</v>
      </c>
      <c r="CG109" s="76">
        <f t="shared" si="70"/>
        <v>0</v>
      </c>
      <c r="CH109" s="76">
        <f t="shared" si="70"/>
        <v>0</v>
      </c>
      <c r="CI109" s="76">
        <f t="shared" si="70"/>
        <v>0</v>
      </c>
      <c r="CJ109" s="76">
        <f t="shared" si="70"/>
        <v>0</v>
      </c>
      <c r="CK109" s="76">
        <f t="shared" si="70"/>
        <v>0</v>
      </c>
      <c r="CL109" s="76">
        <f t="shared" si="70"/>
        <v>0</v>
      </c>
      <c r="CM109" s="76">
        <f t="shared" si="70"/>
        <v>0</v>
      </c>
      <c r="CN109" s="76">
        <f t="shared" si="70"/>
        <v>0</v>
      </c>
      <c r="CO109" s="76">
        <f t="shared" si="70"/>
        <v>0</v>
      </c>
      <c r="CP109" s="76">
        <f t="shared" si="70"/>
        <v>0</v>
      </c>
      <c r="CQ109" s="76">
        <f t="shared" si="70"/>
        <v>0</v>
      </c>
      <c r="CR109" s="76">
        <f t="shared" si="70"/>
        <v>0</v>
      </c>
      <c r="CS109" s="76">
        <f t="shared" si="70"/>
        <v>0</v>
      </c>
      <c r="CT109" s="76">
        <f t="shared" si="70"/>
        <v>0</v>
      </c>
      <c r="CU109" s="76">
        <f t="shared" si="70"/>
        <v>0</v>
      </c>
      <c r="CV109" s="76">
        <f t="shared" si="70"/>
        <v>0</v>
      </c>
      <c r="CW109" s="76">
        <f t="shared" si="70"/>
        <v>0</v>
      </c>
      <c r="CX109" s="76">
        <f t="shared" si="70"/>
        <v>0</v>
      </c>
      <c r="CY109" s="76">
        <f t="shared" si="70"/>
        <v>0</v>
      </c>
      <c r="CZ109" s="76">
        <f t="shared" si="70"/>
        <v>0</v>
      </c>
      <c r="DA109" s="76">
        <f t="shared" si="70"/>
        <v>0</v>
      </c>
      <c r="DB109" s="76">
        <f t="shared" si="70"/>
        <v>0</v>
      </c>
      <c r="DC109" s="76">
        <f t="shared" si="70"/>
        <v>0</v>
      </c>
      <c r="DD109" s="76">
        <f t="shared" si="70"/>
        <v>0</v>
      </c>
      <c r="DE109" s="76">
        <f t="shared" si="70"/>
        <v>0</v>
      </c>
      <c r="DF109" s="76">
        <f t="shared" si="70"/>
        <v>0</v>
      </c>
      <c r="DG109" s="76">
        <f t="shared" si="70"/>
        <v>0</v>
      </c>
      <c r="DH109" s="76">
        <f t="shared" si="70"/>
        <v>0</v>
      </c>
      <c r="DI109" s="76">
        <f t="shared" si="70"/>
        <v>0</v>
      </c>
      <c r="DJ109" s="76">
        <f t="shared" si="70"/>
        <v>0</v>
      </c>
      <c r="DK109" s="76">
        <f t="shared" si="70"/>
        <v>0</v>
      </c>
      <c r="DL109" s="76">
        <f t="shared" si="70"/>
        <v>0</v>
      </c>
    </row>
    <row r="111" spans="2:116">
      <c r="B111" s="22" t="s">
        <v>96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O111" s="77" t="s">
        <v>321</v>
      </c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  <c r="CC111" s="77"/>
      <c r="CD111" s="77"/>
      <c r="CE111" s="77"/>
      <c r="CF111" s="77"/>
      <c r="CG111" s="77"/>
      <c r="CH111" s="77"/>
      <c r="CI111" s="77"/>
      <c r="CJ111" s="77"/>
      <c r="CK111" s="77"/>
      <c r="CL111" s="77"/>
      <c r="CM111" s="77"/>
      <c r="CN111" s="77"/>
      <c r="CO111" s="77"/>
      <c r="CP111" s="77"/>
      <c r="CQ111" s="77"/>
      <c r="CR111" s="77"/>
      <c r="CS111" s="77"/>
      <c r="CT111" s="77"/>
      <c r="CU111" s="77"/>
      <c r="CV111" s="77"/>
      <c r="CW111" s="77"/>
      <c r="CX111" s="77"/>
      <c r="CY111" s="77"/>
      <c r="CZ111" s="77"/>
      <c r="DA111" s="77"/>
      <c r="DB111" s="77"/>
      <c r="DC111" s="77"/>
      <c r="DD111" s="77"/>
      <c r="DE111" s="77"/>
      <c r="DF111" s="77"/>
      <c r="DG111" s="77"/>
      <c r="DH111" s="77"/>
      <c r="DI111" s="77"/>
      <c r="DJ111" s="77"/>
      <c r="DK111" s="77"/>
      <c r="DL111" s="77"/>
    </row>
    <row r="112" spans="2:116">
      <c r="B112" s="70" t="s">
        <v>47</v>
      </c>
      <c r="C112" s="71" t="s">
        <v>49</v>
      </c>
      <c r="D112" s="71" t="s">
        <v>97</v>
      </c>
      <c r="E112" s="71" t="s">
        <v>98</v>
      </c>
      <c r="F112" s="71" t="s">
        <v>84</v>
      </c>
      <c r="G112" s="71" t="s">
        <v>104</v>
      </c>
      <c r="H112" s="71" t="s">
        <v>105</v>
      </c>
      <c r="I112" s="71" t="s">
        <v>103</v>
      </c>
      <c r="J112" s="71" t="s">
        <v>99</v>
      </c>
      <c r="K112" s="71" t="s">
        <v>102</v>
      </c>
      <c r="L112" s="71" t="s">
        <v>100</v>
      </c>
      <c r="M112" s="72" t="s">
        <v>101</v>
      </c>
      <c r="N112" s="56"/>
      <c r="O112" s="4" t="s">
        <v>107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</row>
    <row r="113" spans="2:116">
      <c r="B113" s="27">
        <f>Rentroll!$C$11</f>
        <v>17</v>
      </c>
      <c r="C113" s="69" t="str">
        <f>VLOOKUP($B113,Rentroll!$C$11:$X$29,3,FALSE)</f>
        <v>리마 상사</v>
      </c>
      <c r="D113" s="80">
        <f>VLOOKUP($B113,Rentroll!$C$11:$X$29,9,FALSE)</f>
        <v>45322</v>
      </c>
      <c r="E113" s="80">
        <f>VLOOKUP($B113,Rentroll!$C$11:$X$29,10,FALSE)</f>
        <v>47148</v>
      </c>
      <c r="F113" s="81">
        <f>VLOOKUP($B113,Rentroll!$C$11:$X$29,11,FALSE)</f>
        <v>60</v>
      </c>
      <c r="G113" s="69">
        <f>VLOOKUP($B113,Rentroll!$C$11:$X$29,13,FALSE)</f>
        <v>100000</v>
      </c>
      <c r="H113" s="69">
        <f>VLOOKUP($B113,Rentroll!$C$11:$X$29,14,FALSE)</f>
        <v>75000</v>
      </c>
      <c r="I113" s="69">
        <f>VLOOKUP($B113,Rentroll!$C$11:$X$29,15,FALSE)</f>
        <v>45000</v>
      </c>
      <c r="J113" s="82">
        <f>VLOOKUP($B113,Rentroll!$C$11:$X$29,19,FALSE)</f>
        <v>0.03</v>
      </c>
      <c r="K113" s="83">
        <f>VLOOKUP($B113,Rentroll!$C$11:$X$29,4,FALSE)</f>
        <v>1385.09</v>
      </c>
      <c r="L113" s="81">
        <f>VLOOKUP($B113,Rentroll!$C$11:$X$29,17,FALSE)</f>
        <v>0</v>
      </c>
      <c r="M113" s="84">
        <f>VLOOKUP($B113,Rentroll!$C$11:$X$29,18,FALSE)</f>
        <v>3</v>
      </c>
      <c r="O113" s="46">
        <f>B113</f>
        <v>17</v>
      </c>
      <c r="P113" s="73"/>
      <c r="Q113" s="73"/>
      <c r="R113" s="73">
        <f>R19*(IF($D113&gt;R$14,0,ROUNDUP(YEARFRAC($D113,R$14),0)-DATEDIF($D113,$R$14,"y")))</f>
        <v>0</v>
      </c>
      <c r="S113" s="73">
        <f t="shared" ref="S113:AW113" si="71">S19*(IF($D113&gt;S$14,0,ROUNDUP(YEARFRAC($D113,S$14),0)-DATEDIF($D113,$R$14,"y")))</f>
        <v>1</v>
      </c>
      <c r="T113" s="73">
        <f t="shared" si="71"/>
        <v>1</v>
      </c>
      <c r="U113" s="73">
        <f t="shared" si="71"/>
        <v>1</v>
      </c>
      <c r="V113" s="73">
        <f t="shared" si="71"/>
        <v>1</v>
      </c>
      <c r="W113" s="73">
        <f t="shared" si="71"/>
        <v>1</v>
      </c>
      <c r="X113" s="73">
        <f t="shared" si="71"/>
        <v>1</v>
      </c>
      <c r="Y113" s="73">
        <f t="shared" si="71"/>
        <v>1</v>
      </c>
      <c r="Z113" s="73">
        <f t="shared" si="71"/>
        <v>1</v>
      </c>
      <c r="AA113" s="73">
        <f t="shared" si="71"/>
        <v>1</v>
      </c>
      <c r="AB113" s="73">
        <f t="shared" si="71"/>
        <v>1</v>
      </c>
      <c r="AC113" s="73">
        <f t="shared" si="71"/>
        <v>1</v>
      </c>
      <c r="AD113" s="73">
        <f t="shared" si="71"/>
        <v>1</v>
      </c>
      <c r="AE113" s="73">
        <f t="shared" si="71"/>
        <v>2</v>
      </c>
      <c r="AF113" s="73">
        <f t="shared" si="71"/>
        <v>2</v>
      </c>
      <c r="AG113" s="73">
        <f t="shared" si="71"/>
        <v>2</v>
      </c>
      <c r="AH113" s="73">
        <f t="shared" si="71"/>
        <v>2</v>
      </c>
      <c r="AI113" s="73">
        <f t="shared" si="71"/>
        <v>2</v>
      </c>
      <c r="AJ113" s="73">
        <f t="shared" si="71"/>
        <v>2</v>
      </c>
      <c r="AK113" s="73">
        <f t="shared" si="71"/>
        <v>2</v>
      </c>
      <c r="AL113" s="73">
        <f t="shared" si="71"/>
        <v>2</v>
      </c>
      <c r="AM113" s="73">
        <f t="shared" si="71"/>
        <v>2</v>
      </c>
      <c r="AN113" s="73">
        <f t="shared" si="71"/>
        <v>2</v>
      </c>
      <c r="AO113" s="73">
        <f t="shared" si="71"/>
        <v>2</v>
      </c>
      <c r="AP113" s="73">
        <f t="shared" si="71"/>
        <v>2</v>
      </c>
      <c r="AQ113" s="73">
        <f t="shared" si="71"/>
        <v>3</v>
      </c>
      <c r="AR113" s="73">
        <f t="shared" si="71"/>
        <v>3</v>
      </c>
      <c r="AS113" s="73">
        <f t="shared" si="71"/>
        <v>3</v>
      </c>
      <c r="AT113" s="73">
        <f t="shared" si="71"/>
        <v>3</v>
      </c>
      <c r="AU113" s="73">
        <f t="shared" si="71"/>
        <v>3</v>
      </c>
      <c r="AV113" s="73">
        <f t="shared" si="71"/>
        <v>3</v>
      </c>
      <c r="AW113" s="73">
        <f t="shared" si="71"/>
        <v>3</v>
      </c>
      <c r="AX113" s="73">
        <f t="shared" ref="AX113:CC113" si="72">AX19*(IF($D113&gt;AX$14,0,ROUNDUP(YEARFRAC($D113,AX$14),0)-DATEDIF($D113,$R$14,"y")))</f>
        <v>3</v>
      </c>
      <c r="AY113" s="73">
        <f t="shared" si="72"/>
        <v>3</v>
      </c>
      <c r="AZ113" s="73">
        <f t="shared" si="72"/>
        <v>3</v>
      </c>
      <c r="BA113" s="73">
        <f t="shared" si="72"/>
        <v>3</v>
      </c>
      <c r="BB113" s="73">
        <f t="shared" si="72"/>
        <v>3</v>
      </c>
      <c r="BC113" s="73">
        <f t="shared" si="72"/>
        <v>4</v>
      </c>
      <c r="BD113" s="73">
        <f t="shared" si="72"/>
        <v>4</v>
      </c>
      <c r="BE113" s="73">
        <f t="shared" si="72"/>
        <v>4</v>
      </c>
      <c r="BF113" s="73">
        <f t="shared" si="72"/>
        <v>4</v>
      </c>
      <c r="BG113" s="73">
        <f t="shared" si="72"/>
        <v>4</v>
      </c>
      <c r="BH113" s="73">
        <f t="shared" si="72"/>
        <v>4</v>
      </c>
      <c r="BI113" s="73">
        <f t="shared" si="72"/>
        <v>4</v>
      </c>
      <c r="BJ113" s="73">
        <f t="shared" si="72"/>
        <v>4</v>
      </c>
      <c r="BK113" s="73">
        <f t="shared" si="72"/>
        <v>4</v>
      </c>
      <c r="BL113" s="73">
        <f t="shared" si="72"/>
        <v>4</v>
      </c>
      <c r="BM113" s="73">
        <f t="shared" si="72"/>
        <v>4</v>
      </c>
      <c r="BN113" s="73">
        <f t="shared" si="72"/>
        <v>4</v>
      </c>
      <c r="BO113" s="73">
        <f t="shared" si="72"/>
        <v>0</v>
      </c>
      <c r="BP113" s="73">
        <f t="shared" si="72"/>
        <v>0</v>
      </c>
      <c r="BQ113" s="73">
        <f t="shared" si="72"/>
        <v>0</v>
      </c>
      <c r="BR113" s="73">
        <f t="shared" si="72"/>
        <v>0</v>
      </c>
      <c r="BS113" s="73">
        <f t="shared" si="72"/>
        <v>0</v>
      </c>
      <c r="BT113" s="73">
        <f t="shared" si="72"/>
        <v>0</v>
      </c>
      <c r="BU113" s="73">
        <f t="shared" si="72"/>
        <v>0</v>
      </c>
      <c r="BV113" s="73">
        <f t="shared" si="72"/>
        <v>0</v>
      </c>
      <c r="BW113" s="73">
        <f t="shared" si="72"/>
        <v>0</v>
      </c>
      <c r="BX113" s="73">
        <f t="shared" si="72"/>
        <v>0</v>
      </c>
      <c r="BY113" s="73">
        <f t="shared" si="72"/>
        <v>0</v>
      </c>
      <c r="BZ113" s="73">
        <f t="shared" si="72"/>
        <v>0</v>
      </c>
      <c r="CA113" s="73">
        <f t="shared" si="72"/>
        <v>0</v>
      </c>
      <c r="CB113" s="73">
        <f t="shared" si="72"/>
        <v>0</v>
      </c>
      <c r="CC113" s="73">
        <f t="shared" si="72"/>
        <v>0</v>
      </c>
      <c r="CD113" s="73">
        <f t="shared" ref="CD113:DL113" si="73">CD19*(IF($D113&gt;CD$14,0,ROUNDUP(YEARFRAC($D113,CD$14),0)-DATEDIF($D113,$R$14,"y")))</f>
        <v>0</v>
      </c>
      <c r="CE113" s="73">
        <f t="shared" si="73"/>
        <v>0</v>
      </c>
      <c r="CF113" s="73">
        <f t="shared" si="73"/>
        <v>0</v>
      </c>
      <c r="CG113" s="73">
        <f t="shared" si="73"/>
        <v>0</v>
      </c>
      <c r="CH113" s="73">
        <f t="shared" si="73"/>
        <v>0</v>
      </c>
      <c r="CI113" s="73">
        <f t="shared" si="73"/>
        <v>0</v>
      </c>
      <c r="CJ113" s="73">
        <f t="shared" si="73"/>
        <v>0</v>
      </c>
      <c r="CK113" s="73">
        <f t="shared" si="73"/>
        <v>0</v>
      </c>
      <c r="CL113" s="73">
        <f t="shared" si="73"/>
        <v>0</v>
      </c>
      <c r="CM113" s="73">
        <f t="shared" si="73"/>
        <v>0</v>
      </c>
      <c r="CN113" s="73">
        <f t="shared" si="73"/>
        <v>0</v>
      </c>
      <c r="CO113" s="73">
        <f t="shared" si="73"/>
        <v>0</v>
      </c>
      <c r="CP113" s="73">
        <f t="shared" si="73"/>
        <v>0</v>
      </c>
      <c r="CQ113" s="73">
        <f t="shared" si="73"/>
        <v>0</v>
      </c>
      <c r="CR113" s="73">
        <f t="shared" si="73"/>
        <v>0</v>
      </c>
      <c r="CS113" s="73">
        <f t="shared" si="73"/>
        <v>0</v>
      </c>
      <c r="CT113" s="73">
        <f t="shared" si="73"/>
        <v>0</v>
      </c>
      <c r="CU113" s="73">
        <f t="shared" si="73"/>
        <v>0</v>
      </c>
      <c r="CV113" s="73">
        <f t="shared" si="73"/>
        <v>0</v>
      </c>
      <c r="CW113" s="73">
        <f t="shared" si="73"/>
        <v>0</v>
      </c>
      <c r="CX113" s="73">
        <f t="shared" si="73"/>
        <v>0</v>
      </c>
      <c r="CY113" s="73">
        <f t="shared" si="73"/>
        <v>0</v>
      </c>
      <c r="CZ113" s="73">
        <f t="shared" si="73"/>
        <v>0</v>
      </c>
      <c r="DA113" s="73">
        <f t="shared" si="73"/>
        <v>0</v>
      </c>
      <c r="DB113" s="73">
        <f t="shared" si="73"/>
        <v>0</v>
      </c>
      <c r="DC113" s="73">
        <f t="shared" si="73"/>
        <v>0</v>
      </c>
      <c r="DD113" s="73">
        <f t="shared" si="73"/>
        <v>0</v>
      </c>
      <c r="DE113" s="73">
        <f t="shared" si="73"/>
        <v>0</v>
      </c>
      <c r="DF113" s="73">
        <f t="shared" si="73"/>
        <v>0</v>
      </c>
      <c r="DG113" s="73">
        <f t="shared" si="73"/>
        <v>0</v>
      </c>
      <c r="DH113" s="73">
        <f t="shared" si="73"/>
        <v>0</v>
      </c>
      <c r="DI113" s="73">
        <f t="shared" si="73"/>
        <v>0</v>
      </c>
      <c r="DJ113" s="73">
        <f t="shared" si="73"/>
        <v>0</v>
      </c>
      <c r="DK113" s="73">
        <f t="shared" si="73"/>
        <v>0</v>
      </c>
      <c r="DL113" s="73">
        <f t="shared" si="73"/>
        <v>0</v>
      </c>
    </row>
    <row r="114" spans="2:116" ht="17">
      <c r="B114" s="27">
        <f>Rentroll!$C$12</f>
        <v>16</v>
      </c>
      <c r="C114" s="69" t="str">
        <f>VLOOKUP($B114,Rentroll!$C$11:$X$29,3,FALSE)</f>
        <v>리마 상사</v>
      </c>
      <c r="D114" s="80">
        <f>VLOOKUP($B114,Rentroll!$C$11:$X$29,9,FALSE)</f>
        <v>45322</v>
      </c>
      <c r="E114" s="80">
        <f>VLOOKUP($B114,Rentroll!$C$11:$X$29,10,FALSE)</f>
        <v>47148</v>
      </c>
      <c r="F114" s="81">
        <f>VLOOKUP($B114,Rentroll!$C$11:$X$29,11,FALSE)</f>
        <v>60</v>
      </c>
      <c r="G114" s="69">
        <f>VLOOKUP($B114,Rentroll!$C$11:$X$29,13,FALSE)</f>
        <v>100000</v>
      </c>
      <c r="H114" s="69">
        <f>VLOOKUP($B114,Rentroll!$C$11:$X$29,14,FALSE)</f>
        <v>75000</v>
      </c>
      <c r="I114" s="69">
        <f>VLOOKUP($B114,Rentroll!$C$11:$X$29,15,FALSE)</f>
        <v>45000</v>
      </c>
      <c r="J114" s="82">
        <f>VLOOKUP($B114,Rentroll!$C$11:$X$29,19,FALSE)</f>
        <v>0.03</v>
      </c>
      <c r="K114" s="83">
        <f>VLOOKUP($B114,Rentroll!$C$11:$X$29,4,FALSE)</f>
        <v>1385.09</v>
      </c>
      <c r="L114" s="81">
        <f>VLOOKUP($B114,Rentroll!$C$11:$X$29,17,FALSE)</f>
        <v>0</v>
      </c>
      <c r="M114" s="84">
        <f>VLOOKUP($B114,Rentroll!$C$11:$X$29,18,FALSE)</f>
        <v>3</v>
      </c>
      <c r="N114" s="20"/>
      <c r="O114" s="74">
        <f t="shared" ref="O114:O131" si="74">B114</f>
        <v>16</v>
      </c>
      <c r="P114" s="75"/>
      <c r="Q114" s="75"/>
      <c r="R114" s="75">
        <f t="shared" ref="R114:AW114" si="75">R20*(IF($D114&gt;R$14,0,ROUNDUP(YEARFRAC($D114,R$14),0)-DATEDIF($D114,$R$14,"y")))</f>
        <v>0</v>
      </c>
      <c r="S114" s="75">
        <f t="shared" si="75"/>
        <v>1</v>
      </c>
      <c r="T114" s="75">
        <f t="shared" si="75"/>
        <v>1</v>
      </c>
      <c r="U114" s="75">
        <f t="shared" si="75"/>
        <v>1</v>
      </c>
      <c r="V114" s="75">
        <f t="shared" si="75"/>
        <v>1</v>
      </c>
      <c r="W114" s="75">
        <f t="shared" si="75"/>
        <v>1</v>
      </c>
      <c r="X114" s="75">
        <f t="shared" si="75"/>
        <v>1</v>
      </c>
      <c r="Y114" s="75">
        <f t="shared" si="75"/>
        <v>1</v>
      </c>
      <c r="Z114" s="75">
        <f t="shared" si="75"/>
        <v>1</v>
      </c>
      <c r="AA114" s="75">
        <f t="shared" si="75"/>
        <v>1</v>
      </c>
      <c r="AB114" s="75">
        <f t="shared" si="75"/>
        <v>1</v>
      </c>
      <c r="AC114" s="75">
        <f t="shared" si="75"/>
        <v>1</v>
      </c>
      <c r="AD114" s="75">
        <f t="shared" si="75"/>
        <v>1</v>
      </c>
      <c r="AE114" s="75">
        <f t="shared" si="75"/>
        <v>2</v>
      </c>
      <c r="AF114" s="75">
        <f t="shared" si="75"/>
        <v>2</v>
      </c>
      <c r="AG114" s="75">
        <f t="shared" si="75"/>
        <v>2</v>
      </c>
      <c r="AH114" s="75">
        <f t="shared" si="75"/>
        <v>2</v>
      </c>
      <c r="AI114" s="75">
        <f t="shared" si="75"/>
        <v>2</v>
      </c>
      <c r="AJ114" s="75">
        <f t="shared" si="75"/>
        <v>2</v>
      </c>
      <c r="AK114" s="75">
        <f t="shared" si="75"/>
        <v>2</v>
      </c>
      <c r="AL114" s="75">
        <f t="shared" si="75"/>
        <v>2</v>
      </c>
      <c r="AM114" s="75">
        <f t="shared" si="75"/>
        <v>2</v>
      </c>
      <c r="AN114" s="75">
        <f t="shared" si="75"/>
        <v>2</v>
      </c>
      <c r="AO114" s="75">
        <f t="shared" si="75"/>
        <v>2</v>
      </c>
      <c r="AP114" s="75">
        <f t="shared" si="75"/>
        <v>2</v>
      </c>
      <c r="AQ114" s="75">
        <f t="shared" si="75"/>
        <v>3</v>
      </c>
      <c r="AR114" s="75">
        <f t="shared" si="75"/>
        <v>3</v>
      </c>
      <c r="AS114" s="75">
        <f t="shared" si="75"/>
        <v>3</v>
      </c>
      <c r="AT114" s="75">
        <f t="shared" si="75"/>
        <v>3</v>
      </c>
      <c r="AU114" s="75">
        <f t="shared" si="75"/>
        <v>3</v>
      </c>
      <c r="AV114" s="75">
        <f t="shared" si="75"/>
        <v>3</v>
      </c>
      <c r="AW114" s="75">
        <f t="shared" si="75"/>
        <v>3</v>
      </c>
      <c r="AX114" s="75">
        <f t="shared" ref="AX114:CC114" si="76">AX20*(IF($D114&gt;AX$14,0,ROUNDUP(YEARFRAC($D114,AX$14),0)-DATEDIF($D114,$R$14,"y")))</f>
        <v>3</v>
      </c>
      <c r="AY114" s="75">
        <f t="shared" si="76"/>
        <v>3</v>
      </c>
      <c r="AZ114" s="75">
        <f t="shared" si="76"/>
        <v>3</v>
      </c>
      <c r="BA114" s="75">
        <f t="shared" si="76"/>
        <v>3</v>
      </c>
      <c r="BB114" s="75">
        <f t="shared" si="76"/>
        <v>3</v>
      </c>
      <c r="BC114" s="75">
        <f t="shared" si="76"/>
        <v>4</v>
      </c>
      <c r="BD114" s="75">
        <f t="shared" si="76"/>
        <v>4</v>
      </c>
      <c r="BE114" s="75">
        <f t="shared" si="76"/>
        <v>4</v>
      </c>
      <c r="BF114" s="75">
        <f t="shared" si="76"/>
        <v>4</v>
      </c>
      <c r="BG114" s="75">
        <f t="shared" si="76"/>
        <v>4</v>
      </c>
      <c r="BH114" s="75">
        <f t="shared" si="76"/>
        <v>4</v>
      </c>
      <c r="BI114" s="75">
        <f t="shared" si="76"/>
        <v>4</v>
      </c>
      <c r="BJ114" s="75">
        <f t="shared" si="76"/>
        <v>4</v>
      </c>
      <c r="BK114" s="75">
        <f t="shared" si="76"/>
        <v>4</v>
      </c>
      <c r="BL114" s="75">
        <f t="shared" si="76"/>
        <v>4</v>
      </c>
      <c r="BM114" s="75">
        <f t="shared" si="76"/>
        <v>4</v>
      </c>
      <c r="BN114" s="75">
        <f t="shared" si="76"/>
        <v>4</v>
      </c>
      <c r="BO114" s="75">
        <f t="shared" si="76"/>
        <v>0</v>
      </c>
      <c r="BP114" s="75">
        <f t="shared" si="76"/>
        <v>0</v>
      </c>
      <c r="BQ114" s="75">
        <f t="shared" si="76"/>
        <v>0</v>
      </c>
      <c r="BR114" s="75">
        <f t="shared" si="76"/>
        <v>0</v>
      </c>
      <c r="BS114" s="75">
        <f t="shared" si="76"/>
        <v>0</v>
      </c>
      <c r="BT114" s="75">
        <f t="shared" si="76"/>
        <v>0</v>
      </c>
      <c r="BU114" s="75">
        <f t="shared" si="76"/>
        <v>0</v>
      </c>
      <c r="BV114" s="75">
        <f t="shared" si="76"/>
        <v>0</v>
      </c>
      <c r="BW114" s="75">
        <f t="shared" si="76"/>
        <v>0</v>
      </c>
      <c r="BX114" s="75">
        <f t="shared" si="76"/>
        <v>0</v>
      </c>
      <c r="BY114" s="75">
        <f t="shared" si="76"/>
        <v>0</v>
      </c>
      <c r="BZ114" s="75">
        <f t="shared" si="76"/>
        <v>0</v>
      </c>
      <c r="CA114" s="75">
        <f t="shared" si="76"/>
        <v>0</v>
      </c>
      <c r="CB114" s="75">
        <f t="shared" si="76"/>
        <v>0</v>
      </c>
      <c r="CC114" s="75">
        <f t="shared" si="76"/>
        <v>0</v>
      </c>
      <c r="CD114" s="75">
        <f t="shared" ref="CD114:DL114" si="77">CD20*(IF($D114&gt;CD$14,0,ROUNDUP(YEARFRAC($D114,CD$14),0)-DATEDIF($D114,$R$14,"y")))</f>
        <v>0</v>
      </c>
      <c r="CE114" s="75">
        <f t="shared" si="77"/>
        <v>0</v>
      </c>
      <c r="CF114" s="75">
        <f t="shared" si="77"/>
        <v>0</v>
      </c>
      <c r="CG114" s="75">
        <f t="shared" si="77"/>
        <v>0</v>
      </c>
      <c r="CH114" s="75">
        <f t="shared" si="77"/>
        <v>0</v>
      </c>
      <c r="CI114" s="75">
        <f t="shared" si="77"/>
        <v>0</v>
      </c>
      <c r="CJ114" s="75">
        <f t="shared" si="77"/>
        <v>0</v>
      </c>
      <c r="CK114" s="75">
        <f t="shared" si="77"/>
        <v>0</v>
      </c>
      <c r="CL114" s="75">
        <f t="shared" si="77"/>
        <v>0</v>
      </c>
      <c r="CM114" s="75">
        <f t="shared" si="77"/>
        <v>0</v>
      </c>
      <c r="CN114" s="75">
        <f t="shared" si="77"/>
        <v>0</v>
      </c>
      <c r="CO114" s="75">
        <f t="shared" si="77"/>
        <v>0</v>
      </c>
      <c r="CP114" s="75">
        <f t="shared" si="77"/>
        <v>0</v>
      </c>
      <c r="CQ114" s="75">
        <f t="shared" si="77"/>
        <v>0</v>
      </c>
      <c r="CR114" s="75">
        <f t="shared" si="77"/>
        <v>0</v>
      </c>
      <c r="CS114" s="75">
        <f t="shared" si="77"/>
        <v>0</v>
      </c>
      <c r="CT114" s="75">
        <f t="shared" si="77"/>
        <v>0</v>
      </c>
      <c r="CU114" s="75">
        <f t="shared" si="77"/>
        <v>0</v>
      </c>
      <c r="CV114" s="75">
        <f t="shared" si="77"/>
        <v>0</v>
      </c>
      <c r="CW114" s="75">
        <f t="shared" si="77"/>
        <v>0</v>
      </c>
      <c r="CX114" s="75">
        <f t="shared" si="77"/>
        <v>0</v>
      </c>
      <c r="CY114" s="75">
        <f t="shared" si="77"/>
        <v>0</v>
      </c>
      <c r="CZ114" s="75">
        <f t="shared" si="77"/>
        <v>0</v>
      </c>
      <c r="DA114" s="75">
        <f t="shared" si="77"/>
        <v>0</v>
      </c>
      <c r="DB114" s="75">
        <f t="shared" si="77"/>
        <v>0</v>
      </c>
      <c r="DC114" s="75">
        <f t="shared" si="77"/>
        <v>0</v>
      </c>
      <c r="DD114" s="75">
        <f t="shared" si="77"/>
        <v>0</v>
      </c>
      <c r="DE114" s="75">
        <f t="shared" si="77"/>
        <v>0</v>
      </c>
      <c r="DF114" s="75">
        <f t="shared" si="77"/>
        <v>0</v>
      </c>
      <c r="DG114" s="75">
        <f t="shared" si="77"/>
        <v>0</v>
      </c>
      <c r="DH114" s="75">
        <f t="shared" si="77"/>
        <v>0</v>
      </c>
      <c r="DI114" s="75">
        <f t="shared" si="77"/>
        <v>0</v>
      </c>
      <c r="DJ114" s="75">
        <f t="shared" si="77"/>
        <v>0</v>
      </c>
      <c r="DK114" s="75">
        <f t="shared" si="77"/>
        <v>0</v>
      </c>
      <c r="DL114" s="75">
        <f t="shared" si="77"/>
        <v>0</v>
      </c>
    </row>
    <row r="115" spans="2:116">
      <c r="B115" s="27">
        <f>Rentroll!$C$13</f>
        <v>15</v>
      </c>
      <c r="C115" s="69" t="str">
        <f>VLOOKUP($B115,Rentroll!$C$11:$X$29,3,FALSE)</f>
        <v>모빌리티 테크놀로지</v>
      </c>
      <c r="D115" s="80">
        <f>VLOOKUP($B115,Rentroll!$C$11:$X$29,9,FALSE)</f>
        <v>44042</v>
      </c>
      <c r="E115" s="80">
        <f>VLOOKUP($B115,Rentroll!$C$11:$X$29,10,FALSE)</f>
        <v>45869</v>
      </c>
      <c r="F115" s="81">
        <f>VLOOKUP($B115,Rentroll!$C$11:$X$29,11,FALSE)</f>
        <v>60</v>
      </c>
      <c r="G115" s="69">
        <f>VLOOKUP($B115,Rentroll!$C$11:$X$29,13,FALSE)</f>
        <v>90041</v>
      </c>
      <c r="H115" s="69">
        <f>VLOOKUP($B115,Rentroll!$C$11:$X$29,14,FALSE)</f>
        <v>67530.75</v>
      </c>
      <c r="I115" s="69">
        <f>VLOOKUP($B115,Rentroll!$C$11:$X$29,15,FALSE)</f>
        <v>45020</v>
      </c>
      <c r="J115" s="82">
        <f>VLOOKUP($B115,Rentroll!$C$11:$X$29,19,FALSE)</f>
        <v>0.03</v>
      </c>
      <c r="K115" s="83">
        <f>VLOOKUP($B115,Rentroll!$C$11:$X$29,4,FALSE)</f>
        <v>1385.09</v>
      </c>
      <c r="L115" s="81">
        <f>VLOOKUP($B115,Rentroll!$C$11:$X$29,17,FALSE)</f>
        <v>0</v>
      </c>
      <c r="M115" s="84">
        <f>VLOOKUP($B115,Rentroll!$C$11:$X$29,18,FALSE)</f>
        <v>3</v>
      </c>
      <c r="O115" s="74">
        <f t="shared" si="74"/>
        <v>15</v>
      </c>
      <c r="P115" s="75"/>
      <c r="Q115" s="75"/>
      <c r="R115" s="75">
        <f t="shared" ref="R115:AW115" si="78">R21*(IF($D115&gt;R$14,0,ROUNDUP(YEARFRAC($D115,R$14),0)-DATEDIF($D115,$R$14,"y")))</f>
        <v>0</v>
      </c>
      <c r="S115" s="75">
        <f t="shared" si="78"/>
        <v>1</v>
      </c>
      <c r="T115" s="75">
        <f t="shared" si="78"/>
        <v>1</v>
      </c>
      <c r="U115" s="75">
        <f t="shared" si="78"/>
        <v>1</v>
      </c>
      <c r="V115" s="75">
        <f t="shared" si="78"/>
        <v>1</v>
      </c>
      <c r="W115" s="75">
        <f t="shared" si="78"/>
        <v>1</v>
      </c>
      <c r="X115" s="75">
        <f t="shared" si="78"/>
        <v>1</v>
      </c>
      <c r="Y115" s="75">
        <f t="shared" si="78"/>
        <v>0</v>
      </c>
      <c r="Z115" s="75">
        <f t="shared" si="78"/>
        <v>0</v>
      </c>
      <c r="AA115" s="75">
        <f t="shared" si="78"/>
        <v>0</v>
      </c>
      <c r="AB115" s="75">
        <f t="shared" si="78"/>
        <v>0</v>
      </c>
      <c r="AC115" s="75">
        <f t="shared" si="78"/>
        <v>0</v>
      </c>
      <c r="AD115" s="75">
        <f t="shared" si="78"/>
        <v>0</v>
      </c>
      <c r="AE115" s="75">
        <f t="shared" si="78"/>
        <v>0</v>
      </c>
      <c r="AF115" s="75">
        <f t="shared" si="78"/>
        <v>0</v>
      </c>
      <c r="AG115" s="75">
        <f t="shared" si="78"/>
        <v>0</v>
      </c>
      <c r="AH115" s="75">
        <f t="shared" si="78"/>
        <v>0</v>
      </c>
      <c r="AI115" s="75">
        <f t="shared" si="78"/>
        <v>0</v>
      </c>
      <c r="AJ115" s="75">
        <f t="shared" si="78"/>
        <v>0</v>
      </c>
      <c r="AK115" s="75">
        <f t="shared" si="78"/>
        <v>0</v>
      </c>
      <c r="AL115" s="75">
        <f t="shared" si="78"/>
        <v>0</v>
      </c>
      <c r="AM115" s="75">
        <f t="shared" si="78"/>
        <v>0</v>
      </c>
      <c r="AN115" s="75">
        <f t="shared" si="78"/>
        <v>0</v>
      </c>
      <c r="AO115" s="75">
        <f t="shared" si="78"/>
        <v>0</v>
      </c>
      <c r="AP115" s="75">
        <f t="shared" si="78"/>
        <v>0</v>
      </c>
      <c r="AQ115" s="75">
        <f t="shared" si="78"/>
        <v>0</v>
      </c>
      <c r="AR115" s="75">
        <f t="shared" si="78"/>
        <v>0</v>
      </c>
      <c r="AS115" s="75">
        <f t="shared" si="78"/>
        <v>0</v>
      </c>
      <c r="AT115" s="75">
        <f t="shared" si="78"/>
        <v>0</v>
      </c>
      <c r="AU115" s="75">
        <f t="shared" si="78"/>
        <v>0</v>
      </c>
      <c r="AV115" s="75">
        <f t="shared" si="78"/>
        <v>0</v>
      </c>
      <c r="AW115" s="75">
        <f t="shared" si="78"/>
        <v>0</v>
      </c>
      <c r="AX115" s="75">
        <f t="shared" ref="AX115:CC115" si="79">AX21*(IF($D115&gt;AX$14,0,ROUNDUP(YEARFRAC($D115,AX$14),0)-DATEDIF($D115,$R$14,"y")))</f>
        <v>0</v>
      </c>
      <c r="AY115" s="75">
        <f t="shared" si="79"/>
        <v>0</v>
      </c>
      <c r="AZ115" s="75">
        <f t="shared" si="79"/>
        <v>0</v>
      </c>
      <c r="BA115" s="75">
        <f t="shared" si="79"/>
        <v>0</v>
      </c>
      <c r="BB115" s="75">
        <f t="shared" si="79"/>
        <v>0</v>
      </c>
      <c r="BC115" s="75">
        <f t="shared" si="79"/>
        <v>0</v>
      </c>
      <c r="BD115" s="75">
        <f t="shared" si="79"/>
        <v>0</v>
      </c>
      <c r="BE115" s="75">
        <f t="shared" si="79"/>
        <v>0</v>
      </c>
      <c r="BF115" s="75">
        <f t="shared" si="79"/>
        <v>0</v>
      </c>
      <c r="BG115" s="75">
        <f t="shared" si="79"/>
        <v>0</v>
      </c>
      <c r="BH115" s="75">
        <f t="shared" si="79"/>
        <v>0</v>
      </c>
      <c r="BI115" s="75">
        <f t="shared" si="79"/>
        <v>0</v>
      </c>
      <c r="BJ115" s="75">
        <f t="shared" si="79"/>
        <v>0</v>
      </c>
      <c r="BK115" s="75">
        <f t="shared" si="79"/>
        <v>0</v>
      </c>
      <c r="BL115" s="75">
        <f t="shared" si="79"/>
        <v>0</v>
      </c>
      <c r="BM115" s="75">
        <f t="shared" si="79"/>
        <v>0</v>
      </c>
      <c r="BN115" s="75">
        <f t="shared" si="79"/>
        <v>0</v>
      </c>
      <c r="BO115" s="75">
        <f t="shared" si="79"/>
        <v>0</v>
      </c>
      <c r="BP115" s="75">
        <f t="shared" si="79"/>
        <v>0</v>
      </c>
      <c r="BQ115" s="75">
        <f t="shared" si="79"/>
        <v>0</v>
      </c>
      <c r="BR115" s="75">
        <f t="shared" si="79"/>
        <v>0</v>
      </c>
      <c r="BS115" s="75">
        <f t="shared" si="79"/>
        <v>0</v>
      </c>
      <c r="BT115" s="75">
        <f t="shared" si="79"/>
        <v>0</v>
      </c>
      <c r="BU115" s="75">
        <f t="shared" si="79"/>
        <v>0</v>
      </c>
      <c r="BV115" s="75">
        <f t="shared" si="79"/>
        <v>0</v>
      </c>
      <c r="BW115" s="75">
        <f t="shared" si="79"/>
        <v>0</v>
      </c>
      <c r="BX115" s="75">
        <f t="shared" si="79"/>
        <v>0</v>
      </c>
      <c r="BY115" s="75">
        <f t="shared" si="79"/>
        <v>0</v>
      </c>
      <c r="BZ115" s="75">
        <f t="shared" si="79"/>
        <v>0</v>
      </c>
      <c r="CA115" s="75">
        <f t="shared" si="79"/>
        <v>0</v>
      </c>
      <c r="CB115" s="75">
        <f t="shared" si="79"/>
        <v>0</v>
      </c>
      <c r="CC115" s="75">
        <f t="shared" si="79"/>
        <v>0</v>
      </c>
      <c r="CD115" s="75">
        <f t="shared" ref="CD115:DL115" si="80">CD21*(IF($D115&gt;CD$14,0,ROUNDUP(YEARFRAC($D115,CD$14),0)-DATEDIF($D115,$R$14,"y")))</f>
        <v>0</v>
      </c>
      <c r="CE115" s="75">
        <f t="shared" si="80"/>
        <v>0</v>
      </c>
      <c r="CF115" s="75">
        <f t="shared" si="80"/>
        <v>0</v>
      </c>
      <c r="CG115" s="75">
        <f t="shared" si="80"/>
        <v>0</v>
      </c>
      <c r="CH115" s="75">
        <f t="shared" si="80"/>
        <v>0</v>
      </c>
      <c r="CI115" s="75">
        <f t="shared" si="80"/>
        <v>0</v>
      </c>
      <c r="CJ115" s="75">
        <f t="shared" si="80"/>
        <v>0</v>
      </c>
      <c r="CK115" s="75">
        <f t="shared" si="80"/>
        <v>0</v>
      </c>
      <c r="CL115" s="75">
        <f t="shared" si="80"/>
        <v>0</v>
      </c>
      <c r="CM115" s="75">
        <f t="shared" si="80"/>
        <v>0</v>
      </c>
      <c r="CN115" s="75">
        <f t="shared" si="80"/>
        <v>0</v>
      </c>
      <c r="CO115" s="75">
        <f t="shared" si="80"/>
        <v>0</v>
      </c>
      <c r="CP115" s="75">
        <f t="shared" si="80"/>
        <v>0</v>
      </c>
      <c r="CQ115" s="75">
        <f t="shared" si="80"/>
        <v>0</v>
      </c>
      <c r="CR115" s="75">
        <f t="shared" si="80"/>
        <v>0</v>
      </c>
      <c r="CS115" s="75">
        <f t="shared" si="80"/>
        <v>0</v>
      </c>
      <c r="CT115" s="75">
        <f t="shared" si="80"/>
        <v>0</v>
      </c>
      <c r="CU115" s="75">
        <f t="shared" si="80"/>
        <v>0</v>
      </c>
      <c r="CV115" s="75">
        <f t="shared" si="80"/>
        <v>0</v>
      </c>
      <c r="CW115" s="75">
        <f t="shared" si="80"/>
        <v>0</v>
      </c>
      <c r="CX115" s="75">
        <f t="shared" si="80"/>
        <v>0</v>
      </c>
      <c r="CY115" s="75">
        <f t="shared" si="80"/>
        <v>0</v>
      </c>
      <c r="CZ115" s="75">
        <f t="shared" si="80"/>
        <v>0</v>
      </c>
      <c r="DA115" s="75">
        <f t="shared" si="80"/>
        <v>0</v>
      </c>
      <c r="DB115" s="75">
        <f t="shared" si="80"/>
        <v>0</v>
      </c>
      <c r="DC115" s="75">
        <f t="shared" si="80"/>
        <v>0</v>
      </c>
      <c r="DD115" s="75">
        <f t="shared" si="80"/>
        <v>0</v>
      </c>
      <c r="DE115" s="75">
        <f t="shared" si="80"/>
        <v>0</v>
      </c>
      <c r="DF115" s="75">
        <f t="shared" si="80"/>
        <v>0</v>
      </c>
      <c r="DG115" s="75">
        <f t="shared" si="80"/>
        <v>0</v>
      </c>
      <c r="DH115" s="75">
        <f t="shared" si="80"/>
        <v>0</v>
      </c>
      <c r="DI115" s="75">
        <f t="shared" si="80"/>
        <v>0</v>
      </c>
      <c r="DJ115" s="75">
        <f t="shared" si="80"/>
        <v>0</v>
      </c>
      <c r="DK115" s="75">
        <f t="shared" si="80"/>
        <v>0</v>
      </c>
      <c r="DL115" s="75">
        <f t="shared" si="80"/>
        <v>0</v>
      </c>
    </row>
    <row r="116" spans="2:116">
      <c r="B116" s="27">
        <f>Rentroll!$C$14</f>
        <v>14</v>
      </c>
      <c r="C116" s="69" t="str">
        <f>VLOOKUP($B116,Rentroll!$C$11:$X$29,3,FALSE)</f>
        <v>모빌리티 테크놀로지</v>
      </c>
      <c r="D116" s="80">
        <f>VLOOKUP($B116,Rentroll!$C$11:$X$29,9,FALSE)</f>
        <v>44043</v>
      </c>
      <c r="E116" s="80">
        <f>VLOOKUP($B116,Rentroll!$C$11:$X$29,10,FALSE)</f>
        <v>45868</v>
      </c>
      <c r="F116" s="81">
        <f>VLOOKUP($B116,Rentroll!$C$11:$X$29,11,FALSE)</f>
        <v>60</v>
      </c>
      <c r="G116" s="69">
        <f>VLOOKUP($B116,Rentroll!$C$11:$X$29,13,FALSE)</f>
        <v>90041</v>
      </c>
      <c r="H116" s="69">
        <f>VLOOKUP($B116,Rentroll!$C$11:$X$29,14,FALSE)</f>
        <v>67530.75</v>
      </c>
      <c r="I116" s="69">
        <f>VLOOKUP($B116,Rentroll!$C$11:$X$29,15,FALSE)</f>
        <v>45020</v>
      </c>
      <c r="J116" s="82">
        <f>VLOOKUP($B116,Rentroll!$C$11:$X$29,19,FALSE)</f>
        <v>0.03</v>
      </c>
      <c r="K116" s="83">
        <f>VLOOKUP($B116,Rentroll!$C$11:$X$29,4,FALSE)</f>
        <v>1385.09</v>
      </c>
      <c r="L116" s="81">
        <f>VLOOKUP($B116,Rentroll!$C$11:$X$29,17,FALSE)</f>
        <v>0</v>
      </c>
      <c r="M116" s="84">
        <f>VLOOKUP($B116,Rentroll!$C$11:$X$29,18,FALSE)</f>
        <v>3</v>
      </c>
      <c r="O116" s="74">
        <f t="shared" si="74"/>
        <v>14</v>
      </c>
      <c r="P116" s="75"/>
      <c r="Q116" s="75"/>
      <c r="R116" s="75">
        <f t="shared" ref="R116:AW116" si="81">R22*(IF($D116&gt;R$14,0,ROUNDUP(YEARFRAC($D116,R$14),0)-DATEDIF($D116,$R$14,"y")))</f>
        <v>0</v>
      </c>
      <c r="S116" s="75">
        <f t="shared" si="81"/>
        <v>1</v>
      </c>
      <c r="T116" s="75">
        <f t="shared" si="81"/>
        <v>1</v>
      </c>
      <c r="U116" s="75">
        <f t="shared" si="81"/>
        <v>1</v>
      </c>
      <c r="V116" s="75">
        <f t="shared" si="81"/>
        <v>1</v>
      </c>
      <c r="W116" s="75">
        <f t="shared" si="81"/>
        <v>1</v>
      </c>
      <c r="X116" s="75">
        <f t="shared" si="81"/>
        <v>1</v>
      </c>
      <c r="Y116" s="75">
        <f t="shared" si="81"/>
        <v>0</v>
      </c>
      <c r="Z116" s="75">
        <f t="shared" si="81"/>
        <v>0</v>
      </c>
      <c r="AA116" s="75">
        <f t="shared" si="81"/>
        <v>0</v>
      </c>
      <c r="AB116" s="75">
        <f t="shared" si="81"/>
        <v>0</v>
      </c>
      <c r="AC116" s="75">
        <f t="shared" si="81"/>
        <v>0</v>
      </c>
      <c r="AD116" s="75">
        <f t="shared" si="81"/>
        <v>0</v>
      </c>
      <c r="AE116" s="75">
        <f t="shared" si="81"/>
        <v>0</v>
      </c>
      <c r="AF116" s="75">
        <f t="shared" si="81"/>
        <v>0</v>
      </c>
      <c r="AG116" s="75">
        <f t="shared" si="81"/>
        <v>0</v>
      </c>
      <c r="AH116" s="75">
        <f t="shared" si="81"/>
        <v>0</v>
      </c>
      <c r="AI116" s="75">
        <f t="shared" si="81"/>
        <v>0</v>
      </c>
      <c r="AJ116" s="75">
        <f t="shared" si="81"/>
        <v>0</v>
      </c>
      <c r="AK116" s="75">
        <f t="shared" si="81"/>
        <v>0</v>
      </c>
      <c r="AL116" s="75">
        <f t="shared" si="81"/>
        <v>0</v>
      </c>
      <c r="AM116" s="75">
        <f t="shared" si="81"/>
        <v>0</v>
      </c>
      <c r="AN116" s="75">
        <f t="shared" si="81"/>
        <v>0</v>
      </c>
      <c r="AO116" s="75">
        <f t="shared" si="81"/>
        <v>0</v>
      </c>
      <c r="AP116" s="75">
        <f t="shared" si="81"/>
        <v>0</v>
      </c>
      <c r="AQ116" s="75">
        <f t="shared" si="81"/>
        <v>0</v>
      </c>
      <c r="AR116" s="75">
        <f t="shared" si="81"/>
        <v>0</v>
      </c>
      <c r="AS116" s="75">
        <f t="shared" si="81"/>
        <v>0</v>
      </c>
      <c r="AT116" s="75">
        <f t="shared" si="81"/>
        <v>0</v>
      </c>
      <c r="AU116" s="75">
        <f t="shared" si="81"/>
        <v>0</v>
      </c>
      <c r="AV116" s="75">
        <f t="shared" si="81"/>
        <v>0</v>
      </c>
      <c r="AW116" s="75">
        <f t="shared" si="81"/>
        <v>0</v>
      </c>
      <c r="AX116" s="75">
        <f t="shared" ref="AX116:CC116" si="82">AX22*(IF($D116&gt;AX$14,0,ROUNDUP(YEARFRAC($D116,AX$14),0)-DATEDIF($D116,$R$14,"y")))</f>
        <v>0</v>
      </c>
      <c r="AY116" s="75">
        <f t="shared" si="82"/>
        <v>0</v>
      </c>
      <c r="AZ116" s="75">
        <f t="shared" si="82"/>
        <v>0</v>
      </c>
      <c r="BA116" s="75">
        <f t="shared" si="82"/>
        <v>0</v>
      </c>
      <c r="BB116" s="75">
        <f t="shared" si="82"/>
        <v>0</v>
      </c>
      <c r="BC116" s="75">
        <f t="shared" si="82"/>
        <v>0</v>
      </c>
      <c r="BD116" s="75">
        <f t="shared" si="82"/>
        <v>0</v>
      </c>
      <c r="BE116" s="75">
        <f t="shared" si="82"/>
        <v>0</v>
      </c>
      <c r="BF116" s="75">
        <f t="shared" si="82"/>
        <v>0</v>
      </c>
      <c r="BG116" s="75">
        <f t="shared" si="82"/>
        <v>0</v>
      </c>
      <c r="BH116" s="75">
        <f t="shared" si="82"/>
        <v>0</v>
      </c>
      <c r="BI116" s="75">
        <f t="shared" si="82"/>
        <v>0</v>
      </c>
      <c r="BJ116" s="75">
        <f t="shared" si="82"/>
        <v>0</v>
      </c>
      <c r="BK116" s="75">
        <f t="shared" si="82"/>
        <v>0</v>
      </c>
      <c r="BL116" s="75">
        <f t="shared" si="82"/>
        <v>0</v>
      </c>
      <c r="BM116" s="75">
        <f t="shared" si="82"/>
        <v>0</v>
      </c>
      <c r="BN116" s="75">
        <f t="shared" si="82"/>
        <v>0</v>
      </c>
      <c r="BO116" s="75">
        <f t="shared" si="82"/>
        <v>0</v>
      </c>
      <c r="BP116" s="75">
        <f t="shared" si="82"/>
        <v>0</v>
      </c>
      <c r="BQ116" s="75">
        <f t="shared" si="82"/>
        <v>0</v>
      </c>
      <c r="BR116" s="75">
        <f t="shared" si="82"/>
        <v>0</v>
      </c>
      <c r="BS116" s="75">
        <f t="shared" si="82"/>
        <v>0</v>
      </c>
      <c r="BT116" s="75">
        <f t="shared" si="82"/>
        <v>0</v>
      </c>
      <c r="BU116" s="75">
        <f t="shared" si="82"/>
        <v>0</v>
      </c>
      <c r="BV116" s="75">
        <f t="shared" si="82"/>
        <v>0</v>
      </c>
      <c r="BW116" s="75">
        <f t="shared" si="82"/>
        <v>0</v>
      </c>
      <c r="BX116" s="75">
        <f t="shared" si="82"/>
        <v>0</v>
      </c>
      <c r="BY116" s="75">
        <f t="shared" si="82"/>
        <v>0</v>
      </c>
      <c r="BZ116" s="75">
        <f t="shared" si="82"/>
        <v>0</v>
      </c>
      <c r="CA116" s="75">
        <f t="shared" si="82"/>
        <v>0</v>
      </c>
      <c r="CB116" s="75">
        <f t="shared" si="82"/>
        <v>0</v>
      </c>
      <c r="CC116" s="75">
        <f t="shared" si="82"/>
        <v>0</v>
      </c>
      <c r="CD116" s="75">
        <f t="shared" ref="CD116:DL116" si="83">CD22*(IF($D116&gt;CD$14,0,ROUNDUP(YEARFRAC($D116,CD$14),0)-DATEDIF($D116,$R$14,"y")))</f>
        <v>0</v>
      </c>
      <c r="CE116" s="75">
        <f t="shared" si="83"/>
        <v>0</v>
      </c>
      <c r="CF116" s="75">
        <f t="shared" si="83"/>
        <v>0</v>
      </c>
      <c r="CG116" s="75">
        <f t="shared" si="83"/>
        <v>0</v>
      </c>
      <c r="CH116" s="75">
        <f t="shared" si="83"/>
        <v>0</v>
      </c>
      <c r="CI116" s="75">
        <f t="shared" si="83"/>
        <v>0</v>
      </c>
      <c r="CJ116" s="75">
        <f t="shared" si="83"/>
        <v>0</v>
      </c>
      <c r="CK116" s="75">
        <f t="shared" si="83"/>
        <v>0</v>
      </c>
      <c r="CL116" s="75">
        <f t="shared" si="83"/>
        <v>0</v>
      </c>
      <c r="CM116" s="75">
        <f t="shared" si="83"/>
        <v>0</v>
      </c>
      <c r="CN116" s="75">
        <f t="shared" si="83"/>
        <v>0</v>
      </c>
      <c r="CO116" s="75">
        <f t="shared" si="83"/>
        <v>0</v>
      </c>
      <c r="CP116" s="75">
        <f t="shared" si="83"/>
        <v>0</v>
      </c>
      <c r="CQ116" s="75">
        <f t="shared" si="83"/>
        <v>0</v>
      </c>
      <c r="CR116" s="75">
        <f t="shared" si="83"/>
        <v>0</v>
      </c>
      <c r="CS116" s="75">
        <f t="shared" si="83"/>
        <v>0</v>
      </c>
      <c r="CT116" s="75">
        <f t="shared" si="83"/>
        <v>0</v>
      </c>
      <c r="CU116" s="75">
        <f t="shared" si="83"/>
        <v>0</v>
      </c>
      <c r="CV116" s="75">
        <f t="shared" si="83"/>
        <v>0</v>
      </c>
      <c r="CW116" s="75">
        <f t="shared" si="83"/>
        <v>0</v>
      </c>
      <c r="CX116" s="75">
        <f t="shared" si="83"/>
        <v>0</v>
      </c>
      <c r="CY116" s="75">
        <f t="shared" si="83"/>
        <v>0</v>
      </c>
      <c r="CZ116" s="75">
        <f t="shared" si="83"/>
        <v>0</v>
      </c>
      <c r="DA116" s="75">
        <f t="shared" si="83"/>
        <v>0</v>
      </c>
      <c r="DB116" s="75">
        <f t="shared" si="83"/>
        <v>0</v>
      </c>
      <c r="DC116" s="75">
        <f t="shared" si="83"/>
        <v>0</v>
      </c>
      <c r="DD116" s="75">
        <f t="shared" si="83"/>
        <v>0</v>
      </c>
      <c r="DE116" s="75">
        <f t="shared" si="83"/>
        <v>0</v>
      </c>
      <c r="DF116" s="75">
        <f t="shared" si="83"/>
        <v>0</v>
      </c>
      <c r="DG116" s="75">
        <f t="shared" si="83"/>
        <v>0</v>
      </c>
      <c r="DH116" s="75">
        <f t="shared" si="83"/>
        <v>0</v>
      </c>
      <c r="DI116" s="75">
        <f t="shared" si="83"/>
        <v>0</v>
      </c>
      <c r="DJ116" s="75">
        <f t="shared" si="83"/>
        <v>0</v>
      </c>
      <c r="DK116" s="75">
        <f t="shared" si="83"/>
        <v>0</v>
      </c>
      <c r="DL116" s="75">
        <f t="shared" si="83"/>
        <v>0</v>
      </c>
    </row>
    <row r="117" spans="2:116" ht="17">
      <c r="B117" s="27">
        <f>Rentroll!$C$15</f>
        <v>13</v>
      </c>
      <c r="C117" s="69" t="str">
        <f>VLOOKUP($B117,Rentroll!$C$11:$X$29,3,FALSE)</f>
        <v>모빌리티 테크놀로지</v>
      </c>
      <c r="D117" s="80">
        <f>VLOOKUP($B117,Rentroll!$C$11:$X$29,9,FALSE)</f>
        <v>44043</v>
      </c>
      <c r="E117" s="80">
        <f>VLOOKUP($B117,Rentroll!$C$11:$X$29,10,FALSE)</f>
        <v>45868</v>
      </c>
      <c r="F117" s="85">
        <f>VLOOKUP($B117,Rentroll!$C$11:$X$29,11,FALSE)</f>
        <v>60</v>
      </c>
      <c r="G117" s="86">
        <f>VLOOKUP($B117,Rentroll!$C$11:$X$29,13,FALSE)</f>
        <v>90041</v>
      </c>
      <c r="H117" s="69">
        <f>VLOOKUP($B117,Rentroll!$C$11:$X$29,14,FALSE)</f>
        <v>67530.75</v>
      </c>
      <c r="I117" s="69">
        <f>VLOOKUP($B117,Rentroll!$C$11:$X$29,15,FALSE)</f>
        <v>45020</v>
      </c>
      <c r="J117" s="82">
        <f>VLOOKUP($B117,Rentroll!$C$11:$X$29,19,FALSE)</f>
        <v>0.03</v>
      </c>
      <c r="K117" s="83">
        <f>VLOOKUP($B117,Rentroll!$C$11:$X$29,4,FALSE)</f>
        <v>1385.09</v>
      </c>
      <c r="L117" s="81">
        <f>VLOOKUP($B117,Rentroll!$C$11:$X$29,17,FALSE)</f>
        <v>0</v>
      </c>
      <c r="M117" s="84">
        <f>VLOOKUP($B117,Rentroll!$C$11:$X$29,18,FALSE)</f>
        <v>3</v>
      </c>
      <c r="O117" s="74">
        <f t="shared" si="74"/>
        <v>13</v>
      </c>
      <c r="P117" s="75"/>
      <c r="Q117" s="75"/>
      <c r="R117" s="75">
        <f t="shared" ref="R117:AW117" si="84">R23*(IF($D117&gt;R$14,0,ROUNDUP(YEARFRAC($D117,R$14),0)-DATEDIF($D117,$R$14,"y")))</f>
        <v>0</v>
      </c>
      <c r="S117" s="75">
        <f t="shared" si="84"/>
        <v>1</v>
      </c>
      <c r="T117" s="75">
        <f t="shared" si="84"/>
        <v>1</v>
      </c>
      <c r="U117" s="75">
        <f t="shared" si="84"/>
        <v>1</v>
      </c>
      <c r="V117" s="75">
        <f t="shared" si="84"/>
        <v>1</v>
      </c>
      <c r="W117" s="75">
        <f t="shared" si="84"/>
        <v>1</v>
      </c>
      <c r="X117" s="75">
        <f t="shared" si="84"/>
        <v>1</v>
      </c>
      <c r="Y117" s="75">
        <f t="shared" si="84"/>
        <v>0</v>
      </c>
      <c r="Z117" s="75">
        <f t="shared" si="84"/>
        <v>0</v>
      </c>
      <c r="AA117" s="75">
        <f t="shared" si="84"/>
        <v>0</v>
      </c>
      <c r="AB117" s="75">
        <f t="shared" si="84"/>
        <v>0</v>
      </c>
      <c r="AC117" s="75">
        <f t="shared" si="84"/>
        <v>0</v>
      </c>
      <c r="AD117" s="75">
        <f t="shared" si="84"/>
        <v>0</v>
      </c>
      <c r="AE117" s="75">
        <f t="shared" si="84"/>
        <v>0</v>
      </c>
      <c r="AF117" s="75">
        <f t="shared" si="84"/>
        <v>0</v>
      </c>
      <c r="AG117" s="75">
        <f t="shared" si="84"/>
        <v>0</v>
      </c>
      <c r="AH117" s="75">
        <f t="shared" si="84"/>
        <v>0</v>
      </c>
      <c r="AI117" s="75">
        <f t="shared" si="84"/>
        <v>0</v>
      </c>
      <c r="AJ117" s="75">
        <f t="shared" si="84"/>
        <v>0</v>
      </c>
      <c r="AK117" s="75">
        <f t="shared" si="84"/>
        <v>0</v>
      </c>
      <c r="AL117" s="75">
        <f t="shared" si="84"/>
        <v>0</v>
      </c>
      <c r="AM117" s="75">
        <f t="shared" si="84"/>
        <v>0</v>
      </c>
      <c r="AN117" s="75">
        <f t="shared" si="84"/>
        <v>0</v>
      </c>
      <c r="AO117" s="75">
        <f t="shared" si="84"/>
        <v>0</v>
      </c>
      <c r="AP117" s="75">
        <f t="shared" si="84"/>
        <v>0</v>
      </c>
      <c r="AQ117" s="75">
        <f t="shared" si="84"/>
        <v>0</v>
      </c>
      <c r="AR117" s="75">
        <f t="shared" si="84"/>
        <v>0</v>
      </c>
      <c r="AS117" s="75">
        <f t="shared" si="84"/>
        <v>0</v>
      </c>
      <c r="AT117" s="75">
        <f t="shared" si="84"/>
        <v>0</v>
      </c>
      <c r="AU117" s="75">
        <f t="shared" si="84"/>
        <v>0</v>
      </c>
      <c r="AV117" s="75">
        <f t="shared" si="84"/>
        <v>0</v>
      </c>
      <c r="AW117" s="75">
        <f t="shared" si="84"/>
        <v>0</v>
      </c>
      <c r="AX117" s="75">
        <f t="shared" ref="AX117:CC117" si="85">AX23*(IF($D117&gt;AX$14,0,ROUNDUP(YEARFRAC($D117,AX$14),0)-DATEDIF($D117,$R$14,"y")))</f>
        <v>0</v>
      </c>
      <c r="AY117" s="75">
        <f t="shared" si="85"/>
        <v>0</v>
      </c>
      <c r="AZ117" s="75">
        <f t="shared" si="85"/>
        <v>0</v>
      </c>
      <c r="BA117" s="75">
        <f t="shared" si="85"/>
        <v>0</v>
      </c>
      <c r="BB117" s="75">
        <f t="shared" si="85"/>
        <v>0</v>
      </c>
      <c r="BC117" s="75">
        <f t="shared" si="85"/>
        <v>0</v>
      </c>
      <c r="BD117" s="75">
        <f t="shared" si="85"/>
        <v>0</v>
      </c>
      <c r="BE117" s="75">
        <f t="shared" si="85"/>
        <v>0</v>
      </c>
      <c r="BF117" s="75">
        <f t="shared" si="85"/>
        <v>0</v>
      </c>
      <c r="BG117" s="75">
        <f t="shared" si="85"/>
        <v>0</v>
      </c>
      <c r="BH117" s="75">
        <f t="shared" si="85"/>
        <v>0</v>
      </c>
      <c r="BI117" s="75">
        <f t="shared" si="85"/>
        <v>0</v>
      </c>
      <c r="BJ117" s="75">
        <f t="shared" si="85"/>
        <v>0</v>
      </c>
      <c r="BK117" s="75">
        <f t="shared" si="85"/>
        <v>0</v>
      </c>
      <c r="BL117" s="75">
        <f t="shared" si="85"/>
        <v>0</v>
      </c>
      <c r="BM117" s="75">
        <f t="shared" si="85"/>
        <v>0</v>
      </c>
      <c r="BN117" s="75">
        <f t="shared" si="85"/>
        <v>0</v>
      </c>
      <c r="BO117" s="75">
        <f t="shared" si="85"/>
        <v>0</v>
      </c>
      <c r="BP117" s="75">
        <f t="shared" si="85"/>
        <v>0</v>
      </c>
      <c r="BQ117" s="75">
        <f t="shared" si="85"/>
        <v>0</v>
      </c>
      <c r="BR117" s="75">
        <f t="shared" si="85"/>
        <v>0</v>
      </c>
      <c r="BS117" s="75">
        <f t="shared" si="85"/>
        <v>0</v>
      </c>
      <c r="BT117" s="75">
        <f t="shared" si="85"/>
        <v>0</v>
      </c>
      <c r="BU117" s="75">
        <f t="shared" si="85"/>
        <v>0</v>
      </c>
      <c r="BV117" s="75">
        <f t="shared" si="85"/>
        <v>0</v>
      </c>
      <c r="BW117" s="75">
        <f t="shared" si="85"/>
        <v>0</v>
      </c>
      <c r="BX117" s="75">
        <f t="shared" si="85"/>
        <v>0</v>
      </c>
      <c r="BY117" s="75">
        <f t="shared" si="85"/>
        <v>0</v>
      </c>
      <c r="BZ117" s="75">
        <f t="shared" si="85"/>
        <v>0</v>
      </c>
      <c r="CA117" s="75">
        <f t="shared" si="85"/>
        <v>0</v>
      </c>
      <c r="CB117" s="75">
        <f t="shared" si="85"/>
        <v>0</v>
      </c>
      <c r="CC117" s="75">
        <f t="shared" si="85"/>
        <v>0</v>
      </c>
      <c r="CD117" s="75">
        <f t="shared" ref="CD117:DL117" si="86">CD23*(IF($D117&gt;CD$14,0,ROUNDUP(YEARFRAC($D117,CD$14),0)-DATEDIF($D117,$R$14,"y")))</f>
        <v>0</v>
      </c>
      <c r="CE117" s="75">
        <f t="shared" si="86"/>
        <v>0</v>
      </c>
      <c r="CF117" s="75">
        <f t="shared" si="86"/>
        <v>0</v>
      </c>
      <c r="CG117" s="75">
        <f t="shared" si="86"/>
        <v>0</v>
      </c>
      <c r="CH117" s="75">
        <f t="shared" si="86"/>
        <v>0</v>
      </c>
      <c r="CI117" s="75">
        <f t="shared" si="86"/>
        <v>0</v>
      </c>
      <c r="CJ117" s="75">
        <f t="shared" si="86"/>
        <v>0</v>
      </c>
      <c r="CK117" s="75">
        <f t="shared" si="86"/>
        <v>0</v>
      </c>
      <c r="CL117" s="75">
        <f t="shared" si="86"/>
        <v>0</v>
      </c>
      <c r="CM117" s="75">
        <f t="shared" si="86"/>
        <v>0</v>
      </c>
      <c r="CN117" s="75">
        <f t="shared" si="86"/>
        <v>0</v>
      </c>
      <c r="CO117" s="75">
        <f t="shared" si="86"/>
        <v>0</v>
      </c>
      <c r="CP117" s="75">
        <f t="shared" si="86"/>
        <v>0</v>
      </c>
      <c r="CQ117" s="75">
        <f t="shared" si="86"/>
        <v>0</v>
      </c>
      <c r="CR117" s="75">
        <f t="shared" si="86"/>
        <v>0</v>
      </c>
      <c r="CS117" s="75">
        <f t="shared" si="86"/>
        <v>0</v>
      </c>
      <c r="CT117" s="75">
        <f t="shared" si="86"/>
        <v>0</v>
      </c>
      <c r="CU117" s="75">
        <f t="shared" si="86"/>
        <v>0</v>
      </c>
      <c r="CV117" s="75">
        <f t="shared" si="86"/>
        <v>0</v>
      </c>
      <c r="CW117" s="75">
        <f t="shared" si="86"/>
        <v>0</v>
      </c>
      <c r="CX117" s="75">
        <f t="shared" si="86"/>
        <v>0</v>
      </c>
      <c r="CY117" s="75">
        <f t="shared" si="86"/>
        <v>0</v>
      </c>
      <c r="CZ117" s="75">
        <f t="shared" si="86"/>
        <v>0</v>
      </c>
      <c r="DA117" s="75">
        <f t="shared" si="86"/>
        <v>0</v>
      </c>
      <c r="DB117" s="75">
        <f t="shared" si="86"/>
        <v>0</v>
      </c>
      <c r="DC117" s="75">
        <f t="shared" si="86"/>
        <v>0</v>
      </c>
      <c r="DD117" s="75">
        <f t="shared" si="86"/>
        <v>0</v>
      </c>
      <c r="DE117" s="75">
        <f t="shared" si="86"/>
        <v>0</v>
      </c>
      <c r="DF117" s="75">
        <f t="shared" si="86"/>
        <v>0</v>
      </c>
      <c r="DG117" s="75">
        <f t="shared" si="86"/>
        <v>0</v>
      </c>
      <c r="DH117" s="75">
        <f t="shared" si="86"/>
        <v>0</v>
      </c>
      <c r="DI117" s="75">
        <f t="shared" si="86"/>
        <v>0</v>
      </c>
      <c r="DJ117" s="75">
        <f t="shared" si="86"/>
        <v>0</v>
      </c>
      <c r="DK117" s="75">
        <f t="shared" si="86"/>
        <v>0</v>
      </c>
      <c r="DL117" s="75">
        <f t="shared" si="86"/>
        <v>0</v>
      </c>
    </row>
    <row r="118" spans="2:116">
      <c r="B118" s="27">
        <f>Rentroll!$C$16</f>
        <v>12</v>
      </c>
      <c r="C118" s="69" t="str">
        <f>VLOOKUP($B118,Rentroll!$C$11:$X$29,3,FALSE)</f>
        <v>모빌리티 테크놀로지</v>
      </c>
      <c r="D118" s="80">
        <f>VLOOKUP($B118,Rentroll!$C$11:$X$29,9,FALSE)</f>
        <v>44043</v>
      </c>
      <c r="E118" s="80">
        <f>VLOOKUP($B118,Rentroll!$C$11:$X$29,10,FALSE)</f>
        <v>45868</v>
      </c>
      <c r="F118" s="81">
        <f>VLOOKUP($B118,Rentroll!$C$11:$X$29,11,FALSE)</f>
        <v>60</v>
      </c>
      <c r="G118" s="69">
        <f>VLOOKUP($B118,Rentroll!$C$11:$X$29,13,FALSE)</f>
        <v>90041</v>
      </c>
      <c r="H118" s="69">
        <f>VLOOKUP($B118,Rentroll!$C$11:$X$29,14,FALSE)</f>
        <v>67530.75</v>
      </c>
      <c r="I118" s="69">
        <f>VLOOKUP($B118,Rentroll!$C$11:$X$29,15,FALSE)</f>
        <v>45020</v>
      </c>
      <c r="J118" s="82">
        <f>VLOOKUP($B118,Rentroll!$C$11:$X$29,19,FALSE)</f>
        <v>0.03</v>
      </c>
      <c r="K118" s="83">
        <f>VLOOKUP($B118,Rentroll!$C$11:$X$29,4,FALSE)</f>
        <v>1385.09</v>
      </c>
      <c r="L118" s="81">
        <f>VLOOKUP($B118,Rentroll!$C$11:$X$29,17,FALSE)</f>
        <v>0</v>
      </c>
      <c r="M118" s="84">
        <f>VLOOKUP($B118,Rentroll!$C$11:$X$29,18,FALSE)</f>
        <v>3</v>
      </c>
      <c r="O118" s="74">
        <f t="shared" si="74"/>
        <v>12</v>
      </c>
      <c r="P118" s="75"/>
      <c r="Q118" s="75"/>
      <c r="R118" s="75">
        <f t="shared" ref="R118:AW118" si="87">R24*(IF($D118&gt;R$14,0,ROUNDUP(YEARFRAC($D118,R$14),0)-DATEDIF($D118,$R$14,"y")))</f>
        <v>0</v>
      </c>
      <c r="S118" s="75">
        <f t="shared" si="87"/>
        <v>1</v>
      </c>
      <c r="T118" s="75">
        <f t="shared" si="87"/>
        <v>1</v>
      </c>
      <c r="U118" s="75">
        <f t="shared" si="87"/>
        <v>1</v>
      </c>
      <c r="V118" s="75">
        <f t="shared" si="87"/>
        <v>1</v>
      </c>
      <c r="W118" s="75">
        <f t="shared" si="87"/>
        <v>1</v>
      </c>
      <c r="X118" s="75">
        <f t="shared" si="87"/>
        <v>1</v>
      </c>
      <c r="Y118" s="75">
        <f t="shared" si="87"/>
        <v>0</v>
      </c>
      <c r="Z118" s="75">
        <f t="shared" si="87"/>
        <v>0</v>
      </c>
      <c r="AA118" s="75">
        <f t="shared" si="87"/>
        <v>0</v>
      </c>
      <c r="AB118" s="75">
        <f t="shared" si="87"/>
        <v>0</v>
      </c>
      <c r="AC118" s="75">
        <f t="shared" si="87"/>
        <v>0</v>
      </c>
      <c r="AD118" s="75">
        <f t="shared" si="87"/>
        <v>0</v>
      </c>
      <c r="AE118" s="75">
        <f t="shared" si="87"/>
        <v>0</v>
      </c>
      <c r="AF118" s="75">
        <f t="shared" si="87"/>
        <v>0</v>
      </c>
      <c r="AG118" s="75">
        <f t="shared" si="87"/>
        <v>0</v>
      </c>
      <c r="AH118" s="75">
        <f t="shared" si="87"/>
        <v>0</v>
      </c>
      <c r="AI118" s="75">
        <f t="shared" si="87"/>
        <v>0</v>
      </c>
      <c r="AJ118" s="75">
        <f t="shared" si="87"/>
        <v>0</v>
      </c>
      <c r="AK118" s="75">
        <f t="shared" si="87"/>
        <v>0</v>
      </c>
      <c r="AL118" s="75">
        <f t="shared" si="87"/>
        <v>0</v>
      </c>
      <c r="AM118" s="75">
        <f t="shared" si="87"/>
        <v>0</v>
      </c>
      <c r="AN118" s="75">
        <f t="shared" si="87"/>
        <v>0</v>
      </c>
      <c r="AO118" s="75">
        <f t="shared" si="87"/>
        <v>0</v>
      </c>
      <c r="AP118" s="75">
        <f t="shared" si="87"/>
        <v>0</v>
      </c>
      <c r="AQ118" s="75">
        <f t="shared" si="87"/>
        <v>0</v>
      </c>
      <c r="AR118" s="75">
        <f t="shared" si="87"/>
        <v>0</v>
      </c>
      <c r="AS118" s="75">
        <f t="shared" si="87"/>
        <v>0</v>
      </c>
      <c r="AT118" s="75">
        <f t="shared" si="87"/>
        <v>0</v>
      </c>
      <c r="AU118" s="75">
        <f t="shared" si="87"/>
        <v>0</v>
      </c>
      <c r="AV118" s="75">
        <f t="shared" si="87"/>
        <v>0</v>
      </c>
      <c r="AW118" s="75">
        <f t="shared" si="87"/>
        <v>0</v>
      </c>
      <c r="AX118" s="75">
        <f t="shared" ref="AX118:CC118" si="88">AX24*(IF($D118&gt;AX$14,0,ROUNDUP(YEARFRAC($D118,AX$14),0)-DATEDIF($D118,$R$14,"y")))</f>
        <v>0</v>
      </c>
      <c r="AY118" s="75">
        <f t="shared" si="88"/>
        <v>0</v>
      </c>
      <c r="AZ118" s="75">
        <f t="shared" si="88"/>
        <v>0</v>
      </c>
      <c r="BA118" s="75">
        <f t="shared" si="88"/>
        <v>0</v>
      </c>
      <c r="BB118" s="75">
        <f t="shared" si="88"/>
        <v>0</v>
      </c>
      <c r="BC118" s="75">
        <f t="shared" si="88"/>
        <v>0</v>
      </c>
      <c r="BD118" s="75">
        <f t="shared" si="88"/>
        <v>0</v>
      </c>
      <c r="BE118" s="75">
        <f t="shared" si="88"/>
        <v>0</v>
      </c>
      <c r="BF118" s="75">
        <f t="shared" si="88"/>
        <v>0</v>
      </c>
      <c r="BG118" s="75">
        <f t="shared" si="88"/>
        <v>0</v>
      </c>
      <c r="BH118" s="75">
        <f t="shared" si="88"/>
        <v>0</v>
      </c>
      <c r="BI118" s="75">
        <f t="shared" si="88"/>
        <v>0</v>
      </c>
      <c r="BJ118" s="75">
        <f t="shared" si="88"/>
        <v>0</v>
      </c>
      <c r="BK118" s="75">
        <f t="shared" si="88"/>
        <v>0</v>
      </c>
      <c r="BL118" s="75">
        <f t="shared" si="88"/>
        <v>0</v>
      </c>
      <c r="BM118" s="75">
        <f t="shared" si="88"/>
        <v>0</v>
      </c>
      <c r="BN118" s="75">
        <f t="shared" si="88"/>
        <v>0</v>
      </c>
      <c r="BO118" s="75">
        <f t="shared" si="88"/>
        <v>0</v>
      </c>
      <c r="BP118" s="75">
        <f t="shared" si="88"/>
        <v>0</v>
      </c>
      <c r="BQ118" s="75">
        <f t="shared" si="88"/>
        <v>0</v>
      </c>
      <c r="BR118" s="75">
        <f t="shared" si="88"/>
        <v>0</v>
      </c>
      <c r="BS118" s="75">
        <f t="shared" si="88"/>
        <v>0</v>
      </c>
      <c r="BT118" s="75">
        <f t="shared" si="88"/>
        <v>0</v>
      </c>
      <c r="BU118" s="75">
        <f t="shared" si="88"/>
        <v>0</v>
      </c>
      <c r="BV118" s="75">
        <f t="shared" si="88"/>
        <v>0</v>
      </c>
      <c r="BW118" s="75">
        <f t="shared" si="88"/>
        <v>0</v>
      </c>
      <c r="BX118" s="75">
        <f t="shared" si="88"/>
        <v>0</v>
      </c>
      <c r="BY118" s="75">
        <f t="shared" si="88"/>
        <v>0</v>
      </c>
      <c r="BZ118" s="75">
        <f t="shared" si="88"/>
        <v>0</v>
      </c>
      <c r="CA118" s="75">
        <f t="shared" si="88"/>
        <v>0</v>
      </c>
      <c r="CB118" s="75">
        <f t="shared" si="88"/>
        <v>0</v>
      </c>
      <c r="CC118" s="75">
        <f t="shared" si="88"/>
        <v>0</v>
      </c>
      <c r="CD118" s="75">
        <f t="shared" ref="CD118:DL118" si="89">CD24*(IF($D118&gt;CD$14,0,ROUNDUP(YEARFRAC($D118,CD$14),0)-DATEDIF($D118,$R$14,"y")))</f>
        <v>0</v>
      </c>
      <c r="CE118" s="75">
        <f t="shared" si="89"/>
        <v>0</v>
      </c>
      <c r="CF118" s="75">
        <f t="shared" si="89"/>
        <v>0</v>
      </c>
      <c r="CG118" s="75">
        <f t="shared" si="89"/>
        <v>0</v>
      </c>
      <c r="CH118" s="75">
        <f t="shared" si="89"/>
        <v>0</v>
      </c>
      <c r="CI118" s="75">
        <f t="shared" si="89"/>
        <v>0</v>
      </c>
      <c r="CJ118" s="75">
        <f t="shared" si="89"/>
        <v>0</v>
      </c>
      <c r="CK118" s="75">
        <f t="shared" si="89"/>
        <v>0</v>
      </c>
      <c r="CL118" s="75">
        <f t="shared" si="89"/>
        <v>0</v>
      </c>
      <c r="CM118" s="75">
        <f t="shared" si="89"/>
        <v>0</v>
      </c>
      <c r="CN118" s="75">
        <f t="shared" si="89"/>
        <v>0</v>
      </c>
      <c r="CO118" s="75">
        <f t="shared" si="89"/>
        <v>0</v>
      </c>
      <c r="CP118" s="75">
        <f t="shared" si="89"/>
        <v>0</v>
      </c>
      <c r="CQ118" s="75">
        <f t="shared" si="89"/>
        <v>0</v>
      </c>
      <c r="CR118" s="75">
        <f t="shared" si="89"/>
        <v>0</v>
      </c>
      <c r="CS118" s="75">
        <f t="shared" si="89"/>
        <v>0</v>
      </c>
      <c r="CT118" s="75">
        <f t="shared" si="89"/>
        <v>0</v>
      </c>
      <c r="CU118" s="75">
        <f t="shared" si="89"/>
        <v>0</v>
      </c>
      <c r="CV118" s="75">
        <f t="shared" si="89"/>
        <v>0</v>
      </c>
      <c r="CW118" s="75">
        <f t="shared" si="89"/>
        <v>0</v>
      </c>
      <c r="CX118" s="75">
        <f t="shared" si="89"/>
        <v>0</v>
      </c>
      <c r="CY118" s="75">
        <f t="shared" si="89"/>
        <v>0</v>
      </c>
      <c r="CZ118" s="75">
        <f t="shared" si="89"/>
        <v>0</v>
      </c>
      <c r="DA118" s="75">
        <f t="shared" si="89"/>
        <v>0</v>
      </c>
      <c r="DB118" s="75">
        <f t="shared" si="89"/>
        <v>0</v>
      </c>
      <c r="DC118" s="75">
        <f t="shared" si="89"/>
        <v>0</v>
      </c>
      <c r="DD118" s="75">
        <f t="shared" si="89"/>
        <v>0</v>
      </c>
      <c r="DE118" s="75">
        <f t="shared" si="89"/>
        <v>0</v>
      </c>
      <c r="DF118" s="75">
        <f t="shared" si="89"/>
        <v>0</v>
      </c>
      <c r="DG118" s="75">
        <f t="shared" si="89"/>
        <v>0</v>
      </c>
      <c r="DH118" s="75">
        <f t="shared" si="89"/>
        <v>0</v>
      </c>
      <c r="DI118" s="75">
        <f t="shared" si="89"/>
        <v>0</v>
      </c>
      <c r="DJ118" s="75">
        <f t="shared" si="89"/>
        <v>0</v>
      </c>
      <c r="DK118" s="75">
        <f t="shared" si="89"/>
        <v>0</v>
      </c>
      <c r="DL118" s="75">
        <f t="shared" si="89"/>
        <v>0</v>
      </c>
    </row>
    <row r="119" spans="2:116">
      <c r="B119" s="27">
        <f>Rentroll!$C$17</f>
        <v>11</v>
      </c>
      <c r="C119" s="69" t="str">
        <f>VLOOKUP($B119,Rentroll!$C$11:$X$29,3,FALSE)</f>
        <v>노벰버 건설</v>
      </c>
      <c r="D119" s="80">
        <f>VLOOKUP($B119,Rentroll!$C$11:$X$29,9,FALSE)</f>
        <v>45077</v>
      </c>
      <c r="E119" s="80">
        <f>VLOOKUP($B119,Rentroll!$C$11:$X$29,10,FALSE)</f>
        <v>46903</v>
      </c>
      <c r="F119" s="81">
        <f>VLOOKUP($B119,Rentroll!$C$11:$X$29,11,FALSE)</f>
        <v>60</v>
      </c>
      <c r="G119" s="69">
        <f>VLOOKUP($B119,Rentroll!$C$11:$X$29,13,FALSE)</f>
        <v>103000</v>
      </c>
      <c r="H119" s="69">
        <f>VLOOKUP($B119,Rentroll!$C$11:$X$29,14,FALSE)</f>
        <v>85833.333333333328</v>
      </c>
      <c r="I119" s="69">
        <f>VLOOKUP($B119,Rentroll!$C$11:$X$29,15,FALSE)</f>
        <v>46350</v>
      </c>
      <c r="J119" s="82">
        <f>VLOOKUP($B119,Rentroll!$C$11:$X$29,19,FALSE)</f>
        <v>0.03</v>
      </c>
      <c r="K119" s="83">
        <f>VLOOKUP($B119,Rentroll!$C$11:$X$29,4,FALSE)</f>
        <v>1385.09</v>
      </c>
      <c r="L119" s="81">
        <f>VLOOKUP($B119,Rentroll!$C$11:$X$29,17,FALSE)</f>
        <v>0</v>
      </c>
      <c r="M119" s="84">
        <f>VLOOKUP($B119,Rentroll!$C$11:$X$29,18,FALSE)</f>
        <v>2</v>
      </c>
      <c r="O119" s="74">
        <f t="shared" si="74"/>
        <v>11</v>
      </c>
      <c r="P119" s="75"/>
      <c r="Q119" s="75"/>
      <c r="R119" s="75">
        <f t="shared" ref="R119:AW119" si="90">R25*(IF($D119&gt;R$14,0,ROUNDUP(YEARFRAC($D119,R$14),0)-DATEDIF($D119,$R$14,"y")))</f>
        <v>0</v>
      </c>
      <c r="S119" s="75">
        <f t="shared" si="90"/>
        <v>1</v>
      </c>
      <c r="T119" s="75">
        <f t="shared" si="90"/>
        <v>1</v>
      </c>
      <c r="U119" s="75">
        <f t="shared" si="90"/>
        <v>1</v>
      </c>
      <c r="V119" s="75">
        <f t="shared" si="90"/>
        <v>1</v>
      </c>
      <c r="W119" s="75">
        <f t="shared" si="90"/>
        <v>2</v>
      </c>
      <c r="X119" s="75">
        <f t="shared" si="90"/>
        <v>2</v>
      </c>
      <c r="Y119" s="75">
        <f t="shared" si="90"/>
        <v>2</v>
      </c>
      <c r="Z119" s="75">
        <f t="shared" si="90"/>
        <v>2</v>
      </c>
      <c r="AA119" s="75">
        <f t="shared" si="90"/>
        <v>2</v>
      </c>
      <c r="AB119" s="75">
        <f t="shared" si="90"/>
        <v>2</v>
      </c>
      <c r="AC119" s="75">
        <f t="shared" si="90"/>
        <v>2</v>
      </c>
      <c r="AD119" s="75">
        <f t="shared" si="90"/>
        <v>2</v>
      </c>
      <c r="AE119" s="75">
        <f t="shared" si="90"/>
        <v>2</v>
      </c>
      <c r="AF119" s="75">
        <f t="shared" si="90"/>
        <v>2</v>
      </c>
      <c r="AG119" s="75">
        <f t="shared" si="90"/>
        <v>2</v>
      </c>
      <c r="AH119" s="75">
        <f t="shared" si="90"/>
        <v>2</v>
      </c>
      <c r="AI119" s="75">
        <f t="shared" si="90"/>
        <v>3</v>
      </c>
      <c r="AJ119" s="75">
        <f t="shared" si="90"/>
        <v>3</v>
      </c>
      <c r="AK119" s="75">
        <f t="shared" si="90"/>
        <v>3</v>
      </c>
      <c r="AL119" s="75">
        <f t="shared" si="90"/>
        <v>3</v>
      </c>
      <c r="AM119" s="75">
        <f t="shared" si="90"/>
        <v>3</v>
      </c>
      <c r="AN119" s="75">
        <f t="shared" si="90"/>
        <v>3</v>
      </c>
      <c r="AO119" s="75">
        <f t="shared" si="90"/>
        <v>3</v>
      </c>
      <c r="AP119" s="75">
        <f t="shared" si="90"/>
        <v>3</v>
      </c>
      <c r="AQ119" s="75">
        <f t="shared" si="90"/>
        <v>3</v>
      </c>
      <c r="AR119" s="75">
        <f t="shared" si="90"/>
        <v>3</v>
      </c>
      <c r="AS119" s="75">
        <f t="shared" si="90"/>
        <v>3</v>
      </c>
      <c r="AT119" s="75">
        <f t="shared" si="90"/>
        <v>3</v>
      </c>
      <c r="AU119" s="75">
        <f t="shared" si="90"/>
        <v>4</v>
      </c>
      <c r="AV119" s="75">
        <f t="shared" si="90"/>
        <v>4</v>
      </c>
      <c r="AW119" s="75">
        <f t="shared" si="90"/>
        <v>4</v>
      </c>
      <c r="AX119" s="75">
        <f t="shared" ref="AX119:CC119" si="91">AX25*(IF($D119&gt;AX$14,0,ROUNDUP(YEARFRAC($D119,AX$14),0)-DATEDIF($D119,$R$14,"y")))</f>
        <v>4</v>
      </c>
      <c r="AY119" s="75">
        <f t="shared" si="91"/>
        <v>4</v>
      </c>
      <c r="AZ119" s="75">
        <f t="shared" si="91"/>
        <v>4</v>
      </c>
      <c r="BA119" s="75">
        <f t="shared" si="91"/>
        <v>4</v>
      </c>
      <c r="BB119" s="75">
        <f t="shared" si="91"/>
        <v>4</v>
      </c>
      <c r="BC119" s="75">
        <f t="shared" si="91"/>
        <v>4</v>
      </c>
      <c r="BD119" s="75">
        <f t="shared" si="91"/>
        <v>4</v>
      </c>
      <c r="BE119" s="75">
        <f t="shared" si="91"/>
        <v>4</v>
      </c>
      <c r="BF119" s="75">
        <f t="shared" si="91"/>
        <v>4</v>
      </c>
      <c r="BG119" s="75">
        <f t="shared" si="91"/>
        <v>0</v>
      </c>
      <c r="BH119" s="75">
        <f t="shared" si="91"/>
        <v>0</v>
      </c>
      <c r="BI119" s="75">
        <f t="shared" si="91"/>
        <v>0</v>
      </c>
      <c r="BJ119" s="75">
        <f t="shared" si="91"/>
        <v>0</v>
      </c>
      <c r="BK119" s="75">
        <f t="shared" si="91"/>
        <v>0</v>
      </c>
      <c r="BL119" s="75">
        <f t="shared" si="91"/>
        <v>0</v>
      </c>
      <c r="BM119" s="75">
        <f t="shared" si="91"/>
        <v>0</v>
      </c>
      <c r="BN119" s="75">
        <f t="shared" si="91"/>
        <v>0</v>
      </c>
      <c r="BO119" s="75">
        <f t="shared" si="91"/>
        <v>0</v>
      </c>
      <c r="BP119" s="75">
        <f t="shared" si="91"/>
        <v>0</v>
      </c>
      <c r="BQ119" s="75">
        <f t="shared" si="91"/>
        <v>0</v>
      </c>
      <c r="BR119" s="75">
        <f t="shared" si="91"/>
        <v>0</v>
      </c>
      <c r="BS119" s="75">
        <f t="shared" si="91"/>
        <v>0</v>
      </c>
      <c r="BT119" s="75">
        <f t="shared" si="91"/>
        <v>0</v>
      </c>
      <c r="BU119" s="75">
        <f t="shared" si="91"/>
        <v>0</v>
      </c>
      <c r="BV119" s="75">
        <f t="shared" si="91"/>
        <v>0</v>
      </c>
      <c r="BW119" s="75">
        <f t="shared" si="91"/>
        <v>0</v>
      </c>
      <c r="BX119" s="75">
        <f t="shared" si="91"/>
        <v>0</v>
      </c>
      <c r="BY119" s="75">
        <f t="shared" si="91"/>
        <v>0</v>
      </c>
      <c r="BZ119" s="75">
        <f t="shared" si="91"/>
        <v>0</v>
      </c>
      <c r="CA119" s="75">
        <f t="shared" si="91"/>
        <v>0</v>
      </c>
      <c r="CB119" s="75">
        <f t="shared" si="91"/>
        <v>0</v>
      </c>
      <c r="CC119" s="75">
        <f t="shared" si="91"/>
        <v>0</v>
      </c>
      <c r="CD119" s="75">
        <f t="shared" ref="CD119:DL119" si="92">CD25*(IF($D119&gt;CD$14,0,ROUNDUP(YEARFRAC($D119,CD$14),0)-DATEDIF($D119,$R$14,"y")))</f>
        <v>0</v>
      </c>
      <c r="CE119" s="75">
        <f t="shared" si="92"/>
        <v>0</v>
      </c>
      <c r="CF119" s="75">
        <f t="shared" si="92"/>
        <v>0</v>
      </c>
      <c r="CG119" s="75">
        <f t="shared" si="92"/>
        <v>0</v>
      </c>
      <c r="CH119" s="75">
        <f t="shared" si="92"/>
        <v>0</v>
      </c>
      <c r="CI119" s="75">
        <f t="shared" si="92"/>
        <v>0</v>
      </c>
      <c r="CJ119" s="75">
        <f t="shared" si="92"/>
        <v>0</v>
      </c>
      <c r="CK119" s="75">
        <f t="shared" si="92"/>
        <v>0</v>
      </c>
      <c r="CL119" s="75">
        <f t="shared" si="92"/>
        <v>0</v>
      </c>
      <c r="CM119" s="75">
        <f t="shared" si="92"/>
        <v>0</v>
      </c>
      <c r="CN119" s="75">
        <f t="shared" si="92"/>
        <v>0</v>
      </c>
      <c r="CO119" s="75">
        <f t="shared" si="92"/>
        <v>0</v>
      </c>
      <c r="CP119" s="75">
        <f t="shared" si="92"/>
        <v>0</v>
      </c>
      <c r="CQ119" s="75">
        <f t="shared" si="92"/>
        <v>0</v>
      </c>
      <c r="CR119" s="75">
        <f t="shared" si="92"/>
        <v>0</v>
      </c>
      <c r="CS119" s="75">
        <f t="shared" si="92"/>
        <v>0</v>
      </c>
      <c r="CT119" s="75">
        <f t="shared" si="92"/>
        <v>0</v>
      </c>
      <c r="CU119" s="75">
        <f t="shared" si="92"/>
        <v>0</v>
      </c>
      <c r="CV119" s="75">
        <f t="shared" si="92"/>
        <v>0</v>
      </c>
      <c r="CW119" s="75">
        <f t="shared" si="92"/>
        <v>0</v>
      </c>
      <c r="CX119" s="75">
        <f t="shared" si="92"/>
        <v>0</v>
      </c>
      <c r="CY119" s="75">
        <f t="shared" si="92"/>
        <v>0</v>
      </c>
      <c r="CZ119" s="75">
        <f t="shared" si="92"/>
        <v>0</v>
      </c>
      <c r="DA119" s="75">
        <f t="shared" si="92"/>
        <v>0</v>
      </c>
      <c r="DB119" s="75">
        <f t="shared" si="92"/>
        <v>0</v>
      </c>
      <c r="DC119" s="75">
        <f t="shared" si="92"/>
        <v>0</v>
      </c>
      <c r="DD119" s="75">
        <f t="shared" si="92"/>
        <v>0</v>
      </c>
      <c r="DE119" s="75">
        <f t="shared" si="92"/>
        <v>0</v>
      </c>
      <c r="DF119" s="75">
        <f t="shared" si="92"/>
        <v>0</v>
      </c>
      <c r="DG119" s="75">
        <f t="shared" si="92"/>
        <v>0</v>
      </c>
      <c r="DH119" s="75">
        <f t="shared" si="92"/>
        <v>0</v>
      </c>
      <c r="DI119" s="75">
        <f t="shared" si="92"/>
        <v>0</v>
      </c>
      <c r="DJ119" s="75">
        <f t="shared" si="92"/>
        <v>0</v>
      </c>
      <c r="DK119" s="75">
        <f t="shared" si="92"/>
        <v>0</v>
      </c>
      <c r="DL119" s="75">
        <f t="shared" si="92"/>
        <v>0</v>
      </c>
    </row>
    <row r="120" spans="2:116">
      <c r="B120" s="27">
        <f>Rentroll!$C$18</f>
        <v>10</v>
      </c>
      <c r="C120" s="69" t="str">
        <f>VLOOKUP($B120,Rentroll!$C$11:$X$29,3,FALSE)</f>
        <v>노벰버 건설</v>
      </c>
      <c r="D120" s="80">
        <f>VLOOKUP($B120,Rentroll!$C$11:$X$29,9,FALSE)</f>
        <v>45077</v>
      </c>
      <c r="E120" s="80">
        <f>VLOOKUP($B120,Rentroll!$C$11:$X$29,10,FALSE)</f>
        <v>46903</v>
      </c>
      <c r="F120" s="81">
        <f>VLOOKUP($B120,Rentroll!$C$11:$X$29,11,FALSE)</f>
        <v>60</v>
      </c>
      <c r="G120" s="69">
        <f>VLOOKUP($B120,Rentroll!$C$11:$X$29,13,FALSE)</f>
        <v>103000</v>
      </c>
      <c r="H120" s="69">
        <f>VLOOKUP($B120,Rentroll!$C$11:$X$29,14,FALSE)</f>
        <v>85833.333333333328</v>
      </c>
      <c r="I120" s="69">
        <f>VLOOKUP($B120,Rentroll!$C$11:$X$29,15,FALSE)</f>
        <v>46350</v>
      </c>
      <c r="J120" s="82">
        <f>VLOOKUP($B120,Rentroll!$C$11:$X$29,19,FALSE)</f>
        <v>0.03</v>
      </c>
      <c r="K120" s="83">
        <f>VLOOKUP($B120,Rentroll!$C$11:$X$29,4,FALSE)</f>
        <v>1385.09</v>
      </c>
      <c r="L120" s="81">
        <f>VLOOKUP($B120,Rentroll!$C$11:$X$29,17,FALSE)</f>
        <v>0</v>
      </c>
      <c r="M120" s="84">
        <f>VLOOKUP($B120,Rentroll!$C$11:$X$29,18,FALSE)</f>
        <v>2</v>
      </c>
      <c r="O120" s="74">
        <f t="shared" si="74"/>
        <v>10</v>
      </c>
      <c r="P120" s="75"/>
      <c r="Q120" s="75"/>
      <c r="R120" s="75">
        <f t="shared" ref="R120:AW120" si="93">R26*(IF($D120&gt;R$14,0,ROUNDUP(YEARFRAC($D120,R$14),0)-DATEDIF($D120,$R$14,"y")))</f>
        <v>0</v>
      </c>
      <c r="S120" s="75">
        <f t="shared" si="93"/>
        <v>1</v>
      </c>
      <c r="T120" s="75">
        <f t="shared" si="93"/>
        <v>1</v>
      </c>
      <c r="U120" s="75">
        <f t="shared" si="93"/>
        <v>1</v>
      </c>
      <c r="V120" s="75">
        <f t="shared" si="93"/>
        <v>1</v>
      </c>
      <c r="W120" s="75">
        <f t="shared" si="93"/>
        <v>2</v>
      </c>
      <c r="X120" s="75">
        <f t="shared" si="93"/>
        <v>2</v>
      </c>
      <c r="Y120" s="75">
        <f t="shared" si="93"/>
        <v>2</v>
      </c>
      <c r="Z120" s="75">
        <f t="shared" si="93"/>
        <v>2</v>
      </c>
      <c r="AA120" s="75">
        <f t="shared" si="93"/>
        <v>2</v>
      </c>
      <c r="AB120" s="75">
        <f t="shared" si="93"/>
        <v>2</v>
      </c>
      <c r="AC120" s="75">
        <f t="shared" si="93"/>
        <v>2</v>
      </c>
      <c r="AD120" s="75">
        <f t="shared" si="93"/>
        <v>2</v>
      </c>
      <c r="AE120" s="75">
        <f t="shared" si="93"/>
        <v>2</v>
      </c>
      <c r="AF120" s="75">
        <f t="shared" si="93"/>
        <v>2</v>
      </c>
      <c r="AG120" s="75">
        <f t="shared" si="93"/>
        <v>2</v>
      </c>
      <c r="AH120" s="75">
        <f t="shared" si="93"/>
        <v>2</v>
      </c>
      <c r="AI120" s="75">
        <f t="shared" si="93"/>
        <v>3</v>
      </c>
      <c r="AJ120" s="75">
        <f t="shared" si="93"/>
        <v>3</v>
      </c>
      <c r="AK120" s="75">
        <f t="shared" si="93"/>
        <v>3</v>
      </c>
      <c r="AL120" s="75">
        <f t="shared" si="93"/>
        <v>3</v>
      </c>
      <c r="AM120" s="75">
        <f t="shared" si="93"/>
        <v>3</v>
      </c>
      <c r="AN120" s="75">
        <f t="shared" si="93"/>
        <v>3</v>
      </c>
      <c r="AO120" s="75">
        <f t="shared" si="93"/>
        <v>3</v>
      </c>
      <c r="AP120" s="75">
        <f t="shared" si="93"/>
        <v>3</v>
      </c>
      <c r="AQ120" s="75">
        <f t="shared" si="93"/>
        <v>3</v>
      </c>
      <c r="AR120" s="75">
        <f t="shared" si="93"/>
        <v>3</v>
      </c>
      <c r="AS120" s="75">
        <f t="shared" si="93"/>
        <v>3</v>
      </c>
      <c r="AT120" s="75">
        <f t="shared" si="93"/>
        <v>3</v>
      </c>
      <c r="AU120" s="75">
        <f t="shared" si="93"/>
        <v>4</v>
      </c>
      <c r="AV120" s="75">
        <f t="shared" si="93"/>
        <v>4</v>
      </c>
      <c r="AW120" s="75">
        <f t="shared" si="93"/>
        <v>4</v>
      </c>
      <c r="AX120" s="75">
        <f t="shared" ref="AX120:CC120" si="94">AX26*(IF($D120&gt;AX$14,0,ROUNDUP(YEARFRAC($D120,AX$14),0)-DATEDIF($D120,$R$14,"y")))</f>
        <v>4</v>
      </c>
      <c r="AY120" s="75">
        <f t="shared" si="94"/>
        <v>4</v>
      </c>
      <c r="AZ120" s="75">
        <f t="shared" si="94"/>
        <v>4</v>
      </c>
      <c r="BA120" s="75">
        <f t="shared" si="94"/>
        <v>4</v>
      </c>
      <c r="BB120" s="75">
        <f t="shared" si="94"/>
        <v>4</v>
      </c>
      <c r="BC120" s="75">
        <f t="shared" si="94"/>
        <v>4</v>
      </c>
      <c r="BD120" s="75">
        <f t="shared" si="94"/>
        <v>4</v>
      </c>
      <c r="BE120" s="75">
        <f t="shared" si="94"/>
        <v>4</v>
      </c>
      <c r="BF120" s="75">
        <f t="shared" si="94"/>
        <v>4</v>
      </c>
      <c r="BG120" s="75">
        <f t="shared" si="94"/>
        <v>0</v>
      </c>
      <c r="BH120" s="75">
        <f t="shared" si="94"/>
        <v>0</v>
      </c>
      <c r="BI120" s="75">
        <f t="shared" si="94"/>
        <v>0</v>
      </c>
      <c r="BJ120" s="75">
        <f t="shared" si="94"/>
        <v>0</v>
      </c>
      <c r="BK120" s="75">
        <f t="shared" si="94"/>
        <v>0</v>
      </c>
      <c r="BL120" s="75">
        <f t="shared" si="94"/>
        <v>0</v>
      </c>
      <c r="BM120" s="75">
        <f t="shared" si="94"/>
        <v>0</v>
      </c>
      <c r="BN120" s="75">
        <f t="shared" si="94"/>
        <v>0</v>
      </c>
      <c r="BO120" s="75">
        <f t="shared" si="94"/>
        <v>0</v>
      </c>
      <c r="BP120" s="75">
        <f t="shared" si="94"/>
        <v>0</v>
      </c>
      <c r="BQ120" s="75">
        <f t="shared" si="94"/>
        <v>0</v>
      </c>
      <c r="BR120" s="75">
        <f t="shared" si="94"/>
        <v>0</v>
      </c>
      <c r="BS120" s="75">
        <f t="shared" si="94"/>
        <v>0</v>
      </c>
      <c r="BT120" s="75">
        <f t="shared" si="94"/>
        <v>0</v>
      </c>
      <c r="BU120" s="75">
        <f t="shared" si="94"/>
        <v>0</v>
      </c>
      <c r="BV120" s="75">
        <f t="shared" si="94"/>
        <v>0</v>
      </c>
      <c r="BW120" s="75">
        <f t="shared" si="94"/>
        <v>0</v>
      </c>
      <c r="BX120" s="75">
        <f t="shared" si="94"/>
        <v>0</v>
      </c>
      <c r="BY120" s="75">
        <f t="shared" si="94"/>
        <v>0</v>
      </c>
      <c r="BZ120" s="75">
        <f t="shared" si="94"/>
        <v>0</v>
      </c>
      <c r="CA120" s="75">
        <f t="shared" si="94"/>
        <v>0</v>
      </c>
      <c r="CB120" s="75">
        <f t="shared" si="94"/>
        <v>0</v>
      </c>
      <c r="CC120" s="75">
        <f t="shared" si="94"/>
        <v>0</v>
      </c>
      <c r="CD120" s="75">
        <f t="shared" ref="CD120:DL120" si="95">CD26*(IF($D120&gt;CD$14,0,ROUNDUP(YEARFRAC($D120,CD$14),0)-DATEDIF($D120,$R$14,"y")))</f>
        <v>0</v>
      </c>
      <c r="CE120" s="75">
        <f t="shared" si="95"/>
        <v>0</v>
      </c>
      <c r="CF120" s="75">
        <f t="shared" si="95"/>
        <v>0</v>
      </c>
      <c r="CG120" s="75">
        <f t="shared" si="95"/>
        <v>0</v>
      </c>
      <c r="CH120" s="75">
        <f t="shared" si="95"/>
        <v>0</v>
      </c>
      <c r="CI120" s="75">
        <f t="shared" si="95"/>
        <v>0</v>
      </c>
      <c r="CJ120" s="75">
        <f t="shared" si="95"/>
        <v>0</v>
      </c>
      <c r="CK120" s="75">
        <f t="shared" si="95"/>
        <v>0</v>
      </c>
      <c r="CL120" s="75">
        <f t="shared" si="95"/>
        <v>0</v>
      </c>
      <c r="CM120" s="75">
        <f t="shared" si="95"/>
        <v>0</v>
      </c>
      <c r="CN120" s="75">
        <f t="shared" si="95"/>
        <v>0</v>
      </c>
      <c r="CO120" s="75">
        <f t="shared" si="95"/>
        <v>0</v>
      </c>
      <c r="CP120" s="75">
        <f t="shared" si="95"/>
        <v>0</v>
      </c>
      <c r="CQ120" s="75">
        <f t="shared" si="95"/>
        <v>0</v>
      </c>
      <c r="CR120" s="75">
        <f t="shared" si="95"/>
        <v>0</v>
      </c>
      <c r="CS120" s="75">
        <f t="shared" si="95"/>
        <v>0</v>
      </c>
      <c r="CT120" s="75">
        <f t="shared" si="95"/>
        <v>0</v>
      </c>
      <c r="CU120" s="75">
        <f t="shared" si="95"/>
        <v>0</v>
      </c>
      <c r="CV120" s="75">
        <f t="shared" si="95"/>
        <v>0</v>
      </c>
      <c r="CW120" s="75">
        <f t="shared" si="95"/>
        <v>0</v>
      </c>
      <c r="CX120" s="75">
        <f t="shared" si="95"/>
        <v>0</v>
      </c>
      <c r="CY120" s="75">
        <f t="shared" si="95"/>
        <v>0</v>
      </c>
      <c r="CZ120" s="75">
        <f t="shared" si="95"/>
        <v>0</v>
      </c>
      <c r="DA120" s="75">
        <f t="shared" si="95"/>
        <v>0</v>
      </c>
      <c r="DB120" s="75">
        <f t="shared" si="95"/>
        <v>0</v>
      </c>
      <c r="DC120" s="75">
        <f t="shared" si="95"/>
        <v>0</v>
      </c>
      <c r="DD120" s="75">
        <f t="shared" si="95"/>
        <v>0</v>
      </c>
      <c r="DE120" s="75">
        <f t="shared" si="95"/>
        <v>0</v>
      </c>
      <c r="DF120" s="75">
        <f t="shared" si="95"/>
        <v>0</v>
      </c>
      <c r="DG120" s="75">
        <f t="shared" si="95"/>
        <v>0</v>
      </c>
      <c r="DH120" s="75">
        <f t="shared" si="95"/>
        <v>0</v>
      </c>
      <c r="DI120" s="75">
        <f t="shared" si="95"/>
        <v>0</v>
      </c>
      <c r="DJ120" s="75">
        <f t="shared" si="95"/>
        <v>0</v>
      </c>
      <c r="DK120" s="75">
        <f t="shared" si="95"/>
        <v>0</v>
      </c>
      <c r="DL120" s="75">
        <f t="shared" si="95"/>
        <v>0</v>
      </c>
    </row>
    <row r="121" spans="2:116">
      <c r="B121" s="27">
        <f>Rentroll!$C$19</f>
        <v>9</v>
      </c>
      <c r="C121" s="69" t="str">
        <f>VLOOKUP($B121,Rentroll!$C$11:$X$29,3,FALSE)</f>
        <v>노벰버 건설</v>
      </c>
      <c r="D121" s="80">
        <f>VLOOKUP($B121,Rentroll!$C$11:$X$29,9,FALSE)</f>
        <v>45077</v>
      </c>
      <c r="E121" s="80">
        <f>VLOOKUP($B121,Rentroll!$C$11:$X$29,10,FALSE)</f>
        <v>46903</v>
      </c>
      <c r="F121" s="81">
        <f>VLOOKUP($B121,Rentroll!$C$11:$X$29,11,FALSE)</f>
        <v>60</v>
      </c>
      <c r="G121" s="69">
        <f>VLOOKUP($B121,Rentroll!$C$11:$X$29,13,FALSE)</f>
        <v>103000</v>
      </c>
      <c r="H121" s="69">
        <f>VLOOKUP($B121,Rentroll!$C$11:$X$29,14,FALSE)</f>
        <v>85833.333333333328</v>
      </c>
      <c r="I121" s="69">
        <f>VLOOKUP($B121,Rentroll!$C$11:$X$29,15,FALSE)</f>
        <v>46350</v>
      </c>
      <c r="J121" s="82">
        <f>VLOOKUP($B121,Rentroll!$C$11:$X$29,19,FALSE)</f>
        <v>0.03</v>
      </c>
      <c r="K121" s="83">
        <f>VLOOKUP($B121,Rentroll!$C$11:$X$29,4,FALSE)</f>
        <v>1385.09</v>
      </c>
      <c r="L121" s="81">
        <f>VLOOKUP($B121,Rentroll!$C$11:$X$29,17,FALSE)</f>
        <v>0</v>
      </c>
      <c r="M121" s="84">
        <f>VLOOKUP($B121,Rentroll!$C$11:$X$29,18,FALSE)</f>
        <v>2</v>
      </c>
      <c r="O121" s="74">
        <f t="shared" si="74"/>
        <v>9</v>
      </c>
      <c r="P121" s="75"/>
      <c r="Q121" s="75"/>
      <c r="R121" s="75">
        <f t="shared" ref="R121:AW121" si="96">R27*(IF($D121&gt;R$14,0,ROUNDUP(YEARFRAC($D121,R$14),0)-DATEDIF($D121,$R$14,"y")))</f>
        <v>0</v>
      </c>
      <c r="S121" s="75">
        <f t="shared" si="96"/>
        <v>1</v>
      </c>
      <c r="T121" s="75">
        <f t="shared" si="96"/>
        <v>1</v>
      </c>
      <c r="U121" s="75">
        <f t="shared" si="96"/>
        <v>1</v>
      </c>
      <c r="V121" s="75">
        <f t="shared" si="96"/>
        <v>1</v>
      </c>
      <c r="W121" s="75">
        <f t="shared" si="96"/>
        <v>2</v>
      </c>
      <c r="X121" s="75">
        <f t="shared" si="96"/>
        <v>2</v>
      </c>
      <c r="Y121" s="75">
        <f t="shared" si="96"/>
        <v>2</v>
      </c>
      <c r="Z121" s="75">
        <f t="shared" si="96"/>
        <v>2</v>
      </c>
      <c r="AA121" s="75">
        <f t="shared" si="96"/>
        <v>2</v>
      </c>
      <c r="AB121" s="75">
        <f t="shared" si="96"/>
        <v>2</v>
      </c>
      <c r="AC121" s="75">
        <f t="shared" si="96"/>
        <v>2</v>
      </c>
      <c r="AD121" s="75">
        <f t="shared" si="96"/>
        <v>2</v>
      </c>
      <c r="AE121" s="75">
        <f t="shared" si="96"/>
        <v>2</v>
      </c>
      <c r="AF121" s="75">
        <f t="shared" si="96"/>
        <v>2</v>
      </c>
      <c r="AG121" s="75">
        <f t="shared" si="96"/>
        <v>2</v>
      </c>
      <c r="AH121" s="75">
        <f t="shared" si="96"/>
        <v>2</v>
      </c>
      <c r="AI121" s="75">
        <f t="shared" si="96"/>
        <v>3</v>
      </c>
      <c r="AJ121" s="75">
        <f t="shared" si="96"/>
        <v>3</v>
      </c>
      <c r="AK121" s="75">
        <f t="shared" si="96"/>
        <v>3</v>
      </c>
      <c r="AL121" s="75">
        <f t="shared" si="96"/>
        <v>3</v>
      </c>
      <c r="AM121" s="75">
        <f t="shared" si="96"/>
        <v>3</v>
      </c>
      <c r="AN121" s="75">
        <f t="shared" si="96"/>
        <v>3</v>
      </c>
      <c r="AO121" s="75">
        <f t="shared" si="96"/>
        <v>3</v>
      </c>
      <c r="AP121" s="75">
        <f t="shared" si="96"/>
        <v>3</v>
      </c>
      <c r="AQ121" s="75">
        <f t="shared" si="96"/>
        <v>3</v>
      </c>
      <c r="AR121" s="75">
        <f t="shared" si="96"/>
        <v>3</v>
      </c>
      <c r="AS121" s="75">
        <f t="shared" si="96"/>
        <v>3</v>
      </c>
      <c r="AT121" s="75">
        <f t="shared" si="96"/>
        <v>3</v>
      </c>
      <c r="AU121" s="75">
        <f t="shared" si="96"/>
        <v>4</v>
      </c>
      <c r="AV121" s="75">
        <f t="shared" si="96"/>
        <v>4</v>
      </c>
      <c r="AW121" s="75">
        <f t="shared" si="96"/>
        <v>4</v>
      </c>
      <c r="AX121" s="75">
        <f t="shared" ref="AX121:CC121" si="97">AX27*(IF($D121&gt;AX$14,0,ROUNDUP(YEARFRAC($D121,AX$14),0)-DATEDIF($D121,$R$14,"y")))</f>
        <v>4</v>
      </c>
      <c r="AY121" s="75">
        <f t="shared" si="97"/>
        <v>4</v>
      </c>
      <c r="AZ121" s="75">
        <f t="shared" si="97"/>
        <v>4</v>
      </c>
      <c r="BA121" s="75">
        <f t="shared" si="97"/>
        <v>4</v>
      </c>
      <c r="BB121" s="75">
        <f t="shared" si="97"/>
        <v>4</v>
      </c>
      <c r="BC121" s="75">
        <f t="shared" si="97"/>
        <v>4</v>
      </c>
      <c r="BD121" s="75">
        <f t="shared" si="97"/>
        <v>4</v>
      </c>
      <c r="BE121" s="75">
        <f t="shared" si="97"/>
        <v>4</v>
      </c>
      <c r="BF121" s="75">
        <f t="shared" si="97"/>
        <v>4</v>
      </c>
      <c r="BG121" s="75">
        <f t="shared" si="97"/>
        <v>0</v>
      </c>
      <c r="BH121" s="75">
        <f t="shared" si="97"/>
        <v>0</v>
      </c>
      <c r="BI121" s="75">
        <f t="shared" si="97"/>
        <v>0</v>
      </c>
      <c r="BJ121" s="75">
        <f t="shared" si="97"/>
        <v>0</v>
      </c>
      <c r="BK121" s="75">
        <f t="shared" si="97"/>
        <v>0</v>
      </c>
      <c r="BL121" s="75">
        <f t="shared" si="97"/>
        <v>0</v>
      </c>
      <c r="BM121" s="75">
        <f t="shared" si="97"/>
        <v>0</v>
      </c>
      <c r="BN121" s="75">
        <f t="shared" si="97"/>
        <v>0</v>
      </c>
      <c r="BO121" s="75">
        <f t="shared" si="97"/>
        <v>0</v>
      </c>
      <c r="BP121" s="75">
        <f t="shared" si="97"/>
        <v>0</v>
      </c>
      <c r="BQ121" s="75">
        <f t="shared" si="97"/>
        <v>0</v>
      </c>
      <c r="BR121" s="75">
        <f t="shared" si="97"/>
        <v>0</v>
      </c>
      <c r="BS121" s="75">
        <f t="shared" si="97"/>
        <v>0</v>
      </c>
      <c r="BT121" s="75">
        <f t="shared" si="97"/>
        <v>0</v>
      </c>
      <c r="BU121" s="75">
        <f t="shared" si="97"/>
        <v>0</v>
      </c>
      <c r="BV121" s="75">
        <f t="shared" si="97"/>
        <v>0</v>
      </c>
      <c r="BW121" s="75">
        <f t="shared" si="97"/>
        <v>0</v>
      </c>
      <c r="BX121" s="75">
        <f t="shared" si="97"/>
        <v>0</v>
      </c>
      <c r="BY121" s="75">
        <f t="shared" si="97"/>
        <v>0</v>
      </c>
      <c r="BZ121" s="75">
        <f t="shared" si="97"/>
        <v>0</v>
      </c>
      <c r="CA121" s="75">
        <f t="shared" si="97"/>
        <v>0</v>
      </c>
      <c r="CB121" s="75">
        <f t="shared" si="97"/>
        <v>0</v>
      </c>
      <c r="CC121" s="75">
        <f t="shared" si="97"/>
        <v>0</v>
      </c>
      <c r="CD121" s="75">
        <f t="shared" ref="CD121:DL121" si="98">CD27*(IF($D121&gt;CD$14,0,ROUNDUP(YEARFRAC($D121,CD$14),0)-DATEDIF($D121,$R$14,"y")))</f>
        <v>0</v>
      </c>
      <c r="CE121" s="75">
        <f t="shared" si="98"/>
        <v>0</v>
      </c>
      <c r="CF121" s="75">
        <f t="shared" si="98"/>
        <v>0</v>
      </c>
      <c r="CG121" s="75">
        <f t="shared" si="98"/>
        <v>0</v>
      </c>
      <c r="CH121" s="75">
        <f t="shared" si="98"/>
        <v>0</v>
      </c>
      <c r="CI121" s="75">
        <f t="shared" si="98"/>
        <v>0</v>
      </c>
      <c r="CJ121" s="75">
        <f t="shared" si="98"/>
        <v>0</v>
      </c>
      <c r="CK121" s="75">
        <f t="shared" si="98"/>
        <v>0</v>
      </c>
      <c r="CL121" s="75">
        <f t="shared" si="98"/>
        <v>0</v>
      </c>
      <c r="CM121" s="75">
        <f t="shared" si="98"/>
        <v>0</v>
      </c>
      <c r="CN121" s="75">
        <f t="shared" si="98"/>
        <v>0</v>
      </c>
      <c r="CO121" s="75">
        <f t="shared" si="98"/>
        <v>0</v>
      </c>
      <c r="CP121" s="75">
        <f t="shared" si="98"/>
        <v>0</v>
      </c>
      <c r="CQ121" s="75">
        <f t="shared" si="98"/>
        <v>0</v>
      </c>
      <c r="CR121" s="75">
        <f t="shared" si="98"/>
        <v>0</v>
      </c>
      <c r="CS121" s="75">
        <f t="shared" si="98"/>
        <v>0</v>
      </c>
      <c r="CT121" s="75">
        <f t="shared" si="98"/>
        <v>0</v>
      </c>
      <c r="CU121" s="75">
        <f t="shared" si="98"/>
        <v>0</v>
      </c>
      <c r="CV121" s="75">
        <f t="shared" si="98"/>
        <v>0</v>
      </c>
      <c r="CW121" s="75">
        <f t="shared" si="98"/>
        <v>0</v>
      </c>
      <c r="CX121" s="75">
        <f t="shared" si="98"/>
        <v>0</v>
      </c>
      <c r="CY121" s="75">
        <f t="shared" si="98"/>
        <v>0</v>
      </c>
      <c r="CZ121" s="75">
        <f t="shared" si="98"/>
        <v>0</v>
      </c>
      <c r="DA121" s="75">
        <f t="shared" si="98"/>
        <v>0</v>
      </c>
      <c r="DB121" s="75">
        <f t="shared" si="98"/>
        <v>0</v>
      </c>
      <c r="DC121" s="75">
        <f t="shared" si="98"/>
        <v>0</v>
      </c>
      <c r="DD121" s="75">
        <f t="shared" si="98"/>
        <v>0</v>
      </c>
      <c r="DE121" s="75">
        <f t="shared" si="98"/>
        <v>0</v>
      </c>
      <c r="DF121" s="75">
        <f t="shared" si="98"/>
        <v>0</v>
      </c>
      <c r="DG121" s="75">
        <f t="shared" si="98"/>
        <v>0</v>
      </c>
      <c r="DH121" s="75">
        <f t="shared" si="98"/>
        <v>0</v>
      </c>
      <c r="DI121" s="75">
        <f t="shared" si="98"/>
        <v>0</v>
      </c>
      <c r="DJ121" s="75">
        <f t="shared" si="98"/>
        <v>0</v>
      </c>
      <c r="DK121" s="75">
        <f t="shared" si="98"/>
        <v>0</v>
      </c>
      <c r="DL121" s="75">
        <f t="shared" si="98"/>
        <v>0</v>
      </c>
    </row>
    <row r="122" spans="2:116">
      <c r="B122" s="27">
        <f>Rentroll!$C$20</f>
        <v>8</v>
      </c>
      <c r="C122" s="69" t="str">
        <f>VLOOKUP($B122,Rentroll!$C$11:$X$29,3,FALSE)</f>
        <v>오토 커머셜</v>
      </c>
      <c r="D122" s="80">
        <f>VLOOKUP($B122,Rentroll!$C$11:$X$29,9,FALSE)</f>
        <v>44651</v>
      </c>
      <c r="E122" s="80">
        <f>VLOOKUP($B122,Rentroll!$C$11:$X$29,10,FALSE)</f>
        <v>46476</v>
      </c>
      <c r="F122" s="81">
        <f>VLOOKUP($B122,Rentroll!$C$11:$X$29,11,FALSE)</f>
        <v>60</v>
      </c>
      <c r="G122" s="69">
        <f>VLOOKUP($B122,Rentroll!$C$11:$X$29,13,FALSE)</f>
        <v>95481</v>
      </c>
      <c r="H122" s="69">
        <f>VLOOKUP($B122,Rentroll!$C$11:$X$29,14,FALSE)</f>
        <v>87524.25</v>
      </c>
      <c r="I122" s="69">
        <f>VLOOKUP($B122,Rentroll!$C$11:$X$29,15,FALSE)</f>
        <v>42436</v>
      </c>
      <c r="J122" s="82">
        <f>VLOOKUP($B122,Rentroll!$C$11:$X$29,19,FALSE)</f>
        <v>0.03</v>
      </c>
      <c r="K122" s="83">
        <f>VLOOKUP($B122,Rentroll!$C$11:$X$29,4,FALSE)</f>
        <v>1385.09</v>
      </c>
      <c r="L122" s="81">
        <f>VLOOKUP($B122,Rentroll!$C$11:$X$29,17,FALSE)</f>
        <v>0</v>
      </c>
      <c r="M122" s="84">
        <f>VLOOKUP($B122,Rentroll!$C$11:$X$29,18,FALSE)</f>
        <v>1</v>
      </c>
      <c r="O122" s="74">
        <f t="shared" si="74"/>
        <v>8</v>
      </c>
      <c r="P122" s="75"/>
      <c r="Q122" s="75"/>
      <c r="R122" s="75">
        <f t="shared" ref="R122:AW122" si="99">R28*(IF($D122&gt;R$14,0,ROUNDUP(YEARFRAC($D122,R$14),0)-DATEDIF($D122,$R$14,"y")))</f>
        <v>0</v>
      </c>
      <c r="S122" s="75">
        <f t="shared" si="99"/>
        <v>1</v>
      </c>
      <c r="T122" s="75">
        <f t="shared" si="99"/>
        <v>1</v>
      </c>
      <c r="U122" s="75">
        <f t="shared" si="99"/>
        <v>2</v>
      </c>
      <c r="V122" s="75">
        <f t="shared" si="99"/>
        <v>2</v>
      </c>
      <c r="W122" s="75">
        <f t="shared" si="99"/>
        <v>2</v>
      </c>
      <c r="X122" s="75">
        <f t="shared" si="99"/>
        <v>2</v>
      </c>
      <c r="Y122" s="75">
        <f t="shared" si="99"/>
        <v>2</v>
      </c>
      <c r="Z122" s="75">
        <f t="shared" si="99"/>
        <v>2</v>
      </c>
      <c r="AA122" s="75">
        <f t="shared" si="99"/>
        <v>2</v>
      </c>
      <c r="AB122" s="75">
        <f t="shared" si="99"/>
        <v>2</v>
      </c>
      <c r="AC122" s="75">
        <f t="shared" si="99"/>
        <v>2</v>
      </c>
      <c r="AD122" s="75">
        <f t="shared" si="99"/>
        <v>2</v>
      </c>
      <c r="AE122" s="75">
        <f t="shared" si="99"/>
        <v>2</v>
      </c>
      <c r="AF122" s="75">
        <f t="shared" si="99"/>
        <v>2</v>
      </c>
      <c r="AG122" s="75">
        <f t="shared" si="99"/>
        <v>3</v>
      </c>
      <c r="AH122" s="75">
        <f t="shared" si="99"/>
        <v>3</v>
      </c>
      <c r="AI122" s="75">
        <f t="shared" si="99"/>
        <v>3</v>
      </c>
      <c r="AJ122" s="75">
        <f t="shared" si="99"/>
        <v>3</v>
      </c>
      <c r="AK122" s="75">
        <f t="shared" si="99"/>
        <v>3</v>
      </c>
      <c r="AL122" s="75">
        <f t="shared" si="99"/>
        <v>3</v>
      </c>
      <c r="AM122" s="75">
        <f t="shared" si="99"/>
        <v>3</v>
      </c>
      <c r="AN122" s="75">
        <f t="shared" si="99"/>
        <v>3</v>
      </c>
      <c r="AO122" s="75">
        <f t="shared" si="99"/>
        <v>3</v>
      </c>
      <c r="AP122" s="75">
        <f t="shared" si="99"/>
        <v>3</v>
      </c>
      <c r="AQ122" s="75">
        <f t="shared" si="99"/>
        <v>3</v>
      </c>
      <c r="AR122" s="75">
        <f t="shared" si="99"/>
        <v>3</v>
      </c>
      <c r="AS122" s="75">
        <f t="shared" si="99"/>
        <v>0</v>
      </c>
      <c r="AT122" s="75">
        <f t="shared" si="99"/>
        <v>0</v>
      </c>
      <c r="AU122" s="75">
        <f t="shared" si="99"/>
        <v>0</v>
      </c>
      <c r="AV122" s="75">
        <f t="shared" si="99"/>
        <v>0</v>
      </c>
      <c r="AW122" s="75">
        <f t="shared" si="99"/>
        <v>0</v>
      </c>
      <c r="AX122" s="75">
        <f t="shared" ref="AX122:CC122" si="100">AX28*(IF($D122&gt;AX$14,0,ROUNDUP(YEARFRAC($D122,AX$14),0)-DATEDIF($D122,$R$14,"y")))</f>
        <v>0</v>
      </c>
      <c r="AY122" s="75">
        <f t="shared" si="100"/>
        <v>0</v>
      </c>
      <c r="AZ122" s="75">
        <f t="shared" si="100"/>
        <v>0</v>
      </c>
      <c r="BA122" s="75">
        <f t="shared" si="100"/>
        <v>0</v>
      </c>
      <c r="BB122" s="75">
        <f t="shared" si="100"/>
        <v>0</v>
      </c>
      <c r="BC122" s="75">
        <f t="shared" si="100"/>
        <v>0</v>
      </c>
      <c r="BD122" s="75">
        <f t="shared" si="100"/>
        <v>0</v>
      </c>
      <c r="BE122" s="75">
        <f t="shared" si="100"/>
        <v>0</v>
      </c>
      <c r="BF122" s="75">
        <f t="shared" si="100"/>
        <v>0</v>
      </c>
      <c r="BG122" s="75">
        <f t="shared" si="100"/>
        <v>0</v>
      </c>
      <c r="BH122" s="75">
        <f t="shared" si="100"/>
        <v>0</v>
      </c>
      <c r="BI122" s="75">
        <f t="shared" si="100"/>
        <v>0</v>
      </c>
      <c r="BJ122" s="75">
        <f t="shared" si="100"/>
        <v>0</v>
      </c>
      <c r="BK122" s="75">
        <f t="shared" si="100"/>
        <v>0</v>
      </c>
      <c r="BL122" s="75">
        <f t="shared" si="100"/>
        <v>0</v>
      </c>
      <c r="BM122" s="75">
        <f t="shared" si="100"/>
        <v>0</v>
      </c>
      <c r="BN122" s="75">
        <f t="shared" si="100"/>
        <v>0</v>
      </c>
      <c r="BO122" s="75">
        <f t="shared" si="100"/>
        <v>0</v>
      </c>
      <c r="BP122" s="75">
        <f t="shared" si="100"/>
        <v>0</v>
      </c>
      <c r="BQ122" s="75">
        <f t="shared" si="100"/>
        <v>0</v>
      </c>
      <c r="BR122" s="75">
        <f t="shared" si="100"/>
        <v>0</v>
      </c>
      <c r="BS122" s="75">
        <f t="shared" si="100"/>
        <v>0</v>
      </c>
      <c r="BT122" s="75">
        <f t="shared" si="100"/>
        <v>0</v>
      </c>
      <c r="BU122" s="75">
        <f t="shared" si="100"/>
        <v>0</v>
      </c>
      <c r="BV122" s="75">
        <f t="shared" si="100"/>
        <v>0</v>
      </c>
      <c r="BW122" s="75">
        <f t="shared" si="100"/>
        <v>0</v>
      </c>
      <c r="BX122" s="75">
        <f t="shared" si="100"/>
        <v>0</v>
      </c>
      <c r="BY122" s="75">
        <f t="shared" si="100"/>
        <v>0</v>
      </c>
      <c r="BZ122" s="75">
        <f t="shared" si="100"/>
        <v>0</v>
      </c>
      <c r="CA122" s="75">
        <f t="shared" si="100"/>
        <v>0</v>
      </c>
      <c r="CB122" s="75">
        <f t="shared" si="100"/>
        <v>0</v>
      </c>
      <c r="CC122" s="75">
        <f t="shared" si="100"/>
        <v>0</v>
      </c>
      <c r="CD122" s="75">
        <f t="shared" ref="CD122:DL122" si="101">CD28*(IF($D122&gt;CD$14,0,ROUNDUP(YEARFRAC($D122,CD$14),0)-DATEDIF($D122,$R$14,"y")))</f>
        <v>0</v>
      </c>
      <c r="CE122" s="75">
        <f t="shared" si="101"/>
        <v>0</v>
      </c>
      <c r="CF122" s="75">
        <f t="shared" si="101"/>
        <v>0</v>
      </c>
      <c r="CG122" s="75">
        <f t="shared" si="101"/>
        <v>0</v>
      </c>
      <c r="CH122" s="75">
        <f t="shared" si="101"/>
        <v>0</v>
      </c>
      <c r="CI122" s="75">
        <f t="shared" si="101"/>
        <v>0</v>
      </c>
      <c r="CJ122" s="75">
        <f t="shared" si="101"/>
        <v>0</v>
      </c>
      <c r="CK122" s="75">
        <f t="shared" si="101"/>
        <v>0</v>
      </c>
      <c r="CL122" s="75">
        <f t="shared" si="101"/>
        <v>0</v>
      </c>
      <c r="CM122" s="75">
        <f t="shared" si="101"/>
        <v>0</v>
      </c>
      <c r="CN122" s="75">
        <f t="shared" si="101"/>
        <v>0</v>
      </c>
      <c r="CO122" s="75">
        <f t="shared" si="101"/>
        <v>0</v>
      </c>
      <c r="CP122" s="75">
        <f t="shared" si="101"/>
        <v>0</v>
      </c>
      <c r="CQ122" s="75">
        <f t="shared" si="101"/>
        <v>0</v>
      </c>
      <c r="CR122" s="75">
        <f t="shared" si="101"/>
        <v>0</v>
      </c>
      <c r="CS122" s="75">
        <f t="shared" si="101"/>
        <v>0</v>
      </c>
      <c r="CT122" s="75">
        <f t="shared" si="101"/>
        <v>0</v>
      </c>
      <c r="CU122" s="75">
        <f t="shared" si="101"/>
        <v>0</v>
      </c>
      <c r="CV122" s="75">
        <f t="shared" si="101"/>
        <v>0</v>
      </c>
      <c r="CW122" s="75">
        <f t="shared" si="101"/>
        <v>0</v>
      </c>
      <c r="CX122" s="75">
        <f t="shared" si="101"/>
        <v>0</v>
      </c>
      <c r="CY122" s="75">
        <f t="shared" si="101"/>
        <v>0</v>
      </c>
      <c r="CZ122" s="75">
        <f t="shared" si="101"/>
        <v>0</v>
      </c>
      <c r="DA122" s="75">
        <f t="shared" si="101"/>
        <v>0</v>
      </c>
      <c r="DB122" s="75">
        <f t="shared" si="101"/>
        <v>0</v>
      </c>
      <c r="DC122" s="75">
        <f t="shared" si="101"/>
        <v>0</v>
      </c>
      <c r="DD122" s="75">
        <f t="shared" si="101"/>
        <v>0</v>
      </c>
      <c r="DE122" s="75">
        <f t="shared" si="101"/>
        <v>0</v>
      </c>
      <c r="DF122" s="75">
        <f t="shared" si="101"/>
        <v>0</v>
      </c>
      <c r="DG122" s="75">
        <f t="shared" si="101"/>
        <v>0</v>
      </c>
      <c r="DH122" s="75">
        <f t="shared" si="101"/>
        <v>0</v>
      </c>
      <c r="DI122" s="75">
        <f t="shared" si="101"/>
        <v>0</v>
      </c>
      <c r="DJ122" s="75">
        <f t="shared" si="101"/>
        <v>0</v>
      </c>
      <c r="DK122" s="75">
        <f t="shared" si="101"/>
        <v>0</v>
      </c>
      <c r="DL122" s="75">
        <f t="shared" si="101"/>
        <v>0</v>
      </c>
    </row>
    <row r="123" spans="2:116">
      <c r="B123" s="27">
        <f>Rentroll!$C$21</f>
        <v>7</v>
      </c>
      <c r="C123" s="69" t="str">
        <f>VLOOKUP($B123,Rentroll!$C$11:$X$29,3,FALSE)</f>
        <v>오토 커머셜</v>
      </c>
      <c r="D123" s="80">
        <f>VLOOKUP($B123,Rentroll!$C$11:$X$29,9,FALSE)</f>
        <v>44651</v>
      </c>
      <c r="E123" s="80">
        <f>VLOOKUP($B123,Rentroll!$C$11:$X$29,10,FALSE)</f>
        <v>46476</v>
      </c>
      <c r="F123" s="81">
        <f>VLOOKUP($B123,Rentroll!$C$11:$X$29,11,FALSE)</f>
        <v>60</v>
      </c>
      <c r="G123" s="69">
        <f>VLOOKUP($B123,Rentroll!$C$11:$X$29,13,FALSE)</f>
        <v>95481</v>
      </c>
      <c r="H123" s="69">
        <f>VLOOKUP($B123,Rentroll!$C$11:$X$29,14,FALSE)</f>
        <v>87524.25</v>
      </c>
      <c r="I123" s="69">
        <f>VLOOKUP($B123,Rentroll!$C$11:$X$29,15,FALSE)</f>
        <v>42436</v>
      </c>
      <c r="J123" s="82">
        <f>VLOOKUP($B123,Rentroll!$C$11:$X$29,19,FALSE)</f>
        <v>0.03</v>
      </c>
      <c r="K123" s="83">
        <f>VLOOKUP($B123,Rentroll!$C$11:$X$29,4,FALSE)</f>
        <v>1385.09</v>
      </c>
      <c r="L123" s="81">
        <f>VLOOKUP($B123,Rentroll!$C$11:$X$29,17,FALSE)</f>
        <v>0</v>
      </c>
      <c r="M123" s="84">
        <f>VLOOKUP($B123,Rentroll!$C$11:$X$29,18,FALSE)</f>
        <v>1</v>
      </c>
      <c r="O123" s="74">
        <f t="shared" si="74"/>
        <v>7</v>
      </c>
      <c r="P123" s="75"/>
      <c r="Q123" s="75"/>
      <c r="R123" s="75">
        <f t="shared" ref="R123:AW123" si="102">R29*(IF($D123&gt;R$14,0,ROUNDUP(YEARFRAC($D123,R$14),0)-DATEDIF($D123,$R$14,"y")))</f>
        <v>0</v>
      </c>
      <c r="S123" s="75">
        <f t="shared" si="102"/>
        <v>1</v>
      </c>
      <c r="T123" s="75">
        <f t="shared" si="102"/>
        <v>1</v>
      </c>
      <c r="U123" s="75">
        <f t="shared" si="102"/>
        <v>2</v>
      </c>
      <c r="V123" s="75">
        <f t="shared" si="102"/>
        <v>2</v>
      </c>
      <c r="W123" s="75">
        <f t="shared" si="102"/>
        <v>2</v>
      </c>
      <c r="X123" s="75">
        <f t="shared" si="102"/>
        <v>2</v>
      </c>
      <c r="Y123" s="75">
        <f t="shared" si="102"/>
        <v>2</v>
      </c>
      <c r="Z123" s="75">
        <f t="shared" si="102"/>
        <v>2</v>
      </c>
      <c r="AA123" s="75">
        <f t="shared" si="102"/>
        <v>2</v>
      </c>
      <c r="AB123" s="75">
        <f t="shared" si="102"/>
        <v>2</v>
      </c>
      <c r="AC123" s="75">
        <f t="shared" si="102"/>
        <v>2</v>
      </c>
      <c r="AD123" s="75">
        <f t="shared" si="102"/>
        <v>2</v>
      </c>
      <c r="AE123" s="75">
        <f t="shared" si="102"/>
        <v>2</v>
      </c>
      <c r="AF123" s="75">
        <f t="shared" si="102"/>
        <v>2</v>
      </c>
      <c r="AG123" s="75">
        <f t="shared" si="102"/>
        <v>3</v>
      </c>
      <c r="AH123" s="75">
        <f t="shared" si="102"/>
        <v>3</v>
      </c>
      <c r="AI123" s="75">
        <f t="shared" si="102"/>
        <v>3</v>
      </c>
      <c r="AJ123" s="75">
        <f t="shared" si="102"/>
        <v>3</v>
      </c>
      <c r="AK123" s="75">
        <f t="shared" si="102"/>
        <v>3</v>
      </c>
      <c r="AL123" s="75">
        <f t="shared" si="102"/>
        <v>3</v>
      </c>
      <c r="AM123" s="75">
        <f t="shared" si="102"/>
        <v>3</v>
      </c>
      <c r="AN123" s="75">
        <f t="shared" si="102"/>
        <v>3</v>
      </c>
      <c r="AO123" s="75">
        <f t="shared" si="102"/>
        <v>3</v>
      </c>
      <c r="AP123" s="75">
        <f t="shared" si="102"/>
        <v>3</v>
      </c>
      <c r="AQ123" s="75">
        <f t="shared" si="102"/>
        <v>3</v>
      </c>
      <c r="AR123" s="75">
        <f t="shared" si="102"/>
        <v>3</v>
      </c>
      <c r="AS123" s="75">
        <f t="shared" si="102"/>
        <v>0</v>
      </c>
      <c r="AT123" s="75">
        <f t="shared" si="102"/>
        <v>0</v>
      </c>
      <c r="AU123" s="75">
        <f t="shared" si="102"/>
        <v>0</v>
      </c>
      <c r="AV123" s="75">
        <f t="shared" si="102"/>
        <v>0</v>
      </c>
      <c r="AW123" s="75">
        <f t="shared" si="102"/>
        <v>0</v>
      </c>
      <c r="AX123" s="75">
        <f t="shared" ref="AX123:CC123" si="103">AX29*(IF($D123&gt;AX$14,0,ROUNDUP(YEARFRAC($D123,AX$14),0)-DATEDIF($D123,$R$14,"y")))</f>
        <v>0</v>
      </c>
      <c r="AY123" s="75">
        <f t="shared" si="103"/>
        <v>0</v>
      </c>
      <c r="AZ123" s="75">
        <f t="shared" si="103"/>
        <v>0</v>
      </c>
      <c r="BA123" s="75">
        <f t="shared" si="103"/>
        <v>0</v>
      </c>
      <c r="BB123" s="75">
        <f t="shared" si="103"/>
        <v>0</v>
      </c>
      <c r="BC123" s="75">
        <f t="shared" si="103"/>
        <v>0</v>
      </c>
      <c r="BD123" s="75">
        <f t="shared" si="103"/>
        <v>0</v>
      </c>
      <c r="BE123" s="75">
        <f t="shared" si="103"/>
        <v>0</v>
      </c>
      <c r="BF123" s="75">
        <f t="shared" si="103"/>
        <v>0</v>
      </c>
      <c r="BG123" s="75">
        <f t="shared" si="103"/>
        <v>0</v>
      </c>
      <c r="BH123" s="75">
        <f t="shared" si="103"/>
        <v>0</v>
      </c>
      <c r="BI123" s="75">
        <f t="shared" si="103"/>
        <v>0</v>
      </c>
      <c r="BJ123" s="75">
        <f t="shared" si="103"/>
        <v>0</v>
      </c>
      <c r="BK123" s="75">
        <f t="shared" si="103"/>
        <v>0</v>
      </c>
      <c r="BL123" s="75">
        <f t="shared" si="103"/>
        <v>0</v>
      </c>
      <c r="BM123" s="75">
        <f t="shared" si="103"/>
        <v>0</v>
      </c>
      <c r="BN123" s="75">
        <f t="shared" si="103"/>
        <v>0</v>
      </c>
      <c r="BO123" s="75">
        <f t="shared" si="103"/>
        <v>0</v>
      </c>
      <c r="BP123" s="75">
        <f t="shared" si="103"/>
        <v>0</v>
      </c>
      <c r="BQ123" s="75">
        <f t="shared" si="103"/>
        <v>0</v>
      </c>
      <c r="BR123" s="75">
        <f t="shared" si="103"/>
        <v>0</v>
      </c>
      <c r="BS123" s="75">
        <f t="shared" si="103"/>
        <v>0</v>
      </c>
      <c r="BT123" s="75">
        <f t="shared" si="103"/>
        <v>0</v>
      </c>
      <c r="BU123" s="75">
        <f t="shared" si="103"/>
        <v>0</v>
      </c>
      <c r="BV123" s="75">
        <f t="shared" si="103"/>
        <v>0</v>
      </c>
      <c r="BW123" s="75">
        <f t="shared" si="103"/>
        <v>0</v>
      </c>
      <c r="BX123" s="75">
        <f t="shared" si="103"/>
        <v>0</v>
      </c>
      <c r="BY123" s="75">
        <f t="shared" si="103"/>
        <v>0</v>
      </c>
      <c r="BZ123" s="75">
        <f t="shared" si="103"/>
        <v>0</v>
      </c>
      <c r="CA123" s="75">
        <f t="shared" si="103"/>
        <v>0</v>
      </c>
      <c r="CB123" s="75">
        <f t="shared" si="103"/>
        <v>0</v>
      </c>
      <c r="CC123" s="75">
        <f t="shared" si="103"/>
        <v>0</v>
      </c>
      <c r="CD123" s="75">
        <f t="shared" ref="CD123:DL123" si="104">CD29*(IF($D123&gt;CD$14,0,ROUNDUP(YEARFRAC($D123,CD$14),0)-DATEDIF($D123,$R$14,"y")))</f>
        <v>0</v>
      </c>
      <c r="CE123" s="75">
        <f t="shared" si="104"/>
        <v>0</v>
      </c>
      <c r="CF123" s="75">
        <f t="shared" si="104"/>
        <v>0</v>
      </c>
      <c r="CG123" s="75">
        <f t="shared" si="104"/>
        <v>0</v>
      </c>
      <c r="CH123" s="75">
        <f t="shared" si="104"/>
        <v>0</v>
      </c>
      <c r="CI123" s="75">
        <f t="shared" si="104"/>
        <v>0</v>
      </c>
      <c r="CJ123" s="75">
        <f t="shared" si="104"/>
        <v>0</v>
      </c>
      <c r="CK123" s="75">
        <f t="shared" si="104"/>
        <v>0</v>
      </c>
      <c r="CL123" s="75">
        <f t="shared" si="104"/>
        <v>0</v>
      </c>
      <c r="CM123" s="75">
        <f t="shared" si="104"/>
        <v>0</v>
      </c>
      <c r="CN123" s="75">
        <f t="shared" si="104"/>
        <v>0</v>
      </c>
      <c r="CO123" s="75">
        <f t="shared" si="104"/>
        <v>0</v>
      </c>
      <c r="CP123" s="75">
        <f t="shared" si="104"/>
        <v>0</v>
      </c>
      <c r="CQ123" s="75">
        <f t="shared" si="104"/>
        <v>0</v>
      </c>
      <c r="CR123" s="75">
        <f t="shared" si="104"/>
        <v>0</v>
      </c>
      <c r="CS123" s="75">
        <f t="shared" si="104"/>
        <v>0</v>
      </c>
      <c r="CT123" s="75">
        <f t="shared" si="104"/>
        <v>0</v>
      </c>
      <c r="CU123" s="75">
        <f t="shared" si="104"/>
        <v>0</v>
      </c>
      <c r="CV123" s="75">
        <f t="shared" si="104"/>
        <v>0</v>
      </c>
      <c r="CW123" s="75">
        <f t="shared" si="104"/>
        <v>0</v>
      </c>
      <c r="CX123" s="75">
        <f t="shared" si="104"/>
        <v>0</v>
      </c>
      <c r="CY123" s="75">
        <f t="shared" si="104"/>
        <v>0</v>
      </c>
      <c r="CZ123" s="75">
        <f t="shared" si="104"/>
        <v>0</v>
      </c>
      <c r="DA123" s="75">
        <f t="shared" si="104"/>
        <v>0</v>
      </c>
      <c r="DB123" s="75">
        <f t="shared" si="104"/>
        <v>0</v>
      </c>
      <c r="DC123" s="75">
        <f t="shared" si="104"/>
        <v>0</v>
      </c>
      <c r="DD123" s="75">
        <f t="shared" si="104"/>
        <v>0</v>
      </c>
      <c r="DE123" s="75">
        <f t="shared" si="104"/>
        <v>0</v>
      </c>
      <c r="DF123" s="75">
        <f t="shared" si="104"/>
        <v>0</v>
      </c>
      <c r="DG123" s="75">
        <f t="shared" si="104"/>
        <v>0</v>
      </c>
      <c r="DH123" s="75">
        <f t="shared" si="104"/>
        <v>0</v>
      </c>
      <c r="DI123" s="75">
        <f t="shared" si="104"/>
        <v>0</v>
      </c>
      <c r="DJ123" s="75">
        <f t="shared" si="104"/>
        <v>0</v>
      </c>
      <c r="DK123" s="75">
        <f t="shared" si="104"/>
        <v>0</v>
      </c>
      <c r="DL123" s="75">
        <f t="shared" si="104"/>
        <v>0</v>
      </c>
    </row>
    <row r="124" spans="2:116">
      <c r="B124" s="27">
        <f>Rentroll!$C$22</f>
        <v>6</v>
      </c>
      <c r="C124" s="69" t="str">
        <f>VLOOKUP($B124,Rentroll!$C$11:$X$29,3,FALSE)</f>
        <v>오토 커머셜</v>
      </c>
      <c r="D124" s="80">
        <f>VLOOKUP($B124,Rentroll!$C$11:$X$29,9,FALSE)</f>
        <v>44651</v>
      </c>
      <c r="E124" s="80">
        <f>VLOOKUP($B124,Rentroll!$C$11:$X$29,10,FALSE)</f>
        <v>46476</v>
      </c>
      <c r="F124" s="81">
        <f>VLOOKUP($B124,Rentroll!$C$11:$X$29,11,FALSE)</f>
        <v>60</v>
      </c>
      <c r="G124" s="69">
        <f>VLOOKUP($B124,Rentroll!$C$11:$X$29,13,FALSE)</f>
        <v>95481</v>
      </c>
      <c r="H124" s="69">
        <f>VLOOKUP($B124,Rentroll!$C$11:$X$29,14,FALSE)</f>
        <v>87524.25</v>
      </c>
      <c r="I124" s="69">
        <f>VLOOKUP($B124,Rentroll!$C$11:$X$29,15,FALSE)</f>
        <v>42436</v>
      </c>
      <c r="J124" s="82">
        <f>VLOOKUP($B124,Rentroll!$C$11:$X$29,19,FALSE)</f>
        <v>0.03</v>
      </c>
      <c r="K124" s="83">
        <f>VLOOKUP($B124,Rentroll!$C$11:$X$29,4,FALSE)</f>
        <v>1385.09</v>
      </c>
      <c r="L124" s="81">
        <f>VLOOKUP($B124,Rentroll!$C$11:$X$29,17,FALSE)</f>
        <v>0</v>
      </c>
      <c r="M124" s="84">
        <f>VLOOKUP($B124,Rentroll!$C$11:$X$29,18,FALSE)</f>
        <v>1</v>
      </c>
      <c r="O124" s="74">
        <f t="shared" si="74"/>
        <v>6</v>
      </c>
      <c r="P124" s="75"/>
      <c r="Q124" s="75"/>
      <c r="R124" s="75">
        <f t="shared" ref="R124:AW124" si="105">R30*(IF($D124&gt;R$14,0,ROUNDUP(YEARFRAC($D124,R$14),0)-DATEDIF($D124,$R$14,"y")))</f>
        <v>0</v>
      </c>
      <c r="S124" s="75">
        <f t="shared" si="105"/>
        <v>1</v>
      </c>
      <c r="T124" s="75">
        <f t="shared" si="105"/>
        <v>1</v>
      </c>
      <c r="U124" s="75">
        <f t="shared" si="105"/>
        <v>2</v>
      </c>
      <c r="V124" s="75">
        <f t="shared" si="105"/>
        <v>2</v>
      </c>
      <c r="W124" s="75">
        <f t="shared" si="105"/>
        <v>2</v>
      </c>
      <c r="X124" s="75">
        <f t="shared" si="105"/>
        <v>2</v>
      </c>
      <c r="Y124" s="75">
        <f t="shared" si="105"/>
        <v>2</v>
      </c>
      <c r="Z124" s="75">
        <f t="shared" si="105"/>
        <v>2</v>
      </c>
      <c r="AA124" s="75">
        <f t="shared" si="105"/>
        <v>2</v>
      </c>
      <c r="AB124" s="75">
        <f t="shared" si="105"/>
        <v>2</v>
      </c>
      <c r="AC124" s="75">
        <f t="shared" si="105"/>
        <v>2</v>
      </c>
      <c r="AD124" s="75">
        <f t="shared" si="105"/>
        <v>2</v>
      </c>
      <c r="AE124" s="75">
        <f t="shared" si="105"/>
        <v>2</v>
      </c>
      <c r="AF124" s="75">
        <f t="shared" si="105"/>
        <v>2</v>
      </c>
      <c r="AG124" s="75">
        <f t="shared" si="105"/>
        <v>3</v>
      </c>
      <c r="AH124" s="75">
        <f t="shared" si="105"/>
        <v>3</v>
      </c>
      <c r="AI124" s="75">
        <f t="shared" si="105"/>
        <v>3</v>
      </c>
      <c r="AJ124" s="75">
        <f t="shared" si="105"/>
        <v>3</v>
      </c>
      <c r="AK124" s="75">
        <f t="shared" si="105"/>
        <v>3</v>
      </c>
      <c r="AL124" s="75">
        <f t="shared" si="105"/>
        <v>3</v>
      </c>
      <c r="AM124" s="75">
        <f t="shared" si="105"/>
        <v>3</v>
      </c>
      <c r="AN124" s="75">
        <f t="shared" si="105"/>
        <v>3</v>
      </c>
      <c r="AO124" s="75">
        <f t="shared" si="105"/>
        <v>3</v>
      </c>
      <c r="AP124" s="75">
        <f t="shared" si="105"/>
        <v>3</v>
      </c>
      <c r="AQ124" s="75">
        <f t="shared" si="105"/>
        <v>3</v>
      </c>
      <c r="AR124" s="75">
        <f t="shared" si="105"/>
        <v>3</v>
      </c>
      <c r="AS124" s="75">
        <f t="shared" si="105"/>
        <v>0</v>
      </c>
      <c r="AT124" s="75">
        <f t="shared" si="105"/>
        <v>0</v>
      </c>
      <c r="AU124" s="75">
        <f t="shared" si="105"/>
        <v>0</v>
      </c>
      <c r="AV124" s="75">
        <f t="shared" si="105"/>
        <v>0</v>
      </c>
      <c r="AW124" s="75">
        <f t="shared" si="105"/>
        <v>0</v>
      </c>
      <c r="AX124" s="75">
        <f t="shared" ref="AX124:CC124" si="106">AX30*(IF($D124&gt;AX$14,0,ROUNDUP(YEARFRAC($D124,AX$14),0)-DATEDIF($D124,$R$14,"y")))</f>
        <v>0</v>
      </c>
      <c r="AY124" s="75">
        <f t="shared" si="106"/>
        <v>0</v>
      </c>
      <c r="AZ124" s="75">
        <f t="shared" si="106"/>
        <v>0</v>
      </c>
      <c r="BA124" s="75">
        <f t="shared" si="106"/>
        <v>0</v>
      </c>
      <c r="BB124" s="75">
        <f t="shared" si="106"/>
        <v>0</v>
      </c>
      <c r="BC124" s="75">
        <f t="shared" si="106"/>
        <v>0</v>
      </c>
      <c r="BD124" s="75">
        <f t="shared" si="106"/>
        <v>0</v>
      </c>
      <c r="BE124" s="75">
        <f t="shared" si="106"/>
        <v>0</v>
      </c>
      <c r="BF124" s="75">
        <f t="shared" si="106"/>
        <v>0</v>
      </c>
      <c r="BG124" s="75">
        <f t="shared" si="106"/>
        <v>0</v>
      </c>
      <c r="BH124" s="75">
        <f t="shared" si="106"/>
        <v>0</v>
      </c>
      <c r="BI124" s="75">
        <f t="shared" si="106"/>
        <v>0</v>
      </c>
      <c r="BJ124" s="75">
        <f t="shared" si="106"/>
        <v>0</v>
      </c>
      <c r="BK124" s="75">
        <f t="shared" si="106"/>
        <v>0</v>
      </c>
      <c r="BL124" s="75">
        <f t="shared" si="106"/>
        <v>0</v>
      </c>
      <c r="BM124" s="75">
        <f t="shared" si="106"/>
        <v>0</v>
      </c>
      <c r="BN124" s="75">
        <f t="shared" si="106"/>
        <v>0</v>
      </c>
      <c r="BO124" s="75">
        <f t="shared" si="106"/>
        <v>0</v>
      </c>
      <c r="BP124" s="75">
        <f t="shared" si="106"/>
        <v>0</v>
      </c>
      <c r="BQ124" s="75">
        <f t="shared" si="106"/>
        <v>0</v>
      </c>
      <c r="BR124" s="75">
        <f t="shared" si="106"/>
        <v>0</v>
      </c>
      <c r="BS124" s="75">
        <f t="shared" si="106"/>
        <v>0</v>
      </c>
      <c r="BT124" s="75">
        <f t="shared" si="106"/>
        <v>0</v>
      </c>
      <c r="BU124" s="75">
        <f t="shared" si="106"/>
        <v>0</v>
      </c>
      <c r="BV124" s="75">
        <f t="shared" si="106"/>
        <v>0</v>
      </c>
      <c r="BW124" s="75">
        <f t="shared" si="106"/>
        <v>0</v>
      </c>
      <c r="BX124" s="75">
        <f t="shared" si="106"/>
        <v>0</v>
      </c>
      <c r="BY124" s="75">
        <f t="shared" si="106"/>
        <v>0</v>
      </c>
      <c r="BZ124" s="75">
        <f t="shared" si="106"/>
        <v>0</v>
      </c>
      <c r="CA124" s="75">
        <f t="shared" si="106"/>
        <v>0</v>
      </c>
      <c r="CB124" s="75">
        <f t="shared" si="106"/>
        <v>0</v>
      </c>
      <c r="CC124" s="75">
        <f t="shared" si="106"/>
        <v>0</v>
      </c>
      <c r="CD124" s="75">
        <f t="shared" ref="CD124:DL124" si="107">CD30*(IF($D124&gt;CD$14,0,ROUNDUP(YEARFRAC($D124,CD$14),0)-DATEDIF($D124,$R$14,"y")))</f>
        <v>0</v>
      </c>
      <c r="CE124" s="75">
        <f t="shared" si="107"/>
        <v>0</v>
      </c>
      <c r="CF124" s="75">
        <f t="shared" si="107"/>
        <v>0</v>
      </c>
      <c r="CG124" s="75">
        <f t="shared" si="107"/>
        <v>0</v>
      </c>
      <c r="CH124" s="75">
        <f t="shared" si="107"/>
        <v>0</v>
      </c>
      <c r="CI124" s="75">
        <f t="shared" si="107"/>
        <v>0</v>
      </c>
      <c r="CJ124" s="75">
        <f t="shared" si="107"/>
        <v>0</v>
      </c>
      <c r="CK124" s="75">
        <f t="shared" si="107"/>
        <v>0</v>
      </c>
      <c r="CL124" s="75">
        <f t="shared" si="107"/>
        <v>0</v>
      </c>
      <c r="CM124" s="75">
        <f t="shared" si="107"/>
        <v>0</v>
      </c>
      <c r="CN124" s="75">
        <f t="shared" si="107"/>
        <v>0</v>
      </c>
      <c r="CO124" s="75">
        <f t="shared" si="107"/>
        <v>0</v>
      </c>
      <c r="CP124" s="75">
        <f t="shared" si="107"/>
        <v>0</v>
      </c>
      <c r="CQ124" s="75">
        <f t="shared" si="107"/>
        <v>0</v>
      </c>
      <c r="CR124" s="75">
        <f t="shared" si="107"/>
        <v>0</v>
      </c>
      <c r="CS124" s="75">
        <f t="shared" si="107"/>
        <v>0</v>
      </c>
      <c r="CT124" s="75">
        <f t="shared" si="107"/>
        <v>0</v>
      </c>
      <c r="CU124" s="75">
        <f t="shared" si="107"/>
        <v>0</v>
      </c>
      <c r="CV124" s="75">
        <f t="shared" si="107"/>
        <v>0</v>
      </c>
      <c r="CW124" s="75">
        <f t="shared" si="107"/>
        <v>0</v>
      </c>
      <c r="CX124" s="75">
        <f t="shared" si="107"/>
        <v>0</v>
      </c>
      <c r="CY124" s="75">
        <f t="shared" si="107"/>
        <v>0</v>
      </c>
      <c r="CZ124" s="75">
        <f t="shared" si="107"/>
        <v>0</v>
      </c>
      <c r="DA124" s="75">
        <f t="shared" si="107"/>
        <v>0</v>
      </c>
      <c r="DB124" s="75">
        <f t="shared" si="107"/>
        <v>0</v>
      </c>
      <c r="DC124" s="75">
        <f t="shared" si="107"/>
        <v>0</v>
      </c>
      <c r="DD124" s="75">
        <f t="shared" si="107"/>
        <v>0</v>
      </c>
      <c r="DE124" s="75">
        <f t="shared" si="107"/>
        <v>0</v>
      </c>
      <c r="DF124" s="75">
        <f t="shared" si="107"/>
        <v>0</v>
      </c>
      <c r="DG124" s="75">
        <f t="shared" si="107"/>
        <v>0</v>
      </c>
      <c r="DH124" s="75">
        <f t="shared" si="107"/>
        <v>0</v>
      </c>
      <c r="DI124" s="75">
        <f t="shared" si="107"/>
        <v>0</v>
      </c>
      <c r="DJ124" s="75">
        <f t="shared" si="107"/>
        <v>0</v>
      </c>
      <c r="DK124" s="75">
        <f t="shared" si="107"/>
        <v>0</v>
      </c>
      <c r="DL124" s="75">
        <f t="shared" si="107"/>
        <v>0</v>
      </c>
    </row>
    <row r="125" spans="2:116">
      <c r="B125" s="27">
        <f>Rentroll!$C$23</f>
        <v>5</v>
      </c>
      <c r="C125" s="69" t="str">
        <f>VLOOKUP($B125,Rentroll!$C$11:$X$29,3,FALSE)</f>
        <v>공실</v>
      </c>
      <c r="D125" s="80"/>
      <c r="E125" s="80"/>
      <c r="F125" s="81">
        <f>VLOOKUP($B125,Rentroll!$C$11:$X$29,11,FALSE)</f>
        <v>0</v>
      </c>
      <c r="G125" s="69">
        <f>VLOOKUP($B125,Rentroll!$C$11:$X$29,13,FALSE)</f>
        <v>0</v>
      </c>
      <c r="H125" s="69">
        <f>VLOOKUP($B125,Rentroll!$C$11:$X$29,14,FALSE)</f>
        <v>0</v>
      </c>
      <c r="I125" s="69">
        <f>VLOOKUP($B125,Rentroll!$C$11:$X$29,15,FALSE)</f>
        <v>0</v>
      </c>
      <c r="J125" s="82">
        <f>VLOOKUP($B125,Rentroll!$C$11:$X$29,19,FALSE)</f>
        <v>0</v>
      </c>
      <c r="K125" s="83">
        <f>VLOOKUP($B125,Rentroll!$C$11:$X$29,4,FALSE)</f>
        <v>1385.09</v>
      </c>
      <c r="L125" s="81">
        <f>VLOOKUP($B125,Rentroll!$C$11:$X$29,17,FALSE)</f>
        <v>0</v>
      </c>
      <c r="M125" s="84">
        <f>VLOOKUP($B125,Rentroll!$C$11:$X$29,18,FALSE)</f>
        <v>0</v>
      </c>
      <c r="O125" s="74">
        <f t="shared" si="74"/>
        <v>5</v>
      </c>
      <c r="P125" s="75"/>
      <c r="Q125" s="75"/>
      <c r="R125" s="75">
        <f t="shared" ref="R125:AW125" si="108">R31*(IF($D125&gt;R$14,0,ROUNDUP(YEARFRAC($D125,R$14),0)-DATEDIF($D125,$R$14,"y")))</f>
        <v>0</v>
      </c>
      <c r="S125" s="75">
        <f t="shared" si="108"/>
        <v>0</v>
      </c>
      <c r="T125" s="75">
        <f t="shared" si="108"/>
        <v>0</v>
      </c>
      <c r="U125" s="75">
        <f t="shared" si="108"/>
        <v>0</v>
      </c>
      <c r="V125" s="75">
        <f t="shared" si="108"/>
        <v>0</v>
      </c>
      <c r="W125" s="75">
        <f t="shared" si="108"/>
        <v>0</v>
      </c>
      <c r="X125" s="75">
        <f t="shared" si="108"/>
        <v>0</v>
      </c>
      <c r="Y125" s="75">
        <f t="shared" si="108"/>
        <v>0</v>
      </c>
      <c r="Z125" s="75">
        <f t="shared" si="108"/>
        <v>0</v>
      </c>
      <c r="AA125" s="75">
        <f t="shared" si="108"/>
        <v>0</v>
      </c>
      <c r="AB125" s="75">
        <f t="shared" si="108"/>
        <v>0</v>
      </c>
      <c r="AC125" s="75">
        <f t="shared" si="108"/>
        <v>0</v>
      </c>
      <c r="AD125" s="75">
        <f t="shared" si="108"/>
        <v>0</v>
      </c>
      <c r="AE125" s="75">
        <f t="shared" si="108"/>
        <v>0</v>
      </c>
      <c r="AF125" s="75">
        <f t="shared" si="108"/>
        <v>0</v>
      </c>
      <c r="AG125" s="75">
        <f t="shared" si="108"/>
        <v>0</v>
      </c>
      <c r="AH125" s="75">
        <f t="shared" si="108"/>
        <v>0</v>
      </c>
      <c r="AI125" s="75">
        <f t="shared" si="108"/>
        <v>0</v>
      </c>
      <c r="AJ125" s="75">
        <f t="shared" si="108"/>
        <v>0</v>
      </c>
      <c r="AK125" s="75">
        <f t="shared" si="108"/>
        <v>0</v>
      </c>
      <c r="AL125" s="75">
        <f t="shared" si="108"/>
        <v>0</v>
      </c>
      <c r="AM125" s="75">
        <f t="shared" si="108"/>
        <v>0</v>
      </c>
      <c r="AN125" s="75">
        <f t="shared" si="108"/>
        <v>0</v>
      </c>
      <c r="AO125" s="75">
        <f t="shared" si="108"/>
        <v>0</v>
      </c>
      <c r="AP125" s="75">
        <f t="shared" si="108"/>
        <v>0</v>
      </c>
      <c r="AQ125" s="75">
        <f t="shared" si="108"/>
        <v>0</v>
      </c>
      <c r="AR125" s="75">
        <f t="shared" si="108"/>
        <v>0</v>
      </c>
      <c r="AS125" s="75">
        <f t="shared" si="108"/>
        <v>0</v>
      </c>
      <c r="AT125" s="75">
        <f t="shared" si="108"/>
        <v>0</v>
      </c>
      <c r="AU125" s="75">
        <f t="shared" si="108"/>
        <v>0</v>
      </c>
      <c r="AV125" s="75">
        <f t="shared" si="108"/>
        <v>0</v>
      </c>
      <c r="AW125" s="75">
        <f t="shared" si="108"/>
        <v>0</v>
      </c>
      <c r="AX125" s="75">
        <f t="shared" ref="AX125:CC125" si="109">AX31*(IF($D125&gt;AX$14,0,ROUNDUP(YEARFRAC($D125,AX$14),0)-DATEDIF($D125,$R$14,"y")))</f>
        <v>0</v>
      </c>
      <c r="AY125" s="75">
        <f t="shared" si="109"/>
        <v>0</v>
      </c>
      <c r="AZ125" s="75">
        <f t="shared" si="109"/>
        <v>0</v>
      </c>
      <c r="BA125" s="75">
        <f t="shared" si="109"/>
        <v>0</v>
      </c>
      <c r="BB125" s="75">
        <f t="shared" si="109"/>
        <v>0</v>
      </c>
      <c r="BC125" s="75">
        <f t="shared" si="109"/>
        <v>0</v>
      </c>
      <c r="BD125" s="75">
        <f t="shared" si="109"/>
        <v>0</v>
      </c>
      <c r="BE125" s="75">
        <f t="shared" si="109"/>
        <v>0</v>
      </c>
      <c r="BF125" s="75">
        <f t="shared" si="109"/>
        <v>0</v>
      </c>
      <c r="BG125" s="75">
        <f t="shared" si="109"/>
        <v>0</v>
      </c>
      <c r="BH125" s="75">
        <f t="shared" si="109"/>
        <v>0</v>
      </c>
      <c r="BI125" s="75">
        <f t="shared" si="109"/>
        <v>0</v>
      </c>
      <c r="BJ125" s="75">
        <f t="shared" si="109"/>
        <v>0</v>
      </c>
      <c r="BK125" s="75">
        <f t="shared" si="109"/>
        <v>0</v>
      </c>
      <c r="BL125" s="75">
        <f t="shared" si="109"/>
        <v>0</v>
      </c>
      <c r="BM125" s="75">
        <f t="shared" si="109"/>
        <v>0</v>
      </c>
      <c r="BN125" s="75">
        <f t="shared" si="109"/>
        <v>0</v>
      </c>
      <c r="BO125" s="75">
        <f t="shared" si="109"/>
        <v>0</v>
      </c>
      <c r="BP125" s="75">
        <f t="shared" si="109"/>
        <v>0</v>
      </c>
      <c r="BQ125" s="75">
        <f t="shared" si="109"/>
        <v>0</v>
      </c>
      <c r="BR125" s="75">
        <f t="shared" si="109"/>
        <v>0</v>
      </c>
      <c r="BS125" s="75">
        <f t="shared" si="109"/>
        <v>0</v>
      </c>
      <c r="BT125" s="75">
        <f t="shared" si="109"/>
        <v>0</v>
      </c>
      <c r="BU125" s="75">
        <f t="shared" si="109"/>
        <v>0</v>
      </c>
      <c r="BV125" s="75">
        <f t="shared" si="109"/>
        <v>0</v>
      </c>
      <c r="BW125" s="75">
        <f t="shared" si="109"/>
        <v>0</v>
      </c>
      <c r="BX125" s="75">
        <f t="shared" si="109"/>
        <v>0</v>
      </c>
      <c r="BY125" s="75">
        <f t="shared" si="109"/>
        <v>0</v>
      </c>
      <c r="BZ125" s="75">
        <f t="shared" si="109"/>
        <v>0</v>
      </c>
      <c r="CA125" s="75">
        <f t="shared" si="109"/>
        <v>0</v>
      </c>
      <c r="CB125" s="75">
        <f t="shared" si="109"/>
        <v>0</v>
      </c>
      <c r="CC125" s="75">
        <f t="shared" si="109"/>
        <v>0</v>
      </c>
      <c r="CD125" s="75">
        <f t="shared" ref="CD125:DL125" si="110">CD31*(IF($D125&gt;CD$14,0,ROUNDUP(YEARFRAC($D125,CD$14),0)-DATEDIF($D125,$R$14,"y")))</f>
        <v>0</v>
      </c>
      <c r="CE125" s="75">
        <f t="shared" si="110"/>
        <v>0</v>
      </c>
      <c r="CF125" s="75">
        <f t="shared" si="110"/>
        <v>0</v>
      </c>
      <c r="CG125" s="75">
        <f t="shared" si="110"/>
        <v>0</v>
      </c>
      <c r="CH125" s="75">
        <f t="shared" si="110"/>
        <v>0</v>
      </c>
      <c r="CI125" s="75">
        <f t="shared" si="110"/>
        <v>0</v>
      </c>
      <c r="CJ125" s="75">
        <f t="shared" si="110"/>
        <v>0</v>
      </c>
      <c r="CK125" s="75">
        <f t="shared" si="110"/>
        <v>0</v>
      </c>
      <c r="CL125" s="75">
        <f t="shared" si="110"/>
        <v>0</v>
      </c>
      <c r="CM125" s="75">
        <f t="shared" si="110"/>
        <v>0</v>
      </c>
      <c r="CN125" s="75">
        <f t="shared" si="110"/>
        <v>0</v>
      </c>
      <c r="CO125" s="75">
        <f t="shared" si="110"/>
        <v>0</v>
      </c>
      <c r="CP125" s="75">
        <f t="shared" si="110"/>
        <v>0</v>
      </c>
      <c r="CQ125" s="75">
        <f t="shared" si="110"/>
        <v>0</v>
      </c>
      <c r="CR125" s="75">
        <f t="shared" si="110"/>
        <v>0</v>
      </c>
      <c r="CS125" s="75">
        <f t="shared" si="110"/>
        <v>0</v>
      </c>
      <c r="CT125" s="75">
        <f t="shared" si="110"/>
        <v>0</v>
      </c>
      <c r="CU125" s="75">
        <f t="shared" si="110"/>
        <v>0</v>
      </c>
      <c r="CV125" s="75">
        <f t="shared" si="110"/>
        <v>0</v>
      </c>
      <c r="CW125" s="75">
        <f t="shared" si="110"/>
        <v>0</v>
      </c>
      <c r="CX125" s="75">
        <f t="shared" si="110"/>
        <v>0</v>
      </c>
      <c r="CY125" s="75">
        <f t="shared" si="110"/>
        <v>0</v>
      </c>
      <c r="CZ125" s="75">
        <f t="shared" si="110"/>
        <v>0</v>
      </c>
      <c r="DA125" s="75">
        <f t="shared" si="110"/>
        <v>0</v>
      </c>
      <c r="DB125" s="75">
        <f t="shared" si="110"/>
        <v>0</v>
      </c>
      <c r="DC125" s="75">
        <f t="shared" si="110"/>
        <v>0</v>
      </c>
      <c r="DD125" s="75">
        <f t="shared" si="110"/>
        <v>0</v>
      </c>
      <c r="DE125" s="75">
        <f t="shared" si="110"/>
        <v>0</v>
      </c>
      <c r="DF125" s="75">
        <f t="shared" si="110"/>
        <v>0</v>
      </c>
      <c r="DG125" s="75">
        <f t="shared" si="110"/>
        <v>0</v>
      </c>
      <c r="DH125" s="75">
        <f t="shared" si="110"/>
        <v>0</v>
      </c>
      <c r="DI125" s="75">
        <f t="shared" si="110"/>
        <v>0</v>
      </c>
      <c r="DJ125" s="75">
        <f t="shared" si="110"/>
        <v>0</v>
      </c>
      <c r="DK125" s="75">
        <f t="shared" si="110"/>
        <v>0</v>
      </c>
      <c r="DL125" s="75">
        <f t="shared" si="110"/>
        <v>0</v>
      </c>
    </row>
    <row r="126" spans="2:116">
      <c r="B126" s="27">
        <f>Rentroll!$C$24</f>
        <v>4</v>
      </c>
      <c r="C126" s="69" t="str">
        <f>VLOOKUP($B126,Rentroll!$C$11:$X$29,3,FALSE)</f>
        <v>공실</v>
      </c>
      <c r="D126" s="80"/>
      <c r="E126" s="80"/>
      <c r="F126" s="81">
        <f>VLOOKUP($B126,Rentroll!$C$11:$X$29,11,FALSE)</f>
        <v>0</v>
      </c>
      <c r="G126" s="69">
        <f>VLOOKUP($B126,Rentroll!$C$11:$X$29,13,FALSE)</f>
        <v>0</v>
      </c>
      <c r="H126" s="69">
        <f>VLOOKUP($B126,Rentroll!$C$11:$X$29,14,FALSE)</f>
        <v>0</v>
      </c>
      <c r="I126" s="69">
        <f>VLOOKUP($B126,Rentroll!$C$11:$X$29,15,FALSE)</f>
        <v>0</v>
      </c>
      <c r="J126" s="82">
        <f>VLOOKUP($B126,Rentroll!$C$11:$X$29,19,FALSE)</f>
        <v>0</v>
      </c>
      <c r="K126" s="83">
        <f>VLOOKUP($B126,Rentroll!$C$11:$X$29,4,FALSE)</f>
        <v>1385.09</v>
      </c>
      <c r="L126" s="81">
        <f>VLOOKUP($B126,Rentroll!$C$11:$X$29,17,FALSE)</f>
        <v>0</v>
      </c>
      <c r="M126" s="84">
        <f>VLOOKUP($B126,Rentroll!$C$11:$X$29,18,FALSE)</f>
        <v>0</v>
      </c>
      <c r="O126" s="74">
        <f t="shared" si="74"/>
        <v>4</v>
      </c>
      <c r="P126" s="75"/>
      <c r="Q126" s="75"/>
      <c r="R126" s="75">
        <f t="shared" ref="R126:AW126" si="111">R32*(IF($D126&gt;R$14,0,ROUNDUP(YEARFRAC($D126,R$14),0)-DATEDIF($D126,$R$14,"y")))</f>
        <v>0</v>
      </c>
      <c r="S126" s="75">
        <f t="shared" si="111"/>
        <v>0</v>
      </c>
      <c r="T126" s="75">
        <f t="shared" si="111"/>
        <v>0</v>
      </c>
      <c r="U126" s="75">
        <f t="shared" si="111"/>
        <v>0</v>
      </c>
      <c r="V126" s="75">
        <f t="shared" si="111"/>
        <v>0</v>
      </c>
      <c r="W126" s="75">
        <f t="shared" si="111"/>
        <v>0</v>
      </c>
      <c r="X126" s="75">
        <f t="shared" si="111"/>
        <v>0</v>
      </c>
      <c r="Y126" s="75">
        <f t="shared" si="111"/>
        <v>0</v>
      </c>
      <c r="Z126" s="75">
        <f t="shared" si="111"/>
        <v>0</v>
      </c>
      <c r="AA126" s="75">
        <f t="shared" si="111"/>
        <v>0</v>
      </c>
      <c r="AB126" s="75">
        <f t="shared" si="111"/>
        <v>0</v>
      </c>
      <c r="AC126" s="75">
        <f t="shared" si="111"/>
        <v>0</v>
      </c>
      <c r="AD126" s="75">
        <f t="shared" si="111"/>
        <v>0</v>
      </c>
      <c r="AE126" s="75">
        <f t="shared" si="111"/>
        <v>0</v>
      </c>
      <c r="AF126" s="75">
        <f t="shared" si="111"/>
        <v>0</v>
      </c>
      <c r="AG126" s="75">
        <f t="shared" si="111"/>
        <v>0</v>
      </c>
      <c r="AH126" s="75">
        <f t="shared" si="111"/>
        <v>0</v>
      </c>
      <c r="AI126" s="75">
        <f t="shared" si="111"/>
        <v>0</v>
      </c>
      <c r="AJ126" s="75">
        <f t="shared" si="111"/>
        <v>0</v>
      </c>
      <c r="AK126" s="75">
        <f t="shared" si="111"/>
        <v>0</v>
      </c>
      <c r="AL126" s="75">
        <f t="shared" si="111"/>
        <v>0</v>
      </c>
      <c r="AM126" s="75">
        <f t="shared" si="111"/>
        <v>0</v>
      </c>
      <c r="AN126" s="75">
        <f t="shared" si="111"/>
        <v>0</v>
      </c>
      <c r="AO126" s="75">
        <f t="shared" si="111"/>
        <v>0</v>
      </c>
      <c r="AP126" s="75">
        <f t="shared" si="111"/>
        <v>0</v>
      </c>
      <c r="AQ126" s="75">
        <f t="shared" si="111"/>
        <v>0</v>
      </c>
      <c r="AR126" s="75">
        <f t="shared" si="111"/>
        <v>0</v>
      </c>
      <c r="AS126" s="75">
        <f t="shared" si="111"/>
        <v>0</v>
      </c>
      <c r="AT126" s="75">
        <f t="shared" si="111"/>
        <v>0</v>
      </c>
      <c r="AU126" s="75">
        <f t="shared" si="111"/>
        <v>0</v>
      </c>
      <c r="AV126" s="75">
        <f t="shared" si="111"/>
        <v>0</v>
      </c>
      <c r="AW126" s="75">
        <f t="shared" si="111"/>
        <v>0</v>
      </c>
      <c r="AX126" s="75">
        <f t="shared" ref="AX126:CC126" si="112">AX32*(IF($D126&gt;AX$14,0,ROUNDUP(YEARFRAC($D126,AX$14),0)-DATEDIF($D126,$R$14,"y")))</f>
        <v>0</v>
      </c>
      <c r="AY126" s="75">
        <f t="shared" si="112"/>
        <v>0</v>
      </c>
      <c r="AZ126" s="75">
        <f t="shared" si="112"/>
        <v>0</v>
      </c>
      <c r="BA126" s="75">
        <f t="shared" si="112"/>
        <v>0</v>
      </c>
      <c r="BB126" s="75">
        <f t="shared" si="112"/>
        <v>0</v>
      </c>
      <c r="BC126" s="75">
        <f t="shared" si="112"/>
        <v>0</v>
      </c>
      <c r="BD126" s="75">
        <f t="shared" si="112"/>
        <v>0</v>
      </c>
      <c r="BE126" s="75">
        <f t="shared" si="112"/>
        <v>0</v>
      </c>
      <c r="BF126" s="75">
        <f t="shared" si="112"/>
        <v>0</v>
      </c>
      <c r="BG126" s="75">
        <f t="shared" si="112"/>
        <v>0</v>
      </c>
      <c r="BH126" s="75">
        <f t="shared" si="112"/>
        <v>0</v>
      </c>
      <c r="BI126" s="75">
        <f t="shared" si="112"/>
        <v>0</v>
      </c>
      <c r="BJ126" s="75">
        <f t="shared" si="112"/>
        <v>0</v>
      </c>
      <c r="BK126" s="75">
        <f t="shared" si="112"/>
        <v>0</v>
      </c>
      <c r="BL126" s="75">
        <f t="shared" si="112"/>
        <v>0</v>
      </c>
      <c r="BM126" s="75">
        <f t="shared" si="112"/>
        <v>0</v>
      </c>
      <c r="BN126" s="75">
        <f t="shared" si="112"/>
        <v>0</v>
      </c>
      <c r="BO126" s="75">
        <f t="shared" si="112"/>
        <v>0</v>
      </c>
      <c r="BP126" s="75">
        <f t="shared" si="112"/>
        <v>0</v>
      </c>
      <c r="BQ126" s="75">
        <f t="shared" si="112"/>
        <v>0</v>
      </c>
      <c r="BR126" s="75">
        <f t="shared" si="112"/>
        <v>0</v>
      </c>
      <c r="BS126" s="75">
        <f t="shared" si="112"/>
        <v>0</v>
      </c>
      <c r="BT126" s="75">
        <f t="shared" si="112"/>
        <v>0</v>
      </c>
      <c r="BU126" s="75">
        <f t="shared" si="112"/>
        <v>0</v>
      </c>
      <c r="BV126" s="75">
        <f t="shared" si="112"/>
        <v>0</v>
      </c>
      <c r="BW126" s="75">
        <f t="shared" si="112"/>
        <v>0</v>
      </c>
      <c r="BX126" s="75">
        <f t="shared" si="112"/>
        <v>0</v>
      </c>
      <c r="BY126" s="75">
        <f t="shared" si="112"/>
        <v>0</v>
      </c>
      <c r="BZ126" s="75">
        <f t="shared" si="112"/>
        <v>0</v>
      </c>
      <c r="CA126" s="75">
        <f t="shared" si="112"/>
        <v>0</v>
      </c>
      <c r="CB126" s="75">
        <f t="shared" si="112"/>
        <v>0</v>
      </c>
      <c r="CC126" s="75">
        <f t="shared" si="112"/>
        <v>0</v>
      </c>
      <c r="CD126" s="75">
        <f t="shared" ref="CD126:DL126" si="113">CD32*(IF($D126&gt;CD$14,0,ROUNDUP(YEARFRAC($D126,CD$14),0)-DATEDIF($D126,$R$14,"y")))</f>
        <v>0</v>
      </c>
      <c r="CE126" s="75">
        <f t="shared" si="113"/>
        <v>0</v>
      </c>
      <c r="CF126" s="75">
        <f t="shared" si="113"/>
        <v>0</v>
      </c>
      <c r="CG126" s="75">
        <f t="shared" si="113"/>
        <v>0</v>
      </c>
      <c r="CH126" s="75">
        <f t="shared" si="113"/>
        <v>0</v>
      </c>
      <c r="CI126" s="75">
        <f t="shared" si="113"/>
        <v>0</v>
      </c>
      <c r="CJ126" s="75">
        <f t="shared" si="113"/>
        <v>0</v>
      </c>
      <c r="CK126" s="75">
        <f t="shared" si="113"/>
        <v>0</v>
      </c>
      <c r="CL126" s="75">
        <f t="shared" si="113"/>
        <v>0</v>
      </c>
      <c r="CM126" s="75">
        <f t="shared" si="113"/>
        <v>0</v>
      </c>
      <c r="CN126" s="75">
        <f t="shared" si="113"/>
        <v>0</v>
      </c>
      <c r="CO126" s="75">
        <f t="shared" si="113"/>
        <v>0</v>
      </c>
      <c r="CP126" s="75">
        <f t="shared" si="113"/>
        <v>0</v>
      </c>
      <c r="CQ126" s="75">
        <f t="shared" si="113"/>
        <v>0</v>
      </c>
      <c r="CR126" s="75">
        <f t="shared" si="113"/>
        <v>0</v>
      </c>
      <c r="CS126" s="75">
        <f t="shared" si="113"/>
        <v>0</v>
      </c>
      <c r="CT126" s="75">
        <f t="shared" si="113"/>
        <v>0</v>
      </c>
      <c r="CU126" s="75">
        <f t="shared" si="113"/>
        <v>0</v>
      </c>
      <c r="CV126" s="75">
        <f t="shared" si="113"/>
        <v>0</v>
      </c>
      <c r="CW126" s="75">
        <f t="shared" si="113"/>
        <v>0</v>
      </c>
      <c r="CX126" s="75">
        <f t="shared" si="113"/>
        <v>0</v>
      </c>
      <c r="CY126" s="75">
        <f t="shared" si="113"/>
        <v>0</v>
      </c>
      <c r="CZ126" s="75">
        <f t="shared" si="113"/>
        <v>0</v>
      </c>
      <c r="DA126" s="75">
        <f t="shared" si="113"/>
        <v>0</v>
      </c>
      <c r="DB126" s="75">
        <f t="shared" si="113"/>
        <v>0</v>
      </c>
      <c r="DC126" s="75">
        <f t="shared" si="113"/>
        <v>0</v>
      </c>
      <c r="DD126" s="75">
        <f t="shared" si="113"/>
        <v>0</v>
      </c>
      <c r="DE126" s="75">
        <f t="shared" si="113"/>
        <v>0</v>
      </c>
      <c r="DF126" s="75">
        <f t="shared" si="113"/>
        <v>0</v>
      </c>
      <c r="DG126" s="75">
        <f t="shared" si="113"/>
        <v>0</v>
      </c>
      <c r="DH126" s="75">
        <f t="shared" si="113"/>
        <v>0</v>
      </c>
      <c r="DI126" s="75">
        <f t="shared" si="113"/>
        <v>0</v>
      </c>
      <c r="DJ126" s="75">
        <f t="shared" si="113"/>
        <v>0</v>
      </c>
      <c r="DK126" s="75">
        <f t="shared" si="113"/>
        <v>0</v>
      </c>
      <c r="DL126" s="75">
        <f t="shared" si="113"/>
        <v>0</v>
      </c>
    </row>
    <row r="127" spans="2:116">
      <c r="B127" s="27">
        <f>Rentroll!$C$25</f>
        <v>3</v>
      </c>
      <c r="C127" s="69" t="str">
        <f>VLOOKUP($B127,Rentroll!$C$11:$X$29,3,FALSE)</f>
        <v>공실</v>
      </c>
      <c r="D127" s="80"/>
      <c r="E127" s="80"/>
      <c r="F127" s="81">
        <f>VLOOKUP($B127,Rentroll!$C$11:$X$29,11,FALSE)</f>
        <v>0</v>
      </c>
      <c r="G127" s="69">
        <f>VLOOKUP($B127,Rentroll!$C$11:$X$29,13,FALSE)</f>
        <v>0</v>
      </c>
      <c r="H127" s="69">
        <f>VLOOKUP($B127,Rentroll!$C$11:$X$29,14,FALSE)</f>
        <v>0</v>
      </c>
      <c r="I127" s="69">
        <f>VLOOKUP($B127,Rentroll!$C$11:$X$29,15,FALSE)</f>
        <v>0</v>
      </c>
      <c r="J127" s="82">
        <f>VLOOKUP($B127,Rentroll!$C$11:$X$29,19,FALSE)</f>
        <v>0</v>
      </c>
      <c r="K127" s="83">
        <f>VLOOKUP($B127,Rentroll!$C$11:$X$29,4,FALSE)</f>
        <v>1385.09</v>
      </c>
      <c r="L127" s="81">
        <f>VLOOKUP($B127,Rentroll!$C$11:$X$29,17,FALSE)</f>
        <v>0</v>
      </c>
      <c r="M127" s="84">
        <f>VLOOKUP($B127,Rentroll!$C$11:$X$29,18,FALSE)</f>
        <v>0</v>
      </c>
      <c r="O127" s="74">
        <f t="shared" si="74"/>
        <v>3</v>
      </c>
      <c r="P127" s="75"/>
      <c r="Q127" s="75"/>
      <c r="R127" s="75">
        <f t="shared" ref="R127:AW127" si="114">R33*(IF($D127&gt;R$14,0,ROUNDUP(YEARFRAC($D127,R$14),0)-DATEDIF($D127,$R$14,"y")))</f>
        <v>0</v>
      </c>
      <c r="S127" s="75">
        <f t="shared" si="114"/>
        <v>0</v>
      </c>
      <c r="T127" s="75">
        <f t="shared" si="114"/>
        <v>0</v>
      </c>
      <c r="U127" s="75">
        <f t="shared" si="114"/>
        <v>0</v>
      </c>
      <c r="V127" s="75">
        <f t="shared" si="114"/>
        <v>0</v>
      </c>
      <c r="W127" s="75">
        <f t="shared" si="114"/>
        <v>0</v>
      </c>
      <c r="X127" s="75">
        <f t="shared" si="114"/>
        <v>0</v>
      </c>
      <c r="Y127" s="75">
        <f t="shared" si="114"/>
        <v>0</v>
      </c>
      <c r="Z127" s="75">
        <f t="shared" si="114"/>
        <v>0</v>
      </c>
      <c r="AA127" s="75">
        <f t="shared" si="114"/>
        <v>0</v>
      </c>
      <c r="AB127" s="75">
        <f t="shared" si="114"/>
        <v>0</v>
      </c>
      <c r="AC127" s="75">
        <f t="shared" si="114"/>
        <v>0</v>
      </c>
      <c r="AD127" s="75">
        <f t="shared" si="114"/>
        <v>0</v>
      </c>
      <c r="AE127" s="75">
        <f t="shared" si="114"/>
        <v>0</v>
      </c>
      <c r="AF127" s="75">
        <f t="shared" si="114"/>
        <v>0</v>
      </c>
      <c r="AG127" s="75">
        <f t="shared" si="114"/>
        <v>0</v>
      </c>
      <c r="AH127" s="75">
        <f t="shared" si="114"/>
        <v>0</v>
      </c>
      <c r="AI127" s="75">
        <f t="shared" si="114"/>
        <v>0</v>
      </c>
      <c r="AJ127" s="75">
        <f t="shared" si="114"/>
        <v>0</v>
      </c>
      <c r="AK127" s="75">
        <f t="shared" si="114"/>
        <v>0</v>
      </c>
      <c r="AL127" s="75">
        <f t="shared" si="114"/>
        <v>0</v>
      </c>
      <c r="AM127" s="75">
        <f t="shared" si="114"/>
        <v>0</v>
      </c>
      <c r="AN127" s="75">
        <f t="shared" si="114"/>
        <v>0</v>
      </c>
      <c r="AO127" s="75">
        <f t="shared" si="114"/>
        <v>0</v>
      </c>
      <c r="AP127" s="75">
        <f t="shared" si="114"/>
        <v>0</v>
      </c>
      <c r="AQ127" s="75">
        <f t="shared" si="114"/>
        <v>0</v>
      </c>
      <c r="AR127" s="75">
        <f t="shared" si="114"/>
        <v>0</v>
      </c>
      <c r="AS127" s="75">
        <f t="shared" si="114"/>
        <v>0</v>
      </c>
      <c r="AT127" s="75">
        <f t="shared" si="114"/>
        <v>0</v>
      </c>
      <c r="AU127" s="75">
        <f t="shared" si="114"/>
        <v>0</v>
      </c>
      <c r="AV127" s="75">
        <f t="shared" si="114"/>
        <v>0</v>
      </c>
      <c r="AW127" s="75">
        <f t="shared" si="114"/>
        <v>0</v>
      </c>
      <c r="AX127" s="75">
        <f t="shared" ref="AX127:CC127" si="115">AX33*(IF($D127&gt;AX$14,0,ROUNDUP(YEARFRAC($D127,AX$14),0)-DATEDIF($D127,$R$14,"y")))</f>
        <v>0</v>
      </c>
      <c r="AY127" s="75">
        <f t="shared" si="115"/>
        <v>0</v>
      </c>
      <c r="AZ127" s="75">
        <f t="shared" si="115"/>
        <v>0</v>
      </c>
      <c r="BA127" s="75">
        <f t="shared" si="115"/>
        <v>0</v>
      </c>
      <c r="BB127" s="75">
        <f t="shared" si="115"/>
        <v>0</v>
      </c>
      <c r="BC127" s="75">
        <f t="shared" si="115"/>
        <v>0</v>
      </c>
      <c r="BD127" s="75">
        <f t="shared" si="115"/>
        <v>0</v>
      </c>
      <c r="BE127" s="75">
        <f t="shared" si="115"/>
        <v>0</v>
      </c>
      <c r="BF127" s="75">
        <f t="shared" si="115"/>
        <v>0</v>
      </c>
      <c r="BG127" s="75">
        <f t="shared" si="115"/>
        <v>0</v>
      </c>
      <c r="BH127" s="75">
        <f t="shared" si="115"/>
        <v>0</v>
      </c>
      <c r="BI127" s="75">
        <f t="shared" si="115"/>
        <v>0</v>
      </c>
      <c r="BJ127" s="75">
        <f t="shared" si="115"/>
        <v>0</v>
      </c>
      <c r="BK127" s="75">
        <f t="shared" si="115"/>
        <v>0</v>
      </c>
      <c r="BL127" s="75">
        <f t="shared" si="115"/>
        <v>0</v>
      </c>
      <c r="BM127" s="75">
        <f t="shared" si="115"/>
        <v>0</v>
      </c>
      <c r="BN127" s="75">
        <f t="shared" si="115"/>
        <v>0</v>
      </c>
      <c r="BO127" s="75">
        <f t="shared" si="115"/>
        <v>0</v>
      </c>
      <c r="BP127" s="75">
        <f t="shared" si="115"/>
        <v>0</v>
      </c>
      <c r="BQ127" s="75">
        <f t="shared" si="115"/>
        <v>0</v>
      </c>
      <c r="BR127" s="75">
        <f t="shared" si="115"/>
        <v>0</v>
      </c>
      <c r="BS127" s="75">
        <f t="shared" si="115"/>
        <v>0</v>
      </c>
      <c r="BT127" s="75">
        <f t="shared" si="115"/>
        <v>0</v>
      </c>
      <c r="BU127" s="75">
        <f t="shared" si="115"/>
        <v>0</v>
      </c>
      <c r="BV127" s="75">
        <f t="shared" si="115"/>
        <v>0</v>
      </c>
      <c r="BW127" s="75">
        <f t="shared" si="115"/>
        <v>0</v>
      </c>
      <c r="BX127" s="75">
        <f t="shared" si="115"/>
        <v>0</v>
      </c>
      <c r="BY127" s="75">
        <f t="shared" si="115"/>
        <v>0</v>
      </c>
      <c r="BZ127" s="75">
        <f t="shared" si="115"/>
        <v>0</v>
      </c>
      <c r="CA127" s="75">
        <f t="shared" si="115"/>
        <v>0</v>
      </c>
      <c r="CB127" s="75">
        <f t="shared" si="115"/>
        <v>0</v>
      </c>
      <c r="CC127" s="75">
        <f t="shared" si="115"/>
        <v>0</v>
      </c>
      <c r="CD127" s="75">
        <f t="shared" ref="CD127:DL127" si="116">CD33*(IF($D127&gt;CD$14,0,ROUNDUP(YEARFRAC($D127,CD$14),0)-DATEDIF($D127,$R$14,"y")))</f>
        <v>0</v>
      </c>
      <c r="CE127" s="75">
        <f t="shared" si="116"/>
        <v>0</v>
      </c>
      <c r="CF127" s="75">
        <f t="shared" si="116"/>
        <v>0</v>
      </c>
      <c r="CG127" s="75">
        <f t="shared" si="116"/>
        <v>0</v>
      </c>
      <c r="CH127" s="75">
        <f t="shared" si="116"/>
        <v>0</v>
      </c>
      <c r="CI127" s="75">
        <f t="shared" si="116"/>
        <v>0</v>
      </c>
      <c r="CJ127" s="75">
        <f t="shared" si="116"/>
        <v>0</v>
      </c>
      <c r="CK127" s="75">
        <f t="shared" si="116"/>
        <v>0</v>
      </c>
      <c r="CL127" s="75">
        <f t="shared" si="116"/>
        <v>0</v>
      </c>
      <c r="CM127" s="75">
        <f t="shared" si="116"/>
        <v>0</v>
      </c>
      <c r="CN127" s="75">
        <f t="shared" si="116"/>
        <v>0</v>
      </c>
      <c r="CO127" s="75">
        <f t="shared" si="116"/>
        <v>0</v>
      </c>
      <c r="CP127" s="75">
        <f t="shared" si="116"/>
        <v>0</v>
      </c>
      <c r="CQ127" s="75">
        <f t="shared" si="116"/>
        <v>0</v>
      </c>
      <c r="CR127" s="75">
        <f t="shared" si="116"/>
        <v>0</v>
      </c>
      <c r="CS127" s="75">
        <f t="shared" si="116"/>
        <v>0</v>
      </c>
      <c r="CT127" s="75">
        <f t="shared" si="116"/>
        <v>0</v>
      </c>
      <c r="CU127" s="75">
        <f t="shared" si="116"/>
        <v>0</v>
      </c>
      <c r="CV127" s="75">
        <f t="shared" si="116"/>
        <v>0</v>
      </c>
      <c r="CW127" s="75">
        <f t="shared" si="116"/>
        <v>0</v>
      </c>
      <c r="CX127" s="75">
        <f t="shared" si="116"/>
        <v>0</v>
      </c>
      <c r="CY127" s="75">
        <f t="shared" si="116"/>
        <v>0</v>
      </c>
      <c r="CZ127" s="75">
        <f t="shared" si="116"/>
        <v>0</v>
      </c>
      <c r="DA127" s="75">
        <f t="shared" si="116"/>
        <v>0</v>
      </c>
      <c r="DB127" s="75">
        <f t="shared" si="116"/>
        <v>0</v>
      </c>
      <c r="DC127" s="75">
        <f t="shared" si="116"/>
        <v>0</v>
      </c>
      <c r="DD127" s="75">
        <f t="shared" si="116"/>
        <v>0</v>
      </c>
      <c r="DE127" s="75">
        <f t="shared" si="116"/>
        <v>0</v>
      </c>
      <c r="DF127" s="75">
        <f t="shared" si="116"/>
        <v>0</v>
      </c>
      <c r="DG127" s="75">
        <f t="shared" si="116"/>
        <v>0</v>
      </c>
      <c r="DH127" s="75">
        <f t="shared" si="116"/>
        <v>0</v>
      </c>
      <c r="DI127" s="75">
        <f t="shared" si="116"/>
        <v>0</v>
      </c>
      <c r="DJ127" s="75">
        <f t="shared" si="116"/>
        <v>0</v>
      </c>
      <c r="DK127" s="75">
        <f t="shared" si="116"/>
        <v>0</v>
      </c>
      <c r="DL127" s="75">
        <f t="shared" si="116"/>
        <v>0</v>
      </c>
    </row>
    <row r="128" spans="2:116">
      <c r="B128" s="27">
        <f>Rentroll!$C$26</f>
        <v>2</v>
      </c>
      <c r="C128" s="69" t="str">
        <f>VLOOKUP($B128,Rentroll!$C$11:$X$29,3,FALSE)</f>
        <v>공실</v>
      </c>
      <c r="D128" s="80"/>
      <c r="E128" s="80"/>
      <c r="F128" s="81">
        <f>VLOOKUP($B128,Rentroll!$C$11:$X$29,11,FALSE)</f>
        <v>0</v>
      </c>
      <c r="G128" s="69">
        <f>VLOOKUP($B128,Rentroll!$C$11:$X$29,13,FALSE)</f>
        <v>0</v>
      </c>
      <c r="H128" s="69">
        <f>VLOOKUP($B128,Rentroll!$C$11:$X$29,14,FALSE)</f>
        <v>0</v>
      </c>
      <c r="I128" s="69">
        <f>VLOOKUP($B128,Rentroll!$C$11:$X$29,15,FALSE)</f>
        <v>0</v>
      </c>
      <c r="J128" s="82">
        <f>VLOOKUP($B128,Rentroll!$C$11:$X$29,19,FALSE)</f>
        <v>0</v>
      </c>
      <c r="K128" s="83">
        <f>VLOOKUP($B128,Rentroll!$C$11:$X$29,4,FALSE)</f>
        <v>1385.09</v>
      </c>
      <c r="L128" s="81">
        <f>VLOOKUP($B128,Rentroll!$C$11:$X$29,17,FALSE)</f>
        <v>0</v>
      </c>
      <c r="M128" s="84">
        <f>VLOOKUP($B128,Rentroll!$C$11:$X$29,18,FALSE)</f>
        <v>0</v>
      </c>
      <c r="O128" s="74">
        <f t="shared" si="74"/>
        <v>2</v>
      </c>
      <c r="P128" s="75"/>
      <c r="Q128" s="75"/>
      <c r="R128" s="75">
        <f t="shared" ref="R128:AW128" si="117">R34*(IF($D128&gt;R$14,0,ROUNDUP(YEARFRAC($D128,R$14),0)-DATEDIF($D128,$R$14,"y")))</f>
        <v>0</v>
      </c>
      <c r="S128" s="75">
        <f t="shared" si="117"/>
        <v>0</v>
      </c>
      <c r="T128" s="75">
        <f t="shared" si="117"/>
        <v>0</v>
      </c>
      <c r="U128" s="75">
        <f t="shared" si="117"/>
        <v>0</v>
      </c>
      <c r="V128" s="75">
        <f t="shared" si="117"/>
        <v>0</v>
      </c>
      <c r="W128" s="75">
        <f t="shared" si="117"/>
        <v>0</v>
      </c>
      <c r="X128" s="75">
        <f t="shared" si="117"/>
        <v>0</v>
      </c>
      <c r="Y128" s="75">
        <f t="shared" si="117"/>
        <v>0</v>
      </c>
      <c r="Z128" s="75">
        <f t="shared" si="117"/>
        <v>0</v>
      </c>
      <c r="AA128" s="75">
        <f t="shared" si="117"/>
        <v>0</v>
      </c>
      <c r="AB128" s="75">
        <f t="shared" si="117"/>
        <v>0</v>
      </c>
      <c r="AC128" s="75">
        <f t="shared" si="117"/>
        <v>0</v>
      </c>
      <c r="AD128" s="75">
        <f t="shared" si="117"/>
        <v>0</v>
      </c>
      <c r="AE128" s="75">
        <f t="shared" si="117"/>
        <v>0</v>
      </c>
      <c r="AF128" s="75">
        <f t="shared" si="117"/>
        <v>0</v>
      </c>
      <c r="AG128" s="75">
        <f t="shared" si="117"/>
        <v>0</v>
      </c>
      <c r="AH128" s="75">
        <f t="shared" si="117"/>
        <v>0</v>
      </c>
      <c r="AI128" s="75">
        <f t="shared" si="117"/>
        <v>0</v>
      </c>
      <c r="AJ128" s="75">
        <f t="shared" si="117"/>
        <v>0</v>
      </c>
      <c r="AK128" s="75">
        <f t="shared" si="117"/>
        <v>0</v>
      </c>
      <c r="AL128" s="75">
        <f t="shared" si="117"/>
        <v>0</v>
      </c>
      <c r="AM128" s="75">
        <f t="shared" si="117"/>
        <v>0</v>
      </c>
      <c r="AN128" s="75">
        <f t="shared" si="117"/>
        <v>0</v>
      </c>
      <c r="AO128" s="75">
        <f t="shared" si="117"/>
        <v>0</v>
      </c>
      <c r="AP128" s="75">
        <f t="shared" si="117"/>
        <v>0</v>
      </c>
      <c r="AQ128" s="75">
        <f t="shared" si="117"/>
        <v>0</v>
      </c>
      <c r="AR128" s="75">
        <f t="shared" si="117"/>
        <v>0</v>
      </c>
      <c r="AS128" s="75">
        <f t="shared" si="117"/>
        <v>0</v>
      </c>
      <c r="AT128" s="75">
        <f t="shared" si="117"/>
        <v>0</v>
      </c>
      <c r="AU128" s="75">
        <f t="shared" si="117"/>
        <v>0</v>
      </c>
      <c r="AV128" s="75">
        <f t="shared" si="117"/>
        <v>0</v>
      </c>
      <c r="AW128" s="75">
        <f t="shared" si="117"/>
        <v>0</v>
      </c>
      <c r="AX128" s="75">
        <f t="shared" ref="AX128:CC128" si="118">AX34*(IF($D128&gt;AX$14,0,ROUNDUP(YEARFRAC($D128,AX$14),0)-DATEDIF($D128,$R$14,"y")))</f>
        <v>0</v>
      </c>
      <c r="AY128" s="75">
        <f t="shared" si="118"/>
        <v>0</v>
      </c>
      <c r="AZ128" s="75">
        <f t="shared" si="118"/>
        <v>0</v>
      </c>
      <c r="BA128" s="75">
        <f t="shared" si="118"/>
        <v>0</v>
      </c>
      <c r="BB128" s="75">
        <f t="shared" si="118"/>
        <v>0</v>
      </c>
      <c r="BC128" s="75">
        <f t="shared" si="118"/>
        <v>0</v>
      </c>
      <c r="BD128" s="75">
        <f t="shared" si="118"/>
        <v>0</v>
      </c>
      <c r="BE128" s="75">
        <f t="shared" si="118"/>
        <v>0</v>
      </c>
      <c r="BF128" s="75">
        <f t="shared" si="118"/>
        <v>0</v>
      </c>
      <c r="BG128" s="75">
        <f t="shared" si="118"/>
        <v>0</v>
      </c>
      <c r="BH128" s="75">
        <f t="shared" si="118"/>
        <v>0</v>
      </c>
      <c r="BI128" s="75">
        <f t="shared" si="118"/>
        <v>0</v>
      </c>
      <c r="BJ128" s="75">
        <f t="shared" si="118"/>
        <v>0</v>
      </c>
      <c r="BK128" s="75">
        <f t="shared" si="118"/>
        <v>0</v>
      </c>
      <c r="BL128" s="75">
        <f t="shared" si="118"/>
        <v>0</v>
      </c>
      <c r="BM128" s="75">
        <f t="shared" si="118"/>
        <v>0</v>
      </c>
      <c r="BN128" s="75">
        <f t="shared" si="118"/>
        <v>0</v>
      </c>
      <c r="BO128" s="75">
        <f t="shared" si="118"/>
        <v>0</v>
      </c>
      <c r="BP128" s="75">
        <f t="shared" si="118"/>
        <v>0</v>
      </c>
      <c r="BQ128" s="75">
        <f t="shared" si="118"/>
        <v>0</v>
      </c>
      <c r="BR128" s="75">
        <f t="shared" si="118"/>
        <v>0</v>
      </c>
      <c r="BS128" s="75">
        <f t="shared" si="118"/>
        <v>0</v>
      </c>
      <c r="BT128" s="75">
        <f t="shared" si="118"/>
        <v>0</v>
      </c>
      <c r="BU128" s="75">
        <f t="shared" si="118"/>
        <v>0</v>
      </c>
      <c r="BV128" s="75">
        <f t="shared" si="118"/>
        <v>0</v>
      </c>
      <c r="BW128" s="75">
        <f t="shared" si="118"/>
        <v>0</v>
      </c>
      <c r="BX128" s="75">
        <f t="shared" si="118"/>
        <v>0</v>
      </c>
      <c r="BY128" s="75">
        <f t="shared" si="118"/>
        <v>0</v>
      </c>
      <c r="BZ128" s="75">
        <f t="shared" si="118"/>
        <v>0</v>
      </c>
      <c r="CA128" s="75">
        <f t="shared" si="118"/>
        <v>0</v>
      </c>
      <c r="CB128" s="75">
        <f t="shared" si="118"/>
        <v>0</v>
      </c>
      <c r="CC128" s="75">
        <f t="shared" si="118"/>
        <v>0</v>
      </c>
      <c r="CD128" s="75">
        <f t="shared" ref="CD128:DL128" si="119">CD34*(IF($D128&gt;CD$14,0,ROUNDUP(YEARFRAC($D128,CD$14),0)-DATEDIF($D128,$R$14,"y")))</f>
        <v>0</v>
      </c>
      <c r="CE128" s="75">
        <f t="shared" si="119"/>
        <v>0</v>
      </c>
      <c r="CF128" s="75">
        <f t="shared" si="119"/>
        <v>0</v>
      </c>
      <c r="CG128" s="75">
        <f t="shared" si="119"/>
        <v>0</v>
      </c>
      <c r="CH128" s="75">
        <f t="shared" si="119"/>
        <v>0</v>
      </c>
      <c r="CI128" s="75">
        <f t="shared" si="119"/>
        <v>0</v>
      </c>
      <c r="CJ128" s="75">
        <f t="shared" si="119"/>
        <v>0</v>
      </c>
      <c r="CK128" s="75">
        <f t="shared" si="119"/>
        <v>0</v>
      </c>
      <c r="CL128" s="75">
        <f t="shared" si="119"/>
        <v>0</v>
      </c>
      <c r="CM128" s="75">
        <f t="shared" si="119"/>
        <v>0</v>
      </c>
      <c r="CN128" s="75">
        <f t="shared" si="119"/>
        <v>0</v>
      </c>
      <c r="CO128" s="75">
        <f t="shared" si="119"/>
        <v>0</v>
      </c>
      <c r="CP128" s="75">
        <f t="shared" si="119"/>
        <v>0</v>
      </c>
      <c r="CQ128" s="75">
        <f t="shared" si="119"/>
        <v>0</v>
      </c>
      <c r="CR128" s="75">
        <f t="shared" si="119"/>
        <v>0</v>
      </c>
      <c r="CS128" s="75">
        <f t="shared" si="119"/>
        <v>0</v>
      </c>
      <c r="CT128" s="75">
        <f t="shared" si="119"/>
        <v>0</v>
      </c>
      <c r="CU128" s="75">
        <f t="shared" si="119"/>
        <v>0</v>
      </c>
      <c r="CV128" s="75">
        <f t="shared" si="119"/>
        <v>0</v>
      </c>
      <c r="CW128" s="75">
        <f t="shared" si="119"/>
        <v>0</v>
      </c>
      <c r="CX128" s="75">
        <f t="shared" si="119"/>
        <v>0</v>
      </c>
      <c r="CY128" s="75">
        <f t="shared" si="119"/>
        <v>0</v>
      </c>
      <c r="CZ128" s="75">
        <f t="shared" si="119"/>
        <v>0</v>
      </c>
      <c r="DA128" s="75">
        <f t="shared" si="119"/>
        <v>0</v>
      </c>
      <c r="DB128" s="75">
        <f t="shared" si="119"/>
        <v>0</v>
      </c>
      <c r="DC128" s="75">
        <f t="shared" si="119"/>
        <v>0</v>
      </c>
      <c r="DD128" s="75">
        <f t="shared" si="119"/>
        <v>0</v>
      </c>
      <c r="DE128" s="75">
        <f t="shared" si="119"/>
        <v>0</v>
      </c>
      <c r="DF128" s="75">
        <f t="shared" si="119"/>
        <v>0</v>
      </c>
      <c r="DG128" s="75">
        <f t="shared" si="119"/>
        <v>0</v>
      </c>
      <c r="DH128" s="75">
        <f t="shared" si="119"/>
        <v>0</v>
      </c>
      <c r="DI128" s="75">
        <f t="shared" si="119"/>
        <v>0</v>
      </c>
      <c r="DJ128" s="75">
        <f t="shared" si="119"/>
        <v>0</v>
      </c>
      <c r="DK128" s="75">
        <f t="shared" si="119"/>
        <v>0</v>
      </c>
      <c r="DL128" s="75">
        <f t="shared" si="119"/>
        <v>0</v>
      </c>
    </row>
    <row r="129" spans="2:116">
      <c r="B129" s="27">
        <f>Rentroll!$C$27</f>
        <v>1</v>
      </c>
      <c r="C129" s="69" t="str">
        <f>VLOOKUP($B129,Rentroll!$C$11:$X$29,3,FALSE)</f>
        <v>파파 커피앤도넛</v>
      </c>
      <c r="D129" s="80">
        <f>VLOOKUP($B129,Rentroll!$C$11:$X$29,9,FALSE)</f>
        <v>42064</v>
      </c>
      <c r="E129" s="80">
        <f>VLOOKUP($B129,Rentroll!$C$11:$X$29,10,FALSE)</f>
        <v>45716</v>
      </c>
      <c r="F129" s="81">
        <f>VLOOKUP($B129,Rentroll!$C$11:$X$29,11,FALSE)</f>
        <v>120</v>
      </c>
      <c r="G129" s="69">
        <f>VLOOKUP($B129,Rentroll!$C$11:$X$29,13,FALSE)</f>
        <v>91334</v>
      </c>
      <c r="H129" s="69">
        <f>VLOOKUP($B129,Rentroll!$C$11:$X$29,14,FALSE)</f>
        <v>83722.833333333328</v>
      </c>
      <c r="I129" s="69">
        <f>VLOOKUP($B129,Rentroll!$C$11:$X$29,15,FALSE)</f>
        <v>39143</v>
      </c>
      <c r="J129" s="82">
        <f>VLOOKUP($B129,Rentroll!$C$11:$X$29,19,FALSE)</f>
        <v>0.03</v>
      </c>
      <c r="K129" s="83">
        <f>VLOOKUP($B129,Rentroll!$C$11:$X$29,4,FALSE)</f>
        <v>969.56</v>
      </c>
      <c r="L129" s="81">
        <f>VLOOKUP($B129,Rentroll!$C$11:$X$29,17,FALSE)</f>
        <v>0</v>
      </c>
      <c r="M129" s="84">
        <f>VLOOKUP($B129,Rentroll!$C$11:$X$29,18,FALSE)</f>
        <v>1</v>
      </c>
      <c r="O129" s="74">
        <f t="shared" si="74"/>
        <v>1</v>
      </c>
      <c r="P129" s="75"/>
      <c r="Q129" s="75"/>
      <c r="R129" s="75">
        <f t="shared" ref="R129:AW129" si="120">R35*(IF($D129&gt;R$14,0,ROUNDUP(YEARFRAC($D129,R$14),0)-DATEDIF($D129,$R$14,"y")))</f>
        <v>0</v>
      </c>
      <c r="S129" s="75">
        <f t="shared" si="120"/>
        <v>1</v>
      </c>
      <c r="T129" s="75">
        <f t="shared" si="120"/>
        <v>0</v>
      </c>
      <c r="U129" s="75">
        <f t="shared" si="120"/>
        <v>0</v>
      </c>
      <c r="V129" s="75">
        <f t="shared" si="120"/>
        <v>0</v>
      </c>
      <c r="W129" s="75">
        <f t="shared" si="120"/>
        <v>0</v>
      </c>
      <c r="X129" s="75">
        <f t="shared" si="120"/>
        <v>0</v>
      </c>
      <c r="Y129" s="75">
        <f t="shared" si="120"/>
        <v>0</v>
      </c>
      <c r="Z129" s="75">
        <f t="shared" si="120"/>
        <v>0</v>
      </c>
      <c r="AA129" s="75">
        <f t="shared" si="120"/>
        <v>0</v>
      </c>
      <c r="AB129" s="75">
        <f t="shared" si="120"/>
        <v>0</v>
      </c>
      <c r="AC129" s="75">
        <f t="shared" si="120"/>
        <v>0</v>
      </c>
      <c r="AD129" s="75">
        <f t="shared" si="120"/>
        <v>0</v>
      </c>
      <c r="AE129" s="75">
        <f t="shared" si="120"/>
        <v>0</v>
      </c>
      <c r="AF129" s="75">
        <f t="shared" si="120"/>
        <v>0</v>
      </c>
      <c r="AG129" s="75">
        <f t="shared" si="120"/>
        <v>0</v>
      </c>
      <c r="AH129" s="75">
        <f t="shared" si="120"/>
        <v>0</v>
      </c>
      <c r="AI129" s="75">
        <f t="shared" si="120"/>
        <v>0</v>
      </c>
      <c r="AJ129" s="75">
        <f t="shared" si="120"/>
        <v>0</v>
      </c>
      <c r="AK129" s="75">
        <f t="shared" si="120"/>
        <v>0</v>
      </c>
      <c r="AL129" s="75">
        <f t="shared" si="120"/>
        <v>0</v>
      </c>
      <c r="AM129" s="75">
        <f t="shared" si="120"/>
        <v>0</v>
      </c>
      <c r="AN129" s="75">
        <f t="shared" si="120"/>
        <v>0</v>
      </c>
      <c r="AO129" s="75">
        <f t="shared" si="120"/>
        <v>0</v>
      </c>
      <c r="AP129" s="75">
        <f t="shared" si="120"/>
        <v>0</v>
      </c>
      <c r="AQ129" s="75">
        <f t="shared" si="120"/>
        <v>0</v>
      </c>
      <c r="AR129" s="75">
        <f t="shared" si="120"/>
        <v>0</v>
      </c>
      <c r="AS129" s="75">
        <f t="shared" si="120"/>
        <v>0</v>
      </c>
      <c r="AT129" s="75">
        <f t="shared" si="120"/>
        <v>0</v>
      </c>
      <c r="AU129" s="75">
        <f t="shared" si="120"/>
        <v>0</v>
      </c>
      <c r="AV129" s="75">
        <f t="shared" si="120"/>
        <v>0</v>
      </c>
      <c r="AW129" s="75">
        <f t="shared" si="120"/>
        <v>0</v>
      </c>
      <c r="AX129" s="75">
        <f t="shared" ref="AX129:CC129" si="121">AX35*(IF($D129&gt;AX$14,0,ROUNDUP(YEARFRAC($D129,AX$14),0)-DATEDIF($D129,$R$14,"y")))</f>
        <v>0</v>
      </c>
      <c r="AY129" s="75">
        <f t="shared" si="121"/>
        <v>0</v>
      </c>
      <c r="AZ129" s="75">
        <f t="shared" si="121"/>
        <v>0</v>
      </c>
      <c r="BA129" s="75">
        <f t="shared" si="121"/>
        <v>0</v>
      </c>
      <c r="BB129" s="75">
        <f t="shared" si="121"/>
        <v>0</v>
      </c>
      <c r="BC129" s="75">
        <f t="shared" si="121"/>
        <v>0</v>
      </c>
      <c r="BD129" s="75">
        <f t="shared" si="121"/>
        <v>0</v>
      </c>
      <c r="BE129" s="75">
        <f t="shared" si="121"/>
        <v>0</v>
      </c>
      <c r="BF129" s="75">
        <f t="shared" si="121"/>
        <v>0</v>
      </c>
      <c r="BG129" s="75">
        <f t="shared" si="121"/>
        <v>0</v>
      </c>
      <c r="BH129" s="75">
        <f t="shared" si="121"/>
        <v>0</v>
      </c>
      <c r="BI129" s="75">
        <f t="shared" si="121"/>
        <v>0</v>
      </c>
      <c r="BJ129" s="75">
        <f t="shared" si="121"/>
        <v>0</v>
      </c>
      <c r="BK129" s="75">
        <f t="shared" si="121"/>
        <v>0</v>
      </c>
      <c r="BL129" s="75">
        <f t="shared" si="121"/>
        <v>0</v>
      </c>
      <c r="BM129" s="75">
        <f t="shared" si="121"/>
        <v>0</v>
      </c>
      <c r="BN129" s="75">
        <f t="shared" si="121"/>
        <v>0</v>
      </c>
      <c r="BO129" s="75">
        <f t="shared" si="121"/>
        <v>0</v>
      </c>
      <c r="BP129" s="75">
        <f t="shared" si="121"/>
        <v>0</v>
      </c>
      <c r="BQ129" s="75">
        <f t="shared" si="121"/>
        <v>0</v>
      </c>
      <c r="BR129" s="75">
        <f t="shared" si="121"/>
        <v>0</v>
      </c>
      <c r="BS129" s="75">
        <f t="shared" si="121"/>
        <v>0</v>
      </c>
      <c r="BT129" s="75">
        <f t="shared" si="121"/>
        <v>0</v>
      </c>
      <c r="BU129" s="75">
        <f t="shared" si="121"/>
        <v>0</v>
      </c>
      <c r="BV129" s="75">
        <f t="shared" si="121"/>
        <v>0</v>
      </c>
      <c r="BW129" s="75">
        <f t="shared" si="121"/>
        <v>0</v>
      </c>
      <c r="BX129" s="75">
        <f t="shared" si="121"/>
        <v>0</v>
      </c>
      <c r="BY129" s="75">
        <f t="shared" si="121"/>
        <v>0</v>
      </c>
      <c r="BZ129" s="75">
        <f t="shared" si="121"/>
        <v>0</v>
      </c>
      <c r="CA129" s="75">
        <f t="shared" si="121"/>
        <v>0</v>
      </c>
      <c r="CB129" s="75">
        <f t="shared" si="121"/>
        <v>0</v>
      </c>
      <c r="CC129" s="75">
        <f t="shared" si="121"/>
        <v>0</v>
      </c>
      <c r="CD129" s="75">
        <f t="shared" ref="CD129:DL129" si="122">CD35*(IF($D129&gt;CD$14,0,ROUNDUP(YEARFRAC($D129,CD$14),0)-DATEDIF($D129,$R$14,"y")))</f>
        <v>0</v>
      </c>
      <c r="CE129" s="75">
        <f t="shared" si="122"/>
        <v>0</v>
      </c>
      <c r="CF129" s="75">
        <f t="shared" si="122"/>
        <v>0</v>
      </c>
      <c r="CG129" s="75">
        <f t="shared" si="122"/>
        <v>0</v>
      </c>
      <c r="CH129" s="75">
        <f t="shared" si="122"/>
        <v>0</v>
      </c>
      <c r="CI129" s="75">
        <f t="shared" si="122"/>
        <v>0</v>
      </c>
      <c r="CJ129" s="75">
        <f t="shared" si="122"/>
        <v>0</v>
      </c>
      <c r="CK129" s="75">
        <f t="shared" si="122"/>
        <v>0</v>
      </c>
      <c r="CL129" s="75">
        <f t="shared" si="122"/>
        <v>0</v>
      </c>
      <c r="CM129" s="75">
        <f t="shared" si="122"/>
        <v>0</v>
      </c>
      <c r="CN129" s="75">
        <f t="shared" si="122"/>
        <v>0</v>
      </c>
      <c r="CO129" s="75">
        <f t="shared" si="122"/>
        <v>0</v>
      </c>
      <c r="CP129" s="75">
        <f t="shared" si="122"/>
        <v>0</v>
      </c>
      <c r="CQ129" s="75">
        <f t="shared" si="122"/>
        <v>0</v>
      </c>
      <c r="CR129" s="75">
        <f t="shared" si="122"/>
        <v>0</v>
      </c>
      <c r="CS129" s="75">
        <f t="shared" si="122"/>
        <v>0</v>
      </c>
      <c r="CT129" s="75">
        <f t="shared" si="122"/>
        <v>0</v>
      </c>
      <c r="CU129" s="75">
        <f t="shared" si="122"/>
        <v>0</v>
      </c>
      <c r="CV129" s="75">
        <f t="shared" si="122"/>
        <v>0</v>
      </c>
      <c r="CW129" s="75">
        <f t="shared" si="122"/>
        <v>0</v>
      </c>
      <c r="CX129" s="75">
        <f t="shared" si="122"/>
        <v>0</v>
      </c>
      <c r="CY129" s="75">
        <f t="shared" si="122"/>
        <v>0</v>
      </c>
      <c r="CZ129" s="75">
        <f t="shared" si="122"/>
        <v>0</v>
      </c>
      <c r="DA129" s="75">
        <f t="shared" si="122"/>
        <v>0</v>
      </c>
      <c r="DB129" s="75">
        <f t="shared" si="122"/>
        <v>0</v>
      </c>
      <c r="DC129" s="75">
        <f t="shared" si="122"/>
        <v>0</v>
      </c>
      <c r="DD129" s="75">
        <f t="shared" si="122"/>
        <v>0</v>
      </c>
      <c r="DE129" s="75">
        <f t="shared" si="122"/>
        <v>0</v>
      </c>
      <c r="DF129" s="75">
        <f t="shared" si="122"/>
        <v>0</v>
      </c>
      <c r="DG129" s="75">
        <f t="shared" si="122"/>
        <v>0</v>
      </c>
      <c r="DH129" s="75">
        <f t="shared" si="122"/>
        <v>0</v>
      </c>
      <c r="DI129" s="75">
        <f t="shared" si="122"/>
        <v>0</v>
      </c>
      <c r="DJ129" s="75">
        <f t="shared" si="122"/>
        <v>0</v>
      </c>
      <c r="DK129" s="75">
        <f t="shared" si="122"/>
        <v>0</v>
      </c>
      <c r="DL129" s="75">
        <f t="shared" si="122"/>
        <v>0</v>
      </c>
    </row>
    <row r="130" spans="2:116">
      <c r="B130" s="27" t="str">
        <f>Rentroll!$C$28</f>
        <v>B101호</v>
      </c>
      <c r="C130" s="69" t="str">
        <f>VLOOKUP($B130,Rentroll!$C$11:$X$29,3,FALSE)</f>
        <v>퀸즈 샌드위치</v>
      </c>
      <c r="D130" s="80">
        <f>VLOOKUP($B130,Rentroll!$C$11:$X$29,9,FALSE)</f>
        <v>44926</v>
      </c>
      <c r="E130" s="80">
        <f>VLOOKUP($B130,Rentroll!$C$11:$X$29,10,FALSE)</f>
        <v>46751</v>
      </c>
      <c r="F130" s="81">
        <f>VLOOKUP($B130,Rentroll!$C$11:$X$29,11,FALSE)</f>
        <v>60</v>
      </c>
      <c r="G130" s="69">
        <f>VLOOKUP($B130,Rentroll!$C$11:$X$29,13,FALSE)</f>
        <v>21218</v>
      </c>
      <c r="H130" s="69">
        <f>VLOOKUP($B130,Rentroll!$C$11:$X$29,14,FALSE)</f>
        <v>17681.666666666668</v>
      </c>
      <c r="I130" s="69">
        <f>VLOOKUP($B130,Rentroll!$C$11:$X$29,15,FALSE)</f>
        <v>31827</v>
      </c>
      <c r="J130" s="82">
        <f>VLOOKUP($B130,Rentroll!$C$11:$X$29,19,FALSE)</f>
        <v>0.03</v>
      </c>
      <c r="K130" s="83">
        <f>VLOOKUP($B130,Rentroll!$C$11:$X$29,4,FALSE)</f>
        <v>969.56</v>
      </c>
      <c r="L130" s="81">
        <f>VLOOKUP($B130,Rentroll!$C$11:$X$29,17,FALSE)</f>
        <v>0</v>
      </c>
      <c r="M130" s="84">
        <f>VLOOKUP($B130,Rentroll!$C$11:$X$29,18,FALSE)</f>
        <v>2</v>
      </c>
      <c r="O130" s="74" t="str">
        <f t="shared" si="74"/>
        <v>B101호</v>
      </c>
      <c r="P130" s="75"/>
      <c r="Q130" s="75"/>
      <c r="R130" s="75">
        <f t="shared" ref="R130:AW130" si="123">R36*(IF($D130&gt;R$14,0,ROUNDUP(YEARFRAC($D130,R$14),0)-DATEDIF($D130,$R$14,"y")))</f>
        <v>0</v>
      </c>
      <c r="S130" s="75">
        <f t="shared" si="123"/>
        <v>1</v>
      </c>
      <c r="T130" s="75">
        <f t="shared" si="123"/>
        <v>1</v>
      </c>
      <c r="U130" s="75">
        <f t="shared" si="123"/>
        <v>1</v>
      </c>
      <c r="V130" s="75">
        <f t="shared" si="123"/>
        <v>1</v>
      </c>
      <c r="W130" s="75">
        <f t="shared" si="123"/>
        <v>1</v>
      </c>
      <c r="X130" s="75">
        <f t="shared" si="123"/>
        <v>1</v>
      </c>
      <c r="Y130" s="75">
        <f t="shared" si="123"/>
        <v>1</v>
      </c>
      <c r="Z130" s="75">
        <f t="shared" si="123"/>
        <v>1</v>
      </c>
      <c r="AA130" s="75">
        <f t="shared" si="123"/>
        <v>1</v>
      </c>
      <c r="AB130" s="75">
        <f t="shared" si="123"/>
        <v>1</v>
      </c>
      <c r="AC130" s="75">
        <f t="shared" si="123"/>
        <v>1</v>
      </c>
      <c r="AD130" s="75">
        <f t="shared" si="123"/>
        <v>2</v>
      </c>
      <c r="AE130" s="75">
        <f t="shared" si="123"/>
        <v>2</v>
      </c>
      <c r="AF130" s="75">
        <f t="shared" si="123"/>
        <v>2</v>
      </c>
      <c r="AG130" s="75">
        <f t="shared" si="123"/>
        <v>2</v>
      </c>
      <c r="AH130" s="75">
        <f t="shared" si="123"/>
        <v>2</v>
      </c>
      <c r="AI130" s="75">
        <f t="shared" si="123"/>
        <v>2</v>
      </c>
      <c r="AJ130" s="75">
        <f t="shared" si="123"/>
        <v>2</v>
      </c>
      <c r="AK130" s="75">
        <f t="shared" si="123"/>
        <v>2</v>
      </c>
      <c r="AL130" s="75">
        <f t="shared" si="123"/>
        <v>2</v>
      </c>
      <c r="AM130" s="75">
        <f t="shared" si="123"/>
        <v>2</v>
      </c>
      <c r="AN130" s="75">
        <f t="shared" si="123"/>
        <v>2</v>
      </c>
      <c r="AO130" s="75">
        <f t="shared" si="123"/>
        <v>2</v>
      </c>
      <c r="AP130" s="75">
        <f t="shared" si="123"/>
        <v>3</v>
      </c>
      <c r="AQ130" s="75">
        <f t="shared" si="123"/>
        <v>3</v>
      </c>
      <c r="AR130" s="75">
        <f t="shared" si="123"/>
        <v>3</v>
      </c>
      <c r="AS130" s="75">
        <f t="shared" si="123"/>
        <v>3</v>
      </c>
      <c r="AT130" s="75">
        <f t="shared" si="123"/>
        <v>3</v>
      </c>
      <c r="AU130" s="75">
        <f t="shared" si="123"/>
        <v>3</v>
      </c>
      <c r="AV130" s="75">
        <f t="shared" si="123"/>
        <v>3</v>
      </c>
      <c r="AW130" s="75">
        <f t="shared" si="123"/>
        <v>3</v>
      </c>
      <c r="AX130" s="75">
        <f t="shared" ref="AX130:CC130" si="124">AX36*(IF($D130&gt;AX$14,0,ROUNDUP(YEARFRAC($D130,AX$14),0)-DATEDIF($D130,$R$14,"y")))</f>
        <v>3</v>
      </c>
      <c r="AY130" s="75">
        <f t="shared" si="124"/>
        <v>3</v>
      </c>
      <c r="AZ130" s="75">
        <f t="shared" si="124"/>
        <v>3</v>
      </c>
      <c r="BA130" s="75">
        <f t="shared" si="124"/>
        <v>3</v>
      </c>
      <c r="BB130" s="75">
        <f t="shared" si="124"/>
        <v>0</v>
      </c>
      <c r="BC130" s="75">
        <f t="shared" si="124"/>
        <v>0</v>
      </c>
      <c r="BD130" s="75">
        <f t="shared" si="124"/>
        <v>0</v>
      </c>
      <c r="BE130" s="75">
        <f t="shared" si="124"/>
        <v>0</v>
      </c>
      <c r="BF130" s="75">
        <f t="shared" si="124"/>
        <v>0</v>
      </c>
      <c r="BG130" s="75">
        <f t="shared" si="124"/>
        <v>0</v>
      </c>
      <c r="BH130" s="75">
        <f t="shared" si="124"/>
        <v>0</v>
      </c>
      <c r="BI130" s="75">
        <f t="shared" si="124"/>
        <v>0</v>
      </c>
      <c r="BJ130" s="75">
        <f t="shared" si="124"/>
        <v>0</v>
      </c>
      <c r="BK130" s="75">
        <f t="shared" si="124"/>
        <v>0</v>
      </c>
      <c r="BL130" s="75">
        <f t="shared" si="124"/>
        <v>0</v>
      </c>
      <c r="BM130" s="75">
        <f t="shared" si="124"/>
        <v>0</v>
      </c>
      <c r="BN130" s="75">
        <f t="shared" si="124"/>
        <v>0</v>
      </c>
      <c r="BO130" s="75">
        <f t="shared" si="124"/>
        <v>0</v>
      </c>
      <c r="BP130" s="75">
        <f t="shared" si="124"/>
        <v>0</v>
      </c>
      <c r="BQ130" s="75">
        <f t="shared" si="124"/>
        <v>0</v>
      </c>
      <c r="BR130" s="75">
        <f t="shared" si="124"/>
        <v>0</v>
      </c>
      <c r="BS130" s="75">
        <f t="shared" si="124"/>
        <v>0</v>
      </c>
      <c r="BT130" s="75">
        <f t="shared" si="124"/>
        <v>0</v>
      </c>
      <c r="BU130" s="75">
        <f t="shared" si="124"/>
        <v>0</v>
      </c>
      <c r="BV130" s="75">
        <f t="shared" si="124"/>
        <v>0</v>
      </c>
      <c r="BW130" s="75">
        <f t="shared" si="124"/>
        <v>0</v>
      </c>
      <c r="BX130" s="75">
        <f t="shared" si="124"/>
        <v>0</v>
      </c>
      <c r="BY130" s="75">
        <f t="shared" si="124"/>
        <v>0</v>
      </c>
      <c r="BZ130" s="75">
        <f t="shared" si="124"/>
        <v>0</v>
      </c>
      <c r="CA130" s="75">
        <f t="shared" si="124"/>
        <v>0</v>
      </c>
      <c r="CB130" s="75">
        <f t="shared" si="124"/>
        <v>0</v>
      </c>
      <c r="CC130" s="75">
        <f t="shared" si="124"/>
        <v>0</v>
      </c>
      <c r="CD130" s="75">
        <f t="shared" ref="CD130:DL130" si="125">CD36*(IF($D130&gt;CD$14,0,ROUNDUP(YEARFRAC($D130,CD$14),0)-DATEDIF($D130,$R$14,"y")))</f>
        <v>0</v>
      </c>
      <c r="CE130" s="75">
        <f t="shared" si="125"/>
        <v>0</v>
      </c>
      <c r="CF130" s="75">
        <f t="shared" si="125"/>
        <v>0</v>
      </c>
      <c r="CG130" s="75">
        <f t="shared" si="125"/>
        <v>0</v>
      </c>
      <c r="CH130" s="75">
        <f t="shared" si="125"/>
        <v>0</v>
      </c>
      <c r="CI130" s="75">
        <f t="shared" si="125"/>
        <v>0</v>
      </c>
      <c r="CJ130" s="75">
        <f t="shared" si="125"/>
        <v>0</v>
      </c>
      <c r="CK130" s="75">
        <f t="shared" si="125"/>
        <v>0</v>
      </c>
      <c r="CL130" s="75">
        <f t="shared" si="125"/>
        <v>0</v>
      </c>
      <c r="CM130" s="75">
        <f t="shared" si="125"/>
        <v>0</v>
      </c>
      <c r="CN130" s="75">
        <f t="shared" si="125"/>
        <v>0</v>
      </c>
      <c r="CO130" s="75">
        <f t="shared" si="125"/>
        <v>0</v>
      </c>
      <c r="CP130" s="75">
        <f t="shared" si="125"/>
        <v>0</v>
      </c>
      <c r="CQ130" s="75">
        <f t="shared" si="125"/>
        <v>0</v>
      </c>
      <c r="CR130" s="75">
        <f t="shared" si="125"/>
        <v>0</v>
      </c>
      <c r="CS130" s="75">
        <f t="shared" si="125"/>
        <v>0</v>
      </c>
      <c r="CT130" s="75">
        <f t="shared" si="125"/>
        <v>0</v>
      </c>
      <c r="CU130" s="75">
        <f t="shared" si="125"/>
        <v>0</v>
      </c>
      <c r="CV130" s="75">
        <f t="shared" si="125"/>
        <v>0</v>
      </c>
      <c r="CW130" s="75">
        <f t="shared" si="125"/>
        <v>0</v>
      </c>
      <c r="CX130" s="75">
        <f t="shared" si="125"/>
        <v>0</v>
      </c>
      <c r="CY130" s="75">
        <f t="shared" si="125"/>
        <v>0</v>
      </c>
      <c r="CZ130" s="75">
        <f t="shared" si="125"/>
        <v>0</v>
      </c>
      <c r="DA130" s="75">
        <f t="shared" si="125"/>
        <v>0</v>
      </c>
      <c r="DB130" s="75">
        <f t="shared" si="125"/>
        <v>0</v>
      </c>
      <c r="DC130" s="75">
        <f t="shared" si="125"/>
        <v>0</v>
      </c>
      <c r="DD130" s="75">
        <f t="shared" si="125"/>
        <v>0</v>
      </c>
      <c r="DE130" s="75">
        <f t="shared" si="125"/>
        <v>0</v>
      </c>
      <c r="DF130" s="75">
        <f t="shared" si="125"/>
        <v>0</v>
      </c>
      <c r="DG130" s="75">
        <f t="shared" si="125"/>
        <v>0</v>
      </c>
      <c r="DH130" s="75">
        <f t="shared" si="125"/>
        <v>0</v>
      </c>
      <c r="DI130" s="75">
        <f t="shared" si="125"/>
        <v>0</v>
      </c>
      <c r="DJ130" s="75">
        <f t="shared" si="125"/>
        <v>0</v>
      </c>
      <c r="DK130" s="75">
        <f t="shared" si="125"/>
        <v>0</v>
      </c>
      <c r="DL130" s="75">
        <f t="shared" si="125"/>
        <v>0</v>
      </c>
    </row>
    <row r="131" spans="2:116">
      <c r="B131" s="27" t="str">
        <f>Rentroll!$C$29</f>
        <v>B102호</v>
      </c>
      <c r="C131" s="69" t="str">
        <f>VLOOKUP($B131,Rentroll!$C$11:$X$29,3,FALSE)</f>
        <v>로미오 문구점</v>
      </c>
      <c r="D131" s="80">
        <f>VLOOKUP($B131,Rentroll!$C$11:$X$29,9,FALSE)</f>
        <v>44592</v>
      </c>
      <c r="E131" s="80">
        <f>VLOOKUP($B131,Rentroll!$C$11:$X$29,10,FALSE)</f>
        <v>46417</v>
      </c>
      <c r="F131" s="81">
        <f>VLOOKUP($B131,Rentroll!$C$11:$X$29,11,FALSE)</f>
        <v>60</v>
      </c>
      <c r="G131" s="69">
        <f>VLOOKUP($B131,Rentroll!$C$11:$X$29,13,FALSE)</f>
        <v>31827</v>
      </c>
      <c r="H131" s="69">
        <f>VLOOKUP($B131,Rentroll!$C$11:$X$29,14,FALSE)</f>
        <v>23870.25</v>
      </c>
      <c r="I131" s="69">
        <f>VLOOKUP($B131,Rentroll!$C$11:$X$29,15,FALSE)</f>
        <v>31827</v>
      </c>
      <c r="J131" s="82">
        <f>VLOOKUP($B131,Rentroll!$C$11:$X$29,19,FALSE)</f>
        <v>0.03</v>
      </c>
      <c r="K131" s="83">
        <f>VLOOKUP($B131,Rentroll!$C$11:$X$29,4,FALSE)</f>
        <v>969.56</v>
      </c>
      <c r="L131" s="81">
        <f>VLOOKUP($B131,Rentroll!$C$11:$X$29,17,FALSE)</f>
        <v>0</v>
      </c>
      <c r="M131" s="84">
        <f>VLOOKUP($B131,Rentroll!$C$11:$X$29,18,FALSE)</f>
        <v>3</v>
      </c>
      <c r="O131" s="26" t="str">
        <f t="shared" si="74"/>
        <v>B102호</v>
      </c>
      <c r="P131" s="76"/>
      <c r="Q131" s="76"/>
      <c r="R131" s="76">
        <f t="shared" ref="R131:AW131" si="126">R37*(IF($D131&gt;R$14,0,ROUNDUP(YEARFRAC($D131,R$14),0)-DATEDIF($D131,$R$14,"y")))</f>
        <v>0</v>
      </c>
      <c r="S131" s="76">
        <f t="shared" si="126"/>
        <v>1</v>
      </c>
      <c r="T131" s="76">
        <f t="shared" si="126"/>
        <v>1</v>
      </c>
      <c r="U131" s="76">
        <f t="shared" si="126"/>
        <v>1</v>
      </c>
      <c r="V131" s="76">
        <f t="shared" si="126"/>
        <v>1</v>
      </c>
      <c r="W131" s="76">
        <f t="shared" si="126"/>
        <v>1</v>
      </c>
      <c r="X131" s="76">
        <f t="shared" si="126"/>
        <v>1</v>
      </c>
      <c r="Y131" s="76">
        <f t="shared" si="126"/>
        <v>1</v>
      </c>
      <c r="Z131" s="76">
        <f t="shared" si="126"/>
        <v>1</v>
      </c>
      <c r="AA131" s="76">
        <f t="shared" si="126"/>
        <v>1</v>
      </c>
      <c r="AB131" s="76">
        <f t="shared" si="126"/>
        <v>1</v>
      </c>
      <c r="AC131" s="76">
        <f t="shared" si="126"/>
        <v>1</v>
      </c>
      <c r="AD131" s="76">
        <f t="shared" si="126"/>
        <v>1</v>
      </c>
      <c r="AE131" s="76">
        <f t="shared" si="126"/>
        <v>2</v>
      </c>
      <c r="AF131" s="76">
        <f t="shared" si="126"/>
        <v>2</v>
      </c>
      <c r="AG131" s="76">
        <f t="shared" si="126"/>
        <v>2</v>
      </c>
      <c r="AH131" s="76">
        <f t="shared" si="126"/>
        <v>2</v>
      </c>
      <c r="AI131" s="76">
        <f t="shared" si="126"/>
        <v>2</v>
      </c>
      <c r="AJ131" s="76">
        <f t="shared" si="126"/>
        <v>2</v>
      </c>
      <c r="AK131" s="76">
        <f t="shared" si="126"/>
        <v>2</v>
      </c>
      <c r="AL131" s="76">
        <f t="shared" si="126"/>
        <v>2</v>
      </c>
      <c r="AM131" s="76">
        <f t="shared" si="126"/>
        <v>2</v>
      </c>
      <c r="AN131" s="76">
        <f t="shared" si="126"/>
        <v>2</v>
      </c>
      <c r="AO131" s="76">
        <f t="shared" si="126"/>
        <v>2</v>
      </c>
      <c r="AP131" s="76">
        <f t="shared" si="126"/>
        <v>2</v>
      </c>
      <c r="AQ131" s="76">
        <f t="shared" si="126"/>
        <v>0</v>
      </c>
      <c r="AR131" s="76">
        <f t="shared" si="126"/>
        <v>0</v>
      </c>
      <c r="AS131" s="76">
        <f t="shared" si="126"/>
        <v>0</v>
      </c>
      <c r="AT131" s="76">
        <f t="shared" si="126"/>
        <v>0</v>
      </c>
      <c r="AU131" s="76">
        <f t="shared" si="126"/>
        <v>0</v>
      </c>
      <c r="AV131" s="76">
        <f t="shared" si="126"/>
        <v>0</v>
      </c>
      <c r="AW131" s="76">
        <f t="shared" si="126"/>
        <v>0</v>
      </c>
      <c r="AX131" s="76">
        <f t="shared" ref="AX131:CC131" si="127">AX37*(IF($D131&gt;AX$14,0,ROUNDUP(YEARFRAC($D131,AX$14),0)-DATEDIF($D131,$R$14,"y")))</f>
        <v>0</v>
      </c>
      <c r="AY131" s="76">
        <f t="shared" si="127"/>
        <v>0</v>
      </c>
      <c r="AZ131" s="76">
        <f t="shared" si="127"/>
        <v>0</v>
      </c>
      <c r="BA131" s="76">
        <f t="shared" si="127"/>
        <v>0</v>
      </c>
      <c r="BB131" s="76">
        <f t="shared" si="127"/>
        <v>0</v>
      </c>
      <c r="BC131" s="76">
        <f t="shared" si="127"/>
        <v>0</v>
      </c>
      <c r="BD131" s="76">
        <f t="shared" si="127"/>
        <v>0</v>
      </c>
      <c r="BE131" s="76">
        <f t="shared" si="127"/>
        <v>0</v>
      </c>
      <c r="BF131" s="76">
        <f t="shared" si="127"/>
        <v>0</v>
      </c>
      <c r="BG131" s="76">
        <f t="shared" si="127"/>
        <v>0</v>
      </c>
      <c r="BH131" s="76">
        <f t="shared" si="127"/>
        <v>0</v>
      </c>
      <c r="BI131" s="76">
        <f t="shared" si="127"/>
        <v>0</v>
      </c>
      <c r="BJ131" s="76">
        <f t="shared" si="127"/>
        <v>0</v>
      </c>
      <c r="BK131" s="76">
        <f t="shared" si="127"/>
        <v>0</v>
      </c>
      <c r="BL131" s="76">
        <f t="shared" si="127"/>
        <v>0</v>
      </c>
      <c r="BM131" s="76">
        <f t="shared" si="127"/>
        <v>0</v>
      </c>
      <c r="BN131" s="76">
        <f t="shared" si="127"/>
        <v>0</v>
      </c>
      <c r="BO131" s="76">
        <f t="shared" si="127"/>
        <v>0</v>
      </c>
      <c r="BP131" s="76">
        <f t="shared" si="127"/>
        <v>0</v>
      </c>
      <c r="BQ131" s="76">
        <f t="shared" si="127"/>
        <v>0</v>
      </c>
      <c r="BR131" s="76">
        <f t="shared" si="127"/>
        <v>0</v>
      </c>
      <c r="BS131" s="76">
        <f t="shared" si="127"/>
        <v>0</v>
      </c>
      <c r="BT131" s="76">
        <f t="shared" si="127"/>
        <v>0</v>
      </c>
      <c r="BU131" s="76">
        <f t="shared" si="127"/>
        <v>0</v>
      </c>
      <c r="BV131" s="76">
        <f t="shared" si="127"/>
        <v>0</v>
      </c>
      <c r="BW131" s="76">
        <f t="shared" si="127"/>
        <v>0</v>
      </c>
      <c r="BX131" s="76">
        <f t="shared" si="127"/>
        <v>0</v>
      </c>
      <c r="BY131" s="76">
        <f t="shared" si="127"/>
        <v>0</v>
      </c>
      <c r="BZ131" s="76">
        <f t="shared" si="127"/>
        <v>0</v>
      </c>
      <c r="CA131" s="76">
        <f t="shared" si="127"/>
        <v>0</v>
      </c>
      <c r="CB131" s="76">
        <f t="shared" si="127"/>
        <v>0</v>
      </c>
      <c r="CC131" s="76">
        <f t="shared" si="127"/>
        <v>0</v>
      </c>
      <c r="CD131" s="76">
        <f t="shared" ref="CD131:DL131" si="128">CD37*(IF($D131&gt;CD$14,0,ROUNDUP(YEARFRAC($D131,CD$14),0)-DATEDIF($D131,$R$14,"y")))</f>
        <v>0</v>
      </c>
      <c r="CE131" s="76">
        <f t="shared" si="128"/>
        <v>0</v>
      </c>
      <c r="CF131" s="76">
        <f t="shared" si="128"/>
        <v>0</v>
      </c>
      <c r="CG131" s="76">
        <f t="shared" si="128"/>
        <v>0</v>
      </c>
      <c r="CH131" s="76">
        <f t="shared" si="128"/>
        <v>0</v>
      </c>
      <c r="CI131" s="76">
        <f t="shared" si="128"/>
        <v>0</v>
      </c>
      <c r="CJ131" s="76">
        <f t="shared" si="128"/>
        <v>0</v>
      </c>
      <c r="CK131" s="76">
        <f t="shared" si="128"/>
        <v>0</v>
      </c>
      <c r="CL131" s="76">
        <f t="shared" si="128"/>
        <v>0</v>
      </c>
      <c r="CM131" s="76">
        <f t="shared" si="128"/>
        <v>0</v>
      </c>
      <c r="CN131" s="76">
        <f t="shared" si="128"/>
        <v>0</v>
      </c>
      <c r="CO131" s="76">
        <f t="shared" si="128"/>
        <v>0</v>
      </c>
      <c r="CP131" s="76">
        <f t="shared" si="128"/>
        <v>0</v>
      </c>
      <c r="CQ131" s="76">
        <f t="shared" si="128"/>
        <v>0</v>
      </c>
      <c r="CR131" s="76">
        <f t="shared" si="128"/>
        <v>0</v>
      </c>
      <c r="CS131" s="76">
        <f t="shared" si="128"/>
        <v>0</v>
      </c>
      <c r="CT131" s="76">
        <f t="shared" si="128"/>
        <v>0</v>
      </c>
      <c r="CU131" s="76">
        <f t="shared" si="128"/>
        <v>0</v>
      </c>
      <c r="CV131" s="76">
        <f t="shared" si="128"/>
        <v>0</v>
      </c>
      <c r="CW131" s="76">
        <f t="shared" si="128"/>
        <v>0</v>
      </c>
      <c r="CX131" s="76">
        <f t="shared" si="128"/>
        <v>0</v>
      </c>
      <c r="CY131" s="76">
        <f t="shared" si="128"/>
        <v>0</v>
      </c>
      <c r="CZ131" s="76">
        <f t="shared" si="128"/>
        <v>0</v>
      </c>
      <c r="DA131" s="76">
        <f t="shared" si="128"/>
        <v>0</v>
      </c>
      <c r="DB131" s="76">
        <f t="shared" si="128"/>
        <v>0</v>
      </c>
      <c r="DC131" s="76">
        <f t="shared" si="128"/>
        <v>0</v>
      </c>
      <c r="DD131" s="76">
        <f t="shared" si="128"/>
        <v>0</v>
      </c>
      <c r="DE131" s="76">
        <f t="shared" si="128"/>
        <v>0</v>
      </c>
      <c r="DF131" s="76">
        <f t="shared" si="128"/>
        <v>0</v>
      </c>
      <c r="DG131" s="76">
        <f t="shared" si="128"/>
        <v>0</v>
      </c>
      <c r="DH131" s="76">
        <f t="shared" si="128"/>
        <v>0</v>
      </c>
      <c r="DI131" s="76">
        <f t="shared" si="128"/>
        <v>0</v>
      </c>
      <c r="DJ131" s="76">
        <f t="shared" si="128"/>
        <v>0</v>
      </c>
      <c r="DK131" s="76">
        <f t="shared" si="128"/>
        <v>0</v>
      </c>
      <c r="DL131" s="76">
        <f t="shared" si="128"/>
        <v>0</v>
      </c>
    </row>
    <row r="132" spans="2:116">
      <c r="B132" s="70" t="s">
        <v>47</v>
      </c>
      <c r="C132" s="71" t="s">
        <v>49</v>
      </c>
      <c r="D132" s="71" t="s">
        <v>97</v>
      </c>
      <c r="E132" s="71" t="s">
        <v>98</v>
      </c>
      <c r="F132" s="71" t="s">
        <v>84</v>
      </c>
      <c r="G132" s="71" t="s">
        <v>104</v>
      </c>
      <c r="H132" s="71" t="s">
        <v>105</v>
      </c>
      <c r="I132" s="71" t="s">
        <v>103</v>
      </c>
      <c r="J132" s="71" t="s">
        <v>99</v>
      </c>
      <c r="K132" s="71" t="s">
        <v>102</v>
      </c>
      <c r="L132" s="71" t="s">
        <v>100</v>
      </c>
      <c r="M132" s="72" t="s">
        <v>101</v>
      </c>
      <c r="O132" s="4" t="s">
        <v>108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</row>
    <row r="133" spans="2:116">
      <c r="B133" s="27">
        <f>Rentroll!$C$37</f>
        <v>17</v>
      </c>
      <c r="C133" s="69" t="str">
        <f>VLOOKUP($B133,Rentroll!$C$37:$Z$60,3,FALSE)</f>
        <v>리마 상사</v>
      </c>
      <c r="D133" s="80">
        <f>VLOOKUP($B133,Rentroll!$C$37:$Z$60,9,FALSE)</f>
        <v>47149</v>
      </c>
      <c r="E133" s="80">
        <f>VLOOKUP($B133,Rentroll!$C$37:$Z$60,10,FALSE)</f>
        <v>48975</v>
      </c>
      <c r="F133" s="81">
        <f>VLOOKUP($B133,Rentroll!$C$37:$Z$60,11,FALSE)</f>
        <v>60</v>
      </c>
      <c r="G133" s="69">
        <f>VLOOKUP($B133,Rentroll!$C$37:$Z$60,13,FALSE)</f>
        <v>115927.40742999999</v>
      </c>
      <c r="H133" s="69">
        <f>VLOOKUP($B133,Rentroll!$C$37:$Z$60,14,FALSE)</f>
        <v>106266.79014416666</v>
      </c>
      <c r="I133" s="69">
        <f>VLOOKUP($B133,Rentroll!$C$37:$Z$60,15,FALSE)</f>
        <v>50647.896449999993</v>
      </c>
      <c r="J133" s="82">
        <f>VLOOKUP($B133,Rentroll!$C$37:$Z$60,19,FALSE)</f>
        <v>0.03</v>
      </c>
      <c r="K133" s="83">
        <f>VLOOKUP($B133,Rentroll!$C$37:$Z$60,4,FALSE)</f>
        <v>1385.09</v>
      </c>
      <c r="L133" s="81">
        <f>VLOOKUP($B133,Rentroll!$C$37:$Z$60,17,FALSE)</f>
        <v>0</v>
      </c>
      <c r="M133" s="84">
        <f>VLOOKUP($B133,Rentroll!$C$37:$Z$60,18,FALSE)</f>
        <v>1</v>
      </c>
      <c r="O133" s="46">
        <f>B133</f>
        <v>17</v>
      </c>
      <c r="P133" s="73"/>
      <c r="Q133" s="73"/>
      <c r="R133" s="73">
        <f t="shared" ref="R133:AW133" si="129">(IF($D133&gt;R$14,0,ROUNDUP(YEARFRAC($D133,R$14),0)))*R39</f>
        <v>0</v>
      </c>
      <c r="S133" s="73">
        <f t="shared" si="129"/>
        <v>0</v>
      </c>
      <c r="T133" s="73">
        <f t="shared" si="129"/>
        <v>0</v>
      </c>
      <c r="U133" s="73">
        <f t="shared" si="129"/>
        <v>0</v>
      </c>
      <c r="V133" s="73">
        <f t="shared" si="129"/>
        <v>0</v>
      </c>
      <c r="W133" s="73">
        <f t="shared" si="129"/>
        <v>0</v>
      </c>
      <c r="X133" s="73">
        <f t="shared" si="129"/>
        <v>0</v>
      </c>
      <c r="Y133" s="73">
        <f t="shared" si="129"/>
        <v>0</v>
      </c>
      <c r="Z133" s="73">
        <f t="shared" si="129"/>
        <v>0</v>
      </c>
      <c r="AA133" s="73">
        <f t="shared" si="129"/>
        <v>0</v>
      </c>
      <c r="AB133" s="73">
        <f t="shared" si="129"/>
        <v>0</v>
      </c>
      <c r="AC133" s="73">
        <f t="shared" si="129"/>
        <v>0</v>
      </c>
      <c r="AD133" s="73">
        <f t="shared" si="129"/>
        <v>0</v>
      </c>
      <c r="AE133" s="73">
        <f t="shared" si="129"/>
        <v>0</v>
      </c>
      <c r="AF133" s="73">
        <f t="shared" si="129"/>
        <v>0</v>
      </c>
      <c r="AG133" s="73">
        <f t="shared" si="129"/>
        <v>0</v>
      </c>
      <c r="AH133" s="73">
        <f t="shared" si="129"/>
        <v>0</v>
      </c>
      <c r="AI133" s="73">
        <f t="shared" si="129"/>
        <v>0</v>
      </c>
      <c r="AJ133" s="73">
        <f t="shared" si="129"/>
        <v>0</v>
      </c>
      <c r="AK133" s="73">
        <f t="shared" si="129"/>
        <v>0</v>
      </c>
      <c r="AL133" s="73">
        <f t="shared" si="129"/>
        <v>0</v>
      </c>
      <c r="AM133" s="73">
        <f t="shared" si="129"/>
        <v>0</v>
      </c>
      <c r="AN133" s="73">
        <f t="shared" si="129"/>
        <v>0</v>
      </c>
      <c r="AO133" s="73">
        <f t="shared" si="129"/>
        <v>0</v>
      </c>
      <c r="AP133" s="73">
        <f t="shared" si="129"/>
        <v>0</v>
      </c>
      <c r="AQ133" s="73">
        <f t="shared" si="129"/>
        <v>0</v>
      </c>
      <c r="AR133" s="73">
        <f t="shared" si="129"/>
        <v>0</v>
      </c>
      <c r="AS133" s="73">
        <f t="shared" si="129"/>
        <v>0</v>
      </c>
      <c r="AT133" s="73">
        <f t="shared" si="129"/>
        <v>0</v>
      </c>
      <c r="AU133" s="73">
        <f t="shared" si="129"/>
        <v>0</v>
      </c>
      <c r="AV133" s="73">
        <f t="shared" si="129"/>
        <v>0</v>
      </c>
      <c r="AW133" s="73">
        <f t="shared" si="129"/>
        <v>0</v>
      </c>
      <c r="AX133" s="73">
        <f t="shared" ref="AX133:CC133" si="130">(IF($D133&gt;AX$14,0,ROUNDUP(YEARFRAC($D133,AX$14),0)))*AX39</f>
        <v>0</v>
      </c>
      <c r="AY133" s="73">
        <f t="shared" si="130"/>
        <v>0</v>
      </c>
      <c r="AZ133" s="73">
        <f t="shared" si="130"/>
        <v>0</v>
      </c>
      <c r="BA133" s="73">
        <f t="shared" si="130"/>
        <v>0</v>
      </c>
      <c r="BB133" s="73">
        <f t="shared" si="130"/>
        <v>0</v>
      </c>
      <c r="BC133" s="73">
        <f t="shared" si="130"/>
        <v>0</v>
      </c>
      <c r="BD133" s="73">
        <f t="shared" si="130"/>
        <v>0</v>
      </c>
      <c r="BE133" s="73">
        <f t="shared" si="130"/>
        <v>0</v>
      </c>
      <c r="BF133" s="73">
        <f t="shared" si="130"/>
        <v>0</v>
      </c>
      <c r="BG133" s="73">
        <f t="shared" si="130"/>
        <v>0</v>
      </c>
      <c r="BH133" s="73">
        <f t="shared" si="130"/>
        <v>0</v>
      </c>
      <c r="BI133" s="73">
        <f t="shared" si="130"/>
        <v>0</v>
      </c>
      <c r="BJ133" s="73">
        <f t="shared" si="130"/>
        <v>0</v>
      </c>
      <c r="BK133" s="73">
        <f t="shared" si="130"/>
        <v>0</v>
      </c>
      <c r="BL133" s="73">
        <f t="shared" si="130"/>
        <v>0</v>
      </c>
      <c r="BM133" s="73">
        <f t="shared" si="130"/>
        <v>0</v>
      </c>
      <c r="BN133" s="73">
        <f t="shared" si="130"/>
        <v>0</v>
      </c>
      <c r="BO133" s="73">
        <f t="shared" si="130"/>
        <v>1</v>
      </c>
      <c r="BP133" s="73">
        <f t="shared" si="130"/>
        <v>1</v>
      </c>
      <c r="BQ133" s="73">
        <f t="shared" si="130"/>
        <v>1</v>
      </c>
      <c r="BR133" s="73">
        <f t="shared" si="130"/>
        <v>1</v>
      </c>
      <c r="BS133" s="73">
        <f t="shared" si="130"/>
        <v>1</v>
      </c>
      <c r="BT133" s="73">
        <f t="shared" si="130"/>
        <v>1</v>
      </c>
      <c r="BU133" s="73">
        <f t="shared" si="130"/>
        <v>1</v>
      </c>
      <c r="BV133" s="73">
        <f t="shared" si="130"/>
        <v>1</v>
      </c>
      <c r="BW133" s="73">
        <f t="shared" si="130"/>
        <v>1</v>
      </c>
      <c r="BX133" s="73">
        <f t="shared" si="130"/>
        <v>1</v>
      </c>
      <c r="BY133" s="73">
        <f t="shared" si="130"/>
        <v>1</v>
      </c>
      <c r="BZ133" s="73">
        <f t="shared" si="130"/>
        <v>1</v>
      </c>
      <c r="CA133" s="73">
        <f t="shared" si="130"/>
        <v>0</v>
      </c>
      <c r="CB133" s="73">
        <f t="shared" si="130"/>
        <v>0</v>
      </c>
      <c r="CC133" s="73">
        <f t="shared" si="130"/>
        <v>0</v>
      </c>
      <c r="CD133" s="73">
        <f t="shared" ref="CD133:DL133" si="131">(IF($D133&gt;CD$14,0,ROUNDUP(YEARFRAC($D133,CD$14),0)))*CD39</f>
        <v>0</v>
      </c>
      <c r="CE133" s="73">
        <f t="shared" si="131"/>
        <v>0</v>
      </c>
      <c r="CF133" s="73">
        <f t="shared" si="131"/>
        <v>0</v>
      </c>
      <c r="CG133" s="73">
        <f t="shared" si="131"/>
        <v>0</v>
      </c>
      <c r="CH133" s="73">
        <f t="shared" si="131"/>
        <v>0</v>
      </c>
      <c r="CI133" s="73">
        <f t="shared" si="131"/>
        <v>0</v>
      </c>
      <c r="CJ133" s="73">
        <f t="shared" si="131"/>
        <v>0</v>
      </c>
      <c r="CK133" s="73">
        <f t="shared" si="131"/>
        <v>0</v>
      </c>
      <c r="CL133" s="73">
        <f t="shared" si="131"/>
        <v>0</v>
      </c>
      <c r="CM133" s="73">
        <f t="shared" si="131"/>
        <v>0</v>
      </c>
      <c r="CN133" s="73">
        <f t="shared" si="131"/>
        <v>0</v>
      </c>
      <c r="CO133" s="73">
        <f t="shared" si="131"/>
        <v>0</v>
      </c>
      <c r="CP133" s="73">
        <f t="shared" si="131"/>
        <v>0</v>
      </c>
      <c r="CQ133" s="73">
        <f t="shared" si="131"/>
        <v>0</v>
      </c>
      <c r="CR133" s="73">
        <f t="shared" si="131"/>
        <v>0</v>
      </c>
      <c r="CS133" s="73">
        <f t="shared" si="131"/>
        <v>0</v>
      </c>
      <c r="CT133" s="73">
        <f t="shared" si="131"/>
        <v>0</v>
      </c>
      <c r="CU133" s="73">
        <f t="shared" si="131"/>
        <v>0</v>
      </c>
      <c r="CV133" s="73">
        <f t="shared" si="131"/>
        <v>0</v>
      </c>
      <c r="CW133" s="73">
        <f t="shared" si="131"/>
        <v>0</v>
      </c>
      <c r="CX133" s="73">
        <f t="shared" si="131"/>
        <v>0</v>
      </c>
      <c r="CY133" s="73">
        <f t="shared" si="131"/>
        <v>0</v>
      </c>
      <c r="CZ133" s="73">
        <f t="shared" si="131"/>
        <v>0</v>
      </c>
      <c r="DA133" s="73">
        <f t="shared" si="131"/>
        <v>0</v>
      </c>
      <c r="DB133" s="73">
        <f t="shared" si="131"/>
        <v>0</v>
      </c>
      <c r="DC133" s="73">
        <f t="shared" si="131"/>
        <v>0</v>
      </c>
      <c r="DD133" s="73">
        <f t="shared" si="131"/>
        <v>0</v>
      </c>
      <c r="DE133" s="73">
        <f t="shared" si="131"/>
        <v>0</v>
      </c>
      <c r="DF133" s="73">
        <f t="shared" si="131"/>
        <v>0</v>
      </c>
      <c r="DG133" s="73">
        <f t="shared" si="131"/>
        <v>0</v>
      </c>
      <c r="DH133" s="73">
        <f t="shared" si="131"/>
        <v>0</v>
      </c>
      <c r="DI133" s="73">
        <f t="shared" si="131"/>
        <v>0</v>
      </c>
      <c r="DJ133" s="73">
        <f t="shared" si="131"/>
        <v>0</v>
      </c>
      <c r="DK133" s="73">
        <f t="shared" si="131"/>
        <v>0</v>
      </c>
      <c r="DL133" s="73">
        <f t="shared" si="131"/>
        <v>0</v>
      </c>
    </row>
    <row r="134" spans="2:116">
      <c r="B134" s="27">
        <f>Rentroll!$C$38</f>
        <v>16</v>
      </c>
      <c r="C134" s="69" t="str">
        <f>VLOOKUP($B134,Rentroll!$C$37:$Z$60,3,FALSE)</f>
        <v>리마 상사</v>
      </c>
      <c r="D134" s="80">
        <f>VLOOKUP($B134,Rentroll!$C$37:$Z$60,9,FALSE)</f>
        <v>47149</v>
      </c>
      <c r="E134" s="80">
        <f>VLOOKUP($B134,Rentroll!$C$37:$Z$60,10,FALSE)</f>
        <v>48975</v>
      </c>
      <c r="F134" s="81">
        <f>VLOOKUP($B134,Rentroll!$C$37:$Z$60,11,FALSE)</f>
        <v>60</v>
      </c>
      <c r="G134" s="69">
        <f>VLOOKUP($B134,Rentroll!$C$37:$Z$60,13,FALSE)</f>
        <v>115927.40742999999</v>
      </c>
      <c r="H134" s="69">
        <f>VLOOKUP($B134,Rentroll!$C$37:$Z$60,14,FALSE)</f>
        <v>106266.79014416666</v>
      </c>
      <c r="I134" s="69">
        <f>VLOOKUP($B134,Rentroll!$C$37:$Z$60,15,FALSE)</f>
        <v>50647.896449999993</v>
      </c>
      <c r="J134" s="82">
        <f>VLOOKUP($B134,Rentroll!$C$37:$Z$60,19,FALSE)</f>
        <v>0.03</v>
      </c>
      <c r="K134" s="83">
        <f>VLOOKUP($B134,Rentroll!$C$37:$Z$60,4,FALSE)</f>
        <v>1385.09</v>
      </c>
      <c r="L134" s="81">
        <f>VLOOKUP($B134,Rentroll!$C$37:$Z$60,17,FALSE)</f>
        <v>0</v>
      </c>
      <c r="M134" s="84">
        <f>VLOOKUP($B134,Rentroll!$C$37:$Z$60,18,FALSE)</f>
        <v>1</v>
      </c>
      <c r="O134" s="74">
        <f t="shared" ref="O134:O151" si="132">B134</f>
        <v>16</v>
      </c>
      <c r="P134" s="75"/>
      <c r="Q134" s="75"/>
      <c r="R134" s="75">
        <f t="shared" ref="R134:AW134" si="133">(IF($D134&gt;R$14,0,ROUNDUP(YEARFRAC($D134,R$14),0)))*R40</f>
        <v>0</v>
      </c>
      <c r="S134" s="75">
        <f t="shared" si="133"/>
        <v>0</v>
      </c>
      <c r="T134" s="75">
        <f t="shared" si="133"/>
        <v>0</v>
      </c>
      <c r="U134" s="75">
        <f t="shared" si="133"/>
        <v>0</v>
      </c>
      <c r="V134" s="75">
        <f t="shared" si="133"/>
        <v>0</v>
      </c>
      <c r="W134" s="75">
        <f t="shared" si="133"/>
        <v>0</v>
      </c>
      <c r="X134" s="75">
        <f t="shared" si="133"/>
        <v>0</v>
      </c>
      <c r="Y134" s="75">
        <f t="shared" si="133"/>
        <v>0</v>
      </c>
      <c r="Z134" s="75">
        <f t="shared" si="133"/>
        <v>0</v>
      </c>
      <c r="AA134" s="75">
        <f t="shared" si="133"/>
        <v>0</v>
      </c>
      <c r="AB134" s="75">
        <f t="shared" si="133"/>
        <v>0</v>
      </c>
      <c r="AC134" s="75">
        <f t="shared" si="133"/>
        <v>0</v>
      </c>
      <c r="AD134" s="75">
        <f t="shared" si="133"/>
        <v>0</v>
      </c>
      <c r="AE134" s="75">
        <f t="shared" si="133"/>
        <v>0</v>
      </c>
      <c r="AF134" s="75">
        <f t="shared" si="133"/>
        <v>0</v>
      </c>
      <c r="AG134" s="75">
        <f t="shared" si="133"/>
        <v>0</v>
      </c>
      <c r="AH134" s="75">
        <f t="shared" si="133"/>
        <v>0</v>
      </c>
      <c r="AI134" s="75">
        <f t="shared" si="133"/>
        <v>0</v>
      </c>
      <c r="AJ134" s="75">
        <f t="shared" si="133"/>
        <v>0</v>
      </c>
      <c r="AK134" s="75">
        <f t="shared" si="133"/>
        <v>0</v>
      </c>
      <c r="AL134" s="75">
        <f t="shared" si="133"/>
        <v>0</v>
      </c>
      <c r="AM134" s="75">
        <f t="shared" si="133"/>
        <v>0</v>
      </c>
      <c r="AN134" s="75">
        <f t="shared" si="133"/>
        <v>0</v>
      </c>
      <c r="AO134" s="75">
        <f t="shared" si="133"/>
        <v>0</v>
      </c>
      <c r="AP134" s="75">
        <f t="shared" si="133"/>
        <v>0</v>
      </c>
      <c r="AQ134" s="75">
        <f t="shared" si="133"/>
        <v>0</v>
      </c>
      <c r="AR134" s="75">
        <f t="shared" si="133"/>
        <v>0</v>
      </c>
      <c r="AS134" s="75">
        <f t="shared" si="133"/>
        <v>0</v>
      </c>
      <c r="AT134" s="75">
        <f t="shared" si="133"/>
        <v>0</v>
      </c>
      <c r="AU134" s="75">
        <f t="shared" si="133"/>
        <v>0</v>
      </c>
      <c r="AV134" s="75">
        <f t="shared" si="133"/>
        <v>0</v>
      </c>
      <c r="AW134" s="75">
        <f t="shared" si="133"/>
        <v>0</v>
      </c>
      <c r="AX134" s="75">
        <f t="shared" ref="AX134:CC134" si="134">(IF($D134&gt;AX$14,0,ROUNDUP(YEARFRAC($D134,AX$14),0)))*AX40</f>
        <v>0</v>
      </c>
      <c r="AY134" s="75">
        <f t="shared" si="134"/>
        <v>0</v>
      </c>
      <c r="AZ134" s="75">
        <f t="shared" si="134"/>
        <v>0</v>
      </c>
      <c r="BA134" s="75">
        <f t="shared" si="134"/>
        <v>0</v>
      </c>
      <c r="BB134" s="75">
        <f t="shared" si="134"/>
        <v>0</v>
      </c>
      <c r="BC134" s="75">
        <f t="shared" si="134"/>
        <v>0</v>
      </c>
      <c r="BD134" s="75">
        <f t="shared" si="134"/>
        <v>0</v>
      </c>
      <c r="BE134" s="75">
        <f t="shared" si="134"/>
        <v>0</v>
      </c>
      <c r="BF134" s="75">
        <f t="shared" si="134"/>
        <v>0</v>
      </c>
      <c r="BG134" s="75">
        <f t="shared" si="134"/>
        <v>0</v>
      </c>
      <c r="BH134" s="75">
        <f t="shared" si="134"/>
        <v>0</v>
      </c>
      <c r="BI134" s="75">
        <f t="shared" si="134"/>
        <v>0</v>
      </c>
      <c r="BJ134" s="75">
        <f t="shared" si="134"/>
        <v>0</v>
      </c>
      <c r="BK134" s="75">
        <f t="shared" si="134"/>
        <v>0</v>
      </c>
      <c r="BL134" s="75">
        <f t="shared" si="134"/>
        <v>0</v>
      </c>
      <c r="BM134" s="75">
        <f t="shared" si="134"/>
        <v>0</v>
      </c>
      <c r="BN134" s="75">
        <f t="shared" si="134"/>
        <v>0</v>
      </c>
      <c r="BO134" s="75">
        <f t="shared" si="134"/>
        <v>1</v>
      </c>
      <c r="BP134" s="75">
        <f t="shared" si="134"/>
        <v>1</v>
      </c>
      <c r="BQ134" s="75">
        <f t="shared" si="134"/>
        <v>1</v>
      </c>
      <c r="BR134" s="75">
        <f t="shared" si="134"/>
        <v>1</v>
      </c>
      <c r="BS134" s="75">
        <f t="shared" si="134"/>
        <v>1</v>
      </c>
      <c r="BT134" s="75">
        <f t="shared" si="134"/>
        <v>1</v>
      </c>
      <c r="BU134" s="75">
        <f t="shared" si="134"/>
        <v>1</v>
      </c>
      <c r="BV134" s="75">
        <f t="shared" si="134"/>
        <v>1</v>
      </c>
      <c r="BW134" s="75">
        <f t="shared" si="134"/>
        <v>1</v>
      </c>
      <c r="BX134" s="75">
        <f t="shared" si="134"/>
        <v>1</v>
      </c>
      <c r="BY134" s="75">
        <f t="shared" si="134"/>
        <v>1</v>
      </c>
      <c r="BZ134" s="75">
        <f t="shared" si="134"/>
        <v>1</v>
      </c>
      <c r="CA134" s="75">
        <f t="shared" si="134"/>
        <v>0</v>
      </c>
      <c r="CB134" s="75">
        <f t="shared" si="134"/>
        <v>0</v>
      </c>
      <c r="CC134" s="75">
        <f t="shared" si="134"/>
        <v>0</v>
      </c>
      <c r="CD134" s="75">
        <f t="shared" ref="CD134:DL134" si="135">(IF($D134&gt;CD$14,0,ROUNDUP(YEARFRAC($D134,CD$14),0)))*CD40</f>
        <v>0</v>
      </c>
      <c r="CE134" s="75">
        <f t="shared" si="135"/>
        <v>0</v>
      </c>
      <c r="CF134" s="75">
        <f t="shared" si="135"/>
        <v>0</v>
      </c>
      <c r="CG134" s="75">
        <f t="shared" si="135"/>
        <v>0</v>
      </c>
      <c r="CH134" s="75">
        <f t="shared" si="135"/>
        <v>0</v>
      </c>
      <c r="CI134" s="75">
        <f t="shared" si="135"/>
        <v>0</v>
      </c>
      <c r="CJ134" s="75">
        <f t="shared" si="135"/>
        <v>0</v>
      </c>
      <c r="CK134" s="75">
        <f t="shared" si="135"/>
        <v>0</v>
      </c>
      <c r="CL134" s="75">
        <f t="shared" si="135"/>
        <v>0</v>
      </c>
      <c r="CM134" s="75">
        <f t="shared" si="135"/>
        <v>0</v>
      </c>
      <c r="CN134" s="75">
        <f t="shared" si="135"/>
        <v>0</v>
      </c>
      <c r="CO134" s="75">
        <f t="shared" si="135"/>
        <v>0</v>
      </c>
      <c r="CP134" s="75">
        <f t="shared" si="135"/>
        <v>0</v>
      </c>
      <c r="CQ134" s="75">
        <f t="shared" si="135"/>
        <v>0</v>
      </c>
      <c r="CR134" s="75">
        <f t="shared" si="135"/>
        <v>0</v>
      </c>
      <c r="CS134" s="75">
        <f t="shared" si="135"/>
        <v>0</v>
      </c>
      <c r="CT134" s="75">
        <f t="shared" si="135"/>
        <v>0</v>
      </c>
      <c r="CU134" s="75">
        <f t="shared" si="135"/>
        <v>0</v>
      </c>
      <c r="CV134" s="75">
        <f t="shared" si="135"/>
        <v>0</v>
      </c>
      <c r="CW134" s="75">
        <f t="shared" si="135"/>
        <v>0</v>
      </c>
      <c r="CX134" s="75">
        <f t="shared" si="135"/>
        <v>0</v>
      </c>
      <c r="CY134" s="75">
        <f t="shared" si="135"/>
        <v>0</v>
      </c>
      <c r="CZ134" s="75">
        <f t="shared" si="135"/>
        <v>0</v>
      </c>
      <c r="DA134" s="75">
        <f t="shared" si="135"/>
        <v>0</v>
      </c>
      <c r="DB134" s="75">
        <f t="shared" si="135"/>
        <v>0</v>
      </c>
      <c r="DC134" s="75">
        <f t="shared" si="135"/>
        <v>0</v>
      </c>
      <c r="DD134" s="75">
        <f t="shared" si="135"/>
        <v>0</v>
      </c>
      <c r="DE134" s="75">
        <f t="shared" si="135"/>
        <v>0</v>
      </c>
      <c r="DF134" s="75">
        <f t="shared" si="135"/>
        <v>0</v>
      </c>
      <c r="DG134" s="75">
        <f t="shared" si="135"/>
        <v>0</v>
      </c>
      <c r="DH134" s="75">
        <f t="shared" si="135"/>
        <v>0</v>
      </c>
      <c r="DI134" s="75">
        <f t="shared" si="135"/>
        <v>0</v>
      </c>
      <c r="DJ134" s="75">
        <f t="shared" si="135"/>
        <v>0</v>
      </c>
      <c r="DK134" s="75">
        <f t="shared" si="135"/>
        <v>0</v>
      </c>
      <c r="DL134" s="75">
        <f t="shared" si="135"/>
        <v>0</v>
      </c>
    </row>
    <row r="135" spans="2:116">
      <c r="B135" s="27">
        <f>Rentroll!$C$39</f>
        <v>15</v>
      </c>
      <c r="C135" s="69" t="str">
        <f>VLOOKUP($B135,Rentroll!$C$37:$Z$60,3,FALSE)</f>
        <v>111퍼센트</v>
      </c>
      <c r="D135" s="80">
        <f>VLOOKUP($B135,Rentroll!$C$37:$Z$60,9,FALSE)</f>
        <v>45869</v>
      </c>
      <c r="E135" s="80">
        <f>VLOOKUP($B135,Rentroll!$C$37:$Z$60,10,FALSE)</f>
        <v>47695</v>
      </c>
      <c r="F135" s="81">
        <f>VLOOKUP($B135,Rentroll!$C$37:$Z$60,11,FALSE)</f>
        <v>60</v>
      </c>
      <c r="G135" s="69">
        <f>VLOOKUP($B135,Rentroll!$C$37:$Z$60,13,FALSE)</f>
        <v>103000</v>
      </c>
      <c r="H135" s="69">
        <f>VLOOKUP($B135,Rentroll!$C$37:$Z$60,14,FALSE)</f>
        <v>94416.666666666672</v>
      </c>
      <c r="I135" s="69">
        <f>VLOOKUP($B135,Rentroll!$C$37:$Z$60,15,FALSE)</f>
        <v>45000</v>
      </c>
      <c r="J135" s="82">
        <f>VLOOKUP($B135,Rentroll!$C$37:$Z$60,19,FALSE)</f>
        <v>0.03</v>
      </c>
      <c r="K135" s="83">
        <f>VLOOKUP($B135,Rentroll!$C$37:$Z$60,4,FALSE)</f>
        <v>1385.09</v>
      </c>
      <c r="L135" s="81">
        <f>VLOOKUP($B135,Rentroll!$C$37:$Z$60,17,FALSE)</f>
        <v>1</v>
      </c>
      <c r="M135" s="84">
        <f>VLOOKUP($B135,Rentroll!$C$37:$Z$60,18,FALSE)</f>
        <v>1</v>
      </c>
      <c r="O135" s="74">
        <f t="shared" si="132"/>
        <v>15</v>
      </c>
      <c r="P135" s="75"/>
      <c r="Q135" s="75"/>
      <c r="R135" s="75">
        <f t="shared" ref="R135:AW135" si="136">(IF($D135&gt;R$14,0,ROUNDUP(YEARFRAC($D135,R$14),0)))*R41</f>
        <v>0</v>
      </c>
      <c r="S135" s="75">
        <f t="shared" si="136"/>
        <v>0</v>
      </c>
      <c r="T135" s="75">
        <f t="shared" si="136"/>
        <v>0</v>
      </c>
      <c r="U135" s="75">
        <f t="shared" si="136"/>
        <v>0</v>
      </c>
      <c r="V135" s="75">
        <f t="shared" si="136"/>
        <v>0</v>
      </c>
      <c r="W135" s="75">
        <f t="shared" si="136"/>
        <v>0</v>
      </c>
      <c r="X135" s="75">
        <f t="shared" si="136"/>
        <v>0</v>
      </c>
      <c r="Y135" s="75">
        <f t="shared" si="136"/>
        <v>1</v>
      </c>
      <c r="Z135" s="75">
        <f t="shared" si="136"/>
        <v>1</v>
      </c>
      <c r="AA135" s="75">
        <f t="shared" si="136"/>
        <v>1</v>
      </c>
      <c r="AB135" s="75">
        <f t="shared" si="136"/>
        <v>1</v>
      </c>
      <c r="AC135" s="75">
        <f t="shared" si="136"/>
        <v>1</v>
      </c>
      <c r="AD135" s="75">
        <f t="shared" si="136"/>
        <v>1</v>
      </c>
      <c r="AE135" s="75">
        <f t="shared" si="136"/>
        <v>1</v>
      </c>
      <c r="AF135" s="75">
        <f t="shared" si="136"/>
        <v>1</v>
      </c>
      <c r="AG135" s="75">
        <f t="shared" si="136"/>
        <v>1</v>
      </c>
      <c r="AH135" s="75">
        <f t="shared" si="136"/>
        <v>1</v>
      </c>
      <c r="AI135" s="75">
        <f t="shared" si="136"/>
        <v>1</v>
      </c>
      <c r="AJ135" s="75">
        <f t="shared" si="136"/>
        <v>1</v>
      </c>
      <c r="AK135" s="75">
        <f t="shared" si="136"/>
        <v>2</v>
      </c>
      <c r="AL135" s="75">
        <f t="shared" si="136"/>
        <v>2</v>
      </c>
      <c r="AM135" s="75">
        <f t="shared" si="136"/>
        <v>2</v>
      </c>
      <c r="AN135" s="75">
        <f t="shared" si="136"/>
        <v>2</v>
      </c>
      <c r="AO135" s="75">
        <f t="shared" si="136"/>
        <v>2</v>
      </c>
      <c r="AP135" s="75">
        <f t="shared" si="136"/>
        <v>2</v>
      </c>
      <c r="AQ135" s="75">
        <f t="shared" si="136"/>
        <v>2</v>
      </c>
      <c r="AR135" s="75">
        <f t="shared" si="136"/>
        <v>2</v>
      </c>
      <c r="AS135" s="75">
        <f t="shared" si="136"/>
        <v>2</v>
      </c>
      <c r="AT135" s="75">
        <f t="shared" si="136"/>
        <v>2</v>
      </c>
      <c r="AU135" s="75">
        <f t="shared" si="136"/>
        <v>2</v>
      </c>
      <c r="AV135" s="75">
        <f t="shared" si="136"/>
        <v>2</v>
      </c>
      <c r="AW135" s="75">
        <f t="shared" si="136"/>
        <v>3</v>
      </c>
      <c r="AX135" s="75">
        <f t="shared" ref="AX135:CC135" si="137">(IF($D135&gt;AX$14,0,ROUNDUP(YEARFRAC($D135,AX$14),0)))*AX41</f>
        <v>3</v>
      </c>
      <c r="AY135" s="75">
        <f t="shared" si="137"/>
        <v>3</v>
      </c>
      <c r="AZ135" s="75">
        <f t="shared" si="137"/>
        <v>3</v>
      </c>
      <c r="BA135" s="75">
        <f t="shared" si="137"/>
        <v>3</v>
      </c>
      <c r="BB135" s="75">
        <f t="shared" si="137"/>
        <v>3</v>
      </c>
      <c r="BC135" s="75">
        <f t="shared" si="137"/>
        <v>3</v>
      </c>
      <c r="BD135" s="75">
        <f t="shared" si="137"/>
        <v>3</v>
      </c>
      <c r="BE135" s="75">
        <f t="shared" si="137"/>
        <v>3</v>
      </c>
      <c r="BF135" s="75">
        <f t="shared" si="137"/>
        <v>3</v>
      </c>
      <c r="BG135" s="75">
        <f t="shared" si="137"/>
        <v>3</v>
      </c>
      <c r="BH135" s="75">
        <f t="shared" si="137"/>
        <v>3</v>
      </c>
      <c r="BI135" s="75">
        <f t="shared" si="137"/>
        <v>4</v>
      </c>
      <c r="BJ135" s="75">
        <f t="shared" si="137"/>
        <v>4</v>
      </c>
      <c r="BK135" s="75">
        <f t="shared" si="137"/>
        <v>4</v>
      </c>
      <c r="BL135" s="75">
        <f t="shared" si="137"/>
        <v>4</v>
      </c>
      <c r="BM135" s="75">
        <f t="shared" si="137"/>
        <v>4</v>
      </c>
      <c r="BN135" s="75">
        <f t="shared" si="137"/>
        <v>4</v>
      </c>
      <c r="BO135" s="75">
        <f t="shared" si="137"/>
        <v>4</v>
      </c>
      <c r="BP135" s="75">
        <f t="shared" si="137"/>
        <v>4</v>
      </c>
      <c r="BQ135" s="75">
        <f t="shared" si="137"/>
        <v>4</v>
      </c>
      <c r="BR135" s="75">
        <f t="shared" si="137"/>
        <v>4</v>
      </c>
      <c r="BS135" s="75">
        <f t="shared" si="137"/>
        <v>4</v>
      </c>
      <c r="BT135" s="75">
        <f t="shared" si="137"/>
        <v>4</v>
      </c>
      <c r="BU135" s="75">
        <f t="shared" si="137"/>
        <v>5</v>
      </c>
      <c r="BV135" s="75">
        <f t="shared" si="137"/>
        <v>5</v>
      </c>
      <c r="BW135" s="75">
        <f t="shared" si="137"/>
        <v>5</v>
      </c>
      <c r="BX135" s="75">
        <f t="shared" si="137"/>
        <v>5</v>
      </c>
      <c r="BY135" s="75">
        <f t="shared" si="137"/>
        <v>5</v>
      </c>
      <c r="BZ135" s="75">
        <f t="shared" si="137"/>
        <v>5</v>
      </c>
      <c r="CA135" s="75">
        <f t="shared" si="137"/>
        <v>0</v>
      </c>
      <c r="CB135" s="75">
        <f t="shared" si="137"/>
        <v>0</v>
      </c>
      <c r="CC135" s="75">
        <f t="shared" si="137"/>
        <v>0</v>
      </c>
      <c r="CD135" s="75">
        <f t="shared" ref="CD135:DL135" si="138">(IF($D135&gt;CD$14,0,ROUNDUP(YEARFRAC($D135,CD$14),0)))*CD41</f>
        <v>0</v>
      </c>
      <c r="CE135" s="75">
        <f t="shared" si="138"/>
        <v>0</v>
      </c>
      <c r="CF135" s="75">
        <f t="shared" si="138"/>
        <v>0</v>
      </c>
      <c r="CG135" s="75">
        <f t="shared" si="138"/>
        <v>0</v>
      </c>
      <c r="CH135" s="75">
        <f t="shared" si="138"/>
        <v>0</v>
      </c>
      <c r="CI135" s="75">
        <f t="shared" si="138"/>
        <v>0</v>
      </c>
      <c r="CJ135" s="75">
        <f t="shared" si="138"/>
        <v>0</v>
      </c>
      <c r="CK135" s="75">
        <f t="shared" si="138"/>
        <v>0</v>
      </c>
      <c r="CL135" s="75">
        <f t="shared" si="138"/>
        <v>0</v>
      </c>
      <c r="CM135" s="75">
        <f t="shared" si="138"/>
        <v>0</v>
      </c>
      <c r="CN135" s="75">
        <f t="shared" si="138"/>
        <v>0</v>
      </c>
      <c r="CO135" s="75">
        <f t="shared" si="138"/>
        <v>0</v>
      </c>
      <c r="CP135" s="75">
        <f t="shared" si="138"/>
        <v>0</v>
      </c>
      <c r="CQ135" s="75">
        <f t="shared" si="138"/>
        <v>0</v>
      </c>
      <c r="CR135" s="75">
        <f t="shared" si="138"/>
        <v>0</v>
      </c>
      <c r="CS135" s="75">
        <f t="shared" si="138"/>
        <v>0</v>
      </c>
      <c r="CT135" s="75">
        <f t="shared" si="138"/>
        <v>0</v>
      </c>
      <c r="CU135" s="75">
        <f t="shared" si="138"/>
        <v>0</v>
      </c>
      <c r="CV135" s="75">
        <f t="shared" si="138"/>
        <v>0</v>
      </c>
      <c r="CW135" s="75">
        <f t="shared" si="138"/>
        <v>0</v>
      </c>
      <c r="CX135" s="75">
        <f t="shared" si="138"/>
        <v>0</v>
      </c>
      <c r="CY135" s="75">
        <f t="shared" si="138"/>
        <v>0</v>
      </c>
      <c r="CZ135" s="75">
        <f t="shared" si="138"/>
        <v>0</v>
      </c>
      <c r="DA135" s="75">
        <f t="shared" si="138"/>
        <v>0</v>
      </c>
      <c r="DB135" s="75">
        <f t="shared" si="138"/>
        <v>0</v>
      </c>
      <c r="DC135" s="75">
        <f t="shared" si="138"/>
        <v>0</v>
      </c>
      <c r="DD135" s="75">
        <f t="shared" si="138"/>
        <v>0</v>
      </c>
      <c r="DE135" s="75">
        <f t="shared" si="138"/>
        <v>0</v>
      </c>
      <c r="DF135" s="75">
        <f t="shared" si="138"/>
        <v>0</v>
      </c>
      <c r="DG135" s="75">
        <f t="shared" si="138"/>
        <v>0</v>
      </c>
      <c r="DH135" s="75">
        <f t="shared" si="138"/>
        <v>0</v>
      </c>
      <c r="DI135" s="75">
        <f t="shared" si="138"/>
        <v>0</v>
      </c>
      <c r="DJ135" s="75">
        <f t="shared" si="138"/>
        <v>0</v>
      </c>
      <c r="DK135" s="75">
        <f t="shared" si="138"/>
        <v>0</v>
      </c>
      <c r="DL135" s="75">
        <f t="shared" si="138"/>
        <v>0</v>
      </c>
    </row>
    <row r="136" spans="2:116">
      <c r="B136" s="27">
        <f>Rentroll!$C$40</f>
        <v>14</v>
      </c>
      <c r="C136" s="69" t="str">
        <f>VLOOKUP($B136,Rentroll!$C$37:$Z$60,3,FALSE)</f>
        <v>111퍼센트</v>
      </c>
      <c r="D136" s="80">
        <f>VLOOKUP($B136,Rentroll!$C$37:$Z$60,9,FALSE)</f>
        <v>45869</v>
      </c>
      <c r="E136" s="80">
        <f>VLOOKUP($B136,Rentroll!$C$37:$Z$60,10,FALSE)</f>
        <v>47695</v>
      </c>
      <c r="F136" s="81">
        <f>VLOOKUP($B136,Rentroll!$C$37:$Z$60,11,FALSE)</f>
        <v>60</v>
      </c>
      <c r="G136" s="69">
        <f>VLOOKUP($B136,Rentroll!$C$37:$Z$60,13,FALSE)</f>
        <v>103000</v>
      </c>
      <c r="H136" s="69">
        <f>VLOOKUP($B136,Rentroll!$C$37:$Z$60,14,FALSE)</f>
        <v>94416.666666666672</v>
      </c>
      <c r="I136" s="69">
        <f>VLOOKUP($B136,Rentroll!$C$37:$Z$60,15,FALSE)</f>
        <v>45000</v>
      </c>
      <c r="J136" s="82">
        <f>VLOOKUP($B136,Rentroll!$C$37:$Z$60,19,FALSE)</f>
        <v>0.03</v>
      </c>
      <c r="K136" s="83">
        <f>VLOOKUP($B136,Rentroll!$C$37:$Z$60,4,FALSE)</f>
        <v>1385.09</v>
      </c>
      <c r="L136" s="81">
        <f>VLOOKUP($B136,Rentroll!$C$37:$Z$60,17,FALSE)</f>
        <v>1</v>
      </c>
      <c r="M136" s="84">
        <f>VLOOKUP($B136,Rentroll!$C$37:$Z$60,18,FALSE)</f>
        <v>1</v>
      </c>
      <c r="O136" s="74">
        <f t="shared" si="132"/>
        <v>14</v>
      </c>
      <c r="P136" s="75"/>
      <c r="Q136" s="75"/>
      <c r="R136" s="75">
        <f t="shared" ref="R136:AW136" si="139">(IF($D136&gt;R$14,0,ROUNDUP(YEARFRAC($D136,R$14),0)))*R42</f>
        <v>0</v>
      </c>
      <c r="S136" s="75">
        <f t="shared" si="139"/>
        <v>0</v>
      </c>
      <c r="T136" s="75">
        <f t="shared" si="139"/>
        <v>0</v>
      </c>
      <c r="U136" s="75">
        <f t="shared" si="139"/>
        <v>0</v>
      </c>
      <c r="V136" s="75">
        <f t="shared" si="139"/>
        <v>0</v>
      </c>
      <c r="W136" s="75">
        <f t="shared" si="139"/>
        <v>0</v>
      </c>
      <c r="X136" s="75">
        <f t="shared" si="139"/>
        <v>0</v>
      </c>
      <c r="Y136" s="75">
        <f t="shared" si="139"/>
        <v>1</v>
      </c>
      <c r="Z136" s="75">
        <f t="shared" si="139"/>
        <v>1</v>
      </c>
      <c r="AA136" s="75">
        <f t="shared" si="139"/>
        <v>1</v>
      </c>
      <c r="AB136" s="75">
        <f t="shared" si="139"/>
        <v>1</v>
      </c>
      <c r="AC136" s="75">
        <f t="shared" si="139"/>
        <v>1</v>
      </c>
      <c r="AD136" s="75">
        <f t="shared" si="139"/>
        <v>1</v>
      </c>
      <c r="AE136" s="75">
        <f t="shared" si="139"/>
        <v>1</v>
      </c>
      <c r="AF136" s="75">
        <f t="shared" si="139"/>
        <v>1</v>
      </c>
      <c r="AG136" s="75">
        <f t="shared" si="139"/>
        <v>1</v>
      </c>
      <c r="AH136" s="75">
        <f t="shared" si="139"/>
        <v>1</v>
      </c>
      <c r="AI136" s="75">
        <f t="shared" si="139"/>
        <v>1</v>
      </c>
      <c r="AJ136" s="75">
        <f t="shared" si="139"/>
        <v>1</v>
      </c>
      <c r="AK136" s="75">
        <f t="shared" si="139"/>
        <v>2</v>
      </c>
      <c r="AL136" s="75">
        <f t="shared" si="139"/>
        <v>2</v>
      </c>
      <c r="AM136" s="75">
        <f t="shared" si="139"/>
        <v>2</v>
      </c>
      <c r="AN136" s="75">
        <f t="shared" si="139"/>
        <v>2</v>
      </c>
      <c r="AO136" s="75">
        <f t="shared" si="139"/>
        <v>2</v>
      </c>
      <c r="AP136" s="75">
        <f t="shared" si="139"/>
        <v>2</v>
      </c>
      <c r="AQ136" s="75">
        <f t="shared" si="139"/>
        <v>2</v>
      </c>
      <c r="AR136" s="75">
        <f t="shared" si="139"/>
        <v>2</v>
      </c>
      <c r="AS136" s="75">
        <f t="shared" si="139"/>
        <v>2</v>
      </c>
      <c r="AT136" s="75">
        <f t="shared" si="139"/>
        <v>2</v>
      </c>
      <c r="AU136" s="75">
        <f t="shared" si="139"/>
        <v>2</v>
      </c>
      <c r="AV136" s="75">
        <f t="shared" si="139"/>
        <v>2</v>
      </c>
      <c r="AW136" s="75">
        <f t="shared" si="139"/>
        <v>3</v>
      </c>
      <c r="AX136" s="75">
        <f t="shared" ref="AX136:CC136" si="140">(IF($D136&gt;AX$14,0,ROUNDUP(YEARFRAC($D136,AX$14),0)))*AX42</f>
        <v>3</v>
      </c>
      <c r="AY136" s="75">
        <f t="shared" si="140"/>
        <v>3</v>
      </c>
      <c r="AZ136" s="75">
        <f t="shared" si="140"/>
        <v>3</v>
      </c>
      <c r="BA136" s="75">
        <f t="shared" si="140"/>
        <v>3</v>
      </c>
      <c r="BB136" s="75">
        <f t="shared" si="140"/>
        <v>3</v>
      </c>
      <c r="BC136" s="75">
        <f t="shared" si="140"/>
        <v>3</v>
      </c>
      <c r="BD136" s="75">
        <f t="shared" si="140"/>
        <v>3</v>
      </c>
      <c r="BE136" s="75">
        <f t="shared" si="140"/>
        <v>3</v>
      </c>
      <c r="BF136" s="75">
        <f t="shared" si="140"/>
        <v>3</v>
      </c>
      <c r="BG136" s="75">
        <f t="shared" si="140"/>
        <v>3</v>
      </c>
      <c r="BH136" s="75">
        <f t="shared" si="140"/>
        <v>3</v>
      </c>
      <c r="BI136" s="75">
        <f t="shared" si="140"/>
        <v>4</v>
      </c>
      <c r="BJ136" s="75">
        <f t="shared" si="140"/>
        <v>4</v>
      </c>
      <c r="BK136" s="75">
        <f t="shared" si="140"/>
        <v>4</v>
      </c>
      <c r="BL136" s="75">
        <f t="shared" si="140"/>
        <v>4</v>
      </c>
      <c r="BM136" s="75">
        <f t="shared" si="140"/>
        <v>4</v>
      </c>
      <c r="BN136" s="75">
        <f t="shared" si="140"/>
        <v>4</v>
      </c>
      <c r="BO136" s="75">
        <f t="shared" si="140"/>
        <v>4</v>
      </c>
      <c r="BP136" s="75">
        <f t="shared" si="140"/>
        <v>4</v>
      </c>
      <c r="BQ136" s="75">
        <f t="shared" si="140"/>
        <v>4</v>
      </c>
      <c r="BR136" s="75">
        <f t="shared" si="140"/>
        <v>4</v>
      </c>
      <c r="BS136" s="75">
        <f t="shared" si="140"/>
        <v>4</v>
      </c>
      <c r="BT136" s="75">
        <f t="shared" si="140"/>
        <v>4</v>
      </c>
      <c r="BU136" s="75">
        <f t="shared" si="140"/>
        <v>5</v>
      </c>
      <c r="BV136" s="75">
        <f t="shared" si="140"/>
        <v>5</v>
      </c>
      <c r="BW136" s="75">
        <f t="shared" si="140"/>
        <v>5</v>
      </c>
      <c r="BX136" s="75">
        <f t="shared" si="140"/>
        <v>5</v>
      </c>
      <c r="BY136" s="75">
        <f t="shared" si="140"/>
        <v>5</v>
      </c>
      <c r="BZ136" s="75">
        <f t="shared" si="140"/>
        <v>5</v>
      </c>
      <c r="CA136" s="75">
        <f t="shared" si="140"/>
        <v>0</v>
      </c>
      <c r="CB136" s="75">
        <f t="shared" si="140"/>
        <v>0</v>
      </c>
      <c r="CC136" s="75">
        <f t="shared" si="140"/>
        <v>0</v>
      </c>
      <c r="CD136" s="75">
        <f t="shared" ref="CD136:DL136" si="141">(IF($D136&gt;CD$14,0,ROUNDUP(YEARFRAC($D136,CD$14),0)))*CD42</f>
        <v>0</v>
      </c>
      <c r="CE136" s="75">
        <f t="shared" si="141"/>
        <v>0</v>
      </c>
      <c r="CF136" s="75">
        <f t="shared" si="141"/>
        <v>0</v>
      </c>
      <c r="CG136" s="75">
        <f t="shared" si="141"/>
        <v>0</v>
      </c>
      <c r="CH136" s="75">
        <f t="shared" si="141"/>
        <v>0</v>
      </c>
      <c r="CI136" s="75">
        <f t="shared" si="141"/>
        <v>0</v>
      </c>
      <c r="CJ136" s="75">
        <f t="shared" si="141"/>
        <v>0</v>
      </c>
      <c r="CK136" s="75">
        <f t="shared" si="141"/>
        <v>0</v>
      </c>
      <c r="CL136" s="75">
        <f t="shared" si="141"/>
        <v>0</v>
      </c>
      <c r="CM136" s="75">
        <f t="shared" si="141"/>
        <v>0</v>
      </c>
      <c r="CN136" s="75">
        <f t="shared" si="141"/>
        <v>0</v>
      </c>
      <c r="CO136" s="75">
        <f t="shared" si="141"/>
        <v>0</v>
      </c>
      <c r="CP136" s="75">
        <f t="shared" si="141"/>
        <v>0</v>
      </c>
      <c r="CQ136" s="75">
        <f t="shared" si="141"/>
        <v>0</v>
      </c>
      <c r="CR136" s="75">
        <f t="shared" si="141"/>
        <v>0</v>
      </c>
      <c r="CS136" s="75">
        <f t="shared" si="141"/>
        <v>0</v>
      </c>
      <c r="CT136" s="75">
        <f t="shared" si="141"/>
        <v>0</v>
      </c>
      <c r="CU136" s="75">
        <f t="shared" si="141"/>
        <v>0</v>
      </c>
      <c r="CV136" s="75">
        <f t="shared" si="141"/>
        <v>0</v>
      </c>
      <c r="CW136" s="75">
        <f t="shared" si="141"/>
        <v>0</v>
      </c>
      <c r="CX136" s="75">
        <f t="shared" si="141"/>
        <v>0</v>
      </c>
      <c r="CY136" s="75">
        <f t="shared" si="141"/>
        <v>0</v>
      </c>
      <c r="CZ136" s="75">
        <f t="shared" si="141"/>
        <v>0</v>
      </c>
      <c r="DA136" s="75">
        <f t="shared" si="141"/>
        <v>0</v>
      </c>
      <c r="DB136" s="75">
        <f t="shared" si="141"/>
        <v>0</v>
      </c>
      <c r="DC136" s="75">
        <f t="shared" si="141"/>
        <v>0</v>
      </c>
      <c r="DD136" s="75">
        <f t="shared" si="141"/>
        <v>0</v>
      </c>
      <c r="DE136" s="75">
        <f t="shared" si="141"/>
        <v>0</v>
      </c>
      <c r="DF136" s="75">
        <f t="shared" si="141"/>
        <v>0</v>
      </c>
      <c r="DG136" s="75">
        <f t="shared" si="141"/>
        <v>0</v>
      </c>
      <c r="DH136" s="75">
        <f t="shared" si="141"/>
        <v>0</v>
      </c>
      <c r="DI136" s="75">
        <f t="shared" si="141"/>
        <v>0</v>
      </c>
      <c r="DJ136" s="75">
        <f t="shared" si="141"/>
        <v>0</v>
      </c>
      <c r="DK136" s="75">
        <f t="shared" si="141"/>
        <v>0</v>
      </c>
      <c r="DL136" s="75">
        <f t="shared" si="141"/>
        <v>0</v>
      </c>
    </row>
    <row r="137" spans="2:116">
      <c r="B137" s="27">
        <f>Rentroll!$C$41</f>
        <v>13</v>
      </c>
      <c r="C137" s="69" t="str">
        <f>VLOOKUP($B137,Rentroll!$C$37:$Z$60,3,FALSE)</f>
        <v>111퍼센트</v>
      </c>
      <c r="D137" s="80">
        <f>VLOOKUP($B137,Rentroll!$C$37:$Z$60,9,FALSE)</f>
        <v>45869</v>
      </c>
      <c r="E137" s="80">
        <f>VLOOKUP($B137,Rentroll!$C$37:$Z$60,10,FALSE)</f>
        <v>47695</v>
      </c>
      <c r="F137" s="81">
        <f>VLOOKUP($B137,Rentroll!$C$37:$Z$60,11,FALSE)</f>
        <v>60</v>
      </c>
      <c r="G137" s="69">
        <f>VLOOKUP($B137,Rentroll!$C$37:$Z$60,13,FALSE)</f>
        <v>103000</v>
      </c>
      <c r="H137" s="69">
        <f>VLOOKUP($B137,Rentroll!$C$37:$Z$60,14,FALSE)</f>
        <v>94416.666666666672</v>
      </c>
      <c r="I137" s="69">
        <f>VLOOKUP($B137,Rentroll!$C$37:$Z$60,15,FALSE)</f>
        <v>45000</v>
      </c>
      <c r="J137" s="82">
        <f>VLOOKUP($B137,Rentroll!$C$37:$Z$60,19,FALSE)</f>
        <v>0.03</v>
      </c>
      <c r="K137" s="83">
        <f>VLOOKUP($B137,Rentroll!$C$37:$Z$60,4,FALSE)</f>
        <v>1385.09</v>
      </c>
      <c r="L137" s="81">
        <f>VLOOKUP($B137,Rentroll!$C$37:$Z$60,17,FALSE)</f>
        <v>1</v>
      </c>
      <c r="M137" s="84">
        <f>VLOOKUP($B137,Rentroll!$C$37:$Z$60,18,FALSE)</f>
        <v>1</v>
      </c>
      <c r="O137" s="74">
        <f t="shared" si="132"/>
        <v>13</v>
      </c>
      <c r="P137" s="75"/>
      <c r="Q137" s="75"/>
      <c r="R137" s="75">
        <f t="shared" ref="R137:AW137" si="142">(IF($D137&gt;R$14,0,ROUNDUP(YEARFRAC($D137,R$14),0)))*R43</f>
        <v>0</v>
      </c>
      <c r="S137" s="75">
        <f t="shared" si="142"/>
        <v>0</v>
      </c>
      <c r="T137" s="75">
        <f t="shared" si="142"/>
        <v>0</v>
      </c>
      <c r="U137" s="75">
        <f t="shared" si="142"/>
        <v>0</v>
      </c>
      <c r="V137" s="75">
        <f t="shared" si="142"/>
        <v>0</v>
      </c>
      <c r="W137" s="75">
        <f t="shared" si="142"/>
        <v>0</v>
      </c>
      <c r="X137" s="75">
        <f t="shared" si="142"/>
        <v>0</v>
      </c>
      <c r="Y137" s="75">
        <f t="shared" si="142"/>
        <v>1</v>
      </c>
      <c r="Z137" s="75">
        <f t="shared" si="142"/>
        <v>1</v>
      </c>
      <c r="AA137" s="75">
        <f t="shared" si="142"/>
        <v>1</v>
      </c>
      <c r="AB137" s="75">
        <f t="shared" si="142"/>
        <v>1</v>
      </c>
      <c r="AC137" s="75">
        <f t="shared" si="142"/>
        <v>1</v>
      </c>
      <c r="AD137" s="75">
        <f t="shared" si="142"/>
        <v>1</v>
      </c>
      <c r="AE137" s="75">
        <f t="shared" si="142"/>
        <v>1</v>
      </c>
      <c r="AF137" s="75">
        <f t="shared" si="142"/>
        <v>1</v>
      </c>
      <c r="AG137" s="75">
        <f t="shared" si="142"/>
        <v>1</v>
      </c>
      <c r="AH137" s="75">
        <f t="shared" si="142"/>
        <v>1</v>
      </c>
      <c r="AI137" s="75">
        <f t="shared" si="142"/>
        <v>1</v>
      </c>
      <c r="AJ137" s="75">
        <f t="shared" si="142"/>
        <v>1</v>
      </c>
      <c r="AK137" s="75">
        <f t="shared" si="142"/>
        <v>2</v>
      </c>
      <c r="AL137" s="75">
        <f t="shared" si="142"/>
        <v>2</v>
      </c>
      <c r="AM137" s="75">
        <f t="shared" si="142"/>
        <v>2</v>
      </c>
      <c r="AN137" s="75">
        <f t="shared" si="142"/>
        <v>2</v>
      </c>
      <c r="AO137" s="75">
        <f t="shared" si="142"/>
        <v>2</v>
      </c>
      <c r="AP137" s="75">
        <f t="shared" si="142"/>
        <v>2</v>
      </c>
      <c r="AQ137" s="75">
        <f t="shared" si="142"/>
        <v>2</v>
      </c>
      <c r="AR137" s="75">
        <f t="shared" si="142"/>
        <v>2</v>
      </c>
      <c r="AS137" s="75">
        <f t="shared" si="142"/>
        <v>2</v>
      </c>
      <c r="AT137" s="75">
        <f t="shared" si="142"/>
        <v>2</v>
      </c>
      <c r="AU137" s="75">
        <f t="shared" si="142"/>
        <v>2</v>
      </c>
      <c r="AV137" s="75">
        <f t="shared" si="142"/>
        <v>2</v>
      </c>
      <c r="AW137" s="75">
        <f t="shared" si="142"/>
        <v>3</v>
      </c>
      <c r="AX137" s="75">
        <f t="shared" ref="AX137:CC137" si="143">(IF($D137&gt;AX$14,0,ROUNDUP(YEARFRAC($D137,AX$14),0)))*AX43</f>
        <v>3</v>
      </c>
      <c r="AY137" s="75">
        <f t="shared" si="143"/>
        <v>3</v>
      </c>
      <c r="AZ137" s="75">
        <f t="shared" si="143"/>
        <v>3</v>
      </c>
      <c r="BA137" s="75">
        <f t="shared" si="143"/>
        <v>3</v>
      </c>
      <c r="BB137" s="75">
        <f t="shared" si="143"/>
        <v>3</v>
      </c>
      <c r="BC137" s="75">
        <f t="shared" si="143"/>
        <v>3</v>
      </c>
      <c r="BD137" s="75">
        <f t="shared" si="143"/>
        <v>3</v>
      </c>
      <c r="BE137" s="75">
        <f t="shared" si="143"/>
        <v>3</v>
      </c>
      <c r="BF137" s="75">
        <f t="shared" si="143"/>
        <v>3</v>
      </c>
      <c r="BG137" s="75">
        <f t="shared" si="143"/>
        <v>3</v>
      </c>
      <c r="BH137" s="75">
        <f t="shared" si="143"/>
        <v>3</v>
      </c>
      <c r="BI137" s="75">
        <f t="shared" si="143"/>
        <v>4</v>
      </c>
      <c r="BJ137" s="75">
        <f t="shared" si="143"/>
        <v>4</v>
      </c>
      <c r="BK137" s="75">
        <f t="shared" si="143"/>
        <v>4</v>
      </c>
      <c r="BL137" s="75">
        <f t="shared" si="143"/>
        <v>4</v>
      </c>
      <c r="BM137" s="75">
        <f t="shared" si="143"/>
        <v>4</v>
      </c>
      <c r="BN137" s="75">
        <f t="shared" si="143"/>
        <v>4</v>
      </c>
      <c r="BO137" s="75">
        <f t="shared" si="143"/>
        <v>4</v>
      </c>
      <c r="BP137" s="75">
        <f t="shared" si="143"/>
        <v>4</v>
      </c>
      <c r="BQ137" s="75">
        <f t="shared" si="143"/>
        <v>4</v>
      </c>
      <c r="BR137" s="75">
        <f t="shared" si="143"/>
        <v>4</v>
      </c>
      <c r="BS137" s="75">
        <f t="shared" si="143"/>
        <v>4</v>
      </c>
      <c r="BT137" s="75">
        <f t="shared" si="143"/>
        <v>4</v>
      </c>
      <c r="BU137" s="75">
        <f t="shared" si="143"/>
        <v>5</v>
      </c>
      <c r="BV137" s="75">
        <f t="shared" si="143"/>
        <v>5</v>
      </c>
      <c r="BW137" s="75">
        <f t="shared" si="143"/>
        <v>5</v>
      </c>
      <c r="BX137" s="75">
        <f t="shared" si="143"/>
        <v>5</v>
      </c>
      <c r="BY137" s="75">
        <f t="shared" si="143"/>
        <v>5</v>
      </c>
      <c r="BZ137" s="75">
        <f t="shared" si="143"/>
        <v>5</v>
      </c>
      <c r="CA137" s="75">
        <f t="shared" si="143"/>
        <v>0</v>
      </c>
      <c r="CB137" s="75">
        <f t="shared" si="143"/>
        <v>0</v>
      </c>
      <c r="CC137" s="75">
        <f t="shared" si="143"/>
        <v>0</v>
      </c>
      <c r="CD137" s="75">
        <f t="shared" ref="CD137:DL137" si="144">(IF($D137&gt;CD$14,0,ROUNDUP(YEARFRAC($D137,CD$14),0)))*CD43</f>
        <v>0</v>
      </c>
      <c r="CE137" s="75">
        <f t="shared" si="144"/>
        <v>0</v>
      </c>
      <c r="CF137" s="75">
        <f t="shared" si="144"/>
        <v>0</v>
      </c>
      <c r="CG137" s="75">
        <f t="shared" si="144"/>
        <v>0</v>
      </c>
      <c r="CH137" s="75">
        <f t="shared" si="144"/>
        <v>0</v>
      </c>
      <c r="CI137" s="75">
        <f t="shared" si="144"/>
        <v>0</v>
      </c>
      <c r="CJ137" s="75">
        <f t="shared" si="144"/>
        <v>0</v>
      </c>
      <c r="CK137" s="75">
        <f t="shared" si="144"/>
        <v>0</v>
      </c>
      <c r="CL137" s="75">
        <f t="shared" si="144"/>
        <v>0</v>
      </c>
      <c r="CM137" s="75">
        <f t="shared" si="144"/>
        <v>0</v>
      </c>
      <c r="CN137" s="75">
        <f t="shared" si="144"/>
        <v>0</v>
      </c>
      <c r="CO137" s="75">
        <f t="shared" si="144"/>
        <v>0</v>
      </c>
      <c r="CP137" s="75">
        <f t="shared" si="144"/>
        <v>0</v>
      </c>
      <c r="CQ137" s="75">
        <f t="shared" si="144"/>
        <v>0</v>
      </c>
      <c r="CR137" s="75">
        <f t="shared" si="144"/>
        <v>0</v>
      </c>
      <c r="CS137" s="75">
        <f t="shared" si="144"/>
        <v>0</v>
      </c>
      <c r="CT137" s="75">
        <f t="shared" si="144"/>
        <v>0</v>
      </c>
      <c r="CU137" s="75">
        <f t="shared" si="144"/>
        <v>0</v>
      </c>
      <c r="CV137" s="75">
        <f t="shared" si="144"/>
        <v>0</v>
      </c>
      <c r="CW137" s="75">
        <f t="shared" si="144"/>
        <v>0</v>
      </c>
      <c r="CX137" s="75">
        <f t="shared" si="144"/>
        <v>0</v>
      </c>
      <c r="CY137" s="75">
        <f t="shared" si="144"/>
        <v>0</v>
      </c>
      <c r="CZ137" s="75">
        <f t="shared" si="144"/>
        <v>0</v>
      </c>
      <c r="DA137" s="75">
        <f t="shared" si="144"/>
        <v>0</v>
      </c>
      <c r="DB137" s="75">
        <f t="shared" si="144"/>
        <v>0</v>
      </c>
      <c r="DC137" s="75">
        <f t="shared" si="144"/>
        <v>0</v>
      </c>
      <c r="DD137" s="75">
        <f t="shared" si="144"/>
        <v>0</v>
      </c>
      <c r="DE137" s="75">
        <f t="shared" si="144"/>
        <v>0</v>
      </c>
      <c r="DF137" s="75">
        <f t="shared" si="144"/>
        <v>0</v>
      </c>
      <c r="DG137" s="75">
        <f t="shared" si="144"/>
        <v>0</v>
      </c>
      <c r="DH137" s="75">
        <f t="shared" si="144"/>
        <v>0</v>
      </c>
      <c r="DI137" s="75">
        <f t="shared" si="144"/>
        <v>0</v>
      </c>
      <c r="DJ137" s="75">
        <f t="shared" si="144"/>
        <v>0</v>
      </c>
      <c r="DK137" s="75">
        <f t="shared" si="144"/>
        <v>0</v>
      </c>
      <c r="DL137" s="75">
        <f t="shared" si="144"/>
        <v>0</v>
      </c>
    </row>
    <row r="138" spans="2:116">
      <c r="B138" s="27">
        <f>Rentroll!$C$42</f>
        <v>12</v>
      </c>
      <c r="C138" s="69" t="str">
        <f>VLOOKUP($B138,Rentroll!$C$37:$Z$60,3,FALSE)</f>
        <v>신라젠</v>
      </c>
      <c r="D138" s="80">
        <f>VLOOKUP($B138,Rentroll!$C$37:$Z$60,9,FALSE)</f>
        <v>45869</v>
      </c>
      <c r="E138" s="80">
        <f>VLOOKUP($B138,Rentroll!$C$37:$Z$60,10,FALSE)</f>
        <v>47695</v>
      </c>
      <c r="F138" s="81">
        <f>VLOOKUP($B138,Rentroll!$C$37:$Z$60,11,FALSE)</f>
        <v>60</v>
      </c>
      <c r="G138" s="69">
        <f>VLOOKUP($B138,Rentroll!$C$37:$Z$60,13,FALSE)</f>
        <v>103000</v>
      </c>
      <c r="H138" s="69">
        <f>VLOOKUP($B138,Rentroll!$C$37:$Z$60,14,FALSE)</f>
        <v>94416.666666666672</v>
      </c>
      <c r="I138" s="69">
        <f>VLOOKUP($B138,Rentroll!$C$37:$Z$60,15,FALSE)</f>
        <v>45000</v>
      </c>
      <c r="J138" s="82">
        <f>VLOOKUP($B138,Rentroll!$C$37:$Z$60,19,FALSE)</f>
        <v>0.03</v>
      </c>
      <c r="K138" s="83">
        <f>VLOOKUP($B138,Rentroll!$C$37:$Z$60,4,FALSE)</f>
        <v>1385.09</v>
      </c>
      <c r="L138" s="81">
        <f>VLOOKUP($B138,Rentroll!$C$37:$Z$60,17,FALSE)</f>
        <v>1</v>
      </c>
      <c r="M138" s="84">
        <f>VLOOKUP($B138,Rentroll!$C$37:$Z$60,18,FALSE)</f>
        <v>1</v>
      </c>
      <c r="O138" s="74">
        <f t="shared" si="132"/>
        <v>12</v>
      </c>
      <c r="P138" s="75"/>
      <c r="Q138" s="75"/>
      <c r="R138" s="75">
        <f t="shared" ref="R138:AW138" si="145">(IF($D138&gt;R$14,0,ROUNDUP(YEARFRAC($D138,R$14),0)))*R44</f>
        <v>0</v>
      </c>
      <c r="S138" s="75">
        <f t="shared" si="145"/>
        <v>0</v>
      </c>
      <c r="T138" s="75">
        <f t="shared" si="145"/>
        <v>0</v>
      </c>
      <c r="U138" s="75">
        <f t="shared" si="145"/>
        <v>0</v>
      </c>
      <c r="V138" s="75">
        <f t="shared" si="145"/>
        <v>0</v>
      </c>
      <c r="W138" s="75">
        <f t="shared" si="145"/>
        <v>0</v>
      </c>
      <c r="X138" s="75">
        <f t="shared" si="145"/>
        <v>0</v>
      </c>
      <c r="Y138" s="75">
        <f t="shared" si="145"/>
        <v>1</v>
      </c>
      <c r="Z138" s="75">
        <f t="shared" si="145"/>
        <v>1</v>
      </c>
      <c r="AA138" s="75">
        <f t="shared" si="145"/>
        <v>1</v>
      </c>
      <c r="AB138" s="75">
        <f t="shared" si="145"/>
        <v>1</v>
      </c>
      <c r="AC138" s="75">
        <f t="shared" si="145"/>
        <v>1</v>
      </c>
      <c r="AD138" s="75">
        <f t="shared" si="145"/>
        <v>1</v>
      </c>
      <c r="AE138" s="75">
        <f t="shared" si="145"/>
        <v>1</v>
      </c>
      <c r="AF138" s="75">
        <f t="shared" si="145"/>
        <v>1</v>
      </c>
      <c r="AG138" s="75">
        <f t="shared" si="145"/>
        <v>1</v>
      </c>
      <c r="AH138" s="75">
        <f t="shared" si="145"/>
        <v>1</v>
      </c>
      <c r="AI138" s="75">
        <f t="shared" si="145"/>
        <v>1</v>
      </c>
      <c r="AJ138" s="75">
        <f t="shared" si="145"/>
        <v>1</v>
      </c>
      <c r="AK138" s="75">
        <f t="shared" si="145"/>
        <v>2</v>
      </c>
      <c r="AL138" s="75">
        <f t="shared" si="145"/>
        <v>2</v>
      </c>
      <c r="AM138" s="75">
        <f t="shared" si="145"/>
        <v>2</v>
      </c>
      <c r="AN138" s="75">
        <f t="shared" si="145"/>
        <v>2</v>
      </c>
      <c r="AO138" s="75">
        <f t="shared" si="145"/>
        <v>2</v>
      </c>
      <c r="AP138" s="75">
        <f t="shared" si="145"/>
        <v>2</v>
      </c>
      <c r="AQ138" s="75">
        <f t="shared" si="145"/>
        <v>2</v>
      </c>
      <c r="AR138" s="75">
        <f t="shared" si="145"/>
        <v>2</v>
      </c>
      <c r="AS138" s="75">
        <f t="shared" si="145"/>
        <v>2</v>
      </c>
      <c r="AT138" s="75">
        <f t="shared" si="145"/>
        <v>2</v>
      </c>
      <c r="AU138" s="75">
        <f t="shared" si="145"/>
        <v>2</v>
      </c>
      <c r="AV138" s="75">
        <f t="shared" si="145"/>
        <v>2</v>
      </c>
      <c r="AW138" s="75">
        <f t="shared" si="145"/>
        <v>3</v>
      </c>
      <c r="AX138" s="75">
        <f t="shared" ref="AX138:CC138" si="146">(IF($D138&gt;AX$14,0,ROUNDUP(YEARFRAC($D138,AX$14),0)))*AX44</f>
        <v>3</v>
      </c>
      <c r="AY138" s="75">
        <f t="shared" si="146"/>
        <v>3</v>
      </c>
      <c r="AZ138" s="75">
        <f t="shared" si="146"/>
        <v>3</v>
      </c>
      <c r="BA138" s="75">
        <f t="shared" si="146"/>
        <v>3</v>
      </c>
      <c r="BB138" s="75">
        <f t="shared" si="146"/>
        <v>3</v>
      </c>
      <c r="BC138" s="75">
        <f t="shared" si="146"/>
        <v>3</v>
      </c>
      <c r="BD138" s="75">
        <f t="shared" si="146"/>
        <v>3</v>
      </c>
      <c r="BE138" s="75">
        <f t="shared" si="146"/>
        <v>3</v>
      </c>
      <c r="BF138" s="75">
        <f t="shared" si="146"/>
        <v>3</v>
      </c>
      <c r="BG138" s="75">
        <f t="shared" si="146"/>
        <v>3</v>
      </c>
      <c r="BH138" s="75">
        <f t="shared" si="146"/>
        <v>3</v>
      </c>
      <c r="BI138" s="75">
        <f t="shared" si="146"/>
        <v>4</v>
      </c>
      <c r="BJ138" s="75">
        <f t="shared" si="146"/>
        <v>4</v>
      </c>
      <c r="BK138" s="75">
        <f t="shared" si="146"/>
        <v>4</v>
      </c>
      <c r="BL138" s="75">
        <f t="shared" si="146"/>
        <v>4</v>
      </c>
      <c r="BM138" s="75">
        <f t="shared" si="146"/>
        <v>4</v>
      </c>
      <c r="BN138" s="75">
        <f t="shared" si="146"/>
        <v>4</v>
      </c>
      <c r="BO138" s="75">
        <f t="shared" si="146"/>
        <v>4</v>
      </c>
      <c r="BP138" s="75">
        <f t="shared" si="146"/>
        <v>4</v>
      </c>
      <c r="BQ138" s="75">
        <f t="shared" si="146"/>
        <v>4</v>
      </c>
      <c r="BR138" s="75">
        <f t="shared" si="146"/>
        <v>4</v>
      </c>
      <c r="BS138" s="75">
        <f t="shared" si="146"/>
        <v>4</v>
      </c>
      <c r="BT138" s="75">
        <f t="shared" si="146"/>
        <v>4</v>
      </c>
      <c r="BU138" s="75">
        <f t="shared" si="146"/>
        <v>5</v>
      </c>
      <c r="BV138" s="75">
        <f t="shared" si="146"/>
        <v>5</v>
      </c>
      <c r="BW138" s="75">
        <f t="shared" si="146"/>
        <v>5</v>
      </c>
      <c r="BX138" s="75">
        <f t="shared" si="146"/>
        <v>5</v>
      </c>
      <c r="BY138" s="75">
        <f t="shared" si="146"/>
        <v>5</v>
      </c>
      <c r="BZ138" s="75">
        <f t="shared" si="146"/>
        <v>5</v>
      </c>
      <c r="CA138" s="75">
        <f t="shared" si="146"/>
        <v>0</v>
      </c>
      <c r="CB138" s="75">
        <f t="shared" si="146"/>
        <v>0</v>
      </c>
      <c r="CC138" s="75">
        <f t="shared" si="146"/>
        <v>0</v>
      </c>
      <c r="CD138" s="75">
        <f t="shared" ref="CD138:DL138" si="147">(IF($D138&gt;CD$14,0,ROUNDUP(YEARFRAC($D138,CD$14),0)))*CD44</f>
        <v>0</v>
      </c>
      <c r="CE138" s="75">
        <f t="shared" si="147"/>
        <v>0</v>
      </c>
      <c r="CF138" s="75">
        <f t="shared" si="147"/>
        <v>0</v>
      </c>
      <c r="CG138" s="75">
        <f t="shared" si="147"/>
        <v>0</v>
      </c>
      <c r="CH138" s="75">
        <f t="shared" si="147"/>
        <v>0</v>
      </c>
      <c r="CI138" s="75">
        <f t="shared" si="147"/>
        <v>0</v>
      </c>
      <c r="CJ138" s="75">
        <f t="shared" si="147"/>
        <v>0</v>
      </c>
      <c r="CK138" s="75">
        <f t="shared" si="147"/>
        <v>0</v>
      </c>
      <c r="CL138" s="75">
        <f t="shared" si="147"/>
        <v>0</v>
      </c>
      <c r="CM138" s="75">
        <f t="shared" si="147"/>
        <v>0</v>
      </c>
      <c r="CN138" s="75">
        <f t="shared" si="147"/>
        <v>0</v>
      </c>
      <c r="CO138" s="75">
        <f t="shared" si="147"/>
        <v>0</v>
      </c>
      <c r="CP138" s="75">
        <f t="shared" si="147"/>
        <v>0</v>
      </c>
      <c r="CQ138" s="75">
        <f t="shared" si="147"/>
        <v>0</v>
      </c>
      <c r="CR138" s="75">
        <f t="shared" si="147"/>
        <v>0</v>
      </c>
      <c r="CS138" s="75">
        <f t="shared" si="147"/>
        <v>0</v>
      </c>
      <c r="CT138" s="75">
        <f t="shared" si="147"/>
        <v>0</v>
      </c>
      <c r="CU138" s="75">
        <f t="shared" si="147"/>
        <v>0</v>
      </c>
      <c r="CV138" s="75">
        <f t="shared" si="147"/>
        <v>0</v>
      </c>
      <c r="CW138" s="75">
        <f t="shared" si="147"/>
        <v>0</v>
      </c>
      <c r="CX138" s="75">
        <f t="shared" si="147"/>
        <v>0</v>
      </c>
      <c r="CY138" s="75">
        <f t="shared" si="147"/>
        <v>0</v>
      </c>
      <c r="CZ138" s="75">
        <f t="shared" si="147"/>
        <v>0</v>
      </c>
      <c r="DA138" s="75">
        <f t="shared" si="147"/>
        <v>0</v>
      </c>
      <c r="DB138" s="75">
        <f t="shared" si="147"/>
        <v>0</v>
      </c>
      <c r="DC138" s="75">
        <f t="shared" si="147"/>
        <v>0</v>
      </c>
      <c r="DD138" s="75">
        <f t="shared" si="147"/>
        <v>0</v>
      </c>
      <c r="DE138" s="75">
        <f t="shared" si="147"/>
        <v>0</v>
      </c>
      <c r="DF138" s="75">
        <f t="shared" si="147"/>
        <v>0</v>
      </c>
      <c r="DG138" s="75">
        <f t="shared" si="147"/>
        <v>0</v>
      </c>
      <c r="DH138" s="75">
        <f t="shared" si="147"/>
        <v>0</v>
      </c>
      <c r="DI138" s="75">
        <f t="shared" si="147"/>
        <v>0</v>
      </c>
      <c r="DJ138" s="75">
        <f t="shared" si="147"/>
        <v>0</v>
      </c>
      <c r="DK138" s="75">
        <f t="shared" si="147"/>
        <v>0</v>
      </c>
      <c r="DL138" s="75">
        <f t="shared" si="147"/>
        <v>0</v>
      </c>
    </row>
    <row r="139" spans="2:116">
      <c r="B139" s="27">
        <f>Rentroll!$C$43</f>
        <v>11</v>
      </c>
      <c r="C139" s="69" t="str">
        <f>VLOOKUP($B139,Rentroll!$C$37:$Z$60,3,FALSE)</f>
        <v>노벰버 건설</v>
      </c>
      <c r="D139" s="80">
        <f>VLOOKUP($B139,Rentroll!$C$37:$Z$60,9,FALSE)</f>
        <v>46904</v>
      </c>
      <c r="E139" s="80">
        <f>VLOOKUP($B139,Rentroll!$C$37:$Z$60,10,FALSE)</f>
        <v>48730</v>
      </c>
      <c r="F139" s="81">
        <f>VLOOKUP($B139,Rentroll!$C$37:$Z$60,11,FALSE)</f>
        <v>60</v>
      </c>
      <c r="G139" s="69">
        <f>VLOOKUP($B139,Rentroll!$C$37:$Z$60,13,FALSE)</f>
        <v>112550.88099999999</v>
      </c>
      <c r="H139" s="69">
        <f>VLOOKUP($B139,Rentroll!$C$37:$Z$60,14,FALSE)</f>
        <v>103171.64091666666</v>
      </c>
      <c r="I139" s="69">
        <f>VLOOKUP($B139,Rentroll!$C$37:$Z$60,15,FALSE)</f>
        <v>49172.715000000004</v>
      </c>
      <c r="J139" s="82">
        <f>VLOOKUP($B139,Rentroll!$C$37:$Z$60,19,FALSE)</f>
        <v>0.03</v>
      </c>
      <c r="K139" s="83">
        <f>VLOOKUP($B139,Rentroll!$C$37:$Z$60,4,FALSE)</f>
        <v>1385.09</v>
      </c>
      <c r="L139" s="81">
        <f>VLOOKUP($B139,Rentroll!$C$37:$Z$60,17,FALSE)</f>
        <v>0</v>
      </c>
      <c r="M139" s="84">
        <f>VLOOKUP($B139,Rentroll!$C$37:$Z$60,18,FALSE)</f>
        <v>1</v>
      </c>
      <c r="O139" s="74">
        <f t="shared" si="132"/>
        <v>11</v>
      </c>
      <c r="P139" s="75"/>
      <c r="Q139" s="75"/>
      <c r="R139" s="75">
        <f t="shared" ref="R139:AW139" si="148">(IF($D139&gt;R$14,0,ROUNDUP(YEARFRAC($D139,R$14),0)))*R45</f>
        <v>0</v>
      </c>
      <c r="S139" s="75">
        <f t="shared" si="148"/>
        <v>0</v>
      </c>
      <c r="T139" s="75">
        <f t="shared" si="148"/>
        <v>0</v>
      </c>
      <c r="U139" s="75">
        <f t="shared" si="148"/>
        <v>0</v>
      </c>
      <c r="V139" s="75">
        <f t="shared" si="148"/>
        <v>0</v>
      </c>
      <c r="W139" s="75">
        <f t="shared" si="148"/>
        <v>0</v>
      </c>
      <c r="X139" s="75">
        <f t="shared" si="148"/>
        <v>0</v>
      </c>
      <c r="Y139" s="75">
        <f t="shared" si="148"/>
        <v>0</v>
      </c>
      <c r="Z139" s="75">
        <f t="shared" si="148"/>
        <v>0</v>
      </c>
      <c r="AA139" s="75">
        <f t="shared" si="148"/>
        <v>0</v>
      </c>
      <c r="AB139" s="75">
        <f t="shared" si="148"/>
        <v>0</v>
      </c>
      <c r="AC139" s="75">
        <f t="shared" si="148"/>
        <v>0</v>
      </c>
      <c r="AD139" s="75">
        <f t="shared" si="148"/>
        <v>0</v>
      </c>
      <c r="AE139" s="75">
        <f t="shared" si="148"/>
        <v>0</v>
      </c>
      <c r="AF139" s="75">
        <f t="shared" si="148"/>
        <v>0</v>
      </c>
      <c r="AG139" s="75">
        <f t="shared" si="148"/>
        <v>0</v>
      </c>
      <c r="AH139" s="75">
        <f t="shared" si="148"/>
        <v>0</v>
      </c>
      <c r="AI139" s="75">
        <f t="shared" si="148"/>
        <v>0</v>
      </c>
      <c r="AJ139" s="75">
        <f t="shared" si="148"/>
        <v>0</v>
      </c>
      <c r="AK139" s="75">
        <f t="shared" si="148"/>
        <v>0</v>
      </c>
      <c r="AL139" s="75">
        <f t="shared" si="148"/>
        <v>0</v>
      </c>
      <c r="AM139" s="75">
        <f t="shared" si="148"/>
        <v>0</v>
      </c>
      <c r="AN139" s="75">
        <f t="shared" si="148"/>
        <v>0</v>
      </c>
      <c r="AO139" s="75">
        <f t="shared" si="148"/>
        <v>0</v>
      </c>
      <c r="AP139" s="75">
        <f t="shared" si="148"/>
        <v>0</v>
      </c>
      <c r="AQ139" s="75">
        <f t="shared" si="148"/>
        <v>0</v>
      </c>
      <c r="AR139" s="75">
        <f t="shared" si="148"/>
        <v>0</v>
      </c>
      <c r="AS139" s="75">
        <f t="shared" si="148"/>
        <v>0</v>
      </c>
      <c r="AT139" s="75">
        <f t="shared" si="148"/>
        <v>0</v>
      </c>
      <c r="AU139" s="75">
        <f t="shared" si="148"/>
        <v>0</v>
      </c>
      <c r="AV139" s="75">
        <f t="shared" si="148"/>
        <v>0</v>
      </c>
      <c r="AW139" s="75">
        <f t="shared" si="148"/>
        <v>0</v>
      </c>
      <c r="AX139" s="75">
        <f t="shared" ref="AX139:CC139" si="149">(IF($D139&gt;AX$14,0,ROUNDUP(YEARFRAC($D139,AX$14),0)))*AX45</f>
        <v>0</v>
      </c>
      <c r="AY139" s="75">
        <f t="shared" si="149"/>
        <v>0</v>
      </c>
      <c r="AZ139" s="75">
        <f t="shared" si="149"/>
        <v>0</v>
      </c>
      <c r="BA139" s="75">
        <f t="shared" si="149"/>
        <v>0</v>
      </c>
      <c r="BB139" s="75">
        <f t="shared" si="149"/>
        <v>0</v>
      </c>
      <c r="BC139" s="75">
        <f t="shared" si="149"/>
        <v>0</v>
      </c>
      <c r="BD139" s="75">
        <f t="shared" si="149"/>
        <v>0</v>
      </c>
      <c r="BE139" s="75">
        <f t="shared" si="149"/>
        <v>0</v>
      </c>
      <c r="BF139" s="75">
        <f t="shared" si="149"/>
        <v>0</v>
      </c>
      <c r="BG139" s="75">
        <f t="shared" si="149"/>
        <v>1</v>
      </c>
      <c r="BH139" s="75">
        <f t="shared" si="149"/>
        <v>1</v>
      </c>
      <c r="BI139" s="75">
        <f t="shared" si="149"/>
        <v>1</v>
      </c>
      <c r="BJ139" s="75">
        <f t="shared" si="149"/>
        <v>1</v>
      </c>
      <c r="BK139" s="75">
        <f t="shared" si="149"/>
        <v>1</v>
      </c>
      <c r="BL139" s="75">
        <f t="shared" si="149"/>
        <v>1</v>
      </c>
      <c r="BM139" s="75">
        <f t="shared" si="149"/>
        <v>1</v>
      </c>
      <c r="BN139" s="75">
        <f t="shared" si="149"/>
        <v>1</v>
      </c>
      <c r="BO139" s="75">
        <f t="shared" si="149"/>
        <v>1</v>
      </c>
      <c r="BP139" s="75">
        <f t="shared" si="149"/>
        <v>1</v>
      </c>
      <c r="BQ139" s="75">
        <f t="shared" si="149"/>
        <v>1</v>
      </c>
      <c r="BR139" s="75">
        <f t="shared" si="149"/>
        <v>1</v>
      </c>
      <c r="BS139" s="75">
        <f t="shared" si="149"/>
        <v>2</v>
      </c>
      <c r="BT139" s="75">
        <f t="shared" si="149"/>
        <v>2</v>
      </c>
      <c r="BU139" s="75">
        <f t="shared" si="149"/>
        <v>2</v>
      </c>
      <c r="BV139" s="75">
        <f t="shared" si="149"/>
        <v>2</v>
      </c>
      <c r="BW139" s="75">
        <f t="shared" si="149"/>
        <v>2</v>
      </c>
      <c r="BX139" s="75">
        <f t="shared" si="149"/>
        <v>2</v>
      </c>
      <c r="BY139" s="75">
        <f t="shared" si="149"/>
        <v>2</v>
      </c>
      <c r="BZ139" s="75">
        <f t="shared" si="149"/>
        <v>2</v>
      </c>
      <c r="CA139" s="75">
        <f t="shared" si="149"/>
        <v>0</v>
      </c>
      <c r="CB139" s="75">
        <f t="shared" si="149"/>
        <v>0</v>
      </c>
      <c r="CC139" s="75">
        <f t="shared" si="149"/>
        <v>0</v>
      </c>
      <c r="CD139" s="75">
        <f t="shared" ref="CD139:DL139" si="150">(IF($D139&gt;CD$14,0,ROUNDUP(YEARFRAC($D139,CD$14),0)))*CD45</f>
        <v>0</v>
      </c>
      <c r="CE139" s="75">
        <f t="shared" si="150"/>
        <v>0</v>
      </c>
      <c r="CF139" s="75">
        <f t="shared" si="150"/>
        <v>0</v>
      </c>
      <c r="CG139" s="75">
        <f t="shared" si="150"/>
        <v>0</v>
      </c>
      <c r="CH139" s="75">
        <f t="shared" si="150"/>
        <v>0</v>
      </c>
      <c r="CI139" s="75">
        <f t="shared" si="150"/>
        <v>0</v>
      </c>
      <c r="CJ139" s="75">
        <f t="shared" si="150"/>
        <v>0</v>
      </c>
      <c r="CK139" s="75">
        <f t="shared" si="150"/>
        <v>0</v>
      </c>
      <c r="CL139" s="75">
        <f t="shared" si="150"/>
        <v>0</v>
      </c>
      <c r="CM139" s="75">
        <f t="shared" si="150"/>
        <v>0</v>
      </c>
      <c r="CN139" s="75">
        <f t="shared" si="150"/>
        <v>0</v>
      </c>
      <c r="CO139" s="75">
        <f t="shared" si="150"/>
        <v>0</v>
      </c>
      <c r="CP139" s="75">
        <f t="shared" si="150"/>
        <v>0</v>
      </c>
      <c r="CQ139" s="75">
        <f t="shared" si="150"/>
        <v>0</v>
      </c>
      <c r="CR139" s="75">
        <f t="shared" si="150"/>
        <v>0</v>
      </c>
      <c r="CS139" s="75">
        <f t="shared" si="150"/>
        <v>0</v>
      </c>
      <c r="CT139" s="75">
        <f t="shared" si="150"/>
        <v>0</v>
      </c>
      <c r="CU139" s="75">
        <f t="shared" si="150"/>
        <v>0</v>
      </c>
      <c r="CV139" s="75">
        <f t="shared" si="150"/>
        <v>0</v>
      </c>
      <c r="CW139" s="75">
        <f t="shared" si="150"/>
        <v>0</v>
      </c>
      <c r="CX139" s="75">
        <f t="shared" si="150"/>
        <v>0</v>
      </c>
      <c r="CY139" s="75">
        <f t="shared" si="150"/>
        <v>0</v>
      </c>
      <c r="CZ139" s="75">
        <f t="shared" si="150"/>
        <v>0</v>
      </c>
      <c r="DA139" s="75">
        <f t="shared" si="150"/>
        <v>0</v>
      </c>
      <c r="DB139" s="75">
        <f t="shared" si="150"/>
        <v>0</v>
      </c>
      <c r="DC139" s="75">
        <f t="shared" si="150"/>
        <v>0</v>
      </c>
      <c r="DD139" s="75">
        <f t="shared" si="150"/>
        <v>0</v>
      </c>
      <c r="DE139" s="75">
        <f t="shared" si="150"/>
        <v>0</v>
      </c>
      <c r="DF139" s="75">
        <f t="shared" si="150"/>
        <v>0</v>
      </c>
      <c r="DG139" s="75">
        <f t="shared" si="150"/>
        <v>0</v>
      </c>
      <c r="DH139" s="75">
        <f t="shared" si="150"/>
        <v>0</v>
      </c>
      <c r="DI139" s="75">
        <f t="shared" si="150"/>
        <v>0</v>
      </c>
      <c r="DJ139" s="75">
        <f t="shared" si="150"/>
        <v>0</v>
      </c>
      <c r="DK139" s="75">
        <f t="shared" si="150"/>
        <v>0</v>
      </c>
      <c r="DL139" s="75">
        <f t="shared" si="150"/>
        <v>0</v>
      </c>
    </row>
    <row r="140" spans="2:116">
      <c r="B140" s="27">
        <f>Rentroll!$C$44</f>
        <v>10</v>
      </c>
      <c r="C140" s="69" t="str">
        <f>VLOOKUP($B140,Rentroll!$C$37:$Z$60,3,FALSE)</f>
        <v>노벰버 건설</v>
      </c>
      <c r="D140" s="80">
        <f>VLOOKUP($B140,Rentroll!$C$37:$Z$60,9,FALSE)</f>
        <v>46904</v>
      </c>
      <c r="E140" s="80">
        <f>VLOOKUP($B140,Rentroll!$C$37:$Z$60,10,FALSE)</f>
        <v>48730</v>
      </c>
      <c r="F140" s="81">
        <f>VLOOKUP($B140,Rentroll!$C$37:$Z$60,11,FALSE)</f>
        <v>60</v>
      </c>
      <c r="G140" s="69">
        <f>VLOOKUP($B140,Rentroll!$C$37:$Z$60,13,FALSE)</f>
        <v>112550.88099999999</v>
      </c>
      <c r="H140" s="69">
        <f>VLOOKUP($B140,Rentroll!$C$37:$Z$60,14,FALSE)</f>
        <v>103171.64091666666</v>
      </c>
      <c r="I140" s="69">
        <f>VLOOKUP($B140,Rentroll!$C$37:$Z$60,15,FALSE)</f>
        <v>49172.715000000004</v>
      </c>
      <c r="J140" s="82">
        <f>VLOOKUP($B140,Rentroll!$C$37:$Z$60,19,FALSE)</f>
        <v>0.03</v>
      </c>
      <c r="K140" s="83">
        <f>VLOOKUP($B140,Rentroll!$C$37:$Z$60,4,FALSE)</f>
        <v>1385.09</v>
      </c>
      <c r="L140" s="81">
        <f>VLOOKUP($B140,Rentroll!$C$37:$Z$60,17,FALSE)</f>
        <v>0</v>
      </c>
      <c r="M140" s="84">
        <f>VLOOKUP($B140,Rentroll!$C$37:$Z$60,18,FALSE)</f>
        <v>1</v>
      </c>
      <c r="O140" s="74">
        <f t="shared" si="132"/>
        <v>10</v>
      </c>
      <c r="P140" s="75"/>
      <c r="Q140" s="75"/>
      <c r="R140" s="75">
        <f t="shared" ref="R140:AW140" si="151">(IF($D140&gt;R$14,0,ROUNDUP(YEARFRAC($D140,R$14),0)))*R46</f>
        <v>0</v>
      </c>
      <c r="S140" s="75">
        <f t="shared" si="151"/>
        <v>0</v>
      </c>
      <c r="T140" s="75">
        <f t="shared" si="151"/>
        <v>0</v>
      </c>
      <c r="U140" s="75">
        <f t="shared" si="151"/>
        <v>0</v>
      </c>
      <c r="V140" s="75">
        <f t="shared" si="151"/>
        <v>0</v>
      </c>
      <c r="W140" s="75">
        <f t="shared" si="151"/>
        <v>0</v>
      </c>
      <c r="X140" s="75">
        <f t="shared" si="151"/>
        <v>0</v>
      </c>
      <c r="Y140" s="75">
        <f t="shared" si="151"/>
        <v>0</v>
      </c>
      <c r="Z140" s="75">
        <f t="shared" si="151"/>
        <v>0</v>
      </c>
      <c r="AA140" s="75">
        <f t="shared" si="151"/>
        <v>0</v>
      </c>
      <c r="AB140" s="75">
        <f t="shared" si="151"/>
        <v>0</v>
      </c>
      <c r="AC140" s="75">
        <f t="shared" si="151"/>
        <v>0</v>
      </c>
      <c r="AD140" s="75">
        <f t="shared" si="151"/>
        <v>0</v>
      </c>
      <c r="AE140" s="75">
        <f t="shared" si="151"/>
        <v>0</v>
      </c>
      <c r="AF140" s="75">
        <f t="shared" si="151"/>
        <v>0</v>
      </c>
      <c r="AG140" s="75">
        <f t="shared" si="151"/>
        <v>0</v>
      </c>
      <c r="AH140" s="75">
        <f t="shared" si="151"/>
        <v>0</v>
      </c>
      <c r="AI140" s="75">
        <f t="shared" si="151"/>
        <v>0</v>
      </c>
      <c r="AJ140" s="75">
        <f t="shared" si="151"/>
        <v>0</v>
      </c>
      <c r="AK140" s="75">
        <f t="shared" si="151"/>
        <v>0</v>
      </c>
      <c r="AL140" s="75">
        <f t="shared" si="151"/>
        <v>0</v>
      </c>
      <c r="AM140" s="75">
        <f t="shared" si="151"/>
        <v>0</v>
      </c>
      <c r="AN140" s="75">
        <f t="shared" si="151"/>
        <v>0</v>
      </c>
      <c r="AO140" s="75">
        <f t="shared" si="151"/>
        <v>0</v>
      </c>
      <c r="AP140" s="75">
        <f t="shared" si="151"/>
        <v>0</v>
      </c>
      <c r="AQ140" s="75">
        <f t="shared" si="151"/>
        <v>0</v>
      </c>
      <c r="AR140" s="75">
        <f t="shared" si="151"/>
        <v>0</v>
      </c>
      <c r="AS140" s="75">
        <f t="shared" si="151"/>
        <v>0</v>
      </c>
      <c r="AT140" s="75">
        <f t="shared" si="151"/>
        <v>0</v>
      </c>
      <c r="AU140" s="75">
        <f t="shared" si="151"/>
        <v>0</v>
      </c>
      <c r="AV140" s="75">
        <f t="shared" si="151"/>
        <v>0</v>
      </c>
      <c r="AW140" s="75">
        <f t="shared" si="151"/>
        <v>0</v>
      </c>
      <c r="AX140" s="75">
        <f t="shared" ref="AX140:CC140" si="152">(IF($D140&gt;AX$14,0,ROUNDUP(YEARFRAC($D140,AX$14),0)))*AX46</f>
        <v>0</v>
      </c>
      <c r="AY140" s="75">
        <f t="shared" si="152"/>
        <v>0</v>
      </c>
      <c r="AZ140" s="75">
        <f t="shared" si="152"/>
        <v>0</v>
      </c>
      <c r="BA140" s="75">
        <f t="shared" si="152"/>
        <v>0</v>
      </c>
      <c r="BB140" s="75">
        <f t="shared" si="152"/>
        <v>0</v>
      </c>
      <c r="BC140" s="75">
        <f t="shared" si="152"/>
        <v>0</v>
      </c>
      <c r="BD140" s="75">
        <f t="shared" si="152"/>
        <v>0</v>
      </c>
      <c r="BE140" s="75">
        <f t="shared" si="152"/>
        <v>0</v>
      </c>
      <c r="BF140" s="75">
        <f t="shared" si="152"/>
        <v>0</v>
      </c>
      <c r="BG140" s="75">
        <f t="shared" si="152"/>
        <v>1</v>
      </c>
      <c r="BH140" s="75">
        <f t="shared" si="152"/>
        <v>1</v>
      </c>
      <c r="BI140" s="75">
        <f t="shared" si="152"/>
        <v>1</v>
      </c>
      <c r="BJ140" s="75">
        <f t="shared" si="152"/>
        <v>1</v>
      </c>
      <c r="BK140" s="75">
        <f t="shared" si="152"/>
        <v>1</v>
      </c>
      <c r="BL140" s="75">
        <f t="shared" si="152"/>
        <v>1</v>
      </c>
      <c r="BM140" s="75">
        <f t="shared" si="152"/>
        <v>1</v>
      </c>
      <c r="BN140" s="75">
        <f t="shared" si="152"/>
        <v>1</v>
      </c>
      <c r="BO140" s="75">
        <f t="shared" si="152"/>
        <v>1</v>
      </c>
      <c r="BP140" s="75">
        <f t="shared" si="152"/>
        <v>1</v>
      </c>
      <c r="BQ140" s="75">
        <f t="shared" si="152"/>
        <v>1</v>
      </c>
      <c r="BR140" s="75">
        <f t="shared" si="152"/>
        <v>1</v>
      </c>
      <c r="BS140" s="75">
        <f t="shared" si="152"/>
        <v>2</v>
      </c>
      <c r="BT140" s="75">
        <f t="shared" si="152"/>
        <v>2</v>
      </c>
      <c r="BU140" s="75">
        <f t="shared" si="152"/>
        <v>2</v>
      </c>
      <c r="BV140" s="75">
        <f t="shared" si="152"/>
        <v>2</v>
      </c>
      <c r="BW140" s="75">
        <f t="shared" si="152"/>
        <v>2</v>
      </c>
      <c r="BX140" s="75">
        <f t="shared" si="152"/>
        <v>2</v>
      </c>
      <c r="BY140" s="75">
        <f t="shared" si="152"/>
        <v>2</v>
      </c>
      <c r="BZ140" s="75">
        <f t="shared" si="152"/>
        <v>2</v>
      </c>
      <c r="CA140" s="75">
        <f t="shared" si="152"/>
        <v>0</v>
      </c>
      <c r="CB140" s="75">
        <f t="shared" si="152"/>
        <v>0</v>
      </c>
      <c r="CC140" s="75">
        <f t="shared" si="152"/>
        <v>0</v>
      </c>
      <c r="CD140" s="75">
        <f t="shared" ref="CD140:DL140" si="153">(IF($D140&gt;CD$14,0,ROUNDUP(YEARFRAC($D140,CD$14),0)))*CD46</f>
        <v>0</v>
      </c>
      <c r="CE140" s="75">
        <f t="shared" si="153"/>
        <v>0</v>
      </c>
      <c r="CF140" s="75">
        <f t="shared" si="153"/>
        <v>0</v>
      </c>
      <c r="CG140" s="75">
        <f t="shared" si="153"/>
        <v>0</v>
      </c>
      <c r="CH140" s="75">
        <f t="shared" si="153"/>
        <v>0</v>
      </c>
      <c r="CI140" s="75">
        <f t="shared" si="153"/>
        <v>0</v>
      </c>
      <c r="CJ140" s="75">
        <f t="shared" si="153"/>
        <v>0</v>
      </c>
      <c r="CK140" s="75">
        <f t="shared" si="153"/>
        <v>0</v>
      </c>
      <c r="CL140" s="75">
        <f t="shared" si="153"/>
        <v>0</v>
      </c>
      <c r="CM140" s="75">
        <f t="shared" si="153"/>
        <v>0</v>
      </c>
      <c r="CN140" s="75">
        <f t="shared" si="153"/>
        <v>0</v>
      </c>
      <c r="CO140" s="75">
        <f t="shared" si="153"/>
        <v>0</v>
      </c>
      <c r="CP140" s="75">
        <f t="shared" si="153"/>
        <v>0</v>
      </c>
      <c r="CQ140" s="75">
        <f t="shared" si="153"/>
        <v>0</v>
      </c>
      <c r="CR140" s="75">
        <f t="shared" si="153"/>
        <v>0</v>
      </c>
      <c r="CS140" s="75">
        <f t="shared" si="153"/>
        <v>0</v>
      </c>
      <c r="CT140" s="75">
        <f t="shared" si="153"/>
        <v>0</v>
      </c>
      <c r="CU140" s="75">
        <f t="shared" si="153"/>
        <v>0</v>
      </c>
      <c r="CV140" s="75">
        <f t="shared" si="153"/>
        <v>0</v>
      </c>
      <c r="CW140" s="75">
        <f t="shared" si="153"/>
        <v>0</v>
      </c>
      <c r="CX140" s="75">
        <f t="shared" si="153"/>
        <v>0</v>
      </c>
      <c r="CY140" s="75">
        <f t="shared" si="153"/>
        <v>0</v>
      </c>
      <c r="CZ140" s="75">
        <f t="shared" si="153"/>
        <v>0</v>
      </c>
      <c r="DA140" s="75">
        <f t="shared" si="153"/>
        <v>0</v>
      </c>
      <c r="DB140" s="75">
        <f t="shared" si="153"/>
        <v>0</v>
      </c>
      <c r="DC140" s="75">
        <f t="shared" si="153"/>
        <v>0</v>
      </c>
      <c r="DD140" s="75">
        <f t="shared" si="153"/>
        <v>0</v>
      </c>
      <c r="DE140" s="75">
        <f t="shared" si="153"/>
        <v>0</v>
      </c>
      <c r="DF140" s="75">
        <f t="shared" si="153"/>
        <v>0</v>
      </c>
      <c r="DG140" s="75">
        <f t="shared" si="153"/>
        <v>0</v>
      </c>
      <c r="DH140" s="75">
        <f t="shared" si="153"/>
        <v>0</v>
      </c>
      <c r="DI140" s="75">
        <f t="shared" si="153"/>
        <v>0</v>
      </c>
      <c r="DJ140" s="75">
        <f t="shared" si="153"/>
        <v>0</v>
      </c>
      <c r="DK140" s="75">
        <f t="shared" si="153"/>
        <v>0</v>
      </c>
      <c r="DL140" s="75">
        <f t="shared" si="153"/>
        <v>0</v>
      </c>
    </row>
    <row r="141" spans="2:116">
      <c r="B141" s="27">
        <f>Rentroll!$C$45</f>
        <v>9</v>
      </c>
      <c r="C141" s="69" t="str">
        <f>VLOOKUP($B141,Rentroll!$C$37:$Z$60,3,FALSE)</f>
        <v>노벰버 건설</v>
      </c>
      <c r="D141" s="80">
        <f>VLOOKUP($B141,Rentroll!$C$37:$Z$60,9,FALSE)</f>
        <v>46904</v>
      </c>
      <c r="E141" s="80">
        <f>VLOOKUP($B141,Rentroll!$C$37:$Z$60,10,FALSE)</f>
        <v>48730</v>
      </c>
      <c r="F141" s="81">
        <f>VLOOKUP($B141,Rentroll!$C$37:$Z$60,11,FALSE)</f>
        <v>60</v>
      </c>
      <c r="G141" s="69">
        <f>VLOOKUP($B141,Rentroll!$C$37:$Z$60,13,FALSE)</f>
        <v>112550.88099999999</v>
      </c>
      <c r="H141" s="69">
        <f>VLOOKUP($B141,Rentroll!$C$37:$Z$60,14,FALSE)</f>
        <v>103171.64091666666</v>
      </c>
      <c r="I141" s="69">
        <f>VLOOKUP($B141,Rentroll!$C$37:$Z$60,15,FALSE)</f>
        <v>49172.715000000004</v>
      </c>
      <c r="J141" s="82">
        <f>VLOOKUP($B141,Rentroll!$C$37:$Z$60,19,FALSE)</f>
        <v>0.03</v>
      </c>
      <c r="K141" s="83">
        <f>VLOOKUP($B141,Rentroll!$C$37:$Z$60,4,FALSE)</f>
        <v>1385.09</v>
      </c>
      <c r="L141" s="81">
        <f>VLOOKUP($B141,Rentroll!$C$37:$Z$60,17,FALSE)</f>
        <v>0</v>
      </c>
      <c r="M141" s="84">
        <f>VLOOKUP($B141,Rentroll!$C$37:$Z$60,18,FALSE)</f>
        <v>1</v>
      </c>
      <c r="O141" s="74">
        <f t="shared" si="132"/>
        <v>9</v>
      </c>
      <c r="P141" s="75"/>
      <c r="Q141" s="75"/>
      <c r="R141" s="75">
        <f t="shared" ref="R141:AW141" si="154">(IF($D141&gt;R$14,0,ROUNDUP(YEARFRAC($D141,R$14),0)))*R47</f>
        <v>0</v>
      </c>
      <c r="S141" s="75">
        <f t="shared" si="154"/>
        <v>0</v>
      </c>
      <c r="T141" s="75">
        <f t="shared" si="154"/>
        <v>0</v>
      </c>
      <c r="U141" s="75">
        <f t="shared" si="154"/>
        <v>0</v>
      </c>
      <c r="V141" s="75">
        <f t="shared" si="154"/>
        <v>0</v>
      </c>
      <c r="W141" s="75">
        <f t="shared" si="154"/>
        <v>0</v>
      </c>
      <c r="X141" s="75">
        <f t="shared" si="154"/>
        <v>0</v>
      </c>
      <c r="Y141" s="75">
        <f t="shared" si="154"/>
        <v>0</v>
      </c>
      <c r="Z141" s="75">
        <f t="shared" si="154"/>
        <v>0</v>
      </c>
      <c r="AA141" s="75">
        <f t="shared" si="154"/>
        <v>0</v>
      </c>
      <c r="AB141" s="75">
        <f t="shared" si="154"/>
        <v>0</v>
      </c>
      <c r="AC141" s="75">
        <f t="shared" si="154"/>
        <v>0</v>
      </c>
      <c r="AD141" s="75">
        <f t="shared" si="154"/>
        <v>0</v>
      </c>
      <c r="AE141" s="75">
        <f t="shared" si="154"/>
        <v>0</v>
      </c>
      <c r="AF141" s="75">
        <f t="shared" si="154"/>
        <v>0</v>
      </c>
      <c r="AG141" s="75">
        <f t="shared" si="154"/>
        <v>0</v>
      </c>
      <c r="AH141" s="75">
        <f t="shared" si="154"/>
        <v>0</v>
      </c>
      <c r="AI141" s="75">
        <f t="shared" si="154"/>
        <v>0</v>
      </c>
      <c r="AJ141" s="75">
        <f t="shared" si="154"/>
        <v>0</v>
      </c>
      <c r="AK141" s="75">
        <f t="shared" si="154"/>
        <v>0</v>
      </c>
      <c r="AL141" s="75">
        <f t="shared" si="154"/>
        <v>0</v>
      </c>
      <c r="AM141" s="75">
        <f t="shared" si="154"/>
        <v>0</v>
      </c>
      <c r="AN141" s="75">
        <f t="shared" si="154"/>
        <v>0</v>
      </c>
      <c r="AO141" s="75">
        <f t="shared" si="154"/>
        <v>0</v>
      </c>
      <c r="AP141" s="75">
        <f t="shared" si="154"/>
        <v>0</v>
      </c>
      <c r="AQ141" s="75">
        <f t="shared" si="154"/>
        <v>0</v>
      </c>
      <c r="AR141" s="75">
        <f t="shared" si="154"/>
        <v>0</v>
      </c>
      <c r="AS141" s="75">
        <f t="shared" si="154"/>
        <v>0</v>
      </c>
      <c r="AT141" s="75">
        <f t="shared" si="154"/>
        <v>0</v>
      </c>
      <c r="AU141" s="75">
        <f t="shared" si="154"/>
        <v>0</v>
      </c>
      <c r="AV141" s="75">
        <f t="shared" si="154"/>
        <v>0</v>
      </c>
      <c r="AW141" s="75">
        <f t="shared" si="154"/>
        <v>0</v>
      </c>
      <c r="AX141" s="75">
        <f t="shared" ref="AX141:CC141" si="155">(IF($D141&gt;AX$14,0,ROUNDUP(YEARFRAC($D141,AX$14),0)))*AX47</f>
        <v>0</v>
      </c>
      <c r="AY141" s="75">
        <f t="shared" si="155"/>
        <v>0</v>
      </c>
      <c r="AZ141" s="75">
        <f t="shared" si="155"/>
        <v>0</v>
      </c>
      <c r="BA141" s="75">
        <f t="shared" si="155"/>
        <v>0</v>
      </c>
      <c r="BB141" s="75">
        <f t="shared" si="155"/>
        <v>0</v>
      </c>
      <c r="BC141" s="75">
        <f t="shared" si="155"/>
        <v>0</v>
      </c>
      <c r="BD141" s="75">
        <f t="shared" si="155"/>
        <v>0</v>
      </c>
      <c r="BE141" s="75">
        <f t="shared" si="155"/>
        <v>0</v>
      </c>
      <c r="BF141" s="75">
        <f t="shared" si="155"/>
        <v>0</v>
      </c>
      <c r="BG141" s="75">
        <f t="shared" si="155"/>
        <v>1</v>
      </c>
      <c r="BH141" s="75">
        <f t="shared" si="155"/>
        <v>1</v>
      </c>
      <c r="BI141" s="75">
        <f t="shared" si="155"/>
        <v>1</v>
      </c>
      <c r="BJ141" s="75">
        <f t="shared" si="155"/>
        <v>1</v>
      </c>
      <c r="BK141" s="75">
        <f t="shared" si="155"/>
        <v>1</v>
      </c>
      <c r="BL141" s="75">
        <f t="shared" si="155"/>
        <v>1</v>
      </c>
      <c r="BM141" s="75">
        <f t="shared" si="155"/>
        <v>1</v>
      </c>
      <c r="BN141" s="75">
        <f t="shared" si="155"/>
        <v>1</v>
      </c>
      <c r="BO141" s="75">
        <f t="shared" si="155"/>
        <v>1</v>
      </c>
      <c r="BP141" s="75">
        <f t="shared" si="155"/>
        <v>1</v>
      </c>
      <c r="BQ141" s="75">
        <f t="shared" si="155"/>
        <v>1</v>
      </c>
      <c r="BR141" s="75">
        <f t="shared" si="155"/>
        <v>1</v>
      </c>
      <c r="BS141" s="75">
        <f t="shared" si="155"/>
        <v>2</v>
      </c>
      <c r="BT141" s="75">
        <f t="shared" si="155"/>
        <v>2</v>
      </c>
      <c r="BU141" s="75">
        <f t="shared" si="155"/>
        <v>2</v>
      </c>
      <c r="BV141" s="75">
        <f t="shared" si="155"/>
        <v>2</v>
      </c>
      <c r="BW141" s="75">
        <f t="shared" si="155"/>
        <v>2</v>
      </c>
      <c r="BX141" s="75">
        <f t="shared" si="155"/>
        <v>2</v>
      </c>
      <c r="BY141" s="75">
        <f t="shared" si="155"/>
        <v>2</v>
      </c>
      <c r="BZ141" s="75">
        <f t="shared" si="155"/>
        <v>2</v>
      </c>
      <c r="CA141" s="75">
        <f t="shared" si="155"/>
        <v>0</v>
      </c>
      <c r="CB141" s="75">
        <f t="shared" si="155"/>
        <v>0</v>
      </c>
      <c r="CC141" s="75">
        <f t="shared" si="155"/>
        <v>0</v>
      </c>
      <c r="CD141" s="75">
        <f t="shared" ref="CD141:DL141" si="156">(IF($D141&gt;CD$14,0,ROUNDUP(YEARFRAC($D141,CD$14),0)))*CD47</f>
        <v>0</v>
      </c>
      <c r="CE141" s="75">
        <f t="shared" si="156"/>
        <v>0</v>
      </c>
      <c r="CF141" s="75">
        <f t="shared" si="156"/>
        <v>0</v>
      </c>
      <c r="CG141" s="75">
        <f t="shared" si="156"/>
        <v>0</v>
      </c>
      <c r="CH141" s="75">
        <f t="shared" si="156"/>
        <v>0</v>
      </c>
      <c r="CI141" s="75">
        <f t="shared" si="156"/>
        <v>0</v>
      </c>
      <c r="CJ141" s="75">
        <f t="shared" si="156"/>
        <v>0</v>
      </c>
      <c r="CK141" s="75">
        <f t="shared" si="156"/>
        <v>0</v>
      </c>
      <c r="CL141" s="75">
        <f t="shared" si="156"/>
        <v>0</v>
      </c>
      <c r="CM141" s="75">
        <f t="shared" si="156"/>
        <v>0</v>
      </c>
      <c r="CN141" s="75">
        <f t="shared" si="156"/>
        <v>0</v>
      </c>
      <c r="CO141" s="75">
        <f t="shared" si="156"/>
        <v>0</v>
      </c>
      <c r="CP141" s="75">
        <f t="shared" si="156"/>
        <v>0</v>
      </c>
      <c r="CQ141" s="75">
        <f t="shared" si="156"/>
        <v>0</v>
      </c>
      <c r="CR141" s="75">
        <f t="shared" si="156"/>
        <v>0</v>
      </c>
      <c r="CS141" s="75">
        <f t="shared" si="156"/>
        <v>0</v>
      </c>
      <c r="CT141" s="75">
        <f t="shared" si="156"/>
        <v>0</v>
      </c>
      <c r="CU141" s="75">
        <f t="shared" si="156"/>
        <v>0</v>
      </c>
      <c r="CV141" s="75">
        <f t="shared" si="156"/>
        <v>0</v>
      </c>
      <c r="CW141" s="75">
        <f t="shared" si="156"/>
        <v>0</v>
      </c>
      <c r="CX141" s="75">
        <f t="shared" si="156"/>
        <v>0</v>
      </c>
      <c r="CY141" s="75">
        <f t="shared" si="156"/>
        <v>0</v>
      </c>
      <c r="CZ141" s="75">
        <f t="shared" si="156"/>
        <v>0</v>
      </c>
      <c r="DA141" s="75">
        <f t="shared" si="156"/>
        <v>0</v>
      </c>
      <c r="DB141" s="75">
        <f t="shared" si="156"/>
        <v>0</v>
      </c>
      <c r="DC141" s="75">
        <f t="shared" si="156"/>
        <v>0</v>
      </c>
      <c r="DD141" s="75">
        <f t="shared" si="156"/>
        <v>0</v>
      </c>
      <c r="DE141" s="75">
        <f t="shared" si="156"/>
        <v>0</v>
      </c>
      <c r="DF141" s="75">
        <f t="shared" si="156"/>
        <v>0</v>
      </c>
      <c r="DG141" s="75">
        <f t="shared" si="156"/>
        <v>0</v>
      </c>
      <c r="DH141" s="75">
        <f t="shared" si="156"/>
        <v>0</v>
      </c>
      <c r="DI141" s="75">
        <f t="shared" si="156"/>
        <v>0</v>
      </c>
      <c r="DJ141" s="75">
        <f t="shared" si="156"/>
        <v>0</v>
      </c>
      <c r="DK141" s="75">
        <f t="shared" si="156"/>
        <v>0</v>
      </c>
      <c r="DL141" s="75">
        <f t="shared" si="156"/>
        <v>0</v>
      </c>
    </row>
    <row r="142" spans="2:116">
      <c r="B142" s="27">
        <f>Rentroll!$C$46</f>
        <v>8</v>
      </c>
      <c r="C142" s="69" t="str">
        <f>VLOOKUP($B142,Rentroll!$C$37:$Z$60,3,FALSE)</f>
        <v>오케스트로</v>
      </c>
      <c r="D142" s="80">
        <f>VLOOKUP($B142,Rentroll!$C$37:$Z$60,9,FALSE)</f>
        <v>46477</v>
      </c>
      <c r="E142" s="80">
        <f>VLOOKUP($B142,Rentroll!$C$37:$Z$60,10,FALSE)</f>
        <v>48304</v>
      </c>
      <c r="F142" s="81">
        <f>VLOOKUP($B142,Rentroll!$C$37:$Z$60,11,FALSE)</f>
        <v>60</v>
      </c>
      <c r="G142" s="69">
        <f>VLOOKUP($B142,Rentroll!$C$37:$Z$60,13,FALSE)</f>
        <v>109272.7</v>
      </c>
      <c r="H142" s="69">
        <f>VLOOKUP($B142,Rentroll!$C$37:$Z$60,14,FALSE)</f>
        <v>100166.64166666666</v>
      </c>
      <c r="I142" s="69">
        <f>VLOOKUP($B142,Rentroll!$C$37:$Z$60,15,FALSE)</f>
        <v>47740.5</v>
      </c>
      <c r="J142" s="82">
        <f>VLOOKUP($B142,Rentroll!$C$37:$Z$60,19,FALSE)</f>
        <v>0.03</v>
      </c>
      <c r="K142" s="83">
        <f>VLOOKUP($B142,Rentroll!$C$37:$Z$60,4,FALSE)</f>
        <v>1385.09</v>
      </c>
      <c r="L142" s="81">
        <f>VLOOKUP($B142,Rentroll!$C$37:$Z$60,17,FALSE)</f>
        <v>1</v>
      </c>
      <c r="M142" s="84">
        <f>VLOOKUP($B142,Rentroll!$C$37:$Z$60,18,FALSE)</f>
        <v>1</v>
      </c>
      <c r="O142" s="74">
        <f t="shared" si="132"/>
        <v>8</v>
      </c>
      <c r="P142" s="75"/>
      <c r="Q142" s="75"/>
      <c r="R142" s="75">
        <f t="shared" ref="R142:AW142" si="157">(IF($D142&gt;R$14,0,ROUNDUP(YEARFRAC($D142,R$14),0)))*R48</f>
        <v>0</v>
      </c>
      <c r="S142" s="75">
        <f t="shared" si="157"/>
        <v>0</v>
      </c>
      <c r="T142" s="75">
        <f t="shared" si="157"/>
        <v>0</v>
      </c>
      <c r="U142" s="75">
        <f t="shared" si="157"/>
        <v>0</v>
      </c>
      <c r="V142" s="75">
        <f t="shared" si="157"/>
        <v>0</v>
      </c>
      <c r="W142" s="75">
        <f t="shared" si="157"/>
        <v>0</v>
      </c>
      <c r="X142" s="75">
        <f t="shared" si="157"/>
        <v>0</v>
      </c>
      <c r="Y142" s="75">
        <f t="shared" si="157"/>
        <v>0</v>
      </c>
      <c r="Z142" s="75">
        <f t="shared" si="157"/>
        <v>0</v>
      </c>
      <c r="AA142" s="75">
        <f t="shared" si="157"/>
        <v>0</v>
      </c>
      <c r="AB142" s="75">
        <f t="shared" si="157"/>
        <v>0</v>
      </c>
      <c r="AC142" s="75">
        <f t="shared" si="157"/>
        <v>0</v>
      </c>
      <c r="AD142" s="75">
        <f t="shared" si="157"/>
        <v>0</v>
      </c>
      <c r="AE142" s="75">
        <f t="shared" si="157"/>
        <v>0</v>
      </c>
      <c r="AF142" s="75">
        <f t="shared" si="157"/>
        <v>0</v>
      </c>
      <c r="AG142" s="75">
        <f t="shared" si="157"/>
        <v>0</v>
      </c>
      <c r="AH142" s="75">
        <f t="shared" si="157"/>
        <v>0</v>
      </c>
      <c r="AI142" s="75">
        <f t="shared" si="157"/>
        <v>0</v>
      </c>
      <c r="AJ142" s="75">
        <f t="shared" si="157"/>
        <v>0</v>
      </c>
      <c r="AK142" s="75">
        <f t="shared" si="157"/>
        <v>0</v>
      </c>
      <c r="AL142" s="75">
        <f t="shared" si="157"/>
        <v>0</v>
      </c>
      <c r="AM142" s="75">
        <f t="shared" si="157"/>
        <v>0</v>
      </c>
      <c r="AN142" s="75">
        <f t="shared" si="157"/>
        <v>0</v>
      </c>
      <c r="AO142" s="75">
        <f t="shared" si="157"/>
        <v>0</v>
      </c>
      <c r="AP142" s="75">
        <f t="shared" si="157"/>
        <v>0</v>
      </c>
      <c r="AQ142" s="75">
        <f t="shared" si="157"/>
        <v>0</v>
      </c>
      <c r="AR142" s="75">
        <f t="shared" si="157"/>
        <v>0</v>
      </c>
      <c r="AS142" s="75">
        <f t="shared" si="157"/>
        <v>1</v>
      </c>
      <c r="AT142" s="75">
        <f t="shared" si="157"/>
        <v>1</v>
      </c>
      <c r="AU142" s="75">
        <f t="shared" si="157"/>
        <v>1</v>
      </c>
      <c r="AV142" s="75">
        <f t="shared" si="157"/>
        <v>1</v>
      </c>
      <c r="AW142" s="75">
        <f t="shared" si="157"/>
        <v>1</v>
      </c>
      <c r="AX142" s="75">
        <f t="shared" ref="AX142:CC142" si="158">(IF($D142&gt;AX$14,0,ROUNDUP(YEARFRAC($D142,AX$14),0)))*AX48</f>
        <v>1</v>
      </c>
      <c r="AY142" s="75">
        <f t="shared" si="158"/>
        <v>1</v>
      </c>
      <c r="AZ142" s="75">
        <f t="shared" si="158"/>
        <v>1</v>
      </c>
      <c r="BA142" s="75">
        <f t="shared" si="158"/>
        <v>1</v>
      </c>
      <c r="BB142" s="75">
        <f t="shared" si="158"/>
        <v>1</v>
      </c>
      <c r="BC142" s="75">
        <f t="shared" si="158"/>
        <v>1</v>
      </c>
      <c r="BD142" s="75">
        <f t="shared" si="158"/>
        <v>1</v>
      </c>
      <c r="BE142" s="75">
        <f t="shared" si="158"/>
        <v>2</v>
      </c>
      <c r="BF142" s="75">
        <f t="shared" si="158"/>
        <v>2</v>
      </c>
      <c r="BG142" s="75">
        <f t="shared" si="158"/>
        <v>2</v>
      </c>
      <c r="BH142" s="75">
        <f t="shared" si="158"/>
        <v>2</v>
      </c>
      <c r="BI142" s="75">
        <f t="shared" si="158"/>
        <v>2</v>
      </c>
      <c r="BJ142" s="75">
        <f t="shared" si="158"/>
        <v>2</v>
      </c>
      <c r="BK142" s="75">
        <f t="shared" si="158"/>
        <v>2</v>
      </c>
      <c r="BL142" s="75">
        <f t="shared" si="158"/>
        <v>2</v>
      </c>
      <c r="BM142" s="75">
        <f t="shared" si="158"/>
        <v>2</v>
      </c>
      <c r="BN142" s="75">
        <f t="shared" si="158"/>
        <v>2</v>
      </c>
      <c r="BO142" s="75">
        <f t="shared" si="158"/>
        <v>2</v>
      </c>
      <c r="BP142" s="75">
        <f t="shared" si="158"/>
        <v>2</v>
      </c>
      <c r="BQ142" s="75">
        <f t="shared" si="158"/>
        <v>3</v>
      </c>
      <c r="BR142" s="75">
        <f t="shared" si="158"/>
        <v>3</v>
      </c>
      <c r="BS142" s="75">
        <f t="shared" si="158"/>
        <v>3</v>
      </c>
      <c r="BT142" s="75">
        <f t="shared" si="158"/>
        <v>3</v>
      </c>
      <c r="BU142" s="75">
        <f t="shared" si="158"/>
        <v>3</v>
      </c>
      <c r="BV142" s="75">
        <f t="shared" si="158"/>
        <v>3</v>
      </c>
      <c r="BW142" s="75">
        <f t="shared" si="158"/>
        <v>3</v>
      </c>
      <c r="BX142" s="75">
        <f t="shared" si="158"/>
        <v>3</v>
      </c>
      <c r="BY142" s="75">
        <f t="shared" si="158"/>
        <v>3</v>
      </c>
      <c r="BZ142" s="75">
        <f t="shared" si="158"/>
        <v>3</v>
      </c>
      <c r="CA142" s="75">
        <f t="shared" si="158"/>
        <v>0</v>
      </c>
      <c r="CB142" s="75">
        <f t="shared" si="158"/>
        <v>0</v>
      </c>
      <c r="CC142" s="75">
        <f t="shared" si="158"/>
        <v>0</v>
      </c>
      <c r="CD142" s="75">
        <f t="shared" ref="CD142:DL142" si="159">(IF($D142&gt;CD$14,0,ROUNDUP(YEARFRAC($D142,CD$14),0)))*CD48</f>
        <v>0</v>
      </c>
      <c r="CE142" s="75">
        <f t="shared" si="159"/>
        <v>0</v>
      </c>
      <c r="CF142" s="75">
        <f t="shared" si="159"/>
        <v>0</v>
      </c>
      <c r="CG142" s="75">
        <f t="shared" si="159"/>
        <v>0</v>
      </c>
      <c r="CH142" s="75">
        <f t="shared" si="159"/>
        <v>0</v>
      </c>
      <c r="CI142" s="75">
        <f t="shared" si="159"/>
        <v>0</v>
      </c>
      <c r="CJ142" s="75">
        <f t="shared" si="159"/>
        <v>0</v>
      </c>
      <c r="CK142" s="75">
        <f t="shared" si="159"/>
        <v>0</v>
      </c>
      <c r="CL142" s="75">
        <f t="shared" si="159"/>
        <v>0</v>
      </c>
      <c r="CM142" s="75">
        <f t="shared" si="159"/>
        <v>0</v>
      </c>
      <c r="CN142" s="75">
        <f t="shared" si="159"/>
        <v>0</v>
      </c>
      <c r="CO142" s="75">
        <f t="shared" si="159"/>
        <v>0</v>
      </c>
      <c r="CP142" s="75">
        <f t="shared" si="159"/>
        <v>0</v>
      </c>
      <c r="CQ142" s="75">
        <f t="shared" si="159"/>
        <v>0</v>
      </c>
      <c r="CR142" s="75">
        <f t="shared" si="159"/>
        <v>0</v>
      </c>
      <c r="CS142" s="75">
        <f t="shared" si="159"/>
        <v>0</v>
      </c>
      <c r="CT142" s="75">
        <f t="shared" si="159"/>
        <v>0</v>
      </c>
      <c r="CU142" s="75">
        <f t="shared" si="159"/>
        <v>0</v>
      </c>
      <c r="CV142" s="75">
        <f t="shared" si="159"/>
        <v>0</v>
      </c>
      <c r="CW142" s="75">
        <f t="shared" si="159"/>
        <v>0</v>
      </c>
      <c r="CX142" s="75">
        <f t="shared" si="159"/>
        <v>0</v>
      </c>
      <c r="CY142" s="75">
        <f t="shared" si="159"/>
        <v>0</v>
      </c>
      <c r="CZ142" s="75">
        <f t="shared" si="159"/>
        <v>0</v>
      </c>
      <c r="DA142" s="75">
        <f t="shared" si="159"/>
        <v>0</v>
      </c>
      <c r="DB142" s="75">
        <f t="shared" si="159"/>
        <v>0</v>
      </c>
      <c r="DC142" s="75">
        <f t="shared" si="159"/>
        <v>0</v>
      </c>
      <c r="DD142" s="75">
        <f t="shared" si="159"/>
        <v>0</v>
      </c>
      <c r="DE142" s="75">
        <f t="shared" si="159"/>
        <v>0</v>
      </c>
      <c r="DF142" s="75">
        <f t="shared" si="159"/>
        <v>0</v>
      </c>
      <c r="DG142" s="75">
        <f t="shared" si="159"/>
        <v>0</v>
      </c>
      <c r="DH142" s="75">
        <f t="shared" si="159"/>
        <v>0</v>
      </c>
      <c r="DI142" s="75">
        <f t="shared" si="159"/>
        <v>0</v>
      </c>
      <c r="DJ142" s="75">
        <f t="shared" si="159"/>
        <v>0</v>
      </c>
      <c r="DK142" s="75">
        <f t="shared" si="159"/>
        <v>0</v>
      </c>
      <c r="DL142" s="75">
        <f t="shared" si="159"/>
        <v>0</v>
      </c>
    </row>
    <row r="143" spans="2:116">
      <c r="B143" s="27">
        <f>Rentroll!$C$47</f>
        <v>7</v>
      </c>
      <c r="C143" s="69" t="str">
        <f>VLOOKUP($B143,Rentroll!$C$37:$Z$60,3,FALSE)</f>
        <v>오케스트로</v>
      </c>
      <c r="D143" s="80">
        <f>VLOOKUP($B143,Rentroll!$C$37:$Z$60,9,FALSE)</f>
        <v>46477</v>
      </c>
      <c r="E143" s="80">
        <f>VLOOKUP($B143,Rentroll!$C$37:$Z$60,10,FALSE)</f>
        <v>48304</v>
      </c>
      <c r="F143" s="81">
        <f>VLOOKUP($B143,Rentroll!$C$37:$Z$60,11,FALSE)</f>
        <v>60</v>
      </c>
      <c r="G143" s="69">
        <f>VLOOKUP($B143,Rentroll!$C$37:$Z$60,13,FALSE)</f>
        <v>109272.7</v>
      </c>
      <c r="H143" s="69">
        <f>VLOOKUP($B143,Rentroll!$C$37:$Z$60,14,FALSE)</f>
        <v>100166.64166666666</v>
      </c>
      <c r="I143" s="69">
        <f>VLOOKUP($B143,Rentroll!$C$37:$Z$60,15,FALSE)</f>
        <v>47740.5</v>
      </c>
      <c r="J143" s="82">
        <f>VLOOKUP($B143,Rentroll!$C$37:$Z$60,19,FALSE)</f>
        <v>0.03</v>
      </c>
      <c r="K143" s="83">
        <f>VLOOKUP($B143,Rentroll!$C$37:$Z$60,4,FALSE)</f>
        <v>1385.09</v>
      </c>
      <c r="L143" s="81">
        <f>VLOOKUP($B143,Rentroll!$C$37:$Z$60,17,FALSE)</f>
        <v>1</v>
      </c>
      <c r="M143" s="84">
        <f>VLOOKUP($B143,Rentroll!$C$37:$Z$60,18,FALSE)</f>
        <v>1</v>
      </c>
      <c r="O143" s="74">
        <f t="shared" si="132"/>
        <v>7</v>
      </c>
      <c r="P143" s="75"/>
      <c r="Q143" s="75"/>
      <c r="R143" s="75">
        <f t="shared" ref="R143:AW143" si="160">(IF($D143&gt;R$14,0,ROUNDUP(YEARFRAC($D143,R$14),0)))*R49</f>
        <v>0</v>
      </c>
      <c r="S143" s="75">
        <f t="shared" si="160"/>
        <v>0</v>
      </c>
      <c r="T143" s="75">
        <f t="shared" si="160"/>
        <v>0</v>
      </c>
      <c r="U143" s="75">
        <f t="shared" si="160"/>
        <v>0</v>
      </c>
      <c r="V143" s="75">
        <f t="shared" si="160"/>
        <v>0</v>
      </c>
      <c r="W143" s="75">
        <f t="shared" si="160"/>
        <v>0</v>
      </c>
      <c r="X143" s="75">
        <f t="shared" si="160"/>
        <v>0</v>
      </c>
      <c r="Y143" s="75">
        <f t="shared" si="160"/>
        <v>0</v>
      </c>
      <c r="Z143" s="75">
        <f t="shared" si="160"/>
        <v>0</v>
      </c>
      <c r="AA143" s="75">
        <f t="shared" si="160"/>
        <v>0</v>
      </c>
      <c r="AB143" s="75">
        <f t="shared" si="160"/>
        <v>0</v>
      </c>
      <c r="AC143" s="75">
        <f t="shared" si="160"/>
        <v>0</v>
      </c>
      <c r="AD143" s="75">
        <f t="shared" si="160"/>
        <v>0</v>
      </c>
      <c r="AE143" s="75">
        <f t="shared" si="160"/>
        <v>0</v>
      </c>
      <c r="AF143" s="75">
        <f t="shared" si="160"/>
        <v>0</v>
      </c>
      <c r="AG143" s="75">
        <f t="shared" si="160"/>
        <v>0</v>
      </c>
      <c r="AH143" s="75">
        <f t="shared" si="160"/>
        <v>0</v>
      </c>
      <c r="AI143" s="75">
        <f t="shared" si="160"/>
        <v>0</v>
      </c>
      <c r="AJ143" s="75">
        <f t="shared" si="160"/>
        <v>0</v>
      </c>
      <c r="AK143" s="75">
        <f t="shared" si="160"/>
        <v>0</v>
      </c>
      <c r="AL143" s="75">
        <f t="shared" si="160"/>
        <v>0</v>
      </c>
      <c r="AM143" s="75">
        <f t="shared" si="160"/>
        <v>0</v>
      </c>
      <c r="AN143" s="75">
        <f t="shared" si="160"/>
        <v>0</v>
      </c>
      <c r="AO143" s="75">
        <f t="shared" si="160"/>
        <v>0</v>
      </c>
      <c r="AP143" s="75">
        <f t="shared" si="160"/>
        <v>0</v>
      </c>
      <c r="AQ143" s="75">
        <f t="shared" si="160"/>
        <v>0</v>
      </c>
      <c r="AR143" s="75">
        <f t="shared" si="160"/>
        <v>0</v>
      </c>
      <c r="AS143" s="75">
        <f t="shared" si="160"/>
        <v>1</v>
      </c>
      <c r="AT143" s="75">
        <f t="shared" si="160"/>
        <v>1</v>
      </c>
      <c r="AU143" s="75">
        <f t="shared" si="160"/>
        <v>1</v>
      </c>
      <c r="AV143" s="75">
        <f t="shared" si="160"/>
        <v>1</v>
      </c>
      <c r="AW143" s="75">
        <f t="shared" si="160"/>
        <v>1</v>
      </c>
      <c r="AX143" s="75">
        <f t="shared" ref="AX143:CC143" si="161">(IF($D143&gt;AX$14,0,ROUNDUP(YEARFRAC($D143,AX$14),0)))*AX49</f>
        <v>1</v>
      </c>
      <c r="AY143" s="75">
        <f t="shared" si="161"/>
        <v>1</v>
      </c>
      <c r="AZ143" s="75">
        <f t="shared" si="161"/>
        <v>1</v>
      </c>
      <c r="BA143" s="75">
        <f t="shared" si="161"/>
        <v>1</v>
      </c>
      <c r="BB143" s="75">
        <f t="shared" si="161"/>
        <v>1</v>
      </c>
      <c r="BC143" s="75">
        <f t="shared" si="161"/>
        <v>1</v>
      </c>
      <c r="BD143" s="75">
        <f t="shared" si="161"/>
        <v>1</v>
      </c>
      <c r="BE143" s="75">
        <f t="shared" si="161"/>
        <v>2</v>
      </c>
      <c r="BF143" s="75">
        <f t="shared" si="161"/>
        <v>2</v>
      </c>
      <c r="BG143" s="75">
        <f t="shared" si="161"/>
        <v>2</v>
      </c>
      <c r="BH143" s="75">
        <f t="shared" si="161"/>
        <v>2</v>
      </c>
      <c r="BI143" s="75">
        <f t="shared" si="161"/>
        <v>2</v>
      </c>
      <c r="BJ143" s="75">
        <f t="shared" si="161"/>
        <v>2</v>
      </c>
      <c r="BK143" s="75">
        <f t="shared" si="161"/>
        <v>2</v>
      </c>
      <c r="BL143" s="75">
        <f t="shared" si="161"/>
        <v>2</v>
      </c>
      <c r="BM143" s="75">
        <f t="shared" si="161"/>
        <v>2</v>
      </c>
      <c r="BN143" s="75">
        <f t="shared" si="161"/>
        <v>2</v>
      </c>
      <c r="BO143" s="75">
        <f t="shared" si="161"/>
        <v>2</v>
      </c>
      <c r="BP143" s="75">
        <f t="shared" si="161"/>
        <v>2</v>
      </c>
      <c r="BQ143" s="75">
        <f t="shared" si="161"/>
        <v>3</v>
      </c>
      <c r="BR143" s="75">
        <f t="shared" si="161"/>
        <v>3</v>
      </c>
      <c r="BS143" s="75">
        <f t="shared" si="161"/>
        <v>3</v>
      </c>
      <c r="BT143" s="75">
        <f t="shared" si="161"/>
        <v>3</v>
      </c>
      <c r="BU143" s="75">
        <f t="shared" si="161"/>
        <v>3</v>
      </c>
      <c r="BV143" s="75">
        <f t="shared" si="161"/>
        <v>3</v>
      </c>
      <c r="BW143" s="75">
        <f t="shared" si="161"/>
        <v>3</v>
      </c>
      <c r="BX143" s="75">
        <f t="shared" si="161"/>
        <v>3</v>
      </c>
      <c r="BY143" s="75">
        <f t="shared" si="161"/>
        <v>3</v>
      </c>
      <c r="BZ143" s="75">
        <f t="shared" si="161"/>
        <v>3</v>
      </c>
      <c r="CA143" s="75">
        <f t="shared" si="161"/>
        <v>0</v>
      </c>
      <c r="CB143" s="75">
        <f t="shared" si="161"/>
        <v>0</v>
      </c>
      <c r="CC143" s="75">
        <f t="shared" si="161"/>
        <v>0</v>
      </c>
      <c r="CD143" s="75">
        <f t="shared" ref="CD143:DL143" si="162">(IF($D143&gt;CD$14,0,ROUNDUP(YEARFRAC($D143,CD$14),0)))*CD49</f>
        <v>0</v>
      </c>
      <c r="CE143" s="75">
        <f t="shared" si="162"/>
        <v>0</v>
      </c>
      <c r="CF143" s="75">
        <f t="shared" si="162"/>
        <v>0</v>
      </c>
      <c r="CG143" s="75">
        <f t="shared" si="162"/>
        <v>0</v>
      </c>
      <c r="CH143" s="75">
        <f t="shared" si="162"/>
        <v>0</v>
      </c>
      <c r="CI143" s="75">
        <f t="shared" si="162"/>
        <v>0</v>
      </c>
      <c r="CJ143" s="75">
        <f t="shared" si="162"/>
        <v>0</v>
      </c>
      <c r="CK143" s="75">
        <f t="shared" si="162"/>
        <v>0</v>
      </c>
      <c r="CL143" s="75">
        <f t="shared" si="162"/>
        <v>0</v>
      </c>
      <c r="CM143" s="75">
        <f t="shared" si="162"/>
        <v>0</v>
      </c>
      <c r="CN143" s="75">
        <f t="shared" si="162"/>
        <v>0</v>
      </c>
      <c r="CO143" s="75">
        <f t="shared" si="162"/>
        <v>0</v>
      </c>
      <c r="CP143" s="75">
        <f t="shared" si="162"/>
        <v>0</v>
      </c>
      <c r="CQ143" s="75">
        <f t="shared" si="162"/>
        <v>0</v>
      </c>
      <c r="CR143" s="75">
        <f t="shared" si="162"/>
        <v>0</v>
      </c>
      <c r="CS143" s="75">
        <f t="shared" si="162"/>
        <v>0</v>
      </c>
      <c r="CT143" s="75">
        <f t="shared" si="162"/>
        <v>0</v>
      </c>
      <c r="CU143" s="75">
        <f t="shared" si="162"/>
        <v>0</v>
      </c>
      <c r="CV143" s="75">
        <f t="shared" si="162"/>
        <v>0</v>
      </c>
      <c r="CW143" s="75">
        <f t="shared" si="162"/>
        <v>0</v>
      </c>
      <c r="CX143" s="75">
        <f t="shared" si="162"/>
        <v>0</v>
      </c>
      <c r="CY143" s="75">
        <f t="shared" si="162"/>
        <v>0</v>
      </c>
      <c r="CZ143" s="75">
        <f t="shared" si="162"/>
        <v>0</v>
      </c>
      <c r="DA143" s="75">
        <f t="shared" si="162"/>
        <v>0</v>
      </c>
      <c r="DB143" s="75">
        <f t="shared" si="162"/>
        <v>0</v>
      </c>
      <c r="DC143" s="75">
        <f t="shared" si="162"/>
        <v>0</v>
      </c>
      <c r="DD143" s="75">
        <f t="shared" si="162"/>
        <v>0</v>
      </c>
      <c r="DE143" s="75">
        <f t="shared" si="162"/>
        <v>0</v>
      </c>
      <c r="DF143" s="75">
        <f t="shared" si="162"/>
        <v>0</v>
      </c>
      <c r="DG143" s="75">
        <f t="shared" si="162"/>
        <v>0</v>
      </c>
      <c r="DH143" s="75">
        <f t="shared" si="162"/>
        <v>0</v>
      </c>
      <c r="DI143" s="75">
        <f t="shared" si="162"/>
        <v>0</v>
      </c>
      <c r="DJ143" s="75">
        <f t="shared" si="162"/>
        <v>0</v>
      </c>
      <c r="DK143" s="75">
        <f t="shared" si="162"/>
        <v>0</v>
      </c>
      <c r="DL143" s="75">
        <f t="shared" si="162"/>
        <v>0</v>
      </c>
    </row>
    <row r="144" spans="2:116">
      <c r="B144" s="27">
        <f>Rentroll!$C$48</f>
        <v>6</v>
      </c>
      <c r="C144" s="69" t="str">
        <f>VLOOKUP($B144,Rentroll!$C$37:$Z$60,3,FALSE)</f>
        <v>오케스트로</v>
      </c>
      <c r="D144" s="80">
        <f>VLOOKUP($B144,Rentroll!$C$37:$Z$60,9,FALSE)</f>
        <v>46477</v>
      </c>
      <c r="E144" s="80">
        <f>VLOOKUP($B144,Rentroll!$C$37:$Z$60,10,FALSE)</f>
        <v>48304</v>
      </c>
      <c r="F144" s="81">
        <f>VLOOKUP($B144,Rentroll!$C$37:$Z$60,11,FALSE)</f>
        <v>60</v>
      </c>
      <c r="G144" s="69">
        <f>VLOOKUP($B144,Rentroll!$C$37:$Z$60,13,FALSE)</f>
        <v>109272.7</v>
      </c>
      <c r="H144" s="69">
        <f>VLOOKUP($B144,Rentroll!$C$37:$Z$60,14,FALSE)</f>
        <v>100166.64166666666</v>
      </c>
      <c r="I144" s="69">
        <f>VLOOKUP($B144,Rentroll!$C$37:$Z$60,15,FALSE)</f>
        <v>47740.5</v>
      </c>
      <c r="J144" s="82">
        <f>VLOOKUP($B144,Rentroll!$C$37:$Z$60,19,FALSE)</f>
        <v>0.03</v>
      </c>
      <c r="K144" s="83">
        <f>VLOOKUP($B144,Rentroll!$C$37:$Z$60,4,FALSE)</f>
        <v>1385.09</v>
      </c>
      <c r="L144" s="81">
        <f>VLOOKUP($B144,Rentroll!$C$37:$Z$60,17,FALSE)</f>
        <v>1</v>
      </c>
      <c r="M144" s="84">
        <f>VLOOKUP($B144,Rentroll!$C$37:$Z$60,18,FALSE)</f>
        <v>1</v>
      </c>
      <c r="O144" s="74">
        <f t="shared" si="132"/>
        <v>6</v>
      </c>
      <c r="P144" s="75"/>
      <c r="Q144" s="75"/>
      <c r="R144" s="75">
        <f t="shared" ref="R144:AW144" si="163">(IF($D144&gt;R$14,0,ROUNDUP(YEARFRAC($D144,R$14),0)))*R50</f>
        <v>0</v>
      </c>
      <c r="S144" s="75">
        <f t="shared" si="163"/>
        <v>0</v>
      </c>
      <c r="T144" s="75">
        <f t="shared" si="163"/>
        <v>0</v>
      </c>
      <c r="U144" s="75">
        <f t="shared" si="163"/>
        <v>0</v>
      </c>
      <c r="V144" s="75">
        <f t="shared" si="163"/>
        <v>0</v>
      </c>
      <c r="W144" s="75">
        <f t="shared" si="163"/>
        <v>0</v>
      </c>
      <c r="X144" s="75">
        <f t="shared" si="163"/>
        <v>0</v>
      </c>
      <c r="Y144" s="75">
        <f t="shared" si="163"/>
        <v>0</v>
      </c>
      <c r="Z144" s="75">
        <f t="shared" si="163"/>
        <v>0</v>
      </c>
      <c r="AA144" s="75">
        <f t="shared" si="163"/>
        <v>0</v>
      </c>
      <c r="AB144" s="75">
        <f t="shared" si="163"/>
        <v>0</v>
      </c>
      <c r="AC144" s="75">
        <f t="shared" si="163"/>
        <v>0</v>
      </c>
      <c r="AD144" s="75">
        <f t="shared" si="163"/>
        <v>0</v>
      </c>
      <c r="AE144" s="75">
        <f t="shared" si="163"/>
        <v>0</v>
      </c>
      <c r="AF144" s="75">
        <f t="shared" si="163"/>
        <v>0</v>
      </c>
      <c r="AG144" s="75">
        <f t="shared" si="163"/>
        <v>0</v>
      </c>
      <c r="AH144" s="75">
        <f t="shared" si="163"/>
        <v>0</v>
      </c>
      <c r="AI144" s="75">
        <f t="shared" si="163"/>
        <v>0</v>
      </c>
      <c r="AJ144" s="75">
        <f t="shared" si="163"/>
        <v>0</v>
      </c>
      <c r="AK144" s="75">
        <f t="shared" si="163"/>
        <v>0</v>
      </c>
      <c r="AL144" s="75">
        <f t="shared" si="163"/>
        <v>0</v>
      </c>
      <c r="AM144" s="75">
        <f t="shared" si="163"/>
        <v>0</v>
      </c>
      <c r="AN144" s="75">
        <f t="shared" si="163"/>
        <v>0</v>
      </c>
      <c r="AO144" s="75">
        <f t="shared" si="163"/>
        <v>0</v>
      </c>
      <c r="AP144" s="75">
        <f t="shared" si="163"/>
        <v>0</v>
      </c>
      <c r="AQ144" s="75">
        <f t="shared" si="163"/>
        <v>0</v>
      </c>
      <c r="AR144" s="75">
        <f t="shared" si="163"/>
        <v>0</v>
      </c>
      <c r="AS144" s="75">
        <f t="shared" si="163"/>
        <v>1</v>
      </c>
      <c r="AT144" s="75">
        <f t="shared" si="163"/>
        <v>1</v>
      </c>
      <c r="AU144" s="75">
        <f t="shared" si="163"/>
        <v>1</v>
      </c>
      <c r="AV144" s="75">
        <f t="shared" si="163"/>
        <v>1</v>
      </c>
      <c r="AW144" s="75">
        <f t="shared" si="163"/>
        <v>1</v>
      </c>
      <c r="AX144" s="75">
        <f t="shared" ref="AX144:CC144" si="164">(IF($D144&gt;AX$14,0,ROUNDUP(YEARFRAC($D144,AX$14),0)))*AX50</f>
        <v>1</v>
      </c>
      <c r="AY144" s="75">
        <f t="shared" si="164"/>
        <v>1</v>
      </c>
      <c r="AZ144" s="75">
        <f t="shared" si="164"/>
        <v>1</v>
      </c>
      <c r="BA144" s="75">
        <f t="shared" si="164"/>
        <v>1</v>
      </c>
      <c r="BB144" s="75">
        <f t="shared" si="164"/>
        <v>1</v>
      </c>
      <c r="BC144" s="75">
        <f t="shared" si="164"/>
        <v>1</v>
      </c>
      <c r="BD144" s="75">
        <f t="shared" si="164"/>
        <v>1</v>
      </c>
      <c r="BE144" s="75">
        <f t="shared" si="164"/>
        <v>2</v>
      </c>
      <c r="BF144" s="75">
        <f t="shared" si="164"/>
        <v>2</v>
      </c>
      <c r="BG144" s="75">
        <f t="shared" si="164"/>
        <v>2</v>
      </c>
      <c r="BH144" s="75">
        <f t="shared" si="164"/>
        <v>2</v>
      </c>
      <c r="BI144" s="75">
        <f t="shared" si="164"/>
        <v>2</v>
      </c>
      <c r="BJ144" s="75">
        <f t="shared" si="164"/>
        <v>2</v>
      </c>
      <c r="BK144" s="75">
        <f t="shared" si="164"/>
        <v>2</v>
      </c>
      <c r="BL144" s="75">
        <f t="shared" si="164"/>
        <v>2</v>
      </c>
      <c r="BM144" s="75">
        <f t="shared" si="164"/>
        <v>2</v>
      </c>
      <c r="BN144" s="75">
        <f t="shared" si="164"/>
        <v>2</v>
      </c>
      <c r="BO144" s="75">
        <f t="shared" si="164"/>
        <v>2</v>
      </c>
      <c r="BP144" s="75">
        <f t="shared" si="164"/>
        <v>2</v>
      </c>
      <c r="BQ144" s="75">
        <f t="shared" si="164"/>
        <v>3</v>
      </c>
      <c r="BR144" s="75">
        <f t="shared" si="164"/>
        <v>3</v>
      </c>
      <c r="BS144" s="75">
        <f t="shared" si="164"/>
        <v>3</v>
      </c>
      <c r="BT144" s="75">
        <f t="shared" si="164"/>
        <v>3</v>
      </c>
      <c r="BU144" s="75">
        <f t="shared" si="164"/>
        <v>3</v>
      </c>
      <c r="BV144" s="75">
        <f t="shared" si="164"/>
        <v>3</v>
      </c>
      <c r="BW144" s="75">
        <f t="shared" si="164"/>
        <v>3</v>
      </c>
      <c r="BX144" s="75">
        <f t="shared" si="164"/>
        <v>3</v>
      </c>
      <c r="BY144" s="75">
        <f t="shared" si="164"/>
        <v>3</v>
      </c>
      <c r="BZ144" s="75">
        <f t="shared" si="164"/>
        <v>3</v>
      </c>
      <c r="CA144" s="75">
        <f t="shared" si="164"/>
        <v>0</v>
      </c>
      <c r="CB144" s="75">
        <f t="shared" si="164"/>
        <v>0</v>
      </c>
      <c r="CC144" s="75">
        <f t="shared" si="164"/>
        <v>0</v>
      </c>
      <c r="CD144" s="75">
        <f t="shared" ref="CD144:DL144" si="165">(IF($D144&gt;CD$14,0,ROUNDUP(YEARFRAC($D144,CD$14),0)))*CD50</f>
        <v>0</v>
      </c>
      <c r="CE144" s="75">
        <f t="shared" si="165"/>
        <v>0</v>
      </c>
      <c r="CF144" s="75">
        <f t="shared" si="165"/>
        <v>0</v>
      </c>
      <c r="CG144" s="75">
        <f t="shared" si="165"/>
        <v>0</v>
      </c>
      <c r="CH144" s="75">
        <f t="shared" si="165"/>
        <v>0</v>
      </c>
      <c r="CI144" s="75">
        <f t="shared" si="165"/>
        <v>0</v>
      </c>
      <c r="CJ144" s="75">
        <f t="shared" si="165"/>
        <v>0</v>
      </c>
      <c r="CK144" s="75">
        <f t="shared" si="165"/>
        <v>0</v>
      </c>
      <c r="CL144" s="75">
        <f t="shared" si="165"/>
        <v>0</v>
      </c>
      <c r="CM144" s="75">
        <f t="shared" si="165"/>
        <v>0</v>
      </c>
      <c r="CN144" s="75">
        <f t="shared" si="165"/>
        <v>0</v>
      </c>
      <c r="CO144" s="75">
        <f t="shared" si="165"/>
        <v>0</v>
      </c>
      <c r="CP144" s="75">
        <f t="shared" si="165"/>
        <v>0</v>
      </c>
      <c r="CQ144" s="75">
        <f t="shared" si="165"/>
        <v>0</v>
      </c>
      <c r="CR144" s="75">
        <f t="shared" si="165"/>
        <v>0</v>
      </c>
      <c r="CS144" s="75">
        <f t="shared" si="165"/>
        <v>0</v>
      </c>
      <c r="CT144" s="75">
        <f t="shared" si="165"/>
        <v>0</v>
      </c>
      <c r="CU144" s="75">
        <f t="shared" si="165"/>
        <v>0</v>
      </c>
      <c r="CV144" s="75">
        <f t="shared" si="165"/>
        <v>0</v>
      </c>
      <c r="CW144" s="75">
        <f t="shared" si="165"/>
        <v>0</v>
      </c>
      <c r="CX144" s="75">
        <f t="shared" si="165"/>
        <v>0</v>
      </c>
      <c r="CY144" s="75">
        <f t="shared" si="165"/>
        <v>0</v>
      </c>
      <c r="CZ144" s="75">
        <f t="shared" si="165"/>
        <v>0</v>
      </c>
      <c r="DA144" s="75">
        <f t="shared" si="165"/>
        <v>0</v>
      </c>
      <c r="DB144" s="75">
        <f t="shared" si="165"/>
        <v>0</v>
      </c>
      <c r="DC144" s="75">
        <f t="shared" si="165"/>
        <v>0</v>
      </c>
      <c r="DD144" s="75">
        <f t="shared" si="165"/>
        <v>0</v>
      </c>
      <c r="DE144" s="75">
        <f t="shared" si="165"/>
        <v>0</v>
      </c>
      <c r="DF144" s="75">
        <f t="shared" si="165"/>
        <v>0</v>
      </c>
      <c r="DG144" s="75">
        <f t="shared" si="165"/>
        <v>0</v>
      </c>
      <c r="DH144" s="75">
        <f t="shared" si="165"/>
        <v>0</v>
      </c>
      <c r="DI144" s="75">
        <f t="shared" si="165"/>
        <v>0</v>
      </c>
      <c r="DJ144" s="75">
        <f t="shared" si="165"/>
        <v>0</v>
      </c>
      <c r="DK144" s="75">
        <f t="shared" si="165"/>
        <v>0</v>
      </c>
      <c r="DL144" s="75">
        <f t="shared" si="165"/>
        <v>0</v>
      </c>
    </row>
    <row r="145" spans="2:116">
      <c r="B145" s="27">
        <f>Rentroll!$C$49</f>
        <v>5</v>
      </c>
      <c r="C145" s="69" t="str">
        <f>VLOOKUP($B145,Rentroll!$C$37:$Z$60,3,FALSE)</f>
        <v>타이거로켓</v>
      </c>
      <c r="D145" s="80">
        <f>VLOOKUP($B145,Rentroll!$C$37:$Z$60,9,FALSE)</f>
        <v>45688</v>
      </c>
      <c r="E145" s="80">
        <f>VLOOKUP($B145,Rentroll!$C$37:$Z$60,10,FALSE)</f>
        <v>47514</v>
      </c>
      <c r="F145" s="81">
        <f>VLOOKUP($B145,Rentroll!$C$37:$Z$60,11,FALSE)</f>
        <v>60</v>
      </c>
      <c r="G145" s="69">
        <f>VLOOKUP($B145,Rentroll!$C$37:$Z$60,13,FALSE)</f>
        <v>103000</v>
      </c>
      <c r="H145" s="69">
        <f>VLOOKUP($B145,Rentroll!$C$37:$Z$60,14,FALSE)</f>
        <v>90125</v>
      </c>
      <c r="I145" s="69">
        <f>VLOOKUP($B145,Rentroll!$C$37:$Z$60,15,FALSE)</f>
        <v>45000</v>
      </c>
      <c r="J145" s="82">
        <f>VLOOKUP($B145,Rentroll!$C$37:$Z$60,19,FALSE)</f>
        <v>0.03</v>
      </c>
      <c r="K145" s="83">
        <f>VLOOKUP($B145,Rentroll!$C$37:$Z$60,4,FALSE)</f>
        <v>1385.09</v>
      </c>
      <c r="L145" s="81">
        <f>VLOOKUP($B145,Rentroll!$C$37:$Z$60,17,FALSE)</f>
        <v>1</v>
      </c>
      <c r="M145" s="84">
        <f>VLOOKUP($B145,Rentroll!$C$37:$Z$60,18,FALSE)</f>
        <v>1.5</v>
      </c>
      <c r="O145" s="74">
        <f t="shared" si="132"/>
        <v>5</v>
      </c>
      <c r="P145" s="75"/>
      <c r="Q145" s="75"/>
      <c r="R145" s="75">
        <f t="shared" ref="R145:AW145" si="166">(IF($D145&gt;R$14,0,ROUNDUP(YEARFRAC($D145,R$14),0)))*R51</f>
        <v>0</v>
      </c>
      <c r="S145" s="75">
        <f t="shared" si="166"/>
        <v>1</v>
      </c>
      <c r="T145" s="75">
        <f t="shared" si="166"/>
        <v>1</v>
      </c>
      <c r="U145" s="75">
        <f t="shared" si="166"/>
        <v>1</v>
      </c>
      <c r="V145" s="75">
        <f t="shared" si="166"/>
        <v>1</v>
      </c>
      <c r="W145" s="75">
        <f t="shared" si="166"/>
        <v>1</v>
      </c>
      <c r="X145" s="75">
        <f t="shared" si="166"/>
        <v>1</v>
      </c>
      <c r="Y145" s="75">
        <f t="shared" si="166"/>
        <v>1</v>
      </c>
      <c r="Z145" s="75">
        <f t="shared" si="166"/>
        <v>1</v>
      </c>
      <c r="AA145" s="75">
        <f t="shared" si="166"/>
        <v>1</v>
      </c>
      <c r="AB145" s="75">
        <f t="shared" si="166"/>
        <v>1</v>
      </c>
      <c r="AC145" s="75">
        <f t="shared" si="166"/>
        <v>1</v>
      </c>
      <c r="AD145" s="75">
        <f t="shared" si="166"/>
        <v>1</v>
      </c>
      <c r="AE145" s="75">
        <f t="shared" si="166"/>
        <v>2</v>
      </c>
      <c r="AF145" s="75">
        <f t="shared" si="166"/>
        <v>2</v>
      </c>
      <c r="AG145" s="75">
        <f t="shared" si="166"/>
        <v>2</v>
      </c>
      <c r="AH145" s="75">
        <f t="shared" si="166"/>
        <v>2</v>
      </c>
      <c r="AI145" s="75">
        <f t="shared" si="166"/>
        <v>2</v>
      </c>
      <c r="AJ145" s="75">
        <f t="shared" si="166"/>
        <v>2</v>
      </c>
      <c r="AK145" s="75">
        <f t="shared" si="166"/>
        <v>2</v>
      </c>
      <c r="AL145" s="75">
        <f t="shared" si="166"/>
        <v>2</v>
      </c>
      <c r="AM145" s="75">
        <f t="shared" si="166"/>
        <v>2</v>
      </c>
      <c r="AN145" s="75">
        <f t="shared" si="166"/>
        <v>2</v>
      </c>
      <c r="AO145" s="75">
        <f t="shared" si="166"/>
        <v>2</v>
      </c>
      <c r="AP145" s="75">
        <f t="shared" si="166"/>
        <v>2</v>
      </c>
      <c r="AQ145" s="75">
        <f t="shared" si="166"/>
        <v>3</v>
      </c>
      <c r="AR145" s="75">
        <f t="shared" si="166"/>
        <v>3</v>
      </c>
      <c r="AS145" s="75">
        <f t="shared" si="166"/>
        <v>3</v>
      </c>
      <c r="AT145" s="75">
        <f t="shared" si="166"/>
        <v>3</v>
      </c>
      <c r="AU145" s="75">
        <f t="shared" si="166"/>
        <v>3</v>
      </c>
      <c r="AV145" s="75">
        <f t="shared" si="166"/>
        <v>3</v>
      </c>
      <c r="AW145" s="75">
        <f t="shared" si="166"/>
        <v>3</v>
      </c>
      <c r="AX145" s="75">
        <f t="shared" ref="AX145:CC145" si="167">(IF($D145&gt;AX$14,0,ROUNDUP(YEARFRAC($D145,AX$14),0)))*AX51</f>
        <v>3</v>
      </c>
      <c r="AY145" s="75">
        <f t="shared" si="167"/>
        <v>3</v>
      </c>
      <c r="AZ145" s="75">
        <f t="shared" si="167"/>
        <v>3</v>
      </c>
      <c r="BA145" s="75">
        <f t="shared" si="167"/>
        <v>3</v>
      </c>
      <c r="BB145" s="75">
        <f t="shared" si="167"/>
        <v>3</v>
      </c>
      <c r="BC145" s="75">
        <f t="shared" si="167"/>
        <v>4</v>
      </c>
      <c r="BD145" s="75">
        <f t="shared" si="167"/>
        <v>4</v>
      </c>
      <c r="BE145" s="75">
        <f t="shared" si="167"/>
        <v>4</v>
      </c>
      <c r="BF145" s="75">
        <f t="shared" si="167"/>
        <v>4</v>
      </c>
      <c r="BG145" s="75">
        <f t="shared" si="167"/>
        <v>4</v>
      </c>
      <c r="BH145" s="75">
        <f t="shared" si="167"/>
        <v>4</v>
      </c>
      <c r="BI145" s="75">
        <f t="shared" si="167"/>
        <v>4</v>
      </c>
      <c r="BJ145" s="75">
        <f t="shared" si="167"/>
        <v>4</v>
      </c>
      <c r="BK145" s="75">
        <f t="shared" si="167"/>
        <v>4</v>
      </c>
      <c r="BL145" s="75">
        <f t="shared" si="167"/>
        <v>4</v>
      </c>
      <c r="BM145" s="75">
        <f t="shared" si="167"/>
        <v>4</v>
      </c>
      <c r="BN145" s="75">
        <f t="shared" si="167"/>
        <v>4</v>
      </c>
      <c r="BO145" s="75">
        <f t="shared" si="167"/>
        <v>5</v>
      </c>
      <c r="BP145" s="75">
        <f t="shared" si="167"/>
        <v>5</v>
      </c>
      <c r="BQ145" s="75">
        <f t="shared" si="167"/>
        <v>5</v>
      </c>
      <c r="BR145" s="75">
        <f t="shared" si="167"/>
        <v>5</v>
      </c>
      <c r="BS145" s="75">
        <f t="shared" si="167"/>
        <v>5</v>
      </c>
      <c r="BT145" s="75">
        <f t="shared" si="167"/>
        <v>5</v>
      </c>
      <c r="BU145" s="75">
        <f t="shared" si="167"/>
        <v>5</v>
      </c>
      <c r="BV145" s="75">
        <f t="shared" si="167"/>
        <v>5</v>
      </c>
      <c r="BW145" s="75">
        <f t="shared" si="167"/>
        <v>5</v>
      </c>
      <c r="BX145" s="75">
        <f t="shared" si="167"/>
        <v>5</v>
      </c>
      <c r="BY145" s="75">
        <f t="shared" si="167"/>
        <v>5</v>
      </c>
      <c r="BZ145" s="75">
        <f t="shared" si="167"/>
        <v>5</v>
      </c>
      <c r="CA145" s="75">
        <f t="shared" si="167"/>
        <v>0</v>
      </c>
      <c r="CB145" s="75">
        <f t="shared" si="167"/>
        <v>0</v>
      </c>
      <c r="CC145" s="75">
        <f t="shared" si="167"/>
        <v>0</v>
      </c>
      <c r="CD145" s="75">
        <f t="shared" ref="CD145:DL145" si="168">(IF($D145&gt;CD$14,0,ROUNDUP(YEARFRAC($D145,CD$14),0)))*CD51</f>
        <v>0</v>
      </c>
      <c r="CE145" s="75">
        <f t="shared" si="168"/>
        <v>0</v>
      </c>
      <c r="CF145" s="75">
        <f t="shared" si="168"/>
        <v>0</v>
      </c>
      <c r="CG145" s="75">
        <f t="shared" si="168"/>
        <v>0</v>
      </c>
      <c r="CH145" s="75">
        <f t="shared" si="168"/>
        <v>0</v>
      </c>
      <c r="CI145" s="75">
        <f t="shared" si="168"/>
        <v>0</v>
      </c>
      <c r="CJ145" s="75">
        <f t="shared" si="168"/>
        <v>0</v>
      </c>
      <c r="CK145" s="75">
        <f t="shared" si="168"/>
        <v>0</v>
      </c>
      <c r="CL145" s="75">
        <f t="shared" si="168"/>
        <v>0</v>
      </c>
      <c r="CM145" s="75">
        <f t="shared" si="168"/>
        <v>0</v>
      </c>
      <c r="CN145" s="75">
        <f t="shared" si="168"/>
        <v>0</v>
      </c>
      <c r="CO145" s="75">
        <f t="shared" si="168"/>
        <v>0</v>
      </c>
      <c r="CP145" s="75">
        <f t="shared" si="168"/>
        <v>0</v>
      </c>
      <c r="CQ145" s="75">
        <f t="shared" si="168"/>
        <v>0</v>
      </c>
      <c r="CR145" s="75">
        <f t="shared" si="168"/>
        <v>0</v>
      </c>
      <c r="CS145" s="75">
        <f t="shared" si="168"/>
        <v>0</v>
      </c>
      <c r="CT145" s="75">
        <f t="shared" si="168"/>
        <v>0</v>
      </c>
      <c r="CU145" s="75">
        <f t="shared" si="168"/>
        <v>0</v>
      </c>
      <c r="CV145" s="75">
        <f t="shared" si="168"/>
        <v>0</v>
      </c>
      <c r="CW145" s="75">
        <f t="shared" si="168"/>
        <v>0</v>
      </c>
      <c r="CX145" s="75">
        <f t="shared" si="168"/>
        <v>0</v>
      </c>
      <c r="CY145" s="75">
        <f t="shared" si="168"/>
        <v>0</v>
      </c>
      <c r="CZ145" s="75">
        <f t="shared" si="168"/>
        <v>0</v>
      </c>
      <c r="DA145" s="75">
        <f t="shared" si="168"/>
        <v>0</v>
      </c>
      <c r="DB145" s="75">
        <f t="shared" si="168"/>
        <v>0</v>
      </c>
      <c r="DC145" s="75">
        <f t="shared" si="168"/>
        <v>0</v>
      </c>
      <c r="DD145" s="75">
        <f t="shared" si="168"/>
        <v>0</v>
      </c>
      <c r="DE145" s="75">
        <f t="shared" si="168"/>
        <v>0</v>
      </c>
      <c r="DF145" s="75">
        <f t="shared" si="168"/>
        <v>0</v>
      </c>
      <c r="DG145" s="75">
        <f t="shared" si="168"/>
        <v>0</v>
      </c>
      <c r="DH145" s="75">
        <f t="shared" si="168"/>
        <v>0</v>
      </c>
      <c r="DI145" s="75">
        <f t="shared" si="168"/>
        <v>0</v>
      </c>
      <c r="DJ145" s="75">
        <f t="shared" si="168"/>
        <v>0</v>
      </c>
      <c r="DK145" s="75">
        <f t="shared" si="168"/>
        <v>0</v>
      </c>
      <c r="DL145" s="75">
        <f t="shared" si="168"/>
        <v>0</v>
      </c>
    </row>
    <row r="146" spans="2:116">
      <c r="B146" s="27">
        <f>Rentroll!$C$50</f>
        <v>4</v>
      </c>
      <c r="C146" s="69" t="str">
        <f>VLOOKUP($B146,Rentroll!$C$37:$Z$60,3,FALSE)</f>
        <v>타이거로켓</v>
      </c>
      <c r="D146" s="80">
        <f>VLOOKUP($B146,Rentroll!$C$37:$Z$60,9,FALSE)</f>
        <v>45688</v>
      </c>
      <c r="E146" s="80">
        <f>VLOOKUP($B146,Rentroll!$C$37:$Z$60,10,FALSE)</f>
        <v>47514</v>
      </c>
      <c r="F146" s="81">
        <f>VLOOKUP($B146,Rentroll!$C$37:$Z$60,11,FALSE)</f>
        <v>60</v>
      </c>
      <c r="G146" s="69">
        <f>VLOOKUP($B146,Rentroll!$C$37:$Z$60,13,FALSE)</f>
        <v>103000</v>
      </c>
      <c r="H146" s="69">
        <f>VLOOKUP($B146,Rentroll!$C$37:$Z$60,14,FALSE)</f>
        <v>90125</v>
      </c>
      <c r="I146" s="69">
        <f>VLOOKUP($B146,Rentroll!$C$37:$Z$60,15,FALSE)</f>
        <v>45000</v>
      </c>
      <c r="J146" s="82">
        <f>VLOOKUP($B146,Rentroll!$C$37:$Z$60,19,FALSE)</f>
        <v>0.03</v>
      </c>
      <c r="K146" s="83">
        <f>VLOOKUP($B146,Rentroll!$C$37:$Z$60,4,FALSE)</f>
        <v>1385.09</v>
      </c>
      <c r="L146" s="81">
        <f>VLOOKUP($B146,Rentroll!$C$37:$Z$60,17,FALSE)</f>
        <v>1</v>
      </c>
      <c r="M146" s="84">
        <f>VLOOKUP($B146,Rentroll!$C$37:$Z$60,18,FALSE)</f>
        <v>1.5</v>
      </c>
      <c r="O146" s="74">
        <f t="shared" si="132"/>
        <v>4</v>
      </c>
      <c r="P146" s="75"/>
      <c r="Q146" s="75"/>
      <c r="R146" s="75">
        <f t="shared" ref="R146:AW146" si="169">(IF($D146&gt;R$14,0,ROUNDUP(YEARFRAC($D146,R$14),0)))*R52</f>
        <v>0</v>
      </c>
      <c r="S146" s="75">
        <f t="shared" si="169"/>
        <v>1</v>
      </c>
      <c r="T146" s="75">
        <f t="shared" si="169"/>
        <v>1</v>
      </c>
      <c r="U146" s="75">
        <f t="shared" si="169"/>
        <v>1</v>
      </c>
      <c r="V146" s="75">
        <f t="shared" si="169"/>
        <v>1</v>
      </c>
      <c r="W146" s="75">
        <f t="shared" si="169"/>
        <v>1</v>
      </c>
      <c r="X146" s="75">
        <f t="shared" si="169"/>
        <v>1</v>
      </c>
      <c r="Y146" s="75">
        <f t="shared" si="169"/>
        <v>1</v>
      </c>
      <c r="Z146" s="75">
        <f t="shared" si="169"/>
        <v>1</v>
      </c>
      <c r="AA146" s="75">
        <f t="shared" si="169"/>
        <v>1</v>
      </c>
      <c r="AB146" s="75">
        <f t="shared" si="169"/>
        <v>1</v>
      </c>
      <c r="AC146" s="75">
        <f t="shared" si="169"/>
        <v>1</v>
      </c>
      <c r="AD146" s="75">
        <f t="shared" si="169"/>
        <v>1</v>
      </c>
      <c r="AE146" s="75">
        <f t="shared" si="169"/>
        <v>2</v>
      </c>
      <c r="AF146" s="75">
        <f t="shared" si="169"/>
        <v>2</v>
      </c>
      <c r="AG146" s="75">
        <f t="shared" si="169"/>
        <v>2</v>
      </c>
      <c r="AH146" s="75">
        <f t="shared" si="169"/>
        <v>2</v>
      </c>
      <c r="AI146" s="75">
        <f t="shared" si="169"/>
        <v>2</v>
      </c>
      <c r="AJ146" s="75">
        <f t="shared" si="169"/>
        <v>2</v>
      </c>
      <c r="AK146" s="75">
        <f t="shared" si="169"/>
        <v>2</v>
      </c>
      <c r="AL146" s="75">
        <f t="shared" si="169"/>
        <v>2</v>
      </c>
      <c r="AM146" s="75">
        <f t="shared" si="169"/>
        <v>2</v>
      </c>
      <c r="AN146" s="75">
        <f t="shared" si="169"/>
        <v>2</v>
      </c>
      <c r="AO146" s="75">
        <f t="shared" si="169"/>
        <v>2</v>
      </c>
      <c r="AP146" s="75">
        <f t="shared" si="169"/>
        <v>2</v>
      </c>
      <c r="AQ146" s="75">
        <f t="shared" si="169"/>
        <v>3</v>
      </c>
      <c r="AR146" s="75">
        <f t="shared" si="169"/>
        <v>3</v>
      </c>
      <c r="AS146" s="75">
        <f t="shared" si="169"/>
        <v>3</v>
      </c>
      <c r="AT146" s="75">
        <f t="shared" si="169"/>
        <v>3</v>
      </c>
      <c r="AU146" s="75">
        <f t="shared" si="169"/>
        <v>3</v>
      </c>
      <c r="AV146" s="75">
        <f t="shared" si="169"/>
        <v>3</v>
      </c>
      <c r="AW146" s="75">
        <f t="shared" si="169"/>
        <v>3</v>
      </c>
      <c r="AX146" s="75">
        <f t="shared" ref="AX146:CC146" si="170">(IF($D146&gt;AX$14,0,ROUNDUP(YEARFRAC($D146,AX$14),0)))*AX52</f>
        <v>3</v>
      </c>
      <c r="AY146" s="75">
        <f t="shared" si="170"/>
        <v>3</v>
      </c>
      <c r="AZ146" s="75">
        <f t="shared" si="170"/>
        <v>3</v>
      </c>
      <c r="BA146" s="75">
        <f t="shared" si="170"/>
        <v>3</v>
      </c>
      <c r="BB146" s="75">
        <f t="shared" si="170"/>
        <v>3</v>
      </c>
      <c r="BC146" s="75">
        <f t="shared" si="170"/>
        <v>4</v>
      </c>
      <c r="BD146" s="75">
        <f t="shared" si="170"/>
        <v>4</v>
      </c>
      <c r="BE146" s="75">
        <f t="shared" si="170"/>
        <v>4</v>
      </c>
      <c r="BF146" s="75">
        <f t="shared" si="170"/>
        <v>4</v>
      </c>
      <c r="BG146" s="75">
        <f t="shared" si="170"/>
        <v>4</v>
      </c>
      <c r="BH146" s="75">
        <f t="shared" si="170"/>
        <v>4</v>
      </c>
      <c r="BI146" s="75">
        <f t="shared" si="170"/>
        <v>4</v>
      </c>
      <c r="BJ146" s="75">
        <f t="shared" si="170"/>
        <v>4</v>
      </c>
      <c r="BK146" s="75">
        <f t="shared" si="170"/>
        <v>4</v>
      </c>
      <c r="BL146" s="75">
        <f t="shared" si="170"/>
        <v>4</v>
      </c>
      <c r="BM146" s="75">
        <f t="shared" si="170"/>
        <v>4</v>
      </c>
      <c r="BN146" s="75">
        <f t="shared" si="170"/>
        <v>4</v>
      </c>
      <c r="BO146" s="75">
        <f t="shared" si="170"/>
        <v>5</v>
      </c>
      <c r="BP146" s="75">
        <f t="shared" si="170"/>
        <v>5</v>
      </c>
      <c r="BQ146" s="75">
        <f t="shared" si="170"/>
        <v>5</v>
      </c>
      <c r="BR146" s="75">
        <f t="shared" si="170"/>
        <v>5</v>
      </c>
      <c r="BS146" s="75">
        <f t="shared" si="170"/>
        <v>5</v>
      </c>
      <c r="BT146" s="75">
        <f t="shared" si="170"/>
        <v>5</v>
      </c>
      <c r="BU146" s="75">
        <f t="shared" si="170"/>
        <v>5</v>
      </c>
      <c r="BV146" s="75">
        <f t="shared" si="170"/>
        <v>5</v>
      </c>
      <c r="BW146" s="75">
        <f t="shared" si="170"/>
        <v>5</v>
      </c>
      <c r="BX146" s="75">
        <f t="shared" si="170"/>
        <v>5</v>
      </c>
      <c r="BY146" s="75">
        <f t="shared" si="170"/>
        <v>5</v>
      </c>
      <c r="BZ146" s="75">
        <f t="shared" si="170"/>
        <v>5</v>
      </c>
      <c r="CA146" s="75">
        <f t="shared" si="170"/>
        <v>0</v>
      </c>
      <c r="CB146" s="75">
        <f t="shared" si="170"/>
        <v>0</v>
      </c>
      <c r="CC146" s="75">
        <f t="shared" si="170"/>
        <v>0</v>
      </c>
      <c r="CD146" s="75">
        <f t="shared" ref="CD146:DL146" si="171">(IF($D146&gt;CD$14,0,ROUNDUP(YEARFRAC($D146,CD$14),0)))*CD52</f>
        <v>0</v>
      </c>
      <c r="CE146" s="75">
        <f t="shared" si="171"/>
        <v>0</v>
      </c>
      <c r="CF146" s="75">
        <f t="shared" si="171"/>
        <v>0</v>
      </c>
      <c r="CG146" s="75">
        <f t="shared" si="171"/>
        <v>0</v>
      </c>
      <c r="CH146" s="75">
        <f t="shared" si="171"/>
        <v>0</v>
      </c>
      <c r="CI146" s="75">
        <f t="shared" si="171"/>
        <v>0</v>
      </c>
      <c r="CJ146" s="75">
        <f t="shared" si="171"/>
        <v>0</v>
      </c>
      <c r="CK146" s="75">
        <f t="shared" si="171"/>
        <v>0</v>
      </c>
      <c r="CL146" s="75">
        <f t="shared" si="171"/>
        <v>0</v>
      </c>
      <c r="CM146" s="75">
        <f t="shared" si="171"/>
        <v>0</v>
      </c>
      <c r="CN146" s="75">
        <f t="shared" si="171"/>
        <v>0</v>
      </c>
      <c r="CO146" s="75">
        <f t="shared" si="171"/>
        <v>0</v>
      </c>
      <c r="CP146" s="75">
        <f t="shared" si="171"/>
        <v>0</v>
      </c>
      <c r="CQ146" s="75">
        <f t="shared" si="171"/>
        <v>0</v>
      </c>
      <c r="CR146" s="75">
        <f t="shared" si="171"/>
        <v>0</v>
      </c>
      <c r="CS146" s="75">
        <f t="shared" si="171"/>
        <v>0</v>
      </c>
      <c r="CT146" s="75">
        <f t="shared" si="171"/>
        <v>0</v>
      </c>
      <c r="CU146" s="75">
        <f t="shared" si="171"/>
        <v>0</v>
      </c>
      <c r="CV146" s="75">
        <f t="shared" si="171"/>
        <v>0</v>
      </c>
      <c r="CW146" s="75">
        <f t="shared" si="171"/>
        <v>0</v>
      </c>
      <c r="CX146" s="75">
        <f t="shared" si="171"/>
        <v>0</v>
      </c>
      <c r="CY146" s="75">
        <f t="shared" si="171"/>
        <v>0</v>
      </c>
      <c r="CZ146" s="75">
        <f t="shared" si="171"/>
        <v>0</v>
      </c>
      <c r="DA146" s="75">
        <f t="shared" si="171"/>
        <v>0</v>
      </c>
      <c r="DB146" s="75">
        <f t="shared" si="171"/>
        <v>0</v>
      </c>
      <c r="DC146" s="75">
        <f t="shared" si="171"/>
        <v>0</v>
      </c>
      <c r="DD146" s="75">
        <f t="shared" si="171"/>
        <v>0</v>
      </c>
      <c r="DE146" s="75">
        <f t="shared" si="171"/>
        <v>0</v>
      </c>
      <c r="DF146" s="75">
        <f t="shared" si="171"/>
        <v>0</v>
      </c>
      <c r="DG146" s="75">
        <f t="shared" si="171"/>
        <v>0</v>
      </c>
      <c r="DH146" s="75">
        <f t="shared" si="171"/>
        <v>0</v>
      </c>
      <c r="DI146" s="75">
        <f t="shared" si="171"/>
        <v>0</v>
      </c>
      <c r="DJ146" s="75">
        <f t="shared" si="171"/>
        <v>0</v>
      </c>
      <c r="DK146" s="75">
        <f t="shared" si="171"/>
        <v>0</v>
      </c>
      <c r="DL146" s="75">
        <f t="shared" si="171"/>
        <v>0</v>
      </c>
    </row>
    <row r="147" spans="2:116">
      <c r="B147" s="27">
        <f>Rentroll!$C$51</f>
        <v>3</v>
      </c>
      <c r="C147" s="69" t="str">
        <f>VLOOKUP($B147,Rentroll!$C$37:$Z$60,3,FALSE)</f>
        <v>타이거로켓</v>
      </c>
      <c r="D147" s="80">
        <f>VLOOKUP($B147,Rentroll!$C$37:$Z$60,9,FALSE)</f>
        <v>45688</v>
      </c>
      <c r="E147" s="80">
        <f>VLOOKUP($B147,Rentroll!$C$37:$Z$60,10,FALSE)</f>
        <v>47514</v>
      </c>
      <c r="F147" s="81">
        <f>VLOOKUP($B147,Rentroll!$C$37:$Z$60,11,FALSE)</f>
        <v>60</v>
      </c>
      <c r="G147" s="69">
        <f>VLOOKUP($B147,Rentroll!$C$37:$Z$60,13,FALSE)</f>
        <v>103000</v>
      </c>
      <c r="H147" s="69">
        <f>VLOOKUP($B147,Rentroll!$C$37:$Z$60,14,FALSE)</f>
        <v>90125</v>
      </c>
      <c r="I147" s="69">
        <f>VLOOKUP($B147,Rentroll!$C$37:$Z$60,15,FALSE)</f>
        <v>45000</v>
      </c>
      <c r="J147" s="82">
        <f>VLOOKUP($B147,Rentroll!$C$37:$Z$60,19,FALSE)</f>
        <v>0.03</v>
      </c>
      <c r="K147" s="83">
        <f>VLOOKUP($B147,Rentroll!$C$37:$Z$60,4,FALSE)</f>
        <v>1385.09</v>
      </c>
      <c r="L147" s="81">
        <f>VLOOKUP($B147,Rentroll!$C$37:$Z$60,17,FALSE)</f>
        <v>1</v>
      </c>
      <c r="M147" s="84">
        <f>VLOOKUP($B147,Rentroll!$C$37:$Z$60,18,FALSE)</f>
        <v>1.5</v>
      </c>
      <c r="O147" s="74">
        <f t="shared" si="132"/>
        <v>3</v>
      </c>
      <c r="P147" s="75"/>
      <c r="Q147" s="75"/>
      <c r="R147" s="75">
        <f t="shared" ref="R147:AW147" si="172">(IF($D147&gt;R$14,0,ROUNDUP(YEARFRAC($D147,R$14),0)))*R53</f>
        <v>0</v>
      </c>
      <c r="S147" s="75">
        <f t="shared" si="172"/>
        <v>1</v>
      </c>
      <c r="T147" s="75">
        <f t="shared" si="172"/>
        <v>1</v>
      </c>
      <c r="U147" s="75">
        <f t="shared" si="172"/>
        <v>1</v>
      </c>
      <c r="V147" s="75">
        <f t="shared" si="172"/>
        <v>1</v>
      </c>
      <c r="W147" s="75">
        <f t="shared" si="172"/>
        <v>1</v>
      </c>
      <c r="X147" s="75">
        <f t="shared" si="172"/>
        <v>1</v>
      </c>
      <c r="Y147" s="75">
        <f t="shared" si="172"/>
        <v>1</v>
      </c>
      <c r="Z147" s="75">
        <f t="shared" si="172"/>
        <v>1</v>
      </c>
      <c r="AA147" s="75">
        <f t="shared" si="172"/>
        <v>1</v>
      </c>
      <c r="AB147" s="75">
        <f t="shared" si="172"/>
        <v>1</v>
      </c>
      <c r="AC147" s="75">
        <f t="shared" si="172"/>
        <v>1</v>
      </c>
      <c r="AD147" s="75">
        <f t="shared" si="172"/>
        <v>1</v>
      </c>
      <c r="AE147" s="75">
        <f t="shared" si="172"/>
        <v>2</v>
      </c>
      <c r="AF147" s="75">
        <f t="shared" si="172"/>
        <v>2</v>
      </c>
      <c r="AG147" s="75">
        <f t="shared" si="172"/>
        <v>2</v>
      </c>
      <c r="AH147" s="75">
        <f t="shared" si="172"/>
        <v>2</v>
      </c>
      <c r="AI147" s="75">
        <f t="shared" si="172"/>
        <v>2</v>
      </c>
      <c r="AJ147" s="75">
        <f t="shared" si="172"/>
        <v>2</v>
      </c>
      <c r="AK147" s="75">
        <f t="shared" si="172"/>
        <v>2</v>
      </c>
      <c r="AL147" s="75">
        <f t="shared" si="172"/>
        <v>2</v>
      </c>
      <c r="AM147" s="75">
        <f t="shared" si="172"/>
        <v>2</v>
      </c>
      <c r="AN147" s="75">
        <f t="shared" si="172"/>
        <v>2</v>
      </c>
      <c r="AO147" s="75">
        <f t="shared" si="172"/>
        <v>2</v>
      </c>
      <c r="AP147" s="75">
        <f t="shared" si="172"/>
        <v>2</v>
      </c>
      <c r="AQ147" s="75">
        <f t="shared" si="172"/>
        <v>3</v>
      </c>
      <c r="AR147" s="75">
        <f t="shared" si="172"/>
        <v>3</v>
      </c>
      <c r="AS147" s="75">
        <f t="shared" si="172"/>
        <v>3</v>
      </c>
      <c r="AT147" s="75">
        <f t="shared" si="172"/>
        <v>3</v>
      </c>
      <c r="AU147" s="75">
        <f t="shared" si="172"/>
        <v>3</v>
      </c>
      <c r="AV147" s="75">
        <f t="shared" si="172"/>
        <v>3</v>
      </c>
      <c r="AW147" s="75">
        <f t="shared" si="172"/>
        <v>3</v>
      </c>
      <c r="AX147" s="75">
        <f t="shared" ref="AX147:CC147" si="173">(IF($D147&gt;AX$14,0,ROUNDUP(YEARFRAC($D147,AX$14),0)))*AX53</f>
        <v>3</v>
      </c>
      <c r="AY147" s="75">
        <f t="shared" si="173"/>
        <v>3</v>
      </c>
      <c r="AZ147" s="75">
        <f t="shared" si="173"/>
        <v>3</v>
      </c>
      <c r="BA147" s="75">
        <f t="shared" si="173"/>
        <v>3</v>
      </c>
      <c r="BB147" s="75">
        <f t="shared" si="173"/>
        <v>3</v>
      </c>
      <c r="BC147" s="75">
        <f t="shared" si="173"/>
        <v>4</v>
      </c>
      <c r="BD147" s="75">
        <f t="shared" si="173"/>
        <v>4</v>
      </c>
      <c r="BE147" s="75">
        <f t="shared" si="173"/>
        <v>4</v>
      </c>
      <c r="BF147" s="75">
        <f t="shared" si="173"/>
        <v>4</v>
      </c>
      <c r="BG147" s="75">
        <f t="shared" si="173"/>
        <v>4</v>
      </c>
      <c r="BH147" s="75">
        <f t="shared" si="173"/>
        <v>4</v>
      </c>
      <c r="BI147" s="75">
        <f t="shared" si="173"/>
        <v>4</v>
      </c>
      <c r="BJ147" s="75">
        <f t="shared" si="173"/>
        <v>4</v>
      </c>
      <c r="BK147" s="75">
        <f t="shared" si="173"/>
        <v>4</v>
      </c>
      <c r="BL147" s="75">
        <f t="shared" si="173"/>
        <v>4</v>
      </c>
      <c r="BM147" s="75">
        <f t="shared" si="173"/>
        <v>4</v>
      </c>
      <c r="BN147" s="75">
        <f t="shared" si="173"/>
        <v>4</v>
      </c>
      <c r="BO147" s="75">
        <f t="shared" si="173"/>
        <v>5</v>
      </c>
      <c r="BP147" s="75">
        <f t="shared" si="173"/>
        <v>5</v>
      </c>
      <c r="BQ147" s="75">
        <f t="shared" si="173"/>
        <v>5</v>
      </c>
      <c r="BR147" s="75">
        <f t="shared" si="173"/>
        <v>5</v>
      </c>
      <c r="BS147" s="75">
        <f t="shared" si="173"/>
        <v>5</v>
      </c>
      <c r="BT147" s="75">
        <f t="shared" si="173"/>
        <v>5</v>
      </c>
      <c r="BU147" s="75">
        <f t="shared" si="173"/>
        <v>5</v>
      </c>
      <c r="BV147" s="75">
        <f t="shared" si="173"/>
        <v>5</v>
      </c>
      <c r="BW147" s="75">
        <f t="shared" si="173"/>
        <v>5</v>
      </c>
      <c r="BX147" s="75">
        <f t="shared" si="173"/>
        <v>5</v>
      </c>
      <c r="BY147" s="75">
        <f t="shared" si="173"/>
        <v>5</v>
      </c>
      <c r="BZ147" s="75">
        <f t="shared" si="173"/>
        <v>5</v>
      </c>
      <c r="CA147" s="75">
        <f t="shared" si="173"/>
        <v>0</v>
      </c>
      <c r="CB147" s="75">
        <f t="shared" si="173"/>
        <v>0</v>
      </c>
      <c r="CC147" s="75">
        <f t="shared" si="173"/>
        <v>0</v>
      </c>
      <c r="CD147" s="75">
        <f t="shared" ref="CD147:DL147" si="174">(IF($D147&gt;CD$14,0,ROUNDUP(YEARFRAC($D147,CD$14),0)))*CD53</f>
        <v>0</v>
      </c>
      <c r="CE147" s="75">
        <f t="shared" si="174"/>
        <v>0</v>
      </c>
      <c r="CF147" s="75">
        <f t="shared" si="174"/>
        <v>0</v>
      </c>
      <c r="CG147" s="75">
        <f t="shared" si="174"/>
        <v>0</v>
      </c>
      <c r="CH147" s="75">
        <f t="shared" si="174"/>
        <v>0</v>
      </c>
      <c r="CI147" s="75">
        <f t="shared" si="174"/>
        <v>0</v>
      </c>
      <c r="CJ147" s="75">
        <f t="shared" si="174"/>
        <v>0</v>
      </c>
      <c r="CK147" s="75">
        <f t="shared" si="174"/>
        <v>0</v>
      </c>
      <c r="CL147" s="75">
        <f t="shared" si="174"/>
        <v>0</v>
      </c>
      <c r="CM147" s="75">
        <f t="shared" si="174"/>
        <v>0</v>
      </c>
      <c r="CN147" s="75">
        <f t="shared" si="174"/>
        <v>0</v>
      </c>
      <c r="CO147" s="75">
        <f t="shared" si="174"/>
        <v>0</v>
      </c>
      <c r="CP147" s="75">
        <f t="shared" si="174"/>
        <v>0</v>
      </c>
      <c r="CQ147" s="75">
        <f t="shared" si="174"/>
        <v>0</v>
      </c>
      <c r="CR147" s="75">
        <f t="shared" si="174"/>
        <v>0</v>
      </c>
      <c r="CS147" s="75">
        <f t="shared" si="174"/>
        <v>0</v>
      </c>
      <c r="CT147" s="75">
        <f t="shared" si="174"/>
        <v>0</v>
      </c>
      <c r="CU147" s="75">
        <f t="shared" si="174"/>
        <v>0</v>
      </c>
      <c r="CV147" s="75">
        <f t="shared" si="174"/>
        <v>0</v>
      </c>
      <c r="CW147" s="75">
        <f t="shared" si="174"/>
        <v>0</v>
      </c>
      <c r="CX147" s="75">
        <f t="shared" si="174"/>
        <v>0</v>
      </c>
      <c r="CY147" s="75">
        <f t="shared" si="174"/>
        <v>0</v>
      </c>
      <c r="CZ147" s="75">
        <f t="shared" si="174"/>
        <v>0</v>
      </c>
      <c r="DA147" s="75">
        <f t="shared" si="174"/>
        <v>0</v>
      </c>
      <c r="DB147" s="75">
        <f t="shared" si="174"/>
        <v>0</v>
      </c>
      <c r="DC147" s="75">
        <f t="shared" si="174"/>
        <v>0</v>
      </c>
      <c r="DD147" s="75">
        <f t="shared" si="174"/>
        <v>0</v>
      </c>
      <c r="DE147" s="75">
        <f t="shared" si="174"/>
        <v>0</v>
      </c>
      <c r="DF147" s="75">
        <f t="shared" si="174"/>
        <v>0</v>
      </c>
      <c r="DG147" s="75">
        <f t="shared" si="174"/>
        <v>0</v>
      </c>
      <c r="DH147" s="75">
        <f t="shared" si="174"/>
        <v>0</v>
      </c>
      <c r="DI147" s="75">
        <f t="shared" si="174"/>
        <v>0</v>
      </c>
      <c r="DJ147" s="75">
        <f t="shared" si="174"/>
        <v>0</v>
      </c>
      <c r="DK147" s="75">
        <f t="shared" si="174"/>
        <v>0</v>
      </c>
      <c r="DL147" s="75">
        <f t="shared" si="174"/>
        <v>0</v>
      </c>
    </row>
    <row r="148" spans="2:116">
      <c r="B148" s="27" t="str">
        <f>Rentroll!$C$52</f>
        <v>201호</v>
      </c>
      <c r="C148" s="69" t="str">
        <f>VLOOKUP($B148,Rentroll!$C$37:$Z$60,3,FALSE)</f>
        <v>RMW CARNE</v>
      </c>
      <c r="D148" s="80">
        <f>VLOOKUP($B148,Rentroll!$C$37:$Z$60,9,FALSE)</f>
        <v>45747</v>
      </c>
      <c r="E148" s="80">
        <f>VLOOKUP($B148,Rentroll!$C$37:$Z$60,10,FALSE)</f>
        <v>47573</v>
      </c>
      <c r="F148" s="81">
        <f>VLOOKUP($B148,Rentroll!$C$37:$Z$60,11,FALSE)</f>
        <v>60</v>
      </c>
      <c r="G148" s="69">
        <f>VLOOKUP($B148,Rentroll!$C$37:$Z$60,13,FALSE)</f>
        <v>130000</v>
      </c>
      <c r="H148" s="69">
        <f>VLOOKUP($B148,Rentroll!$C$37:$Z$60,14,FALSE)</f>
        <v>130000</v>
      </c>
      <c r="I148" s="69">
        <f>VLOOKUP($B148,Rentroll!$C$37:$Z$60,15,FALSE)</f>
        <v>45000</v>
      </c>
      <c r="J148" s="82">
        <f>VLOOKUP($B148,Rentroll!$C$37:$Z$60,19,FALSE)</f>
        <v>0.03</v>
      </c>
      <c r="K148" s="83">
        <f>VLOOKUP($B148,Rentroll!$C$37:$Z$60,4,FALSE)</f>
        <v>346.27249999999998</v>
      </c>
      <c r="L148" s="81">
        <f>VLOOKUP($B148,Rentroll!$C$37:$Z$60,17,FALSE)</f>
        <v>2</v>
      </c>
      <c r="M148" s="84">
        <f>VLOOKUP($B148,Rentroll!$C$37:$Z$60,18,FALSE)</f>
        <v>0</v>
      </c>
      <c r="O148" s="74" t="str">
        <f t="shared" si="132"/>
        <v>201호</v>
      </c>
      <c r="P148" s="75"/>
      <c r="Q148" s="75"/>
      <c r="R148" s="75">
        <f t="shared" ref="R148:AW148" si="175">(IF($D148&gt;R$14,0,ROUNDUP(YEARFRAC($D148,R$14),0)))*R54</f>
        <v>0</v>
      </c>
      <c r="S148" s="75">
        <f t="shared" si="175"/>
        <v>0</v>
      </c>
      <c r="T148" s="75">
        <f t="shared" si="175"/>
        <v>0</v>
      </c>
      <c r="U148" s="75">
        <f t="shared" si="175"/>
        <v>1</v>
      </c>
      <c r="V148" s="75">
        <f t="shared" si="175"/>
        <v>1</v>
      </c>
      <c r="W148" s="75">
        <f t="shared" si="175"/>
        <v>1</v>
      </c>
      <c r="X148" s="75">
        <f t="shared" si="175"/>
        <v>1</v>
      </c>
      <c r="Y148" s="75">
        <f t="shared" si="175"/>
        <v>1</v>
      </c>
      <c r="Z148" s="75">
        <f t="shared" si="175"/>
        <v>1</v>
      </c>
      <c r="AA148" s="75">
        <f t="shared" si="175"/>
        <v>1</v>
      </c>
      <c r="AB148" s="75">
        <f t="shared" si="175"/>
        <v>1</v>
      </c>
      <c r="AC148" s="75">
        <f t="shared" si="175"/>
        <v>1</v>
      </c>
      <c r="AD148" s="75">
        <f t="shared" si="175"/>
        <v>1</v>
      </c>
      <c r="AE148" s="75">
        <f t="shared" si="175"/>
        <v>1</v>
      </c>
      <c r="AF148" s="75">
        <f t="shared" si="175"/>
        <v>1</v>
      </c>
      <c r="AG148" s="75">
        <f t="shared" si="175"/>
        <v>2</v>
      </c>
      <c r="AH148" s="75">
        <f t="shared" si="175"/>
        <v>2</v>
      </c>
      <c r="AI148" s="75">
        <f t="shared" si="175"/>
        <v>2</v>
      </c>
      <c r="AJ148" s="75">
        <f t="shared" si="175"/>
        <v>2</v>
      </c>
      <c r="AK148" s="75">
        <f t="shared" si="175"/>
        <v>2</v>
      </c>
      <c r="AL148" s="75">
        <f t="shared" si="175"/>
        <v>2</v>
      </c>
      <c r="AM148" s="75">
        <f t="shared" si="175"/>
        <v>2</v>
      </c>
      <c r="AN148" s="75">
        <f t="shared" si="175"/>
        <v>2</v>
      </c>
      <c r="AO148" s="75">
        <f t="shared" si="175"/>
        <v>2</v>
      </c>
      <c r="AP148" s="75">
        <f t="shared" si="175"/>
        <v>2</v>
      </c>
      <c r="AQ148" s="75">
        <f t="shared" si="175"/>
        <v>2</v>
      </c>
      <c r="AR148" s="75">
        <f t="shared" si="175"/>
        <v>2</v>
      </c>
      <c r="AS148" s="75">
        <f t="shared" si="175"/>
        <v>3</v>
      </c>
      <c r="AT148" s="75">
        <f t="shared" si="175"/>
        <v>3</v>
      </c>
      <c r="AU148" s="75">
        <f t="shared" si="175"/>
        <v>3</v>
      </c>
      <c r="AV148" s="75">
        <f t="shared" si="175"/>
        <v>3</v>
      </c>
      <c r="AW148" s="75">
        <f t="shared" si="175"/>
        <v>3</v>
      </c>
      <c r="AX148" s="75">
        <f t="shared" ref="AX148:CC148" si="176">(IF($D148&gt;AX$14,0,ROUNDUP(YEARFRAC($D148,AX$14),0)))*AX54</f>
        <v>3</v>
      </c>
      <c r="AY148" s="75">
        <f t="shared" si="176"/>
        <v>3</v>
      </c>
      <c r="AZ148" s="75">
        <f t="shared" si="176"/>
        <v>3</v>
      </c>
      <c r="BA148" s="75">
        <f t="shared" si="176"/>
        <v>3</v>
      </c>
      <c r="BB148" s="75">
        <f t="shared" si="176"/>
        <v>3</v>
      </c>
      <c r="BC148" s="75">
        <f t="shared" si="176"/>
        <v>3</v>
      </c>
      <c r="BD148" s="75">
        <f t="shared" si="176"/>
        <v>3</v>
      </c>
      <c r="BE148" s="75">
        <f t="shared" si="176"/>
        <v>4</v>
      </c>
      <c r="BF148" s="75">
        <f t="shared" si="176"/>
        <v>4</v>
      </c>
      <c r="BG148" s="75">
        <f t="shared" si="176"/>
        <v>4</v>
      </c>
      <c r="BH148" s="75">
        <f t="shared" si="176"/>
        <v>4</v>
      </c>
      <c r="BI148" s="75">
        <f t="shared" si="176"/>
        <v>4</v>
      </c>
      <c r="BJ148" s="75">
        <f t="shared" si="176"/>
        <v>4</v>
      </c>
      <c r="BK148" s="75">
        <f t="shared" si="176"/>
        <v>4</v>
      </c>
      <c r="BL148" s="75">
        <f t="shared" si="176"/>
        <v>4</v>
      </c>
      <c r="BM148" s="75">
        <f t="shared" si="176"/>
        <v>4</v>
      </c>
      <c r="BN148" s="75">
        <f t="shared" si="176"/>
        <v>4</v>
      </c>
      <c r="BO148" s="75">
        <f t="shared" si="176"/>
        <v>4</v>
      </c>
      <c r="BP148" s="75">
        <f t="shared" si="176"/>
        <v>4</v>
      </c>
      <c r="BQ148" s="75">
        <f t="shared" si="176"/>
        <v>5</v>
      </c>
      <c r="BR148" s="75">
        <f t="shared" si="176"/>
        <v>5</v>
      </c>
      <c r="BS148" s="75">
        <f t="shared" si="176"/>
        <v>5</v>
      </c>
      <c r="BT148" s="75">
        <f t="shared" si="176"/>
        <v>5</v>
      </c>
      <c r="BU148" s="75">
        <f t="shared" si="176"/>
        <v>5</v>
      </c>
      <c r="BV148" s="75">
        <f t="shared" si="176"/>
        <v>5</v>
      </c>
      <c r="BW148" s="75">
        <f t="shared" si="176"/>
        <v>5</v>
      </c>
      <c r="BX148" s="75">
        <f t="shared" si="176"/>
        <v>5</v>
      </c>
      <c r="BY148" s="75">
        <f t="shared" si="176"/>
        <v>5</v>
      </c>
      <c r="BZ148" s="75">
        <f t="shared" si="176"/>
        <v>5</v>
      </c>
      <c r="CA148" s="75">
        <f t="shared" si="176"/>
        <v>0</v>
      </c>
      <c r="CB148" s="75">
        <f t="shared" si="176"/>
        <v>0</v>
      </c>
      <c r="CC148" s="75">
        <f t="shared" si="176"/>
        <v>0</v>
      </c>
      <c r="CD148" s="75">
        <f t="shared" ref="CD148:DL148" si="177">(IF($D148&gt;CD$14,0,ROUNDUP(YEARFRAC($D148,CD$14),0)))*CD54</f>
        <v>0</v>
      </c>
      <c r="CE148" s="75">
        <f t="shared" si="177"/>
        <v>0</v>
      </c>
      <c r="CF148" s="75">
        <f t="shared" si="177"/>
        <v>0</v>
      </c>
      <c r="CG148" s="75">
        <f t="shared" si="177"/>
        <v>0</v>
      </c>
      <c r="CH148" s="75">
        <f t="shared" si="177"/>
        <v>0</v>
      </c>
      <c r="CI148" s="75">
        <f t="shared" si="177"/>
        <v>0</v>
      </c>
      <c r="CJ148" s="75">
        <f t="shared" si="177"/>
        <v>0</v>
      </c>
      <c r="CK148" s="75">
        <f t="shared" si="177"/>
        <v>0</v>
      </c>
      <c r="CL148" s="75">
        <f t="shared" si="177"/>
        <v>0</v>
      </c>
      <c r="CM148" s="75">
        <f t="shared" si="177"/>
        <v>0</v>
      </c>
      <c r="CN148" s="75">
        <f t="shared" si="177"/>
        <v>0</v>
      </c>
      <c r="CO148" s="75">
        <f t="shared" si="177"/>
        <v>0</v>
      </c>
      <c r="CP148" s="75">
        <f t="shared" si="177"/>
        <v>0</v>
      </c>
      <c r="CQ148" s="75">
        <f t="shared" si="177"/>
        <v>0</v>
      </c>
      <c r="CR148" s="75">
        <f t="shared" si="177"/>
        <v>0</v>
      </c>
      <c r="CS148" s="75">
        <f t="shared" si="177"/>
        <v>0</v>
      </c>
      <c r="CT148" s="75">
        <f t="shared" si="177"/>
        <v>0</v>
      </c>
      <c r="CU148" s="75">
        <f t="shared" si="177"/>
        <v>0</v>
      </c>
      <c r="CV148" s="75">
        <f t="shared" si="177"/>
        <v>0</v>
      </c>
      <c r="CW148" s="75">
        <f t="shared" si="177"/>
        <v>0</v>
      </c>
      <c r="CX148" s="75">
        <f t="shared" si="177"/>
        <v>0</v>
      </c>
      <c r="CY148" s="75">
        <f t="shared" si="177"/>
        <v>0</v>
      </c>
      <c r="CZ148" s="75">
        <f t="shared" si="177"/>
        <v>0</v>
      </c>
      <c r="DA148" s="75">
        <f t="shared" si="177"/>
        <v>0</v>
      </c>
      <c r="DB148" s="75">
        <f t="shared" si="177"/>
        <v>0</v>
      </c>
      <c r="DC148" s="75">
        <f t="shared" si="177"/>
        <v>0</v>
      </c>
      <c r="DD148" s="75">
        <f t="shared" si="177"/>
        <v>0</v>
      </c>
      <c r="DE148" s="75">
        <f t="shared" si="177"/>
        <v>0</v>
      </c>
      <c r="DF148" s="75">
        <f t="shared" si="177"/>
        <v>0</v>
      </c>
      <c r="DG148" s="75">
        <f t="shared" si="177"/>
        <v>0</v>
      </c>
      <c r="DH148" s="75">
        <f t="shared" si="177"/>
        <v>0</v>
      </c>
      <c r="DI148" s="75">
        <f t="shared" si="177"/>
        <v>0</v>
      </c>
      <c r="DJ148" s="75">
        <f t="shared" si="177"/>
        <v>0</v>
      </c>
      <c r="DK148" s="75">
        <f t="shared" si="177"/>
        <v>0</v>
      </c>
      <c r="DL148" s="75">
        <f t="shared" si="177"/>
        <v>0</v>
      </c>
    </row>
    <row r="149" spans="2:116">
      <c r="B149" s="27" t="str">
        <f>Rentroll!$C$53</f>
        <v>202호</v>
      </c>
      <c r="C149" s="69" t="str">
        <f>VLOOKUP($B149,Rentroll!$C$37:$Z$60,3,FALSE)</f>
        <v>키이로</v>
      </c>
      <c r="D149" s="80">
        <f>VLOOKUP($B149,Rentroll!$C$37:$Z$60,9,FALSE)</f>
        <v>45747</v>
      </c>
      <c r="E149" s="80">
        <f>VLOOKUP($B149,Rentroll!$C$37:$Z$60,10,FALSE)</f>
        <v>47573</v>
      </c>
      <c r="F149" s="81">
        <f>VLOOKUP($B149,Rentroll!$C$37:$Z$60,11,FALSE)</f>
        <v>60</v>
      </c>
      <c r="G149" s="69">
        <f>VLOOKUP($B149,Rentroll!$C$37:$Z$60,13,FALSE)</f>
        <v>130000</v>
      </c>
      <c r="H149" s="69">
        <f>VLOOKUP($B149,Rentroll!$C$37:$Z$60,14,FALSE)</f>
        <v>130000</v>
      </c>
      <c r="I149" s="69">
        <f>VLOOKUP($B149,Rentroll!$C$37:$Z$60,15,FALSE)</f>
        <v>45000</v>
      </c>
      <c r="J149" s="82">
        <f>VLOOKUP($B149,Rentroll!$C$37:$Z$60,19,FALSE)</f>
        <v>0.03</v>
      </c>
      <c r="K149" s="83">
        <f>VLOOKUP($B149,Rentroll!$C$37:$Z$60,4,FALSE)</f>
        <v>346.27249999999998</v>
      </c>
      <c r="L149" s="81">
        <f>VLOOKUP($B149,Rentroll!$C$37:$Z$60,17,FALSE)</f>
        <v>2</v>
      </c>
      <c r="M149" s="84">
        <f>VLOOKUP($B149,Rentroll!$C$37:$Z$60,18,FALSE)</f>
        <v>0</v>
      </c>
      <c r="O149" s="74" t="str">
        <f t="shared" si="132"/>
        <v>202호</v>
      </c>
      <c r="P149" s="75"/>
      <c r="Q149" s="75"/>
      <c r="R149" s="75">
        <f t="shared" ref="R149:AW149" si="178">(IF($D149&gt;R$14,0,ROUNDUP(YEARFRAC($D149,R$14),0)))*R55</f>
        <v>0</v>
      </c>
      <c r="S149" s="75">
        <f t="shared" si="178"/>
        <v>0</v>
      </c>
      <c r="T149" s="75">
        <f t="shared" si="178"/>
        <v>0</v>
      </c>
      <c r="U149" s="75">
        <f t="shared" si="178"/>
        <v>1</v>
      </c>
      <c r="V149" s="75">
        <f t="shared" si="178"/>
        <v>1</v>
      </c>
      <c r="W149" s="75">
        <f t="shared" si="178"/>
        <v>1</v>
      </c>
      <c r="X149" s="75">
        <f t="shared" si="178"/>
        <v>1</v>
      </c>
      <c r="Y149" s="75">
        <f t="shared" si="178"/>
        <v>1</v>
      </c>
      <c r="Z149" s="75">
        <f t="shared" si="178"/>
        <v>1</v>
      </c>
      <c r="AA149" s="75">
        <f t="shared" si="178"/>
        <v>1</v>
      </c>
      <c r="AB149" s="75">
        <f t="shared" si="178"/>
        <v>1</v>
      </c>
      <c r="AC149" s="75">
        <f t="shared" si="178"/>
        <v>1</v>
      </c>
      <c r="AD149" s="75">
        <f t="shared" si="178"/>
        <v>1</v>
      </c>
      <c r="AE149" s="75">
        <f t="shared" si="178"/>
        <v>1</v>
      </c>
      <c r="AF149" s="75">
        <f t="shared" si="178"/>
        <v>1</v>
      </c>
      <c r="AG149" s="75">
        <f t="shared" si="178"/>
        <v>2</v>
      </c>
      <c r="AH149" s="75">
        <f t="shared" si="178"/>
        <v>2</v>
      </c>
      <c r="AI149" s="75">
        <f t="shared" si="178"/>
        <v>2</v>
      </c>
      <c r="AJ149" s="75">
        <f t="shared" si="178"/>
        <v>2</v>
      </c>
      <c r="AK149" s="75">
        <f t="shared" si="178"/>
        <v>2</v>
      </c>
      <c r="AL149" s="75">
        <f t="shared" si="178"/>
        <v>2</v>
      </c>
      <c r="AM149" s="75">
        <f t="shared" si="178"/>
        <v>2</v>
      </c>
      <c r="AN149" s="75">
        <f t="shared" si="178"/>
        <v>2</v>
      </c>
      <c r="AO149" s="75">
        <f t="shared" si="178"/>
        <v>2</v>
      </c>
      <c r="AP149" s="75">
        <f t="shared" si="178"/>
        <v>2</v>
      </c>
      <c r="AQ149" s="75">
        <f t="shared" si="178"/>
        <v>2</v>
      </c>
      <c r="AR149" s="75">
        <f t="shared" si="178"/>
        <v>2</v>
      </c>
      <c r="AS149" s="75">
        <f t="shared" si="178"/>
        <v>3</v>
      </c>
      <c r="AT149" s="75">
        <f t="shared" si="178"/>
        <v>3</v>
      </c>
      <c r="AU149" s="75">
        <f t="shared" si="178"/>
        <v>3</v>
      </c>
      <c r="AV149" s="75">
        <f t="shared" si="178"/>
        <v>3</v>
      </c>
      <c r="AW149" s="75">
        <f t="shared" si="178"/>
        <v>3</v>
      </c>
      <c r="AX149" s="75">
        <f t="shared" ref="AX149:CC149" si="179">(IF($D149&gt;AX$14,0,ROUNDUP(YEARFRAC($D149,AX$14),0)))*AX55</f>
        <v>3</v>
      </c>
      <c r="AY149" s="75">
        <f t="shared" si="179"/>
        <v>3</v>
      </c>
      <c r="AZ149" s="75">
        <f t="shared" si="179"/>
        <v>3</v>
      </c>
      <c r="BA149" s="75">
        <f t="shared" si="179"/>
        <v>3</v>
      </c>
      <c r="BB149" s="75">
        <f t="shared" si="179"/>
        <v>3</v>
      </c>
      <c r="BC149" s="75">
        <f t="shared" si="179"/>
        <v>3</v>
      </c>
      <c r="BD149" s="75">
        <f t="shared" si="179"/>
        <v>3</v>
      </c>
      <c r="BE149" s="75">
        <f t="shared" si="179"/>
        <v>4</v>
      </c>
      <c r="BF149" s="75">
        <f t="shared" si="179"/>
        <v>4</v>
      </c>
      <c r="BG149" s="75">
        <f t="shared" si="179"/>
        <v>4</v>
      </c>
      <c r="BH149" s="75">
        <f t="shared" si="179"/>
        <v>4</v>
      </c>
      <c r="BI149" s="75">
        <f t="shared" si="179"/>
        <v>4</v>
      </c>
      <c r="BJ149" s="75">
        <f t="shared" si="179"/>
        <v>4</v>
      </c>
      <c r="BK149" s="75">
        <f t="shared" si="179"/>
        <v>4</v>
      </c>
      <c r="BL149" s="75">
        <f t="shared" si="179"/>
        <v>4</v>
      </c>
      <c r="BM149" s="75">
        <f t="shared" si="179"/>
        <v>4</v>
      </c>
      <c r="BN149" s="75">
        <f t="shared" si="179"/>
        <v>4</v>
      </c>
      <c r="BO149" s="75">
        <f t="shared" si="179"/>
        <v>4</v>
      </c>
      <c r="BP149" s="75">
        <f t="shared" si="179"/>
        <v>4</v>
      </c>
      <c r="BQ149" s="75">
        <f t="shared" si="179"/>
        <v>5</v>
      </c>
      <c r="BR149" s="75">
        <f t="shared" si="179"/>
        <v>5</v>
      </c>
      <c r="BS149" s="75">
        <f t="shared" si="179"/>
        <v>5</v>
      </c>
      <c r="BT149" s="75">
        <f t="shared" si="179"/>
        <v>5</v>
      </c>
      <c r="BU149" s="75">
        <f t="shared" si="179"/>
        <v>5</v>
      </c>
      <c r="BV149" s="75">
        <f t="shared" si="179"/>
        <v>5</v>
      </c>
      <c r="BW149" s="75">
        <f t="shared" si="179"/>
        <v>5</v>
      </c>
      <c r="BX149" s="75">
        <f t="shared" si="179"/>
        <v>5</v>
      </c>
      <c r="BY149" s="75">
        <f t="shared" si="179"/>
        <v>5</v>
      </c>
      <c r="BZ149" s="75">
        <f t="shared" si="179"/>
        <v>5</v>
      </c>
      <c r="CA149" s="75">
        <f t="shared" si="179"/>
        <v>0</v>
      </c>
      <c r="CB149" s="75">
        <f t="shared" si="179"/>
        <v>0</v>
      </c>
      <c r="CC149" s="75">
        <f t="shared" si="179"/>
        <v>0</v>
      </c>
      <c r="CD149" s="75">
        <f t="shared" ref="CD149:DL149" si="180">(IF($D149&gt;CD$14,0,ROUNDUP(YEARFRAC($D149,CD$14),0)))*CD55</f>
        <v>0</v>
      </c>
      <c r="CE149" s="75">
        <f t="shared" si="180"/>
        <v>0</v>
      </c>
      <c r="CF149" s="75">
        <f t="shared" si="180"/>
        <v>0</v>
      </c>
      <c r="CG149" s="75">
        <f t="shared" si="180"/>
        <v>0</v>
      </c>
      <c r="CH149" s="75">
        <f t="shared" si="180"/>
        <v>0</v>
      </c>
      <c r="CI149" s="75">
        <f t="shared" si="180"/>
        <v>0</v>
      </c>
      <c r="CJ149" s="75">
        <f t="shared" si="180"/>
        <v>0</v>
      </c>
      <c r="CK149" s="75">
        <f t="shared" si="180"/>
        <v>0</v>
      </c>
      <c r="CL149" s="75">
        <f t="shared" si="180"/>
        <v>0</v>
      </c>
      <c r="CM149" s="75">
        <f t="shared" si="180"/>
        <v>0</v>
      </c>
      <c r="CN149" s="75">
        <f t="shared" si="180"/>
        <v>0</v>
      </c>
      <c r="CO149" s="75">
        <f t="shared" si="180"/>
        <v>0</v>
      </c>
      <c r="CP149" s="75">
        <f t="shared" si="180"/>
        <v>0</v>
      </c>
      <c r="CQ149" s="75">
        <f t="shared" si="180"/>
        <v>0</v>
      </c>
      <c r="CR149" s="75">
        <f t="shared" si="180"/>
        <v>0</v>
      </c>
      <c r="CS149" s="75">
        <f t="shared" si="180"/>
        <v>0</v>
      </c>
      <c r="CT149" s="75">
        <f t="shared" si="180"/>
        <v>0</v>
      </c>
      <c r="CU149" s="75">
        <f t="shared" si="180"/>
        <v>0</v>
      </c>
      <c r="CV149" s="75">
        <f t="shared" si="180"/>
        <v>0</v>
      </c>
      <c r="CW149" s="75">
        <f t="shared" si="180"/>
        <v>0</v>
      </c>
      <c r="CX149" s="75">
        <f t="shared" si="180"/>
        <v>0</v>
      </c>
      <c r="CY149" s="75">
        <f t="shared" si="180"/>
        <v>0</v>
      </c>
      <c r="CZ149" s="75">
        <f t="shared" si="180"/>
        <v>0</v>
      </c>
      <c r="DA149" s="75">
        <f t="shared" si="180"/>
        <v>0</v>
      </c>
      <c r="DB149" s="75">
        <f t="shared" si="180"/>
        <v>0</v>
      </c>
      <c r="DC149" s="75">
        <f t="shared" si="180"/>
        <v>0</v>
      </c>
      <c r="DD149" s="75">
        <f t="shared" si="180"/>
        <v>0</v>
      </c>
      <c r="DE149" s="75">
        <f t="shared" si="180"/>
        <v>0</v>
      </c>
      <c r="DF149" s="75">
        <f t="shared" si="180"/>
        <v>0</v>
      </c>
      <c r="DG149" s="75">
        <f t="shared" si="180"/>
        <v>0</v>
      </c>
      <c r="DH149" s="75">
        <f t="shared" si="180"/>
        <v>0</v>
      </c>
      <c r="DI149" s="75">
        <f t="shared" si="180"/>
        <v>0</v>
      </c>
      <c r="DJ149" s="75">
        <f t="shared" si="180"/>
        <v>0</v>
      </c>
      <c r="DK149" s="75">
        <f t="shared" si="180"/>
        <v>0</v>
      </c>
      <c r="DL149" s="75">
        <f t="shared" si="180"/>
        <v>0</v>
      </c>
    </row>
    <row r="150" spans="2:116">
      <c r="B150" s="27" t="str">
        <f>Rentroll!$C$54</f>
        <v>203호</v>
      </c>
      <c r="C150" s="69" t="str">
        <f>VLOOKUP($B150,Rentroll!$C$37:$Z$60,3,FALSE)</f>
        <v>주 052</v>
      </c>
      <c r="D150" s="80">
        <f>VLOOKUP($B150,Rentroll!$C$37:$Z$60,9,FALSE)</f>
        <v>45747</v>
      </c>
      <c r="E150" s="80">
        <f>VLOOKUP($B150,Rentroll!$C$37:$Z$60,10,FALSE)</f>
        <v>47573</v>
      </c>
      <c r="F150" s="81">
        <f>VLOOKUP($B150,Rentroll!$C$37:$Z$60,11,FALSE)</f>
        <v>60</v>
      </c>
      <c r="G150" s="69">
        <f>VLOOKUP($B150,Rentroll!$C$37:$Z$60,13,FALSE)</f>
        <v>130000</v>
      </c>
      <c r="H150" s="69">
        <f>VLOOKUP($B150,Rentroll!$C$37:$Z$60,14,FALSE)</f>
        <v>130000</v>
      </c>
      <c r="I150" s="69">
        <f>VLOOKUP($B150,Rentroll!$C$37:$Z$60,15,FALSE)</f>
        <v>45000</v>
      </c>
      <c r="J150" s="82">
        <f>VLOOKUP($B150,Rentroll!$C$37:$Z$60,19,FALSE)</f>
        <v>0.03</v>
      </c>
      <c r="K150" s="83">
        <f>VLOOKUP($B150,Rentroll!$C$37:$Z$60,4,FALSE)</f>
        <v>346.27249999999998</v>
      </c>
      <c r="L150" s="81">
        <f>VLOOKUP($B150,Rentroll!$C$37:$Z$60,17,FALSE)</f>
        <v>2</v>
      </c>
      <c r="M150" s="84">
        <f>VLOOKUP($B150,Rentroll!$C$37:$Z$60,18,FALSE)</f>
        <v>0</v>
      </c>
      <c r="O150" s="74" t="str">
        <f t="shared" si="132"/>
        <v>203호</v>
      </c>
      <c r="P150" s="75"/>
      <c r="Q150" s="75"/>
      <c r="R150" s="75">
        <f t="shared" ref="R150:AW150" si="181">(IF($D150&gt;R$14,0,ROUNDUP(YEARFRAC($D150,R$14),0)))*R56</f>
        <v>0</v>
      </c>
      <c r="S150" s="75">
        <f t="shared" si="181"/>
        <v>0</v>
      </c>
      <c r="T150" s="75">
        <f t="shared" si="181"/>
        <v>0</v>
      </c>
      <c r="U150" s="75">
        <f t="shared" si="181"/>
        <v>1</v>
      </c>
      <c r="V150" s="75">
        <f t="shared" si="181"/>
        <v>1</v>
      </c>
      <c r="W150" s="75">
        <f t="shared" si="181"/>
        <v>1</v>
      </c>
      <c r="X150" s="75">
        <f t="shared" si="181"/>
        <v>1</v>
      </c>
      <c r="Y150" s="75">
        <f t="shared" si="181"/>
        <v>1</v>
      </c>
      <c r="Z150" s="75">
        <f t="shared" si="181"/>
        <v>1</v>
      </c>
      <c r="AA150" s="75">
        <f t="shared" si="181"/>
        <v>1</v>
      </c>
      <c r="AB150" s="75">
        <f t="shared" si="181"/>
        <v>1</v>
      </c>
      <c r="AC150" s="75">
        <f t="shared" si="181"/>
        <v>1</v>
      </c>
      <c r="AD150" s="75">
        <f t="shared" si="181"/>
        <v>1</v>
      </c>
      <c r="AE150" s="75">
        <f t="shared" si="181"/>
        <v>1</v>
      </c>
      <c r="AF150" s="75">
        <f t="shared" si="181"/>
        <v>1</v>
      </c>
      <c r="AG150" s="75">
        <f t="shared" si="181"/>
        <v>2</v>
      </c>
      <c r="AH150" s="75">
        <f t="shared" si="181"/>
        <v>2</v>
      </c>
      <c r="AI150" s="75">
        <f t="shared" si="181"/>
        <v>2</v>
      </c>
      <c r="AJ150" s="75">
        <f t="shared" si="181"/>
        <v>2</v>
      </c>
      <c r="AK150" s="75">
        <f t="shared" si="181"/>
        <v>2</v>
      </c>
      <c r="AL150" s="75">
        <f t="shared" si="181"/>
        <v>2</v>
      </c>
      <c r="AM150" s="75">
        <f t="shared" si="181"/>
        <v>2</v>
      </c>
      <c r="AN150" s="75">
        <f t="shared" si="181"/>
        <v>2</v>
      </c>
      <c r="AO150" s="75">
        <f t="shared" si="181"/>
        <v>2</v>
      </c>
      <c r="AP150" s="75">
        <f t="shared" si="181"/>
        <v>2</v>
      </c>
      <c r="AQ150" s="75">
        <f t="shared" si="181"/>
        <v>2</v>
      </c>
      <c r="AR150" s="75">
        <f t="shared" si="181"/>
        <v>2</v>
      </c>
      <c r="AS150" s="75">
        <f t="shared" si="181"/>
        <v>3</v>
      </c>
      <c r="AT150" s="75">
        <f t="shared" si="181"/>
        <v>3</v>
      </c>
      <c r="AU150" s="75">
        <f t="shared" si="181"/>
        <v>3</v>
      </c>
      <c r="AV150" s="75">
        <f t="shared" si="181"/>
        <v>3</v>
      </c>
      <c r="AW150" s="75">
        <f t="shared" si="181"/>
        <v>3</v>
      </c>
      <c r="AX150" s="75">
        <f t="shared" ref="AX150:CC150" si="182">(IF($D150&gt;AX$14,0,ROUNDUP(YEARFRAC($D150,AX$14),0)))*AX56</f>
        <v>3</v>
      </c>
      <c r="AY150" s="75">
        <f t="shared" si="182"/>
        <v>3</v>
      </c>
      <c r="AZ150" s="75">
        <f t="shared" si="182"/>
        <v>3</v>
      </c>
      <c r="BA150" s="75">
        <f t="shared" si="182"/>
        <v>3</v>
      </c>
      <c r="BB150" s="75">
        <f t="shared" si="182"/>
        <v>3</v>
      </c>
      <c r="BC150" s="75">
        <f t="shared" si="182"/>
        <v>3</v>
      </c>
      <c r="BD150" s="75">
        <f t="shared" si="182"/>
        <v>3</v>
      </c>
      <c r="BE150" s="75">
        <f t="shared" si="182"/>
        <v>4</v>
      </c>
      <c r="BF150" s="75">
        <f t="shared" si="182"/>
        <v>4</v>
      </c>
      <c r="BG150" s="75">
        <f t="shared" si="182"/>
        <v>4</v>
      </c>
      <c r="BH150" s="75">
        <f t="shared" si="182"/>
        <v>4</v>
      </c>
      <c r="BI150" s="75">
        <f t="shared" si="182"/>
        <v>4</v>
      </c>
      <c r="BJ150" s="75">
        <f t="shared" si="182"/>
        <v>4</v>
      </c>
      <c r="BK150" s="75">
        <f t="shared" si="182"/>
        <v>4</v>
      </c>
      <c r="BL150" s="75">
        <f t="shared" si="182"/>
        <v>4</v>
      </c>
      <c r="BM150" s="75">
        <f t="shared" si="182"/>
        <v>4</v>
      </c>
      <c r="BN150" s="75">
        <f t="shared" si="182"/>
        <v>4</v>
      </c>
      <c r="BO150" s="75">
        <f t="shared" si="182"/>
        <v>4</v>
      </c>
      <c r="BP150" s="75">
        <f t="shared" si="182"/>
        <v>4</v>
      </c>
      <c r="BQ150" s="75">
        <f t="shared" si="182"/>
        <v>5</v>
      </c>
      <c r="BR150" s="75">
        <f t="shared" si="182"/>
        <v>5</v>
      </c>
      <c r="BS150" s="75">
        <f t="shared" si="182"/>
        <v>5</v>
      </c>
      <c r="BT150" s="75">
        <f t="shared" si="182"/>
        <v>5</v>
      </c>
      <c r="BU150" s="75">
        <f t="shared" si="182"/>
        <v>5</v>
      </c>
      <c r="BV150" s="75">
        <f t="shared" si="182"/>
        <v>5</v>
      </c>
      <c r="BW150" s="75">
        <f t="shared" si="182"/>
        <v>5</v>
      </c>
      <c r="BX150" s="75">
        <f t="shared" si="182"/>
        <v>5</v>
      </c>
      <c r="BY150" s="75">
        <f t="shared" si="182"/>
        <v>5</v>
      </c>
      <c r="BZ150" s="75">
        <f t="shared" si="182"/>
        <v>5</v>
      </c>
      <c r="CA150" s="75">
        <f t="shared" si="182"/>
        <v>0</v>
      </c>
      <c r="CB150" s="75">
        <f t="shared" si="182"/>
        <v>0</v>
      </c>
      <c r="CC150" s="75">
        <f t="shared" si="182"/>
        <v>0</v>
      </c>
      <c r="CD150" s="75">
        <f t="shared" ref="CD150:DL150" si="183">(IF($D150&gt;CD$14,0,ROUNDUP(YEARFRAC($D150,CD$14),0)))*CD56</f>
        <v>0</v>
      </c>
      <c r="CE150" s="75">
        <f t="shared" si="183"/>
        <v>0</v>
      </c>
      <c r="CF150" s="75">
        <f t="shared" si="183"/>
        <v>0</v>
      </c>
      <c r="CG150" s="75">
        <f t="shared" si="183"/>
        <v>0</v>
      </c>
      <c r="CH150" s="75">
        <f t="shared" si="183"/>
        <v>0</v>
      </c>
      <c r="CI150" s="75">
        <f t="shared" si="183"/>
        <v>0</v>
      </c>
      <c r="CJ150" s="75">
        <f t="shared" si="183"/>
        <v>0</v>
      </c>
      <c r="CK150" s="75">
        <f t="shared" si="183"/>
        <v>0</v>
      </c>
      <c r="CL150" s="75">
        <f t="shared" si="183"/>
        <v>0</v>
      </c>
      <c r="CM150" s="75">
        <f t="shared" si="183"/>
        <v>0</v>
      </c>
      <c r="CN150" s="75">
        <f t="shared" si="183"/>
        <v>0</v>
      </c>
      <c r="CO150" s="75">
        <f t="shared" si="183"/>
        <v>0</v>
      </c>
      <c r="CP150" s="75">
        <f t="shared" si="183"/>
        <v>0</v>
      </c>
      <c r="CQ150" s="75">
        <f t="shared" si="183"/>
        <v>0</v>
      </c>
      <c r="CR150" s="75">
        <f t="shared" si="183"/>
        <v>0</v>
      </c>
      <c r="CS150" s="75">
        <f t="shared" si="183"/>
        <v>0</v>
      </c>
      <c r="CT150" s="75">
        <f t="shared" si="183"/>
        <v>0</v>
      </c>
      <c r="CU150" s="75">
        <f t="shared" si="183"/>
        <v>0</v>
      </c>
      <c r="CV150" s="75">
        <f t="shared" si="183"/>
        <v>0</v>
      </c>
      <c r="CW150" s="75">
        <f t="shared" si="183"/>
        <v>0</v>
      </c>
      <c r="CX150" s="75">
        <f t="shared" si="183"/>
        <v>0</v>
      </c>
      <c r="CY150" s="75">
        <f t="shared" si="183"/>
        <v>0</v>
      </c>
      <c r="CZ150" s="75">
        <f t="shared" si="183"/>
        <v>0</v>
      </c>
      <c r="DA150" s="75">
        <f t="shared" si="183"/>
        <v>0</v>
      </c>
      <c r="DB150" s="75">
        <f t="shared" si="183"/>
        <v>0</v>
      </c>
      <c r="DC150" s="75">
        <f t="shared" si="183"/>
        <v>0</v>
      </c>
      <c r="DD150" s="75">
        <f t="shared" si="183"/>
        <v>0</v>
      </c>
      <c r="DE150" s="75">
        <f t="shared" si="183"/>
        <v>0</v>
      </c>
      <c r="DF150" s="75">
        <f t="shared" si="183"/>
        <v>0</v>
      </c>
      <c r="DG150" s="75">
        <f t="shared" si="183"/>
        <v>0</v>
      </c>
      <c r="DH150" s="75">
        <f t="shared" si="183"/>
        <v>0</v>
      </c>
      <c r="DI150" s="75">
        <f t="shared" si="183"/>
        <v>0</v>
      </c>
      <c r="DJ150" s="75">
        <f t="shared" si="183"/>
        <v>0</v>
      </c>
      <c r="DK150" s="75">
        <f t="shared" si="183"/>
        <v>0</v>
      </c>
      <c r="DL150" s="75">
        <f t="shared" si="183"/>
        <v>0</v>
      </c>
    </row>
    <row r="151" spans="2:116">
      <c r="B151" s="27" t="str">
        <f>Rentroll!$C$55</f>
        <v>204호</v>
      </c>
      <c r="C151" s="69" t="str">
        <f>VLOOKUP($B151,Rentroll!$C$37:$Z$60,3,FALSE)</f>
        <v>바이닐 청계</v>
      </c>
      <c r="D151" s="80">
        <f>VLOOKUP($B151,Rentroll!$C$37:$Z$60,9,FALSE)</f>
        <v>45747</v>
      </c>
      <c r="E151" s="80">
        <f>VLOOKUP($B151,Rentroll!$C$37:$Z$60,10,FALSE)</f>
        <v>47573</v>
      </c>
      <c r="F151" s="81">
        <f>VLOOKUP($B151,Rentroll!$C$37:$Z$60,11,FALSE)</f>
        <v>60</v>
      </c>
      <c r="G151" s="69">
        <f>VLOOKUP($B151,Rentroll!$C$37:$Z$60,13,FALSE)</f>
        <v>130000</v>
      </c>
      <c r="H151" s="69">
        <f>VLOOKUP($B151,Rentroll!$C$37:$Z$60,14,FALSE)</f>
        <v>130000</v>
      </c>
      <c r="I151" s="69">
        <f>VLOOKUP($B151,Rentroll!$C$37:$Z$60,15,FALSE)</f>
        <v>45000</v>
      </c>
      <c r="J151" s="82">
        <f>VLOOKUP($B151,Rentroll!$C$37:$Z$60,19,FALSE)</f>
        <v>0.03</v>
      </c>
      <c r="K151" s="83">
        <f>VLOOKUP($B151,Rentroll!$C$37:$Z$60,4,FALSE)</f>
        <v>346.27249999999998</v>
      </c>
      <c r="L151" s="81">
        <f>VLOOKUP($B151,Rentroll!$C$37:$Z$60,17,FALSE)</f>
        <v>2</v>
      </c>
      <c r="M151" s="84">
        <f>VLOOKUP($B151,Rentroll!$C$37:$Z$60,18,FALSE)</f>
        <v>0</v>
      </c>
      <c r="O151" s="26" t="str">
        <f t="shared" si="132"/>
        <v>204호</v>
      </c>
      <c r="P151" s="76"/>
      <c r="Q151" s="76"/>
      <c r="R151" s="76">
        <f t="shared" ref="R151:AW151" si="184">(IF($D151&gt;R$14,0,ROUNDUP(YEARFRAC($D151,R$14),0)))*R57</f>
        <v>0</v>
      </c>
      <c r="S151" s="76">
        <f t="shared" si="184"/>
        <v>0</v>
      </c>
      <c r="T151" s="76">
        <f t="shared" si="184"/>
        <v>0</v>
      </c>
      <c r="U151" s="76">
        <f t="shared" si="184"/>
        <v>1</v>
      </c>
      <c r="V151" s="76">
        <f t="shared" si="184"/>
        <v>1</v>
      </c>
      <c r="W151" s="76">
        <f t="shared" si="184"/>
        <v>1</v>
      </c>
      <c r="X151" s="76">
        <f t="shared" si="184"/>
        <v>1</v>
      </c>
      <c r="Y151" s="76">
        <f t="shared" si="184"/>
        <v>1</v>
      </c>
      <c r="Z151" s="76">
        <f t="shared" si="184"/>
        <v>1</v>
      </c>
      <c r="AA151" s="76">
        <f t="shared" si="184"/>
        <v>1</v>
      </c>
      <c r="AB151" s="76">
        <f t="shared" si="184"/>
        <v>1</v>
      </c>
      <c r="AC151" s="76">
        <f t="shared" si="184"/>
        <v>1</v>
      </c>
      <c r="AD151" s="76">
        <f t="shared" si="184"/>
        <v>1</v>
      </c>
      <c r="AE151" s="76">
        <f t="shared" si="184"/>
        <v>1</v>
      </c>
      <c r="AF151" s="76">
        <f t="shared" si="184"/>
        <v>1</v>
      </c>
      <c r="AG151" s="76">
        <f t="shared" si="184"/>
        <v>2</v>
      </c>
      <c r="AH151" s="76">
        <f t="shared" si="184"/>
        <v>2</v>
      </c>
      <c r="AI151" s="76">
        <f t="shared" si="184"/>
        <v>2</v>
      </c>
      <c r="AJ151" s="76">
        <f t="shared" si="184"/>
        <v>2</v>
      </c>
      <c r="AK151" s="76">
        <f t="shared" si="184"/>
        <v>2</v>
      </c>
      <c r="AL151" s="76">
        <f t="shared" si="184"/>
        <v>2</v>
      </c>
      <c r="AM151" s="76">
        <f t="shared" si="184"/>
        <v>2</v>
      </c>
      <c r="AN151" s="76">
        <f t="shared" si="184"/>
        <v>2</v>
      </c>
      <c r="AO151" s="76">
        <f t="shared" si="184"/>
        <v>2</v>
      </c>
      <c r="AP151" s="76">
        <f t="shared" si="184"/>
        <v>2</v>
      </c>
      <c r="AQ151" s="76">
        <f t="shared" si="184"/>
        <v>2</v>
      </c>
      <c r="AR151" s="76">
        <f t="shared" si="184"/>
        <v>2</v>
      </c>
      <c r="AS151" s="76">
        <f t="shared" si="184"/>
        <v>3</v>
      </c>
      <c r="AT151" s="76">
        <f t="shared" si="184"/>
        <v>3</v>
      </c>
      <c r="AU151" s="76">
        <f t="shared" si="184"/>
        <v>3</v>
      </c>
      <c r="AV151" s="76">
        <f t="shared" si="184"/>
        <v>3</v>
      </c>
      <c r="AW151" s="76">
        <f t="shared" si="184"/>
        <v>3</v>
      </c>
      <c r="AX151" s="76">
        <f t="shared" ref="AX151:CC151" si="185">(IF($D151&gt;AX$14,0,ROUNDUP(YEARFRAC($D151,AX$14),0)))*AX57</f>
        <v>3</v>
      </c>
      <c r="AY151" s="76">
        <f t="shared" si="185"/>
        <v>3</v>
      </c>
      <c r="AZ151" s="76">
        <f t="shared" si="185"/>
        <v>3</v>
      </c>
      <c r="BA151" s="76">
        <f t="shared" si="185"/>
        <v>3</v>
      </c>
      <c r="BB151" s="76">
        <f t="shared" si="185"/>
        <v>3</v>
      </c>
      <c r="BC151" s="76">
        <f t="shared" si="185"/>
        <v>3</v>
      </c>
      <c r="BD151" s="76">
        <f t="shared" si="185"/>
        <v>3</v>
      </c>
      <c r="BE151" s="76">
        <f t="shared" si="185"/>
        <v>4</v>
      </c>
      <c r="BF151" s="76">
        <f t="shared" si="185"/>
        <v>4</v>
      </c>
      <c r="BG151" s="76">
        <f t="shared" si="185"/>
        <v>4</v>
      </c>
      <c r="BH151" s="76">
        <f t="shared" si="185"/>
        <v>4</v>
      </c>
      <c r="BI151" s="76">
        <f t="shared" si="185"/>
        <v>4</v>
      </c>
      <c r="BJ151" s="76">
        <f t="shared" si="185"/>
        <v>4</v>
      </c>
      <c r="BK151" s="76">
        <f t="shared" si="185"/>
        <v>4</v>
      </c>
      <c r="BL151" s="76">
        <f t="shared" si="185"/>
        <v>4</v>
      </c>
      <c r="BM151" s="76">
        <f t="shared" si="185"/>
        <v>4</v>
      </c>
      <c r="BN151" s="76">
        <f t="shared" si="185"/>
        <v>4</v>
      </c>
      <c r="BO151" s="76">
        <f t="shared" si="185"/>
        <v>4</v>
      </c>
      <c r="BP151" s="76">
        <f t="shared" si="185"/>
        <v>4</v>
      </c>
      <c r="BQ151" s="76">
        <f t="shared" si="185"/>
        <v>5</v>
      </c>
      <c r="BR151" s="76">
        <f t="shared" si="185"/>
        <v>5</v>
      </c>
      <c r="BS151" s="76">
        <f t="shared" si="185"/>
        <v>5</v>
      </c>
      <c r="BT151" s="76">
        <f t="shared" si="185"/>
        <v>5</v>
      </c>
      <c r="BU151" s="76">
        <f t="shared" si="185"/>
        <v>5</v>
      </c>
      <c r="BV151" s="76">
        <f t="shared" si="185"/>
        <v>5</v>
      </c>
      <c r="BW151" s="76">
        <f t="shared" si="185"/>
        <v>5</v>
      </c>
      <c r="BX151" s="76">
        <f t="shared" si="185"/>
        <v>5</v>
      </c>
      <c r="BY151" s="76">
        <f t="shared" si="185"/>
        <v>5</v>
      </c>
      <c r="BZ151" s="76">
        <f t="shared" si="185"/>
        <v>5</v>
      </c>
      <c r="CA151" s="76">
        <f t="shared" si="185"/>
        <v>0</v>
      </c>
      <c r="CB151" s="76">
        <f t="shared" si="185"/>
        <v>0</v>
      </c>
      <c r="CC151" s="76">
        <f t="shared" si="185"/>
        <v>0</v>
      </c>
      <c r="CD151" s="76">
        <f t="shared" ref="CD151:DL151" si="186">(IF($D151&gt;CD$14,0,ROUNDUP(YEARFRAC($D151,CD$14),0)))*CD57</f>
        <v>0</v>
      </c>
      <c r="CE151" s="76">
        <f t="shared" si="186"/>
        <v>0</v>
      </c>
      <c r="CF151" s="76">
        <f t="shared" si="186"/>
        <v>0</v>
      </c>
      <c r="CG151" s="76">
        <f t="shared" si="186"/>
        <v>0</v>
      </c>
      <c r="CH151" s="76">
        <f t="shared" si="186"/>
        <v>0</v>
      </c>
      <c r="CI151" s="76">
        <f t="shared" si="186"/>
        <v>0</v>
      </c>
      <c r="CJ151" s="76">
        <f t="shared" si="186"/>
        <v>0</v>
      </c>
      <c r="CK151" s="76">
        <f t="shared" si="186"/>
        <v>0</v>
      </c>
      <c r="CL151" s="76">
        <f t="shared" si="186"/>
        <v>0</v>
      </c>
      <c r="CM151" s="76">
        <f t="shared" si="186"/>
        <v>0</v>
      </c>
      <c r="CN151" s="76">
        <f t="shared" si="186"/>
        <v>0</v>
      </c>
      <c r="CO151" s="76">
        <f t="shared" si="186"/>
        <v>0</v>
      </c>
      <c r="CP151" s="76">
        <f t="shared" si="186"/>
        <v>0</v>
      </c>
      <c r="CQ151" s="76">
        <f t="shared" si="186"/>
        <v>0</v>
      </c>
      <c r="CR151" s="76">
        <f t="shared" si="186"/>
        <v>0</v>
      </c>
      <c r="CS151" s="76">
        <f t="shared" si="186"/>
        <v>0</v>
      </c>
      <c r="CT151" s="76">
        <f t="shared" si="186"/>
        <v>0</v>
      </c>
      <c r="CU151" s="76">
        <f t="shared" si="186"/>
        <v>0</v>
      </c>
      <c r="CV151" s="76">
        <f t="shared" si="186"/>
        <v>0</v>
      </c>
      <c r="CW151" s="76">
        <f t="shared" si="186"/>
        <v>0</v>
      </c>
      <c r="CX151" s="76">
        <f t="shared" si="186"/>
        <v>0</v>
      </c>
      <c r="CY151" s="76">
        <f t="shared" si="186"/>
        <v>0</v>
      </c>
      <c r="CZ151" s="76">
        <f t="shared" si="186"/>
        <v>0</v>
      </c>
      <c r="DA151" s="76">
        <f t="shared" si="186"/>
        <v>0</v>
      </c>
      <c r="DB151" s="76">
        <f t="shared" si="186"/>
        <v>0</v>
      </c>
      <c r="DC151" s="76">
        <f t="shared" si="186"/>
        <v>0</v>
      </c>
      <c r="DD151" s="76">
        <f t="shared" si="186"/>
        <v>0</v>
      </c>
      <c r="DE151" s="76">
        <f t="shared" si="186"/>
        <v>0</v>
      </c>
      <c r="DF151" s="76">
        <f t="shared" si="186"/>
        <v>0</v>
      </c>
      <c r="DG151" s="76">
        <f t="shared" si="186"/>
        <v>0</v>
      </c>
      <c r="DH151" s="76">
        <f t="shared" si="186"/>
        <v>0</v>
      </c>
      <c r="DI151" s="76">
        <f t="shared" si="186"/>
        <v>0</v>
      </c>
      <c r="DJ151" s="76">
        <f t="shared" si="186"/>
        <v>0</v>
      </c>
      <c r="DK151" s="76">
        <f t="shared" si="186"/>
        <v>0</v>
      </c>
      <c r="DL151" s="76">
        <f t="shared" si="186"/>
        <v>0</v>
      </c>
    </row>
    <row r="152" spans="2:116">
      <c r="B152" s="28" t="str">
        <f>Rentroll!$C$56</f>
        <v>101호</v>
      </c>
      <c r="C152" s="69" t="str">
        <f>VLOOKUP($B152,Rentroll!$C$37:$Z$60,3,FALSE)</f>
        <v>카페 1리터</v>
      </c>
      <c r="D152" s="80">
        <f>VLOOKUP($B152,Rentroll!$C$37:$Z$60,9,FALSE)</f>
        <v>45838</v>
      </c>
      <c r="E152" s="80">
        <f>VLOOKUP($B152,Rentroll!$C$37:$Z$60,10,FALSE)</f>
        <v>47634</v>
      </c>
      <c r="F152" s="81">
        <f>VLOOKUP($B152,Rentroll!$C$37:$Z$60,11,FALSE)</f>
        <v>60</v>
      </c>
      <c r="G152" s="69">
        <f>VLOOKUP($B152,Rentroll!$C$37:$Z$60,13,FALSE)</f>
        <v>150000</v>
      </c>
      <c r="H152" s="69">
        <f>VLOOKUP($B152,Rentroll!$C$37:$Z$60,14,FALSE)</f>
        <v>150000</v>
      </c>
      <c r="I152" s="69">
        <f>VLOOKUP($B152,Rentroll!$C$37:$Z$60,15,FALSE)</f>
        <v>45000</v>
      </c>
      <c r="J152" s="82">
        <f>VLOOKUP($B152,Rentroll!$C$37:$Z$60,19,FALSE)</f>
        <v>0.03</v>
      </c>
      <c r="K152" s="83">
        <f>VLOOKUP($B152,Rentroll!$C$37:$Z$60,4,FALSE)</f>
        <v>484.78</v>
      </c>
      <c r="L152" s="81">
        <f>VLOOKUP($B152,Rentroll!$C$37:$Z$60,17,FALSE)</f>
        <v>1</v>
      </c>
      <c r="M152" s="84">
        <f>VLOOKUP($B152,Rentroll!$C$37:$Z$60,18,FALSE)</f>
        <v>0</v>
      </c>
      <c r="O152" s="74" t="str">
        <f t="shared" ref="O152:O156" si="187">B152</f>
        <v>101호</v>
      </c>
      <c r="P152" s="75"/>
      <c r="Q152" s="75"/>
      <c r="R152" s="75">
        <f t="shared" ref="R152:CC152" si="188">(IF($D152&gt;R$14,0,ROUNDUP(YEARFRAC($D152,R$14),0)))*R58</f>
        <v>0</v>
      </c>
      <c r="S152" s="75">
        <f t="shared" si="188"/>
        <v>0</v>
      </c>
      <c r="T152" s="75">
        <f t="shared" si="188"/>
        <v>0</v>
      </c>
      <c r="U152" s="75">
        <f t="shared" si="188"/>
        <v>0</v>
      </c>
      <c r="V152" s="75">
        <f t="shared" si="188"/>
        <v>0</v>
      </c>
      <c r="W152" s="75">
        <f t="shared" si="188"/>
        <v>0</v>
      </c>
      <c r="X152" s="75">
        <f t="shared" si="188"/>
        <v>1</v>
      </c>
      <c r="Y152" s="75">
        <f t="shared" si="188"/>
        <v>1</v>
      </c>
      <c r="Z152" s="75">
        <f t="shared" si="188"/>
        <v>1</v>
      </c>
      <c r="AA152" s="75">
        <f t="shared" si="188"/>
        <v>1</v>
      </c>
      <c r="AB152" s="75">
        <f t="shared" si="188"/>
        <v>1</v>
      </c>
      <c r="AC152" s="75">
        <f t="shared" si="188"/>
        <v>1</v>
      </c>
      <c r="AD152" s="75">
        <f t="shared" si="188"/>
        <v>1</v>
      </c>
      <c r="AE152" s="75">
        <f t="shared" si="188"/>
        <v>1</v>
      </c>
      <c r="AF152" s="75">
        <f t="shared" si="188"/>
        <v>1</v>
      </c>
      <c r="AG152" s="75">
        <f t="shared" si="188"/>
        <v>1</v>
      </c>
      <c r="AH152" s="75">
        <f t="shared" si="188"/>
        <v>1</v>
      </c>
      <c r="AI152" s="75">
        <f t="shared" si="188"/>
        <v>1</v>
      </c>
      <c r="AJ152" s="75">
        <f t="shared" si="188"/>
        <v>2</v>
      </c>
      <c r="AK152" s="75">
        <f t="shared" si="188"/>
        <v>2</v>
      </c>
      <c r="AL152" s="75">
        <f t="shared" si="188"/>
        <v>2</v>
      </c>
      <c r="AM152" s="75">
        <f t="shared" si="188"/>
        <v>2</v>
      </c>
      <c r="AN152" s="75">
        <f t="shared" si="188"/>
        <v>2</v>
      </c>
      <c r="AO152" s="75">
        <f t="shared" si="188"/>
        <v>2</v>
      </c>
      <c r="AP152" s="75">
        <f t="shared" si="188"/>
        <v>2</v>
      </c>
      <c r="AQ152" s="75">
        <f t="shared" si="188"/>
        <v>2</v>
      </c>
      <c r="AR152" s="75">
        <f t="shared" si="188"/>
        <v>2</v>
      </c>
      <c r="AS152" s="75">
        <f t="shared" si="188"/>
        <v>2</v>
      </c>
      <c r="AT152" s="75">
        <f t="shared" si="188"/>
        <v>2</v>
      </c>
      <c r="AU152" s="75">
        <f t="shared" si="188"/>
        <v>2</v>
      </c>
      <c r="AV152" s="75">
        <f t="shared" si="188"/>
        <v>3</v>
      </c>
      <c r="AW152" s="75">
        <f t="shared" si="188"/>
        <v>3</v>
      </c>
      <c r="AX152" s="75">
        <f t="shared" si="188"/>
        <v>3</v>
      </c>
      <c r="AY152" s="75">
        <f t="shared" si="188"/>
        <v>3</v>
      </c>
      <c r="AZ152" s="75">
        <f t="shared" si="188"/>
        <v>3</v>
      </c>
      <c r="BA152" s="75">
        <f t="shared" si="188"/>
        <v>3</v>
      </c>
      <c r="BB152" s="75">
        <f t="shared" si="188"/>
        <v>3</v>
      </c>
      <c r="BC152" s="75">
        <f t="shared" si="188"/>
        <v>3</v>
      </c>
      <c r="BD152" s="75">
        <f t="shared" si="188"/>
        <v>3</v>
      </c>
      <c r="BE152" s="75">
        <f t="shared" si="188"/>
        <v>3</v>
      </c>
      <c r="BF152" s="75">
        <f t="shared" si="188"/>
        <v>3</v>
      </c>
      <c r="BG152" s="75">
        <f t="shared" si="188"/>
        <v>3</v>
      </c>
      <c r="BH152" s="75">
        <f t="shared" si="188"/>
        <v>4</v>
      </c>
      <c r="BI152" s="75">
        <f t="shared" si="188"/>
        <v>4</v>
      </c>
      <c r="BJ152" s="75">
        <f t="shared" si="188"/>
        <v>4</v>
      </c>
      <c r="BK152" s="75">
        <f t="shared" si="188"/>
        <v>4</v>
      </c>
      <c r="BL152" s="75">
        <f t="shared" si="188"/>
        <v>4</v>
      </c>
      <c r="BM152" s="75">
        <f t="shared" si="188"/>
        <v>4</v>
      </c>
      <c r="BN152" s="75">
        <f t="shared" si="188"/>
        <v>4</v>
      </c>
      <c r="BO152" s="75">
        <f t="shared" si="188"/>
        <v>4</v>
      </c>
      <c r="BP152" s="75">
        <f t="shared" si="188"/>
        <v>4</v>
      </c>
      <c r="BQ152" s="75">
        <f t="shared" si="188"/>
        <v>4</v>
      </c>
      <c r="BR152" s="75">
        <f t="shared" si="188"/>
        <v>4</v>
      </c>
      <c r="BS152" s="75">
        <f t="shared" si="188"/>
        <v>4</v>
      </c>
      <c r="BT152" s="75">
        <f t="shared" si="188"/>
        <v>5</v>
      </c>
      <c r="BU152" s="75">
        <f t="shared" si="188"/>
        <v>5</v>
      </c>
      <c r="BV152" s="75">
        <f t="shared" si="188"/>
        <v>5</v>
      </c>
      <c r="BW152" s="75">
        <f t="shared" si="188"/>
        <v>5</v>
      </c>
      <c r="BX152" s="75">
        <f t="shared" si="188"/>
        <v>5</v>
      </c>
      <c r="BY152" s="75">
        <f t="shared" si="188"/>
        <v>5</v>
      </c>
      <c r="BZ152" s="75">
        <f t="shared" si="188"/>
        <v>5</v>
      </c>
      <c r="CA152" s="75">
        <f t="shared" si="188"/>
        <v>0</v>
      </c>
      <c r="CB152" s="75">
        <f t="shared" si="188"/>
        <v>0</v>
      </c>
      <c r="CC152" s="75">
        <f t="shared" si="188"/>
        <v>0</v>
      </c>
      <c r="CD152" s="75">
        <f t="shared" ref="CD152:DL152" si="189">(IF($D152&gt;CD$14,0,ROUNDUP(YEARFRAC($D152,CD$14),0)))*CD58</f>
        <v>0</v>
      </c>
      <c r="CE152" s="75">
        <f t="shared" si="189"/>
        <v>0</v>
      </c>
      <c r="CF152" s="75">
        <f t="shared" si="189"/>
        <v>0</v>
      </c>
      <c r="CG152" s="75">
        <f t="shared" si="189"/>
        <v>0</v>
      </c>
      <c r="CH152" s="75">
        <f t="shared" si="189"/>
        <v>0</v>
      </c>
      <c r="CI152" s="75">
        <f t="shared" si="189"/>
        <v>0</v>
      </c>
      <c r="CJ152" s="75">
        <f t="shared" si="189"/>
        <v>0</v>
      </c>
      <c r="CK152" s="75">
        <f t="shared" si="189"/>
        <v>0</v>
      </c>
      <c r="CL152" s="75">
        <f t="shared" si="189"/>
        <v>0</v>
      </c>
      <c r="CM152" s="75">
        <f t="shared" si="189"/>
        <v>0</v>
      </c>
      <c r="CN152" s="75">
        <f t="shared" si="189"/>
        <v>0</v>
      </c>
      <c r="CO152" s="75">
        <f t="shared" si="189"/>
        <v>0</v>
      </c>
      <c r="CP152" s="75">
        <f t="shared" si="189"/>
        <v>0</v>
      </c>
      <c r="CQ152" s="75">
        <f t="shared" si="189"/>
        <v>0</v>
      </c>
      <c r="CR152" s="75">
        <f t="shared" si="189"/>
        <v>0</v>
      </c>
      <c r="CS152" s="75">
        <f t="shared" si="189"/>
        <v>0</v>
      </c>
      <c r="CT152" s="75">
        <f t="shared" si="189"/>
        <v>0</v>
      </c>
      <c r="CU152" s="75">
        <f t="shared" si="189"/>
        <v>0</v>
      </c>
      <c r="CV152" s="75">
        <f t="shared" si="189"/>
        <v>0</v>
      </c>
      <c r="CW152" s="75">
        <f t="shared" si="189"/>
        <v>0</v>
      </c>
      <c r="CX152" s="75">
        <f t="shared" si="189"/>
        <v>0</v>
      </c>
      <c r="CY152" s="75">
        <f t="shared" si="189"/>
        <v>0</v>
      </c>
      <c r="CZ152" s="75">
        <f t="shared" si="189"/>
        <v>0</v>
      </c>
      <c r="DA152" s="75">
        <f t="shared" si="189"/>
        <v>0</v>
      </c>
      <c r="DB152" s="75">
        <f t="shared" si="189"/>
        <v>0</v>
      </c>
      <c r="DC152" s="75">
        <f t="shared" si="189"/>
        <v>0</v>
      </c>
      <c r="DD152" s="75">
        <f t="shared" si="189"/>
        <v>0</v>
      </c>
      <c r="DE152" s="75">
        <f t="shared" si="189"/>
        <v>0</v>
      </c>
      <c r="DF152" s="75">
        <f t="shared" si="189"/>
        <v>0</v>
      </c>
      <c r="DG152" s="75">
        <f t="shared" si="189"/>
        <v>0</v>
      </c>
      <c r="DH152" s="75">
        <f t="shared" si="189"/>
        <v>0</v>
      </c>
      <c r="DI152" s="75">
        <f t="shared" si="189"/>
        <v>0</v>
      </c>
      <c r="DJ152" s="75">
        <f t="shared" si="189"/>
        <v>0</v>
      </c>
      <c r="DK152" s="75">
        <f t="shared" si="189"/>
        <v>0</v>
      </c>
      <c r="DL152" s="75">
        <f t="shared" si="189"/>
        <v>0</v>
      </c>
    </row>
    <row r="153" spans="2:116">
      <c r="B153" s="28" t="str">
        <f>Rentroll!$C$57</f>
        <v>102호</v>
      </c>
      <c r="C153" s="69" t="str">
        <f>VLOOKUP($B153,Rentroll!$C$37:$Z$60,3,FALSE)</f>
        <v>DOTZ</v>
      </c>
      <c r="D153" s="80">
        <f>VLOOKUP($B153,Rentroll!$C$37:$Z$60,9,FALSE)</f>
        <v>45838</v>
      </c>
      <c r="E153" s="80">
        <f>VLOOKUP($B153,Rentroll!$C$37:$Z$60,10,FALSE)</f>
        <v>47634</v>
      </c>
      <c r="F153" s="81">
        <f>VLOOKUP($B153,Rentroll!$C$37:$Z$60,11,FALSE)</f>
        <v>60</v>
      </c>
      <c r="G153" s="69">
        <f>VLOOKUP($B153,Rentroll!$C$37:$Z$60,13,FALSE)</f>
        <v>150000</v>
      </c>
      <c r="H153" s="69">
        <f>VLOOKUP($B153,Rentroll!$C$37:$Z$60,14,FALSE)</f>
        <v>150000</v>
      </c>
      <c r="I153" s="69">
        <f>VLOOKUP($B153,Rentroll!$C$37:$Z$60,15,FALSE)</f>
        <v>45000</v>
      </c>
      <c r="J153" s="82">
        <f>VLOOKUP($B153,Rentroll!$C$37:$Z$60,19,FALSE)</f>
        <v>0.03</v>
      </c>
      <c r="K153" s="83">
        <f>VLOOKUP($B153,Rentroll!$C$37:$Z$60,4,FALSE)</f>
        <v>484.78</v>
      </c>
      <c r="L153" s="81">
        <f>VLOOKUP($B153,Rentroll!$C$37:$Z$60,17,FALSE)</f>
        <v>1</v>
      </c>
      <c r="M153" s="84">
        <f>VLOOKUP($B153,Rentroll!$C$37:$Z$60,18,FALSE)</f>
        <v>0</v>
      </c>
      <c r="O153" s="74" t="str">
        <f t="shared" si="187"/>
        <v>102호</v>
      </c>
      <c r="P153" s="75"/>
      <c r="Q153" s="75"/>
      <c r="R153" s="75">
        <f t="shared" ref="R153:CC153" si="190">(IF($D153&gt;R$14,0,ROUNDUP(YEARFRAC($D153,R$14),0)))*R59</f>
        <v>0</v>
      </c>
      <c r="S153" s="75">
        <f t="shared" si="190"/>
        <v>0</v>
      </c>
      <c r="T153" s="75">
        <f t="shared" si="190"/>
        <v>0</v>
      </c>
      <c r="U153" s="75">
        <f t="shared" si="190"/>
        <v>0</v>
      </c>
      <c r="V153" s="75">
        <f t="shared" si="190"/>
        <v>0</v>
      </c>
      <c r="W153" s="75">
        <f t="shared" si="190"/>
        <v>0</v>
      </c>
      <c r="X153" s="75">
        <f t="shared" si="190"/>
        <v>1</v>
      </c>
      <c r="Y153" s="75">
        <f t="shared" si="190"/>
        <v>1</v>
      </c>
      <c r="Z153" s="75">
        <f t="shared" si="190"/>
        <v>1</v>
      </c>
      <c r="AA153" s="75">
        <f t="shared" si="190"/>
        <v>1</v>
      </c>
      <c r="AB153" s="75">
        <f t="shared" si="190"/>
        <v>1</v>
      </c>
      <c r="AC153" s="75">
        <f t="shared" si="190"/>
        <v>1</v>
      </c>
      <c r="AD153" s="75">
        <f t="shared" si="190"/>
        <v>1</v>
      </c>
      <c r="AE153" s="75">
        <f t="shared" si="190"/>
        <v>1</v>
      </c>
      <c r="AF153" s="75">
        <f t="shared" si="190"/>
        <v>1</v>
      </c>
      <c r="AG153" s="75">
        <f t="shared" si="190"/>
        <v>1</v>
      </c>
      <c r="AH153" s="75">
        <f t="shared" si="190"/>
        <v>1</v>
      </c>
      <c r="AI153" s="75">
        <f t="shared" si="190"/>
        <v>1</v>
      </c>
      <c r="AJ153" s="75">
        <f t="shared" si="190"/>
        <v>2</v>
      </c>
      <c r="AK153" s="75">
        <f t="shared" si="190"/>
        <v>2</v>
      </c>
      <c r="AL153" s="75">
        <f t="shared" si="190"/>
        <v>2</v>
      </c>
      <c r="AM153" s="75">
        <f t="shared" si="190"/>
        <v>2</v>
      </c>
      <c r="AN153" s="75">
        <f t="shared" si="190"/>
        <v>2</v>
      </c>
      <c r="AO153" s="75">
        <f t="shared" si="190"/>
        <v>2</v>
      </c>
      <c r="AP153" s="75">
        <f t="shared" si="190"/>
        <v>2</v>
      </c>
      <c r="AQ153" s="75">
        <f t="shared" si="190"/>
        <v>2</v>
      </c>
      <c r="AR153" s="75">
        <f t="shared" si="190"/>
        <v>2</v>
      </c>
      <c r="AS153" s="75">
        <f t="shared" si="190"/>
        <v>2</v>
      </c>
      <c r="AT153" s="75">
        <f t="shared" si="190"/>
        <v>2</v>
      </c>
      <c r="AU153" s="75">
        <f t="shared" si="190"/>
        <v>2</v>
      </c>
      <c r="AV153" s="75">
        <f t="shared" si="190"/>
        <v>3</v>
      </c>
      <c r="AW153" s="75">
        <f t="shared" si="190"/>
        <v>3</v>
      </c>
      <c r="AX153" s="75">
        <f t="shared" si="190"/>
        <v>3</v>
      </c>
      <c r="AY153" s="75">
        <f t="shared" si="190"/>
        <v>3</v>
      </c>
      <c r="AZ153" s="75">
        <f t="shared" si="190"/>
        <v>3</v>
      </c>
      <c r="BA153" s="75">
        <f t="shared" si="190"/>
        <v>3</v>
      </c>
      <c r="BB153" s="75">
        <f t="shared" si="190"/>
        <v>3</v>
      </c>
      <c r="BC153" s="75">
        <f t="shared" si="190"/>
        <v>3</v>
      </c>
      <c r="BD153" s="75">
        <f t="shared" si="190"/>
        <v>3</v>
      </c>
      <c r="BE153" s="75">
        <f t="shared" si="190"/>
        <v>3</v>
      </c>
      <c r="BF153" s="75">
        <f t="shared" si="190"/>
        <v>3</v>
      </c>
      <c r="BG153" s="75">
        <f t="shared" si="190"/>
        <v>3</v>
      </c>
      <c r="BH153" s="75">
        <f t="shared" si="190"/>
        <v>4</v>
      </c>
      <c r="BI153" s="75">
        <f t="shared" si="190"/>
        <v>4</v>
      </c>
      <c r="BJ153" s="75">
        <f t="shared" si="190"/>
        <v>4</v>
      </c>
      <c r="BK153" s="75">
        <f t="shared" si="190"/>
        <v>4</v>
      </c>
      <c r="BL153" s="75">
        <f t="shared" si="190"/>
        <v>4</v>
      </c>
      <c r="BM153" s="75">
        <f t="shared" si="190"/>
        <v>4</v>
      </c>
      <c r="BN153" s="75">
        <f t="shared" si="190"/>
        <v>4</v>
      </c>
      <c r="BO153" s="75">
        <f t="shared" si="190"/>
        <v>4</v>
      </c>
      <c r="BP153" s="75">
        <f t="shared" si="190"/>
        <v>4</v>
      </c>
      <c r="BQ153" s="75">
        <f t="shared" si="190"/>
        <v>4</v>
      </c>
      <c r="BR153" s="75">
        <f t="shared" si="190"/>
        <v>4</v>
      </c>
      <c r="BS153" s="75">
        <f t="shared" si="190"/>
        <v>4</v>
      </c>
      <c r="BT153" s="75">
        <f t="shared" si="190"/>
        <v>5</v>
      </c>
      <c r="BU153" s="75">
        <f t="shared" si="190"/>
        <v>5</v>
      </c>
      <c r="BV153" s="75">
        <f t="shared" si="190"/>
        <v>5</v>
      </c>
      <c r="BW153" s="75">
        <f t="shared" si="190"/>
        <v>5</v>
      </c>
      <c r="BX153" s="75">
        <f t="shared" si="190"/>
        <v>5</v>
      </c>
      <c r="BY153" s="75">
        <f t="shared" si="190"/>
        <v>5</v>
      </c>
      <c r="BZ153" s="75">
        <f t="shared" si="190"/>
        <v>5</v>
      </c>
      <c r="CA153" s="75">
        <f t="shared" si="190"/>
        <v>0</v>
      </c>
      <c r="CB153" s="75">
        <f t="shared" si="190"/>
        <v>0</v>
      </c>
      <c r="CC153" s="75">
        <f t="shared" si="190"/>
        <v>0</v>
      </c>
      <c r="CD153" s="75">
        <f t="shared" ref="CD153:DL153" si="191">(IF($D153&gt;CD$14,0,ROUNDUP(YEARFRAC($D153,CD$14),0)))*CD59</f>
        <v>0</v>
      </c>
      <c r="CE153" s="75">
        <f t="shared" si="191"/>
        <v>0</v>
      </c>
      <c r="CF153" s="75">
        <f t="shared" si="191"/>
        <v>0</v>
      </c>
      <c r="CG153" s="75">
        <f t="shared" si="191"/>
        <v>0</v>
      </c>
      <c r="CH153" s="75">
        <f t="shared" si="191"/>
        <v>0</v>
      </c>
      <c r="CI153" s="75">
        <f t="shared" si="191"/>
        <v>0</v>
      </c>
      <c r="CJ153" s="75">
        <f t="shared" si="191"/>
        <v>0</v>
      </c>
      <c r="CK153" s="75">
        <f t="shared" si="191"/>
        <v>0</v>
      </c>
      <c r="CL153" s="75">
        <f t="shared" si="191"/>
        <v>0</v>
      </c>
      <c r="CM153" s="75">
        <f t="shared" si="191"/>
        <v>0</v>
      </c>
      <c r="CN153" s="75">
        <f t="shared" si="191"/>
        <v>0</v>
      </c>
      <c r="CO153" s="75">
        <f t="shared" si="191"/>
        <v>0</v>
      </c>
      <c r="CP153" s="75">
        <f t="shared" si="191"/>
        <v>0</v>
      </c>
      <c r="CQ153" s="75">
        <f t="shared" si="191"/>
        <v>0</v>
      </c>
      <c r="CR153" s="75">
        <f t="shared" si="191"/>
        <v>0</v>
      </c>
      <c r="CS153" s="75">
        <f t="shared" si="191"/>
        <v>0</v>
      </c>
      <c r="CT153" s="75">
        <f t="shared" si="191"/>
        <v>0</v>
      </c>
      <c r="CU153" s="75">
        <f t="shared" si="191"/>
        <v>0</v>
      </c>
      <c r="CV153" s="75">
        <f t="shared" si="191"/>
        <v>0</v>
      </c>
      <c r="CW153" s="75">
        <f t="shared" si="191"/>
        <v>0</v>
      </c>
      <c r="CX153" s="75">
        <f t="shared" si="191"/>
        <v>0</v>
      </c>
      <c r="CY153" s="75">
        <f t="shared" si="191"/>
        <v>0</v>
      </c>
      <c r="CZ153" s="75">
        <f t="shared" si="191"/>
        <v>0</v>
      </c>
      <c r="DA153" s="75">
        <f t="shared" si="191"/>
        <v>0</v>
      </c>
      <c r="DB153" s="75">
        <f t="shared" si="191"/>
        <v>0</v>
      </c>
      <c r="DC153" s="75">
        <f t="shared" si="191"/>
        <v>0</v>
      </c>
      <c r="DD153" s="75">
        <f t="shared" si="191"/>
        <v>0</v>
      </c>
      <c r="DE153" s="75">
        <f t="shared" si="191"/>
        <v>0</v>
      </c>
      <c r="DF153" s="75">
        <f t="shared" si="191"/>
        <v>0</v>
      </c>
      <c r="DG153" s="75">
        <f t="shared" si="191"/>
        <v>0</v>
      </c>
      <c r="DH153" s="75">
        <f t="shared" si="191"/>
        <v>0</v>
      </c>
      <c r="DI153" s="75">
        <f t="shared" si="191"/>
        <v>0</v>
      </c>
      <c r="DJ153" s="75">
        <f t="shared" si="191"/>
        <v>0</v>
      </c>
      <c r="DK153" s="75">
        <f t="shared" si="191"/>
        <v>0</v>
      </c>
      <c r="DL153" s="75">
        <f t="shared" si="191"/>
        <v>0</v>
      </c>
    </row>
    <row r="154" spans="2:116">
      <c r="B154" s="28" t="str">
        <f>Rentroll!$C$58</f>
        <v>B101호</v>
      </c>
      <c r="C154" s="69" t="str">
        <f>VLOOKUP($B154,Rentroll!$C$37:$Z$60,3,FALSE)</f>
        <v>편안창고 스토리지</v>
      </c>
      <c r="D154" s="80">
        <f>VLOOKUP($B154,Rentroll!$C$37:$Z$60,9,FALSE)</f>
        <v>46752</v>
      </c>
      <c r="E154" s="80">
        <f>VLOOKUP($B154,Rentroll!$C$37:$Z$60,10,FALSE)</f>
        <v>48579</v>
      </c>
      <c r="F154" s="81">
        <f>VLOOKUP($B154,Rentroll!$C$37:$Z$60,11,FALSE)</f>
        <v>60</v>
      </c>
      <c r="G154" s="69">
        <f>VLOOKUP($B154,Rentroll!$C$37:$Z$60,13,FALSE)</f>
        <v>52116.712499999994</v>
      </c>
      <c r="H154" s="69">
        <f>VLOOKUP($B154,Rentroll!$C$37:$Z$60,14,FALSE)</f>
        <v>52116.712499999994</v>
      </c>
      <c r="I154" s="69">
        <f>VLOOKUP($B154,Rentroll!$C$37:$Z$60,15,FALSE)</f>
        <v>40000</v>
      </c>
      <c r="J154" s="82">
        <f>VLOOKUP($B154,Rentroll!$C$37:$Z$60,19,FALSE)</f>
        <v>0.03</v>
      </c>
      <c r="K154" s="83">
        <f>VLOOKUP($B154,Rentroll!$C$37:$Z$60,4,FALSE)</f>
        <v>969.56</v>
      </c>
      <c r="L154" s="81">
        <f>VLOOKUP($B154,Rentroll!$C$37:$Z$60,17,FALSE)</f>
        <v>1</v>
      </c>
      <c r="M154" s="84">
        <f>VLOOKUP($B154,Rentroll!$C$37:$Z$60,18,FALSE)</f>
        <v>0</v>
      </c>
      <c r="O154" s="74" t="str">
        <f t="shared" ref="O154" si="192">B154</f>
        <v>B101호</v>
      </c>
      <c r="P154" s="75"/>
      <c r="Q154" s="75"/>
      <c r="R154" s="75">
        <f t="shared" ref="R154:CC155" si="193">(IF($D154&gt;R$14,0,ROUNDUP(YEARFRAC($D154,R$14),0)))*R60</f>
        <v>0</v>
      </c>
      <c r="S154" s="75">
        <f t="shared" si="193"/>
        <v>0</v>
      </c>
      <c r="T154" s="75">
        <f t="shared" si="193"/>
        <v>0</v>
      </c>
      <c r="U154" s="75">
        <f t="shared" si="193"/>
        <v>0</v>
      </c>
      <c r="V154" s="75">
        <f t="shared" si="193"/>
        <v>0</v>
      </c>
      <c r="W154" s="75">
        <f t="shared" si="193"/>
        <v>0</v>
      </c>
      <c r="X154" s="75">
        <f t="shared" si="193"/>
        <v>0</v>
      </c>
      <c r="Y154" s="75">
        <f t="shared" si="193"/>
        <v>0</v>
      </c>
      <c r="Z154" s="75">
        <f t="shared" si="193"/>
        <v>0</v>
      </c>
      <c r="AA154" s="75">
        <f t="shared" si="193"/>
        <v>0</v>
      </c>
      <c r="AB154" s="75">
        <f t="shared" si="193"/>
        <v>0</v>
      </c>
      <c r="AC154" s="75">
        <f t="shared" si="193"/>
        <v>0</v>
      </c>
      <c r="AD154" s="75">
        <f t="shared" si="193"/>
        <v>0</v>
      </c>
      <c r="AE154" s="75">
        <f t="shared" si="193"/>
        <v>0</v>
      </c>
      <c r="AF154" s="75">
        <f t="shared" si="193"/>
        <v>0</v>
      </c>
      <c r="AG154" s="75">
        <f t="shared" si="193"/>
        <v>0</v>
      </c>
      <c r="AH154" s="75">
        <f t="shared" si="193"/>
        <v>0</v>
      </c>
      <c r="AI154" s="75">
        <f t="shared" si="193"/>
        <v>0</v>
      </c>
      <c r="AJ154" s="75">
        <f t="shared" si="193"/>
        <v>0</v>
      </c>
      <c r="AK154" s="75">
        <f t="shared" si="193"/>
        <v>0</v>
      </c>
      <c r="AL154" s="75">
        <f t="shared" si="193"/>
        <v>0</v>
      </c>
      <c r="AM154" s="75">
        <f t="shared" si="193"/>
        <v>0</v>
      </c>
      <c r="AN154" s="75">
        <f t="shared" si="193"/>
        <v>0</v>
      </c>
      <c r="AO154" s="75">
        <f t="shared" si="193"/>
        <v>0</v>
      </c>
      <c r="AP154" s="75">
        <f t="shared" si="193"/>
        <v>0</v>
      </c>
      <c r="AQ154" s="75">
        <f t="shared" si="193"/>
        <v>0</v>
      </c>
      <c r="AR154" s="75">
        <f t="shared" si="193"/>
        <v>0</v>
      </c>
      <c r="AS154" s="75">
        <f t="shared" si="193"/>
        <v>0</v>
      </c>
      <c r="AT154" s="75">
        <f t="shared" si="193"/>
        <v>0</v>
      </c>
      <c r="AU154" s="75">
        <f t="shared" si="193"/>
        <v>0</v>
      </c>
      <c r="AV154" s="75">
        <f t="shared" si="193"/>
        <v>0</v>
      </c>
      <c r="AW154" s="75">
        <f t="shared" si="193"/>
        <v>0</v>
      </c>
      <c r="AX154" s="75">
        <f t="shared" si="193"/>
        <v>0</v>
      </c>
      <c r="AY154" s="75">
        <f t="shared" si="193"/>
        <v>0</v>
      </c>
      <c r="AZ154" s="75">
        <f t="shared" si="193"/>
        <v>0</v>
      </c>
      <c r="BA154" s="75">
        <f t="shared" si="193"/>
        <v>0</v>
      </c>
      <c r="BB154" s="75">
        <f t="shared" si="193"/>
        <v>1</v>
      </c>
      <c r="BC154" s="75">
        <f t="shared" si="193"/>
        <v>1</v>
      </c>
      <c r="BD154" s="75">
        <f t="shared" si="193"/>
        <v>1</v>
      </c>
      <c r="BE154" s="75">
        <f t="shared" si="193"/>
        <v>1</v>
      </c>
      <c r="BF154" s="75">
        <f t="shared" si="193"/>
        <v>1</v>
      </c>
      <c r="BG154" s="75">
        <f t="shared" si="193"/>
        <v>1</v>
      </c>
      <c r="BH154" s="75">
        <f t="shared" si="193"/>
        <v>1</v>
      </c>
      <c r="BI154" s="75">
        <f t="shared" si="193"/>
        <v>1</v>
      </c>
      <c r="BJ154" s="75">
        <f t="shared" si="193"/>
        <v>1</v>
      </c>
      <c r="BK154" s="75">
        <f t="shared" si="193"/>
        <v>1</v>
      </c>
      <c r="BL154" s="75">
        <f t="shared" si="193"/>
        <v>1</v>
      </c>
      <c r="BM154" s="75">
        <f t="shared" si="193"/>
        <v>1</v>
      </c>
      <c r="BN154" s="75">
        <f t="shared" si="193"/>
        <v>2</v>
      </c>
      <c r="BO154" s="75">
        <f t="shared" si="193"/>
        <v>2</v>
      </c>
      <c r="BP154" s="75">
        <f t="shared" si="193"/>
        <v>2</v>
      </c>
      <c r="BQ154" s="75">
        <f t="shared" si="193"/>
        <v>2</v>
      </c>
      <c r="BR154" s="75">
        <f t="shared" si="193"/>
        <v>2</v>
      </c>
      <c r="BS154" s="75">
        <f t="shared" si="193"/>
        <v>2</v>
      </c>
      <c r="BT154" s="75">
        <f t="shared" si="193"/>
        <v>2</v>
      </c>
      <c r="BU154" s="75">
        <f t="shared" si="193"/>
        <v>2</v>
      </c>
      <c r="BV154" s="75">
        <f t="shared" si="193"/>
        <v>2</v>
      </c>
      <c r="BW154" s="75">
        <f t="shared" si="193"/>
        <v>2</v>
      </c>
      <c r="BX154" s="75">
        <f t="shared" si="193"/>
        <v>2</v>
      </c>
      <c r="BY154" s="75">
        <f t="shared" si="193"/>
        <v>2</v>
      </c>
      <c r="BZ154" s="75">
        <f t="shared" si="193"/>
        <v>3</v>
      </c>
      <c r="CA154" s="75">
        <f t="shared" si="193"/>
        <v>0</v>
      </c>
      <c r="CB154" s="75">
        <f t="shared" si="193"/>
        <v>0</v>
      </c>
      <c r="CC154" s="75">
        <f t="shared" si="193"/>
        <v>0</v>
      </c>
      <c r="CD154" s="75">
        <f t="shared" ref="CD154:DL155" si="194">(IF($D154&gt;CD$14,0,ROUNDUP(YEARFRAC($D154,CD$14),0)))*CD60</f>
        <v>0</v>
      </c>
      <c r="CE154" s="75">
        <f t="shared" si="194"/>
        <v>0</v>
      </c>
      <c r="CF154" s="75">
        <f t="shared" si="194"/>
        <v>0</v>
      </c>
      <c r="CG154" s="75">
        <f t="shared" si="194"/>
        <v>0</v>
      </c>
      <c r="CH154" s="75">
        <f t="shared" si="194"/>
        <v>0</v>
      </c>
      <c r="CI154" s="75">
        <f t="shared" si="194"/>
        <v>0</v>
      </c>
      <c r="CJ154" s="75">
        <f t="shared" si="194"/>
        <v>0</v>
      </c>
      <c r="CK154" s="75">
        <f t="shared" si="194"/>
        <v>0</v>
      </c>
      <c r="CL154" s="75">
        <f t="shared" si="194"/>
        <v>0</v>
      </c>
      <c r="CM154" s="75">
        <f t="shared" si="194"/>
        <v>0</v>
      </c>
      <c r="CN154" s="75">
        <f t="shared" si="194"/>
        <v>0</v>
      </c>
      <c r="CO154" s="75">
        <f t="shared" si="194"/>
        <v>0</v>
      </c>
      <c r="CP154" s="75">
        <f t="shared" si="194"/>
        <v>0</v>
      </c>
      <c r="CQ154" s="75">
        <f t="shared" si="194"/>
        <v>0</v>
      </c>
      <c r="CR154" s="75">
        <f t="shared" si="194"/>
        <v>0</v>
      </c>
      <c r="CS154" s="75">
        <f t="shared" si="194"/>
        <v>0</v>
      </c>
      <c r="CT154" s="75">
        <f t="shared" si="194"/>
        <v>0</v>
      </c>
      <c r="CU154" s="75">
        <f t="shared" si="194"/>
        <v>0</v>
      </c>
      <c r="CV154" s="75">
        <f t="shared" si="194"/>
        <v>0</v>
      </c>
      <c r="CW154" s="75">
        <f t="shared" si="194"/>
        <v>0</v>
      </c>
      <c r="CX154" s="75">
        <f t="shared" si="194"/>
        <v>0</v>
      </c>
      <c r="CY154" s="75">
        <f t="shared" si="194"/>
        <v>0</v>
      </c>
      <c r="CZ154" s="75">
        <f t="shared" si="194"/>
        <v>0</v>
      </c>
      <c r="DA154" s="75">
        <f t="shared" si="194"/>
        <v>0</v>
      </c>
      <c r="DB154" s="75">
        <f t="shared" si="194"/>
        <v>0</v>
      </c>
      <c r="DC154" s="75">
        <f t="shared" si="194"/>
        <v>0</v>
      </c>
      <c r="DD154" s="75">
        <f t="shared" si="194"/>
        <v>0</v>
      </c>
      <c r="DE154" s="75">
        <f t="shared" si="194"/>
        <v>0</v>
      </c>
      <c r="DF154" s="75">
        <f t="shared" si="194"/>
        <v>0</v>
      </c>
      <c r="DG154" s="75">
        <f t="shared" si="194"/>
        <v>0</v>
      </c>
      <c r="DH154" s="75">
        <f t="shared" si="194"/>
        <v>0</v>
      </c>
      <c r="DI154" s="75">
        <f t="shared" si="194"/>
        <v>0</v>
      </c>
      <c r="DJ154" s="75">
        <f t="shared" si="194"/>
        <v>0</v>
      </c>
      <c r="DK154" s="75">
        <f t="shared" si="194"/>
        <v>0</v>
      </c>
      <c r="DL154" s="75">
        <f t="shared" si="194"/>
        <v>0</v>
      </c>
    </row>
    <row r="155" spans="2:116">
      <c r="B155" s="28" t="str">
        <f>Rentroll!$C$59</f>
        <v>B102호</v>
      </c>
      <c r="C155" s="69" t="str">
        <f>VLOOKUP($B155,Rentroll!$C$37:$Z$60,3,FALSE)</f>
        <v>스크린 퀀텀</v>
      </c>
      <c r="D155" s="80">
        <f>VLOOKUP($B155,Rentroll!$C$37:$Z$60,9,FALSE)</f>
        <v>46418</v>
      </c>
      <c r="E155" s="80">
        <f>VLOOKUP($B155,Rentroll!$C$37:$Z$60,10,FALSE)</f>
        <v>48244</v>
      </c>
      <c r="F155" s="81">
        <f>VLOOKUP($B155,Rentroll!$C$37:$Z$60,11,FALSE)</f>
        <v>60</v>
      </c>
      <c r="G155" s="69">
        <f>VLOOKUP($B155,Rentroll!$C$37:$Z$60,13,FALSE)</f>
        <v>52116.712499999994</v>
      </c>
      <c r="H155" s="69">
        <f>VLOOKUP($B155,Rentroll!$C$37:$Z$60,14,FALSE)</f>
        <v>52116.712499999994</v>
      </c>
      <c r="I155" s="69">
        <f>VLOOKUP($B155,Rentroll!$C$37:$Z$60,15,FALSE)</f>
        <v>40000</v>
      </c>
      <c r="J155" s="82">
        <f>VLOOKUP($B155,Rentroll!$C$37:$Z$60,19,FALSE)</f>
        <v>0.03</v>
      </c>
      <c r="K155" s="83">
        <f>VLOOKUP($B155,Rentroll!$C$37:$Z$60,4,FALSE)</f>
        <v>969.56</v>
      </c>
      <c r="L155" s="81">
        <f>VLOOKUP($B155,Rentroll!$C$37:$Z$60,17,FALSE)</f>
        <v>1</v>
      </c>
      <c r="M155" s="84">
        <f>VLOOKUP($B155,Rentroll!$C$37:$Z$60,18,FALSE)</f>
        <v>0</v>
      </c>
      <c r="O155" s="74" t="str">
        <f t="shared" si="187"/>
        <v>B102호</v>
      </c>
      <c r="P155" s="75"/>
      <c r="Q155" s="75"/>
      <c r="R155" s="75">
        <f t="shared" si="193"/>
        <v>0</v>
      </c>
      <c r="S155" s="75">
        <f t="shared" si="193"/>
        <v>0</v>
      </c>
      <c r="T155" s="75">
        <f t="shared" si="193"/>
        <v>0</v>
      </c>
      <c r="U155" s="75">
        <f t="shared" si="193"/>
        <v>0</v>
      </c>
      <c r="V155" s="75">
        <f t="shared" si="193"/>
        <v>0</v>
      </c>
      <c r="W155" s="75">
        <f t="shared" si="193"/>
        <v>0</v>
      </c>
      <c r="X155" s="75">
        <f t="shared" si="193"/>
        <v>0</v>
      </c>
      <c r="Y155" s="75">
        <f t="shared" si="193"/>
        <v>0</v>
      </c>
      <c r="Z155" s="75">
        <f t="shared" si="193"/>
        <v>0</v>
      </c>
      <c r="AA155" s="75">
        <f t="shared" si="193"/>
        <v>0</v>
      </c>
      <c r="AB155" s="75">
        <f t="shared" si="193"/>
        <v>0</v>
      </c>
      <c r="AC155" s="75">
        <f t="shared" si="193"/>
        <v>0</v>
      </c>
      <c r="AD155" s="75">
        <f t="shared" si="193"/>
        <v>0</v>
      </c>
      <c r="AE155" s="75">
        <f t="shared" si="193"/>
        <v>0</v>
      </c>
      <c r="AF155" s="75">
        <f t="shared" si="193"/>
        <v>0</v>
      </c>
      <c r="AG155" s="75">
        <f t="shared" si="193"/>
        <v>0</v>
      </c>
      <c r="AH155" s="75">
        <f t="shared" si="193"/>
        <v>0</v>
      </c>
      <c r="AI155" s="75">
        <f t="shared" si="193"/>
        <v>0</v>
      </c>
      <c r="AJ155" s="75">
        <f t="shared" si="193"/>
        <v>0</v>
      </c>
      <c r="AK155" s="75">
        <f t="shared" si="193"/>
        <v>0</v>
      </c>
      <c r="AL155" s="75">
        <f t="shared" si="193"/>
        <v>0</v>
      </c>
      <c r="AM155" s="75">
        <f t="shared" si="193"/>
        <v>0</v>
      </c>
      <c r="AN155" s="75">
        <f t="shared" si="193"/>
        <v>0</v>
      </c>
      <c r="AO155" s="75">
        <f t="shared" si="193"/>
        <v>0</v>
      </c>
      <c r="AP155" s="75">
        <f t="shared" si="193"/>
        <v>0</v>
      </c>
      <c r="AQ155" s="75">
        <f t="shared" si="193"/>
        <v>1</v>
      </c>
      <c r="AR155" s="75">
        <f t="shared" si="193"/>
        <v>1</v>
      </c>
      <c r="AS155" s="75">
        <f t="shared" si="193"/>
        <v>1</v>
      </c>
      <c r="AT155" s="75">
        <f t="shared" si="193"/>
        <v>1</v>
      </c>
      <c r="AU155" s="75">
        <f t="shared" si="193"/>
        <v>1</v>
      </c>
      <c r="AV155" s="75">
        <f t="shared" si="193"/>
        <v>1</v>
      </c>
      <c r="AW155" s="75">
        <f t="shared" si="193"/>
        <v>1</v>
      </c>
      <c r="AX155" s="75">
        <f t="shared" si="193"/>
        <v>1</v>
      </c>
      <c r="AY155" s="75">
        <f t="shared" si="193"/>
        <v>1</v>
      </c>
      <c r="AZ155" s="75">
        <f t="shared" si="193"/>
        <v>1</v>
      </c>
      <c r="BA155" s="75">
        <f t="shared" si="193"/>
        <v>1</v>
      </c>
      <c r="BB155" s="75">
        <f t="shared" si="193"/>
        <v>1</v>
      </c>
      <c r="BC155" s="75">
        <f t="shared" si="193"/>
        <v>2</v>
      </c>
      <c r="BD155" s="75">
        <f t="shared" si="193"/>
        <v>2</v>
      </c>
      <c r="BE155" s="75">
        <f t="shared" si="193"/>
        <v>2</v>
      </c>
      <c r="BF155" s="75">
        <f t="shared" si="193"/>
        <v>2</v>
      </c>
      <c r="BG155" s="75">
        <f t="shared" si="193"/>
        <v>2</v>
      </c>
      <c r="BH155" s="75">
        <f t="shared" si="193"/>
        <v>2</v>
      </c>
      <c r="BI155" s="75">
        <f t="shared" si="193"/>
        <v>2</v>
      </c>
      <c r="BJ155" s="75">
        <f t="shared" si="193"/>
        <v>2</v>
      </c>
      <c r="BK155" s="75">
        <f t="shared" si="193"/>
        <v>2</v>
      </c>
      <c r="BL155" s="75">
        <f t="shared" si="193"/>
        <v>2</v>
      </c>
      <c r="BM155" s="75">
        <f t="shared" si="193"/>
        <v>2</v>
      </c>
      <c r="BN155" s="75">
        <f t="shared" si="193"/>
        <v>2</v>
      </c>
      <c r="BO155" s="75">
        <f t="shared" si="193"/>
        <v>3</v>
      </c>
      <c r="BP155" s="75">
        <f t="shared" si="193"/>
        <v>3</v>
      </c>
      <c r="BQ155" s="75">
        <f t="shared" si="193"/>
        <v>3</v>
      </c>
      <c r="BR155" s="75">
        <f t="shared" si="193"/>
        <v>3</v>
      </c>
      <c r="BS155" s="75">
        <f t="shared" si="193"/>
        <v>3</v>
      </c>
      <c r="BT155" s="75">
        <f t="shared" si="193"/>
        <v>3</v>
      </c>
      <c r="BU155" s="75">
        <f t="shared" si="193"/>
        <v>3</v>
      </c>
      <c r="BV155" s="75">
        <f t="shared" si="193"/>
        <v>3</v>
      </c>
      <c r="BW155" s="75">
        <f t="shared" si="193"/>
        <v>3</v>
      </c>
      <c r="BX155" s="75">
        <f t="shared" si="193"/>
        <v>3</v>
      </c>
      <c r="BY155" s="75">
        <f t="shared" si="193"/>
        <v>3</v>
      </c>
      <c r="BZ155" s="75">
        <f t="shared" si="193"/>
        <v>3</v>
      </c>
      <c r="CA155" s="75">
        <f t="shared" si="193"/>
        <v>0</v>
      </c>
      <c r="CB155" s="75">
        <f t="shared" si="193"/>
        <v>0</v>
      </c>
      <c r="CC155" s="75">
        <f t="shared" si="193"/>
        <v>0</v>
      </c>
      <c r="CD155" s="75">
        <f t="shared" si="194"/>
        <v>0</v>
      </c>
      <c r="CE155" s="75">
        <f t="shared" si="194"/>
        <v>0</v>
      </c>
      <c r="CF155" s="75">
        <f t="shared" si="194"/>
        <v>0</v>
      </c>
      <c r="CG155" s="75">
        <f t="shared" si="194"/>
        <v>0</v>
      </c>
      <c r="CH155" s="75">
        <f t="shared" si="194"/>
        <v>0</v>
      </c>
      <c r="CI155" s="75">
        <f t="shared" si="194"/>
        <v>0</v>
      </c>
      <c r="CJ155" s="75">
        <f t="shared" si="194"/>
        <v>0</v>
      </c>
      <c r="CK155" s="75">
        <f t="shared" si="194"/>
        <v>0</v>
      </c>
      <c r="CL155" s="75">
        <f t="shared" si="194"/>
        <v>0</v>
      </c>
      <c r="CM155" s="75">
        <f t="shared" si="194"/>
        <v>0</v>
      </c>
      <c r="CN155" s="75">
        <f t="shared" si="194"/>
        <v>0</v>
      </c>
      <c r="CO155" s="75">
        <f t="shared" si="194"/>
        <v>0</v>
      </c>
      <c r="CP155" s="75">
        <f t="shared" si="194"/>
        <v>0</v>
      </c>
      <c r="CQ155" s="75">
        <f t="shared" si="194"/>
        <v>0</v>
      </c>
      <c r="CR155" s="75">
        <f t="shared" si="194"/>
        <v>0</v>
      </c>
      <c r="CS155" s="75">
        <f t="shared" si="194"/>
        <v>0</v>
      </c>
      <c r="CT155" s="75">
        <f t="shared" si="194"/>
        <v>0</v>
      </c>
      <c r="CU155" s="75">
        <f t="shared" si="194"/>
        <v>0</v>
      </c>
      <c r="CV155" s="75">
        <f t="shared" si="194"/>
        <v>0</v>
      </c>
      <c r="CW155" s="75">
        <f t="shared" si="194"/>
        <v>0</v>
      </c>
      <c r="CX155" s="75">
        <f t="shared" si="194"/>
        <v>0</v>
      </c>
      <c r="CY155" s="75">
        <f t="shared" si="194"/>
        <v>0</v>
      </c>
      <c r="CZ155" s="75">
        <f t="shared" si="194"/>
        <v>0</v>
      </c>
      <c r="DA155" s="75">
        <f t="shared" si="194"/>
        <v>0</v>
      </c>
      <c r="DB155" s="75">
        <f t="shared" si="194"/>
        <v>0</v>
      </c>
      <c r="DC155" s="75">
        <f t="shared" si="194"/>
        <v>0</v>
      </c>
      <c r="DD155" s="75">
        <f t="shared" si="194"/>
        <v>0</v>
      </c>
      <c r="DE155" s="75">
        <f t="shared" si="194"/>
        <v>0</v>
      </c>
      <c r="DF155" s="75">
        <f t="shared" si="194"/>
        <v>0</v>
      </c>
      <c r="DG155" s="75">
        <f t="shared" si="194"/>
        <v>0</v>
      </c>
      <c r="DH155" s="75">
        <f t="shared" si="194"/>
        <v>0</v>
      </c>
      <c r="DI155" s="75">
        <f t="shared" si="194"/>
        <v>0</v>
      </c>
      <c r="DJ155" s="75">
        <f t="shared" si="194"/>
        <v>0</v>
      </c>
      <c r="DK155" s="75">
        <f t="shared" si="194"/>
        <v>0</v>
      </c>
      <c r="DL155" s="75">
        <f t="shared" si="194"/>
        <v>0</v>
      </c>
    </row>
    <row r="156" spans="2:116">
      <c r="B156" s="28">
        <f>Rentroll!$C$60</f>
        <v>0</v>
      </c>
      <c r="C156" s="69">
        <f>VLOOKUP($B156,Rentroll!$C$37:$Z$60,3,FALSE)</f>
        <v>0</v>
      </c>
      <c r="D156" s="80">
        <f>VLOOKUP($B156,Rentroll!$C$37:$Z$60,9,FALSE)</f>
        <v>0</v>
      </c>
      <c r="E156" s="80">
        <f>VLOOKUP($B156,Rentroll!$C$37:$Z$60,10,FALSE)</f>
        <v>0</v>
      </c>
      <c r="F156" s="81">
        <f>VLOOKUP($B156,Rentroll!$C$37:$Z$60,11,FALSE)</f>
        <v>0</v>
      </c>
      <c r="G156" s="69">
        <f>VLOOKUP($B156,Rentroll!$C$37:$Z$60,13,FALSE)</f>
        <v>0</v>
      </c>
      <c r="H156" s="69">
        <f>VLOOKUP($B156,Rentroll!$C$37:$Z$60,14,FALSE)</f>
        <v>0</v>
      </c>
      <c r="I156" s="69">
        <f>VLOOKUP($B156,Rentroll!$C$37:$Z$60,15,FALSE)</f>
        <v>0</v>
      </c>
      <c r="J156" s="82">
        <f>VLOOKUP($B156,Rentroll!$C$37:$Z$60,19,FALSE)</f>
        <v>0</v>
      </c>
      <c r="K156" s="83">
        <f>VLOOKUP($B156,Rentroll!$C$37:$Z$60,4,FALSE)</f>
        <v>0</v>
      </c>
      <c r="L156" s="81">
        <f>VLOOKUP($B156,Rentroll!$C$37:$Z$60,17,FALSE)</f>
        <v>0</v>
      </c>
      <c r="M156" s="84">
        <f>VLOOKUP($B156,Rentroll!$C$37:$Z$60,18,FALSE)</f>
        <v>0</v>
      </c>
      <c r="O156" s="26">
        <f t="shared" si="187"/>
        <v>0</v>
      </c>
      <c r="P156" s="76"/>
      <c r="Q156" s="76"/>
      <c r="R156" s="76">
        <f t="shared" ref="R156:CC156" si="195">(IF($D156&gt;R$14,0,ROUNDUP(YEARFRAC($D156,R$14),0)))*R62</f>
        <v>0</v>
      </c>
      <c r="S156" s="76">
        <f t="shared" si="195"/>
        <v>0</v>
      </c>
      <c r="T156" s="76">
        <f t="shared" si="195"/>
        <v>0</v>
      </c>
      <c r="U156" s="76">
        <f t="shared" si="195"/>
        <v>0</v>
      </c>
      <c r="V156" s="76">
        <f t="shared" si="195"/>
        <v>0</v>
      </c>
      <c r="W156" s="76">
        <f t="shared" si="195"/>
        <v>0</v>
      </c>
      <c r="X156" s="76">
        <f t="shared" si="195"/>
        <v>0</v>
      </c>
      <c r="Y156" s="76">
        <f t="shared" si="195"/>
        <v>0</v>
      </c>
      <c r="Z156" s="76">
        <f t="shared" si="195"/>
        <v>0</v>
      </c>
      <c r="AA156" s="76">
        <f t="shared" si="195"/>
        <v>0</v>
      </c>
      <c r="AB156" s="76">
        <f t="shared" si="195"/>
        <v>0</v>
      </c>
      <c r="AC156" s="76">
        <f t="shared" si="195"/>
        <v>0</v>
      </c>
      <c r="AD156" s="76">
        <f t="shared" si="195"/>
        <v>0</v>
      </c>
      <c r="AE156" s="76">
        <f t="shared" si="195"/>
        <v>0</v>
      </c>
      <c r="AF156" s="76">
        <f t="shared" si="195"/>
        <v>0</v>
      </c>
      <c r="AG156" s="76">
        <f t="shared" si="195"/>
        <v>0</v>
      </c>
      <c r="AH156" s="76">
        <f t="shared" si="195"/>
        <v>0</v>
      </c>
      <c r="AI156" s="76">
        <f t="shared" si="195"/>
        <v>0</v>
      </c>
      <c r="AJ156" s="76">
        <f t="shared" si="195"/>
        <v>0</v>
      </c>
      <c r="AK156" s="76">
        <f t="shared" si="195"/>
        <v>0</v>
      </c>
      <c r="AL156" s="76">
        <f t="shared" si="195"/>
        <v>0</v>
      </c>
      <c r="AM156" s="76">
        <f t="shared" si="195"/>
        <v>0</v>
      </c>
      <c r="AN156" s="76">
        <f t="shared" si="195"/>
        <v>0</v>
      </c>
      <c r="AO156" s="76">
        <f t="shared" si="195"/>
        <v>0</v>
      </c>
      <c r="AP156" s="76">
        <f t="shared" si="195"/>
        <v>0</v>
      </c>
      <c r="AQ156" s="76">
        <f t="shared" si="195"/>
        <v>0</v>
      </c>
      <c r="AR156" s="76">
        <f t="shared" si="195"/>
        <v>0</v>
      </c>
      <c r="AS156" s="76">
        <f t="shared" si="195"/>
        <v>0</v>
      </c>
      <c r="AT156" s="76">
        <f t="shared" si="195"/>
        <v>0</v>
      </c>
      <c r="AU156" s="76">
        <f t="shared" si="195"/>
        <v>0</v>
      </c>
      <c r="AV156" s="76">
        <f t="shared" si="195"/>
        <v>0</v>
      </c>
      <c r="AW156" s="76">
        <f t="shared" si="195"/>
        <v>0</v>
      </c>
      <c r="AX156" s="76">
        <f t="shared" si="195"/>
        <v>0</v>
      </c>
      <c r="AY156" s="76">
        <f t="shared" si="195"/>
        <v>0</v>
      </c>
      <c r="AZ156" s="76">
        <f t="shared" si="195"/>
        <v>0</v>
      </c>
      <c r="BA156" s="76">
        <f t="shared" si="195"/>
        <v>0</v>
      </c>
      <c r="BB156" s="76">
        <f t="shared" si="195"/>
        <v>0</v>
      </c>
      <c r="BC156" s="76">
        <f t="shared" si="195"/>
        <v>0</v>
      </c>
      <c r="BD156" s="76">
        <f t="shared" si="195"/>
        <v>0</v>
      </c>
      <c r="BE156" s="76">
        <f t="shared" si="195"/>
        <v>0</v>
      </c>
      <c r="BF156" s="76">
        <f t="shared" si="195"/>
        <v>0</v>
      </c>
      <c r="BG156" s="76">
        <f t="shared" si="195"/>
        <v>0</v>
      </c>
      <c r="BH156" s="76">
        <f t="shared" si="195"/>
        <v>0</v>
      </c>
      <c r="BI156" s="76">
        <f t="shared" si="195"/>
        <v>0</v>
      </c>
      <c r="BJ156" s="76">
        <f t="shared" si="195"/>
        <v>0</v>
      </c>
      <c r="BK156" s="76">
        <f t="shared" si="195"/>
        <v>0</v>
      </c>
      <c r="BL156" s="76">
        <f t="shared" si="195"/>
        <v>0</v>
      </c>
      <c r="BM156" s="76">
        <f t="shared" si="195"/>
        <v>0</v>
      </c>
      <c r="BN156" s="76">
        <f t="shared" si="195"/>
        <v>0</v>
      </c>
      <c r="BO156" s="76">
        <f t="shared" si="195"/>
        <v>0</v>
      </c>
      <c r="BP156" s="76">
        <f t="shared" si="195"/>
        <v>0</v>
      </c>
      <c r="BQ156" s="76">
        <f t="shared" si="195"/>
        <v>0</v>
      </c>
      <c r="BR156" s="76">
        <f t="shared" si="195"/>
        <v>0</v>
      </c>
      <c r="BS156" s="76">
        <f t="shared" si="195"/>
        <v>0</v>
      </c>
      <c r="BT156" s="76">
        <f t="shared" si="195"/>
        <v>0</v>
      </c>
      <c r="BU156" s="76">
        <f t="shared" si="195"/>
        <v>0</v>
      </c>
      <c r="BV156" s="76">
        <f t="shared" si="195"/>
        <v>0</v>
      </c>
      <c r="BW156" s="76">
        <f t="shared" si="195"/>
        <v>0</v>
      </c>
      <c r="BX156" s="76">
        <f t="shared" si="195"/>
        <v>0</v>
      </c>
      <c r="BY156" s="76">
        <f t="shared" si="195"/>
        <v>0</v>
      </c>
      <c r="BZ156" s="76">
        <f t="shared" si="195"/>
        <v>0</v>
      </c>
      <c r="CA156" s="76">
        <f t="shared" si="195"/>
        <v>0</v>
      </c>
      <c r="CB156" s="76">
        <f t="shared" si="195"/>
        <v>0</v>
      </c>
      <c r="CC156" s="76">
        <f t="shared" si="195"/>
        <v>0</v>
      </c>
      <c r="CD156" s="76">
        <f t="shared" ref="CD156:DL156" si="196">(IF($D156&gt;CD$14,0,ROUNDUP(YEARFRAC($D156,CD$14),0)))*CD62</f>
        <v>0</v>
      </c>
      <c r="CE156" s="76">
        <f t="shared" si="196"/>
        <v>0</v>
      </c>
      <c r="CF156" s="76">
        <f t="shared" si="196"/>
        <v>0</v>
      </c>
      <c r="CG156" s="76">
        <f t="shared" si="196"/>
        <v>0</v>
      </c>
      <c r="CH156" s="76">
        <f t="shared" si="196"/>
        <v>0</v>
      </c>
      <c r="CI156" s="76">
        <f t="shared" si="196"/>
        <v>0</v>
      </c>
      <c r="CJ156" s="76">
        <f t="shared" si="196"/>
        <v>0</v>
      </c>
      <c r="CK156" s="76">
        <f t="shared" si="196"/>
        <v>0</v>
      </c>
      <c r="CL156" s="76">
        <f t="shared" si="196"/>
        <v>0</v>
      </c>
      <c r="CM156" s="76">
        <f t="shared" si="196"/>
        <v>0</v>
      </c>
      <c r="CN156" s="76">
        <f t="shared" si="196"/>
        <v>0</v>
      </c>
      <c r="CO156" s="76">
        <f t="shared" si="196"/>
        <v>0</v>
      </c>
      <c r="CP156" s="76">
        <f t="shared" si="196"/>
        <v>0</v>
      </c>
      <c r="CQ156" s="76">
        <f t="shared" si="196"/>
        <v>0</v>
      </c>
      <c r="CR156" s="76">
        <f t="shared" si="196"/>
        <v>0</v>
      </c>
      <c r="CS156" s="76">
        <f t="shared" si="196"/>
        <v>0</v>
      </c>
      <c r="CT156" s="76">
        <f t="shared" si="196"/>
        <v>0</v>
      </c>
      <c r="CU156" s="76">
        <f t="shared" si="196"/>
        <v>0</v>
      </c>
      <c r="CV156" s="76">
        <f t="shared" si="196"/>
        <v>0</v>
      </c>
      <c r="CW156" s="76">
        <f t="shared" si="196"/>
        <v>0</v>
      </c>
      <c r="CX156" s="76">
        <f t="shared" si="196"/>
        <v>0</v>
      </c>
      <c r="CY156" s="76">
        <f t="shared" si="196"/>
        <v>0</v>
      </c>
      <c r="CZ156" s="76">
        <f t="shared" si="196"/>
        <v>0</v>
      </c>
      <c r="DA156" s="76">
        <f t="shared" si="196"/>
        <v>0</v>
      </c>
      <c r="DB156" s="76">
        <f t="shared" si="196"/>
        <v>0</v>
      </c>
      <c r="DC156" s="76">
        <f t="shared" si="196"/>
        <v>0</v>
      </c>
      <c r="DD156" s="76">
        <f t="shared" si="196"/>
        <v>0</v>
      </c>
      <c r="DE156" s="76">
        <f t="shared" si="196"/>
        <v>0</v>
      </c>
      <c r="DF156" s="76">
        <f t="shared" si="196"/>
        <v>0</v>
      </c>
      <c r="DG156" s="76">
        <f t="shared" si="196"/>
        <v>0</v>
      </c>
      <c r="DH156" s="76">
        <f t="shared" si="196"/>
        <v>0</v>
      </c>
      <c r="DI156" s="76">
        <f t="shared" si="196"/>
        <v>0</v>
      </c>
      <c r="DJ156" s="76">
        <f t="shared" si="196"/>
        <v>0</v>
      </c>
      <c r="DK156" s="76">
        <f t="shared" si="196"/>
        <v>0</v>
      </c>
      <c r="DL156" s="76">
        <f t="shared" si="196"/>
        <v>0</v>
      </c>
    </row>
    <row r="158" spans="2:116">
      <c r="B158" s="22" t="s">
        <v>96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O158" s="77" t="s">
        <v>110</v>
      </c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  <c r="BI158" s="77"/>
      <c r="BJ158" s="77"/>
      <c r="BK158" s="77"/>
      <c r="BL158" s="77"/>
      <c r="BM158" s="77"/>
      <c r="BN158" s="77"/>
      <c r="BO158" s="77"/>
      <c r="BP158" s="77"/>
      <c r="BQ158" s="77"/>
      <c r="BR158" s="77"/>
      <c r="BS158" s="77"/>
      <c r="BT158" s="77"/>
      <c r="BU158" s="77"/>
      <c r="BV158" s="77"/>
      <c r="BW158" s="77"/>
      <c r="BX158" s="77"/>
      <c r="BY158" s="77"/>
      <c r="BZ158" s="77"/>
      <c r="CA158" s="77"/>
      <c r="CB158" s="77"/>
      <c r="CC158" s="77"/>
      <c r="CD158" s="77"/>
      <c r="CE158" s="77"/>
      <c r="CF158" s="77"/>
      <c r="CG158" s="77"/>
      <c r="CH158" s="77"/>
      <c r="CI158" s="77"/>
      <c r="CJ158" s="77"/>
      <c r="CK158" s="77"/>
      <c r="CL158" s="77"/>
      <c r="CM158" s="77"/>
      <c r="CN158" s="77"/>
      <c r="CO158" s="77"/>
      <c r="CP158" s="77"/>
      <c r="CQ158" s="77"/>
      <c r="CR158" s="77"/>
      <c r="CS158" s="77"/>
      <c r="CT158" s="77"/>
      <c r="CU158" s="77"/>
      <c r="CV158" s="77"/>
      <c r="CW158" s="77"/>
      <c r="CX158" s="77"/>
      <c r="CY158" s="77"/>
      <c r="CZ158" s="77"/>
      <c r="DA158" s="77"/>
      <c r="DB158" s="77"/>
      <c r="DC158" s="77"/>
      <c r="DD158" s="77"/>
      <c r="DE158" s="77"/>
      <c r="DF158" s="77"/>
      <c r="DG158" s="77"/>
      <c r="DH158" s="77"/>
      <c r="DI158" s="77"/>
      <c r="DJ158" s="77"/>
      <c r="DK158" s="77"/>
      <c r="DL158" s="77"/>
    </row>
    <row r="159" spans="2:116">
      <c r="B159" s="70" t="s">
        <v>47</v>
      </c>
      <c r="C159" s="71" t="s">
        <v>49</v>
      </c>
      <c r="D159" s="71" t="s">
        <v>97</v>
      </c>
      <c r="E159" s="71" t="s">
        <v>98</v>
      </c>
      <c r="F159" s="71" t="s">
        <v>84</v>
      </c>
      <c r="G159" s="71" t="s">
        <v>104</v>
      </c>
      <c r="H159" s="71" t="s">
        <v>105</v>
      </c>
      <c r="I159" s="71" t="s">
        <v>103</v>
      </c>
      <c r="J159" s="71" t="s">
        <v>99</v>
      </c>
      <c r="K159" s="71" t="s">
        <v>102</v>
      </c>
      <c r="L159" s="71" t="s">
        <v>100</v>
      </c>
      <c r="M159" s="72" t="s">
        <v>101</v>
      </c>
      <c r="N159" s="56"/>
      <c r="O159" s="4" t="s">
        <v>107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</row>
    <row r="160" spans="2:116">
      <c r="B160" s="27">
        <f>Rentroll!$C$11</f>
        <v>17</v>
      </c>
      <c r="C160" s="69" t="str">
        <f>VLOOKUP($B160,Rentroll!$C$11:$X$29,3,FALSE)</f>
        <v>리마 상사</v>
      </c>
      <c r="D160" s="80">
        <f>VLOOKUP($B160,Rentroll!$C$11:$X$29,9,FALSE)</f>
        <v>45322</v>
      </c>
      <c r="E160" s="80">
        <f>VLOOKUP($B160,Rentroll!$C$11:$X$29,10,FALSE)</f>
        <v>47148</v>
      </c>
      <c r="F160" s="81">
        <f>VLOOKUP($B160,Rentroll!$C$11:$X$29,11,FALSE)</f>
        <v>60</v>
      </c>
      <c r="G160" s="69">
        <f>VLOOKUP($B160,Rentroll!$C$11:$X$29,13,FALSE)</f>
        <v>100000</v>
      </c>
      <c r="H160" s="69">
        <f>VLOOKUP($B160,Rentroll!$C$11:$X$29,14,FALSE)</f>
        <v>75000</v>
      </c>
      <c r="I160" s="69">
        <f>VLOOKUP($B160,Rentroll!$C$11:$X$29,15,FALSE)</f>
        <v>45000</v>
      </c>
      <c r="J160" s="82">
        <f>VLOOKUP($B160,Rentroll!$C$11:$X$29,19,FALSE)</f>
        <v>0.03</v>
      </c>
      <c r="K160" s="83">
        <f>VLOOKUP($B160,Rentroll!$C$11:$X$29,4,FALSE)</f>
        <v>1385.09</v>
      </c>
      <c r="L160" s="81">
        <f>VLOOKUP($B160,Rentroll!$C$11:$X$29,17,FALSE)</f>
        <v>0</v>
      </c>
      <c r="M160" s="84">
        <f>VLOOKUP($B160,Rentroll!$C$11:$X$29,18,FALSE)</f>
        <v>3</v>
      </c>
      <c r="O160" s="46">
        <f>B160</f>
        <v>17</v>
      </c>
      <c r="P160" s="73"/>
      <c r="Q160" s="73"/>
      <c r="R160" s="87">
        <f t="shared" ref="R160:AW160" si="197">(1+$J160)^(R113-1)*R19</f>
        <v>0</v>
      </c>
      <c r="S160" s="87">
        <f t="shared" si="197"/>
        <v>1</v>
      </c>
      <c r="T160" s="87">
        <f t="shared" si="197"/>
        <v>1</v>
      </c>
      <c r="U160" s="87">
        <f t="shared" si="197"/>
        <v>1</v>
      </c>
      <c r="V160" s="87">
        <f t="shared" si="197"/>
        <v>1</v>
      </c>
      <c r="W160" s="87">
        <f t="shared" si="197"/>
        <v>1</v>
      </c>
      <c r="X160" s="87">
        <f t="shared" si="197"/>
        <v>1</v>
      </c>
      <c r="Y160" s="87">
        <f t="shared" si="197"/>
        <v>1</v>
      </c>
      <c r="Z160" s="87">
        <f t="shared" si="197"/>
        <v>1</v>
      </c>
      <c r="AA160" s="87">
        <f t="shared" si="197"/>
        <v>1</v>
      </c>
      <c r="AB160" s="87">
        <f t="shared" si="197"/>
        <v>1</v>
      </c>
      <c r="AC160" s="87">
        <f t="shared" si="197"/>
        <v>1</v>
      </c>
      <c r="AD160" s="87">
        <f t="shared" si="197"/>
        <v>1</v>
      </c>
      <c r="AE160" s="87">
        <f t="shared" si="197"/>
        <v>1.03</v>
      </c>
      <c r="AF160" s="87">
        <f t="shared" si="197"/>
        <v>1.03</v>
      </c>
      <c r="AG160" s="87">
        <f t="shared" si="197"/>
        <v>1.03</v>
      </c>
      <c r="AH160" s="87">
        <f t="shared" si="197"/>
        <v>1.03</v>
      </c>
      <c r="AI160" s="87">
        <f t="shared" si="197"/>
        <v>1.03</v>
      </c>
      <c r="AJ160" s="87">
        <f t="shared" si="197"/>
        <v>1.03</v>
      </c>
      <c r="AK160" s="87">
        <f t="shared" si="197"/>
        <v>1.03</v>
      </c>
      <c r="AL160" s="87">
        <f t="shared" si="197"/>
        <v>1.03</v>
      </c>
      <c r="AM160" s="87">
        <f t="shared" si="197"/>
        <v>1.03</v>
      </c>
      <c r="AN160" s="87">
        <f t="shared" si="197"/>
        <v>1.03</v>
      </c>
      <c r="AO160" s="87">
        <f t="shared" si="197"/>
        <v>1.03</v>
      </c>
      <c r="AP160" s="87">
        <f t="shared" si="197"/>
        <v>1.03</v>
      </c>
      <c r="AQ160" s="87">
        <f t="shared" si="197"/>
        <v>1.0609</v>
      </c>
      <c r="AR160" s="87">
        <f t="shared" si="197"/>
        <v>1.0609</v>
      </c>
      <c r="AS160" s="87">
        <f t="shared" si="197"/>
        <v>1.0609</v>
      </c>
      <c r="AT160" s="87">
        <f t="shared" si="197"/>
        <v>1.0609</v>
      </c>
      <c r="AU160" s="87">
        <f t="shared" si="197"/>
        <v>1.0609</v>
      </c>
      <c r="AV160" s="87">
        <f t="shared" si="197"/>
        <v>1.0609</v>
      </c>
      <c r="AW160" s="87">
        <f t="shared" si="197"/>
        <v>1.0609</v>
      </c>
      <c r="AX160" s="87">
        <f t="shared" ref="AX160:CC160" si="198">(1+$J160)^(AX113-1)*AX19</f>
        <v>1.0609</v>
      </c>
      <c r="AY160" s="87">
        <f t="shared" si="198"/>
        <v>1.0609</v>
      </c>
      <c r="AZ160" s="87">
        <f t="shared" si="198"/>
        <v>1.0609</v>
      </c>
      <c r="BA160" s="87">
        <f t="shared" si="198"/>
        <v>1.0609</v>
      </c>
      <c r="BB160" s="87">
        <f t="shared" si="198"/>
        <v>1.0609</v>
      </c>
      <c r="BC160" s="87">
        <f t="shared" si="198"/>
        <v>1.092727</v>
      </c>
      <c r="BD160" s="87">
        <f t="shared" si="198"/>
        <v>1.092727</v>
      </c>
      <c r="BE160" s="87">
        <f t="shared" si="198"/>
        <v>1.092727</v>
      </c>
      <c r="BF160" s="87">
        <f t="shared" si="198"/>
        <v>1.092727</v>
      </c>
      <c r="BG160" s="87">
        <f t="shared" si="198"/>
        <v>1.092727</v>
      </c>
      <c r="BH160" s="87">
        <f t="shared" si="198"/>
        <v>1.092727</v>
      </c>
      <c r="BI160" s="87">
        <f t="shared" si="198"/>
        <v>1.092727</v>
      </c>
      <c r="BJ160" s="87">
        <f t="shared" si="198"/>
        <v>1.092727</v>
      </c>
      <c r="BK160" s="87">
        <f t="shared" si="198"/>
        <v>1.092727</v>
      </c>
      <c r="BL160" s="87">
        <f t="shared" si="198"/>
        <v>1.092727</v>
      </c>
      <c r="BM160" s="87">
        <f t="shared" si="198"/>
        <v>1.092727</v>
      </c>
      <c r="BN160" s="87">
        <f t="shared" si="198"/>
        <v>1.092727</v>
      </c>
      <c r="BO160" s="87">
        <f t="shared" si="198"/>
        <v>0</v>
      </c>
      <c r="BP160" s="87">
        <f t="shared" si="198"/>
        <v>0</v>
      </c>
      <c r="BQ160" s="87">
        <f t="shared" si="198"/>
        <v>0</v>
      </c>
      <c r="BR160" s="87">
        <f t="shared" si="198"/>
        <v>0</v>
      </c>
      <c r="BS160" s="87">
        <f t="shared" si="198"/>
        <v>0</v>
      </c>
      <c r="BT160" s="87">
        <f t="shared" si="198"/>
        <v>0</v>
      </c>
      <c r="BU160" s="87">
        <f t="shared" si="198"/>
        <v>0</v>
      </c>
      <c r="BV160" s="87">
        <f t="shared" si="198"/>
        <v>0</v>
      </c>
      <c r="BW160" s="87">
        <f t="shared" si="198"/>
        <v>0</v>
      </c>
      <c r="BX160" s="87">
        <f t="shared" si="198"/>
        <v>0</v>
      </c>
      <c r="BY160" s="87">
        <f t="shared" si="198"/>
        <v>0</v>
      </c>
      <c r="BZ160" s="87">
        <f t="shared" si="198"/>
        <v>0</v>
      </c>
      <c r="CA160" s="87">
        <f t="shared" si="198"/>
        <v>0</v>
      </c>
      <c r="CB160" s="87">
        <f t="shared" si="198"/>
        <v>0</v>
      </c>
      <c r="CC160" s="87">
        <f t="shared" si="198"/>
        <v>0</v>
      </c>
      <c r="CD160" s="87">
        <f t="shared" ref="CD160:DL160" si="199">(1+$J160)^(CD113-1)*CD19</f>
        <v>0</v>
      </c>
      <c r="CE160" s="87">
        <f t="shared" si="199"/>
        <v>0</v>
      </c>
      <c r="CF160" s="87">
        <f t="shared" si="199"/>
        <v>0</v>
      </c>
      <c r="CG160" s="87">
        <f t="shared" si="199"/>
        <v>0</v>
      </c>
      <c r="CH160" s="87">
        <f t="shared" si="199"/>
        <v>0</v>
      </c>
      <c r="CI160" s="87">
        <f t="shared" si="199"/>
        <v>0</v>
      </c>
      <c r="CJ160" s="87">
        <f t="shared" si="199"/>
        <v>0</v>
      </c>
      <c r="CK160" s="87">
        <f t="shared" si="199"/>
        <v>0</v>
      </c>
      <c r="CL160" s="87">
        <f t="shared" si="199"/>
        <v>0</v>
      </c>
      <c r="CM160" s="87">
        <f t="shared" si="199"/>
        <v>0</v>
      </c>
      <c r="CN160" s="87">
        <f t="shared" si="199"/>
        <v>0</v>
      </c>
      <c r="CO160" s="87">
        <f t="shared" si="199"/>
        <v>0</v>
      </c>
      <c r="CP160" s="87">
        <f t="shared" si="199"/>
        <v>0</v>
      </c>
      <c r="CQ160" s="87">
        <f t="shared" si="199"/>
        <v>0</v>
      </c>
      <c r="CR160" s="87">
        <f t="shared" si="199"/>
        <v>0</v>
      </c>
      <c r="CS160" s="87">
        <f t="shared" si="199"/>
        <v>0</v>
      </c>
      <c r="CT160" s="87">
        <f t="shared" si="199"/>
        <v>0</v>
      </c>
      <c r="CU160" s="87">
        <f t="shared" si="199"/>
        <v>0</v>
      </c>
      <c r="CV160" s="87">
        <f t="shared" si="199"/>
        <v>0</v>
      </c>
      <c r="CW160" s="87">
        <f t="shared" si="199"/>
        <v>0</v>
      </c>
      <c r="CX160" s="87">
        <f t="shared" si="199"/>
        <v>0</v>
      </c>
      <c r="CY160" s="87">
        <f t="shared" si="199"/>
        <v>0</v>
      </c>
      <c r="CZ160" s="87">
        <f t="shared" si="199"/>
        <v>0</v>
      </c>
      <c r="DA160" s="87">
        <f t="shared" si="199"/>
        <v>0</v>
      </c>
      <c r="DB160" s="87">
        <f t="shared" si="199"/>
        <v>0</v>
      </c>
      <c r="DC160" s="87">
        <f t="shared" si="199"/>
        <v>0</v>
      </c>
      <c r="DD160" s="87">
        <f t="shared" si="199"/>
        <v>0</v>
      </c>
      <c r="DE160" s="87">
        <f t="shared" si="199"/>
        <v>0</v>
      </c>
      <c r="DF160" s="87">
        <f t="shared" si="199"/>
        <v>0</v>
      </c>
      <c r="DG160" s="87">
        <f t="shared" si="199"/>
        <v>0</v>
      </c>
      <c r="DH160" s="87">
        <f t="shared" si="199"/>
        <v>0</v>
      </c>
      <c r="DI160" s="87">
        <f t="shared" si="199"/>
        <v>0</v>
      </c>
      <c r="DJ160" s="87">
        <f t="shared" si="199"/>
        <v>0</v>
      </c>
      <c r="DK160" s="87">
        <f t="shared" si="199"/>
        <v>0</v>
      </c>
      <c r="DL160" s="87">
        <f t="shared" si="199"/>
        <v>0</v>
      </c>
    </row>
    <row r="161" spans="2:116" ht="17">
      <c r="B161" s="27">
        <f>Rentroll!$C$12</f>
        <v>16</v>
      </c>
      <c r="C161" s="69" t="str">
        <f>VLOOKUP($B161,Rentroll!$C$11:$X$29,3,FALSE)</f>
        <v>리마 상사</v>
      </c>
      <c r="D161" s="80">
        <f>VLOOKUP($B161,Rentroll!$C$11:$X$29,9,FALSE)</f>
        <v>45322</v>
      </c>
      <c r="E161" s="80">
        <f>VLOOKUP($B161,Rentroll!$C$11:$X$29,10,FALSE)</f>
        <v>47148</v>
      </c>
      <c r="F161" s="81">
        <f>VLOOKUP($B161,Rentroll!$C$11:$X$29,11,FALSE)</f>
        <v>60</v>
      </c>
      <c r="G161" s="69">
        <f>VLOOKUP($B161,Rentroll!$C$11:$X$29,13,FALSE)</f>
        <v>100000</v>
      </c>
      <c r="H161" s="69">
        <f>VLOOKUP($B161,Rentroll!$C$11:$X$29,14,FALSE)</f>
        <v>75000</v>
      </c>
      <c r="I161" s="69">
        <f>VLOOKUP($B161,Rentroll!$C$11:$X$29,15,FALSE)</f>
        <v>45000</v>
      </c>
      <c r="J161" s="82">
        <f>VLOOKUP($B161,Rentroll!$C$11:$X$29,19,FALSE)</f>
        <v>0.03</v>
      </c>
      <c r="K161" s="83">
        <f>VLOOKUP($B161,Rentroll!$C$11:$X$29,4,FALSE)</f>
        <v>1385.09</v>
      </c>
      <c r="L161" s="81">
        <f>VLOOKUP($B161,Rentroll!$C$11:$X$29,17,FALSE)</f>
        <v>0</v>
      </c>
      <c r="M161" s="84">
        <f>VLOOKUP($B161,Rentroll!$C$11:$X$29,18,FALSE)</f>
        <v>3</v>
      </c>
      <c r="N161" s="20"/>
      <c r="O161" s="74">
        <f t="shared" ref="O161:O178" si="200">B161</f>
        <v>16</v>
      </c>
      <c r="P161" s="75"/>
      <c r="Q161" s="75"/>
      <c r="R161" s="88">
        <f t="shared" ref="R161:AW161" si="201">(1+$J161)^(R114-1)*R20</f>
        <v>0</v>
      </c>
      <c r="S161" s="88">
        <f t="shared" si="201"/>
        <v>1</v>
      </c>
      <c r="T161" s="88">
        <f t="shared" si="201"/>
        <v>1</v>
      </c>
      <c r="U161" s="88">
        <f t="shared" si="201"/>
        <v>1</v>
      </c>
      <c r="V161" s="88">
        <f t="shared" si="201"/>
        <v>1</v>
      </c>
      <c r="W161" s="88">
        <f t="shared" si="201"/>
        <v>1</v>
      </c>
      <c r="X161" s="88">
        <f t="shared" si="201"/>
        <v>1</v>
      </c>
      <c r="Y161" s="88">
        <f t="shared" si="201"/>
        <v>1</v>
      </c>
      <c r="Z161" s="88">
        <f t="shared" si="201"/>
        <v>1</v>
      </c>
      <c r="AA161" s="88">
        <f t="shared" si="201"/>
        <v>1</v>
      </c>
      <c r="AB161" s="88">
        <f t="shared" si="201"/>
        <v>1</v>
      </c>
      <c r="AC161" s="88">
        <f t="shared" si="201"/>
        <v>1</v>
      </c>
      <c r="AD161" s="88">
        <f t="shared" si="201"/>
        <v>1</v>
      </c>
      <c r="AE161" s="88">
        <f t="shared" si="201"/>
        <v>1.03</v>
      </c>
      <c r="AF161" s="88">
        <f t="shared" si="201"/>
        <v>1.03</v>
      </c>
      <c r="AG161" s="88">
        <f t="shared" si="201"/>
        <v>1.03</v>
      </c>
      <c r="AH161" s="88">
        <f t="shared" si="201"/>
        <v>1.03</v>
      </c>
      <c r="AI161" s="88">
        <f t="shared" si="201"/>
        <v>1.03</v>
      </c>
      <c r="AJ161" s="88">
        <f t="shared" si="201"/>
        <v>1.03</v>
      </c>
      <c r="AK161" s="88">
        <f t="shared" si="201"/>
        <v>1.03</v>
      </c>
      <c r="AL161" s="88">
        <f t="shared" si="201"/>
        <v>1.03</v>
      </c>
      <c r="AM161" s="88">
        <f t="shared" si="201"/>
        <v>1.03</v>
      </c>
      <c r="AN161" s="88">
        <f t="shared" si="201"/>
        <v>1.03</v>
      </c>
      <c r="AO161" s="88">
        <f t="shared" si="201"/>
        <v>1.03</v>
      </c>
      <c r="AP161" s="88">
        <f t="shared" si="201"/>
        <v>1.03</v>
      </c>
      <c r="AQ161" s="88">
        <f t="shared" si="201"/>
        <v>1.0609</v>
      </c>
      <c r="AR161" s="88">
        <f t="shared" si="201"/>
        <v>1.0609</v>
      </c>
      <c r="AS161" s="88">
        <f t="shared" si="201"/>
        <v>1.0609</v>
      </c>
      <c r="AT161" s="88">
        <f t="shared" si="201"/>
        <v>1.0609</v>
      </c>
      <c r="AU161" s="88">
        <f t="shared" si="201"/>
        <v>1.0609</v>
      </c>
      <c r="AV161" s="88">
        <f t="shared" si="201"/>
        <v>1.0609</v>
      </c>
      <c r="AW161" s="88">
        <f t="shared" si="201"/>
        <v>1.0609</v>
      </c>
      <c r="AX161" s="88">
        <f t="shared" ref="AX161:CC161" si="202">(1+$J161)^(AX114-1)*AX20</f>
        <v>1.0609</v>
      </c>
      <c r="AY161" s="88">
        <f t="shared" si="202"/>
        <v>1.0609</v>
      </c>
      <c r="AZ161" s="88">
        <f t="shared" si="202"/>
        <v>1.0609</v>
      </c>
      <c r="BA161" s="88">
        <f t="shared" si="202"/>
        <v>1.0609</v>
      </c>
      <c r="BB161" s="88">
        <f t="shared" si="202"/>
        <v>1.0609</v>
      </c>
      <c r="BC161" s="88">
        <f t="shared" si="202"/>
        <v>1.092727</v>
      </c>
      <c r="BD161" s="88">
        <f t="shared" si="202"/>
        <v>1.092727</v>
      </c>
      <c r="BE161" s="88">
        <f t="shared" si="202"/>
        <v>1.092727</v>
      </c>
      <c r="BF161" s="88">
        <f t="shared" si="202"/>
        <v>1.092727</v>
      </c>
      <c r="BG161" s="88">
        <f t="shared" si="202"/>
        <v>1.092727</v>
      </c>
      <c r="BH161" s="88">
        <f t="shared" si="202"/>
        <v>1.092727</v>
      </c>
      <c r="BI161" s="88">
        <f t="shared" si="202"/>
        <v>1.092727</v>
      </c>
      <c r="BJ161" s="88">
        <f t="shared" si="202"/>
        <v>1.092727</v>
      </c>
      <c r="BK161" s="88">
        <f t="shared" si="202"/>
        <v>1.092727</v>
      </c>
      <c r="BL161" s="88">
        <f t="shared" si="202"/>
        <v>1.092727</v>
      </c>
      <c r="BM161" s="88">
        <f t="shared" si="202"/>
        <v>1.092727</v>
      </c>
      <c r="BN161" s="88">
        <f t="shared" si="202"/>
        <v>1.092727</v>
      </c>
      <c r="BO161" s="88">
        <f t="shared" si="202"/>
        <v>0</v>
      </c>
      <c r="BP161" s="88">
        <f t="shared" si="202"/>
        <v>0</v>
      </c>
      <c r="BQ161" s="88">
        <f t="shared" si="202"/>
        <v>0</v>
      </c>
      <c r="BR161" s="88">
        <f t="shared" si="202"/>
        <v>0</v>
      </c>
      <c r="BS161" s="88">
        <f t="shared" si="202"/>
        <v>0</v>
      </c>
      <c r="BT161" s="88">
        <f t="shared" si="202"/>
        <v>0</v>
      </c>
      <c r="BU161" s="88">
        <f t="shared" si="202"/>
        <v>0</v>
      </c>
      <c r="BV161" s="88">
        <f t="shared" si="202"/>
        <v>0</v>
      </c>
      <c r="BW161" s="88">
        <f t="shared" si="202"/>
        <v>0</v>
      </c>
      <c r="BX161" s="88">
        <f t="shared" si="202"/>
        <v>0</v>
      </c>
      <c r="BY161" s="88">
        <f t="shared" si="202"/>
        <v>0</v>
      </c>
      <c r="BZ161" s="88">
        <f t="shared" si="202"/>
        <v>0</v>
      </c>
      <c r="CA161" s="88">
        <f t="shared" si="202"/>
        <v>0</v>
      </c>
      <c r="CB161" s="88">
        <f t="shared" si="202"/>
        <v>0</v>
      </c>
      <c r="CC161" s="88">
        <f t="shared" si="202"/>
        <v>0</v>
      </c>
      <c r="CD161" s="88">
        <f t="shared" ref="CD161:DL161" si="203">(1+$J161)^(CD114-1)*CD20</f>
        <v>0</v>
      </c>
      <c r="CE161" s="88">
        <f t="shared" si="203"/>
        <v>0</v>
      </c>
      <c r="CF161" s="88">
        <f t="shared" si="203"/>
        <v>0</v>
      </c>
      <c r="CG161" s="88">
        <f t="shared" si="203"/>
        <v>0</v>
      </c>
      <c r="CH161" s="88">
        <f t="shared" si="203"/>
        <v>0</v>
      </c>
      <c r="CI161" s="88">
        <f t="shared" si="203"/>
        <v>0</v>
      </c>
      <c r="CJ161" s="88">
        <f t="shared" si="203"/>
        <v>0</v>
      </c>
      <c r="CK161" s="88">
        <f t="shared" si="203"/>
        <v>0</v>
      </c>
      <c r="CL161" s="88">
        <f t="shared" si="203"/>
        <v>0</v>
      </c>
      <c r="CM161" s="88">
        <f t="shared" si="203"/>
        <v>0</v>
      </c>
      <c r="CN161" s="88">
        <f t="shared" si="203"/>
        <v>0</v>
      </c>
      <c r="CO161" s="88">
        <f t="shared" si="203"/>
        <v>0</v>
      </c>
      <c r="CP161" s="88">
        <f t="shared" si="203"/>
        <v>0</v>
      </c>
      <c r="CQ161" s="88">
        <f t="shared" si="203"/>
        <v>0</v>
      </c>
      <c r="CR161" s="88">
        <f t="shared" si="203"/>
        <v>0</v>
      </c>
      <c r="CS161" s="88">
        <f t="shared" si="203"/>
        <v>0</v>
      </c>
      <c r="CT161" s="88">
        <f t="shared" si="203"/>
        <v>0</v>
      </c>
      <c r="CU161" s="88">
        <f t="shared" si="203"/>
        <v>0</v>
      </c>
      <c r="CV161" s="88">
        <f t="shared" si="203"/>
        <v>0</v>
      </c>
      <c r="CW161" s="88">
        <f t="shared" si="203"/>
        <v>0</v>
      </c>
      <c r="CX161" s="88">
        <f t="shared" si="203"/>
        <v>0</v>
      </c>
      <c r="CY161" s="88">
        <f t="shared" si="203"/>
        <v>0</v>
      </c>
      <c r="CZ161" s="88">
        <f t="shared" si="203"/>
        <v>0</v>
      </c>
      <c r="DA161" s="88">
        <f t="shared" si="203"/>
        <v>0</v>
      </c>
      <c r="DB161" s="88">
        <f t="shared" si="203"/>
        <v>0</v>
      </c>
      <c r="DC161" s="88">
        <f t="shared" si="203"/>
        <v>0</v>
      </c>
      <c r="DD161" s="88">
        <f t="shared" si="203"/>
        <v>0</v>
      </c>
      <c r="DE161" s="88">
        <f t="shared" si="203"/>
        <v>0</v>
      </c>
      <c r="DF161" s="88">
        <f t="shared" si="203"/>
        <v>0</v>
      </c>
      <c r="DG161" s="88">
        <f t="shared" si="203"/>
        <v>0</v>
      </c>
      <c r="DH161" s="88">
        <f t="shared" si="203"/>
        <v>0</v>
      </c>
      <c r="DI161" s="88">
        <f t="shared" si="203"/>
        <v>0</v>
      </c>
      <c r="DJ161" s="88">
        <f t="shared" si="203"/>
        <v>0</v>
      </c>
      <c r="DK161" s="88">
        <f t="shared" si="203"/>
        <v>0</v>
      </c>
      <c r="DL161" s="88">
        <f t="shared" si="203"/>
        <v>0</v>
      </c>
    </row>
    <row r="162" spans="2:116">
      <c r="B162" s="27">
        <f>Rentroll!$C$13</f>
        <v>15</v>
      </c>
      <c r="C162" s="69" t="str">
        <f>VLOOKUP($B162,Rentroll!$C$11:$X$29,3,FALSE)</f>
        <v>모빌리티 테크놀로지</v>
      </c>
      <c r="D162" s="80">
        <f>VLOOKUP($B162,Rentroll!$C$11:$X$29,9,FALSE)</f>
        <v>44042</v>
      </c>
      <c r="E162" s="80">
        <f>VLOOKUP($B162,Rentroll!$C$11:$X$29,10,FALSE)</f>
        <v>45869</v>
      </c>
      <c r="F162" s="81">
        <f>VLOOKUP($B162,Rentroll!$C$11:$X$29,11,FALSE)</f>
        <v>60</v>
      </c>
      <c r="G162" s="69">
        <f>VLOOKUP($B162,Rentroll!$C$11:$X$29,13,FALSE)</f>
        <v>90041</v>
      </c>
      <c r="H162" s="69">
        <f>VLOOKUP($B162,Rentroll!$C$11:$X$29,14,FALSE)</f>
        <v>67530.75</v>
      </c>
      <c r="I162" s="69">
        <f>VLOOKUP($B162,Rentroll!$C$11:$X$29,15,FALSE)</f>
        <v>45020</v>
      </c>
      <c r="J162" s="82">
        <f>VLOOKUP($B162,Rentroll!$C$11:$X$29,19,FALSE)</f>
        <v>0.03</v>
      </c>
      <c r="K162" s="83">
        <f>VLOOKUP($B162,Rentroll!$C$11:$X$29,4,FALSE)</f>
        <v>1385.09</v>
      </c>
      <c r="L162" s="81">
        <f>VLOOKUP($B162,Rentroll!$C$11:$X$29,17,FALSE)</f>
        <v>0</v>
      </c>
      <c r="M162" s="84">
        <f>VLOOKUP($B162,Rentroll!$C$11:$X$29,18,FALSE)</f>
        <v>3</v>
      </c>
      <c r="O162" s="74">
        <f t="shared" si="200"/>
        <v>15</v>
      </c>
      <c r="P162" s="75"/>
      <c r="Q162" s="75"/>
      <c r="R162" s="88">
        <f t="shared" ref="R162:AW162" si="204">(1+$J162)^(R115-1)*R21</f>
        <v>0</v>
      </c>
      <c r="S162" s="88">
        <f t="shared" si="204"/>
        <v>1</v>
      </c>
      <c r="T162" s="88">
        <f t="shared" si="204"/>
        <v>1</v>
      </c>
      <c r="U162" s="88">
        <f t="shared" si="204"/>
        <v>1</v>
      </c>
      <c r="V162" s="88">
        <f t="shared" si="204"/>
        <v>1</v>
      </c>
      <c r="W162" s="88">
        <f t="shared" si="204"/>
        <v>1</v>
      </c>
      <c r="X162" s="88">
        <f t="shared" si="204"/>
        <v>1</v>
      </c>
      <c r="Y162" s="88">
        <f t="shared" si="204"/>
        <v>0</v>
      </c>
      <c r="Z162" s="88">
        <f t="shared" si="204"/>
        <v>0</v>
      </c>
      <c r="AA162" s="88">
        <f t="shared" si="204"/>
        <v>0</v>
      </c>
      <c r="AB162" s="88">
        <f t="shared" si="204"/>
        <v>0</v>
      </c>
      <c r="AC162" s="88">
        <f t="shared" si="204"/>
        <v>0</v>
      </c>
      <c r="AD162" s="88">
        <f t="shared" si="204"/>
        <v>0</v>
      </c>
      <c r="AE162" s="88">
        <f t="shared" si="204"/>
        <v>0</v>
      </c>
      <c r="AF162" s="88">
        <f t="shared" si="204"/>
        <v>0</v>
      </c>
      <c r="AG162" s="88">
        <f t="shared" si="204"/>
        <v>0</v>
      </c>
      <c r="AH162" s="88">
        <f t="shared" si="204"/>
        <v>0</v>
      </c>
      <c r="AI162" s="88">
        <f t="shared" si="204"/>
        <v>0</v>
      </c>
      <c r="AJ162" s="88">
        <f t="shared" si="204"/>
        <v>0</v>
      </c>
      <c r="AK162" s="88">
        <f t="shared" si="204"/>
        <v>0</v>
      </c>
      <c r="AL162" s="88">
        <f t="shared" si="204"/>
        <v>0</v>
      </c>
      <c r="AM162" s="88">
        <f t="shared" si="204"/>
        <v>0</v>
      </c>
      <c r="AN162" s="88">
        <f t="shared" si="204"/>
        <v>0</v>
      </c>
      <c r="AO162" s="88">
        <f t="shared" si="204"/>
        <v>0</v>
      </c>
      <c r="AP162" s="88">
        <f t="shared" si="204"/>
        <v>0</v>
      </c>
      <c r="AQ162" s="88">
        <f t="shared" si="204"/>
        <v>0</v>
      </c>
      <c r="AR162" s="88">
        <f t="shared" si="204"/>
        <v>0</v>
      </c>
      <c r="AS162" s="88">
        <f t="shared" si="204"/>
        <v>0</v>
      </c>
      <c r="AT162" s="88">
        <f t="shared" si="204"/>
        <v>0</v>
      </c>
      <c r="AU162" s="88">
        <f t="shared" si="204"/>
        <v>0</v>
      </c>
      <c r="AV162" s="88">
        <f t="shared" si="204"/>
        <v>0</v>
      </c>
      <c r="AW162" s="88">
        <f t="shared" si="204"/>
        <v>0</v>
      </c>
      <c r="AX162" s="88">
        <f t="shared" ref="AX162:CC162" si="205">(1+$J162)^(AX115-1)*AX21</f>
        <v>0</v>
      </c>
      <c r="AY162" s="88">
        <f t="shared" si="205"/>
        <v>0</v>
      </c>
      <c r="AZ162" s="88">
        <f t="shared" si="205"/>
        <v>0</v>
      </c>
      <c r="BA162" s="88">
        <f t="shared" si="205"/>
        <v>0</v>
      </c>
      <c r="BB162" s="88">
        <f t="shared" si="205"/>
        <v>0</v>
      </c>
      <c r="BC162" s="88">
        <f t="shared" si="205"/>
        <v>0</v>
      </c>
      <c r="BD162" s="88">
        <f t="shared" si="205"/>
        <v>0</v>
      </c>
      <c r="BE162" s="88">
        <f t="shared" si="205"/>
        <v>0</v>
      </c>
      <c r="BF162" s="88">
        <f t="shared" si="205"/>
        <v>0</v>
      </c>
      <c r="BG162" s="88">
        <f t="shared" si="205"/>
        <v>0</v>
      </c>
      <c r="BH162" s="88">
        <f t="shared" si="205"/>
        <v>0</v>
      </c>
      <c r="BI162" s="88">
        <f t="shared" si="205"/>
        <v>0</v>
      </c>
      <c r="BJ162" s="88">
        <f t="shared" si="205"/>
        <v>0</v>
      </c>
      <c r="BK162" s="88">
        <f t="shared" si="205"/>
        <v>0</v>
      </c>
      <c r="BL162" s="88">
        <f t="shared" si="205"/>
        <v>0</v>
      </c>
      <c r="BM162" s="88">
        <f t="shared" si="205"/>
        <v>0</v>
      </c>
      <c r="BN162" s="88">
        <f t="shared" si="205"/>
        <v>0</v>
      </c>
      <c r="BO162" s="88">
        <f t="shared" si="205"/>
        <v>0</v>
      </c>
      <c r="BP162" s="88">
        <f t="shared" si="205"/>
        <v>0</v>
      </c>
      <c r="BQ162" s="88">
        <f t="shared" si="205"/>
        <v>0</v>
      </c>
      <c r="BR162" s="88">
        <f t="shared" si="205"/>
        <v>0</v>
      </c>
      <c r="BS162" s="88">
        <f t="shared" si="205"/>
        <v>0</v>
      </c>
      <c r="BT162" s="88">
        <f t="shared" si="205"/>
        <v>0</v>
      </c>
      <c r="BU162" s="88">
        <f t="shared" si="205"/>
        <v>0</v>
      </c>
      <c r="BV162" s="88">
        <f t="shared" si="205"/>
        <v>0</v>
      </c>
      <c r="BW162" s="88">
        <f t="shared" si="205"/>
        <v>0</v>
      </c>
      <c r="BX162" s="88">
        <f t="shared" si="205"/>
        <v>0</v>
      </c>
      <c r="BY162" s="88">
        <f t="shared" si="205"/>
        <v>0</v>
      </c>
      <c r="BZ162" s="88">
        <f t="shared" si="205"/>
        <v>0</v>
      </c>
      <c r="CA162" s="88">
        <f t="shared" si="205"/>
        <v>0</v>
      </c>
      <c r="CB162" s="88">
        <f t="shared" si="205"/>
        <v>0</v>
      </c>
      <c r="CC162" s="88">
        <f t="shared" si="205"/>
        <v>0</v>
      </c>
      <c r="CD162" s="88">
        <f t="shared" ref="CD162:DL162" si="206">(1+$J162)^(CD115-1)*CD21</f>
        <v>0</v>
      </c>
      <c r="CE162" s="88">
        <f t="shared" si="206"/>
        <v>0</v>
      </c>
      <c r="CF162" s="88">
        <f t="shared" si="206"/>
        <v>0</v>
      </c>
      <c r="CG162" s="88">
        <f t="shared" si="206"/>
        <v>0</v>
      </c>
      <c r="CH162" s="88">
        <f t="shared" si="206"/>
        <v>0</v>
      </c>
      <c r="CI162" s="88">
        <f t="shared" si="206"/>
        <v>0</v>
      </c>
      <c r="CJ162" s="88">
        <f t="shared" si="206"/>
        <v>0</v>
      </c>
      <c r="CK162" s="88">
        <f t="shared" si="206"/>
        <v>0</v>
      </c>
      <c r="CL162" s="88">
        <f t="shared" si="206"/>
        <v>0</v>
      </c>
      <c r="CM162" s="88">
        <f t="shared" si="206"/>
        <v>0</v>
      </c>
      <c r="CN162" s="88">
        <f t="shared" si="206"/>
        <v>0</v>
      </c>
      <c r="CO162" s="88">
        <f t="shared" si="206"/>
        <v>0</v>
      </c>
      <c r="CP162" s="88">
        <f t="shared" si="206"/>
        <v>0</v>
      </c>
      <c r="CQ162" s="88">
        <f t="shared" si="206"/>
        <v>0</v>
      </c>
      <c r="CR162" s="88">
        <f t="shared" si="206"/>
        <v>0</v>
      </c>
      <c r="CS162" s="88">
        <f t="shared" si="206"/>
        <v>0</v>
      </c>
      <c r="CT162" s="88">
        <f t="shared" si="206"/>
        <v>0</v>
      </c>
      <c r="CU162" s="88">
        <f t="shared" si="206"/>
        <v>0</v>
      </c>
      <c r="CV162" s="88">
        <f t="shared" si="206"/>
        <v>0</v>
      </c>
      <c r="CW162" s="88">
        <f t="shared" si="206"/>
        <v>0</v>
      </c>
      <c r="CX162" s="88">
        <f t="shared" si="206"/>
        <v>0</v>
      </c>
      <c r="CY162" s="88">
        <f t="shared" si="206"/>
        <v>0</v>
      </c>
      <c r="CZ162" s="88">
        <f t="shared" si="206"/>
        <v>0</v>
      </c>
      <c r="DA162" s="88">
        <f t="shared" si="206"/>
        <v>0</v>
      </c>
      <c r="DB162" s="88">
        <f t="shared" si="206"/>
        <v>0</v>
      </c>
      <c r="DC162" s="88">
        <f t="shared" si="206"/>
        <v>0</v>
      </c>
      <c r="DD162" s="88">
        <f t="shared" si="206"/>
        <v>0</v>
      </c>
      <c r="DE162" s="88">
        <f t="shared" si="206"/>
        <v>0</v>
      </c>
      <c r="DF162" s="88">
        <f t="shared" si="206"/>
        <v>0</v>
      </c>
      <c r="DG162" s="88">
        <f t="shared" si="206"/>
        <v>0</v>
      </c>
      <c r="DH162" s="88">
        <f t="shared" si="206"/>
        <v>0</v>
      </c>
      <c r="DI162" s="88">
        <f t="shared" si="206"/>
        <v>0</v>
      </c>
      <c r="DJ162" s="88">
        <f t="shared" si="206"/>
        <v>0</v>
      </c>
      <c r="DK162" s="88">
        <f t="shared" si="206"/>
        <v>0</v>
      </c>
      <c r="DL162" s="88">
        <f t="shared" si="206"/>
        <v>0</v>
      </c>
    </row>
    <row r="163" spans="2:116">
      <c r="B163" s="27">
        <f>Rentroll!$C$14</f>
        <v>14</v>
      </c>
      <c r="C163" s="69" t="str">
        <f>VLOOKUP($B163,Rentroll!$C$11:$X$29,3,FALSE)</f>
        <v>모빌리티 테크놀로지</v>
      </c>
      <c r="D163" s="80">
        <f>VLOOKUP($B163,Rentroll!$C$11:$X$29,9,FALSE)</f>
        <v>44043</v>
      </c>
      <c r="E163" s="80">
        <f>VLOOKUP($B163,Rentroll!$C$11:$X$29,10,FALSE)</f>
        <v>45868</v>
      </c>
      <c r="F163" s="81">
        <f>VLOOKUP($B163,Rentroll!$C$11:$X$29,11,FALSE)</f>
        <v>60</v>
      </c>
      <c r="G163" s="69">
        <f>VLOOKUP($B163,Rentroll!$C$11:$X$29,13,FALSE)</f>
        <v>90041</v>
      </c>
      <c r="H163" s="69">
        <f>VLOOKUP($B163,Rentroll!$C$11:$X$29,14,FALSE)</f>
        <v>67530.75</v>
      </c>
      <c r="I163" s="69">
        <f>VLOOKUP($B163,Rentroll!$C$11:$X$29,15,FALSE)</f>
        <v>45020</v>
      </c>
      <c r="J163" s="82">
        <f>VLOOKUP($B163,Rentroll!$C$11:$X$29,19,FALSE)</f>
        <v>0.03</v>
      </c>
      <c r="K163" s="83">
        <f>VLOOKUP($B163,Rentroll!$C$11:$X$29,4,FALSE)</f>
        <v>1385.09</v>
      </c>
      <c r="L163" s="81">
        <f>VLOOKUP($B163,Rentroll!$C$11:$X$29,17,FALSE)</f>
        <v>0</v>
      </c>
      <c r="M163" s="84">
        <f>VLOOKUP($B163,Rentroll!$C$11:$X$29,18,FALSE)</f>
        <v>3</v>
      </c>
      <c r="O163" s="74">
        <f t="shared" si="200"/>
        <v>14</v>
      </c>
      <c r="P163" s="75"/>
      <c r="Q163" s="75"/>
      <c r="R163" s="88">
        <f t="shared" ref="R163:AW163" si="207">(1+$J163)^(R116-1)*R22</f>
        <v>0</v>
      </c>
      <c r="S163" s="88">
        <f t="shared" si="207"/>
        <v>1</v>
      </c>
      <c r="T163" s="88">
        <f t="shared" si="207"/>
        <v>1</v>
      </c>
      <c r="U163" s="88">
        <f t="shared" si="207"/>
        <v>1</v>
      </c>
      <c r="V163" s="88">
        <f t="shared" si="207"/>
        <v>1</v>
      </c>
      <c r="W163" s="88">
        <f t="shared" si="207"/>
        <v>1</v>
      </c>
      <c r="X163" s="88">
        <f t="shared" si="207"/>
        <v>1</v>
      </c>
      <c r="Y163" s="88">
        <f t="shared" si="207"/>
        <v>0</v>
      </c>
      <c r="Z163" s="88">
        <f t="shared" si="207"/>
        <v>0</v>
      </c>
      <c r="AA163" s="88">
        <f t="shared" si="207"/>
        <v>0</v>
      </c>
      <c r="AB163" s="88">
        <f t="shared" si="207"/>
        <v>0</v>
      </c>
      <c r="AC163" s="88">
        <f t="shared" si="207"/>
        <v>0</v>
      </c>
      <c r="AD163" s="88">
        <f t="shared" si="207"/>
        <v>0</v>
      </c>
      <c r="AE163" s="88">
        <f t="shared" si="207"/>
        <v>0</v>
      </c>
      <c r="AF163" s="88">
        <f t="shared" si="207"/>
        <v>0</v>
      </c>
      <c r="AG163" s="88">
        <f t="shared" si="207"/>
        <v>0</v>
      </c>
      <c r="AH163" s="88">
        <f t="shared" si="207"/>
        <v>0</v>
      </c>
      <c r="AI163" s="88">
        <f t="shared" si="207"/>
        <v>0</v>
      </c>
      <c r="AJ163" s="88">
        <f t="shared" si="207"/>
        <v>0</v>
      </c>
      <c r="AK163" s="88">
        <f t="shared" si="207"/>
        <v>0</v>
      </c>
      <c r="AL163" s="88">
        <f t="shared" si="207"/>
        <v>0</v>
      </c>
      <c r="AM163" s="88">
        <f t="shared" si="207"/>
        <v>0</v>
      </c>
      <c r="AN163" s="88">
        <f t="shared" si="207"/>
        <v>0</v>
      </c>
      <c r="AO163" s="88">
        <f t="shared" si="207"/>
        <v>0</v>
      </c>
      <c r="AP163" s="88">
        <f t="shared" si="207"/>
        <v>0</v>
      </c>
      <c r="AQ163" s="88">
        <f t="shared" si="207"/>
        <v>0</v>
      </c>
      <c r="AR163" s="88">
        <f t="shared" si="207"/>
        <v>0</v>
      </c>
      <c r="AS163" s="88">
        <f t="shared" si="207"/>
        <v>0</v>
      </c>
      <c r="AT163" s="88">
        <f t="shared" si="207"/>
        <v>0</v>
      </c>
      <c r="AU163" s="88">
        <f t="shared" si="207"/>
        <v>0</v>
      </c>
      <c r="AV163" s="88">
        <f t="shared" si="207"/>
        <v>0</v>
      </c>
      <c r="AW163" s="88">
        <f t="shared" si="207"/>
        <v>0</v>
      </c>
      <c r="AX163" s="88">
        <f t="shared" ref="AX163:CC163" si="208">(1+$J163)^(AX116-1)*AX22</f>
        <v>0</v>
      </c>
      <c r="AY163" s="88">
        <f t="shared" si="208"/>
        <v>0</v>
      </c>
      <c r="AZ163" s="88">
        <f t="shared" si="208"/>
        <v>0</v>
      </c>
      <c r="BA163" s="88">
        <f t="shared" si="208"/>
        <v>0</v>
      </c>
      <c r="BB163" s="88">
        <f t="shared" si="208"/>
        <v>0</v>
      </c>
      <c r="BC163" s="88">
        <f t="shared" si="208"/>
        <v>0</v>
      </c>
      <c r="BD163" s="88">
        <f t="shared" si="208"/>
        <v>0</v>
      </c>
      <c r="BE163" s="88">
        <f t="shared" si="208"/>
        <v>0</v>
      </c>
      <c r="BF163" s="88">
        <f t="shared" si="208"/>
        <v>0</v>
      </c>
      <c r="BG163" s="88">
        <f t="shared" si="208"/>
        <v>0</v>
      </c>
      <c r="BH163" s="88">
        <f t="shared" si="208"/>
        <v>0</v>
      </c>
      <c r="BI163" s="88">
        <f t="shared" si="208"/>
        <v>0</v>
      </c>
      <c r="BJ163" s="88">
        <f t="shared" si="208"/>
        <v>0</v>
      </c>
      <c r="BK163" s="88">
        <f t="shared" si="208"/>
        <v>0</v>
      </c>
      <c r="BL163" s="88">
        <f t="shared" si="208"/>
        <v>0</v>
      </c>
      <c r="BM163" s="88">
        <f t="shared" si="208"/>
        <v>0</v>
      </c>
      <c r="BN163" s="88">
        <f t="shared" si="208"/>
        <v>0</v>
      </c>
      <c r="BO163" s="88">
        <f t="shared" si="208"/>
        <v>0</v>
      </c>
      <c r="BP163" s="88">
        <f t="shared" si="208"/>
        <v>0</v>
      </c>
      <c r="BQ163" s="88">
        <f t="shared" si="208"/>
        <v>0</v>
      </c>
      <c r="BR163" s="88">
        <f t="shared" si="208"/>
        <v>0</v>
      </c>
      <c r="BS163" s="88">
        <f t="shared" si="208"/>
        <v>0</v>
      </c>
      <c r="BT163" s="88">
        <f t="shared" si="208"/>
        <v>0</v>
      </c>
      <c r="BU163" s="88">
        <f t="shared" si="208"/>
        <v>0</v>
      </c>
      <c r="BV163" s="88">
        <f t="shared" si="208"/>
        <v>0</v>
      </c>
      <c r="BW163" s="88">
        <f t="shared" si="208"/>
        <v>0</v>
      </c>
      <c r="BX163" s="88">
        <f t="shared" si="208"/>
        <v>0</v>
      </c>
      <c r="BY163" s="88">
        <f t="shared" si="208"/>
        <v>0</v>
      </c>
      <c r="BZ163" s="88">
        <f t="shared" si="208"/>
        <v>0</v>
      </c>
      <c r="CA163" s="88">
        <f t="shared" si="208"/>
        <v>0</v>
      </c>
      <c r="CB163" s="88">
        <f t="shared" si="208"/>
        <v>0</v>
      </c>
      <c r="CC163" s="88">
        <f t="shared" si="208"/>
        <v>0</v>
      </c>
      <c r="CD163" s="88">
        <f t="shared" ref="CD163:DL163" si="209">(1+$J163)^(CD116-1)*CD22</f>
        <v>0</v>
      </c>
      <c r="CE163" s="88">
        <f t="shared" si="209"/>
        <v>0</v>
      </c>
      <c r="CF163" s="88">
        <f t="shared" si="209"/>
        <v>0</v>
      </c>
      <c r="CG163" s="88">
        <f t="shared" si="209"/>
        <v>0</v>
      </c>
      <c r="CH163" s="88">
        <f t="shared" si="209"/>
        <v>0</v>
      </c>
      <c r="CI163" s="88">
        <f t="shared" si="209"/>
        <v>0</v>
      </c>
      <c r="CJ163" s="88">
        <f t="shared" si="209"/>
        <v>0</v>
      </c>
      <c r="CK163" s="88">
        <f t="shared" si="209"/>
        <v>0</v>
      </c>
      <c r="CL163" s="88">
        <f t="shared" si="209"/>
        <v>0</v>
      </c>
      <c r="CM163" s="88">
        <f t="shared" si="209"/>
        <v>0</v>
      </c>
      <c r="CN163" s="88">
        <f t="shared" si="209"/>
        <v>0</v>
      </c>
      <c r="CO163" s="88">
        <f t="shared" si="209"/>
        <v>0</v>
      </c>
      <c r="CP163" s="88">
        <f t="shared" si="209"/>
        <v>0</v>
      </c>
      <c r="CQ163" s="88">
        <f t="shared" si="209"/>
        <v>0</v>
      </c>
      <c r="CR163" s="88">
        <f t="shared" si="209"/>
        <v>0</v>
      </c>
      <c r="CS163" s="88">
        <f t="shared" si="209"/>
        <v>0</v>
      </c>
      <c r="CT163" s="88">
        <f t="shared" si="209"/>
        <v>0</v>
      </c>
      <c r="CU163" s="88">
        <f t="shared" si="209"/>
        <v>0</v>
      </c>
      <c r="CV163" s="88">
        <f t="shared" si="209"/>
        <v>0</v>
      </c>
      <c r="CW163" s="88">
        <f t="shared" si="209"/>
        <v>0</v>
      </c>
      <c r="CX163" s="88">
        <f t="shared" si="209"/>
        <v>0</v>
      </c>
      <c r="CY163" s="88">
        <f t="shared" si="209"/>
        <v>0</v>
      </c>
      <c r="CZ163" s="88">
        <f t="shared" si="209"/>
        <v>0</v>
      </c>
      <c r="DA163" s="88">
        <f t="shared" si="209"/>
        <v>0</v>
      </c>
      <c r="DB163" s="88">
        <f t="shared" si="209"/>
        <v>0</v>
      </c>
      <c r="DC163" s="88">
        <f t="shared" si="209"/>
        <v>0</v>
      </c>
      <c r="DD163" s="88">
        <f t="shared" si="209"/>
        <v>0</v>
      </c>
      <c r="DE163" s="88">
        <f t="shared" si="209"/>
        <v>0</v>
      </c>
      <c r="DF163" s="88">
        <f t="shared" si="209"/>
        <v>0</v>
      </c>
      <c r="DG163" s="88">
        <f t="shared" si="209"/>
        <v>0</v>
      </c>
      <c r="DH163" s="88">
        <f t="shared" si="209"/>
        <v>0</v>
      </c>
      <c r="DI163" s="88">
        <f t="shared" si="209"/>
        <v>0</v>
      </c>
      <c r="DJ163" s="88">
        <f t="shared" si="209"/>
        <v>0</v>
      </c>
      <c r="DK163" s="88">
        <f t="shared" si="209"/>
        <v>0</v>
      </c>
      <c r="DL163" s="88">
        <f t="shared" si="209"/>
        <v>0</v>
      </c>
    </row>
    <row r="164" spans="2:116" ht="17">
      <c r="B164" s="27">
        <f>Rentroll!$C$15</f>
        <v>13</v>
      </c>
      <c r="C164" s="69" t="str">
        <f>VLOOKUP($B164,Rentroll!$C$11:$X$29,3,FALSE)</f>
        <v>모빌리티 테크놀로지</v>
      </c>
      <c r="D164" s="80">
        <f>VLOOKUP($B164,Rentroll!$C$11:$X$29,9,FALSE)</f>
        <v>44043</v>
      </c>
      <c r="E164" s="80">
        <f>VLOOKUP($B164,Rentroll!$C$11:$X$29,10,FALSE)</f>
        <v>45868</v>
      </c>
      <c r="F164" s="85">
        <f>VLOOKUP($B164,Rentroll!$C$11:$X$29,11,FALSE)</f>
        <v>60</v>
      </c>
      <c r="G164" s="86">
        <f>VLOOKUP($B164,Rentroll!$C$11:$X$29,13,FALSE)</f>
        <v>90041</v>
      </c>
      <c r="H164" s="69">
        <f>VLOOKUP($B164,Rentroll!$C$11:$X$29,14,FALSE)</f>
        <v>67530.75</v>
      </c>
      <c r="I164" s="69">
        <f>VLOOKUP($B164,Rentroll!$C$11:$X$29,15,FALSE)</f>
        <v>45020</v>
      </c>
      <c r="J164" s="82">
        <f>VLOOKUP($B164,Rentroll!$C$11:$X$29,19,FALSE)</f>
        <v>0.03</v>
      </c>
      <c r="K164" s="83">
        <f>VLOOKUP($B164,Rentroll!$C$11:$X$29,4,FALSE)</f>
        <v>1385.09</v>
      </c>
      <c r="L164" s="81">
        <f>VLOOKUP($B164,Rentroll!$C$11:$X$29,17,FALSE)</f>
        <v>0</v>
      </c>
      <c r="M164" s="84">
        <f>VLOOKUP($B164,Rentroll!$C$11:$X$29,18,FALSE)</f>
        <v>3</v>
      </c>
      <c r="O164" s="74">
        <f t="shared" si="200"/>
        <v>13</v>
      </c>
      <c r="P164" s="75"/>
      <c r="Q164" s="75"/>
      <c r="R164" s="88">
        <f t="shared" ref="R164:AW164" si="210">(1+$J164)^(R117-1)*R23</f>
        <v>0</v>
      </c>
      <c r="S164" s="88">
        <f t="shared" si="210"/>
        <v>1</v>
      </c>
      <c r="T164" s="88">
        <f t="shared" si="210"/>
        <v>1</v>
      </c>
      <c r="U164" s="88">
        <f t="shared" si="210"/>
        <v>1</v>
      </c>
      <c r="V164" s="88">
        <f t="shared" si="210"/>
        <v>1</v>
      </c>
      <c r="W164" s="88">
        <f t="shared" si="210"/>
        <v>1</v>
      </c>
      <c r="X164" s="88">
        <f t="shared" si="210"/>
        <v>1</v>
      </c>
      <c r="Y164" s="88">
        <f t="shared" si="210"/>
        <v>0</v>
      </c>
      <c r="Z164" s="88">
        <f t="shared" si="210"/>
        <v>0</v>
      </c>
      <c r="AA164" s="88">
        <f t="shared" si="210"/>
        <v>0</v>
      </c>
      <c r="AB164" s="88">
        <f t="shared" si="210"/>
        <v>0</v>
      </c>
      <c r="AC164" s="88">
        <f t="shared" si="210"/>
        <v>0</v>
      </c>
      <c r="AD164" s="88">
        <f t="shared" si="210"/>
        <v>0</v>
      </c>
      <c r="AE164" s="88">
        <f t="shared" si="210"/>
        <v>0</v>
      </c>
      <c r="AF164" s="88">
        <f t="shared" si="210"/>
        <v>0</v>
      </c>
      <c r="AG164" s="88">
        <f t="shared" si="210"/>
        <v>0</v>
      </c>
      <c r="AH164" s="88">
        <f t="shared" si="210"/>
        <v>0</v>
      </c>
      <c r="AI164" s="88">
        <f t="shared" si="210"/>
        <v>0</v>
      </c>
      <c r="AJ164" s="88">
        <f t="shared" si="210"/>
        <v>0</v>
      </c>
      <c r="AK164" s="88">
        <f t="shared" si="210"/>
        <v>0</v>
      </c>
      <c r="AL164" s="88">
        <f t="shared" si="210"/>
        <v>0</v>
      </c>
      <c r="AM164" s="88">
        <f t="shared" si="210"/>
        <v>0</v>
      </c>
      <c r="AN164" s="88">
        <f t="shared" si="210"/>
        <v>0</v>
      </c>
      <c r="AO164" s="88">
        <f t="shared" si="210"/>
        <v>0</v>
      </c>
      <c r="AP164" s="88">
        <f t="shared" si="210"/>
        <v>0</v>
      </c>
      <c r="AQ164" s="88">
        <f t="shared" si="210"/>
        <v>0</v>
      </c>
      <c r="AR164" s="88">
        <f t="shared" si="210"/>
        <v>0</v>
      </c>
      <c r="AS164" s="88">
        <f t="shared" si="210"/>
        <v>0</v>
      </c>
      <c r="AT164" s="88">
        <f t="shared" si="210"/>
        <v>0</v>
      </c>
      <c r="AU164" s="88">
        <f t="shared" si="210"/>
        <v>0</v>
      </c>
      <c r="AV164" s="88">
        <f t="shared" si="210"/>
        <v>0</v>
      </c>
      <c r="AW164" s="88">
        <f t="shared" si="210"/>
        <v>0</v>
      </c>
      <c r="AX164" s="88">
        <f t="shared" ref="AX164:CC164" si="211">(1+$J164)^(AX117-1)*AX23</f>
        <v>0</v>
      </c>
      <c r="AY164" s="88">
        <f t="shared" si="211"/>
        <v>0</v>
      </c>
      <c r="AZ164" s="88">
        <f t="shared" si="211"/>
        <v>0</v>
      </c>
      <c r="BA164" s="88">
        <f t="shared" si="211"/>
        <v>0</v>
      </c>
      <c r="BB164" s="88">
        <f t="shared" si="211"/>
        <v>0</v>
      </c>
      <c r="BC164" s="88">
        <f t="shared" si="211"/>
        <v>0</v>
      </c>
      <c r="BD164" s="88">
        <f t="shared" si="211"/>
        <v>0</v>
      </c>
      <c r="BE164" s="88">
        <f t="shared" si="211"/>
        <v>0</v>
      </c>
      <c r="BF164" s="88">
        <f t="shared" si="211"/>
        <v>0</v>
      </c>
      <c r="BG164" s="88">
        <f t="shared" si="211"/>
        <v>0</v>
      </c>
      <c r="BH164" s="88">
        <f t="shared" si="211"/>
        <v>0</v>
      </c>
      <c r="BI164" s="88">
        <f t="shared" si="211"/>
        <v>0</v>
      </c>
      <c r="BJ164" s="88">
        <f t="shared" si="211"/>
        <v>0</v>
      </c>
      <c r="BK164" s="88">
        <f t="shared" si="211"/>
        <v>0</v>
      </c>
      <c r="BL164" s="88">
        <f t="shared" si="211"/>
        <v>0</v>
      </c>
      <c r="BM164" s="88">
        <f t="shared" si="211"/>
        <v>0</v>
      </c>
      <c r="BN164" s="88">
        <f t="shared" si="211"/>
        <v>0</v>
      </c>
      <c r="BO164" s="88">
        <f t="shared" si="211"/>
        <v>0</v>
      </c>
      <c r="BP164" s="88">
        <f t="shared" si="211"/>
        <v>0</v>
      </c>
      <c r="BQ164" s="88">
        <f t="shared" si="211"/>
        <v>0</v>
      </c>
      <c r="BR164" s="88">
        <f t="shared" si="211"/>
        <v>0</v>
      </c>
      <c r="BS164" s="88">
        <f t="shared" si="211"/>
        <v>0</v>
      </c>
      <c r="BT164" s="88">
        <f t="shared" si="211"/>
        <v>0</v>
      </c>
      <c r="BU164" s="88">
        <f t="shared" si="211"/>
        <v>0</v>
      </c>
      <c r="BV164" s="88">
        <f t="shared" si="211"/>
        <v>0</v>
      </c>
      <c r="BW164" s="88">
        <f t="shared" si="211"/>
        <v>0</v>
      </c>
      <c r="BX164" s="88">
        <f t="shared" si="211"/>
        <v>0</v>
      </c>
      <c r="BY164" s="88">
        <f t="shared" si="211"/>
        <v>0</v>
      </c>
      <c r="BZ164" s="88">
        <f t="shared" si="211"/>
        <v>0</v>
      </c>
      <c r="CA164" s="88">
        <f t="shared" si="211"/>
        <v>0</v>
      </c>
      <c r="CB164" s="88">
        <f t="shared" si="211"/>
        <v>0</v>
      </c>
      <c r="CC164" s="88">
        <f t="shared" si="211"/>
        <v>0</v>
      </c>
      <c r="CD164" s="88">
        <f t="shared" ref="CD164:DL164" si="212">(1+$J164)^(CD117-1)*CD23</f>
        <v>0</v>
      </c>
      <c r="CE164" s="88">
        <f t="shared" si="212"/>
        <v>0</v>
      </c>
      <c r="CF164" s="88">
        <f t="shared" si="212"/>
        <v>0</v>
      </c>
      <c r="CG164" s="88">
        <f t="shared" si="212"/>
        <v>0</v>
      </c>
      <c r="CH164" s="88">
        <f t="shared" si="212"/>
        <v>0</v>
      </c>
      <c r="CI164" s="88">
        <f t="shared" si="212"/>
        <v>0</v>
      </c>
      <c r="CJ164" s="88">
        <f t="shared" si="212"/>
        <v>0</v>
      </c>
      <c r="CK164" s="88">
        <f t="shared" si="212"/>
        <v>0</v>
      </c>
      <c r="CL164" s="88">
        <f t="shared" si="212"/>
        <v>0</v>
      </c>
      <c r="CM164" s="88">
        <f t="shared" si="212"/>
        <v>0</v>
      </c>
      <c r="CN164" s="88">
        <f t="shared" si="212"/>
        <v>0</v>
      </c>
      <c r="CO164" s="88">
        <f t="shared" si="212"/>
        <v>0</v>
      </c>
      <c r="CP164" s="88">
        <f t="shared" si="212"/>
        <v>0</v>
      </c>
      <c r="CQ164" s="88">
        <f t="shared" si="212"/>
        <v>0</v>
      </c>
      <c r="CR164" s="88">
        <f t="shared" si="212"/>
        <v>0</v>
      </c>
      <c r="CS164" s="88">
        <f t="shared" si="212"/>
        <v>0</v>
      </c>
      <c r="CT164" s="88">
        <f t="shared" si="212"/>
        <v>0</v>
      </c>
      <c r="CU164" s="88">
        <f t="shared" si="212"/>
        <v>0</v>
      </c>
      <c r="CV164" s="88">
        <f t="shared" si="212"/>
        <v>0</v>
      </c>
      <c r="CW164" s="88">
        <f t="shared" si="212"/>
        <v>0</v>
      </c>
      <c r="CX164" s="88">
        <f t="shared" si="212"/>
        <v>0</v>
      </c>
      <c r="CY164" s="88">
        <f t="shared" si="212"/>
        <v>0</v>
      </c>
      <c r="CZ164" s="88">
        <f t="shared" si="212"/>
        <v>0</v>
      </c>
      <c r="DA164" s="88">
        <f t="shared" si="212"/>
        <v>0</v>
      </c>
      <c r="DB164" s="88">
        <f t="shared" si="212"/>
        <v>0</v>
      </c>
      <c r="DC164" s="88">
        <f t="shared" si="212"/>
        <v>0</v>
      </c>
      <c r="DD164" s="88">
        <f t="shared" si="212"/>
        <v>0</v>
      </c>
      <c r="DE164" s="88">
        <f t="shared" si="212"/>
        <v>0</v>
      </c>
      <c r="DF164" s="88">
        <f t="shared" si="212"/>
        <v>0</v>
      </c>
      <c r="DG164" s="88">
        <f t="shared" si="212"/>
        <v>0</v>
      </c>
      <c r="DH164" s="88">
        <f t="shared" si="212"/>
        <v>0</v>
      </c>
      <c r="DI164" s="88">
        <f t="shared" si="212"/>
        <v>0</v>
      </c>
      <c r="DJ164" s="88">
        <f t="shared" si="212"/>
        <v>0</v>
      </c>
      <c r="DK164" s="88">
        <f t="shared" si="212"/>
        <v>0</v>
      </c>
      <c r="DL164" s="88">
        <f t="shared" si="212"/>
        <v>0</v>
      </c>
    </row>
    <row r="165" spans="2:116">
      <c r="B165" s="27">
        <f>Rentroll!$C$16</f>
        <v>12</v>
      </c>
      <c r="C165" s="69" t="str">
        <f>VLOOKUP($B165,Rentroll!$C$11:$X$29,3,FALSE)</f>
        <v>모빌리티 테크놀로지</v>
      </c>
      <c r="D165" s="80">
        <f>VLOOKUP($B165,Rentroll!$C$11:$X$29,9,FALSE)</f>
        <v>44043</v>
      </c>
      <c r="E165" s="80">
        <f>VLOOKUP($B165,Rentroll!$C$11:$X$29,10,FALSE)</f>
        <v>45868</v>
      </c>
      <c r="F165" s="81">
        <f>VLOOKUP($B165,Rentroll!$C$11:$X$29,11,FALSE)</f>
        <v>60</v>
      </c>
      <c r="G165" s="69">
        <f>VLOOKUP($B165,Rentroll!$C$11:$X$29,13,FALSE)</f>
        <v>90041</v>
      </c>
      <c r="H165" s="69">
        <f>VLOOKUP($B165,Rentroll!$C$11:$X$29,14,FALSE)</f>
        <v>67530.75</v>
      </c>
      <c r="I165" s="69">
        <f>VLOOKUP($B165,Rentroll!$C$11:$X$29,15,FALSE)</f>
        <v>45020</v>
      </c>
      <c r="J165" s="82">
        <f>VLOOKUP($B165,Rentroll!$C$11:$X$29,19,FALSE)</f>
        <v>0.03</v>
      </c>
      <c r="K165" s="83">
        <f>VLOOKUP($B165,Rentroll!$C$11:$X$29,4,FALSE)</f>
        <v>1385.09</v>
      </c>
      <c r="L165" s="81">
        <f>VLOOKUP($B165,Rentroll!$C$11:$X$29,17,FALSE)</f>
        <v>0</v>
      </c>
      <c r="M165" s="84">
        <f>VLOOKUP($B165,Rentroll!$C$11:$X$29,18,FALSE)</f>
        <v>3</v>
      </c>
      <c r="O165" s="74">
        <f t="shared" si="200"/>
        <v>12</v>
      </c>
      <c r="P165" s="75"/>
      <c r="Q165" s="75"/>
      <c r="R165" s="88">
        <f t="shared" ref="R165:AW165" si="213">(1+$J165)^(R118-1)*R24</f>
        <v>0</v>
      </c>
      <c r="S165" s="88">
        <f t="shared" si="213"/>
        <v>1</v>
      </c>
      <c r="T165" s="88">
        <f t="shared" si="213"/>
        <v>1</v>
      </c>
      <c r="U165" s="88">
        <f t="shared" si="213"/>
        <v>1</v>
      </c>
      <c r="V165" s="88">
        <f t="shared" si="213"/>
        <v>1</v>
      </c>
      <c r="W165" s="88">
        <f t="shared" si="213"/>
        <v>1</v>
      </c>
      <c r="X165" s="88">
        <f t="shared" si="213"/>
        <v>1</v>
      </c>
      <c r="Y165" s="88">
        <f t="shared" si="213"/>
        <v>0</v>
      </c>
      <c r="Z165" s="88">
        <f t="shared" si="213"/>
        <v>0</v>
      </c>
      <c r="AA165" s="88">
        <f t="shared" si="213"/>
        <v>0</v>
      </c>
      <c r="AB165" s="88">
        <f t="shared" si="213"/>
        <v>0</v>
      </c>
      <c r="AC165" s="88">
        <f t="shared" si="213"/>
        <v>0</v>
      </c>
      <c r="AD165" s="88">
        <f t="shared" si="213"/>
        <v>0</v>
      </c>
      <c r="AE165" s="88">
        <f t="shared" si="213"/>
        <v>0</v>
      </c>
      <c r="AF165" s="88">
        <f t="shared" si="213"/>
        <v>0</v>
      </c>
      <c r="AG165" s="88">
        <f t="shared" si="213"/>
        <v>0</v>
      </c>
      <c r="AH165" s="88">
        <f t="shared" si="213"/>
        <v>0</v>
      </c>
      <c r="AI165" s="88">
        <f t="shared" si="213"/>
        <v>0</v>
      </c>
      <c r="AJ165" s="88">
        <f t="shared" si="213"/>
        <v>0</v>
      </c>
      <c r="AK165" s="88">
        <f t="shared" si="213"/>
        <v>0</v>
      </c>
      <c r="AL165" s="88">
        <f t="shared" si="213"/>
        <v>0</v>
      </c>
      <c r="AM165" s="88">
        <f t="shared" si="213"/>
        <v>0</v>
      </c>
      <c r="AN165" s="88">
        <f t="shared" si="213"/>
        <v>0</v>
      </c>
      <c r="AO165" s="88">
        <f t="shared" si="213"/>
        <v>0</v>
      </c>
      <c r="AP165" s="88">
        <f t="shared" si="213"/>
        <v>0</v>
      </c>
      <c r="AQ165" s="88">
        <f t="shared" si="213"/>
        <v>0</v>
      </c>
      <c r="AR165" s="88">
        <f t="shared" si="213"/>
        <v>0</v>
      </c>
      <c r="AS165" s="88">
        <f t="shared" si="213"/>
        <v>0</v>
      </c>
      <c r="AT165" s="88">
        <f t="shared" si="213"/>
        <v>0</v>
      </c>
      <c r="AU165" s="88">
        <f t="shared" si="213"/>
        <v>0</v>
      </c>
      <c r="AV165" s="88">
        <f t="shared" si="213"/>
        <v>0</v>
      </c>
      <c r="AW165" s="88">
        <f t="shared" si="213"/>
        <v>0</v>
      </c>
      <c r="AX165" s="88">
        <f t="shared" ref="AX165:CC165" si="214">(1+$J165)^(AX118-1)*AX24</f>
        <v>0</v>
      </c>
      <c r="AY165" s="88">
        <f t="shared" si="214"/>
        <v>0</v>
      </c>
      <c r="AZ165" s="88">
        <f t="shared" si="214"/>
        <v>0</v>
      </c>
      <c r="BA165" s="88">
        <f t="shared" si="214"/>
        <v>0</v>
      </c>
      <c r="BB165" s="88">
        <f t="shared" si="214"/>
        <v>0</v>
      </c>
      <c r="BC165" s="88">
        <f t="shared" si="214"/>
        <v>0</v>
      </c>
      <c r="BD165" s="88">
        <f t="shared" si="214"/>
        <v>0</v>
      </c>
      <c r="BE165" s="88">
        <f t="shared" si="214"/>
        <v>0</v>
      </c>
      <c r="BF165" s="88">
        <f t="shared" si="214"/>
        <v>0</v>
      </c>
      <c r="BG165" s="88">
        <f t="shared" si="214"/>
        <v>0</v>
      </c>
      <c r="BH165" s="88">
        <f t="shared" si="214"/>
        <v>0</v>
      </c>
      <c r="BI165" s="88">
        <f t="shared" si="214"/>
        <v>0</v>
      </c>
      <c r="BJ165" s="88">
        <f t="shared" si="214"/>
        <v>0</v>
      </c>
      <c r="BK165" s="88">
        <f t="shared" si="214"/>
        <v>0</v>
      </c>
      <c r="BL165" s="88">
        <f t="shared" si="214"/>
        <v>0</v>
      </c>
      <c r="BM165" s="88">
        <f t="shared" si="214"/>
        <v>0</v>
      </c>
      <c r="BN165" s="88">
        <f t="shared" si="214"/>
        <v>0</v>
      </c>
      <c r="BO165" s="88">
        <f t="shared" si="214"/>
        <v>0</v>
      </c>
      <c r="BP165" s="88">
        <f t="shared" si="214"/>
        <v>0</v>
      </c>
      <c r="BQ165" s="88">
        <f t="shared" si="214"/>
        <v>0</v>
      </c>
      <c r="BR165" s="88">
        <f t="shared" si="214"/>
        <v>0</v>
      </c>
      <c r="BS165" s="88">
        <f t="shared" si="214"/>
        <v>0</v>
      </c>
      <c r="BT165" s="88">
        <f t="shared" si="214"/>
        <v>0</v>
      </c>
      <c r="BU165" s="88">
        <f t="shared" si="214"/>
        <v>0</v>
      </c>
      <c r="BV165" s="88">
        <f t="shared" si="214"/>
        <v>0</v>
      </c>
      <c r="BW165" s="88">
        <f t="shared" si="214"/>
        <v>0</v>
      </c>
      <c r="BX165" s="88">
        <f t="shared" si="214"/>
        <v>0</v>
      </c>
      <c r="BY165" s="88">
        <f t="shared" si="214"/>
        <v>0</v>
      </c>
      <c r="BZ165" s="88">
        <f t="shared" si="214"/>
        <v>0</v>
      </c>
      <c r="CA165" s="88">
        <f t="shared" si="214"/>
        <v>0</v>
      </c>
      <c r="CB165" s="88">
        <f t="shared" si="214"/>
        <v>0</v>
      </c>
      <c r="CC165" s="88">
        <f t="shared" si="214"/>
        <v>0</v>
      </c>
      <c r="CD165" s="88">
        <f t="shared" ref="CD165:DL165" si="215">(1+$J165)^(CD118-1)*CD24</f>
        <v>0</v>
      </c>
      <c r="CE165" s="88">
        <f t="shared" si="215"/>
        <v>0</v>
      </c>
      <c r="CF165" s="88">
        <f t="shared" si="215"/>
        <v>0</v>
      </c>
      <c r="CG165" s="88">
        <f t="shared" si="215"/>
        <v>0</v>
      </c>
      <c r="CH165" s="88">
        <f t="shared" si="215"/>
        <v>0</v>
      </c>
      <c r="CI165" s="88">
        <f t="shared" si="215"/>
        <v>0</v>
      </c>
      <c r="CJ165" s="88">
        <f t="shared" si="215"/>
        <v>0</v>
      </c>
      <c r="CK165" s="88">
        <f t="shared" si="215"/>
        <v>0</v>
      </c>
      <c r="CL165" s="88">
        <f t="shared" si="215"/>
        <v>0</v>
      </c>
      <c r="CM165" s="88">
        <f t="shared" si="215"/>
        <v>0</v>
      </c>
      <c r="CN165" s="88">
        <f t="shared" si="215"/>
        <v>0</v>
      </c>
      <c r="CO165" s="88">
        <f t="shared" si="215"/>
        <v>0</v>
      </c>
      <c r="CP165" s="88">
        <f t="shared" si="215"/>
        <v>0</v>
      </c>
      <c r="CQ165" s="88">
        <f t="shared" si="215"/>
        <v>0</v>
      </c>
      <c r="CR165" s="88">
        <f t="shared" si="215"/>
        <v>0</v>
      </c>
      <c r="CS165" s="88">
        <f t="shared" si="215"/>
        <v>0</v>
      </c>
      <c r="CT165" s="88">
        <f t="shared" si="215"/>
        <v>0</v>
      </c>
      <c r="CU165" s="88">
        <f t="shared" si="215"/>
        <v>0</v>
      </c>
      <c r="CV165" s="88">
        <f t="shared" si="215"/>
        <v>0</v>
      </c>
      <c r="CW165" s="88">
        <f t="shared" si="215"/>
        <v>0</v>
      </c>
      <c r="CX165" s="88">
        <f t="shared" si="215"/>
        <v>0</v>
      </c>
      <c r="CY165" s="88">
        <f t="shared" si="215"/>
        <v>0</v>
      </c>
      <c r="CZ165" s="88">
        <f t="shared" si="215"/>
        <v>0</v>
      </c>
      <c r="DA165" s="88">
        <f t="shared" si="215"/>
        <v>0</v>
      </c>
      <c r="DB165" s="88">
        <f t="shared" si="215"/>
        <v>0</v>
      </c>
      <c r="DC165" s="88">
        <f t="shared" si="215"/>
        <v>0</v>
      </c>
      <c r="DD165" s="88">
        <f t="shared" si="215"/>
        <v>0</v>
      </c>
      <c r="DE165" s="88">
        <f t="shared" si="215"/>
        <v>0</v>
      </c>
      <c r="DF165" s="88">
        <f t="shared" si="215"/>
        <v>0</v>
      </c>
      <c r="DG165" s="88">
        <f t="shared" si="215"/>
        <v>0</v>
      </c>
      <c r="DH165" s="88">
        <f t="shared" si="215"/>
        <v>0</v>
      </c>
      <c r="DI165" s="88">
        <f t="shared" si="215"/>
        <v>0</v>
      </c>
      <c r="DJ165" s="88">
        <f t="shared" si="215"/>
        <v>0</v>
      </c>
      <c r="DK165" s="88">
        <f t="shared" si="215"/>
        <v>0</v>
      </c>
      <c r="DL165" s="88">
        <f t="shared" si="215"/>
        <v>0</v>
      </c>
    </row>
    <row r="166" spans="2:116">
      <c r="B166" s="27">
        <f>Rentroll!$C$17</f>
        <v>11</v>
      </c>
      <c r="C166" s="69" t="str">
        <f>VLOOKUP($B166,Rentroll!$C$11:$X$29,3,FALSE)</f>
        <v>노벰버 건설</v>
      </c>
      <c r="D166" s="80">
        <f>VLOOKUP($B166,Rentroll!$C$11:$X$29,9,FALSE)</f>
        <v>45077</v>
      </c>
      <c r="E166" s="80">
        <f>VLOOKUP($B166,Rentroll!$C$11:$X$29,10,FALSE)</f>
        <v>46903</v>
      </c>
      <c r="F166" s="81">
        <f>VLOOKUP($B166,Rentroll!$C$11:$X$29,11,FALSE)</f>
        <v>60</v>
      </c>
      <c r="G166" s="69">
        <f>VLOOKUP($B166,Rentroll!$C$11:$X$29,13,FALSE)</f>
        <v>103000</v>
      </c>
      <c r="H166" s="69">
        <f>VLOOKUP($B166,Rentroll!$C$11:$X$29,14,FALSE)</f>
        <v>85833.333333333328</v>
      </c>
      <c r="I166" s="69">
        <f>VLOOKUP($B166,Rentroll!$C$11:$X$29,15,FALSE)</f>
        <v>46350</v>
      </c>
      <c r="J166" s="82">
        <f>VLOOKUP($B166,Rentroll!$C$11:$X$29,19,FALSE)</f>
        <v>0.03</v>
      </c>
      <c r="K166" s="83">
        <f>VLOOKUP($B166,Rentroll!$C$11:$X$29,4,FALSE)</f>
        <v>1385.09</v>
      </c>
      <c r="L166" s="81">
        <f>VLOOKUP($B166,Rentroll!$C$11:$X$29,17,FALSE)</f>
        <v>0</v>
      </c>
      <c r="M166" s="84">
        <f>VLOOKUP($B166,Rentroll!$C$11:$X$29,18,FALSE)</f>
        <v>2</v>
      </c>
      <c r="O166" s="74">
        <f t="shared" si="200"/>
        <v>11</v>
      </c>
      <c r="P166" s="75"/>
      <c r="Q166" s="75"/>
      <c r="R166" s="88">
        <f t="shared" ref="R166:AW166" si="216">(1+$J166)^(R119-1)*R25</f>
        <v>0</v>
      </c>
      <c r="S166" s="88">
        <f t="shared" si="216"/>
        <v>1</v>
      </c>
      <c r="T166" s="88">
        <f t="shared" si="216"/>
        <v>1</v>
      </c>
      <c r="U166" s="88">
        <f t="shared" si="216"/>
        <v>1</v>
      </c>
      <c r="V166" s="88">
        <f t="shared" si="216"/>
        <v>1</v>
      </c>
      <c r="W166" s="88">
        <f t="shared" si="216"/>
        <v>1.03</v>
      </c>
      <c r="X166" s="88">
        <f t="shared" si="216"/>
        <v>1.03</v>
      </c>
      <c r="Y166" s="88">
        <f t="shared" si="216"/>
        <v>1.03</v>
      </c>
      <c r="Z166" s="88">
        <f t="shared" si="216"/>
        <v>1.03</v>
      </c>
      <c r="AA166" s="88">
        <f t="shared" si="216"/>
        <v>1.03</v>
      </c>
      <c r="AB166" s="88">
        <f t="shared" si="216"/>
        <v>1.03</v>
      </c>
      <c r="AC166" s="88">
        <f t="shared" si="216"/>
        <v>1.03</v>
      </c>
      <c r="AD166" s="88">
        <f t="shared" si="216"/>
        <v>1.03</v>
      </c>
      <c r="AE166" s="88">
        <f t="shared" si="216"/>
        <v>1.03</v>
      </c>
      <c r="AF166" s="88">
        <f t="shared" si="216"/>
        <v>1.03</v>
      </c>
      <c r="AG166" s="88">
        <f t="shared" si="216"/>
        <v>1.03</v>
      </c>
      <c r="AH166" s="88">
        <f t="shared" si="216"/>
        <v>1.03</v>
      </c>
      <c r="AI166" s="88">
        <f t="shared" si="216"/>
        <v>1.0609</v>
      </c>
      <c r="AJ166" s="88">
        <f t="shared" si="216"/>
        <v>1.0609</v>
      </c>
      <c r="AK166" s="88">
        <f t="shared" si="216"/>
        <v>1.0609</v>
      </c>
      <c r="AL166" s="88">
        <f t="shared" si="216"/>
        <v>1.0609</v>
      </c>
      <c r="AM166" s="88">
        <f t="shared" si="216"/>
        <v>1.0609</v>
      </c>
      <c r="AN166" s="88">
        <f t="shared" si="216"/>
        <v>1.0609</v>
      </c>
      <c r="AO166" s="88">
        <f t="shared" si="216"/>
        <v>1.0609</v>
      </c>
      <c r="AP166" s="88">
        <f t="shared" si="216"/>
        <v>1.0609</v>
      </c>
      <c r="AQ166" s="88">
        <f t="shared" si="216"/>
        <v>1.0609</v>
      </c>
      <c r="AR166" s="88">
        <f t="shared" si="216"/>
        <v>1.0609</v>
      </c>
      <c r="AS166" s="88">
        <f t="shared" si="216"/>
        <v>1.0609</v>
      </c>
      <c r="AT166" s="88">
        <f t="shared" si="216"/>
        <v>1.0609</v>
      </c>
      <c r="AU166" s="88">
        <f t="shared" si="216"/>
        <v>1.092727</v>
      </c>
      <c r="AV166" s="88">
        <f t="shared" si="216"/>
        <v>1.092727</v>
      </c>
      <c r="AW166" s="88">
        <f t="shared" si="216"/>
        <v>1.092727</v>
      </c>
      <c r="AX166" s="88">
        <f t="shared" ref="AX166:CC166" si="217">(1+$J166)^(AX119-1)*AX25</f>
        <v>1.092727</v>
      </c>
      <c r="AY166" s="88">
        <f t="shared" si="217"/>
        <v>1.092727</v>
      </c>
      <c r="AZ166" s="88">
        <f t="shared" si="217"/>
        <v>1.092727</v>
      </c>
      <c r="BA166" s="88">
        <f t="shared" si="217"/>
        <v>1.092727</v>
      </c>
      <c r="BB166" s="88">
        <f t="shared" si="217"/>
        <v>1.092727</v>
      </c>
      <c r="BC166" s="88">
        <f t="shared" si="217"/>
        <v>1.092727</v>
      </c>
      <c r="BD166" s="88">
        <f t="shared" si="217"/>
        <v>1.092727</v>
      </c>
      <c r="BE166" s="88">
        <f t="shared" si="217"/>
        <v>1.092727</v>
      </c>
      <c r="BF166" s="88">
        <f t="shared" si="217"/>
        <v>1.092727</v>
      </c>
      <c r="BG166" s="88">
        <f t="shared" si="217"/>
        <v>0</v>
      </c>
      <c r="BH166" s="88">
        <f t="shared" si="217"/>
        <v>0</v>
      </c>
      <c r="BI166" s="88">
        <f t="shared" si="217"/>
        <v>0</v>
      </c>
      <c r="BJ166" s="88">
        <f t="shared" si="217"/>
        <v>0</v>
      </c>
      <c r="BK166" s="88">
        <f t="shared" si="217"/>
        <v>0</v>
      </c>
      <c r="BL166" s="88">
        <f t="shared" si="217"/>
        <v>0</v>
      </c>
      <c r="BM166" s="88">
        <f t="shared" si="217"/>
        <v>0</v>
      </c>
      <c r="BN166" s="88">
        <f t="shared" si="217"/>
        <v>0</v>
      </c>
      <c r="BO166" s="88">
        <f t="shared" si="217"/>
        <v>0</v>
      </c>
      <c r="BP166" s="88">
        <f t="shared" si="217"/>
        <v>0</v>
      </c>
      <c r="BQ166" s="88">
        <f t="shared" si="217"/>
        <v>0</v>
      </c>
      <c r="BR166" s="88">
        <f t="shared" si="217"/>
        <v>0</v>
      </c>
      <c r="BS166" s="88">
        <f t="shared" si="217"/>
        <v>0</v>
      </c>
      <c r="BT166" s="88">
        <f t="shared" si="217"/>
        <v>0</v>
      </c>
      <c r="BU166" s="88">
        <f t="shared" si="217"/>
        <v>0</v>
      </c>
      <c r="BV166" s="88">
        <f t="shared" si="217"/>
        <v>0</v>
      </c>
      <c r="BW166" s="88">
        <f t="shared" si="217"/>
        <v>0</v>
      </c>
      <c r="BX166" s="88">
        <f t="shared" si="217"/>
        <v>0</v>
      </c>
      <c r="BY166" s="88">
        <f t="shared" si="217"/>
        <v>0</v>
      </c>
      <c r="BZ166" s="88">
        <f t="shared" si="217"/>
        <v>0</v>
      </c>
      <c r="CA166" s="88">
        <f t="shared" si="217"/>
        <v>0</v>
      </c>
      <c r="CB166" s="88">
        <f t="shared" si="217"/>
        <v>0</v>
      </c>
      <c r="CC166" s="88">
        <f t="shared" si="217"/>
        <v>0</v>
      </c>
      <c r="CD166" s="88">
        <f t="shared" ref="CD166:DL166" si="218">(1+$J166)^(CD119-1)*CD25</f>
        <v>0</v>
      </c>
      <c r="CE166" s="88">
        <f t="shared" si="218"/>
        <v>0</v>
      </c>
      <c r="CF166" s="88">
        <f t="shared" si="218"/>
        <v>0</v>
      </c>
      <c r="CG166" s="88">
        <f t="shared" si="218"/>
        <v>0</v>
      </c>
      <c r="CH166" s="88">
        <f t="shared" si="218"/>
        <v>0</v>
      </c>
      <c r="CI166" s="88">
        <f t="shared" si="218"/>
        <v>0</v>
      </c>
      <c r="CJ166" s="88">
        <f t="shared" si="218"/>
        <v>0</v>
      </c>
      <c r="CK166" s="88">
        <f t="shared" si="218"/>
        <v>0</v>
      </c>
      <c r="CL166" s="88">
        <f t="shared" si="218"/>
        <v>0</v>
      </c>
      <c r="CM166" s="88">
        <f t="shared" si="218"/>
        <v>0</v>
      </c>
      <c r="CN166" s="88">
        <f t="shared" si="218"/>
        <v>0</v>
      </c>
      <c r="CO166" s="88">
        <f t="shared" si="218"/>
        <v>0</v>
      </c>
      <c r="CP166" s="88">
        <f t="shared" si="218"/>
        <v>0</v>
      </c>
      <c r="CQ166" s="88">
        <f t="shared" si="218"/>
        <v>0</v>
      </c>
      <c r="CR166" s="88">
        <f t="shared" si="218"/>
        <v>0</v>
      </c>
      <c r="CS166" s="88">
        <f t="shared" si="218"/>
        <v>0</v>
      </c>
      <c r="CT166" s="88">
        <f t="shared" si="218"/>
        <v>0</v>
      </c>
      <c r="CU166" s="88">
        <f t="shared" si="218"/>
        <v>0</v>
      </c>
      <c r="CV166" s="88">
        <f t="shared" si="218"/>
        <v>0</v>
      </c>
      <c r="CW166" s="88">
        <f t="shared" si="218"/>
        <v>0</v>
      </c>
      <c r="CX166" s="88">
        <f t="shared" si="218"/>
        <v>0</v>
      </c>
      <c r="CY166" s="88">
        <f t="shared" si="218"/>
        <v>0</v>
      </c>
      <c r="CZ166" s="88">
        <f t="shared" si="218"/>
        <v>0</v>
      </c>
      <c r="DA166" s="88">
        <f t="shared" si="218"/>
        <v>0</v>
      </c>
      <c r="DB166" s="88">
        <f t="shared" si="218"/>
        <v>0</v>
      </c>
      <c r="DC166" s="88">
        <f t="shared" si="218"/>
        <v>0</v>
      </c>
      <c r="DD166" s="88">
        <f t="shared" si="218"/>
        <v>0</v>
      </c>
      <c r="DE166" s="88">
        <f t="shared" si="218"/>
        <v>0</v>
      </c>
      <c r="DF166" s="88">
        <f t="shared" si="218"/>
        <v>0</v>
      </c>
      <c r="DG166" s="88">
        <f t="shared" si="218"/>
        <v>0</v>
      </c>
      <c r="DH166" s="88">
        <f t="shared" si="218"/>
        <v>0</v>
      </c>
      <c r="DI166" s="88">
        <f t="shared" si="218"/>
        <v>0</v>
      </c>
      <c r="DJ166" s="88">
        <f t="shared" si="218"/>
        <v>0</v>
      </c>
      <c r="DK166" s="88">
        <f t="shared" si="218"/>
        <v>0</v>
      </c>
      <c r="DL166" s="88">
        <f t="shared" si="218"/>
        <v>0</v>
      </c>
    </row>
    <row r="167" spans="2:116">
      <c r="B167" s="27">
        <f>Rentroll!$C$18</f>
        <v>10</v>
      </c>
      <c r="C167" s="69" t="str">
        <f>VLOOKUP($B167,Rentroll!$C$11:$X$29,3,FALSE)</f>
        <v>노벰버 건설</v>
      </c>
      <c r="D167" s="80">
        <f>VLOOKUP($B167,Rentroll!$C$11:$X$29,9,FALSE)</f>
        <v>45077</v>
      </c>
      <c r="E167" s="80">
        <f>VLOOKUP($B167,Rentroll!$C$11:$X$29,10,FALSE)</f>
        <v>46903</v>
      </c>
      <c r="F167" s="81">
        <f>VLOOKUP($B167,Rentroll!$C$11:$X$29,11,FALSE)</f>
        <v>60</v>
      </c>
      <c r="G167" s="69">
        <f>VLOOKUP($B167,Rentroll!$C$11:$X$29,13,FALSE)</f>
        <v>103000</v>
      </c>
      <c r="H167" s="69">
        <f>VLOOKUP($B167,Rentroll!$C$11:$X$29,14,FALSE)</f>
        <v>85833.333333333328</v>
      </c>
      <c r="I167" s="69">
        <f>VLOOKUP($B167,Rentroll!$C$11:$X$29,15,FALSE)</f>
        <v>46350</v>
      </c>
      <c r="J167" s="82">
        <f>VLOOKUP($B167,Rentroll!$C$11:$X$29,19,FALSE)</f>
        <v>0.03</v>
      </c>
      <c r="K167" s="83">
        <f>VLOOKUP($B167,Rentroll!$C$11:$X$29,4,FALSE)</f>
        <v>1385.09</v>
      </c>
      <c r="L167" s="81">
        <f>VLOOKUP($B167,Rentroll!$C$11:$X$29,17,FALSE)</f>
        <v>0</v>
      </c>
      <c r="M167" s="84">
        <f>VLOOKUP($B167,Rentroll!$C$11:$X$29,18,FALSE)</f>
        <v>2</v>
      </c>
      <c r="O167" s="74">
        <f t="shared" si="200"/>
        <v>10</v>
      </c>
      <c r="P167" s="75"/>
      <c r="Q167" s="75"/>
      <c r="R167" s="88">
        <f t="shared" ref="R167:AW167" si="219">(1+$J167)^(R120-1)*R26</f>
        <v>0</v>
      </c>
      <c r="S167" s="88">
        <f t="shared" si="219"/>
        <v>1</v>
      </c>
      <c r="T167" s="88">
        <f t="shared" si="219"/>
        <v>1</v>
      </c>
      <c r="U167" s="88">
        <f t="shared" si="219"/>
        <v>1</v>
      </c>
      <c r="V167" s="88">
        <f t="shared" si="219"/>
        <v>1</v>
      </c>
      <c r="W167" s="88">
        <f t="shared" si="219"/>
        <v>1.03</v>
      </c>
      <c r="X167" s="88">
        <f t="shared" si="219"/>
        <v>1.03</v>
      </c>
      <c r="Y167" s="88">
        <f t="shared" si="219"/>
        <v>1.03</v>
      </c>
      <c r="Z167" s="88">
        <f t="shared" si="219"/>
        <v>1.03</v>
      </c>
      <c r="AA167" s="88">
        <f t="shared" si="219"/>
        <v>1.03</v>
      </c>
      <c r="AB167" s="88">
        <f t="shared" si="219"/>
        <v>1.03</v>
      </c>
      <c r="AC167" s="88">
        <f t="shared" si="219"/>
        <v>1.03</v>
      </c>
      <c r="AD167" s="88">
        <f t="shared" si="219"/>
        <v>1.03</v>
      </c>
      <c r="AE167" s="88">
        <f t="shared" si="219"/>
        <v>1.03</v>
      </c>
      <c r="AF167" s="88">
        <f t="shared" si="219"/>
        <v>1.03</v>
      </c>
      <c r="AG167" s="88">
        <f t="shared" si="219"/>
        <v>1.03</v>
      </c>
      <c r="AH167" s="88">
        <f t="shared" si="219"/>
        <v>1.03</v>
      </c>
      <c r="AI167" s="88">
        <f t="shared" si="219"/>
        <v>1.0609</v>
      </c>
      <c r="AJ167" s="88">
        <f t="shared" si="219"/>
        <v>1.0609</v>
      </c>
      <c r="AK167" s="88">
        <f t="shared" si="219"/>
        <v>1.0609</v>
      </c>
      <c r="AL167" s="88">
        <f t="shared" si="219"/>
        <v>1.0609</v>
      </c>
      <c r="AM167" s="88">
        <f t="shared" si="219"/>
        <v>1.0609</v>
      </c>
      <c r="AN167" s="88">
        <f t="shared" si="219"/>
        <v>1.0609</v>
      </c>
      <c r="AO167" s="88">
        <f t="shared" si="219"/>
        <v>1.0609</v>
      </c>
      <c r="AP167" s="88">
        <f t="shared" si="219"/>
        <v>1.0609</v>
      </c>
      <c r="AQ167" s="88">
        <f t="shared" si="219"/>
        <v>1.0609</v>
      </c>
      <c r="AR167" s="88">
        <f t="shared" si="219"/>
        <v>1.0609</v>
      </c>
      <c r="AS167" s="88">
        <f t="shared" si="219"/>
        <v>1.0609</v>
      </c>
      <c r="AT167" s="88">
        <f t="shared" si="219"/>
        <v>1.0609</v>
      </c>
      <c r="AU167" s="88">
        <f t="shared" si="219"/>
        <v>1.092727</v>
      </c>
      <c r="AV167" s="88">
        <f t="shared" si="219"/>
        <v>1.092727</v>
      </c>
      <c r="AW167" s="88">
        <f t="shared" si="219"/>
        <v>1.092727</v>
      </c>
      <c r="AX167" s="88">
        <f t="shared" ref="AX167:CC167" si="220">(1+$J167)^(AX120-1)*AX26</f>
        <v>1.092727</v>
      </c>
      <c r="AY167" s="88">
        <f t="shared" si="220"/>
        <v>1.092727</v>
      </c>
      <c r="AZ167" s="88">
        <f t="shared" si="220"/>
        <v>1.092727</v>
      </c>
      <c r="BA167" s="88">
        <f t="shared" si="220"/>
        <v>1.092727</v>
      </c>
      <c r="BB167" s="88">
        <f t="shared" si="220"/>
        <v>1.092727</v>
      </c>
      <c r="BC167" s="88">
        <f t="shared" si="220"/>
        <v>1.092727</v>
      </c>
      <c r="BD167" s="88">
        <f t="shared" si="220"/>
        <v>1.092727</v>
      </c>
      <c r="BE167" s="88">
        <f t="shared" si="220"/>
        <v>1.092727</v>
      </c>
      <c r="BF167" s="88">
        <f t="shared" si="220"/>
        <v>1.092727</v>
      </c>
      <c r="BG167" s="88">
        <f t="shared" si="220"/>
        <v>0</v>
      </c>
      <c r="BH167" s="88">
        <f t="shared" si="220"/>
        <v>0</v>
      </c>
      <c r="BI167" s="88">
        <f t="shared" si="220"/>
        <v>0</v>
      </c>
      <c r="BJ167" s="88">
        <f t="shared" si="220"/>
        <v>0</v>
      </c>
      <c r="BK167" s="88">
        <f t="shared" si="220"/>
        <v>0</v>
      </c>
      <c r="BL167" s="88">
        <f t="shared" si="220"/>
        <v>0</v>
      </c>
      <c r="BM167" s="88">
        <f t="shared" si="220"/>
        <v>0</v>
      </c>
      <c r="BN167" s="88">
        <f t="shared" si="220"/>
        <v>0</v>
      </c>
      <c r="BO167" s="88">
        <f t="shared" si="220"/>
        <v>0</v>
      </c>
      <c r="BP167" s="88">
        <f t="shared" si="220"/>
        <v>0</v>
      </c>
      <c r="BQ167" s="88">
        <f t="shared" si="220"/>
        <v>0</v>
      </c>
      <c r="BR167" s="88">
        <f t="shared" si="220"/>
        <v>0</v>
      </c>
      <c r="BS167" s="88">
        <f t="shared" si="220"/>
        <v>0</v>
      </c>
      <c r="BT167" s="88">
        <f t="shared" si="220"/>
        <v>0</v>
      </c>
      <c r="BU167" s="88">
        <f t="shared" si="220"/>
        <v>0</v>
      </c>
      <c r="BV167" s="88">
        <f t="shared" si="220"/>
        <v>0</v>
      </c>
      <c r="BW167" s="88">
        <f t="shared" si="220"/>
        <v>0</v>
      </c>
      <c r="BX167" s="88">
        <f t="shared" si="220"/>
        <v>0</v>
      </c>
      <c r="BY167" s="88">
        <f t="shared" si="220"/>
        <v>0</v>
      </c>
      <c r="BZ167" s="88">
        <f t="shared" si="220"/>
        <v>0</v>
      </c>
      <c r="CA167" s="88">
        <f t="shared" si="220"/>
        <v>0</v>
      </c>
      <c r="CB167" s="88">
        <f t="shared" si="220"/>
        <v>0</v>
      </c>
      <c r="CC167" s="88">
        <f t="shared" si="220"/>
        <v>0</v>
      </c>
      <c r="CD167" s="88">
        <f t="shared" ref="CD167:DL167" si="221">(1+$J167)^(CD120-1)*CD26</f>
        <v>0</v>
      </c>
      <c r="CE167" s="88">
        <f t="shared" si="221"/>
        <v>0</v>
      </c>
      <c r="CF167" s="88">
        <f t="shared" si="221"/>
        <v>0</v>
      </c>
      <c r="CG167" s="88">
        <f t="shared" si="221"/>
        <v>0</v>
      </c>
      <c r="CH167" s="88">
        <f t="shared" si="221"/>
        <v>0</v>
      </c>
      <c r="CI167" s="88">
        <f t="shared" si="221"/>
        <v>0</v>
      </c>
      <c r="CJ167" s="88">
        <f t="shared" si="221"/>
        <v>0</v>
      </c>
      <c r="CK167" s="88">
        <f t="shared" si="221"/>
        <v>0</v>
      </c>
      <c r="CL167" s="88">
        <f t="shared" si="221"/>
        <v>0</v>
      </c>
      <c r="CM167" s="88">
        <f t="shared" si="221"/>
        <v>0</v>
      </c>
      <c r="CN167" s="88">
        <f t="shared" si="221"/>
        <v>0</v>
      </c>
      <c r="CO167" s="88">
        <f t="shared" si="221"/>
        <v>0</v>
      </c>
      <c r="CP167" s="88">
        <f t="shared" si="221"/>
        <v>0</v>
      </c>
      <c r="CQ167" s="88">
        <f t="shared" si="221"/>
        <v>0</v>
      </c>
      <c r="CR167" s="88">
        <f t="shared" si="221"/>
        <v>0</v>
      </c>
      <c r="CS167" s="88">
        <f t="shared" si="221"/>
        <v>0</v>
      </c>
      <c r="CT167" s="88">
        <f t="shared" si="221"/>
        <v>0</v>
      </c>
      <c r="CU167" s="88">
        <f t="shared" si="221"/>
        <v>0</v>
      </c>
      <c r="CV167" s="88">
        <f t="shared" si="221"/>
        <v>0</v>
      </c>
      <c r="CW167" s="88">
        <f t="shared" si="221"/>
        <v>0</v>
      </c>
      <c r="CX167" s="88">
        <f t="shared" si="221"/>
        <v>0</v>
      </c>
      <c r="CY167" s="88">
        <f t="shared" si="221"/>
        <v>0</v>
      </c>
      <c r="CZ167" s="88">
        <f t="shared" si="221"/>
        <v>0</v>
      </c>
      <c r="DA167" s="88">
        <f t="shared" si="221"/>
        <v>0</v>
      </c>
      <c r="DB167" s="88">
        <f t="shared" si="221"/>
        <v>0</v>
      </c>
      <c r="DC167" s="88">
        <f t="shared" si="221"/>
        <v>0</v>
      </c>
      <c r="DD167" s="88">
        <f t="shared" si="221"/>
        <v>0</v>
      </c>
      <c r="DE167" s="88">
        <f t="shared" si="221"/>
        <v>0</v>
      </c>
      <c r="DF167" s="88">
        <f t="shared" si="221"/>
        <v>0</v>
      </c>
      <c r="DG167" s="88">
        <f t="shared" si="221"/>
        <v>0</v>
      </c>
      <c r="DH167" s="88">
        <f t="shared" si="221"/>
        <v>0</v>
      </c>
      <c r="DI167" s="88">
        <f t="shared" si="221"/>
        <v>0</v>
      </c>
      <c r="DJ167" s="88">
        <f t="shared" si="221"/>
        <v>0</v>
      </c>
      <c r="DK167" s="88">
        <f t="shared" si="221"/>
        <v>0</v>
      </c>
      <c r="DL167" s="88">
        <f t="shared" si="221"/>
        <v>0</v>
      </c>
    </row>
    <row r="168" spans="2:116">
      <c r="B168" s="27">
        <f>Rentroll!$C$19</f>
        <v>9</v>
      </c>
      <c r="C168" s="69" t="str">
        <f>VLOOKUP($B168,Rentroll!$C$11:$X$29,3,FALSE)</f>
        <v>노벰버 건설</v>
      </c>
      <c r="D168" s="80">
        <f>VLOOKUP($B168,Rentroll!$C$11:$X$29,9,FALSE)</f>
        <v>45077</v>
      </c>
      <c r="E168" s="80">
        <f>VLOOKUP($B168,Rentroll!$C$11:$X$29,10,FALSE)</f>
        <v>46903</v>
      </c>
      <c r="F168" s="81">
        <f>VLOOKUP($B168,Rentroll!$C$11:$X$29,11,FALSE)</f>
        <v>60</v>
      </c>
      <c r="G168" s="69">
        <f>VLOOKUP($B168,Rentroll!$C$11:$X$29,13,FALSE)</f>
        <v>103000</v>
      </c>
      <c r="H168" s="69">
        <f>VLOOKUP($B168,Rentroll!$C$11:$X$29,14,FALSE)</f>
        <v>85833.333333333328</v>
      </c>
      <c r="I168" s="69">
        <f>VLOOKUP($B168,Rentroll!$C$11:$X$29,15,FALSE)</f>
        <v>46350</v>
      </c>
      <c r="J168" s="82">
        <f>VLOOKUP($B168,Rentroll!$C$11:$X$29,19,FALSE)</f>
        <v>0.03</v>
      </c>
      <c r="K168" s="83">
        <f>VLOOKUP($B168,Rentroll!$C$11:$X$29,4,FALSE)</f>
        <v>1385.09</v>
      </c>
      <c r="L168" s="81">
        <f>VLOOKUP($B168,Rentroll!$C$11:$X$29,17,FALSE)</f>
        <v>0</v>
      </c>
      <c r="M168" s="84">
        <f>VLOOKUP($B168,Rentroll!$C$11:$X$29,18,FALSE)</f>
        <v>2</v>
      </c>
      <c r="O168" s="74">
        <f t="shared" si="200"/>
        <v>9</v>
      </c>
      <c r="P168" s="75"/>
      <c r="Q168" s="75"/>
      <c r="R168" s="88">
        <f t="shared" ref="R168:AW168" si="222">(1+$J168)^(R121-1)*R27</f>
        <v>0</v>
      </c>
      <c r="S168" s="88">
        <f t="shared" si="222"/>
        <v>1</v>
      </c>
      <c r="T168" s="88">
        <f t="shared" si="222"/>
        <v>1</v>
      </c>
      <c r="U168" s="88">
        <f t="shared" si="222"/>
        <v>1</v>
      </c>
      <c r="V168" s="88">
        <f t="shared" si="222"/>
        <v>1</v>
      </c>
      <c r="W168" s="88">
        <f t="shared" si="222"/>
        <v>1.03</v>
      </c>
      <c r="X168" s="88">
        <f t="shared" si="222"/>
        <v>1.03</v>
      </c>
      <c r="Y168" s="88">
        <f t="shared" si="222"/>
        <v>1.03</v>
      </c>
      <c r="Z168" s="88">
        <f t="shared" si="222"/>
        <v>1.03</v>
      </c>
      <c r="AA168" s="88">
        <f t="shared" si="222"/>
        <v>1.03</v>
      </c>
      <c r="AB168" s="88">
        <f t="shared" si="222"/>
        <v>1.03</v>
      </c>
      <c r="AC168" s="88">
        <f t="shared" si="222"/>
        <v>1.03</v>
      </c>
      <c r="AD168" s="88">
        <f t="shared" si="222"/>
        <v>1.03</v>
      </c>
      <c r="AE168" s="88">
        <f t="shared" si="222"/>
        <v>1.03</v>
      </c>
      <c r="AF168" s="88">
        <f t="shared" si="222"/>
        <v>1.03</v>
      </c>
      <c r="AG168" s="88">
        <f t="shared" si="222"/>
        <v>1.03</v>
      </c>
      <c r="AH168" s="88">
        <f t="shared" si="222"/>
        <v>1.03</v>
      </c>
      <c r="AI168" s="88">
        <f t="shared" si="222"/>
        <v>1.0609</v>
      </c>
      <c r="AJ168" s="88">
        <f t="shared" si="222"/>
        <v>1.0609</v>
      </c>
      <c r="AK168" s="88">
        <f t="shared" si="222"/>
        <v>1.0609</v>
      </c>
      <c r="AL168" s="88">
        <f t="shared" si="222"/>
        <v>1.0609</v>
      </c>
      <c r="AM168" s="88">
        <f t="shared" si="222"/>
        <v>1.0609</v>
      </c>
      <c r="AN168" s="88">
        <f t="shared" si="222"/>
        <v>1.0609</v>
      </c>
      <c r="AO168" s="88">
        <f t="shared" si="222"/>
        <v>1.0609</v>
      </c>
      <c r="AP168" s="88">
        <f t="shared" si="222"/>
        <v>1.0609</v>
      </c>
      <c r="AQ168" s="88">
        <f t="shared" si="222"/>
        <v>1.0609</v>
      </c>
      <c r="AR168" s="88">
        <f t="shared" si="222"/>
        <v>1.0609</v>
      </c>
      <c r="AS168" s="88">
        <f t="shared" si="222"/>
        <v>1.0609</v>
      </c>
      <c r="AT168" s="88">
        <f t="shared" si="222"/>
        <v>1.0609</v>
      </c>
      <c r="AU168" s="88">
        <f t="shared" si="222"/>
        <v>1.092727</v>
      </c>
      <c r="AV168" s="88">
        <f t="shared" si="222"/>
        <v>1.092727</v>
      </c>
      <c r="AW168" s="88">
        <f t="shared" si="222"/>
        <v>1.092727</v>
      </c>
      <c r="AX168" s="88">
        <f t="shared" ref="AX168:CC168" si="223">(1+$J168)^(AX121-1)*AX27</f>
        <v>1.092727</v>
      </c>
      <c r="AY168" s="88">
        <f t="shared" si="223"/>
        <v>1.092727</v>
      </c>
      <c r="AZ168" s="88">
        <f t="shared" si="223"/>
        <v>1.092727</v>
      </c>
      <c r="BA168" s="88">
        <f t="shared" si="223"/>
        <v>1.092727</v>
      </c>
      <c r="BB168" s="88">
        <f t="shared" si="223"/>
        <v>1.092727</v>
      </c>
      <c r="BC168" s="88">
        <f t="shared" si="223"/>
        <v>1.092727</v>
      </c>
      <c r="BD168" s="88">
        <f t="shared" si="223"/>
        <v>1.092727</v>
      </c>
      <c r="BE168" s="88">
        <f t="shared" si="223"/>
        <v>1.092727</v>
      </c>
      <c r="BF168" s="88">
        <f t="shared" si="223"/>
        <v>1.092727</v>
      </c>
      <c r="BG168" s="88">
        <f t="shared" si="223"/>
        <v>0</v>
      </c>
      <c r="BH168" s="88">
        <f t="shared" si="223"/>
        <v>0</v>
      </c>
      <c r="BI168" s="88">
        <f t="shared" si="223"/>
        <v>0</v>
      </c>
      <c r="BJ168" s="88">
        <f t="shared" si="223"/>
        <v>0</v>
      </c>
      <c r="BK168" s="88">
        <f t="shared" si="223"/>
        <v>0</v>
      </c>
      <c r="BL168" s="88">
        <f t="shared" si="223"/>
        <v>0</v>
      </c>
      <c r="BM168" s="88">
        <f t="shared" si="223"/>
        <v>0</v>
      </c>
      <c r="BN168" s="88">
        <f t="shared" si="223"/>
        <v>0</v>
      </c>
      <c r="BO168" s="88">
        <f t="shared" si="223"/>
        <v>0</v>
      </c>
      <c r="BP168" s="88">
        <f t="shared" si="223"/>
        <v>0</v>
      </c>
      <c r="BQ168" s="88">
        <f t="shared" si="223"/>
        <v>0</v>
      </c>
      <c r="BR168" s="88">
        <f t="shared" si="223"/>
        <v>0</v>
      </c>
      <c r="BS168" s="88">
        <f t="shared" si="223"/>
        <v>0</v>
      </c>
      <c r="BT168" s="88">
        <f t="shared" si="223"/>
        <v>0</v>
      </c>
      <c r="BU168" s="88">
        <f t="shared" si="223"/>
        <v>0</v>
      </c>
      <c r="BV168" s="88">
        <f t="shared" si="223"/>
        <v>0</v>
      </c>
      <c r="BW168" s="88">
        <f t="shared" si="223"/>
        <v>0</v>
      </c>
      <c r="BX168" s="88">
        <f t="shared" si="223"/>
        <v>0</v>
      </c>
      <c r="BY168" s="88">
        <f t="shared" si="223"/>
        <v>0</v>
      </c>
      <c r="BZ168" s="88">
        <f t="shared" si="223"/>
        <v>0</v>
      </c>
      <c r="CA168" s="88">
        <f t="shared" si="223"/>
        <v>0</v>
      </c>
      <c r="CB168" s="88">
        <f t="shared" si="223"/>
        <v>0</v>
      </c>
      <c r="CC168" s="88">
        <f t="shared" si="223"/>
        <v>0</v>
      </c>
      <c r="CD168" s="88">
        <f t="shared" ref="CD168:DL168" si="224">(1+$J168)^(CD121-1)*CD27</f>
        <v>0</v>
      </c>
      <c r="CE168" s="88">
        <f t="shared" si="224"/>
        <v>0</v>
      </c>
      <c r="CF168" s="88">
        <f t="shared" si="224"/>
        <v>0</v>
      </c>
      <c r="CG168" s="88">
        <f t="shared" si="224"/>
        <v>0</v>
      </c>
      <c r="CH168" s="88">
        <f t="shared" si="224"/>
        <v>0</v>
      </c>
      <c r="CI168" s="88">
        <f t="shared" si="224"/>
        <v>0</v>
      </c>
      <c r="CJ168" s="88">
        <f t="shared" si="224"/>
        <v>0</v>
      </c>
      <c r="CK168" s="88">
        <f t="shared" si="224"/>
        <v>0</v>
      </c>
      <c r="CL168" s="88">
        <f t="shared" si="224"/>
        <v>0</v>
      </c>
      <c r="CM168" s="88">
        <f t="shared" si="224"/>
        <v>0</v>
      </c>
      <c r="CN168" s="88">
        <f t="shared" si="224"/>
        <v>0</v>
      </c>
      <c r="CO168" s="88">
        <f t="shared" si="224"/>
        <v>0</v>
      </c>
      <c r="CP168" s="88">
        <f t="shared" si="224"/>
        <v>0</v>
      </c>
      <c r="CQ168" s="88">
        <f t="shared" si="224"/>
        <v>0</v>
      </c>
      <c r="CR168" s="88">
        <f t="shared" si="224"/>
        <v>0</v>
      </c>
      <c r="CS168" s="88">
        <f t="shared" si="224"/>
        <v>0</v>
      </c>
      <c r="CT168" s="88">
        <f t="shared" si="224"/>
        <v>0</v>
      </c>
      <c r="CU168" s="88">
        <f t="shared" si="224"/>
        <v>0</v>
      </c>
      <c r="CV168" s="88">
        <f t="shared" si="224"/>
        <v>0</v>
      </c>
      <c r="CW168" s="88">
        <f t="shared" si="224"/>
        <v>0</v>
      </c>
      <c r="CX168" s="88">
        <f t="shared" si="224"/>
        <v>0</v>
      </c>
      <c r="CY168" s="88">
        <f t="shared" si="224"/>
        <v>0</v>
      </c>
      <c r="CZ168" s="88">
        <f t="shared" si="224"/>
        <v>0</v>
      </c>
      <c r="DA168" s="88">
        <f t="shared" si="224"/>
        <v>0</v>
      </c>
      <c r="DB168" s="88">
        <f t="shared" si="224"/>
        <v>0</v>
      </c>
      <c r="DC168" s="88">
        <f t="shared" si="224"/>
        <v>0</v>
      </c>
      <c r="DD168" s="88">
        <f t="shared" si="224"/>
        <v>0</v>
      </c>
      <c r="DE168" s="88">
        <f t="shared" si="224"/>
        <v>0</v>
      </c>
      <c r="DF168" s="88">
        <f t="shared" si="224"/>
        <v>0</v>
      </c>
      <c r="DG168" s="88">
        <f t="shared" si="224"/>
        <v>0</v>
      </c>
      <c r="DH168" s="88">
        <f t="shared" si="224"/>
        <v>0</v>
      </c>
      <c r="DI168" s="88">
        <f t="shared" si="224"/>
        <v>0</v>
      </c>
      <c r="DJ168" s="88">
        <f t="shared" si="224"/>
        <v>0</v>
      </c>
      <c r="DK168" s="88">
        <f t="shared" si="224"/>
        <v>0</v>
      </c>
      <c r="DL168" s="88">
        <f t="shared" si="224"/>
        <v>0</v>
      </c>
    </row>
    <row r="169" spans="2:116">
      <c r="B169" s="27">
        <f>Rentroll!$C$20</f>
        <v>8</v>
      </c>
      <c r="C169" s="69" t="str">
        <f>VLOOKUP($B169,Rentroll!$C$11:$X$29,3,FALSE)</f>
        <v>오토 커머셜</v>
      </c>
      <c r="D169" s="80">
        <f>VLOOKUP($B169,Rentroll!$C$11:$X$29,9,FALSE)</f>
        <v>44651</v>
      </c>
      <c r="E169" s="80">
        <f>VLOOKUP($B169,Rentroll!$C$11:$X$29,10,FALSE)</f>
        <v>46476</v>
      </c>
      <c r="F169" s="81">
        <f>VLOOKUP($B169,Rentroll!$C$11:$X$29,11,FALSE)</f>
        <v>60</v>
      </c>
      <c r="G169" s="69">
        <f>VLOOKUP($B169,Rentroll!$C$11:$X$29,13,FALSE)</f>
        <v>95481</v>
      </c>
      <c r="H169" s="69">
        <f>VLOOKUP($B169,Rentroll!$C$11:$X$29,14,FALSE)</f>
        <v>87524.25</v>
      </c>
      <c r="I169" s="69">
        <f>VLOOKUP($B169,Rentroll!$C$11:$X$29,15,FALSE)</f>
        <v>42436</v>
      </c>
      <c r="J169" s="82">
        <f>VLOOKUP($B169,Rentroll!$C$11:$X$29,19,FALSE)</f>
        <v>0.03</v>
      </c>
      <c r="K169" s="83">
        <f>VLOOKUP($B169,Rentroll!$C$11:$X$29,4,FALSE)</f>
        <v>1385.09</v>
      </c>
      <c r="L169" s="81">
        <f>VLOOKUP($B169,Rentroll!$C$11:$X$29,17,FALSE)</f>
        <v>0</v>
      </c>
      <c r="M169" s="84">
        <f>VLOOKUP($B169,Rentroll!$C$11:$X$29,18,FALSE)</f>
        <v>1</v>
      </c>
      <c r="O169" s="74">
        <f t="shared" si="200"/>
        <v>8</v>
      </c>
      <c r="P169" s="75"/>
      <c r="Q169" s="75"/>
      <c r="R169" s="88">
        <f t="shared" ref="R169:AW169" si="225">(1+$J169)^(R122-1)*R28</f>
        <v>0</v>
      </c>
      <c r="S169" s="88">
        <f t="shared" si="225"/>
        <v>1</v>
      </c>
      <c r="T169" s="88">
        <f t="shared" si="225"/>
        <v>1</v>
      </c>
      <c r="U169" s="88">
        <f t="shared" si="225"/>
        <v>1.03</v>
      </c>
      <c r="V169" s="88">
        <f t="shared" si="225"/>
        <v>1.03</v>
      </c>
      <c r="W169" s="88">
        <f t="shared" si="225"/>
        <v>1.03</v>
      </c>
      <c r="X169" s="88">
        <f t="shared" si="225"/>
        <v>1.03</v>
      </c>
      <c r="Y169" s="88">
        <f t="shared" si="225"/>
        <v>1.03</v>
      </c>
      <c r="Z169" s="88">
        <f t="shared" si="225"/>
        <v>1.03</v>
      </c>
      <c r="AA169" s="88">
        <f t="shared" si="225"/>
        <v>1.03</v>
      </c>
      <c r="AB169" s="88">
        <f t="shared" si="225"/>
        <v>1.03</v>
      </c>
      <c r="AC169" s="88">
        <f t="shared" si="225"/>
        <v>1.03</v>
      </c>
      <c r="AD169" s="88">
        <f t="shared" si="225"/>
        <v>1.03</v>
      </c>
      <c r="AE169" s="88">
        <f t="shared" si="225"/>
        <v>1.03</v>
      </c>
      <c r="AF169" s="88">
        <f t="shared" si="225"/>
        <v>1.03</v>
      </c>
      <c r="AG169" s="88">
        <f t="shared" si="225"/>
        <v>1.0609</v>
      </c>
      <c r="AH169" s="88">
        <f t="shared" si="225"/>
        <v>1.0609</v>
      </c>
      <c r="AI169" s="88">
        <f t="shared" si="225"/>
        <v>1.0609</v>
      </c>
      <c r="AJ169" s="88">
        <f t="shared" si="225"/>
        <v>1.0609</v>
      </c>
      <c r="AK169" s="88">
        <f t="shared" si="225"/>
        <v>1.0609</v>
      </c>
      <c r="AL169" s="88">
        <f t="shared" si="225"/>
        <v>1.0609</v>
      </c>
      <c r="AM169" s="88">
        <f t="shared" si="225"/>
        <v>1.0609</v>
      </c>
      <c r="AN169" s="88">
        <f t="shared" si="225"/>
        <v>1.0609</v>
      </c>
      <c r="AO169" s="88">
        <f t="shared" si="225"/>
        <v>1.0609</v>
      </c>
      <c r="AP169" s="88">
        <f t="shared" si="225"/>
        <v>1.0609</v>
      </c>
      <c r="AQ169" s="88">
        <f t="shared" si="225"/>
        <v>1.0609</v>
      </c>
      <c r="AR169" s="88">
        <f t="shared" si="225"/>
        <v>1.0609</v>
      </c>
      <c r="AS169" s="88">
        <f t="shared" si="225"/>
        <v>0</v>
      </c>
      <c r="AT169" s="88">
        <f t="shared" si="225"/>
        <v>0</v>
      </c>
      <c r="AU169" s="88">
        <f t="shared" si="225"/>
        <v>0</v>
      </c>
      <c r="AV169" s="88">
        <f t="shared" si="225"/>
        <v>0</v>
      </c>
      <c r="AW169" s="88">
        <f t="shared" si="225"/>
        <v>0</v>
      </c>
      <c r="AX169" s="88">
        <f t="shared" ref="AX169:CC169" si="226">(1+$J169)^(AX122-1)*AX28</f>
        <v>0</v>
      </c>
      <c r="AY169" s="88">
        <f t="shared" si="226"/>
        <v>0</v>
      </c>
      <c r="AZ169" s="88">
        <f t="shared" si="226"/>
        <v>0</v>
      </c>
      <c r="BA169" s="88">
        <f t="shared" si="226"/>
        <v>0</v>
      </c>
      <c r="BB169" s="88">
        <f t="shared" si="226"/>
        <v>0</v>
      </c>
      <c r="BC169" s="88">
        <f t="shared" si="226"/>
        <v>0</v>
      </c>
      <c r="BD169" s="88">
        <f t="shared" si="226"/>
        <v>0</v>
      </c>
      <c r="BE169" s="88">
        <f t="shared" si="226"/>
        <v>0</v>
      </c>
      <c r="BF169" s="88">
        <f t="shared" si="226"/>
        <v>0</v>
      </c>
      <c r="BG169" s="88">
        <f t="shared" si="226"/>
        <v>0</v>
      </c>
      <c r="BH169" s="88">
        <f t="shared" si="226"/>
        <v>0</v>
      </c>
      <c r="BI169" s="88">
        <f t="shared" si="226"/>
        <v>0</v>
      </c>
      <c r="BJ169" s="88">
        <f t="shared" si="226"/>
        <v>0</v>
      </c>
      <c r="BK169" s="88">
        <f t="shared" si="226"/>
        <v>0</v>
      </c>
      <c r="BL169" s="88">
        <f t="shared" si="226"/>
        <v>0</v>
      </c>
      <c r="BM169" s="88">
        <f t="shared" si="226"/>
        <v>0</v>
      </c>
      <c r="BN169" s="88">
        <f t="shared" si="226"/>
        <v>0</v>
      </c>
      <c r="BO169" s="88">
        <f t="shared" si="226"/>
        <v>0</v>
      </c>
      <c r="BP169" s="88">
        <f t="shared" si="226"/>
        <v>0</v>
      </c>
      <c r="BQ169" s="88">
        <f t="shared" si="226"/>
        <v>0</v>
      </c>
      <c r="BR169" s="88">
        <f t="shared" si="226"/>
        <v>0</v>
      </c>
      <c r="BS169" s="88">
        <f t="shared" si="226"/>
        <v>0</v>
      </c>
      <c r="BT169" s="88">
        <f t="shared" si="226"/>
        <v>0</v>
      </c>
      <c r="BU169" s="88">
        <f t="shared" si="226"/>
        <v>0</v>
      </c>
      <c r="BV169" s="88">
        <f t="shared" si="226"/>
        <v>0</v>
      </c>
      <c r="BW169" s="88">
        <f t="shared" si="226"/>
        <v>0</v>
      </c>
      <c r="BX169" s="88">
        <f t="shared" si="226"/>
        <v>0</v>
      </c>
      <c r="BY169" s="88">
        <f t="shared" si="226"/>
        <v>0</v>
      </c>
      <c r="BZ169" s="88">
        <f t="shared" si="226"/>
        <v>0</v>
      </c>
      <c r="CA169" s="88">
        <f t="shared" si="226"/>
        <v>0</v>
      </c>
      <c r="CB169" s="88">
        <f t="shared" si="226"/>
        <v>0</v>
      </c>
      <c r="CC169" s="88">
        <f t="shared" si="226"/>
        <v>0</v>
      </c>
      <c r="CD169" s="88">
        <f t="shared" ref="CD169:DL169" si="227">(1+$J169)^(CD122-1)*CD28</f>
        <v>0</v>
      </c>
      <c r="CE169" s="88">
        <f t="shared" si="227"/>
        <v>0</v>
      </c>
      <c r="CF169" s="88">
        <f t="shared" si="227"/>
        <v>0</v>
      </c>
      <c r="CG169" s="88">
        <f t="shared" si="227"/>
        <v>0</v>
      </c>
      <c r="CH169" s="88">
        <f t="shared" si="227"/>
        <v>0</v>
      </c>
      <c r="CI169" s="88">
        <f t="shared" si="227"/>
        <v>0</v>
      </c>
      <c r="CJ169" s="88">
        <f t="shared" si="227"/>
        <v>0</v>
      </c>
      <c r="CK169" s="88">
        <f t="shared" si="227"/>
        <v>0</v>
      </c>
      <c r="CL169" s="88">
        <f t="shared" si="227"/>
        <v>0</v>
      </c>
      <c r="CM169" s="88">
        <f t="shared" si="227"/>
        <v>0</v>
      </c>
      <c r="CN169" s="88">
        <f t="shared" si="227"/>
        <v>0</v>
      </c>
      <c r="CO169" s="88">
        <f t="shared" si="227"/>
        <v>0</v>
      </c>
      <c r="CP169" s="88">
        <f t="shared" si="227"/>
        <v>0</v>
      </c>
      <c r="CQ169" s="88">
        <f t="shared" si="227"/>
        <v>0</v>
      </c>
      <c r="CR169" s="88">
        <f t="shared" si="227"/>
        <v>0</v>
      </c>
      <c r="CS169" s="88">
        <f t="shared" si="227"/>
        <v>0</v>
      </c>
      <c r="CT169" s="88">
        <f t="shared" si="227"/>
        <v>0</v>
      </c>
      <c r="CU169" s="88">
        <f t="shared" si="227"/>
        <v>0</v>
      </c>
      <c r="CV169" s="88">
        <f t="shared" si="227"/>
        <v>0</v>
      </c>
      <c r="CW169" s="88">
        <f t="shared" si="227"/>
        <v>0</v>
      </c>
      <c r="CX169" s="88">
        <f t="shared" si="227"/>
        <v>0</v>
      </c>
      <c r="CY169" s="88">
        <f t="shared" si="227"/>
        <v>0</v>
      </c>
      <c r="CZ169" s="88">
        <f t="shared" si="227"/>
        <v>0</v>
      </c>
      <c r="DA169" s="88">
        <f t="shared" si="227"/>
        <v>0</v>
      </c>
      <c r="DB169" s="88">
        <f t="shared" si="227"/>
        <v>0</v>
      </c>
      <c r="DC169" s="88">
        <f t="shared" si="227"/>
        <v>0</v>
      </c>
      <c r="DD169" s="88">
        <f t="shared" si="227"/>
        <v>0</v>
      </c>
      <c r="DE169" s="88">
        <f t="shared" si="227"/>
        <v>0</v>
      </c>
      <c r="DF169" s="88">
        <f t="shared" si="227"/>
        <v>0</v>
      </c>
      <c r="DG169" s="88">
        <f t="shared" si="227"/>
        <v>0</v>
      </c>
      <c r="DH169" s="88">
        <f t="shared" si="227"/>
        <v>0</v>
      </c>
      <c r="DI169" s="88">
        <f t="shared" si="227"/>
        <v>0</v>
      </c>
      <c r="DJ169" s="88">
        <f t="shared" si="227"/>
        <v>0</v>
      </c>
      <c r="DK169" s="88">
        <f t="shared" si="227"/>
        <v>0</v>
      </c>
      <c r="DL169" s="88">
        <f t="shared" si="227"/>
        <v>0</v>
      </c>
    </row>
    <row r="170" spans="2:116">
      <c r="B170" s="27">
        <f>Rentroll!$C$21</f>
        <v>7</v>
      </c>
      <c r="C170" s="69" t="str">
        <f>VLOOKUP($B170,Rentroll!$C$11:$X$29,3,FALSE)</f>
        <v>오토 커머셜</v>
      </c>
      <c r="D170" s="80">
        <f>VLOOKUP($B170,Rentroll!$C$11:$X$29,9,FALSE)</f>
        <v>44651</v>
      </c>
      <c r="E170" s="80">
        <f>VLOOKUP($B170,Rentroll!$C$11:$X$29,10,FALSE)</f>
        <v>46476</v>
      </c>
      <c r="F170" s="81">
        <f>VLOOKUP($B170,Rentroll!$C$11:$X$29,11,FALSE)</f>
        <v>60</v>
      </c>
      <c r="G170" s="69">
        <f>VLOOKUP($B170,Rentroll!$C$11:$X$29,13,FALSE)</f>
        <v>95481</v>
      </c>
      <c r="H170" s="69">
        <f>VLOOKUP($B170,Rentroll!$C$11:$X$29,14,FALSE)</f>
        <v>87524.25</v>
      </c>
      <c r="I170" s="69">
        <f>VLOOKUP($B170,Rentroll!$C$11:$X$29,15,FALSE)</f>
        <v>42436</v>
      </c>
      <c r="J170" s="82">
        <f>VLOOKUP($B170,Rentroll!$C$11:$X$29,19,FALSE)</f>
        <v>0.03</v>
      </c>
      <c r="K170" s="83">
        <f>VLOOKUP($B170,Rentroll!$C$11:$X$29,4,FALSE)</f>
        <v>1385.09</v>
      </c>
      <c r="L170" s="81">
        <f>VLOOKUP($B170,Rentroll!$C$11:$X$29,17,FALSE)</f>
        <v>0</v>
      </c>
      <c r="M170" s="84">
        <f>VLOOKUP($B170,Rentroll!$C$11:$X$29,18,FALSE)</f>
        <v>1</v>
      </c>
      <c r="O170" s="74">
        <f t="shared" si="200"/>
        <v>7</v>
      </c>
      <c r="P170" s="75"/>
      <c r="Q170" s="75"/>
      <c r="R170" s="88">
        <f t="shared" ref="R170:AW170" si="228">(1+$J170)^(R123-1)*R29</f>
        <v>0</v>
      </c>
      <c r="S170" s="88">
        <f t="shared" si="228"/>
        <v>1</v>
      </c>
      <c r="T170" s="88">
        <f t="shared" si="228"/>
        <v>1</v>
      </c>
      <c r="U170" s="88">
        <f t="shared" si="228"/>
        <v>1.03</v>
      </c>
      <c r="V170" s="88">
        <f t="shared" si="228"/>
        <v>1.03</v>
      </c>
      <c r="W170" s="88">
        <f t="shared" si="228"/>
        <v>1.03</v>
      </c>
      <c r="X170" s="88">
        <f t="shared" si="228"/>
        <v>1.03</v>
      </c>
      <c r="Y170" s="88">
        <f t="shared" si="228"/>
        <v>1.03</v>
      </c>
      <c r="Z170" s="88">
        <f t="shared" si="228"/>
        <v>1.03</v>
      </c>
      <c r="AA170" s="88">
        <f t="shared" si="228"/>
        <v>1.03</v>
      </c>
      <c r="AB170" s="88">
        <f t="shared" si="228"/>
        <v>1.03</v>
      </c>
      <c r="AC170" s="88">
        <f t="shared" si="228"/>
        <v>1.03</v>
      </c>
      <c r="AD170" s="88">
        <f t="shared" si="228"/>
        <v>1.03</v>
      </c>
      <c r="AE170" s="88">
        <f t="shared" si="228"/>
        <v>1.03</v>
      </c>
      <c r="AF170" s="88">
        <f t="shared" si="228"/>
        <v>1.03</v>
      </c>
      <c r="AG170" s="88">
        <f t="shared" si="228"/>
        <v>1.0609</v>
      </c>
      <c r="AH170" s="88">
        <f t="shared" si="228"/>
        <v>1.0609</v>
      </c>
      <c r="AI170" s="88">
        <f t="shared" si="228"/>
        <v>1.0609</v>
      </c>
      <c r="AJ170" s="88">
        <f t="shared" si="228"/>
        <v>1.0609</v>
      </c>
      <c r="AK170" s="88">
        <f t="shared" si="228"/>
        <v>1.0609</v>
      </c>
      <c r="AL170" s="88">
        <f t="shared" si="228"/>
        <v>1.0609</v>
      </c>
      <c r="AM170" s="88">
        <f t="shared" si="228"/>
        <v>1.0609</v>
      </c>
      <c r="AN170" s="88">
        <f t="shared" si="228"/>
        <v>1.0609</v>
      </c>
      <c r="AO170" s="88">
        <f t="shared" si="228"/>
        <v>1.0609</v>
      </c>
      <c r="AP170" s="88">
        <f t="shared" si="228"/>
        <v>1.0609</v>
      </c>
      <c r="AQ170" s="88">
        <f t="shared" si="228"/>
        <v>1.0609</v>
      </c>
      <c r="AR170" s="88">
        <f t="shared" si="228"/>
        <v>1.0609</v>
      </c>
      <c r="AS170" s="88">
        <f t="shared" si="228"/>
        <v>0</v>
      </c>
      <c r="AT170" s="88">
        <f t="shared" si="228"/>
        <v>0</v>
      </c>
      <c r="AU170" s="88">
        <f t="shared" si="228"/>
        <v>0</v>
      </c>
      <c r="AV170" s="88">
        <f t="shared" si="228"/>
        <v>0</v>
      </c>
      <c r="AW170" s="88">
        <f t="shared" si="228"/>
        <v>0</v>
      </c>
      <c r="AX170" s="88">
        <f t="shared" ref="AX170:CC170" si="229">(1+$J170)^(AX123-1)*AX29</f>
        <v>0</v>
      </c>
      <c r="AY170" s="88">
        <f t="shared" si="229"/>
        <v>0</v>
      </c>
      <c r="AZ170" s="88">
        <f t="shared" si="229"/>
        <v>0</v>
      </c>
      <c r="BA170" s="88">
        <f t="shared" si="229"/>
        <v>0</v>
      </c>
      <c r="BB170" s="88">
        <f t="shared" si="229"/>
        <v>0</v>
      </c>
      <c r="BC170" s="88">
        <f t="shared" si="229"/>
        <v>0</v>
      </c>
      <c r="BD170" s="88">
        <f t="shared" si="229"/>
        <v>0</v>
      </c>
      <c r="BE170" s="88">
        <f t="shared" si="229"/>
        <v>0</v>
      </c>
      <c r="BF170" s="88">
        <f t="shared" si="229"/>
        <v>0</v>
      </c>
      <c r="BG170" s="88">
        <f t="shared" si="229"/>
        <v>0</v>
      </c>
      <c r="BH170" s="88">
        <f t="shared" si="229"/>
        <v>0</v>
      </c>
      <c r="BI170" s="88">
        <f t="shared" si="229"/>
        <v>0</v>
      </c>
      <c r="BJ170" s="88">
        <f t="shared" si="229"/>
        <v>0</v>
      </c>
      <c r="BK170" s="88">
        <f t="shared" si="229"/>
        <v>0</v>
      </c>
      <c r="BL170" s="88">
        <f t="shared" si="229"/>
        <v>0</v>
      </c>
      <c r="BM170" s="88">
        <f t="shared" si="229"/>
        <v>0</v>
      </c>
      <c r="BN170" s="88">
        <f t="shared" si="229"/>
        <v>0</v>
      </c>
      <c r="BO170" s="88">
        <f t="shared" si="229"/>
        <v>0</v>
      </c>
      <c r="BP170" s="88">
        <f t="shared" si="229"/>
        <v>0</v>
      </c>
      <c r="BQ170" s="88">
        <f t="shared" si="229"/>
        <v>0</v>
      </c>
      <c r="BR170" s="88">
        <f t="shared" si="229"/>
        <v>0</v>
      </c>
      <c r="BS170" s="88">
        <f t="shared" si="229"/>
        <v>0</v>
      </c>
      <c r="BT170" s="88">
        <f t="shared" si="229"/>
        <v>0</v>
      </c>
      <c r="BU170" s="88">
        <f t="shared" si="229"/>
        <v>0</v>
      </c>
      <c r="BV170" s="88">
        <f t="shared" si="229"/>
        <v>0</v>
      </c>
      <c r="BW170" s="88">
        <f t="shared" si="229"/>
        <v>0</v>
      </c>
      <c r="BX170" s="88">
        <f t="shared" si="229"/>
        <v>0</v>
      </c>
      <c r="BY170" s="88">
        <f t="shared" si="229"/>
        <v>0</v>
      </c>
      <c r="BZ170" s="88">
        <f t="shared" si="229"/>
        <v>0</v>
      </c>
      <c r="CA170" s="88">
        <f t="shared" si="229"/>
        <v>0</v>
      </c>
      <c r="CB170" s="88">
        <f t="shared" si="229"/>
        <v>0</v>
      </c>
      <c r="CC170" s="88">
        <f t="shared" si="229"/>
        <v>0</v>
      </c>
      <c r="CD170" s="88">
        <f t="shared" ref="CD170:DL170" si="230">(1+$J170)^(CD123-1)*CD29</f>
        <v>0</v>
      </c>
      <c r="CE170" s="88">
        <f t="shared" si="230"/>
        <v>0</v>
      </c>
      <c r="CF170" s="88">
        <f t="shared" si="230"/>
        <v>0</v>
      </c>
      <c r="CG170" s="88">
        <f t="shared" si="230"/>
        <v>0</v>
      </c>
      <c r="CH170" s="88">
        <f t="shared" si="230"/>
        <v>0</v>
      </c>
      <c r="CI170" s="88">
        <f t="shared" si="230"/>
        <v>0</v>
      </c>
      <c r="CJ170" s="88">
        <f t="shared" si="230"/>
        <v>0</v>
      </c>
      <c r="CK170" s="88">
        <f t="shared" si="230"/>
        <v>0</v>
      </c>
      <c r="CL170" s="88">
        <f t="shared" si="230"/>
        <v>0</v>
      </c>
      <c r="CM170" s="88">
        <f t="shared" si="230"/>
        <v>0</v>
      </c>
      <c r="CN170" s="88">
        <f t="shared" si="230"/>
        <v>0</v>
      </c>
      <c r="CO170" s="88">
        <f t="shared" si="230"/>
        <v>0</v>
      </c>
      <c r="CP170" s="88">
        <f t="shared" si="230"/>
        <v>0</v>
      </c>
      <c r="CQ170" s="88">
        <f t="shared" si="230"/>
        <v>0</v>
      </c>
      <c r="CR170" s="88">
        <f t="shared" si="230"/>
        <v>0</v>
      </c>
      <c r="CS170" s="88">
        <f t="shared" si="230"/>
        <v>0</v>
      </c>
      <c r="CT170" s="88">
        <f t="shared" si="230"/>
        <v>0</v>
      </c>
      <c r="CU170" s="88">
        <f t="shared" si="230"/>
        <v>0</v>
      </c>
      <c r="CV170" s="88">
        <f t="shared" si="230"/>
        <v>0</v>
      </c>
      <c r="CW170" s="88">
        <f t="shared" si="230"/>
        <v>0</v>
      </c>
      <c r="CX170" s="88">
        <f t="shared" si="230"/>
        <v>0</v>
      </c>
      <c r="CY170" s="88">
        <f t="shared" si="230"/>
        <v>0</v>
      </c>
      <c r="CZ170" s="88">
        <f t="shared" si="230"/>
        <v>0</v>
      </c>
      <c r="DA170" s="88">
        <f t="shared" si="230"/>
        <v>0</v>
      </c>
      <c r="DB170" s="88">
        <f t="shared" si="230"/>
        <v>0</v>
      </c>
      <c r="DC170" s="88">
        <f t="shared" si="230"/>
        <v>0</v>
      </c>
      <c r="DD170" s="88">
        <f t="shared" si="230"/>
        <v>0</v>
      </c>
      <c r="DE170" s="88">
        <f t="shared" si="230"/>
        <v>0</v>
      </c>
      <c r="DF170" s="88">
        <f t="shared" si="230"/>
        <v>0</v>
      </c>
      <c r="DG170" s="88">
        <f t="shared" si="230"/>
        <v>0</v>
      </c>
      <c r="DH170" s="88">
        <f t="shared" si="230"/>
        <v>0</v>
      </c>
      <c r="DI170" s="88">
        <f t="shared" si="230"/>
        <v>0</v>
      </c>
      <c r="DJ170" s="88">
        <f t="shared" si="230"/>
        <v>0</v>
      </c>
      <c r="DK170" s="88">
        <f t="shared" si="230"/>
        <v>0</v>
      </c>
      <c r="DL170" s="88">
        <f t="shared" si="230"/>
        <v>0</v>
      </c>
    </row>
    <row r="171" spans="2:116">
      <c r="B171" s="27">
        <f>Rentroll!$C$22</f>
        <v>6</v>
      </c>
      <c r="C171" s="69" t="str">
        <f>VLOOKUP($B171,Rentroll!$C$11:$X$29,3,FALSE)</f>
        <v>오토 커머셜</v>
      </c>
      <c r="D171" s="80">
        <f>VLOOKUP($B171,Rentroll!$C$11:$X$29,9,FALSE)</f>
        <v>44651</v>
      </c>
      <c r="E171" s="80">
        <f>VLOOKUP($B171,Rentroll!$C$11:$X$29,10,FALSE)</f>
        <v>46476</v>
      </c>
      <c r="F171" s="81">
        <f>VLOOKUP($B171,Rentroll!$C$11:$X$29,11,FALSE)</f>
        <v>60</v>
      </c>
      <c r="G171" s="69">
        <f>VLOOKUP($B171,Rentroll!$C$11:$X$29,13,FALSE)</f>
        <v>95481</v>
      </c>
      <c r="H171" s="69">
        <f>VLOOKUP($B171,Rentroll!$C$11:$X$29,14,FALSE)</f>
        <v>87524.25</v>
      </c>
      <c r="I171" s="69">
        <f>VLOOKUP($B171,Rentroll!$C$11:$X$29,15,FALSE)</f>
        <v>42436</v>
      </c>
      <c r="J171" s="82">
        <f>VLOOKUP($B171,Rentroll!$C$11:$X$29,19,FALSE)</f>
        <v>0.03</v>
      </c>
      <c r="K171" s="83">
        <f>VLOOKUP($B171,Rentroll!$C$11:$X$29,4,FALSE)</f>
        <v>1385.09</v>
      </c>
      <c r="L171" s="81">
        <f>VLOOKUP($B171,Rentroll!$C$11:$X$29,17,FALSE)</f>
        <v>0</v>
      </c>
      <c r="M171" s="84">
        <f>VLOOKUP($B171,Rentroll!$C$11:$X$29,18,FALSE)</f>
        <v>1</v>
      </c>
      <c r="O171" s="74">
        <f t="shared" si="200"/>
        <v>6</v>
      </c>
      <c r="P171" s="75"/>
      <c r="Q171" s="75"/>
      <c r="R171" s="88">
        <f t="shared" ref="R171:AW171" si="231">(1+$J171)^(R124-1)*R30</f>
        <v>0</v>
      </c>
      <c r="S171" s="88">
        <f t="shared" si="231"/>
        <v>1</v>
      </c>
      <c r="T171" s="88">
        <f t="shared" si="231"/>
        <v>1</v>
      </c>
      <c r="U171" s="88">
        <f t="shared" si="231"/>
        <v>1.03</v>
      </c>
      <c r="V171" s="88">
        <f t="shared" si="231"/>
        <v>1.03</v>
      </c>
      <c r="W171" s="88">
        <f t="shared" si="231"/>
        <v>1.03</v>
      </c>
      <c r="X171" s="88">
        <f t="shared" si="231"/>
        <v>1.03</v>
      </c>
      <c r="Y171" s="88">
        <f t="shared" si="231"/>
        <v>1.03</v>
      </c>
      <c r="Z171" s="88">
        <f t="shared" si="231"/>
        <v>1.03</v>
      </c>
      <c r="AA171" s="88">
        <f t="shared" si="231"/>
        <v>1.03</v>
      </c>
      <c r="AB171" s="88">
        <f t="shared" si="231"/>
        <v>1.03</v>
      </c>
      <c r="AC171" s="88">
        <f t="shared" si="231"/>
        <v>1.03</v>
      </c>
      <c r="AD171" s="88">
        <f t="shared" si="231"/>
        <v>1.03</v>
      </c>
      <c r="AE171" s="88">
        <f t="shared" si="231"/>
        <v>1.03</v>
      </c>
      <c r="AF171" s="88">
        <f t="shared" si="231"/>
        <v>1.03</v>
      </c>
      <c r="AG171" s="88">
        <f t="shared" si="231"/>
        <v>1.0609</v>
      </c>
      <c r="AH171" s="88">
        <f t="shared" si="231"/>
        <v>1.0609</v>
      </c>
      <c r="AI171" s="88">
        <f t="shared" si="231"/>
        <v>1.0609</v>
      </c>
      <c r="AJ171" s="88">
        <f t="shared" si="231"/>
        <v>1.0609</v>
      </c>
      <c r="AK171" s="88">
        <f t="shared" si="231"/>
        <v>1.0609</v>
      </c>
      <c r="AL171" s="88">
        <f t="shared" si="231"/>
        <v>1.0609</v>
      </c>
      <c r="AM171" s="88">
        <f t="shared" si="231"/>
        <v>1.0609</v>
      </c>
      <c r="AN171" s="88">
        <f t="shared" si="231"/>
        <v>1.0609</v>
      </c>
      <c r="AO171" s="88">
        <f t="shared" si="231"/>
        <v>1.0609</v>
      </c>
      <c r="AP171" s="88">
        <f t="shared" si="231"/>
        <v>1.0609</v>
      </c>
      <c r="AQ171" s="88">
        <f t="shared" si="231"/>
        <v>1.0609</v>
      </c>
      <c r="AR171" s="88">
        <f t="shared" si="231"/>
        <v>1.0609</v>
      </c>
      <c r="AS171" s="88">
        <f t="shared" si="231"/>
        <v>0</v>
      </c>
      <c r="AT171" s="88">
        <f t="shared" si="231"/>
        <v>0</v>
      </c>
      <c r="AU171" s="88">
        <f t="shared" si="231"/>
        <v>0</v>
      </c>
      <c r="AV171" s="88">
        <f t="shared" si="231"/>
        <v>0</v>
      </c>
      <c r="AW171" s="88">
        <f t="shared" si="231"/>
        <v>0</v>
      </c>
      <c r="AX171" s="88">
        <f t="shared" ref="AX171:CC171" si="232">(1+$J171)^(AX124-1)*AX30</f>
        <v>0</v>
      </c>
      <c r="AY171" s="88">
        <f t="shared" si="232"/>
        <v>0</v>
      </c>
      <c r="AZ171" s="88">
        <f t="shared" si="232"/>
        <v>0</v>
      </c>
      <c r="BA171" s="88">
        <f t="shared" si="232"/>
        <v>0</v>
      </c>
      <c r="BB171" s="88">
        <f t="shared" si="232"/>
        <v>0</v>
      </c>
      <c r="BC171" s="88">
        <f t="shared" si="232"/>
        <v>0</v>
      </c>
      <c r="BD171" s="88">
        <f t="shared" si="232"/>
        <v>0</v>
      </c>
      <c r="BE171" s="88">
        <f t="shared" si="232"/>
        <v>0</v>
      </c>
      <c r="BF171" s="88">
        <f t="shared" si="232"/>
        <v>0</v>
      </c>
      <c r="BG171" s="88">
        <f t="shared" si="232"/>
        <v>0</v>
      </c>
      <c r="BH171" s="88">
        <f t="shared" si="232"/>
        <v>0</v>
      </c>
      <c r="BI171" s="88">
        <f t="shared" si="232"/>
        <v>0</v>
      </c>
      <c r="BJ171" s="88">
        <f t="shared" si="232"/>
        <v>0</v>
      </c>
      <c r="BK171" s="88">
        <f t="shared" si="232"/>
        <v>0</v>
      </c>
      <c r="BL171" s="88">
        <f t="shared" si="232"/>
        <v>0</v>
      </c>
      <c r="BM171" s="88">
        <f t="shared" si="232"/>
        <v>0</v>
      </c>
      <c r="BN171" s="88">
        <f t="shared" si="232"/>
        <v>0</v>
      </c>
      <c r="BO171" s="88">
        <f t="shared" si="232"/>
        <v>0</v>
      </c>
      <c r="BP171" s="88">
        <f t="shared" si="232"/>
        <v>0</v>
      </c>
      <c r="BQ171" s="88">
        <f t="shared" si="232"/>
        <v>0</v>
      </c>
      <c r="BR171" s="88">
        <f t="shared" si="232"/>
        <v>0</v>
      </c>
      <c r="BS171" s="88">
        <f t="shared" si="232"/>
        <v>0</v>
      </c>
      <c r="BT171" s="88">
        <f t="shared" si="232"/>
        <v>0</v>
      </c>
      <c r="BU171" s="88">
        <f t="shared" si="232"/>
        <v>0</v>
      </c>
      <c r="BV171" s="88">
        <f t="shared" si="232"/>
        <v>0</v>
      </c>
      <c r="BW171" s="88">
        <f t="shared" si="232"/>
        <v>0</v>
      </c>
      <c r="BX171" s="88">
        <f t="shared" si="232"/>
        <v>0</v>
      </c>
      <c r="BY171" s="88">
        <f t="shared" si="232"/>
        <v>0</v>
      </c>
      <c r="BZ171" s="88">
        <f t="shared" si="232"/>
        <v>0</v>
      </c>
      <c r="CA171" s="88">
        <f t="shared" si="232"/>
        <v>0</v>
      </c>
      <c r="CB171" s="88">
        <f t="shared" si="232"/>
        <v>0</v>
      </c>
      <c r="CC171" s="88">
        <f t="shared" si="232"/>
        <v>0</v>
      </c>
      <c r="CD171" s="88">
        <f t="shared" ref="CD171:DL171" si="233">(1+$J171)^(CD124-1)*CD30</f>
        <v>0</v>
      </c>
      <c r="CE171" s="88">
        <f t="shared" si="233"/>
        <v>0</v>
      </c>
      <c r="CF171" s="88">
        <f t="shared" si="233"/>
        <v>0</v>
      </c>
      <c r="CG171" s="88">
        <f t="shared" si="233"/>
        <v>0</v>
      </c>
      <c r="CH171" s="88">
        <f t="shared" si="233"/>
        <v>0</v>
      </c>
      <c r="CI171" s="88">
        <f t="shared" si="233"/>
        <v>0</v>
      </c>
      <c r="CJ171" s="88">
        <f t="shared" si="233"/>
        <v>0</v>
      </c>
      <c r="CK171" s="88">
        <f t="shared" si="233"/>
        <v>0</v>
      </c>
      <c r="CL171" s="88">
        <f t="shared" si="233"/>
        <v>0</v>
      </c>
      <c r="CM171" s="88">
        <f t="shared" si="233"/>
        <v>0</v>
      </c>
      <c r="CN171" s="88">
        <f t="shared" si="233"/>
        <v>0</v>
      </c>
      <c r="CO171" s="88">
        <f t="shared" si="233"/>
        <v>0</v>
      </c>
      <c r="CP171" s="88">
        <f t="shared" si="233"/>
        <v>0</v>
      </c>
      <c r="CQ171" s="88">
        <f t="shared" si="233"/>
        <v>0</v>
      </c>
      <c r="CR171" s="88">
        <f t="shared" si="233"/>
        <v>0</v>
      </c>
      <c r="CS171" s="88">
        <f t="shared" si="233"/>
        <v>0</v>
      </c>
      <c r="CT171" s="88">
        <f t="shared" si="233"/>
        <v>0</v>
      </c>
      <c r="CU171" s="88">
        <f t="shared" si="233"/>
        <v>0</v>
      </c>
      <c r="CV171" s="88">
        <f t="shared" si="233"/>
        <v>0</v>
      </c>
      <c r="CW171" s="88">
        <f t="shared" si="233"/>
        <v>0</v>
      </c>
      <c r="CX171" s="88">
        <f t="shared" si="233"/>
        <v>0</v>
      </c>
      <c r="CY171" s="88">
        <f t="shared" si="233"/>
        <v>0</v>
      </c>
      <c r="CZ171" s="88">
        <f t="shared" si="233"/>
        <v>0</v>
      </c>
      <c r="DA171" s="88">
        <f t="shared" si="233"/>
        <v>0</v>
      </c>
      <c r="DB171" s="88">
        <f t="shared" si="233"/>
        <v>0</v>
      </c>
      <c r="DC171" s="88">
        <f t="shared" si="233"/>
        <v>0</v>
      </c>
      <c r="DD171" s="88">
        <f t="shared" si="233"/>
        <v>0</v>
      </c>
      <c r="DE171" s="88">
        <f t="shared" si="233"/>
        <v>0</v>
      </c>
      <c r="DF171" s="88">
        <f t="shared" si="233"/>
        <v>0</v>
      </c>
      <c r="DG171" s="88">
        <f t="shared" si="233"/>
        <v>0</v>
      </c>
      <c r="DH171" s="88">
        <f t="shared" si="233"/>
        <v>0</v>
      </c>
      <c r="DI171" s="88">
        <f t="shared" si="233"/>
        <v>0</v>
      </c>
      <c r="DJ171" s="88">
        <f t="shared" si="233"/>
        <v>0</v>
      </c>
      <c r="DK171" s="88">
        <f t="shared" si="233"/>
        <v>0</v>
      </c>
      <c r="DL171" s="88">
        <f t="shared" si="233"/>
        <v>0</v>
      </c>
    </row>
    <row r="172" spans="2:116">
      <c r="B172" s="27">
        <f>Rentroll!$C$23</f>
        <v>5</v>
      </c>
      <c r="C172" s="69" t="str">
        <f>VLOOKUP($B172,Rentroll!$C$11:$X$29,3,FALSE)</f>
        <v>공실</v>
      </c>
      <c r="D172" s="80"/>
      <c r="E172" s="80"/>
      <c r="F172" s="81">
        <f>VLOOKUP($B172,Rentroll!$C$11:$X$29,11,FALSE)</f>
        <v>0</v>
      </c>
      <c r="G172" s="69">
        <f>VLOOKUP($B172,Rentroll!$C$11:$X$29,13,FALSE)</f>
        <v>0</v>
      </c>
      <c r="H172" s="69">
        <f>VLOOKUP($B172,Rentroll!$C$11:$X$29,14,FALSE)</f>
        <v>0</v>
      </c>
      <c r="I172" s="69">
        <f>VLOOKUP($B172,Rentroll!$C$11:$X$29,15,FALSE)</f>
        <v>0</v>
      </c>
      <c r="J172" s="82">
        <f>VLOOKUP($B172,Rentroll!$C$11:$X$29,19,FALSE)</f>
        <v>0</v>
      </c>
      <c r="K172" s="83">
        <f>VLOOKUP($B172,Rentroll!$C$11:$X$29,4,FALSE)</f>
        <v>1385.09</v>
      </c>
      <c r="L172" s="81">
        <f>VLOOKUP($B172,Rentroll!$C$11:$X$29,17,FALSE)</f>
        <v>0</v>
      </c>
      <c r="M172" s="84">
        <f>VLOOKUP($B172,Rentroll!$C$11:$X$29,18,FALSE)</f>
        <v>0</v>
      </c>
      <c r="O172" s="74">
        <f t="shared" si="200"/>
        <v>5</v>
      </c>
      <c r="P172" s="75"/>
      <c r="Q172" s="75"/>
      <c r="R172" s="88">
        <f t="shared" ref="R172:AW172" si="234">(1+$J172)^(R125-1)*R31</f>
        <v>0</v>
      </c>
      <c r="S172" s="88">
        <f t="shared" si="234"/>
        <v>0</v>
      </c>
      <c r="T172" s="88">
        <f t="shared" si="234"/>
        <v>0</v>
      </c>
      <c r="U172" s="88">
        <f t="shared" si="234"/>
        <v>0</v>
      </c>
      <c r="V172" s="88">
        <f t="shared" si="234"/>
        <v>0</v>
      </c>
      <c r="W172" s="88">
        <f t="shared" si="234"/>
        <v>0</v>
      </c>
      <c r="X172" s="88">
        <f t="shared" si="234"/>
        <v>0</v>
      </c>
      <c r="Y172" s="88">
        <f t="shared" si="234"/>
        <v>0</v>
      </c>
      <c r="Z172" s="88">
        <f t="shared" si="234"/>
        <v>0</v>
      </c>
      <c r="AA172" s="88">
        <f t="shared" si="234"/>
        <v>0</v>
      </c>
      <c r="AB172" s="88">
        <f t="shared" si="234"/>
        <v>0</v>
      </c>
      <c r="AC172" s="88">
        <f t="shared" si="234"/>
        <v>0</v>
      </c>
      <c r="AD172" s="88">
        <f t="shared" si="234"/>
        <v>0</v>
      </c>
      <c r="AE172" s="88">
        <f t="shared" si="234"/>
        <v>0</v>
      </c>
      <c r="AF172" s="88">
        <f t="shared" si="234"/>
        <v>0</v>
      </c>
      <c r="AG172" s="88">
        <f t="shared" si="234"/>
        <v>0</v>
      </c>
      <c r="AH172" s="88">
        <f t="shared" si="234"/>
        <v>0</v>
      </c>
      <c r="AI172" s="88">
        <f t="shared" si="234"/>
        <v>0</v>
      </c>
      <c r="AJ172" s="88">
        <f t="shared" si="234"/>
        <v>0</v>
      </c>
      <c r="AK172" s="88">
        <f t="shared" si="234"/>
        <v>0</v>
      </c>
      <c r="AL172" s="88">
        <f t="shared" si="234"/>
        <v>0</v>
      </c>
      <c r="AM172" s="88">
        <f t="shared" si="234"/>
        <v>0</v>
      </c>
      <c r="AN172" s="88">
        <f t="shared" si="234"/>
        <v>0</v>
      </c>
      <c r="AO172" s="88">
        <f t="shared" si="234"/>
        <v>0</v>
      </c>
      <c r="AP172" s="88">
        <f t="shared" si="234"/>
        <v>0</v>
      </c>
      <c r="AQ172" s="88">
        <f t="shared" si="234"/>
        <v>0</v>
      </c>
      <c r="AR172" s="88">
        <f t="shared" si="234"/>
        <v>0</v>
      </c>
      <c r="AS172" s="88">
        <f t="shared" si="234"/>
        <v>0</v>
      </c>
      <c r="AT172" s="88">
        <f t="shared" si="234"/>
        <v>0</v>
      </c>
      <c r="AU172" s="88">
        <f t="shared" si="234"/>
        <v>0</v>
      </c>
      <c r="AV172" s="88">
        <f t="shared" si="234"/>
        <v>0</v>
      </c>
      <c r="AW172" s="88">
        <f t="shared" si="234"/>
        <v>0</v>
      </c>
      <c r="AX172" s="88">
        <f t="shared" ref="AX172:CC172" si="235">(1+$J172)^(AX125-1)*AX31</f>
        <v>0</v>
      </c>
      <c r="AY172" s="88">
        <f t="shared" si="235"/>
        <v>0</v>
      </c>
      <c r="AZ172" s="88">
        <f t="shared" si="235"/>
        <v>0</v>
      </c>
      <c r="BA172" s="88">
        <f t="shared" si="235"/>
        <v>0</v>
      </c>
      <c r="BB172" s="88">
        <f t="shared" si="235"/>
        <v>0</v>
      </c>
      <c r="BC172" s="88">
        <f t="shared" si="235"/>
        <v>0</v>
      </c>
      <c r="BD172" s="88">
        <f t="shared" si="235"/>
        <v>0</v>
      </c>
      <c r="BE172" s="88">
        <f t="shared" si="235"/>
        <v>0</v>
      </c>
      <c r="BF172" s="88">
        <f t="shared" si="235"/>
        <v>0</v>
      </c>
      <c r="BG172" s="88">
        <f t="shared" si="235"/>
        <v>0</v>
      </c>
      <c r="BH172" s="88">
        <f t="shared" si="235"/>
        <v>0</v>
      </c>
      <c r="BI172" s="88">
        <f t="shared" si="235"/>
        <v>0</v>
      </c>
      <c r="BJ172" s="88">
        <f t="shared" si="235"/>
        <v>0</v>
      </c>
      <c r="BK172" s="88">
        <f t="shared" si="235"/>
        <v>0</v>
      </c>
      <c r="BL172" s="88">
        <f t="shared" si="235"/>
        <v>0</v>
      </c>
      <c r="BM172" s="88">
        <f t="shared" si="235"/>
        <v>0</v>
      </c>
      <c r="BN172" s="88">
        <f t="shared" si="235"/>
        <v>0</v>
      </c>
      <c r="BO172" s="88">
        <f t="shared" si="235"/>
        <v>0</v>
      </c>
      <c r="BP172" s="88">
        <f t="shared" si="235"/>
        <v>0</v>
      </c>
      <c r="BQ172" s="88">
        <f t="shared" si="235"/>
        <v>0</v>
      </c>
      <c r="BR172" s="88">
        <f t="shared" si="235"/>
        <v>0</v>
      </c>
      <c r="BS172" s="88">
        <f t="shared" si="235"/>
        <v>0</v>
      </c>
      <c r="BT172" s="88">
        <f t="shared" si="235"/>
        <v>0</v>
      </c>
      <c r="BU172" s="88">
        <f t="shared" si="235"/>
        <v>0</v>
      </c>
      <c r="BV172" s="88">
        <f t="shared" si="235"/>
        <v>0</v>
      </c>
      <c r="BW172" s="88">
        <f t="shared" si="235"/>
        <v>0</v>
      </c>
      <c r="BX172" s="88">
        <f t="shared" si="235"/>
        <v>0</v>
      </c>
      <c r="BY172" s="88">
        <f t="shared" si="235"/>
        <v>0</v>
      </c>
      <c r="BZ172" s="88">
        <f t="shared" si="235"/>
        <v>0</v>
      </c>
      <c r="CA172" s="88">
        <f t="shared" si="235"/>
        <v>0</v>
      </c>
      <c r="CB172" s="88">
        <f t="shared" si="235"/>
        <v>0</v>
      </c>
      <c r="CC172" s="88">
        <f t="shared" si="235"/>
        <v>0</v>
      </c>
      <c r="CD172" s="88">
        <f t="shared" ref="CD172:DL172" si="236">(1+$J172)^(CD125-1)*CD31</f>
        <v>0</v>
      </c>
      <c r="CE172" s="88">
        <f t="shared" si="236"/>
        <v>0</v>
      </c>
      <c r="CF172" s="88">
        <f t="shared" si="236"/>
        <v>0</v>
      </c>
      <c r="CG172" s="88">
        <f t="shared" si="236"/>
        <v>0</v>
      </c>
      <c r="CH172" s="88">
        <f t="shared" si="236"/>
        <v>0</v>
      </c>
      <c r="CI172" s="88">
        <f t="shared" si="236"/>
        <v>0</v>
      </c>
      <c r="CJ172" s="88">
        <f t="shared" si="236"/>
        <v>0</v>
      </c>
      <c r="CK172" s="88">
        <f t="shared" si="236"/>
        <v>0</v>
      </c>
      <c r="CL172" s="88">
        <f t="shared" si="236"/>
        <v>0</v>
      </c>
      <c r="CM172" s="88">
        <f t="shared" si="236"/>
        <v>0</v>
      </c>
      <c r="CN172" s="88">
        <f t="shared" si="236"/>
        <v>0</v>
      </c>
      <c r="CO172" s="88">
        <f t="shared" si="236"/>
        <v>0</v>
      </c>
      <c r="CP172" s="88">
        <f t="shared" si="236"/>
        <v>0</v>
      </c>
      <c r="CQ172" s="88">
        <f t="shared" si="236"/>
        <v>0</v>
      </c>
      <c r="CR172" s="88">
        <f t="shared" si="236"/>
        <v>0</v>
      </c>
      <c r="CS172" s="88">
        <f t="shared" si="236"/>
        <v>0</v>
      </c>
      <c r="CT172" s="88">
        <f t="shared" si="236"/>
        <v>0</v>
      </c>
      <c r="CU172" s="88">
        <f t="shared" si="236"/>
        <v>0</v>
      </c>
      <c r="CV172" s="88">
        <f t="shared" si="236"/>
        <v>0</v>
      </c>
      <c r="CW172" s="88">
        <f t="shared" si="236"/>
        <v>0</v>
      </c>
      <c r="CX172" s="88">
        <f t="shared" si="236"/>
        <v>0</v>
      </c>
      <c r="CY172" s="88">
        <f t="shared" si="236"/>
        <v>0</v>
      </c>
      <c r="CZ172" s="88">
        <f t="shared" si="236"/>
        <v>0</v>
      </c>
      <c r="DA172" s="88">
        <f t="shared" si="236"/>
        <v>0</v>
      </c>
      <c r="DB172" s="88">
        <f t="shared" si="236"/>
        <v>0</v>
      </c>
      <c r="DC172" s="88">
        <f t="shared" si="236"/>
        <v>0</v>
      </c>
      <c r="DD172" s="88">
        <f t="shared" si="236"/>
        <v>0</v>
      </c>
      <c r="DE172" s="88">
        <f t="shared" si="236"/>
        <v>0</v>
      </c>
      <c r="DF172" s="88">
        <f t="shared" si="236"/>
        <v>0</v>
      </c>
      <c r="DG172" s="88">
        <f t="shared" si="236"/>
        <v>0</v>
      </c>
      <c r="DH172" s="88">
        <f t="shared" si="236"/>
        <v>0</v>
      </c>
      <c r="DI172" s="88">
        <f t="shared" si="236"/>
        <v>0</v>
      </c>
      <c r="DJ172" s="88">
        <f t="shared" si="236"/>
        <v>0</v>
      </c>
      <c r="DK172" s="88">
        <f t="shared" si="236"/>
        <v>0</v>
      </c>
      <c r="DL172" s="88">
        <f t="shared" si="236"/>
        <v>0</v>
      </c>
    </row>
    <row r="173" spans="2:116">
      <c r="B173" s="27">
        <f>Rentroll!$C$24</f>
        <v>4</v>
      </c>
      <c r="C173" s="69" t="str">
        <f>VLOOKUP($B173,Rentroll!$C$11:$X$29,3,FALSE)</f>
        <v>공실</v>
      </c>
      <c r="D173" s="80"/>
      <c r="E173" s="80"/>
      <c r="F173" s="81">
        <f>VLOOKUP($B173,Rentroll!$C$11:$X$29,11,FALSE)</f>
        <v>0</v>
      </c>
      <c r="G173" s="69">
        <f>VLOOKUP($B173,Rentroll!$C$11:$X$29,13,FALSE)</f>
        <v>0</v>
      </c>
      <c r="H173" s="69">
        <f>VLOOKUP($B173,Rentroll!$C$11:$X$29,14,FALSE)</f>
        <v>0</v>
      </c>
      <c r="I173" s="69">
        <f>VLOOKUP($B173,Rentroll!$C$11:$X$29,15,FALSE)</f>
        <v>0</v>
      </c>
      <c r="J173" s="82">
        <f>VLOOKUP($B173,Rentroll!$C$11:$X$29,19,FALSE)</f>
        <v>0</v>
      </c>
      <c r="K173" s="83">
        <f>VLOOKUP($B173,Rentroll!$C$11:$X$29,4,FALSE)</f>
        <v>1385.09</v>
      </c>
      <c r="L173" s="81">
        <f>VLOOKUP($B173,Rentroll!$C$11:$X$29,17,FALSE)</f>
        <v>0</v>
      </c>
      <c r="M173" s="84">
        <f>VLOOKUP($B173,Rentroll!$C$11:$X$29,18,FALSE)</f>
        <v>0</v>
      </c>
      <c r="O173" s="74">
        <f t="shared" si="200"/>
        <v>4</v>
      </c>
      <c r="P173" s="75"/>
      <c r="Q173" s="75"/>
      <c r="R173" s="88">
        <f t="shared" ref="R173:AW173" si="237">(1+$J173)^(R126-1)*R32</f>
        <v>0</v>
      </c>
      <c r="S173" s="88">
        <f t="shared" si="237"/>
        <v>0</v>
      </c>
      <c r="T173" s="88">
        <f t="shared" si="237"/>
        <v>0</v>
      </c>
      <c r="U173" s="88">
        <f t="shared" si="237"/>
        <v>0</v>
      </c>
      <c r="V173" s="88">
        <f t="shared" si="237"/>
        <v>0</v>
      </c>
      <c r="W173" s="88">
        <f t="shared" si="237"/>
        <v>0</v>
      </c>
      <c r="X173" s="88">
        <f t="shared" si="237"/>
        <v>0</v>
      </c>
      <c r="Y173" s="88">
        <f t="shared" si="237"/>
        <v>0</v>
      </c>
      <c r="Z173" s="88">
        <f t="shared" si="237"/>
        <v>0</v>
      </c>
      <c r="AA173" s="88">
        <f t="shared" si="237"/>
        <v>0</v>
      </c>
      <c r="AB173" s="88">
        <f t="shared" si="237"/>
        <v>0</v>
      </c>
      <c r="AC173" s="88">
        <f t="shared" si="237"/>
        <v>0</v>
      </c>
      <c r="AD173" s="88">
        <f t="shared" si="237"/>
        <v>0</v>
      </c>
      <c r="AE173" s="88">
        <f t="shared" si="237"/>
        <v>0</v>
      </c>
      <c r="AF173" s="88">
        <f t="shared" si="237"/>
        <v>0</v>
      </c>
      <c r="AG173" s="88">
        <f t="shared" si="237"/>
        <v>0</v>
      </c>
      <c r="AH173" s="88">
        <f t="shared" si="237"/>
        <v>0</v>
      </c>
      <c r="AI173" s="88">
        <f t="shared" si="237"/>
        <v>0</v>
      </c>
      <c r="AJ173" s="88">
        <f t="shared" si="237"/>
        <v>0</v>
      </c>
      <c r="AK173" s="88">
        <f t="shared" si="237"/>
        <v>0</v>
      </c>
      <c r="AL173" s="88">
        <f t="shared" si="237"/>
        <v>0</v>
      </c>
      <c r="AM173" s="88">
        <f t="shared" si="237"/>
        <v>0</v>
      </c>
      <c r="AN173" s="88">
        <f t="shared" si="237"/>
        <v>0</v>
      </c>
      <c r="AO173" s="88">
        <f t="shared" si="237"/>
        <v>0</v>
      </c>
      <c r="AP173" s="88">
        <f t="shared" si="237"/>
        <v>0</v>
      </c>
      <c r="AQ173" s="88">
        <f t="shared" si="237"/>
        <v>0</v>
      </c>
      <c r="AR173" s="88">
        <f t="shared" si="237"/>
        <v>0</v>
      </c>
      <c r="AS173" s="88">
        <f t="shared" si="237"/>
        <v>0</v>
      </c>
      <c r="AT173" s="88">
        <f t="shared" si="237"/>
        <v>0</v>
      </c>
      <c r="AU173" s="88">
        <f t="shared" si="237"/>
        <v>0</v>
      </c>
      <c r="AV173" s="88">
        <f t="shared" si="237"/>
        <v>0</v>
      </c>
      <c r="AW173" s="88">
        <f t="shared" si="237"/>
        <v>0</v>
      </c>
      <c r="AX173" s="88">
        <f t="shared" ref="AX173:CC173" si="238">(1+$J173)^(AX126-1)*AX32</f>
        <v>0</v>
      </c>
      <c r="AY173" s="88">
        <f t="shared" si="238"/>
        <v>0</v>
      </c>
      <c r="AZ173" s="88">
        <f t="shared" si="238"/>
        <v>0</v>
      </c>
      <c r="BA173" s="88">
        <f t="shared" si="238"/>
        <v>0</v>
      </c>
      <c r="BB173" s="88">
        <f t="shared" si="238"/>
        <v>0</v>
      </c>
      <c r="BC173" s="88">
        <f t="shared" si="238"/>
        <v>0</v>
      </c>
      <c r="BD173" s="88">
        <f t="shared" si="238"/>
        <v>0</v>
      </c>
      <c r="BE173" s="88">
        <f t="shared" si="238"/>
        <v>0</v>
      </c>
      <c r="BF173" s="88">
        <f t="shared" si="238"/>
        <v>0</v>
      </c>
      <c r="BG173" s="88">
        <f t="shared" si="238"/>
        <v>0</v>
      </c>
      <c r="BH173" s="88">
        <f t="shared" si="238"/>
        <v>0</v>
      </c>
      <c r="BI173" s="88">
        <f t="shared" si="238"/>
        <v>0</v>
      </c>
      <c r="BJ173" s="88">
        <f t="shared" si="238"/>
        <v>0</v>
      </c>
      <c r="BK173" s="88">
        <f t="shared" si="238"/>
        <v>0</v>
      </c>
      <c r="BL173" s="88">
        <f t="shared" si="238"/>
        <v>0</v>
      </c>
      <c r="BM173" s="88">
        <f t="shared" si="238"/>
        <v>0</v>
      </c>
      <c r="BN173" s="88">
        <f t="shared" si="238"/>
        <v>0</v>
      </c>
      <c r="BO173" s="88">
        <f t="shared" si="238"/>
        <v>0</v>
      </c>
      <c r="BP173" s="88">
        <f t="shared" si="238"/>
        <v>0</v>
      </c>
      <c r="BQ173" s="88">
        <f t="shared" si="238"/>
        <v>0</v>
      </c>
      <c r="BR173" s="88">
        <f t="shared" si="238"/>
        <v>0</v>
      </c>
      <c r="BS173" s="88">
        <f t="shared" si="238"/>
        <v>0</v>
      </c>
      <c r="BT173" s="88">
        <f t="shared" si="238"/>
        <v>0</v>
      </c>
      <c r="BU173" s="88">
        <f t="shared" si="238"/>
        <v>0</v>
      </c>
      <c r="BV173" s="88">
        <f t="shared" si="238"/>
        <v>0</v>
      </c>
      <c r="BW173" s="88">
        <f t="shared" si="238"/>
        <v>0</v>
      </c>
      <c r="BX173" s="88">
        <f t="shared" si="238"/>
        <v>0</v>
      </c>
      <c r="BY173" s="88">
        <f t="shared" si="238"/>
        <v>0</v>
      </c>
      <c r="BZ173" s="88">
        <f t="shared" si="238"/>
        <v>0</v>
      </c>
      <c r="CA173" s="88">
        <f t="shared" si="238"/>
        <v>0</v>
      </c>
      <c r="CB173" s="88">
        <f t="shared" si="238"/>
        <v>0</v>
      </c>
      <c r="CC173" s="88">
        <f t="shared" si="238"/>
        <v>0</v>
      </c>
      <c r="CD173" s="88">
        <f t="shared" ref="CD173:DL173" si="239">(1+$J173)^(CD126-1)*CD32</f>
        <v>0</v>
      </c>
      <c r="CE173" s="88">
        <f t="shared" si="239"/>
        <v>0</v>
      </c>
      <c r="CF173" s="88">
        <f t="shared" si="239"/>
        <v>0</v>
      </c>
      <c r="CG173" s="88">
        <f t="shared" si="239"/>
        <v>0</v>
      </c>
      <c r="CH173" s="88">
        <f t="shared" si="239"/>
        <v>0</v>
      </c>
      <c r="CI173" s="88">
        <f t="shared" si="239"/>
        <v>0</v>
      </c>
      <c r="CJ173" s="88">
        <f t="shared" si="239"/>
        <v>0</v>
      </c>
      <c r="CK173" s="88">
        <f t="shared" si="239"/>
        <v>0</v>
      </c>
      <c r="CL173" s="88">
        <f t="shared" si="239"/>
        <v>0</v>
      </c>
      <c r="CM173" s="88">
        <f t="shared" si="239"/>
        <v>0</v>
      </c>
      <c r="CN173" s="88">
        <f t="shared" si="239"/>
        <v>0</v>
      </c>
      <c r="CO173" s="88">
        <f t="shared" si="239"/>
        <v>0</v>
      </c>
      <c r="CP173" s="88">
        <f t="shared" si="239"/>
        <v>0</v>
      </c>
      <c r="CQ173" s="88">
        <f t="shared" si="239"/>
        <v>0</v>
      </c>
      <c r="CR173" s="88">
        <f t="shared" si="239"/>
        <v>0</v>
      </c>
      <c r="CS173" s="88">
        <f t="shared" si="239"/>
        <v>0</v>
      </c>
      <c r="CT173" s="88">
        <f t="shared" si="239"/>
        <v>0</v>
      </c>
      <c r="CU173" s="88">
        <f t="shared" si="239"/>
        <v>0</v>
      </c>
      <c r="CV173" s="88">
        <f t="shared" si="239"/>
        <v>0</v>
      </c>
      <c r="CW173" s="88">
        <f t="shared" si="239"/>
        <v>0</v>
      </c>
      <c r="CX173" s="88">
        <f t="shared" si="239"/>
        <v>0</v>
      </c>
      <c r="CY173" s="88">
        <f t="shared" si="239"/>
        <v>0</v>
      </c>
      <c r="CZ173" s="88">
        <f t="shared" si="239"/>
        <v>0</v>
      </c>
      <c r="DA173" s="88">
        <f t="shared" si="239"/>
        <v>0</v>
      </c>
      <c r="DB173" s="88">
        <f t="shared" si="239"/>
        <v>0</v>
      </c>
      <c r="DC173" s="88">
        <f t="shared" si="239"/>
        <v>0</v>
      </c>
      <c r="DD173" s="88">
        <f t="shared" si="239"/>
        <v>0</v>
      </c>
      <c r="DE173" s="88">
        <f t="shared" si="239"/>
        <v>0</v>
      </c>
      <c r="DF173" s="88">
        <f t="shared" si="239"/>
        <v>0</v>
      </c>
      <c r="DG173" s="88">
        <f t="shared" si="239"/>
        <v>0</v>
      </c>
      <c r="DH173" s="88">
        <f t="shared" si="239"/>
        <v>0</v>
      </c>
      <c r="DI173" s="88">
        <f t="shared" si="239"/>
        <v>0</v>
      </c>
      <c r="DJ173" s="88">
        <f t="shared" si="239"/>
        <v>0</v>
      </c>
      <c r="DK173" s="88">
        <f t="shared" si="239"/>
        <v>0</v>
      </c>
      <c r="DL173" s="88">
        <f t="shared" si="239"/>
        <v>0</v>
      </c>
    </row>
    <row r="174" spans="2:116">
      <c r="B174" s="27">
        <f>Rentroll!$C$25</f>
        <v>3</v>
      </c>
      <c r="C174" s="69" t="str">
        <f>VLOOKUP($B174,Rentroll!$C$11:$X$29,3,FALSE)</f>
        <v>공실</v>
      </c>
      <c r="D174" s="80"/>
      <c r="E174" s="80"/>
      <c r="F174" s="81">
        <f>VLOOKUP($B174,Rentroll!$C$11:$X$29,11,FALSE)</f>
        <v>0</v>
      </c>
      <c r="G174" s="69">
        <f>VLOOKUP($B174,Rentroll!$C$11:$X$29,13,FALSE)</f>
        <v>0</v>
      </c>
      <c r="H174" s="69">
        <f>VLOOKUP($B174,Rentroll!$C$11:$X$29,14,FALSE)</f>
        <v>0</v>
      </c>
      <c r="I174" s="69">
        <f>VLOOKUP($B174,Rentroll!$C$11:$X$29,15,FALSE)</f>
        <v>0</v>
      </c>
      <c r="J174" s="82">
        <f>VLOOKUP($B174,Rentroll!$C$11:$X$29,19,FALSE)</f>
        <v>0</v>
      </c>
      <c r="K174" s="83">
        <f>VLOOKUP($B174,Rentroll!$C$11:$X$29,4,FALSE)</f>
        <v>1385.09</v>
      </c>
      <c r="L174" s="81">
        <f>VLOOKUP($B174,Rentroll!$C$11:$X$29,17,FALSE)</f>
        <v>0</v>
      </c>
      <c r="M174" s="84">
        <f>VLOOKUP($B174,Rentroll!$C$11:$X$29,18,FALSE)</f>
        <v>0</v>
      </c>
      <c r="O174" s="74">
        <f t="shared" si="200"/>
        <v>3</v>
      </c>
      <c r="P174" s="75"/>
      <c r="Q174" s="75"/>
      <c r="R174" s="88">
        <f t="shared" ref="R174:AW174" si="240">(1+$J174)^(R127-1)*R33</f>
        <v>0</v>
      </c>
      <c r="S174" s="88">
        <f t="shared" si="240"/>
        <v>0</v>
      </c>
      <c r="T174" s="88">
        <f t="shared" si="240"/>
        <v>0</v>
      </c>
      <c r="U174" s="88">
        <f t="shared" si="240"/>
        <v>0</v>
      </c>
      <c r="V174" s="88">
        <f t="shared" si="240"/>
        <v>0</v>
      </c>
      <c r="W174" s="88">
        <f t="shared" si="240"/>
        <v>0</v>
      </c>
      <c r="X174" s="88">
        <f t="shared" si="240"/>
        <v>0</v>
      </c>
      <c r="Y174" s="88">
        <f t="shared" si="240"/>
        <v>0</v>
      </c>
      <c r="Z174" s="88">
        <f t="shared" si="240"/>
        <v>0</v>
      </c>
      <c r="AA174" s="88">
        <f t="shared" si="240"/>
        <v>0</v>
      </c>
      <c r="AB174" s="88">
        <f t="shared" si="240"/>
        <v>0</v>
      </c>
      <c r="AC174" s="88">
        <f t="shared" si="240"/>
        <v>0</v>
      </c>
      <c r="AD174" s="88">
        <f t="shared" si="240"/>
        <v>0</v>
      </c>
      <c r="AE174" s="88">
        <f t="shared" si="240"/>
        <v>0</v>
      </c>
      <c r="AF174" s="88">
        <f t="shared" si="240"/>
        <v>0</v>
      </c>
      <c r="AG174" s="88">
        <f t="shared" si="240"/>
        <v>0</v>
      </c>
      <c r="AH174" s="88">
        <f t="shared" si="240"/>
        <v>0</v>
      </c>
      <c r="AI174" s="88">
        <f t="shared" si="240"/>
        <v>0</v>
      </c>
      <c r="AJ174" s="88">
        <f t="shared" si="240"/>
        <v>0</v>
      </c>
      <c r="AK174" s="88">
        <f t="shared" si="240"/>
        <v>0</v>
      </c>
      <c r="AL174" s="88">
        <f t="shared" si="240"/>
        <v>0</v>
      </c>
      <c r="AM174" s="88">
        <f t="shared" si="240"/>
        <v>0</v>
      </c>
      <c r="AN174" s="88">
        <f t="shared" si="240"/>
        <v>0</v>
      </c>
      <c r="AO174" s="88">
        <f t="shared" si="240"/>
        <v>0</v>
      </c>
      <c r="AP174" s="88">
        <f t="shared" si="240"/>
        <v>0</v>
      </c>
      <c r="AQ174" s="88">
        <f t="shared" si="240"/>
        <v>0</v>
      </c>
      <c r="AR174" s="88">
        <f t="shared" si="240"/>
        <v>0</v>
      </c>
      <c r="AS174" s="88">
        <f t="shared" si="240"/>
        <v>0</v>
      </c>
      <c r="AT174" s="88">
        <f t="shared" si="240"/>
        <v>0</v>
      </c>
      <c r="AU174" s="88">
        <f t="shared" si="240"/>
        <v>0</v>
      </c>
      <c r="AV174" s="88">
        <f t="shared" si="240"/>
        <v>0</v>
      </c>
      <c r="AW174" s="88">
        <f t="shared" si="240"/>
        <v>0</v>
      </c>
      <c r="AX174" s="88">
        <f t="shared" ref="AX174:CC174" si="241">(1+$J174)^(AX127-1)*AX33</f>
        <v>0</v>
      </c>
      <c r="AY174" s="88">
        <f t="shared" si="241"/>
        <v>0</v>
      </c>
      <c r="AZ174" s="88">
        <f t="shared" si="241"/>
        <v>0</v>
      </c>
      <c r="BA174" s="88">
        <f t="shared" si="241"/>
        <v>0</v>
      </c>
      <c r="BB174" s="88">
        <f t="shared" si="241"/>
        <v>0</v>
      </c>
      <c r="BC174" s="88">
        <f t="shared" si="241"/>
        <v>0</v>
      </c>
      <c r="BD174" s="88">
        <f t="shared" si="241"/>
        <v>0</v>
      </c>
      <c r="BE174" s="88">
        <f t="shared" si="241"/>
        <v>0</v>
      </c>
      <c r="BF174" s="88">
        <f t="shared" si="241"/>
        <v>0</v>
      </c>
      <c r="BG174" s="88">
        <f t="shared" si="241"/>
        <v>0</v>
      </c>
      <c r="BH174" s="88">
        <f t="shared" si="241"/>
        <v>0</v>
      </c>
      <c r="BI174" s="88">
        <f t="shared" si="241"/>
        <v>0</v>
      </c>
      <c r="BJ174" s="88">
        <f t="shared" si="241"/>
        <v>0</v>
      </c>
      <c r="BK174" s="88">
        <f t="shared" si="241"/>
        <v>0</v>
      </c>
      <c r="BL174" s="88">
        <f t="shared" si="241"/>
        <v>0</v>
      </c>
      <c r="BM174" s="88">
        <f t="shared" si="241"/>
        <v>0</v>
      </c>
      <c r="BN174" s="88">
        <f t="shared" si="241"/>
        <v>0</v>
      </c>
      <c r="BO174" s="88">
        <f t="shared" si="241"/>
        <v>0</v>
      </c>
      <c r="BP174" s="88">
        <f t="shared" si="241"/>
        <v>0</v>
      </c>
      <c r="BQ174" s="88">
        <f t="shared" si="241"/>
        <v>0</v>
      </c>
      <c r="BR174" s="88">
        <f t="shared" si="241"/>
        <v>0</v>
      </c>
      <c r="BS174" s="88">
        <f t="shared" si="241"/>
        <v>0</v>
      </c>
      <c r="BT174" s="88">
        <f t="shared" si="241"/>
        <v>0</v>
      </c>
      <c r="BU174" s="88">
        <f t="shared" si="241"/>
        <v>0</v>
      </c>
      <c r="BV174" s="88">
        <f t="shared" si="241"/>
        <v>0</v>
      </c>
      <c r="BW174" s="88">
        <f t="shared" si="241"/>
        <v>0</v>
      </c>
      <c r="BX174" s="88">
        <f t="shared" si="241"/>
        <v>0</v>
      </c>
      <c r="BY174" s="88">
        <f t="shared" si="241"/>
        <v>0</v>
      </c>
      <c r="BZ174" s="88">
        <f t="shared" si="241"/>
        <v>0</v>
      </c>
      <c r="CA174" s="88">
        <f t="shared" si="241"/>
        <v>0</v>
      </c>
      <c r="CB174" s="88">
        <f t="shared" si="241"/>
        <v>0</v>
      </c>
      <c r="CC174" s="88">
        <f t="shared" si="241"/>
        <v>0</v>
      </c>
      <c r="CD174" s="88">
        <f t="shared" ref="CD174:DL174" si="242">(1+$J174)^(CD127-1)*CD33</f>
        <v>0</v>
      </c>
      <c r="CE174" s="88">
        <f t="shared" si="242"/>
        <v>0</v>
      </c>
      <c r="CF174" s="88">
        <f t="shared" si="242"/>
        <v>0</v>
      </c>
      <c r="CG174" s="88">
        <f t="shared" si="242"/>
        <v>0</v>
      </c>
      <c r="CH174" s="88">
        <f t="shared" si="242"/>
        <v>0</v>
      </c>
      <c r="CI174" s="88">
        <f t="shared" si="242"/>
        <v>0</v>
      </c>
      <c r="CJ174" s="88">
        <f t="shared" si="242"/>
        <v>0</v>
      </c>
      <c r="CK174" s="88">
        <f t="shared" si="242"/>
        <v>0</v>
      </c>
      <c r="CL174" s="88">
        <f t="shared" si="242"/>
        <v>0</v>
      </c>
      <c r="CM174" s="88">
        <f t="shared" si="242"/>
        <v>0</v>
      </c>
      <c r="CN174" s="88">
        <f t="shared" si="242"/>
        <v>0</v>
      </c>
      <c r="CO174" s="88">
        <f t="shared" si="242"/>
        <v>0</v>
      </c>
      <c r="CP174" s="88">
        <f t="shared" si="242"/>
        <v>0</v>
      </c>
      <c r="CQ174" s="88">
        <f t="shared" si="242"/>
        <v>0</v>
      </c>
      <c r="CR174" s="88">
        <f t="shared" si="242"/>
        <v>0</v>
      </c>
      <c r="CS174" s="88">
        <f t="shared" si="242"/>
        <v>0</v>
      </c>
      <c r="CT174" s="88">
        <f t="shared" si="242"/>
        <v>0</v>
      </c>
      <c r="CU174" s="88">
        <f t="shared" si="242"/>
        <v>0</v>
      </c>
      <c r="CV174" s="88">
        <f t="shared" si="242"/>
        <v>0</v>
      </c>
      <c r="CW174" s="88">
        <f t="shared" si="242"/>
        <v>0</v>
      </c>
      <c r="CX174" s="88">
        <f t="shared" si="242"/>
        <v>0</v>
      </c>
      <c r="CY174" s="88">
        <f t="shared" si="242"/>
        <v>0</v>
      </c>
      <c r="CZ174" s="88">
        <f t="shared" si="242"/>
        <v>0</v>
      </c>
      <c r="DA174" s="88">
        <f t="shared" si="242"/>
        <v>0</v>
      </c>
      <c r="DB174" s="88">
        <f t="shared" si="242"/>
        <v>0</v>
      </c>
      <c r="DC174" s="88">
        <f t="shared" si="242"/>
        <v>0</v>
      </c>
      <c r="DD174" s="88">
        <f t="shared" si="242"/>
        <v>0</v>
      </c>
      <c r="DE174" s="88">
        <f t="shared" si="242"/>
        <v>0</v>
      </c>
      <c r="DF174" s="88">
        <f t="shared" si="242"/>
        <v>0</v>
      </c>
      <c r="DG174" s="88">
        <f t="shared" si="242"/>
        <v>0</v>
      </c>
      <c r="DH174" s="88">
        <f t="shared" si="242"/>
        <v>0</v>
      </c>
      <c r="DI174" s="88">
        <f t="shared" si="242"/>
        <v>0</v>
      </c>
      <c r="DJ174" s="88">
        <f t="shared" si="242"/>
        <v>0</v>
      </c>
      <c r="DK174" s="88">
        <f t="shared" si="242"/>
        <v>0</v>
      </c>
      <c r="DL174" s="88">
        <f t="shared" si="242"/>
        <v>0</v>
      </c>
    </row>
    <row r="175" spans="2:116">
      <c r="B175" s="27">
        <f>Rentroll!$C$26</f>
        <v>2</v>
      </c>
      <c r="C175" s="69" t="str">
        <f>VLOOKUP($B175,Rentroll!$C$11:$X$29,3,FALSE)</f>
        <v>공실</v>
      </c>
      <c r="D175" s="80"/>
      <c r="E175" s="80"/>
      <c r="F175" s="81">
        <f>VLOOKUP($B175,Rentroll!$C$11:$X$29,11,FALSE)</f>
        <v>0</v>
      </c>
      <c r="G175" s="69">
        <f>VLOOKUP($B175,Rentroll!$C$11:$X$29,13,FALSE)</f>
        <v>0</v>
      </c>
      <c r="H175" s="69">
        <f>VLOOKUP($B175,Rentroll!$C$11:$X$29,14,FALSE)</f>
        <v>0</v>
      </c>
      <c r="I175" s="69">
        <f>VLOOKUP($B175,Rentroll!$C$11:$X$29,15,FALSE)</f>
        <v>0</v>
      </c>
      <c r="J175" s="82">
        <f>VLOOKUP($B175,Rentroll!$C$11:$X$29,19,FALSE)</f>
        <v>0</v>
      </c>
      <c r="K175" s="83">
        <f>VLOOKUP($B175,Rentroll!$C$11:$X$29,4,FALSE)</f>
        <v>1385.09</v>
      </c>
      <c r="L175" s="81">
        <f>VLOOKUP($B175,Rentroll!$C$11:$X$29,17,FALSE)</f>
        <v>0</v>
      </c>
      <c r="M175" s="84">
        <f>VLOOKUP($B175,Rentroll!$C$11:$X$29,18,FALSE)</f>
        <v>0</v>
      </c>
      <c r="O175" s="74">
        <f t="shared" si="200"/>
        <v>2</v>
      </c>
      <c r="P175" s="75"/>
      <c r="Q175" s="75"/>
      <c r="R175" s="88">
        <f t="shared" ref="R175:AW175" si="243">(1+$J175)^(R128-1)*R34</f>
        <v>0</v>
      </c>
      <c r="S175" s="88">
        <f t="shared" si="243"/>
        <v>0</v>
      </c>
      <c r="T175" s="88">
        <f t="shared" si="243"/>
        <v>0</v>
      </c>
      <c r="U175" s="88">
        <f t="shared" si="243"/>
        <v>0</v>
      </c>
      <c r="V175" s="88">
        <f t="shared" si="243"/>
        <v>0</v>
      </c>
      <c r="W175" s="88">
        <f t="shared" si="243"/>
        <v>0</v>
      </c>
      <c r="X175" s="88">
        <f t="shared" si="243"/>
        <v>0</v>
      </c>
      <c r="Y175" s="88">
        <f t="shared" si="243"/>
        <v>0</v>
      </c>
      <c r="Z175" s="88">
        <f t="shared" si="243"/>
        <v>0</v>
      </c>
      <c r="AA175" s="88">
        <f t="shared" si="243"/>
        <v>0</v>
      </c>
      <c r="AB175" s="88">
        <f t="shared" si="243"/>
        <v>0</v>
      </c>
      <c r="AC175" s="88">
        <f t="shared" si="243"/>
        <v>0</v>
      </c>
      <c r="AD175" s="88">
        <f t="shared" si="243"/>
        <v>0</v>
      </c>
      <c r="AE175" s="88">
        <f t="shared" si="243"/>
        <v>0</v>
      </c>
      <c r="AF175" s="88">
        <f t="shared" si="243"/>
        <v>0</v>
      </c>
      <c r="AG175" s="88">
        <f t="shared" si="243"/>
        <v>0</v>
      </c>
      <c r="AH175" s="88">
        <f t="shared" si="243"/>
        <v>0</v>
      </c>
      <c r="AI175" s="88">
        <f t="shared" si="243"/>
        <v>0</v>
      </c>
      <c r="AJ175" s="88">
        <f t="shared" si="243"/>
        <v>0</v>
      </c>
      <c r="AK175" s="88">
        <f t="shared" si="243"/>
        <v>0</v>
      </c>
      <c r="AL175" s="88">
        <f t="shared" si="243"/>
        <v>0</v>
      </c>
      <c r="AM175" s="88">
        <f t="shared" si="243"/>
        <v>0</v>
      </c>
      <c r="AN175" s="88">
        <f t="shared" si="243"/>
        <v>0</v>
      </c>
      <c r="AO175" s="88">
        <f t="shared" si="243"/>
        <v>0</v>
      </c>
      <c r="AP175" s="88">
        <f t="shared" si="243"/>
        <v>0</v>
      </c>
      <c r="AQ175" s="88">
        <f t="shared" si="243"/>
        <v>0</v>
      </c>
      <c r="AR175" s="88">
        <f t="shared" si="243"/>
        <v>0</v>
      </c>
      <c r="AS175" s="88">
        <f t="shared" si="243"/>
        <v>0</v>
      </c>
      <c r="AT175" s="88">
        <f t="shared" si="243"/>
        <v>0</v>
      </c>
      <c r="AU175" s="88">
        <f t="shared" si="243"/>
        <v>0</v>
      </c>
      <c r="AV175" s="88">
        <f t="shared" si="243"/>
        <v>0</v>
      </c>
      <c r="AW175" s="88">
        <f t="shared" si="243"/>
        <v>0</v>
      </c>
      <c r="AX175" s="88">
        <f t="shared" ref="AX175:CC175" si="244">(1+$J175)^(AX128-1)*AX34</f>
        <v>0</v>
      </c>
      <c r="AY175" s="88">
        <f t="shared" si="244"/>
        <v>0</v>
      </c>
      <c r="AZ175" s="88">
        <f t="shared" si="244"/>
        <v>0</v>
      </c>
      <c r="BA175" s="88">
        <f t="shared" si="244"/>
        <v>0</v>
      </c>
      <c r="BB175" s="88">
        <f t="shared" si="244"/>
        <v>0</v>
      </c>
      <c r="BC175" s="88">
        <f t="shared" si="244"/>
        <v>0</v>
      </c>
      <c r="BD175" s="88">
        <f t="shared" si="244"/>
        <v>0</v>
      </c>
      <c r="BE175" s="88">
        <f t="shared" si="244"/>
        <v>0</v>
      </c>
      <c r="BF175" s="88">
        <f t="shared" si="244"/>
        <v>0</v>
      </c>
      <c r="BG175" s="88">
        <f t="shared" si="244"/>
        <v>0</v>
      </c>
      <c r="BH175" s="88">
        <f t="shared" si="244"/>
        <v>0</v>
      </c>
      <c r="BI175" s="88">
        <f t="shared" si="244"/>
        <v>0</v>
      </c>
      <c r="BJ175" s="88">
        <f t="shared" si="244"/>
        <v>0</v>
      </c>
      <c r="BK175" s="88">
        <f t="shared" si="244"/>
        <v>0</v>
      </c>
      <c r="BL175" s="88">
        <f t="shared" si="244"/>
        <v>0</v>
      </c>
      <c r="BM175" s="88">
        <f t="shared" si="244"/>
        <v>0</v>
      </c>
      <c r="BN175" s="88">
        <f t="shared" si="244"/>
        <v>0</v>
      </c>
      <c r="BO175" s="88">
        <f t="shared" si="244"/>
        <v>0</v>
      </c>
      <c r="BP175" s="88">
        <f t="shared" si="244"/>
        <v>0</v>
      </c>
      <c r="BQ175" s="88">
        <f t="shared" si="244"/>
        <v>0</v>
      </c>
      <c r="BR175" s="88">
        <f t="shared" si="244"/>
        <v>0</v>
      </c>
      <c r="BS175" s="88">
        <f t="shared" si="244"/>
        <v>0</v>
      </c>
      <c r="BT175" s="88">
        <f t="shared" si="244"/>
        <v>0</v>
      </c>
      <c r="BU175" s="88">
        <f t="shared" si="244"/>
        <v>0</v>
      </c>
      <c r="BV175" s="88">
        <f t="shared" si="244"/>
        <v>0</v>
      </c>
      <c r="BW175" s="88">
        <f t="shared" si="244"/>
        <v>0</v>
      </c>
      <c r="BX175" s="88">
        <f t="shared" si="244"/>
        <v>0</v>
      </c>
      <c r="BY175" s="88">
        <f t="shared" si="244"/>
        <v>0</v>
      </c>
      <c r="BZ175" s="88">
        <f t="shared" si="244"/>
        <v>0</v>
      </c>
      <c r="CA175" s="88">
        <f t="shared" si="244"/>
        <v>0</v>
      </c>
      <c r="CB175" s="88">
        <f t="shared" si="244"/>
        <v>0</v>
      </c>
      <c r="CC175" s="88">
        <f t="shared" si="244"/>
        <v>0</v>
      </c>
      <c r="CD175" s="88">
        <f t="shared" ref="CD175:DL175" si="245">(1+$J175)^(CD128-1)*CD34</f>
        <v>0</v>
      </c>
      <c r="CE175" s="88">
        <f t="shared" si="245"/>
        <v>0</v>
      </c>
      <c r="CF175" s="88">
        <f t="shared" si="245"/>
        <v>0</v>
      </c>
      <c r="CG175" s="88">
        <f t="shared" si="245"/>
        <v>0</v>
      </c>
      <c r="CH175" s="88">
        <f t="shared" si="245"/>
        <v>0</v>
      </c>
      <c r="CI175" s="88">
        <f t="shared" si="245"/>
        <v>0</v>
      </c>
      <c r="CJ175" s="88">
        <f t="shared" si="245"/>
        <v>0</v>
      </c>
      <c r="CK175" s="88">
        <f t="shared" si="245"/>
        <v>0</v>
      </c>
      <c r="CL175" s="88">
        <f t="shared" si="245"/>
        <v>0</v>
      </c>
      <c r="CM175" s="88">
        <f t="shared" si="245"/>
        <v>0</v>
      </c>
      <c r="CN175" s="88">
        <f t="shared" si="245"/>
        <v>0</v>
      </c>
      <c r="CO175" s="88">
        <f t="shared" si="245"/>
        <v>0</v>
      </c>
      <c r="CP175" s="88">
        <f t="shared" si="245"/>
        <v>0</v>
      </c>
      <c r="CQ175" s="88">
        <f t="shared" si="245"/>
        <v>0</v>
      </c>
      <c r="CR175" s="88">
        <f t="shared" si="245"/>
        <v>0</v>
      </c>
      <c r="CS175" s="88">
        <f t="shared" si="245"/>
        <v>0</v>
      </c>
      <c r="CT175" s="88">
        <f t="shared" si="245"/>
        <v>0</v>
      </c>
      <c r="CU175" s="88">
        <f t="shared" si="245"/>
        <v>0</v>
      </c>
      <c r="CV175" s="88">
        <f t="shared" si="245"/>
        <v>0</v>
      </c>
      <c r="CW175" s="88">
        <f t="shared" si="245"/>
        <v>0</v>
      </c>
      <c r="CX175" s="88">
        <f t="shared" si="245"/>
        <v>0</v>
      </c>
      <c r="CY175" s="88">
        <f t="shared" si="245"/>
        <v>0</v>
      </c>
      <c r="CZ175" s="88">
        <f t="shared" si="245"/>
        <v>0</v>
      </c>
      <c r="DA175" s="88">
        <f t="shared" si="245"/>
        <v>0</v>
      </c>
      <c r="DB175" s="88">
        <f t="shared" si="245"/>
        <v>0</v>
      </c>
      <c r="DC175" s="88">
        <f t="shared" si="245"/>
        <v>0</v>
      </c>
      <c r="DD175" s="88">
        <f t="shared" si="245"/>
        <v>0</v>
      </c>
      <c r="DE175" s="88">
        <f t="shared" si="245"/>
        <v>0</v>
      </c>
      <c r="DF175" s="88">
        <f t="shared" si="245"/>
        <v>0</v>
      </c>
      <c r="DG175" s="88">
        <f t="shared" si="245"/>
        <v>0</v>
      </c>
      <c r="DH175" s="88">
        <f t="shared" si="245"/>
        <v>0</v>
      </c>
      <c r="DI175" s="88">
        <f t="shared" si="245"/>
        <v>0</v>
      </c>
      <c r="DJ175" s="88">
        <f t="shared" si="245"/>
        <v>0</v>
      </c>
      <c r="DK175" s="88">
        <f t="shared" si="245"/>
        <v>0</v>
      </c>
      <c r="DL175" s="88">
        <f t="shared" si="245"/>
        <v>0</v>
      </c>
    </row>
    <row r="176" spans="2:116">
      <c r="B176" s="27">
        <f>Rentroll!$C$27</f>
        <v>1</v>
      </c>
      <c r="C176" s="69" t="str">
        <f>VLOOKUP($B176,Rentroll!$C$11:$X$29,3,FALSE)</f>
        <v>파파 커피앤도넛</v>
      </c>
      <c r="D176" s="80">
        <f>VLOOKUP($B176,Rentroll!$C$11:$X$29,9,FALSE)</f>
        <v>42064</v>
      </c>
      <c r="E176" s="80">
        <f>VLOOKUP($B176,Rentroll!$C$11:$X$29,10,FALSE)</f>
        <v>45716</v>
      </c>
      <c r="F176" s="81">
        <f>VLOOKUP($B176,Rentroll!$C$11:$X$29,11,FALSE)</f>
        <v>120</v>
      </c>
      <c r="G176" s="69">
        <f>VLOOKUP($B176,Rentroll!$C$11:$X$29,13,FALSE)</f>
        <v>91334</v>
      </c>
      <c r="H176" s="69">
        <f>VLOOKUP($B176,Rentroll!$C$11:$X$29,14,FALSE)</f>
        <v>83722.833333333328</v>
      </c>
      <c r="I176" s="69">
        <f>VLOOKUP($B176,Rentroll!$C$11:$X$29,15,FALSE)</f>
        <v>39143</v>
      </c>
      <c r="J176" s="82">
        <f>VLOOKUP($B176,Rentroll!$C$11:$X$29,19,FALSE)</f>
        <v>0.03</v>
      </c>
      <c r="K176" s="83">
        <f>VLOOKUP($B176,Rentroll!$C$11:$X$29,4,FALSE)</f>
        <v>969.56</v>
      </c>
      <c r="L176" s="81">
        <f>VLOOKUP($B176,Rentroll!$C$11:$X$29,17,FALSE)</f>
        <v>0</v>
      </c>
      <c r="M176" s="84">
        <f>VLOOKUP($B176,Rentroll!$C$11:$X$29,18,FALSE)</f>
        <v>1</v>
      </c>
      <c r="O176" s="74">
        <f t="shared" si="200"/>
        <v>1</v>
      </c>
      <c r="P176" s="75"/>
      <c r="Q176" s="75"/>
      <c r="R176" s="88">
        <f t="shared" ref="R176:AW176" si="246">(1+$J176)^(R129-1)*R35</f>
        <v>0</v>
      </c>
      <c r="S176" s="88">
        <f t="shared" si="246"/>
        <v>1</v>
      </c>
      <c r="T176" s="88">
        <f t="shared" si="246"/>
        <v>0</v>
      </c>
      <c r="U176" s="88">
        <f t="shared" si="246"/>
        <v>0</v>
      </c>
      <c r="V176" s="88">
        <f t="shared" si="246"/>
        <v>0</v>
      </c>
      <c r="W176" s="88">
        <f t="shared" si="246"/>
        <v>0</v>
      </c>
      <c r="X176" s="88">
        <f t="shared" si="246"/>
        <v>0</v>
      </c>
      <c r="Y176" s="88">
        <f t="shared" si="246"/>
        <v>0</v>
      </c>
      <c r="Z176" s="88">
        <f t="shared" si="246"/>
        <v>0</v>
      </c>
      <c r="AA176" s="88">
        <f t="shared" si="246"/>
        <v>0</v>
      </c>
      <c r="AB176" s="88">
        <f t="shared" si="246"/>
        <v>0</v>
      </c>
      <c r="AC176" s="88">
        <f t="shared" si="246"/>
        <v>0</v>
      </c>
      <c r="AD176" s="88">
        <f t="shared" si="246"/>
        <v>0</v>
      </c>
      <c r="AE176" s="88">
        <f t="shared" si="246"/>
        <v>0</v>
      </c>
      <c r="AF176" s="88">
        <f t="shared" si="246"/>
        <v>0</v>
      </c>
      <c r="AG176" s="88">
        <f t="shared" si="246"/>
        <v>0</v>
      </c>
      <c r="AH176" s="88">
        <f t="shared" si="246"/>
        <v>0</v>
      </c>
      <c r="AI176" s="88">
        <f t="shared" si="246"/>
        <v>0</v>
      </c>
      <c r="AJ176" s="88">
        <f t="shared" si="246"/>
        <v>0</v>
      </c>
      <c r="AK176" s="88">
        <f t="shared" si="246"/>
        <v>0</v>
      </c>
      <c r="AL176" s="88">
        <f t="shared" si="246"/>
        <v>0</v>
      </c>
      <c r="AM176" s="88">
        <f t="shared" si="246"/>
        <v>0</v>
      </c>
      <c r="AN176" s="88">
        <f t="shared" si="246"/>
        <v>0</v>
      </c>
      <c r="AO176" s="88">
        <f t="shared" si="246"/>
        <v>0</v>
      </c>
      <c r="AP176" s="88">
        <f t="shared" si="246"/>
        <v>0</v>
      </c>
      <c r="AQ176" s="88">
        <f t="shared" si="246"/>
        <v>0</v>
      </c>
      <c r="AR176" s="88">
        <f t="shared" si="246"/>
        <v>0</v>
      </c>
      <c r="AS176" s="88">
        <f t="shared" si="246"/>
        <v>0</v>
      </c>
      <c r="AT176" s="88">
        <f t="shared" si="246"/>
        <v>0</v>
      </c>
      <c r="AU176" s="88">
        <f t="shared" si="246"/>
        <v>0</v>
      </c>
      <c r="AV176" s="88">
        <f t="shared" si="246"/>
        <v>0</v>
      </c>
      <c r="AW176" s="88">
        <f t="shared" si="246"/>
        <v>0</v>
      </c>
      <c r="AX176" s="88">
        <f t="shared" ref="AX176:CC176" si="247">(1+$J176)^(AX129-1)*AX35</f>
        <v>0</v>
      </c>
      <c r="AY176" s="88">
        <f t="shared" si="247"/>
        <v>0</v>
      </c>
      <c r="AZ176" s="88">
        <f t="shared" si="247"/>
        <v>0</v>
      </c>
      <c r="BA176" s="88">
        <f t="shared" si="247"/>
        <v>0</v>
      </c>
      <c r="BB176" s="88">
        <f t="shared" si="247"/>
        <v>0</v>
      </c>
      <c r="BC176" s="88">
        <f t="shared" si="247"/>
        <v>0</v>
      </c>
      <c r="BD176" s="88">
        <f t="shared" si="247"/>
        <v>0</v>
      </c>
      <c r="BE176" s="88">
        <f t="shared" si="247"/>
        <v>0</v>
      </c>
      <c r="BF176" s="88">
        <f t="shared" si="247"/>
        <v>0</v>
      </c>
      <c r="BG176" s="88">
        <f t="shared" si="247"/>
        <v>0</v>
      </c>
      <c r="BH176" s="88">
        <f t="shared" si="247"/>
        <v>0</v>
      </c>
      <c r="BI176" s="88">
        <f t="shared" si="247"/>
        <v>0</v>
      </c>
      <c r="BJ176" s="88">
        <f t="shared" si="247"/>
        <v>0</v>
      </c>
      <c r="BK176" s="88">
        <f t="shared" si="247"/>
        <v>0</v>
      </c>
      <c r="BL176" s="88">
        <f t="shared" si="247"/>
        <v>0</v>
      </c>
      <c r="BM176" s="88">
        <f t="shared" si="247"/>
        <v>0</v>
      </c>
      <c r="BN176" s="88">
        <f t="shared" si="247"/>
        <v>0</v>
      </c>
      <c r="BO176" s="88">
        <f t="shared" si="247"/>
        <v>0</v>
      </c>
      <c r="BP176" s="88">
        <f t="shared" si="247"/>
        <v>0</v>
      </c>
      <c r="BQ176" s="88">
        <f t="shared" si="247"/>
        <v>0</v>
      </c>
      <c r="BR176" s="88">
        <f t="shared" si="247"/>
        <v>0</v>
      </c>
      <c r="BS176" s="88">
        <f t="shared" si="247"/>
        <v>0</v>
      </c>
      <c r="BT176" s="88">
        <f t="shared" si="247"/>
        <v>0</v>
      </c>
      <c r="BU176" s="88">
        <f t="shared" si="247"/>
        <v>0</v>
      </c>
      <c r="BV176" s="88">
        <f t="shared" si="247"/>
        <v>0</v>
      </c>
      <c r="BW176" s="88">
        <f t="shared" si="247"/>
        <v>0</v>
      </c>
      <c r="BX176" s="88">
        <f t="shared" si="247"/>
        <v>0</v>
      </c>
      <c r="BY176" s="88">
        <f t="shared" si="247"/>
        <v>0</v>
      </c>
      <c r="BZ176" s="88">
        <f t="shared" si="247"/>
        <v>0</v>
      </c>
      <c r="CA176" s="88">
        <f t="shared" si="247"/>
        <v>0</v>
      </c>
      <c r="CB176" s="88">
        <f t="shared" si="247"/>
        <v>0</v>
      </c>
      <c r="CC176" s="88">
        <f t="shared" si="247"/>
        <v>0</v>
      </c>
      <c r="CD176" s="88">
        <f t="shared" ref="CD176:DL176" si="248">(1+$J176)^(CD129-1)*CD35</f>
        <v>0</v>
      </c>
      <c r="CE176" s="88">
        <f t="shared" si="248"/>
        <v>0</v>
      </c>
      <c r="CF176" s="88">
        <f t="shared" si="248"/>
        <v>0</v>
      </c>
      <c r="CG176" s="88">
        <f t="shared" si="248"/>
        <v>0</v>
      </c>
      <c r="CH176" s="88">
        <f t="shared" si="248"/>
        <v>0</v>
      </c>
      <c r="CI176" s="88">
        <f t="shared" si="248"/>
        <v>0</v>
      </c>
      <c r="CJ176" s="88">
        <f t="shared" si="248"/>
        <v>0</v>
      </c>
      <c r="CK176" s="88">
        <f t="shared" si="248"/>
        <v>0</v>
      </c>
      <c r="CL176" s="88">
        <f t="shared" si="248"/>
        <v>0</v>
      </c>
      <c r="CM176" s="88">
        <f t="shared" si="248"/>
        <v>0</v>
      </c>
      <c r="CN176" s="88">
        <f t="shared" si="248"/>
        <v>0</v>
      </c>
      <c r="CO176" s="88">
        <f t="shared" si="248"/>
        <v>0</v>
      </c>
      <c r="CP176" s="88">
        <f t="shared" si="248"/>
        <v>0</v>
      </c>
      <c r="CQ176" s="88">
        <f t="shared" si="248"/>
        <v>0</v>
      </c>
      <c r="CR176" s="88">
        <f t="shared" si="248"/>
        <v>0</v>
      </c>
      <c r="CS176" s="88">
        <f t="shared" si="248"/>
        <v>0</v>
      </c>
      <c r="CT176" s="88">
        <f t="shared" si="248"/>
        <v>0</v>
      </c>
      <c r="CU176" s="88">
        <f t="shared" si="248"/>
        <v>0</v>
      </c>
      <c r="CV176" s="88">
        <f t="shared" si="248"/>
        <v>0</v>
      </c>
      <c r="CW176" s="88">
        <f t="shared" si="248"/>
        <v>0</v>
      </c>
      <c r="CX176" s="88">
        <f t="shared" si="248"/>
        <v>0</v>
      </c>
      <c r="CY176" s="88">
        <f t="shared" si="248"/>
        <v>0</v>
      </c>
      <c r="CZ176" s="88">
        <f t="shared" si="248"/>
        <v>0</v>
      </c>
      <c r="DA176" s="88">
        <f t="shared" si="248"/>
        <v>0</v>
      </c>
      <c r="DB176" s="88">
        <f t="shared" si="248"/>
        <v>0</v>
      </c>
      <c r="DC176" s="88">
        <f t="shared" si="248"/>
        <v>0</v>
      </c>
      <c r="DD176" s="88">
        <f t="shared" si="248"/>
        <v>0</v>
      </c>
      <c r="DE176" s="88">
        <f t="shared" si="248"/>
        <v>0</v>
      </c>
      <c r="DF176" s="88">
        <f t="shared" si="248"/>
        <v>0</v>
      </c>
      <c r="DG176" s="88">
        <f t="shared" si="248"/>
        <v>0</v>
      </c>
      <c r="DH176" s="88">
        <f t="shared" si="248"/>
        <v>0</v>
      </c>
      <c r="DI176" s="88">
        <f t="shared" si="248"/>
        <v>0</v>
      </c>
      <c r="DJ176" s="88">
        <f t="shared" si="248"/>
        <v>0</v>
      </c>
      <c r="DK176" s="88">
        <f t="shared" si="248"/>
        <v>0</v>
      </c>
      <c r="DL176" s="88">
        <f t="shared" si="248"/>
        <v>0</v>
      </c>
    </row>
    <row r="177" spans="2:116">
      <c r="B177" s="27" t="str">
        <f>Rentroll!$C$28</f>
        <v>B101호</v>
      </c>
      <c r="C177" s="69" t="str">
        <f>VLOOKUP($B177,Rentroll!$C$11:$X$29,3,FALSE)</f>
        <v>퀸즈 샌드위치</v>
      </c>
      <c r="D177" s="80">
        <f>VLOOKUP($B177,Rentroll!$C$11:$X$29,9,FALSE)</f>
        <v>44926</v>
      </c>
      <c r="E177" s="80">
        <f>VLOOKUP($B177,Rentroll!$C$11:$X$29,10,FALSE)</f>
        <v>46751</v>
      </c>
      <c r="F177" s="81">
        <f>VLOOKUP($B177,Rentroll!$C$11:$X$29,11,FALSE)</f>
        <v>60</v>
      </c>
      <c r="G177" s="69">
        <f>VLOOKUP($B177,Rentroll!$C$11:$X$29,13,FALSE)</f>
        <v>21218</v>
      </c>
      <c r="H177" s="69">
        <f>VLOOKUP($B177,Rentroll!$C$11:$X$29,14,FALSE)</f>
        <v>17681.666666666668</v>
      </c>
      <c r="I177" s="69">
        <f>VLOOKUP($B177,Rentroll!$C$11:$X$29,15,FALSE)</f>
        <v>31827</v>
      </c>
      <c r="J177" s="82">
        <f>VLOOKUP($B177,Rentroll!$C$11:$X$29,19,FALSE)</f>
        <v>0.03</v>
      </c>
      <c r="K177" s="83">
        <f>VLOOKUP($B177,Rentroll!$C$11:$X$29,4,FALSE)</f>
        <v>969.56</v>
      </c>
      <c r="L177" s="81">
        <f>VLOOKUP($B177,Rentroll!$C$11:$X$29,17,FALSE)</f>
        <v>0</v>
      </c>
      <c r="M177" s="84">
        <f>VLOOKUP($B177,Rentroll!$C$11:$X$29,18,FALSE)</f>
        <v>2</v>
      </c>
      <c r="O177" s="74" t="str">
        <f t="shared" si="200"/>
        <v>B101호</v>
      </c>
      <c r="P177" s="75"/>
      <c r="Q177" s="75"/>
      <c r="R177" s="88">
        <f t="shared" ref="R177:AW177" si="249">(1+$J177)^(R130-1)*R36</f>
        <v>0</v>
      </c>
      <c r="S177" s="88">
        <f t="shared" si="249"/>
        <v>1</v>
      </c>
      <c r="T177" s="88">
        <f t="shared" si="249"/>
        <v>1</v>
      </c>
      <c r="U177" s="88">
        <f t="shared" si="249"/>
        <v>1</v>
      </c>
      <c r="V177" s="88">
        <f t="shared" si="249"/>
        <v>1</v>
      </c>
      <c r="W177" s="88">
        <f t="shared" si="249"/>
        <v>1</v>
      </c>
      <c r="X177" s="88">
        <f t="shared" si="249"/>
        <v>1</v>
      </c>
      <c r="Y177" s="88">
        <f t="shared" si="249"/>
        <v>1</v>
      </c>
      <c r="Z177" s="88">
        <f t="shared" si="249"/>
        <v>1</v>
      </c>
      <c r="AA177" s="88">
        <f t="shared" si="249"/>
        <v>1</v>
      </c>
      <c r="AB177" s="88">
        <f t="shared" si="249"/>
        <v>1</v>
      </c>
      <c r="AC177" s="88">
        <f t="shared" si="249"/>
        <v>1</v>
      </c>
      <c r="AD177" s="88">
        <f t="shared" si="249"/>
        <v>1.03</v>
      </c>
      <c r="AE177" s="88">
        <f t="shared" si="249"/>
        <v>1.03</v>
      </c>
      <c r="AF177" s="88">
        <f t="shared" si="249"/>
        <v>1.03</v>
      </c>
      <c r="AG177" s="88">
        <f t="shared" si="249"/>
        <v>1.03</v>
      </c>
      <c r="AH177" s="88">
        <f t="shared" si="249"/>
        <v>1.03</v>
      </c>
      <c r="AI177" s="88">
        <f t="shared" si="249"/>
        <v>1.03</v>
      </c>
      <c r="AJ177" s="88">
        <f t="shared" si="249"/>
        <v>1.03</v>
      </c>
      <c r="AK177" s="88">
        <f t="shared" si="249"/>
        <v>1.03</v>
      </c>
      <c r="AL177" s="88">
        <f t="shared" si="249"/>
        <v>1.03</v>
      </c>
      <c r="AM177" s="88">
        <f t="shared" si="249"/>
        <v>1.03</v>
      </c>
      <c r="AN177" s="88">
        <f t="shared" si="249"/>
        <v>1.03</v>
      </c>
      <c r="AO177" s="88">
        <f t="shared" si="249"/>
        <v>1.03</v>
      </c>
      <c r="AP177" s="88">
        <f t="shared" si="249"/>
        <v>1.0609</v>
      </c>
      <c r="AQ177" s="88">
        <f t="shared" si="249"/>
        <v>1.0609</v>
      </c>
      <c r="AR177" s="88">
        <f t="shared" si="249"/>
        <v>1.0609</v>
      </c>
      <c r="AS177" s="88">
        <f t="shared" si="249"/>
        <v>1.0609</v>
      </c>
      <c r="AT177" s="88">
        <f t="shared" si="249"/>
        <v>1.0609</v>
      </c>
      <c r="AU177" s="88">
        <f t="shared" si="249"/>
        <v>1.0609</v>
      </c>
      <c r="AV177" s="88">
        <f t="shared" si="249"/>
        <v>1.0609</v>
      </c>
      <c r="AW177" s="88">
        <f t="shared" si="249"/>
        <v>1.0609</v>
      </c>
      <c r="AX177" s="88">
        <f t="shared" ref="AX177:CC177" si="250">(1+$J177)^(AX130-1)*AX36</f>
        <v>1.0609</v>
      </c>
      <c r="AY177" s="88">
        <f t="shared" si="250"/>
        <v>1.0609</v>
      </c>
      <c r="AZ177" s="88">
        <f t="shared" si="250"/>
        <v>1.0609</v>
      </c>
      <c r="BA177" s="88">
        <f t="shared" si="250"/>
        <v>1.0609</v>
      </c>
      <c r="BB177" s="88">
        <f t="shared" si="250"/>
        <v>0</v>
      </c>
      <c r="BC177" s="88">
        <f t="shared" si="250"/>
        <v>0</v>
      </c>
      <c r="BD177" s="88">
        <f t="shared" si="250"/>
        <v>0</v>
      </c>
      <c r="BE177" s="88">
        <f t="shared" si="250"/>
        <v>0</v>
      </c>
      <c r="BF177" s="88">
        <f t="shared" si="250"/>
        <v>0</v>
      </c>
      <c r="BG177" s="88">
        <f t="shared" si="250"/>
        <v>0</v>
      </c>
      <c r="BH177" s="88">
        <f t="shared" si="250"/>
        <v>0</v>
      </c>
      <c r="BI177" s="88">
        <f t="shared" si="250"/>
        <v>0</v>
      </c>
      <c r="BJ177" s="88">
        <f t="shared" si="250"/>
        <v>0</v>
      </c>
      <c r="BK177" s="88">
        <f t="shared" si="250"/>
        <v>0</v>
      </c>
      <c r="BL177" s="88">
        <f t="shared" si="250"/>
        <v>0</v>
      </c>
      <c r="BM177" s="88">
        <f t="shared" si="250"/>
        <v>0</v>
      </c>
      <c r="BN177" s="88">
        <f t="shared" si="250"/>
        <v>0</v>
      </c>
      <c r="BO177" s="88">
        <f t="shared" si="250"/>
        <v>0</v>
      </c>
      <c r="BP177" s="88">
        <f t="shared" si="250"/>
        <v>0</v>
      </c>
      <c r="BQ177" s="88">
        <f t="shared" si="250"/>
        <v>0</v>
      </c>
      <c r="BR177" s="88">
        <f t="shared" si="250"/>
        <v>0</v>
      </c>
      <c r="BS177" s="88">
        <f t="shared" si="250"/>
        <v>0</v>
      </c>
      <c r="BT177" s="88">
        <f t="shared" si="250"/>
        <v>0</v>
      </c>
      <c r="BU177" s="88">
        <f t="shared" si="250"/>
        <v>0</v>
      </c>
      <c r="BV177" s="88">
        <f t="shared" si="250"/>
        <v>0</v>
      </c>
      <c r="BW177" s="88">
        <f t="shared" si="250"/>
        <v>0</v>
      </c>
      <c r="BX177" s="88">
        <f t="shared" si="250"/>
        <v>0</v>
      </c>
      <c r="BY177" s="88">
        <f t="shared" si="250"/>
        <v>0</v>
      </c>
      <c r="BZ177" s="88">
        <f t="shared" si="250"/>
        <v>0</v>
      </c>
      <c r="CA177" s="88">
        <f t="shared" si="250"/>
        <v>0</v>
      </c>
      <c r="CB177" s="88">
        <f t="shared" si="250"/>
        <v>0</v>
      </c>
      <c r="CC177" s="88">
        <f t="shared" si="250"/>
        <v>0</v>
      </c>
      <c r="CD177" s="88">
        <f t="shared" ref="CD177:DL177" si="251">(1+$J177)^(CD130-1)*CD36</f>
        <v>0</v>
      </c>
      <c r="CE177" s="88">
        <f t="shared" si="251"/>
        <v>0</v>
      </c>
      <c r="CF177" s="88">
        <f t="shared" si="251"/>
        <v>0</v>
      </c>
      <c r="CG177" s="88">
        <f t="shared" si="251"/>
        <v>0</v>
      </c>
      <c r="CH177" s="88">
        <f t="shared" si="251"/>
        <v>0</v>
      </c>
      <c r="CI177" s="88">
        <f t="shared" si="251"/>
        <v>0</v>
      </c>
      <c r="CJ177" s="88">
        <f t="shared" si="251"/>
        <v>0</v>
      </c>
      <c r="CK177" s="88">
        <f t="shared" si="251"/>
        <v>0</v>
      </c>
      <c r="CL177" s="88">
        <f t="shared" si="251"/>
        <v>0</v>
      </c>
      <c r="CM177" s="88">
        <f t="shared" si="251"/>
        <v>0</v>
      </c>
      <c r="CN177" s="88">
        <f t="shared" si="251"/>
        <v>0</v>
      </c>
      <c r="CO177" s="88">
        <f t="shared" si="251"/>
        <v>0</v>
      </c>
      <c r="CP177" s="88">
        <f t="shared" si="251"/>
        <v>0</v>
      </c>
      <c r="CQ177" s="88">
        <f t="shared" si="251"/>
        <v>0</v>
      </c>
      <c r="CR177" s="88">
        <f t="shared" si="251"/>
        <v>0</v>
      </c>
      <c r="CS177" s="88">
        <f t="shared" si="251"/>
        <v>0</v>
      </c>
      <c r="CT177" s="88">
        <f t="shared" si="251"/>
        <v>0</v>
      </c>
      <c r="CU177" s="88">
        <f t="shared" si="251"/>
        <v>0</v>
      </c>
      <c r="CV177" s="88">
        <f t="shared" si="251"/>
        <v>0</v>
      </c>
      <c r="CW177" s="88">
        <f t="shared" si="251"/>
        <v>0</v>
      </c>
      <c r="CX177" s="88">
        <f t="shared" si="251"/>
        <v>0</v>
      </c>
      <c r="CY177" s="88">
        <f t="shared" si="251"/>
        <v>0</v>
      </c>
      <c r="CZ177" s="88">
        <f t="shared" si="251"/>
        <v>0</v>
      </c>
      <c r="DA177" s="88">
        <f t="shared" si="251"/>
        <v>0</v>
      </c>
      <c r="DB177" s="88">
        <f t="shared" si="251"/>
        <v>0</v>
      </c>
      <c r="DC177" s="88">
        <f t="shared" si="251"/>
        <v>0</v>
      </c>
      <c r="DD177" s="88">
        <f t="shared" si="251"/>
        <v>0</v>
      </c>
      <c r="DE177" s="88">
        <f t="shared" si="251"/>
        <v>0</v>
      </c>
      <c r="DF177" s="88">
        <f t="shared" si="251"/>
        <v>0</v>
      </c>
      <c r="DG177" s="88">
        <f t="shared" si="251"/>
        <v>0</v>
      </c>
      <c r="DH177" s="88">
        <f t="shared" si="251"/>
        <v>0</v>
      </c>
      <c r="DI177" s="88">
        <f t="shared" si="251"/>
        <v>0</v>
      </c>
      <c r="DJ177" s="88">
        <f t="shared" si="251"/>
        <v>0</v>
      </c>
      <c r="DK177" s="88">
        <f t="shared" si="251"/>
        <v>0</v>
      </c>
      <c r="DL177" s="88">
        <f t="shared" si="251"/>
        <v>0</v>
      </c>
    </row>
    <row r="178" spans="2:116">
      <c r="B178" s="27" t="str">
        <f>Rentroll!$C$29</f>
        <v>B102호</v>
      </c>
      <c r="C178" s="69" t="str">
        <f>VLOOKUP($B178,Rentroll!$C$11:$X$29,3,FALSE)</f>
        <v>로미오 문구점</v>
      </c>
      <c r="D178" s="80">
        <f>VLOOKUP($B178,Rentroll!$C$11:$X$29,9,FALSE)</f>
        <v>44592</v>
      </c>
      <c r="E178" s="80">
        <f>VLOOKUP($B178,Rentroll!$C$11:$X$29,10,FALSE)</f>
        <v>46417</v>
      </c>
      <c r="F178" s="81">
        <f>VLOOKUP($B178,Rentroll!$C$11:$X$29,11,FALSE)</f>
        <v>60</v>
      </c>
      <c r="G178" s="69">
        <f>VLOOKUP($B178,Rentroll!$C$11:$X$29,13,FALSE)</f>
        <v>31827</v>
      </c>
      <c r="H178" s="69">
        <f>VLOOKUP($B178,Rentroll!$C$11:$X$29,14,FALSE)</f>
        <v>23870.25</v>
      </c>
      <c r="I178" s="69">
        <f>VLOOKUP($B178,Rentroll!$C$11:$X$29,15,FALSE)</f>
        <v>31827</v>
      </c>
      <c r="J178" s="82">
        <f>VLOOKUP($B178,Rentroll!$C$11:$X$29,19,FALSE)</f>
        <v>0.03</v>
      </c>
      <c r="K178" s="83">
        <f>VLOOKUP($B178,Rentroll!$C$11:$X$29,4,FALSE)</f>
        <v>969.56</v>
      </c>
      <c r="L178" s="81">
        <f>VLOOKUP($B178,Rentroll!$C$11:$X$29,17,FALSE)</f>
        <v>0</v>
      </c>
      <c r="M178" s="84">
        <f>VLOOKUP($B178,Rentroll!$C$11:$X$29,18,FALSE)</f>
        <v>3</v>
      </c>
      <c r="O178" s="26" t="str">
        <f t="shared" si="200"/>
        <v>B102호</v>
      </c>
      <c r="P178" s="76"/>
      <c r="Q178" s="76"/>
      <c r="R178" s="89">
        <f t="shared" ref="R178:AW178" si="252">(1+$J178)^(R131-1)*R37</f>
        <v>0</v>
      </c>
      <c r="S178" s="89">
        <f t="shared" si="252"/>
        <v>1</v>
      </c>
      <c r="T178" s="89">
        <f t="shared" si="252"/>
        <v>1</v>
      </c>
      <c r="U178" s="89">
        <f t="shared" si="252"/>
        <v>1</v>
      </c>
      <c r="V178" s="89">
        <f t="shared" si="252"/>
        <v>1</v>
      </c>
      <c r="W178" s="89">
        <f t="shared" si="252"/>
        <v>1</v>
      </c>
      <c r="X178" s="89">
        <f t="shared" si="252"/>
        <v>1</v>
      </c>
      <c r="Y178" s="89">
        <f t="shared" si="252"/>
        <v>1</v>
      </c>
      <c r="Z178" s="89">
        <f t="shared" si="252"/>
        <v>1</v>
      </c>
      <c r="AA178" s="89">
        <f t="shared" si="252"/>
        <v>1</v>
      </c>
      <c r="AB178" s="89">
        <f t="shared" si="252"/>
        <v>1</v>
      </c>
      <c r="AC178" s="89">
        <f t="shared" si="252"/>
        <v>1</v>
      </c>
      <c r="AD178" s="89">
        <f t="shared" si="252"/>
        <v>1</v>
      </c>
      <c r="AE178" s="89">
        <f t="shared" si="252"/>
        <v>1.03</v>
      </c>
      <c r="AF178" s="89">
        <f t="shared" si="252"/>
        <v>1.03</v>
      </c>
      <c r="AG178" s="89">
        <f t="shared" si="252"/>
        <v>1.03</v>
      </c>
      <c r="AH178" s="89">
        <f t="shared" si="252"/>
        <v>1.03</v>
      </c>
      <c r="AI178" s="89">
        <f t="shared" si="252"/>
        <v>1.03</v>
      </c>
      <c r="AJ178" s="89">
        <f t="shared" si="252"/>
        <v>1.03</v>
      </c>
      <c r="AK178" s="89">
        <f t="shared" si="252"/>
        <v>1.03</v>
      </c>
      <c r="AL178" s="89">
        <f t="shared" si="252"/>
        <v>1.03</v>
      </c>
      <c r="AM178" s="89">
        <f t="shared" si="252"/>
        <v>1.03</v>
      </c>
      <c r="AN178" s="89">
        <f t="shared" si="252"/>
        <v>1.03</v>
      </c>
      <c r="AO178" s="89">
        <f t="shared" si="252"/>
        <v>1.03</v>
      </c>
      <c r="AP178" s="89">
        <f t="shared" si="252"/>
        <v>1.03</v>
      </c>
      <c r="AQ178" s="89">
        <f t="shared" si="252"/>
        <v>0</v>
      </c>
      <c r="AR178" s="89">
        <f t="shared" si="252"/>
        <v>0</v>
      </c>
      <c r="AS178" s="89">
        <f t="shared" si="252"/>
        <v>0</v>
      </c>
      <c r="AT178" s="89">
        <f t="shared" si="252"/>
        <v>0</v>
      </c>
      <c r="AU178" s="89">
        <f t="shared" si="252"/>
        <v>0</v>
      </c>
      <c r="AV178" s="89">
        <f t="shared" si="252"/>
        <v>0</v>
      </c>
      <c r="AW178" s="89">
        <f t="shared" si="252"/>
        <v>0</v>
      </c>
      <c r="AX178" s="89">
        <f t="shared" ref="AX178:CC178" si="253">(1+$J178)^(AX131-1)*AX37</f>
        <v>0</v>
      </c>
      <c r="AY178" s="89">
        <f t="shared" si="253"/>
        <v>0</v>
      </c>
      <c r="AZ178" s="89">
        <f t="shared" si="253"/>
        <v>0</v>
      </c>
      <c r="BA178" s="89">
        <f t="shared" si="253"/>
        <v>0</v>
      </c>
      <c r="BB178" s="89">
        <f t="shared" si="253"/>
        <v>0</v>
      </c>
      <c r="BC178" s="89">
        <f t="shared" si="253"/>
        <v>0</v>
      </c>
      <c r="BD178" s="89">
        <f t="shared" si="253"/>
        <v>0</v>
      </c>
      <c r="BE178" s="89">
        <f t="shared" si="253"/>
        <v>0</v>
      </c>
      <c r="BF178" s="89">
        <f t="shared" si="253"/>
        <v>0</v>
      </c>
      <c r="BG178" s="89">
        <f t="shared" si="253"/>
        <v>0</v>
      </c>
      <c r="BH178" s="89">
        <f t="shared" si="253"/>
        <v>0</v>
      </c>
      <c r="BI178" s="89">
        <f t="shared" si="253"/>
        <v>0</v>
      </c>
      <c r="BJ178" s="89">
        <f t="shared" si="253"/>
        <v>0</v>
      </c>
      <c r="BK178" s="89">
        <f t="shared" si="253"/>
        <v>0</v>
      </c>
      <c r="BL178" s="89">
        <f t="shared" si="253"/>
        <v>0</v>
      </c>
      <c r="BM178" s="89">
        <f t="shared" si="253"/>
        <v>0</v>
      </c>
      <c r="BN178" s="89">
        <f t="shared" si="253"/>
        <v>0</v>
      </c>
      <c r="BO178" s="89">
        <f t="shared" si="253"/>
        <v>0</v>
      </c>
      <c r="BP178" s="89">
        <f t="shared" si="253"/>
        <v>0</v>
      </c>
      <c r="BQ178" s="89">
        <f t="shared" si="253"/>
        <v>0</v>
      </c>
      <c r="BR178" s="89">
        <f t="shared" si="253"/>
        <v>0</v>
      </c>
      <c r="BS178" s="89">
        <f t="shared" si="253"/>
        <v>0</v>
      </c>
      <c r="BT178" s="89">
        <f t="shared" si="253"/>
        <v>0</v>
      </c>
      <c r="BU178" s="89">
        <f t="shared" si="253"/>
        <v>0</v>
      </c>
      <c r="BV178" s="89">
        <f t="shared" si="253"/>
        <v>0</v>
      </c>
      <c r="BW178" s="89">
        <f t="shared" si="253"/>
        <v>0</v>
      </c>
      <c r="BX178" s="89">
        <f t="shared" si="253"/>
        <v>0</v>
      </c>
      <c r="BY178" s="89">
        <f t="shared" si="253"/>
        <v>0</v>
      </c>
      <c r="BZ178" s="89">
        <f t="shared" si="253"/>
        <v>0</v>
      </c>
      <c r="CA178" s="89">
        <f t="shared" si="253"/>
        <v>0</v>
      </c>
      <c r="CB178" s="89">
        <f t="shared" si="253"/>
        <v>0</v>
      </c>
      <c r="CC178" s="89">
        <f t="shared" si="253"/>
        <v>0</v>
      </c>
      <c r="CD178" s="89">
        <f t="shared" ref="CD178:DL178" si="254">(1+$J178)^(CD131-1)*CD37</f>
        <v>0</v>
      </c>
      <c r="CE178" s="89">
        <f t="shared" si="254"/>
        <v>0</v>
      </c>
      <c r="CF178" s="89">
        <f t="shared" si="254"/>
        <v>0</v>
      </c>
      <c r="CG178" s="89">
        <f t="shared" si="254"/>
        <v>0</v>
      </c>
      <c r="CH178" s="89">
        <f t="shared" si="254"/>
        <v>0</v>
      </c>
      <c r="CI178" s="89">
        <f t="shared" si="254"/>
        <v>0</v>
      </c>
      <c r="CJ178" s="89">
        <f t="shared" si="254"/>
        <v>0</v>
      </c>
      <c r="CK178" s="89">
        <f t="shared" si="254"/>
        <v>0</v>
      </c>
      <c r="CL178" s="89">
        <f t="shared" si="254"/>
        <v>0</v>
      </c>
      <c r="CM178" s="89">
        <f t="shared" si="254"/>
        <v>0</v>
      </c>
      <c r="CN178" s="89">
        <f t="shared" si="254"/>
        <v>0</v>
      </c>
      <c r="CO178" s="89">
        <f t="shared" si="254"/>
        <v>0</v>
      </c>
      <c r="CP178" s="89">
        <f t="shared" si="254"/>
        <v>0</v>
      </c>
      <c r="CQ178" s="89">
        <f t="shared" si="254"/>
        <v>0</v>
      </c>
      <c r="CR178" s="89">
        <f t="shared" si="254"/>
        <v>0</v>
      </c>
      <c r="CS178" s="89">
        <f t="shared" si="254"/>
        <v>0</v>
      </c>
      <c r="CT178" s="89">
        <f t="shared" si="254"/>
        <v>0</v>
      </c>
      <c r="CU178" s="89">
        <f t="shared" si="254"/>
        <v>0</v>
      </c>
      <c r="CV178" s="89">
        <f t="shared" si="254"/>
        <v>0</v>
      </c>
      <c r="CW178" s="89">
        <f t="shared" si="254"/>
        <v>0</v>
      </c>
      <c r="CX178" s="89">
        <f t="shared" si="254"/>
        <v>0</v>
      </c>
      <c r="CY178" s="89">
        <f t="shared" si="254"/>
        <v>0</v>
      </c>
      <c r="CZ178" s="89">
        <f t="shared" si="254"/>
        <v>0</v>
      </c>
      <c r="DA178" s="89">
        <f t="shared" si="254"/>
        <v>0</v>
      </c>
      <c r="DB178" s="89">
        <f t="shared" si="254"/>
        <v>0</v>
      </c>
      <c r="DC178" s="89">
        <f t="shared" si="254"/>
        <v>0</v>
      </c>
      <c r="DD178" s="89">
        <f t="shared" si="254"/>
        <v>0</v>
      </c>
      <c r="DE178" s="89">
        <f t="shared" si="254"/>
        <v>0</v>
      </c>
      <c r="DF178" s="89">
        <f t="shared" si="254"/>
        <v>0</v>
      </c>
      <c r="DG178" s="89">
        <f t="shared" si="254"/>
        <v>0</v>
      </c>
      <c r="DH178" s="89">
        <f t="shared" si="254"/>
        <v>0</v>
      </c>
      <c r="DI178" s="89">
        <f t="shared" si="254"/>
        <v>0</v>
      </c>
      <c r="DJ178" s="89">
        <f t="shared" si="254"/>
        <v>0</v>
      </c>
      <c r="DK178" s="89">
        <f t="shared" si="254"/>
        <v>0</v>
      </c>
      <c r="DL178" s="89">
        <f t="shared" si="254"/>
        <v>0</v>
      </c>
    </row>
    <row r="179" spans="2:116">
      <c r="B179" s="70" t="s">
        <v>47</v>
      </c>
      <c r="C179" s="71" t="s">
        <v>49</v>
      </c>
      <c r="D179" s="71" t="s">
        <v>97</v>
      </c>
      <c r="E179" s="71" t="s">
        <v>98</v>
      </c>
      <c r="F179" s="71" t="s">
        <v>84</v>
      </c>
      <c r="G179" s="71" t="s">
        <v>104</v>
      </c>
      <c r="H179" s="71" t="s">
        <v>105</v>
      </c>
      <c r="I179" s="71" t="s">
        <v>103</v>
      </c>
      <c r="J179" s="71" t="s">
        <v>99</v>
      </c>
      <c r="K179" s="71" t="s">
        <v>102</v>
      </c>
      <c r="L179" s="71" t="s">
        <v>100</v>
      </c>
      <c r="M179" s="72" t="s">
        <v>101</v>
      </c>
      <c r="O179" s="4" t="s">
        <v>108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</row>
    <row r="180" spans="2:116">
      <c r="B180" s="27">
        <f>Rentroll!$C$37</f>
        <v>17</v>
      </c>
      <c r="C180" s="69" t="str">
        <f>VLOOKUP($B180,Rentroll!$C$37:$Z$60,3,FALSE)</f>
        <v>리마 상사</v>
      </c>
      <c r="D180" s="80">
        <f>VLOOKUP($B180,Rentroll!$C$37:$Z$60,9,FALSE)</f>
        <v>47149</v>
      </c>
      <c r="E180" s="80">
        <f>VLOOKUP($B180,Rentroll!$C$37:$Z$60,10,FALSE)</f>
        <v>48975</v>
      </c>
      <c r="F180" s="81">
        <f>VLOOKUP($B180,Rentroll!$C$37:$Z$60,11,FALSE)</f>
        <v>60</v>
      </c>
      <c r="G180" s="69">
        <f>VLOOKUP($B180,Rentroll!$C$37:$Z$60,13,FALSE)</f>
        <v>115927.40742999999</v>
      </c>
      <c r="H180" s="69">
        <f>VLOOKUP($B180,Rentroll!$C$37:$Z$60,14,FALSE)</f>
        <v>106266.79014416666</v>
      </c>
      <c r="I180" s="69">
        <f>VLOOKUP($B180,Rentroll!$C$37:$Z$60,15,FALSE)</f>
        <v>50647.896449999993</v>
      </c>
      <c r="J180" s="82">
        <f>VLOOKUP($B180,Rentroll!$C$37:$Z$60,19,FALSE)</f>
        <v>0.03</v>
      </c>
      <c r="K180" s="83">
        <f>VLOOKUP($B180,Rentroll!$C$37:$Z$60,4,FALSE)</f>
        <v>1385.09</v>
      </c>
      <c r="L180" s="81">
        <f>VLOOKUP($B180,Rentroll!$C$37:$Z$60,17,FALSE)</f>
        <v>0</v>
      </c>
      <c r="M180" s="84">
        <f>VLOOKUP($B180,Rentroll!$C$37:$Z$60,18,FALSE)</f>
        <v>1</v>
      </c>
      <c r="O180" s="46">
        <f>B180</f>
        <v>17</v>
      </c>
      <c r="P180" s="73"/>
      <c r="Q180" s="73"/>
      <c r="R180" s="87">
        <f>(1+$J180)^(R133-1)*R39</f>
        <v>0</v>
      </c>
      <c r="S180" s="87">
        <f t="shared" ref="S180:AW180" si="255">(1+$J180)^(S133-1)*S39</f>
        <v>0</v>
      </c>
      <c r="T180" s="87">
        <f t="shared" si="255"/>
        <v>0</v>
      </c>
      <c r="U180" s="87">
        <f t="shared" si="255"/>
        <v>0</v>
      </c>
      <c r="V180" s="87">
        <f t="shared" si="255"/>
        <v>0</v>
      </c>
      <c r="W180" s="87">
        <f t="shared" si="255"/>
        <v>0</v>
      </c>
      <c r="X180" s="87">
        <f t="shared" si="255"/>
        <v>0</v>
      </c>
      <c r="Y180" s="87">
        <f t="shared" si="255"/>
        <v>0</v>
      </c>
      <c r="Z180" s="87">
        <f t="shared" si="255"/>
        <v>0</v>
      </c>
      <c r="AA180" s="87">
        <f t="shared" si="255"/>
        <v>0</v>
      </c>
      <c r="AB180" s="87">
        <f t="shared" si="255"/>
        <v>0</v>
      </c>
      <c r="AC180" s="87">
        <f t="shared" si="255"/>
        <v>0</v>
      </c>
      <c r="AD180" s="87">
        <f t="shared" si="255"/>
        <v>0</v>
      </c>
      <c r="AE180" s="87">
        <f t="shared" si="255"/>
        <v>0</v>
      </c>
      <c r="AF180" s="87">
        <f t="shared" si="255"/>
        <v>0</v>
      </c>
      <c r="AG180" s="87">
        <f t="shared" si="255"/>
        <v>0</v>
      </c>
      <c r="AH180" s="87">
        <f t="shared" si="255"/>
        <v>0</v>
      </c>
      <c r="AI180" s="87">
        <f t="shared" si="255"/>
        <v>0</v>
      </c>
      <c r="AJ180" s="87">
        <f t="shared" si="255"/>
        <v>0</v>
      </c>
      <c r="AK180" s="87">
        <f t="shared" si="255"/>
        <v>0</v>
      </c>
      <c r="AL180" s="87">
        <f t="shared" si="255"/>
        <v>0</v>
      </c>
      <c r="AM180" s="87">
        <f t="shared" si="255"/>
        <v>0</v>
      </c>
      <c r="AN180" s="87">
        <f t="shared" si="255"/>
        <v>0</v>
      </c>
      <c r="AO180" s="87">
        <f t="shared" si="255"/>
        <v>0</v>
      </c>
      <c r="AP180" s="87">
        <f t="shared" si="255"/>
        <v>0</v>
      </c>
      <c r="AQ180" s="87">
        <f t="shared" si="255"/>
        <v>0</v>
      </c>
      <c r="AR180" s="87">
        <f t="shared" si="255"/>
        <v>0</v>
      </c>
      <c r="AS180" s="87">
        <f t="shared" si="255"/>
        <v>0</v>
      </c>
      <c r="AT180" s="87">
        <f t="shared" si="255"/>
        <v>0</v>
      </c>
      <c r="AU180" s="87">
        <f t="shared" si="255"/>
        <v>0</v>
      </c>
      <c r="AV180" s="87">
        <f t="shared" si="255"/>
        <v>0</v>
      </c>
      <c r="AW180" s="87">
        <f t="shared" si="255"/>
        <v>0</v>
      </c>
      <c r="AX180" s="87">
        <f t="shared" ref="AX180:CC180" si="256">(1+$J180)^(AX133-1)*AX39</f>
        <v>0</v>
      </c>
      <c r="AY180" s="87">
        <f t="shared" si="256"/>
        <v>0</v>
      </c>
      <c r="AZ180" s="87">
        <f t="shared" si="256"/>
        <v>0</v>
      </c>
      <c r="BA180" s="87">
        <f t="shared" si="256"/>
        <v>0</v>
      </c>
      <c r="BB180" s="87">
        <f t="shared" si="256"/>
        <v>0</v>
      </c>
      <c r="BC180" s="87">
        <f t="shared" si="256"/>
        <v>0</v>
      </c>
      <c r="BD180" s="87">
        <f t="shared" si="256"/>
        <v>0</v>
      </c>
      <c r="BE180" s="87">
        <f t="shared" si="256"/>
        <v>0</v>
      </c>
      <c r="BF180" s="87">
        <f t="shared" si="256"/>
        <v>0</v>
      </c>
      <c r="BG180" s="87">
        <f t="shared" si="256"/>
        <v>0</v>
      </c>
      <c r="BH180" s="87">
        <f t="shared" si="256"/>
        <v>0</v>
      </c>
      <c r="BI180" s="87">
        <f t="shared" si="256"/>
        <v>0</v>
      </c>
      <c r="BJ180" s="87">
        <f t="shared" si="256"/>
        <v>0</v>
      </c>
      <c r="BK180" s="87">
        <f t="shared" si="256"/>
        <v>0</v>
      </c>
      <c r="BL180" s="87">
        <f t="shared" si="256"/>
        <v>0</v>
      </c>
      <c r="BM180" s="87">
        <f t="shared" si="256"/>
        <v>0</v>
      </c>
      <c r="BN180" s="87">
        <f t="shared" si="256"/>
        <v>0</v>
      </c>
      <c r="BO180" s="87">
        <f t="shared" si="256"/>
        <v>1</v>
      </c>
      <c r="BP180" s="87">
        <f t="shared" si="256"/>
        <v>1</v>
      </c>
      <c r="BQ180" s="87">
        <f t="shared" si="256"/>
        <v>1</v>
      </c>
      <c r="BR180" s="87">
        <f t="shared" si="256"/>
        <v>1</v>
      </c>
      <c r="BS180" s="87">
        <f t="shared" si="256"/>
        <v>1</v>
      </c>
      <c r="BT180" s="87">
        <f t="shared" si="256"/>
        <v>1</v>
      </c>
      <c r="BU180" s="87">
        <f t="shared" si="256"/>
        <v>1</v>
      </c>
      <c r="BV180" s="87">
        <f t="shared" si="256"/>
        <v>1</v>
      </c>
      <c r="BW180" s="87">
        <f t="shared" si="256"/>
        <v>1</v>
      </c>
      <c r="BX180" s="87">
        <f t="shared" si="256"/>
        <v>1</v>
      </c>
      <c r="BY180" s="87">
        <f t="shared" si="256"/>
        <v>1</v>
      </c>
      <c r="BZ180" s="87">
        <f t="shared" si="256"/>
        <v>1</v>
      </c>
      <c r="CA180" s="87">
        <f t="shared" si="256"/>
        <v>0</v>
      </c>
      <c r="CB180" s="87">
        <f t="shared" si="256"/>
        <v>0</v>
      </c>
      <c r="CC180" s="87">
        <f t="shared" si="256"/>
        <v>0</v>
      </c>
      <c r="CD180" s="87">
        <f t="shared" ref="CD180:DL180" si="257">(1+$J180)^(CD133-1)*CD39</f>
        <v>0</v>
      </c>
      <c r="CE180" s="87">
        <f t="shared" si="257"/>
        <v>0</v>
      </c>
      <c r="CF180" s="87">
        <f t="shared" si="257"/>
        <v>0</v>
      </c>
      <c r="CG180" s="87">
        <f t="shared" si="257"/>
        <v>0</v>
      </c>
      <c r="CH180" s="87">
        <f t="shared" si="257"/>
        <v>0</v>
      </c>
      <c r="CI180" s="87">
        <f t="shared" si="257"/>
        <v>0</v>
      </c>
      <c r="CJ180" s="87">
        <f t="shared" si="257"/>
        <v>0</v>
      </c>
      <c r="CK180" s="87">
        <f t="shared" si="257"/>
        <v>0</v>
      </c>
      <c r="CL180" s="87">
        <f t="shared" si="257"/>
        <v>0</v>
      </c>
      <c r="CM180" s="87">
        <f t="shared" si="257"/>
        <v>0</v>
      </c>
      <c r="CN180" s="87">
        <f t="shared" si="257"/>
        <v>0</v>
      </c>
      <c r="CO180" s="87">
        <f t="shared" si="257"/>
        <v>0</v>
      </c>
      <c r="CP180" s="87">
        <f t="shared" si="257"/>
        <v>0</v>
      </c>
      <c r="CQ180" s="87">
        <f t="shared" si="257"/>
        <v>0</v>
      </c>
      <c r="CR180" s="87">
        <f t="shared" si="257"/>
        <v>0</v>
      </c>
      <c r="CS180" s="87">
        <f t="shared" si="257"/>
        <v>0</v>
      </c>
      <c r="CT180" s="87">
        <f t="shared" si="257"/>
        <v>0</v>
      </c>
      <c r="CU180" s="87">
        <f t="shared" si="257"/>
        <v>0</v>
      </c>
      <c r="CV180" s="87">
        <f t="shared" si="257"/>
        <v>0</v>
      </c>
      <c r="CW180" s="87">
        <f t="shared" si="257"/>
        <v>0</v>
      </c>
      <c r="CX180" s="87">
        <f t="shared" si="257"/>
        <v>0</v>
      </c>
      <c r="CY180" s="87">
        <f t="shared" si="257"/>
        <v>0</v>
      </c>
      <c r="CZ180" s="87">
        <f t="shared" si="257"/>
        <v>0</v>
      </c>
      <c r="DA180" s="87">
        <f t="shared" si="257"/>
        <v>0</v>
      </c>
      <c r="DB180" s="87">
        <f t="shared" si="257"/>
        <v>0</v>
      </c>
      <c r="DC180" s="87">
        <f t="shared" si="257"/>
        <v>0</v>
      </c>
      <c r="DD180" s="87">
        <f t="shared" si="257"/>
        <v>0</v>
      </c>
      <c r="DE180" s="87">
        <f t="shared" si="257"/>
        <v>0</v>
      </c>
      <c r="DF180" s="87">
        <f t="shared" si="257"/>
        <v>0</v>
      </c>
      <c r="DG180" s="87">
        <f t="shared" si="257"/>
        <v>0</v>
      </c>
      <c r="DH180" s="87">
        <f t="shared" si="257"/>
        <v>0</v>
      </c>
      <c r="DI180" s="87">
        <f t="shared" si="257"/>
        <v>0</v>
      </c>
      <c r="DJ180" s="87">
        <f t="shared" si="257"/>
        <v>0</v>
      </c>
      <c r="DK180" s="87">
        <f t="shared" si="257"/>
        <v>0</v>
      </c>
      <c r="DL180" s="87">
        <f t="shared" si="257"/>
        <v>0</v>
      </c>
    </row>
    <row r="181" spans="2:116">
      <c r="B181" s="27">
        <f>Rentroll!$C$38</f>
        <v>16</v>
      </c>
      <c r="C181" s="69" t="str">
        <f>VLOOKUP($B181,Rentroll!$C$37:$Z$60,3,FALSE)</f>
        <v>리마 상사</v>
      </c>
      <c r="D181" s="80">
        <f>VLOOKUP($B181,Rentroll!$C$37:$Z$60,9,FALSE)</f>
        <v>47149</v>
      </c>
      <c r="E181" s="80">
        <f>VLOOKUP($B181,Rentroll!$C$37:$Z$60,10,FALSE)</f>
        <v>48975</v>
      </c>
      <c r="F181" s="81">
        <f>VLOOKUP($B181,Rentroll!$C$37:$Z$60,11,FALSE)</f>
        <v>60</v>
      </c>
      <c r="G181" s="69">
        <f>VLOOKUP($B181,Rentroll!$C$37:$Z$60,13,FALSE)</f>
        <v>115927.40742999999</v>
      </c>
      <c r="H181" s="69">
        <f>VLOOKUP($B181,Rentroll!$C$37:$Z$60,14,FALSE)</f>
        <v>106266.79014416666</v>
      </c>
      <c r="I181" s="69">
        <f>VLOOKUP($B181,Rentroll!$C$37:$Z$60,15,FALSE)</f>
        <v>50647.896449999993</v>
      </c>
      <c r="J181" s="82">
        <f>VLOOKUP($B181,Rentroll!$C$37:$Z$60,19,FALSE)</f>
        <v>0.03</v>
      </c>
      <c r="K181" s="83">
        <f>VLOOKUP($B181,Rentroll!$C$37:$Z$60,4,FALSE)</f>
        <v>1385.09</v>
      </c>
      <c r="L181" s="81">
        <f>VLOOKUP($B181,Rentroll!$C$37:$Z$60,17,FALSE)</f>
        <v>0</v>
      </c>
      <c r="M181" s="84">
        <f>VLOOKUP($B181,Rentroll!$C$37:$Z$60,18,FALSE)</f>
        <v>1</v>
      </c>
      <c r="O181" s="74">
        <f t="shared" ref="O181:O198" si="258">B181</f>
        <v>16</v>
      </c>
      <c r="P181" s="75"/>
      <c r="Q181" s="75"/>
      <c r="R181" s="88">
        <f t="shared" ref="R181:AW181" si="259">(1+$J181)^(R134-1)*R40</f>
        <v>0</v>
      </c>
      <c r="S181" s="88">
        <f t="shared" si="259"/>
        <v>0</v>
      </c>
      <c r="T181" s="88">
        <f t="shared" si="259"/>
        <v>0</v>
      </c>
      <c r="U181" s="88">
        <f t="shared" si="259"/>
        <v>0</v>
      </c>
      <c r="V181" s="88">
        <f t="shared" si="259"/>
        <v>0</v>
      </c>
      <c r="W181" s="88">
        <f t="shared" si="259"/>
        <v>0</v>
      </c>
      <c r="X181" s="88">
        <f t="shared" si="259"/>
        <v>0</v>
      </c>
      <c r="Y181" s="88">
        <f t="shared" si="259"/>
        <v>0</v>
      </c>
      <c r="Z181" s="88">
        <f t="shared" si="259"/>
        <v>0</v>
      </c>
      <c r="AA181" s="88">
        <f t="shared" si="259"/>
        <v>0</v>
      </c>
      <c r="AB181" s="88">
        <f t="shared" si="259"/>
        <v>0</v>
      </c>
      <c r="AC181" s="88">
        <f t="shared" si="259"/>
        <v>0</v>
      </c>
      <c r="AD181" s="88">
        <f t="shared" si="259"/>
        <v>0</v>
      </c>
      <c r="AE181" s="88">
        <f t="shared" si="259"/>
        <v>0</v>
      </c>
      <c r="AF181" s="88">
        <f t="shared" si="259"/>
        <v>0</v>
      </c>
      <c r="AG181" s="88">
        <f t="shared" si="259"/>
        <v>0</v>
      </c>
      <c r="AH181" s="88">
        <f t="shared" si="259"/>
        <v>0</v>
      </c>
      <c r="AI181" s="88">
        <f t="shared" si="259"/>
        <v>0</v>
      </c>
      <c r="AJ181" s="88">
        <f t="shared" si="259"/>
        <v>0</v>
      </c>
      <c r="AK181" s="88">
        <f t="shared" si="259"/>
        <v>0</v>
      </c>
      <c r="AL181" s="88">
        <f t="shared" si="259"/>
        <v>0</v>
      </c>
      <c r="AM181" s="88">
        <f t="shared" si="259"/>
        <v>0</v>
      </c>
      <c r="AN181" s="88">
        <f t="shared" si="259"/>
        <v>0</v>
      </c>
      <c r="AO181" s="88">
        <f t="shared" si="259"/>
        <v>0</v>
      </c>
      <c r="AP181" s="88">
        <f t="shared" si="259"/>
        <v>0</v>
      </c>
      <c r="AQ181" s="88">
        <f t="shared" si="259"/>
        <v>0</v>
      </c>
      <c r="AR181" s="88">
        <f t="shared" si="259"/>
        <v>0</v>
      </c>
      <c r="AS181" s="88">
        <f t="shared" si="259"/>
        <v>0</v>
      </c>
      <c r="AT181" s="88">
        <f t="shared" si="259"/>
        <v>0</v>
      </c>
      <c r="AU181" s="88">
        <f t="shared" si="259"/>
        <v>0</v>
      </c>
      <c r="AV181" s="88">
        <f t="shared" si="259"/>
        <v>0</v>
      </c>
      <c r="AW181" s="88">
        <f t="shared" si="259"/>
        <v>0</v>
      </c>
      <c r="AX181" s="88">
        <f t="shared" ref="AX181:CC181" si="260">(1+$J181)^(AX134-1)*AX40</f>
        <v>0</v>
      </c>
      <c r="AY181" s="88">
        <f t="shared" si="260"/>
        <v>0</v>
      </c>
      <c r="AZ181" s="88">
        <f t="shared" si="260"/>
        <v>0</v>
      </c>
      <c r="BA181" s="88">
        <f t="shared" si="260"/>
        <v>0</v>
      </c>
      <c r="BB181" s="88">
        <f t="shared" si="260"/>
        <v>0</v>
      </c>
      <c r="BC181" s="88">
        <f t="shared" si="260"/>
        <v>0</v>
      </c>
      <c r="BD181" s="88">
        <f t="shared" si="260"/>
        <v>0</v>
      </c>
      <c r="BE181" s="88">
        <f t="shared" si="260"/>
        <v>0</v>
      </c>
      <c r="BF181" s="88">
        <f t="shared" si="260"/>
        <v>0</v>
      </c>
      <c r="BG181" s="88">
        <f t="shared" si="260"/>
        <v>0</v>
      </c>
      <c r="BH181" s="88">
        <f t="shared" si="260"/>
        <v>0</v>
      </c>
      <c r="BI181" s="88">
        <f t="shared" si="260"/>
        <v>0</v>
      </c>
      <c r="BJ181" s="88">
        <f t="shared" si="260"/>
        <v>0</v>
      </c>
      <c r="BK181" s="88">
        <f t="shared" si="260"/>
        <v>0</v>
      </c>
      <c r="BL181" s="88">
        <f t="shared" si="260"/>
        <v>0</v>
      </c>
      <c r="BM181" s="88">
        <f t="shared" si="260"/>
        <v>0</v>
      </c>
      <c r="BN181" s="88">
        <f t="shared" si="260"/>
        <v>0</v>
      </c>
      <c r="BO181" s="88">
        <f t="shared" si="260"/>
        <v>1</v>
      </c>
      <c r="BP181" s="88">
        <f t="shared" si="260"/>
        <v>1</v>
      </c>
      <c r="BQ181" s="88">
        <f t="shared" si="260"/>
        <v>1</v>
      </c>
      <c r="BR181" s="88">
        <f t="shared" si="260"/>
        <v>1</v>
      </c>
      <c r="BS181" s="88">
        <f t="shared" si="260"/>
        <v>1</v>
      </c>
      <c r="BT181" s="88">
        <f t="shared" si="260"/>
        <v>1</v>
      </c>
      <c r="BU181" s="88">
        <f t="shared" si="260"/>
        <v>1</v>
      </c>
      <c r="BV181" s="88">
        <f t="shared" si="260"/>
        <v>1</v>
      </c>
      <c r="BW181" s="88">
        <f t="shared" si="260"/>
        <v>1</v>
      </c>
      <c r="BX181" s="88">
        <f t="shared" si="260"/>
        <v>1</v>
      </c>
      <c r="BY181" s="88">
        <f t="shared" si="260"/>
        <v>1</v>
      </c>
      <c r="BZ181" s="88">
        <f t="shared" si="260"/>
        <v>1</v>
      </c>
      <c r="CA181" s="88">
        <f t="shared" si="260"/>
        <v>0</v>
      </c>
      <c r="CB181" s="88">
        <f t="shared" si="260"/>
        <v>0</v>
      </c>
      <c r="CC181" s="88">
        <f t="shared" si="260"/>
        <v>0</v>
      </c>
      <c r="CD181" s="88">
        <f t="shared" ref="CD181:DL181" si="261">(1+$J181)^(CD134-1)*CD40</f>
        <v>0</v>
      </c>
      <c r="CE181" s="88">
        <f t="shared" si="261"/>
        <v>0</v>
      </c>
      <c r="CF181" s="88">
        <f t="shared" si="261"/>
        <v>0</v>
      </c>
      <c r="CG181" s="88">
        <f t="shared" si="261"/>
        <v>0</v>
      </c>
      <c r="CH181" s="88">
        <f t="shared" si="261"/>
        <v>0</v>
      </c>
      <c r="CI181" s="88">
        <f t="shared" si="261"/>
        <v>0</v>
      </c>
      <c r="CJ181" s="88">
        <f t="shared" si="261"/>
        <v>0</v>
      </c>
      <c r="CK181" s="88">
        <f t="shared" si="261"/>
        <v>0</v>
      </c>
      <c r="CL181" s="88">
        <f t="shared" si="261"/>
        <v>0</v>
      </c>
      <c r="CM181" s="88">
        <f t="shared" si="261"/>
        <v>0</v>
      </c>
      <c r="CN181" s="88">
        <f t="shared" si="261"/>
        <v>0</v>
      </c>
      <c r="CO181" s="88">
        <f t="shared" si="261"/>
        <v>0</v>
      </c>
      <c r="CP181" s="88">
        <f t="shared" si="261"/>
        <v>0</v>
      </c>
      <c r="CQ181" s="88">
        <f t="shared" si="261"/>
        <v>0</v>
      </c>
      <c r="CR181" s="88">
        <f t="shared" si="261"/>
        <v>0</v>
      </c>
      <c r="CS181" s="88">
        <f t="shared" si="261"/>
        <v>0</v>
      </c>
      <c r="CT181" s="88">
        <f t="shared" si="261"/>
        <v>0</v>
      </c>
      <c r="CU181" s="88">
        <f t="shared" si="261"/>
        <v>0</v>
      </c>
      <c r="CV181" s="88">
        <f t="shared" si="261"/>
        <v>0</v>
      </c>
      <c r="CW181" s="88">
        <f t="shared" si="261"/>
        <v>0</v>
      </c>
      <c r="CX181" s="88">
        <f t="shared" si="261"/>
        <v>0</v>
      </c>
      <c r="CY181" s="88">
        <f t="shared" si="261"/>
        <v>0</v>
      </c>
      <c r="CZ181" s="88">
        <f t="shared" si="261"/>
        <v>0</v>
      </c>
      <c r="DA181" s="88">
        <f t="shared" si="261"/>
        <v>0</v>
      </c>
      <c r="DB181" s="88">
        <f t="shared" si="261"/>
        <v>0</v>
      </c>
      <c r="DC181" s="88">
        <f t="shared" si="261"/>
        <v>0</v>
      </c>
      <c r="DD181" s="88">
        <f t="shared" si="261"/>
        <v>0</v>
      </c>
      <c r="DE181" s="88">
        <f t="shared" si="261"/>
        <v>0</v>
      </c>
      <c r="DF181" s="88">
        <f t="shared" si="261"/>
        <v>0</v>
      </c>
      <c r="DG181" s="88">
        <f t="shared" si="261"/>
        <v>0</v>
      </c>
      <c r="DH181" s="88">
        <f t="shared" si="261"/>
        <v>0</v>
      </c>
      <c r="DI181" s="88">
        <f t="shared" si="261"/>
        <v>0</v>
      </c>
      <c r="DJ181" s="88">
        <f t="shared" si="261"/>
        <v>0</v>
      </c>
      <c r="DK181" s="88">
        <f t="shared" si="261"/>
        <v>0</v>
      </c>
      <c r="DL181" s="88">
        <f t="shared" si="261"/>
        <v>0</v>
      </c>
    </row>
    <row r="182" spans="2:116">
      <c r="B182" s="27">
        <f>Rentroll!$C$39</f>
        <v>15</v>
      </c>
      <c r="C182" s="69" t="str">
        <f>VLOOKUP($B182,Rentroll!$C$37:$Z$60,3,FALSE)</f>
        <v>111퍼센트</v>
      </c>
      <c r="D182" s="80">
        <f>VLOOKUP($B182,Rentroll!$C$37:$Z$60,9,FALSE)</f>
        <v>45869</v>
      </c>
      <c r="E182" s="80">
        <f>VLOOKUP($B182,Rentroll!$C$37:$Z$60,10,FALSE)</f>
        <v>47695</v>
      </c>
      <c r="F182" s="81">
        <f>VLOOKUP($B182,Rentroll!$C$37:$Z$60,11,FALSE)</f>
        <v>60</v>
      </c>
      <c r="G182" s="69">
        <f>VLOOKUP($B182,Rentroll!$C$37:$Z$60,13,FALSE)</f>
        <v>103000</v>
      </c>
      <c r="H182" s="69">
        <f>VLOOKUP($B182,Rentroll!$C$37:$Z$60,14,FALSE)</f>
        <v>94416.666666666672</v>
      </c>
      <c r="I182" s="69">
        <f>VLOOKUP($B182,Rentroll!$C$37:$Z$60,15,FALSE)</f>
        <v>45000</v>
      </c>
      <c r="J182" s="82">
        <f>VLOOKUP($B182,Rentroll!$C$37:$Z$60,19,FALSE)</f>
        <v>0.03</v>
      </c>
      <c r="K182" s="83">
        <f>VLOOKUP($B182,Rentroll!$C$37:$Z$60,4,FALSE)</f>
        <v>1385.09</v>
      </c>
      <c r="L182" s="81">
        <f>VLOOKUP($B182,Rentroll!$C$37:$Z$60,17,FALSE)</f>
        <v>1</v>
      </c>
      <c r="M182" s="84">
        <f>VLOOKUP($B182,Rentroll!$C$37:$Z$60,18,FALSE)</f>
        <v>1</v>
      </c>
      <c r="O182" s="74">
        <f t="shared" si="258"/>
        <v>15</v>
      </c>
      <c r="P182" s="75"/>
      <c r="Q182" s="75"/>
      <c r="R182" s="88">
        <f t="shared" ref="R182:AW182" si="262">(1+$J182)^(R135-1)*R41</f>
        <v>0</v>
      </c>
      <c r="S182" s="88">
        <f t="shared" si="262"/>
        <v>0</v>
      </c>
      <c r="T182" s="88">
        <f t="shared" si="262"/>
        <v>0</v>
      </c>
      <c r="U182" s="88">
        <f t="shared" si="262"/>
        <v>0</v>
      </c>
      <c r="V182" s="88">
        <f t="shared" si="262"/>
        <v>0</v>
      </c>
      <c r="W182" s="88">
        <f t="shared" si="262"/>
        <v>0</v>
      </c>
      <c r="X182" s="88">
        <f t="shared" si="262"/>
        <v>0</v>
      </c>
      <c r="Y182" s="88">
        <f t="shared" si="262"/>
        <v>1</v>
      </c>
      <c r="Z182" s="88">
        <f t="shared" si="262"/>
        <v>1</v>
      </c>
      <c r="AA182" s="88">
        <f t="shared" si="262"/>
        <v>1</v>
      </c>
      <c r="AB182" s="88">
        <f t="shared" si="262"/>
        <v>1</v>
      </c>
      <c r="AC182" s="88">
        <f t="shared" si="262"/>
        <v>1</v>
      </c>
      <c r="AD182" s="88">
        <f t="shared" si="262"/>
        <v>1</v>
      </c>
      <c r="AE182" s="88">
        <f t="shared" si="262"/>
        <v>1</v>
      </c>
      <c r="AF182" s="88">
        <f t="shared" si="262"/>
        <v>1</v>
      </c>
      <c r="AG182" s="88">
        <f t="shared" si="262"/>
        <v>1</v>
      </c>
      <c r="AH182" s="88">
        <f t="shared" si="262"/>
        <v>1</v>
      </c>
      <c r="AI182" s="88">
        <f t="shared" si="262"/>
        <v>1</v>
      </c>
      <c r="AJ182" s="88">
        <f t="shared" si="262"/>
        <v>1</v>
      </c>
      <c r="AK182" s="88">
        <f t="shared" si="262"/>
        <v>1.03</v>
      </c>
      <c r="AL182" s="88">
        <f t="shared" si="262"/>
        <v>1.03</v>
      </c>
      <c r="AM182" s="88">
        <f t="shared" si="262"/>
        <v>1.03</v>
      </c>
      <c r="AN182" s="88">
        <f t="shared" si="262"/>
        <v>1.03</v>
      </c>
      <c r="AO182" s="88">
        <f t="shared" si="262"/>
        <v>1.03</v>
      </c>
      <c r="AP182" s="88">
        <f t="shared" si="262"/>
        <v>1.03</v>
      </c>
      <c r="AQ182" s="88">
        <f t="shared" si="262"/>
        <v>1.03</v>
      </c>
      <c r="AR182" s="88">
        <f t="shared" si="262"/>
        <v>1.03</v>
      </c>
      <c r="AS182" s="88">
        <f t="shared" si="262"/>
        <v>1.03</v>
      </c>
      <c r="AT182" s="88">
        <f t="shared" si="262"/>
        <v>1.03</v>
      </c>
      <c r="AU182" s="88">
        <f t="shared" si="262"/>
        <v>1.03</v>
      </c>
      <c r="AV182" s="88">
        <f t="shared" si="262"/>
        <v>1.03</v>
      </c>
      <c r="AW182" s="88">
        <f t="shared" si="262"/>
        <v>1.0609</v>
      </c>
      <c r="AX182" s="88">
        <f t="shared" ref="AX182:CC182" si="263">(1+$J182)^(AX135-1)*AX41</f>
        <v>1.0609</v>
      </c>
      <c r="AY182" s="88">
        <f t="shared" si="263"/>
        <v>1.0609</v>
      </c>
      <c r="AZ182" s="88">
        <f t="shared" si="263"/>
        <v>1.0609</v>
      </c>
      <c r="BA182" s="88">
        <f t="shared" si="263"/>
        <v>1.0609</v>
      </c>
      <c r="BB182" s="88">
        <f t="shared" si="263"/>
        <v>1.0609</v>
      </c>
      <c r="BC182" s="88">
        <f t="shared" si="263"/>
        <v>1.0609</v>
      </c>
      <c r="BD182" s="88">
        <f t="shared" si="263"/>
        <v>1.0609</v>
      </c>
      <c r="BE182" s="88">
        <f t="shared" si="263"/>
        <v>1.0609</v>
      </c>
      <c r="BF182" s="88">
        <f t="shared" si="263"/>
        <v>1.0609</v>
      </c>
      <c r="BG182" s="88">
        <f t="shared" si="263"/>
        <v>1.0609</v>
      </c>
      <c r="BH182" s="88">
        <f t="shared" si="263"/>
        <v>1.0609</v>
      </c>
      <c r="BI182" s="88">
        <f t="shared" si="263"/>
        <v>1.092727</v>
      </c>
      <c r="BJ182" s="88">
        <f t="shared" si="263"/>
        <v>1.092727</v>
      </c>
      <c r="BK182" s="88">
        <f t="shared" si="263"/>
        <v>1.092727</v>
      </c>
      <c r="BL182" s="88">
        <f t="shared" si="263"/>
        <v>1.092727</v>
      </c>
      <c r="BM182" s="88">
        <f t="shared" si="263"/>
        <v>1.092727</v>
      </c>
      <c r="BN182" s="88">
        <f t="shared" si="263"/>
        <v>1.092727</v>
      </c>
      <c r="BO182" s="88">
        <f t="shared" si="263"/>
        <v>1.092727</v>
      </c>
      <c r="BP182" s="88">
        <f t="shared" si="263"/>
        <v>1.092727</v>
      </c>
      <c r="BQ182" s="88">
        <f t="shared" si="263"/>
        <v>1.092727</v>
      </c>
      <c r="BR182" s="88">
        <f t="shared" si="263"/>
        <v>1.092727</v>
      </c>
      <c r="BS182" s="88">
        <f t="shared" si="263"/>
        <v>1.092727</v>
      </c>
      <c r="BT182" s="88">
        <f t="shared" si="263"/>
        <v>1.092727</v>
      </c>
      <c r="BU182" s="88">
        <f t="shared" si="263"/>
        <v>1.1255088099999999</v>
      </c>
      <c r="BV182" s="88">
        <f t="shared" si="263"/>
        <v>1.1255088099999999</v>
      </c>
      <c r="BW182" s="88">
        <f t="shared" si="263"/>
        <v>1.1255088099999999</v>
      </c>
      <c r="BX182" s="88">
        <f t="shared" si="263"/>
        <v>1.1255088099999999</v>
      </c>
      <c r="BY182" s="88">
        <f t="shared" si="263"/>
        <v>1.1255088099999999</v>
      </c>
      <c r="BZ182" s="88">
        <f t="shared" si="263"/>
        <v>1.1255088099999999</v>
      </c>
      <c r="CA182" s="88">
        <f t="shared" si="263"/>
        <v>0</v>
      </c>
      <c r="CB182" s="88">
        <f t="shared" si="263"/>
        <v>0</v>
      </c>
      <c r="CC182" s="88">
        <f t="shared" si="263"/>
        <v>0</v>
      </c>
      <c r="CD182" s="88">
        <f t="shared" ref="CD182:DL182" si="264">(1+$J182)^(CD135-1)*CD41</f>
        <v>0</v>
      </c>
      <c r="CE182" s="88">
        <f t="shared" si="264"/>
        <v>0</v>
      </c>
      <c r="CF182" s="88">
        <f t="shared" si="264"/>
        <v>0</v>
      </c>
      <c r="CG182" s="88">
        <f t="shared" si="264"/>
        <v>0</v>
      </c>
      <c r="CH182" s="88">
        <f t="shared" si="264"/>
        <v>0</v>
      </c>
      <c r="CI182" s="88">
        <f t="shared" si="264"/>
        <v>0</v>
      </c>
      <c r="CJ182" s="88">
        <f t="shared" si="264"/>
        <v>0</v>
      </c>
      <c r="CK182" s="88">
        <f t="shared" si="264"/>
        <v>0</v>
      </c>
      <c r="CL182" s="88">
        <f t="shared" si="264"/>
        <v>0</v>
      </c>
      <c r="CM182" s="88">
        <f t="shared" si="264"/>
        <v>0</v>
      </c>
      <c r="CN182" s="88">
        <f t="shared" si="264"/>
        <v>0</v>
      </c>
      <c r="CO182" s="88">
        <f t="shared" si="264"/>
        <v>0</v>
      </c>
      <c r="CP182" s="88">
        <f t="shared" si="264"/>
        <v>0</v>
      </c>
      <c r="CQ182" s="88">
        <f t="shared" si="264"/>
        <v>0</v>
      </c>
      <c r="CR182" s="88">
        <f t="shared" si="264"/>
        <v>0</v>
      </c>
      <c r="CS182" s="88">
        <f t="shared" si="264"/>
        <v>0</v>
      </c>
      <c r="CT182" s="88">
        <f t="shared" si="264"/>
        <v>0</v>
      </c>
      <c r="CU182" s="88">
        <f t="shared" si="264"/>
        <v>0</v>
      </c>
      <c r="CV182" s="88">
        <f t="shared" si="264"/>
        <v>0</v>
      </c>
      <c r="CW182" s="88">
        <f t="shared" si="264"/>
        <v>0</v>
      </c>
      <c r="CX182" s="88">
        <f t="shared" si="264"/>
        <v>0</v>
      </c>
      <c r="CY182" s="88">
        <f t="shared" si="264"/>
        <v>0</v>
      </c>
      <c r="CZ182" s="88">
        <f t="shared" si="264"/>
        <v>0</v>
      </c>
      <c r="DA182" s="88">
        <f t="shared" si="264"/>
        <v>0</v>
      </c>
      <c r="DB182" s="88">
        <f t="shared" si="264"/>
        <v>0</v>
      </c>
      <c r="DC182" s="88">
        <f t="shared" si="264"/>
        <v>0</v>
      </c>
      <c r="DD182" s="88">
        <f t="shared" si="264"/>
        <v>0</v>
      </c>
      <c r="DE182" s="88">
        <f t="shared" si="264"/>
        <v>0</v>
      </c>
      <c r="DF182" s="88">
        <f t="shared" si="264"/>
        <v>0</v>
      </c>
      <c r="DG182" s="88">
        <f t="shared" si="264"/>
        <v>0</v>
      </c>
      <c r="DH182" s="88">
        <f t="shared" si="264"/>
        <v>0</v>
      </c>
      <c r="DI182" s="88">
        <f t="shared" si="264"/>
        <v>0</v>
      </c>
      <c r="DJ182" s="88">
        <f t="shared" si="264"/>
        <v>0</v>
      </c>
      <c r="DK182" s="88">
        <f t="shared" si="264"/>
        <v>0</v>
      </c>
      <c r="DL182" s="88">
        <f t="shared" si="264"/>
        <v>0</v>
      </c>
    </row>
    <row r="183" spans="2:116">
      <c r="B183" s="27">
        <f>Rentroll!$C$40</f>
        <v>14</v>
      </c>
      <c r="C183" s="69" t="str">
        <f>VLOOKUP($B183,Rentroll!$C$37:$Z$60,3,FALSE)</f>
        <v>111퍼센트</v>
      </c>
      <c r="D183" s="80">
        <f>VLOOKUP($B183,Rentroll!$C$37:$Z$60,9,FALSE)</f>
        <v>45869</v>
      </c>
      <c r="E183" s="80">
        <f>VLOOKUP($B183,Rentroll!$C$37:$Z$60,10,FALSE)</f>
        <v>47695</v>
      </c>
      <c r="F183" s="81">
        <f>VLOOKUP($B183,Rentroll!$C$37:$Z$60,11,FALSE)</f>
        <v>60</v>
      </c>
      <c r="G183" s="69">
        <f>VLOOKUP($B183,Rentroll!$C$37:$Z$60,13,FALSE)</f>
        <v>103000</v>
      </c>
      <c r="H183" s="69">
        <f>VLOOKUP($B183,Rentroll!$C$37:$Z$60,14,FALSE)</f>
        <v>94416.666666666672</v>
      </c>
      <c r="I183" s="69">
        <f>VLOOKUP($B183,Rentroll!$C$37:$Z$60,15,FALSE)</f>
        <v>45000</v>
      </c>
      <c r="J183" s="82">
        <f>VLOOKUP($B183,Rentroll!$C$37:$Z$60,19,FALSE)</f>
        <v>0.03</v>
      </c>
      <c r="K183" s="83">
        <f>VLOOKUP($B183,Rentroll!$C$37:$Z$60,4,FALSE)</f>
        <v>1385.09</v>
      </c>
      <c r="L183" s="81">
        <f>VLOOKUP($B183,Rentroll!$C$37:$Z$60,17,FALSE)</f>
        <v>1</v>
      </c>
      <c r="M183" s="84">
        <f>VLOOKUP($B183,Rentroll!$C$37:$Z$60,18,FALSE)</f>
        <v>1</v>
      </c>
      <c r="O183" s="74">
        <f t="shared" si="258"/>
        <v>14</v>
      </c>
      <c r="P183" s="75"/>
      <c r="Q183" s="75"/>
      <c r="R183" s="88">
        <f t="shared" ref="R183:AW183" si="265">(1+$J183)^(R136-1)*R42</f>
        <v>0</v>
      </c>
      <c r="S183" s="88">
        <f t="shared" si="265"/>
        <v>0</v>
      </c>
      <c r="T183" s="88">
        <f t="shared" si="265"/>
        <v>0</v>
      </c>
      <c r="U183" s="88">
        <f t="shared" si="265"/>
        <v>0</v>
      </c>
      <c r="V183" s="88">
        <f t="shared" si="265"/>
        <v>0</v>
      </c>
      <c r="W183" s="88">
        <f t="shared" si="265"/>
        <v>0</v>
      </c>
      <c r="X183" s="88">
        <f t="shared" si="265"/>
        <v>0</v>
      </c>
      <c r="Y183" s="88">
        <f t="shared" si="265"/>
        <v>1</v>
      </c>
      <c r="Z183" s="88">
        <f t="shared" si="265"/>
        <v>1</v>
      </c>
      <c r="AA183" s="88">
        <f t="shared" si="265"/>
        <v>1</v>
      </c>
      <c r="AB183" s="88">
        <f t="shared" si="265"/>
        <v>1</v>
      </c>
      <c r="AC183" s="88">
        <f t="shared" si="265"/>
        <v>1</v>
      </c>
      <c r="AD183" s="88">
        <f t="shared" si="265"/>
        <v>1</v>
      </c>
      <c r="AE183" s="88">
        <f t="shared" si="265"/>
        <v>1</v>
      </c>
      <c r="AF183" s="88">
        <f t="shared" si="265"/>
        <v>1</v>
      </c>
      <c r="AG183" s="88">
        <f t="shared" si="265"/>
        <v>1</v>
      </c>
      <c r="AH183" s="88">
        <f t="shared" si="265"/>
        <v>1</v>
      </c>
      <c r="AI183" s="88">
        <f t="shared" si="265"/>
        <v>1</v>
      </c>
      <c r="AJ183" s="88">
        <f t="shared" si="265"/>
        <v>1</v>
      </c>
      <c r="AK183" s="88">
        <f t="shared" si="265"/>
        <v>1.03</v>
      </c>
      <c r="AL183" s="88">
        <f t="shared" si="265"/>
        <v>1.03</v>
      </c>
      <c r="AM183" s="88">
        <f t="shared" si="265"/>
        <v>1.03</v>
      </c>
      <c r="AN183" s="88">
        <f t="shared" si="265"/>
        <v>1.03</v>
      </c>
      <c r="AO183" s="88">
        <f t="shared" si="265"/>
        <v>1.03</v>
      </c>
      <c r="AP183" s="88">
        <f t="shared" si="265"/>
        <v>1.03</v>
      </c>
      <c r="AQ183" s="88">
        <f t="shared" si="265"/>
        <v>1.03</v>
      </c>
      <c r="AR183" s="88">
        <f t="shared" si="265"/>
        <v>1.03</v>
      </c>
      <c r="AS183" s="88">
        <f t="shared" si="265"/>
        <v>1.03</v>
      </c>
      <c r="AT183" s="88">
        <f t="shared" si="265"/>
        <v>1.03</v>
      </c>
      <c r="AU183" s="88">
        <f t="shared" si="265"/>
        <v>1.03</v>
      </c>
      <c r="AV183" s="88">
        <f t="shared" si="265"/>
        <v>1.03</v>
      </c>
      <c r="AW183" s="88">
        <f t="shared" si="265"/>
        <v>1.0609</v>
      </c>
      <c r="AX183" s="88">
        <f t="shared" ref="AX183:CC183" si="266">(1+$J183)^(AX136-1)*AX42</f>
        <v>1.0609</v>
      </c>
      <c r="AY183" s="88">
        <f t="shared" si="266"/>
        <v>1.0609</v>
      </c>
      <c r="AZ183" s="88">
        <f t="shared" si="266"/>
        <v>1.0609</v>
      </c>
      <c r="BA183" s="88">
        <f t="shared" si="266"/>
        <v>1.0609</v>
      </c>
      <c r="BB183" s="88">
        <f t="shared" si="266"/>
        <v>1.0609</v>
      </c>
      <c r="BC183" s="88">
        <f t="shared" si="266"/>
        <v>1.0609</v>
      </c>
      <c r="BD183" s="88">
        <f t="shared" si="266"/>
        <v>1.0609</v>
      </c>
      <c r="BE183" s="88">
        <f t="shared" si="266"/>
        <v>1.0609</v>
      </c>
      <c r="BF183" s="88">
        <f t="shared" si="266"/>
        <v>1.0609</v>
      </c>
      <c r="BG183" s="88">
        <f t="shared" si="266"/>
        <v>1.0609</v>
      </c>
      <c r="BH183" s="88">
        <f t="shared" si="266"/>
        <v>1.0609</v>
      </c>
      <c r="BI183" s="88">
        <f t="shared" si="266"/>
        <v>1.092727</v>
      </c>
      <c r="BJ183" s="88">
        <f t="shared" si="266"/>
        <v>1.092727</v>
      </c>
      <c r="BK183" s="88">
        <f t="shared" si="266"/>
        <v>1.092727</v>
      </c>
      <c r="BL183" s="88">
        <f t="shared" si="266"/>
        <v>1.092727</v>
      </c>
      <c r="BM183" s="88">
        <f t="shared" si="266"/>
        <v>1.092727</v>
      </c>
      <c r="BN183" s="88">
        <f t="shared" si="266"/>
        <v>1.092727</v>
      </c>
      <c r="BO183" s="88">
        <f t="shared" si="266"/>
        <v>1.092727</v>
      </c>
      <c r="BP183" s="88">
        <f t="shared" si="266"/>
        <v>1.092727</v>
      </c>
      <c r="BQ183" s="88">
        <f t="shared" si="266"/>
        <v>1.092727</v>
      </c>
      <c r="BR183" s="88">
        <f t="shared" si="266"/>
        <v>1.092727</v>
      </c>
      <c r="BS183" s="88">
        <f t="shared" si="266"/>
        <v>1.092727</v>
      </c>
      <c r="BT183" s="88">
        <f t="shared" si="266"/>
        <v>1.092727</v>
      </c>
      <c r="BU183" s="88">
        <f t="shared" si="266"/>
        <v>1.1255088099999999</v>
      </c>
      <c r="BV183" s="88">
        <f t="shared" si="266"/>
        <v>1.1255088099999999</v>
      </c>
      <c r="BW183" s="88">
        <f t="shared" si="266"/>
        <v>1.1255088099999999</v>
      </c>
      <c r="BX183" s="88">
        <f t="shared" si="266"/>
        <v>1.1255088099999999</v>
      </c>
      <c r="BY183" s="88">
        <f t="shared" si="266"/>
        <v>1.1255088099999999</v>
      </c>
      <c r="BZ183" s="88">
        <f t="shared" si="266"/>
        <v>1.1255088099999999</v>
      </c>
      <c r="CA183" s="88">
        <f t="shared" si="266"/>
        <v>0</v>
      </c>
      <c r="CB183" s="88">
        <f t="shared" si="266"/>
        <v>0</v>
      </c>
      <c r="CC183" s="88">
        <f t="shared" si="266"/>
        <v>0</v>
      </c>
      <c r="CD183" s="88">
        <f t="shared" ref="CD183:DL183" si="267">(1+$J183)^(CD136-1)*CD42</f>
        <v>0</v>
      </c>
      <c r="CE183" s="88">
        <f t="shared" si="267"/>
        <v>0</v>
      </c>
      <c r="CF183" s="88">
        <f t="shared" si="267"/>
        <v>0</v>
      </c>
      <c r="CG183" s="88">
        <f t="shared" si="267"/>
        <v>0</v>
      </c>
      <c r="CH183" s="88">
        <f t="shared" si="267"/>
        <v>0</v>
      </c>
      <c r="CI183" s="88">
        <f t="shared" si="267"/>
        <v>0</v>
      </c>
      <c r="CJ183" s="88">
        <f t="shared" si="267"/>
        <v>0</v>
      </c>
      <c r="CK183" s="88">
        <f t="shared" si="267"/>
        <v>0</v>
      </c>
      <c r="CL183" s="88">
        <f t="shared" si="267"/>
        <v>0</v>
      </c>
      <c r="CM183" s="88">
        <f t="shared" si="267"/>
        <v>0</v>
      </c>
      <c r="CN183" s="88">
        <f t="shared" si="267"/>
        <v>0</v>
      </c>
      <c r="CO183" s="88">
        <f t="shared" si="267"/>
        <v>0</v>
      </c>
      <c r="CP183" s="88">
        <f t="shared" si="267"/>
        <v>0</v>
      </c>
      <c r="CQ183" s="88">
        <f t="shared" si="267"/>
        <v>0</v>
      </c>
      <c r="CR183" s="88">
        <f t="shared" si="267"/>
        <v>0</v>
      </c>
      <c r="CS183" s="88">
        <f t="shared" si="267"/>
        <v>0</v>
      </c>
      <c r="CT183" s="88">
        <f t="shared" si="267"/>
        <v>0</v>
      </c>
      <c r="CU183" s="88">
        <f t="shared" si="267"/>
        <v>0</v>
      </c>
      <c r="CV183" s="88">
        <f t="shared" si="267"/>
        <v>0</v>
      </c>
      <c r="CW183" s="88">
        <f t="shared" si="267"/>
        <v>0</v>
      </c>
      <c r="CX183" s="88">
        <f t="shared" si="267"/>
        <v>0</v>
      </c>
      <c r="CY183" s="88">
        <f t="shared" si="267"/>
        <v>0</v>
      </c>
      <c r="CZ183" s="88">
        <f t="shared" si="267"/>
        <v>0</v>
      </c>
      <c r="DA183" s="88">
        <f t="shared" si="267"/>
        <v>0</v>
      </c>
      <c r="DB183" s="88">
        <f t="shared" si="267"/>
        <v>0</v>
      </c>
      <c r="DC183" s="88">
        <f t="shared" si="267"/>
        <v>0</v>
      </c>
      <c r="DD183" s="88">
        <f t="shared" si="267"/>
        <v>0</v>
      </c>
      <c r="DE183" s="88">
        <f t="shared" si="267"/>
        <v>0</v>
      </c>
      <c r="DF183" s="88">
        <f t="shared" si="267"/>
        <v>0</v>
      </c>
      <c r="DG183" s="88">
        <f t="shared" si="267"/>
        <v>0</v>
      </c>
      <c r="DH183" s="88">
        <f t="shared" si="267"/>
        <v>0</v>
      </c>
      <c r="DI183" s="88">
        <f t="shared" si="267"/>
        <v>0</v>
      </c>
      <c r="DJ183" s="88">
        <f t="shared" si="267"/>
        <v>0</v>
      </c>
      <c r="DK183" s="88">
        <f t="shared" si="267"/>
        <v>0</v>
      </c>
      <c r="DL183" s="88">
        <f t="shared" si="267"/>
        <v>0</v>
      </c>
    </row>
    <row r="184" spans="2:116">
      <c r="B184" s="27">
        <f>Rentroll!$C$41</f>
        <v>13</v>
      </c>
      <c r="C184" s="69" t="str">
        <f>VLOOKUP($B184,Rentroll!$C$37:$Z$60,3,FALSE)</f>
        <v>111퍼센트</v>
      </c>
      <c r="D184" s="80">
        <f>VLOOKUP($B184,Rentroll!$C$37:$Z$60,9,FALSE)</f>
        <v>45869</v>
      </c>
      <c r="E184" s="80">
        <f>VLOOKUP($B184,Rentroll!$C$37:$Z$60,10,FALSE)</f>
        <v>47695</v>
      </c>
      <c r="F184" s="81">
        <f>VLOOKUP($B184,Rentroll!$C$37:$Z$60,11,FALSE)</f>
        <v>60</v>
      </c>
      <c r="G184" s="69">
        <f>VLOOKUP($B184,Rentroll!$C$37:$Z$60,13,FALSE)</f>
        <v>103000</v>
      </c>
      <c r="H184" s="69">
        <f>VLOOKUP($B184,Rentroll!$C$37:$Z$60,14,FALSE)</f>
        <v>94416.666666666672</v>
      </c>
      <c r="I184" s="69">
        <f>VLOOKUP($B184,Rentroll!$C$37:$Z$60,15,FALSE)</f>
        <v>45000</v>
      </c>
      <c r="J184" s="82">
        <f>VLOOKUP($B184,Rentroll!$C$37:$Z$60,19,FALSE)</f>
        <v>0.03</v>
      </c>
      <c r="K184" s="83">
        <f>VLOOKUP($B184,Rentroll!$C$37:$Z$60,4,FALSE)</f>
        <v>1385.09</v>
      </c>
      <c r="L184" s="81">
        <f>VLOOKUP($B184,Rentroll!$C$37:$Z$60,17,FALSE)</f>
        <v>1</v>
      </c>
      <c r="M184" s="84">
        <f>VLOOKUP($B184,Rentroll!$C$37:$Z$60,18,FALSE)</f>
        <v>1</v>
      </c>
      <c r="O184" s="74">
        <f t="shared" si="258"/>
        <v>13</v>
      </c>
      <c r="P184" s="75"/>
      <c r="Q184" s="75"/>
      <c r="R184" s="88">
        <f t="shared" ref="R184:AW184" si="268">(1+$J184)^(R137-1)*R43</f>
        <v>0</v>
      </c>
      <c r="S184" s="88">
        <f t="shared" si="268"/>
        <v>0</v>
      </c>
      <c r="T184" s="88">
        <f t="shared" si="268"/>
        <v>0</v>
      </c>
      <c r="U184" s="88">
        <f t="shared" si="268"/>
        <v>0</v>
      </c>
      <c r="V184" s="88">
        <f t="shared" si="268"/>
        <v>0</v>
      </c>
      <c r="W184" s="88">
        <f t="shared" si="268"/>
        <v>0</v>
      </c>
      <c r="X184" s="88">
        <f t="shared" si="268"/>
        <v>0</v>
      </c>
      <c r="Y184" s="88">
        <f t="shared" si="268"/>
        <v>1</v>
      </c>
      <c r="Z184" s="88">
        <f t="shared" si="268"/>
        <v>1</v>
      </c>
      <c r="AA184" s="88">
        <f t="shared" si="268"/>
        <v>1</v>
      </c>
      <c r="AB184" s="88">
        <f t="shared" si="268"/>
        <v>1</v>
      </c>
      <c r="AC184" s="88">
        <f t="shared" si="268"/>
        <v>1</v>
      </c>
      <c r="AD184" s="88">
        <f t="shared" si="268"/>
        <v>1</v>
      </c>
      <c r="AE184" s="88">
        <f t="shared" si="268"/>
        <v>1</v>
      </c>
      <c r="AF184" s="88">
        <f t="shared" si="268"/>
        <v>1</v>
      </c>
      <c r="AG184" s="88">
        <f t="shared" si="268"/>
        <v>1</v>
      </c>
      <c r="AH184" s="88">
        <f t="shared" si="268"/>
        <v>1</v>
      </c>
      <c r="AI184" s="88">
        <f t="shared" si="268"/>
        <v>1</v>
      </c>
      <c r="AJ184" s="88">
        <f t="shared" si="268"/>
        <v>1</v>
      </c>
      <c r="AK184" s="88">
        <f t="shared" si="268"/>
        <v>1.03</v>
      </c>
      <c r="AL184" s="88">
        <f t="shared" si="268"/>
        <v>1.03</v>
      </c>
      <c r="AM184" s="88">
        <f t="shared" si="268"/>
        <v>1.03</v>
      </c>
      <c r="AN184" s="88">
        <f t="shared" si="268"/>
        <v>1.03</v>
      </c>
      <c r="AO184" s="88">
        <f t="shared" si="268"/>
        <v>1.03</v>
      </c>
      <c r="AP184" s="88">
        <f t="shared" si="268"/>
        <v>1.03</v>
      </c>
      <c r="AQ184" s="88">
        <f t="shared" si="268"/>
        <v>1.03</v>
      </c>
      <c r="AR184" s="88">
        <f t="shared" si="268"/>
        <v>1.03</v>
      </c>
      <c r="AS184" s="88">
        <f t="shared" si="268"/>
        <v>1.03</v>
      </c>
      <c r="AT184" s="88">
        <f t="shared" si="268"/>
        <v>1.03</v>
      </c>
      <c r="AU184" s="88">
        <f t="shared" si="268"/>
        <v>1.03</v>
      </c>
      <c r="AV184" s="88">
        <f t="shared" si="268"/>
        <v>1.03</v>
      </c>
      <c r="AW184" s="88">
        <f t="shared" si="268"/>
        <v>1.0609</v>
      </c>
      <c r="AX184" s="88">
        <f t="shared" ref="AX184:CC184" si="269">(1+$J184)^(AX137-1)*AX43</f>
        <v>1.0609</v>
      </c>
      <c r="AY184" s="88">
        <f t="shared" si="269"/>
        <v>1.0609</v>
      </c>
      <c r="AZ184" s="88">
        <f t="shared" si="269"/>
        <v>1.0609</v>
      </c>
      <c r="BA184" s="88">
        <f t="shared" si="269"/>
        <v>1.0609</v>
      </c>
      <c r="BB184" s="88">
        <f t="shared" si="269"/>
        <v>1.0609</v>
      </c>
      <c r="BC184" s="88">
        <f t="shared" si="269"/>
        <v>1.0609</v>
      </c>
      <c r="BD184" s="88">
        <f t="shared" si="269"/>
        <v>1.0609</v>
      </c>
      <c r="BE184" s="88">
        <f t="shared" si="269"/>
        <v>1.0609</v>
      </c>
      <c r="BF184" s="88">
        <f t="shared" si="269"/>
        <v>1.0609</v>
      </c>
      <c r="BG184" s="88">
        <f t="shared" si="269"/>
        <v>1.0609</v>
      </c>
      <c r="BH184" s="88">
        <f t="shared" si="269"/>
        <v>1.0609</v>
      </c>
      <c r="BI184" s="88">
        <f t="shared" si="269"/>
        <v>1.092727</v>
      </c>
      <c r="BJ184" s="88">
        <f t="shared" si="269"/>
        <v>1.092727</v>
      </c>
      <c r="BK184" s="88">
        <f t="shared" si="269"/>
        <v>1.092727</v>
      </c>
      <c r="BL184" s="88">
        <f t="shared" si="269"/>
        <v>1.092727</v>
      </c>
      <c r="BM184" s="88">
        <f t="shared" si="269"/>
        <v>1.092727</v>
      </c>
      <c r="BN184" s="88">
        <f t="shared" si="269"/>
        <v>1.092727</v>
      </c>
      <c r="BO184" s="88">
        <f t="shared" si="269"/>
        <v>1.092727</v>
      </c>
      <c r="BP184" s="88">
        <f t="shared" si="269"/>
        <v>1.092727</v>
      </c>
      <c r="BQ184" s="88">
        <f t="shared" si="269"/>
        <v>1.092727</v>
      </c>
      <c r="BR184" s="88">
        <f t="shared" si="269"/>
        <v>1.092727</v>
      </c>
      <c r="BS184" s="88">
        <f t="shared" si="269"/>
        <v>1.092727</v>
      </c>
      <c r="BT184" s="88">
        <f t="shared" si="269"/>
        <v>1.092727</v>
      </c>
      <c r="BU184" s="88">
        <f t="shared" si="269"/>
        <v>1.1255088099999999</v>
      </c>
      <c r="BV184" s="88">
        <f t="shared" si="269"/>
        <v>1.1255088099999999</v>
      </c>
      <c r="BW184" s="88">
        <f t="shared" si="269"/>
        <v>1.1255088099999999</v>
      </c>
      <c r="BX184" s="88">
        <f t="shared" si="269"/>
        <v>1.1255088099999999</v>
      </c>
      <c r="BY184" s="88">
        <f t="shared" si="269"/>
        <v>1.1255088099999999</v>
      </c>
      <c r="BZ184" s="88">
        <f t="shared" si="269"/>
        <v>1.1255088099999999</v>
      </c>
      <c r="CA184" s="88">
        <f t="shared" si="269"/>
        <v>0</v>
      </c>
      <c r="CB184" s="88">
        <f t="shared" si="269"/>
        <v>0</v>
      </c>
      <c r="CC184" s="88">
        <f t="shared" si="269"/>
        <v>0</v>
      </c>
      <c r="CD184" s="88">
        <f t="shared" ref="CD184:DL184" si="270">(1+$J184)^(CD137-1)*CD43</f>
        <v>0</v>
      </c>
      <c r="CE184" s="88">
        <f t="shared" si="270"/>
        <v>0</v>
      </c>
      <c r="CF184" s="88">
        <f t="shared" si="270"/>
        <v>0</v>
      </c>
      <c r="CG184" s="88">
        <f t="shared" si="270"/>
        <v>0</v>
      </c>
      <c r="CH184" s="88">
        <f t="shared" si="270"/>
        <v>0</v>
      </c>
      <c r="CI184" s="88">
        <f t="shared" si="270"/>
        <v>0</v>
      </c>
      <c r="CJ184" s="88">
        <f t="shared" si="270"/>
        <v>0</v>
      </c>
      <c r="CK184" s="88">
        <f t="shared" si="270"/>
        <v>0</v>
      </c>
      <c r="CL184" s="88">
        <f t="shared" si="270"/>
        <v>0</v>
      </c>
      <c r="CM184" s="88">
        <f t="shared" si="270"/>
        <v>0</v>
      </c>
      <c r="CN184" s="88">
        <f t="shared" si="270"/>
        <v>0</v>
      </c>
      <c r="CO184" s="88">
        <f t="shared" si="270"/>
        <v>0</v>
      </c>
      <c r="CP184" s="88">
        <f t="shared" si="270"/>
        <v>0</v>
      </c>
      <c r="CQ184" s="88">
        <f t="shared" si="270"/>
        <v>0</v>
      </c>
      <c r="CR184" s="88">
        <f t="shared" si="270"/>
        <v>0</v>
      </c>
      <c r="CS184" s="88">
        <f t="shared" si="270"/>
        <v>0</v>
      </c>
      <c r="CT184" s="88">
        <f t="shared" si="270"/>
        <v>0</v>
      </c>
      <c r="CU184" s="88">
        <f t="shared" si="270"/>
        <v>0</v>
      </c>
      <c r="CV184" s="88">
        <f t="shared" si="270"/>
        <v>0</v>
      </c>
      <c r="CW184" s="88">
        <f t="shared" si="270"/>
        <v>0</v>
      </c>
      <c r="CX184" s="88">
        <f t="shared" si="270"/>
        <v>0</v>
      </c>
      <c r="CY184" s="88">
        <f t="shared" si="270"/>
        <v>0</v>
      </c>
      <c r="CZ184" s="88">
        <f t="shared" si="270"/>
        <v>0</v>
      </c>
      <c r="DA184" s="88">
        <f t="shared" si="270"/>
        <v>0</v>
      </c>
      <c r="DB184" s="88">
        <f t="shared" si="270"/>
        <v>0</v>
      </c>
      <c r="DC184" s="88">
        <f t="shared" si="270"/>
        <v>0</v>
      </c>
      <c r="DD184" s="88">
        <f t="shared" si="270"/>
        <v>0</v>
      </c>
      <c r="DE184" s="88">
        <f t="shared" si="270"/>
        <v>0</v>
      </c>
      <c r="DF184" s="88">
        <f t="shared" si="270"/>
        <v>0</v>
      </c>
      <c r="DG184" s="88">
        <f t="shared" si="270"/>
        <v>0</v>
      </c>
      <c r="DH184" s="88">
        <f t="shared" si="270"/>
        <v>0</v>
      </c>
      <c r="DI184" s="88">
        <f t="shared" si="270"/>
        <v>0</v>
      </c>
      <c r="DJ184" s="88">
        <f t="shared" si="270"/>
        <v>0</v>
      </c>
      <c r="DK184" s="88">
        <f t="shared" si="270"/>
        <v>0</v>
      </c>
      <c r="DL184" s="88">
        <f t="shared" si="270"/>
        <v>0</v>
      </c>
    </row>
    <row r="185" spans="2:116">
      <c r="B185" s="27">
        <f>Rentroll!$C$42</f>
        <v>12</v>
      </c>
      <c r="C185" s="69" t="str">
        <f>VLOOKUP($B185,Rentroll!$C$37:$Z$60,3,FALSE)</f>
        <v>신라젠</v>
      </c>
      <c r="D185" s="80">
        <f>VLOOKUP($B185,Rentroll!$C$37:$Z$60,9,FALSE)</f>
        <v>45869</v>
      </c>
      <c r="E185" s="80">
        <f>VLOOKUP($B185,Rentroll!$C$37:$Z$60,10,FALSE)</f>
        <v>47695</v>
      </c>
      <c r="F185" s="81">
        <f>VLOOKUP($B185,Rentroll!$C$37:$Z$60,11,FALSE)</f>
        <v>60</v>
      </c>
      <c r="G185" s="69">
        <f>VLOOKUP($B185,Rentroll!$C$37:$Z$60,13,FALSE)</f>
        <v>103000</v>
      </c>
      <c r="H185" s="69">
        <f>VLOOKUP($B185,Rentroll!$C$37:$Z$60,14,FALSE)</f>
        <v>94416.666666666672</v>
      </c>
      <c r="I185" s="69">
        <f>VLOOKUP($B185,Rentroll!$C$37:$Z$60,15,FALSE)</f>
        <v>45000</v>
      </c>
      <c r="J185" s="82">
        <f>VLOOKUP($B185,Rentroll!$C$37:$Z$60,19,FALSE)</f>
        <v>0.03</v>
      </c>
      <c r="K185" s="83">
        <f>VLOOKUP($B185,Rentroll!$C$37:$Z$60,4,FALSE)</f>
        <v>1385.09</v>
      </c>
      <c r="L185" s="81">
        <f>VLOOKUP($B185,Rentroll!$C$37:$Z$60,17,FALSE)</f>
        <v>1</v>
      </c>
      <c r="M185" s="84">
        <f>VLOOKUP($B185,Rentroll!$C$37:$Z$60,18,FALSE)</f>
        <v>1</v>
      </c>
      <c r="O185" s="74">
        <f t="shared" si="258"/>
        <v>12</v>
      </c>
      <c r="P185" s="75"/>
      <c r="Q185" s="75"/>
      <c r="R185" s="88">
        <f t="shared" ref="R185:AW185" si="271">(1+$J185)^(R138-1)*R44</f>
        <v>0</v>
      </c>
      <c r="S185" s="88">
        <f t="shared" si="271"/>
        <v>0</v>
      </c>
      <c r="T185" s="88">
        <f t="shared" si="271"/>
        <v>0</v>
      </c>
      <c r="U185" s="88">
        <f t="shared" si="271"/>
        <v>0</v>
      </c>
      <c r="V185" s="88">
        <f t="shared" si="271"/>
        <v>0</v>
      </c>
      <c r="W185" s="88">
        <f t="shared" si="271"/>
        <v>0</v>
      </c>
      <c r="X185" s="88">
        <f t="shared" si="271"/>
        <v>0</v>
      </c>
      <c r="Y185" s="88">
        <f t="shared" si="271"/>
        <v>1</v>
      </c>
      <c r="Z185" s="88">
        <f t="shared" si="271"/>
        <v>1</v>
      </c>
      <c r="AA185" s="88">
        <f t="shared" si="271"/>
        <v>1</v>
      </c>
      <c r="AB185" s="88">
        <f t="shared" si="271"/>
        <v>1</v>
      </c>
      <c r="AC185" s="88">
        <f t="shared" si="271"/>
        <v>1</v>
      </c>
      <c r="AD185" s="88">
        <f t="shared" si="271"/>
        <v>1</v>
      </c>
      <c r="AE185" s="88">
        <f t="shared" si="271"/>
        <v>1</v>
      </c>
      <c r="AF185" s="88">
        <f t="shared" si="271"/>
        <v>1</v>
      </c>
      <c r="AG185" s="88">
        <f t="shared" si="271"/>
        <v>1</v>
      </c>
      <c r="AH185" s="88">
        <f t="shared" si="271"/>
        <v>1</v>
      </c>
      <c r="AI185" s="88">
        <f t="shared" si="271"/>
        <v>1</v>
      </c>
      <c r="AJ185" s="88">
        <f t="shared" si="271"/>
        <v>1</v>
      </c>
      <c r="AK185" s="88">
        <f t="shared" si="271"/>
        <v>1.03</v>
      </c>
      <c r="AL185" s="88">
        <f t="shared" si="271"/>
        <v>1.03</v>
      </c>
      <c r="AM185" s="88">
        <f t="shared" si="271"/>
        <v>1.03</v>
      </c>
      <c r="AN185" s="88">
        <f t="shared" si="271"/>
        <v>1.03</v>
      </c>
      <c r="AO185" s="88">
        <f t="shared" si="271"/>
        <v>1.03</v>
      </c>
      <c r="AP185" s="88">
        <f t="shared" si="271"/>
        <v>1.03</v>
      </c>
      <c r="AQ185" s="88">
        <f t="shared" si="271"/>
        <v>1.03</v>
      </c>
      <c r="AR185" s="88">
        <f t="shared" si="271"/>
        <v>1.03</v>
      </c>
      <c r="AS185" s="88">
        <f t="shared" si="271"/>
        <v>1.03</v>
      </c>
      <c r="AT185" s="88">
        <f t="shared" si="271"/>
        <v>1.03</v>
      </c>
      <c r="AU185" s="88">
        <f t="shared" si="271"/>
        <v>1.03</v>
      </c>
      <c r="AV185" s="88">
        <f t="shared" si="271"/>
        <v>1.03</v>
      </c>
      <c r="AW185" s="88">
        <f t="shared" si="271"/>
        <v>1.0609</v>
      </c>
      <c r="AX185" s="88">
        <f t="shared" ref="AX185:CC185" si="272">(1+$J185)^(AX138-1)*AX44</f>
        <v>1.0609</v>
      </c>
      <c r="AY185" s="88">
        <f t="shared" si="272"/>
        <v>1.0609</v>
      </c>
      <c r="AZ185" s="88">
        <f t="shared" si="272"/>
        <v>1.0609</v>
      </c>
      <c r="BA185" s="88">
        <f t="shared" si="272"/>
        <v>1.0609</v>
      </c>
      <c r="BB185" s="88">
        <f t="shared" si="272"/>
        <v>1.0609</v>
      </c>
      <c r="BC185" s="88">
        <f t="shared" si="272"/>
        <v>1.0609</v>
      </c>
      <c r="BD185" s="88">
        <f t="shared" si="272"/>
        <v>1.0609</v>
      </c>
      <c r="BE185" s="88">
        <f t="shared" si="272"/>
        <v>1.0609</v>
      </c>
      <c r="BF185" s="88">
        <f t="shared" si="272"/>
        <v>1.0609</v>
      </c>
      <c r="BG185" s="88">
        <f t="shared" si="272"/>
        <v>1.0609</v>
      </c>
      <c r="BH185" s="88">
        <f t="shared" si="272"/>
        <v>1.0609</v>
      </c>
      <c r="BI185" s="88">
        <f t="shared" si="272"/>
        <v>1.092727</v>
      </c>
      <c r="BJ185" s="88">
        <f t="shared" si="272"/>
        <v>1.092727</v>
      </c>
      <c r="BK185" s="88">
        <f t="shared" si="272"/>
        <v>1.092727</v>
      </c>
      <c r="BL185" s="88">
        <f t="shared" si="272"/>
        <v>1.092727</v>
      </c>
      <c r="BM185" s="88">
        <f t="shared" si="272"/>
        <v>1.092727</v>
      </c>
      <c r="BN185" s="88">
        <f t="shared" si="272"/>
        <v>1.092727</v>
      </c>
      <c r="BO185" s="88">
        <f t="shared" si="272"/>
        <v>1.092727</v>
      </c>
      <c r="BP185" s="88">
        <f t="shared" si="272"/>
        <v>1.092727</v>
      </c>
      <c r="BQ185" s="88">
        <f t="shared" si="272"/>
        <v>1.092727</v>
      </c>
      <c r="BR185" s="88">
        <f t="shared" si="272"/>
        <v>1.092727</v>
      </c>
      <c r="BS185" s="88">
        <f t="shared" si="272"/>
        <v>1.092727</v>
      </c>
      <c r="BT185" s="88">
        <f t="shared" si="272"/>
        <v>1.092727</v>
      </c>
      <c r="BU185" s="88">
        <f t="shared" si="272"/>
        <v>1.1255088099999999</v>
      </c>
      <c r="BV185" s="88">
        <f t="shared" si="272"/>
        <v>1.1255088099999999</v>
      </c>
      <c r="BW185" s="88">
        <f t="shared" si="272"/>
        <v>1.1255088099999999</v>
      </c>
      <c r="BX185" s="88">
        <f t="shared" si="272"/>
        <v>1.1255088099999999</v>
      </c>
      <c r="BY185" s="88">
        <f t="shared" si="272"/>
        <v>1.1255088099999999</v>
      </c>
      <c r="BZ185" s="88">
        <f t="shared" si="272"/>
        <v>1.1255088099999999</v>
      </c>
      <c r="CA185" s="88">
        <f t="shared" si="272"/>
        <v>0</v>
      </c>
      <c r="CB185" s="88">
        <f t="shared" si="272"/>
        <v>0</v>
      </c>
      <c r="CC185" s="88">
        <f t="shared" si="272"/>
        <v>0</v>
      </c>
      <c r="CD185" s="88">
        <f t="shared" ref="CD185:DL185" si="273">(1+$J185)^(CD138-1)*CD44</f>
        <v>0</v>
      </c>
      <c r="CE185" s="88">
        <f t="shared" si="273"/>
        <v>0</v>
      </c>
      <c r="CF185" s="88">
        <f t="shared" si="273"/>
        <v>0</v>
      </c>
      <c r="CG185" s="88">
        <f t="shared" si="273"/>
        <v>0</v>
      </c>
      <c r="CH185" s="88">
        <f t="shared" si="273"/>
        <v>0</v>
      </c>
      <c r="CI185" s="88">
        <f t="shared" si="273"/>
        <v>0</v>
      </c>
      <c r="CJ185" s="88">
        <f t="shared" si="273"/>
        <v>0</v>
      </c>
      <c r="CK185" s="88">
        <f t="shared" si="273"/>
        <v>0</v>
      </c>
      <c r="CL185" s="88">
        <f t="shared" si="273"/>
        <v>0</v>
      </c>
      <c r="CM185" s="88">
        <f t="shared" si="273"/>
        <v>0</v>
      </c>
      <c r="CN185" s="88">
        <f t="shared" si="273"/>
        <v>0</v>
      </c>
      <c r="CO185" s="88">
        <f t="shared" si="273"/>
        <v>0</v>
      </c>
      <c r="CP185" s="88">
        <f t="shared" si="273"/>
        <v>0</v>
      </c>
      <c r="CQ185" s="88">
        <f t="shared" si="273"/>
        <v>0</v>
      </c>
      <c r="CR185" s="88">
        <f t="shared" si="273"/>
        <v>0</v>
      </c>
      <c r="CS185" s="88">
        <f t="shared" si="273"/>
        <v>0</v>
      </c>
      <c r="CT185" s="88">
        <f t="shared" si="273"/>
        <v>0</v>
      </c>
      <c r="CU185" s="88">
        <f t="shared" si="273"/>
        <v>0</v>
      </c>
      <c r="CV185" s="88">
        <f t="shared" si="273"/>
        <v>0</v>
      </c>
      <c r="CW185" s="88">
        <f t="shared" si="273"/>
        <v>0</v>
      </c>
      <c r="CX185" s="88">
        <f t="shared" si="273"/>
        <v>0</v>
      </c>
      <c r="CY185" s="88">
        <f t="shared" si="273"/>
        <v>0</v>
      </c>
      <c r="CZ185" s="88">
        <f t="shared" si="273"/>
        <v>0</v>
      </c>
      <c r="DA185" s="88">
        <f t="shared" si="273"/>
        <v>0</v>
      </c>
      <c r="DB185" s="88">
        <f t="shared" si="273"/>
        <v>0</v>
      </c>
      <c r="DC185" s="88">
        <f t="shared" si="273"/>
        <v>0</v>
      </c>
      <c r="DD185" s="88">
        <f t="shared" si="273"/>
        <v>0</v>
      </c>
      <c r="DE185" s="88">
        <f t="shared" si="273"/>
        <v>0</v>
      </c>
      <c r="DF185" s="88">
        <f t="shared" si="273"/>
        <v>0</v>
      </c>
      <c r="DG185" s="88">
        <f t="shared" si="273"/>
        <v>0</v>
      </c>
      <c r="DH185" s="88">
        <f t="shared" si="273"/>
        <v>0</v>
      </c>
      <c r="DI185" s="88">
        <f t="shared" si="273"/>
        <v>0</v>
      </c>
      <c r="DJ185" s="88">
        <f t="shared" si="273"/>
        <v>0</v>
      </c>
      <c r="DK185" s="88">
        <f t="shared" si="273"/>
        <v>0</v>
      </c>
      <c r="DL185" s="88">
        <f t="shared" si="273"/>
        <v>0</v>
      </c>
    </row>
    <row r="186" spans="2:116">
      <c r="B186" s="27">
        <f>Rentroll!$C$43</f>
        <v>11</v>
      </c>
      <c r="C186" s="69" t="str">
        <f>VLOOKUP($B186,Rentroll!$C$37:$Z$60,3,FALSE)</f>
        <v>노벰버 건설</v>
      </c>
      <c r="D186" s="80">
        <f>VLOOKUP($B186,Rentroll!$C$37:$Z$60,9,FALSE)</f>
        <v>46904</v>
      </c>
      <c r="E186" s="80">
        <f>VLOOKUP($B186,Rentroll!$C$37:$Z$60,10,FALSE)</f>
        <v>48730</v>
      </c>
      <c r="F186" s="81">
        <f>VLOOKUP($B186,Rentroll!$C$37:$Z$60,11,FALSE)</f>
        <v>60</v>
      </c>
      <c r="G186" s="69">
        <f>VLOOKUP($B186,Rentroll!$C$37:$Z$60,13,FALSE)</f>
        <v>112550.88099999999</v>
      </c>
      <c r="H186" s="69">
        <f>VLOOKUP($B186,Rentroll!$C$37:$Z$60,14,FALSE)</f>
        <v>103171.64091666666</v>
      </c>
      <c r="I186" s="69">
        <f>VLOOKUP($B186,Rentroll!$C$37:$Z$60,15,FALSE)</f>
        <v>49172.715000000004</v>
      </c>
      <c r="J186" s="82">
        <f>VLOOKUP($B186,Rentroll!$C$37:$Z$60,19,FALSE)</f>
        <v>0.03</v>
      </c>
      <c r="K186" s="83">
        <f>VLOOKUP($B186,Rentroll!$C$37:$Z$60,4,FALSE)</f>
        <v>1385.09</v>
      </c>
      <c r="L186" s="81">
        <f>VLOOKUP($B186,Rentroll!$C$37:$Z$60,17,FALSE)</f>
        <v>0</v>
      </c>
      <c r="M186" s="84">
        <f>VLOOKUP($B186,Rentroll!$C$37:$Z$60,18,FALSE)</f>
        <v>1</v>
      </c>
      <c r="O186" s="74">
        <f t="shared" si="258"/>
        <v>11</v>
      </c>
      <c r="P186" s="75"/>
      <c r="Q186" s="75"/>
      <c r="R186" s="88">
        <f t="shared" ref="R186:AW186" si="274">(1+$J186)^(R139-1)*R45</f>
        <v>0</v>
      </c>
      <c r="S186" s="88">
        <f t="shared" si="274"/>
        <v>0</v>
      </c>
      <c r="T186" s="88">
        <f t="shared" si="274"/>
        <v>0</v>
      </c>
      <c r="U186" s="88">
        <f t="shared" si="274"/>
        <v>0</v>
      </c>
      <c r="V186" s="88">
        <f t="shared" si="274"/>
        <v>0</v>
      </c>
      <c r="W186" s="88">
        <f t="shared" si="274"/>
        <v>0</v>
      </c>
      <c r="X186" s="88">
        <f t="shared" si="274"/>
        <v>0</v>
      </c>
      <c r="Y186" s="88">
        <f t="shared" si="274"/>
        <v>0</v>
      </c>
      <c r="Z186" s="88">
        <f t="shared" si="274"/>
        <v>0</v>
      </c>
      <c r="AA186" s="88">
        <f t="shared" si="274"/>
        <v>0</v>
      </c>
      <c r="AB186" s="88">
        <f t="shared" si="274"/>
        <v>0</v>
      </c>
      <c r="AC186" s="88">
        <f t="shared" si="274"/>
        <v>0</v>
      </c>
      <c r="AD186" s="88">
        <f t="shared" si="274"/>
        <v>0</v>
      </c>
      <c r="AE186" s="88">
        <f t="shared" si="274"/>
        <v>0</v>
      </c>
      <c r="AF186" s="88">
        <f t="shared" si="274"/>
        <v>0</v>
      </c>
      <c r="AG186" s="88">
        <f t="shared" si="274"/>
        <v>0</v>
      </c>
      <c r="AH186" s="88">
        <f t="shared" si="274"/>
        <v>0</v>
      </c>
      <c r="AI186" s="88">
        <f t="shared" si="274"/>
        <v>0</v>
      </c>
      <c r="AJ186" s="88">
        <f t="shared" si="274"/>
        <v>0</v>
      </c>
      <c r="AK186" s="88">
        <f t="shared" si="274"/>
        <v>0</v>
      </c>
      <c r="AL186" s="88">
        <f t="shared" si="274"/>
        <v>0</v>
      </c>
      <c r="AM186" s="88">
        <f t="shared" si="274"/>
        <v>0</v>
      </c>
      <c r="AN186" s="88">
        <f t="shared" si="274"/>
        <v>0</v>
      </c>
      <c r="AO186" s="88">
        <f t="shared" si="274"/>
        <v>0</v>
      </c>
      <c r="AP186" s="88">
        <f t="shared" si="274"/>
        <v>0</v>
      </c>
      <c r="AQ186" s="88">
        <f t="shared" si="274"/>
        <v>0</v>
      </c>
      <c r="AR186" s="88">
        <f t="shared" si="274"/>
        <v>0</v>
      </c>
      <c r="AS186" s="88">
        <f t="shared" si="274"/>
        <v>0</v>
      </c>
      <c r="AT186" s="88">
        <f t="shared" si="274"/>
        <v>0</v>
      </c>
      <c r="AU186" s="88">
        <f t="shared" si="274"/>
        <v>0</v>
      </c>
      <c r="AV186" s="88">
        <f t="shared" si="274"/>
        <v>0</v>
      </c>
      <c r="AW186" s="88">
        <f t="shared" si="274"/>
        <v>0</v>
      </c>
      <c r="AX186" s="88">
        <f t="shared" ref="AX186:CC186" si="275">(1+$J186)^(AX139-1)*AX45</f>
        <v>0</v>
      </c>
      <c r="AY186" s="88">
        <f t="shared" si="275"/>
        <v>0</v>
      </c>
      <c r="AZ186" s="88">
        <f t="shared" si="275"/>
        <v>0</v>
      </c>
      <c r="BA186" s="88">
        <f t="shared" si="275"/>
        <v>0</v>
      </c>
      <c r="BB186" s="88">
        <f t="shared" si="275"/>
        <v>0</v>
      </c>
      <c r="BC186" s="88">
        <f t="shared" si="275"/>
        <v>0</v>
      </c>
      <c r="BD186" s="88">
        <f t="shared" si="275"/>
        <v>0</v>
      </c>
      <c r="BE186" s="88">
        <f t="shared" si="275"/>
        <v>0</v>
      </c>
      <c r="BF186" s="88">
        <f t="shared" si="275"/>
        <v>0</v>
      </c>
      <c r="BG186" s="88">
        <f t="shared" si="275"/>
        <v>1</v>
      </c>
      <c r="BH186" s="88">
        <f t="shared" si="275"/>
        <v>1</v>
      </c>
      <c r="BI186" s="88">
        <f t="shared" si="275"/>
        <v>1</v>
      </c>
      <c r="BJ186" s="88">
        <f t="shared" si="275"/>
        <v>1</v>
      </c>
      <c r="BK186" s="88">
        <f t="shared" si="275"/>
        <v>1</v>
      </c>
      <c r="BL186" s="88">
        <f t="shared" si="275"/>
        <v>1</v>
      </c>
      <c r="BM186" s="88">
        <f t="shared" si="275"/>
        <v>1</v>
      </c>
      <c r="BN186" s="88">
        <f t="shared" si="275"/>
        <v>1</v>
      </c>
      <c r="BO186" s="88">
        <f t="shared" si="275"/>
        <v>1</v>
      </c>
      <c r="BP186" s="88">
        <f t="shared" si="275"/>
        <v>1</v>
      </c>
      <c r="BQ186" s="88">
        <f t="shared" si="275"/>
        <v>1</v>
      </c>
      <c r="BR186" s="88">
        <f t="shared" si="275"/>
        <v>1</v>
      </c>
      <c r="BS186" s="88">
        <f t="shared" si="275"/>
        <v>1.03</v>
      </c>
      <c r="BT186" s="88">
        <f t="shared" si="275"/>
        <v>1.03</v>
      </c>
      <c r="BU186" s="88">
        <f t="shared" si="275"/>
        <v>1.03</v>
      </c>
      <c r="BV186" s="88">
        <f t="shared" si="275"/>
        <v>1.03</v>
      </c>
      <c r="BW186" s="88">
        <f t="shared" si="275"/>
        <v>1.03</v>
      </c>
      <c r="BX186" s="88">
        <f t="shared" si="275"/>
        <v>1.03</v>
      </c>
      <c r="BY186" s="88">
        <f t="shared" si="275"/>
        <v>1.03</v>
      </c>
      <c r="BZ186" s="88">
        <f t="shared" si="275"/>
        <v>1.03</v>
      </c>
      <c r="CA186" s="88">
        <f t="shared" si="275"/>
        <v>0</v>
      </c>
      <c r="CB186" s="88">
        <f t="shared" si="275"/>
        <v>0</v>
      </c>
      <c r="CC186" s="88">
        <f t="shared" si="275"/>
        <v>0</v>
      </c>
      <c r="CD186" s="88">
        <f t="shared" ref="CD186:DL186" si="276">(1+$J186)^(CD139-1)*CD45</f>
        <v>0</v>
      </c>
      <c r="CE186" s="88">
        <f t="shared" si="276"/>
        <v>0</v>
      </c>
      <c r="CF186" s="88">
        <f t="shared" si="276"/>
        <v>0</v>
      </c>
      <c r="CG186" s="88">
        <f t="shared" si="276"/>
        <v>0</v>
      </c>
      <c r="CH186" s="88">
        <f t="shared" si="276"/>
        <v>0</v>
      </c>
      <c r="CI186" s="88">
        <f t="shared" si="276"/>
        <v>0</v>
      </c>
      <c r="CJ186" s="88">
        <f t="shared" si="276"/>
        <v>0</v>
      </c>
      <c r="CK186" s="88">
        <f t="shared" si="276"/>
        <v>0</v>
      </c>
      <c r="CL186" s="88">
        <f t="shared" si="276"/>
        <v>0</v>
      </c>
      <c r="CM186" s="88">
        <f t="shared" si="276"/>
        <v>0</v>
      </c>
      <c r="CN186" s="88">
        <f t="shared" si="276"/>
        <v>0</v>
      </c>
      <c r="CO186" s="88">
        <f t="shared" si="276"/>
        <v>0</v>
      </c>
      <c r="CP186" s="88">
        <f t="shared" si="276"/>
        <v>0</v>
      </c>
      <c r="CQ186" s="88">
        <f t="shared" si="276"/>
        <v>0</v>
      </c>
      <c r="CR186" s="88">
        <f t="shared" si="276"/>
        <v>0</v>
      </c>
      <c r="CS186" s="88">
        <f t="shared" si="276"/>
        <v>0</v>
      </c>
      <c r="CT186" s="88">
        <f t="shared" si="276"/>
        <v>0</v>
      </c>
      <c r="CU186" s="88">
        <f t="shared" si="276"/>
        <v>0</v>
      </c>
      <c r="CV186" s="88">
        <f t="shared" si="276"/>
        <v>0</v>
      </c>
      <c r="CW186" s="88">
        <f t="shared" si="276"/>
        <v>0</v>
      </c>
      <c r="CX186" s="88">
        <f t="shared" si="276"/>
        <v>0</v>
      </c>
      <c r="CY186" s="88">
        <f t="shared" si="276"/>
        <v>0</v>
      </c>
      <c r="CZ186" s="88">
        <f t="shared" si="276"/>
        <v>0</v>
      </c>
      <c r="DA186" s="88">
        <f t="shared" si="276"/>
        <v>0</v>
      </c>
      <c r="DB186" s="88">
        <f t="shared" si="276"/>
        <v>0</v>
      </c>
      <c r="DC186" s="88">
        <f t="shared" si="276"/>
        <v>0</v>
      </c>
      <c r="DD186" s="88">
        <f t="shared" si="276"/>
        <v>0</v>
      </c>
      <c r="DE186" s="88">
        <f t="shared" si="276"/>
        <v>0</v>
      </c>
      <c r="DF186" s="88">
        <f t="shared" si="276"/>
        <v>0</v>
      </c>
      <c r="DG186" s="88">
        <f t="shared" si="276"/>
        <v>0</v>
      </c>
      <c r="DH186" s="88">
        <f t="shared" si="276"/>
        <v>0</v>
      </c>
      <c r="DI186" s="88">
        <f t="shared" si="276"/>
        <v>0</v>
      </c>
      <c r="DJ186" s="88">
        <f t="shared" si="276"/>
        <v>0</v>
      </c>
      <c r="DK186" s="88">
        <f t="shared" si="276"/>
        <v>0</v>
      </c>
      <c r="DL186" s="88">
        <f t="shared" si="276"/>
        <v>0</v>
      </c>
    </row>
    <row r="187" spans="2:116">
      <c r="B187" s="27">
        <f>Rentroll!$C$44</f>
        <v>10</v>
      </c>
      <c r="C187" s="69" t="str">
        <f>VLOOKUP($B187,Rentroll!$C$37:$Z$60,3,FALSE)</f>
        <v>노벰버 건설</v>
      </c>
      <c r="D187" s="80">
        <f>VLOOKUP($B187,Rentroll!$C$37:$Z$60,9,FALSE)</f>
        <v>46904</v>
      </c>
      <c r="E187" s="80">
        <f>VLOOKUP($B187,Rentroll!$C$37:$Z$60,10,FALSE)</f>
        <v>48730</v>
      </c>
      <c r="F187" s="81">
        <f>VLOOKUP($B187,Rentroll!$C$37:$Z$60,11,FALSE)</f>
        <v>60</v>
      </c>
      <c r="G187" s="69">
        <f>VLOOKUP($B187,Rentroll!$C$37:$Z$60,13,FALSE)</f>
        <v>112550.88099999999</v>
      </c>
      <c r="H187" s="69">
        <f>VLOOKUP($B187,Rentroll!$C$37:$Z$60,14,FALSE)</f>
        <v>103171.64091666666</v>
      </c>
      <c r="I187" s="69">
        <f>VLOOKUP($B187,Rentroll!$C$37:$Z$60,15,FALSE)</f>
        <v>49172.715000000004</v>
      </c>
      <c r="J187" s="82">
        <f>VLOOKUP($B187,Rentroll!$C$37:$Z$60,19,FALSE)</f>
        <v>0.03</v>
      </c>
      <c r="K187" s="83">
        <f>VLOOKUP($B187,Rentroll!$C$37:$Z$60,4,FALSE)</f>
        <v>1385.09</v>
      </c>
      <c r="L187" s="81">
        <f>VLOOKUP($B187,Rentroll!$C$37:$Z$60,17,FALSE)</f>
        <v>0</v>
      </c>
      <c r="M187" s="84">
        <f>VLOOKUP($B187,Rentroll!$C$37:$Z$60,18,FALSE)</f>
        <v>1</v>
      </c>
      <c r="O187" s="74">
        <f t="shared" si="258"/>
        <v>10</v>
      </c>
      <c r="P187" s="75"/>
      <c r="Q187" s="75"/>
      <c r="R187" s="88">
        <f t="shared" ref="R187:AW187" si="277">(1+$J187)^(R140-1)*R46</f>
        <v>0</v>
      </c>
      <c r="S187" s="88">
        <f t="shared" si="277"/>
        <v>0</v>
      </c>
      <c r="T187" s="88">
        <f t="shared" si="277"/>
        <v>0</v>
      </c>
      <c r="U187" s="88">
        <f t="shared" si="277"/>
        <v>0</v>
      </c>
      <c r="V187" s="88">
        <f t="shared" si="277"/>
        <v>0</v>
      </c>
      <c r="W187" s="88">
        <f t="shared" si="277"/>
        <v>0</v>
      </c>
      <c r="X187" s="88">
        <f t="shared" si="277"/>
        <v>0</v>
      </c>
      <c r="Y187" s="88">
        <f t="shared" si="277"/>
        <v>0</v>
      </c>
      <c r="Z187" s="88">
        <f t="shared" si="277"/>
        <v>0</v>
      </c>
      <c r="AA187" s="88">
        <f t="shared" si="277"/>
        <v>0</v>
      </c>
      <c r="AB187" s="88">
        <f t="shared" si="277"/>
        <v>0</v>
      </c>
      <c r="AC187" s="88">
        <f t="shared" si="277"/>
        <v>0</v>
      </c>
      <c r="AD187" s="88">
        <f t="shared" si="277"/>
        <v>0</v>
      </c>
      <c r="AE187" s="88">
        <f t="shared" si="277"/>
        <v>0</v>
      </c>
      <c r="AF187" s="88">
        <f t="shared" si="277"/>
        <v>0</v>
      </c>
      <c r="AG187" s="88">
        <f t="shared" si="277"/>
        <v>0</v>
      </c>
      <c r="AH187" s="88">
        <f t="shared" si="277"/>
        <v>0</v>
      </c>
      <c r="AI187" s="88">
        <f t="shared" si="277"/>
        <v>0</v>
      </c>
      <c r="AJ187" s="88">
        <f t="shared" si="277"/>
        <v>0</v>
      </c>
      <c r="AK187" s="88">
        <f t="shared" si="277"/>
        <v>0</v>
      </c>
      <c r="AL187" s="88">
        <f t="shared" si="277"/>
        <v>0</v>
      </c>
      <c r="AM187" s="88">
        <f t="shared" si="277"/>
        <v>0</v>
      </c>
      <c r="AN187" s="88">
        <f t="shared" si="277"/>
        <v>0</v>
      </c>
      <c r="AO187" s="88">
        <f t="shared" si="277"/>
        <v>0</v>
      </c>
      <c r="AP187" s="88">
        <f t="shared" si="277"/>
        <v>0</v>
      </c>
      <c r="AQ187" s="88">
        <f t="shared" si="277"/>
        <v>0</v>
      </c>
      <c r="AR187" s="88">
        <f t="shared" si="277"/>
        <v>0</v>
      </c>
      <c r="AS187" s="88">
        <f t="shared" si="277"/>
        <v>0</v>
      </c>
      <c r="AT187" s="88">
        <f t="shared" si="277"/>
        <v>0</v>
      </c>
      <c r="AU187" s="88">
        <f t="shared" si="277"/>
        <v>0</v>
      </c>
      <c r="AV187" s="88">
        <f t="shared" si="277"/>
        <v>0</v>
      </c>
      <c r="AW187" s="88">
        <f t="shared" si="277"/>
        <v>0</v>
      </c>
      <c r="AX187" s="88">
        <f t="shared" ref="AX187:CC187" si="278">(1+$J187)^(AX140-1)*AX46</f>
        <v>0</v>
      </c>
      <c r="AY187" s="88">
        <f t="shared" si="278"/>
        <v>0</v>
      </c>
      <c r="AZ187" s="88">
        <f t="shared" si="278"/>
        <v>0</v>
      </c>
      <c r="BA187" s="88">
        <f t="shared" si="278"/>
        <v>0</v>
      </c>
      <c r="BB187" s="88">
        <f t="shared" si="278"/>
        <v>0</v>
      </c>
      <c r="BC187" s="88">
        <f t="shared" si="278"/>
        <v>0</v>
      </c>
      <c r="BD187" s="88">
        <f t="shared" si="278"/>
        <v>0</v>
      </c>
      <c r="BE187" s="88">
        <f t="shared" si="278"/>
        <v>0</v>
      </c>
      <c r="BF187" s="88">
        <f t="shared" si="278"/>
        <v>0</v>
      </c>
      <c r="BG187" s="88">
        <f t="shared" si="278"/>
        <v>1</v>
      </c>
      <c r="BH187" s="88">
        <f t="shared" si="278"/>
        <v>1</v>
      </c>
      <c r="BI187" s="88">
        <f t="shared" si="278"/>
        <v>1</v>
      </c>
      <c r="BJ187" s="88">
        <f t="shared" si="278"/>
        <v>1</v>
      </c>
      <c r="BK187" s="88">
        <f t="shared" si="278"/>
        <v>1</v>
      </c>
      <c r="BL187" s="88">
        <f t="shared" si="278"/>
        <v>1</v>
      </c>
      <c r="BM187" s="88">
        <f t="shared" si="278"/>
        <v>1</v>
      </c>
      <c r="BN187" s="88">
        <f t="shared" si="278"/>
        <v>1</v>
      </c>
      <c r="BO187" s="88">
        <f t="shared" si="278"/>
        <v>1</v>
      </c>
      <c r="BP187" s="88">
        <f t="shared" si="278"/>
        <v>1</v>
      </c>
      <c r="BQ187" s="88">
        <f t="shared" si="278"/>
        <v>1</v>
      </c>
      <c r="BR187" s="88">
        <f t="shared" si="278"/>
        <v>1</v>
      </c>
      <c r="BS187" s="88">
        <f t="shared" si="278"/>
        <v>1.03</v>
      </c>
      <c r="BT187" s="88">
        <f t="shared" si="278"/>
        <v>1.03</v>
      </c>
      <c r="BU187" s="88">
        <f t="shared" si="278"/>
        <v>1.03</v>
      </c>
      <c r="BV187" s="88">
        <f t="shared" si="278"/>
        <v>1.03</v>
      </c>
      <c r="BW187" s="88">
        <f t="shared" si="278"/>
        <v>1.03</v>
      </c>
      <c r="BX187" s="88">
        <f t="shared" si="278"/>
        <v>1.03</v>
      </c>
      <c r="BY187" s="88">
        <f t="shared" si="278"/>
        <v>1.03</v>
      </c>
      <c r="BZ187" s="88">
        <f t="shared" si="278"/>
        <v>1.03</v>
      </c>
      <c r="CA187" s="88">
        <f t="shared" si="278"/>
        <v>0</v>
      </c>
      <c r="CB187" s="88">
        <f t="shared" si="278"/>
        <v>0</v>
      </c>
      <c r="CC187" s="88">
        <f t="shared" si="278"/>
        <v>0</v>
      </c>
      <c r="CD187" s="88">
        <f t="shared" ref="CD187:DL187" si="279">(1+$J187)^(CD140-1)*CD46</f>
        <v>0</v>
      </c>
      <c r="CE187" s="88">
        <f t="shared" si="279"/>
        <v>0</v>
      </c>
      <c r="CF187" s="88">
        <f t="shared" si="279"/>
        <v>0</v>
      </c>
      <c r="CG187" s="88">
        <f t="shared" si="279"/>
        <v>0</v>
      </c>
      <c r="CH187" s="88">
        <f t="shared" si="279"/>
        <v>0</v>
      </c>
      <c r="CI187" s="88">
        <f t="shared" si="279"/>
        <v>0</v>
      </c>
      <c r="CJ187" s="88">
        <f t="shared" si="279"/>
        <v>0</v>
      </c>
      <c r="CK187" s="88">
        <f t="shared" si="279"/>
        <v>0</v>
      </c>
      <c r="CL187" s="88">
        <f t="shared" si="279"/>
        <v>0</v>
      </c>
      <c r="CM187" s="88">
        <f t="shared" si="279"/>
        <v>0</v>
      </c>
      <c r="CN187" s="88">
        <f t="shared" si="279"/>
        <v>0</v>
      </c>
      <c r="CO187" s="88">
        <f t="shared" si="279"/>
        <v>0</v>
      </c>
      <c r="CP187" s="88">
        <f t="shared" si="279"/>
        <v>0</v>
      </c>
      <c r="CQ187" s="88">
        <f t="shared" si="279"/>
        <v>0</v>
      </c>
      <c r="CR187" s="88">
        <f t="shared" si="279"/>
        <v>0</v>
      </c>
      <c r="CS187" s="88">
        <f t="shared" si="279"/>
        <v>0</v>
      </c>
      <c r="CT187" s="88">
        <f t="shared" si="279"/>
        <v>0</v>
      </c>
      <c r="CU187" s="88">
        <f t="shared" si="279"/>
        <v>0</v>
      </c>
      <c r="CV187" s="88">
        <f t="shared" si="279"/>
        <v>0</v>
      </c>
      <c r="CW187" s="88">
        <f t="shared" si="279"/>
        <v>0</v>
      </c>
      <c r="CX187" s="88">
        <f t="shared" si="279"/>
        <v>0</v>
      </c>
      <c r="CY187" s="88">
        <f t="shared" si="279"/>
        <v>0</v>
      </c>
      <c r="CZ187" s="88">
        <f t="shared" si="279"/>
        <v>0</v>
      </c>
      <c r="DA187" s="88">
        <f t="shared" si="279"/>
        <v>0</v>
      </c>
      <c r="DB187" s="88">
        <f t="shared" si="279"/>
        <v>0</v>
      </c>
      <c r="DC187" s="88">
        <f t="shared" si="279"/>
        <v>0</v>
      </c>
      <c r="DD187" s="88">
        <f t="shared" si="279"/>
        <v>0</v>
      </c>
      <c r="DE187" s="88">
        <f t="shared" si="279"/>
        <v>0</v>
      </c>
      <c r="DF187" s="88">
        <f t="shared" si="279"/>
        <v>0</v>
      </c>
      <c r="DG187" s="88">
        <f t="shared" si="279"/>
        <v>0</v>
      </c>
      <c r="DH187" s="88">
        <f t="shared" si="279"/>
        <v>0</v>
      </c>
      <c r="DI187" s="88">
        <f t="shared" si="279"/>
        <v>0</v>
      </c>
      <c r="DJ187" s="88">
        <f t="shared" si="279"/>
        <v>0</v>
      </c>
      <c r="DK187" s="88">
        <f t="shared" si="279"/>
        <v>0</v>
      </c>
      <c r="DL187" s="88">
        <f t="shared" si="279"/>
        <v>0</v>
      </c>
    </row>
    <row r="188" spans="2:116">
      <c r="B188" s="27">
        <f>Rentroll!$C$45</f>
        <v>9</v>
      </c>
      <c r="C188" s="69" t="str">
        <f>VLOOKUP($B188,Rentroll!$C$37:$Z$60,3,FALSE)</f>
        <v>노벰버 건설</v>
      </c>
      <c r="D188" s="80">
        <f>VLOOKUP($B188,Rentroll!$C$37:$Z$60,9,FALSE)</f>
        <v>46904</v>
      </c>
      <c r="E188" s="80">
        <f>VLOOKUP($B188,Rentroll!$C$37:$Z$60,10,FALSE)</f>
        <v>48730</v>
      </c>
      <c r="F188" s="81">
        <f>VLOOKUP($B188,Rentroll!$C$37:$Z$60,11,FALSE)</f>
        <v>60</v>
      </c>
      <c r="G188" s="69">
        <f>VLOOKUP($B188,Rentroll!$C$37:$Z$60,13,FALSE)</f>
        <v>112550.88099999999</v>
      </c>
      <c r="H188" s="69">
        <f>VLOOKUP($B188,Rentroll!$C$37:$Z$60,14,FALSE)</f>
        <v>103171.64091666666</v>
      </c>
      <c r="I188" s="69">
        <f>VLOOKUP($B188,Rentroll!$C$37:$Z$60,15,FALSE)</f>
        <v>49172.715000000004</v>
      </c>
      <c r="J188" s="82">
        <f>VLOOKUP($B188,Rentroll!$C$37:$Z$60,19,FALSE)</f>
        <v>0.03</v>
      </c>
      <c r="K188" s="83">
        <f>VLOOKUP($B188,Rentroll!$C$37:$Z$60,4,FALSE)</f>
        <v>1385.09</v>
      </c>
      <c r="L188" s="81">
        <f>VLOOKUP($B188,Rentroll!$C$37:$Z$60,17,FALSE)</f>
        <v>0</v>
      </c>
      <c r="M188" s="84">
        <f>VLOOKUP($B188,Rentroll!$C$37:$Z$60,18,FALSE)</f>
        <v>1</v>
      </c>
      <c r="O188" s="74">
        <f t="shared" si="258"/>
        <v>9</v>
      </c>
      <c r="P188" s="75"/>
      <c r="Q188" s="75"/>
      <c r="R188" s="88">
        <f t="shared" ref="R188:AW188" si="280">(1+$J188)^(R141-1)*R47</f>
        <v>0</v>
      </c>
      <c r="S188" s="88">
        <f t="shared" si="280"/>
        <v>0</v>
      </c>
      <c r="T188" s="88">
        <f t="shared" si="280"/>
        <v>0</v>
      </c>
      <c r="U188" s="88">
        <f t="shared" si="280"/>
        <v>0</v>
      </c>
      <c r="V188" s="88">
        <f t="shared" si="280"/>
        <v>0</v>
      </c>
      <c r="W188" s="88">
        <f t="shared" si="280"/>
        <v>0</v>
      </c>
      <c r="X188" s="88">
        <f t="shared" si="280"/>
        <v>0</v>
      </c>
      <c r="Y188" s="88">
        <f t="shared" si="280"/>
        <v>0</v>
      </c>
      <c r="Z188" s="88">
        <f t="shared" si="280"/>
        <v>0</v>
      </c>
      <c r="AA188" s="88">
        <f t="shared" si="280"/>
        <v>0</v>
      </c>
      <c r="AB188" s="88">
        <f t="shared" si="280"/>
        <v>0</v>
      </c>
      <c r="AC188" s="88">
        <f t="shared" si="280"/>
        <v>0</v>
      </c>
      <c r="AD188" s="88">
        <f t="shared" si="280"/>
        <v>0</v>
      </c>
      <c r="AE188" s="88">
        <f t="shared" si="280"/>
        <v>0</v>
      </c>
      <c r="AF188" s="88">
        <f t="shared" si="280"/>
        <v>0</v>
      </c>
      <c r="AG188" s="88">
        <f t="shared" si="280"/>
        <v>0</v>
      </c>
      <c r="AH188" s="88">
        <f t="shared" si="280"/>
        <v>0</v>
      </c>
      <c r="AI188" s="88">
        <f t="shared" si="280"/>
        <v>0</v>
      </c>
      <c r="AJ188" s="88">
        <f t="shared" si="280"/>
        <v>0</v>
      </c>
      <c r="AK188" s="88">
        <f t="shared" si="280"/>
        <v>0</v>
      </c>
      <c r="AL188" s="88">
        <f t="shared" si="280"/>
        <v>0</v>
      </c>
      <c r="AM188" s="88">
        <f t="shared" si="280"/>
        <v>0</v>
      </c>
      <c r="AN188" s="88">
        <f t="shared" si="280"/>
        <v>0</v>
      </c>
      <c r="AO188" s="88">
        <f t="shared" si="280"/>
        <v>0</v>
      </c>
      <c r="AP188" s="88">
        <f t="shared" si="280"/>
        <v>0</v>
      </c>
      <c r="AQ188" s="88">
        <f t="shared" si="280"/>
        <v>0</v>
      </c>
      <c r="AR188" s="88">
        <f t="shared" si="280"/>
        <v>0</v>
      </c>
      <c r="AS188" s="88">
        <f t="shared" si="280"/>
        <v>0</v>
      </c>
      <c r="AT188" s="88">
        <f t="shared" si="280"/>
        <v>0</v>
      </c>
      <c r="AU188" s="88">
        <f t="shared" si="280"/>
        <v>0</v>
      </c>
      <c r="AV188" s="88">
        <f t="shared" si="280"/>
        <v>0</v>
      </c>
      <c r="AW188" s="88">
        <f t="shared" si="280"/>
        <v>0</v>
      </c>
      <c r="AX188" s="88">
        <f t="shared" ref="AX188:CC188" si="281">(1+$J188)^(AX141-1)*AX47</f>
        <v>0</v>
      </c>
      <c r="AY188" s="88">
        <f t="shared" si="281"/>
        <v>0</v>
      </c>
      <c r="AZ188" s="88">
        <f t="shared" si="281"/>
        <v>0</v>
      </c>
      <c r="BA188" s="88">
        <f t="shared" si="281"/>
        <v>0</v>
      </c>
      <c r="BB188" s="88">
        <f t="shared" si="281"/>
        <v>0</v>
      </c>
      <c r="BC188" s="88">
        <f t="shared" si="281"/>
        <v>0</v>
      </c>
      <c r="BD188" s="88">
        <f t="shared" si="281"/>
        <v>0</v>
      </c>
      <c r="BE188" s="88">
        <f t="shared" si="281"/>
        <v>0</v>
      </c>
      <c r="BF188" s="88">
        <f t="shared" si="281"/>
        <v>0</v>
      </c>
      <c r="BG188" s="88">
        <f t="shared" si="281"/>
        <v>1</v>
      </c>
      <c r="BH188" s="88">
        <f t="shared" si="281"/>
        <v>1</v>
      </c>
      <c r="BI188" s="88">
        <f t="shared" si="281"/>
        <v>1</v>
      </c>
      <c r="BJ188" s="88">
        <f t="shared" si="281"/>
        <v>1</v>
      </c>
      <c r="BK188" s="88">
        <f t="shared" si="281"/>
        <v>1</v>
      </c>
      <c r="BL188" s="88">
        <f t="shared" si="281"/>
        <v>1</v>
      </c>
      <c r="BM188" s="88">
        <f t="shared" si="281"/>
        <v>1</v>
      </c>
      <c r="BN188" s="88">
        <f t="shared" si="281"/>
        <v>1</v>
      </c>
      <c r="BO188" s="88">
        <f t="shared" si="281"/>
        <v>1</v>
      </c>
      <c r="BP188" s="88">
        <f t="shared" si="281"/>
        <v>1</v>
      </c>
      <c r="BQ188" s="88">
        <f t="shared" si="281"/>
        <v>1</v>
      </c>
      <c r="BR188" s="88">
        <f t="shared" si="281"/>
        <v>1</v>
      </c>
      <c r="BS188" s="88">
        <f t="shared" si="281"/>
        <v>1.03</v>
      </c>
      <c r="BT188" s="88">
        <f t="shared" si="281"/>
        <v>1.03</v>
      </c>
      <c r="BU188" s="88">
        <f t="shared" si="281"/>
        <v>1.03</v>
      </c>
      <c r="BV188" s="88">
        <f t="shared" si="281"/>
        <v>1.03</v>
      </c>
      <c r="BW188" s="88">
        <f t="shared" si="281"/>
        <v>1.03</v>
      </c>
      <c r="BX188" s="88">
        <f t="shared" si="281"/>
        <v>1.03</v>
      </c>
      <c r="BY188" s="88">
        <f t="shared" si="281"/>
        <v>1.03</v>
      </c>
      <c r="BZ188" s="88">
        <f t="shared" si="281"/>
        <v>1.03</v>
      </c>
      <c r="CA188" s="88">
        <f t="shared" si="281"/>
        <v>0</v>
      </c>
      <c r="CB188" s="88">
        <f t="shared" si="281"/>
        <v>0</v>
      </c>
      <c r="CC188" s="88">
        <f t="shared" si="281"/>
        <v>0</v>
      </c>
      <c r="CD188" s="88">
        <f t="shared" ref="CD188:DL188" si="282">(1+$J188)^(CD141-1)*CD47</f>
        <v>0</v>
      </c>
      <c r="CE188" s="88">
        <f t="shared" si="282"/>
        <v>0</v>
      </c>
      <c r="CF188" s="88">
        <f t="shared" si="282"/>
        <v>0</v>
      </c>
      <c r="CG188" s="88">
        <f t="shared" si="282"/>
        <v>0</v>
      </c>
      <c r="CH188" s="88">
        <f t="shared" si="282"/>
        <v>0</v>
      </c>
      <c r="CI188" s="88">
        <f t="shared" si="282"/>
        <v>0</v>
      </c>
      <c r="CJ188" s="88">
        <f t="shared" si="282"/>
        <v>0</v>
      </c>
      <c r="CK188" s="88">
        <f t="shared" si="282"/>
        <v>0</v>
      </c>
      <c r="CL188" s="88">
        <f t="shared" si="282"/>
        <v>0</v>
      </c>
      <c r="CM188" s="88">
        <f t="shared" si="282"/>
        <v>0</v>
      </c>
      <c r="CN188" s="88">
        <f t="shared" si="282"/>
        <v>0</v>
      </c>
      <c r="CO188" s="88">
        <f t="shared" si="282"/>
        <v>0</v>
      </c>
      <c r="CP188" s="88">
        <f t="shared" si="282"/>
        <v>0</v>
      </c>
      <c r="CQ188" s="88">
        <f t="shared" si="282"/>
        <v>0</v>
      </c>
      <c r="CR188" s="88">
        <f t="shared" si="282"/>
        <v>0</v>
      </c>
      <c r="CS188" s="88">
        <f t="shared" si="282"/>
        <v>0</v>
      </c>
      <c r="CT188" s="88">
        <f t="shared" si="282"/>
        <v>0</v>
      </c>
      <c r="CU188" s="88">
        <f t="shared" si="282"/>
        <v>0</v>
      </c>
      <c r="CV188" s="88">
        <f t="shared" si="282"/>
        <v>0</v>
      </c>
      <c r="CW188" s="88">
        <f t="shared" si="282"/>
        <v>0</v>
      </c>
      <c r="CX188" s="88">
        <f t="shared" si="282"/>
        <v>0</v>
      </c>
      <c r="CY188" s="88">
        <f t="shared" si="282"/>
        <v>0</v>
      </c>
      <c r="CZ188" s="88">
        <f t="shared" si="282"/>
        <v>0</v>
      </c>
      <c r="DA188" s="88">
        <f t="shared" si="282"/>
        <v>0</v>
      </c>
      <c r="DB188" s="88">
        <f t="shared" si="282"/>
        <v>0</v>
      </c>
      <c r="DC188" s="88">
        <f t="shared" si="282"/>
        <v>0</v>
      </c>
      <c r="DD188" s="88">
        <f t="shared" si="282"/>
        <v>0</v>
      </c>
      <c r="DE188" s="88">
        <f t="shared" si="282"/>
        <v>0</v>
      </c>
      <c r="DF188" s="88">
        <f t="shared" si="282"/>
        <v>0</v>
      </c>
      <c r="DG188" s="88">
        <f t="shared" si="282"/>
        <v>0</v>
      </c>
      <c r="DH188" s="88">
        <f t="shared" si="282"/>
        <v>0</v>
      </c>
      <c r="DI188" s="88">
        <f t="shared" si="282"/>
        <v>0</v>
      </c>
      <c r="DJ188" s="88">
        <f t="shared" si="282"/>
        <v>0</v>
      </c>
      <c r="DK188" s="88">
        <f t="shared" si="282"/>
        <v>0</v>
      </c>
      <c r="DL188" s="88">
        <f t="shared" si="282"/>
        <v>0</v>
      </c>
    </row>
    <row r="189" spans="2:116">
      <c r="B189" s="27">
        <f>Rentroll!$C$46</f>
        <v>8</v>
      </c>
      <c r="C189" s="69" t="str">
        <f>VLOOKUP($B189,Rentroll!$C$37:$Z$60,3,FALSE)</f>
        <v>오케스트로</v>
      </c>
      <c r="D189" s="80">
        <f>VLOOKUP($B189,Rentroll!$C$37:$Z$60,9,FALSE)</f>
        <v>46477</v>
      </c>
      <c r="E189" s="80">
        <f>VLOOKUP($B189,Rentroll!$C$37:$Z$60,10,FALSE)</f>
        <v>48304</v>
      </c>
      <c r="F189" s="81">
        <f>VLOOKUP($B189,Rentroll!$C$37:$Z$60,11,FALSE)</f>
        <v>60</v>
      </c>
      <c r="G189" s="69">
        <f>VLOOKUP($B189,Rentroll!$C$37:$Z$60,13,FALSE)</f>
        <v>109272.7</v>
      </c>
      <c r="H189" s="69">
        <f>VLOOKUP($B189,Rentroll!$C$37:$Z$60,14,FALSE)</f>
        <v>100166.64166666666</v>
      </c>
      <c r="I189" s="69">
        <f>VLOOKUP($B189,Rentroll!$C$37:$Z$60,15,FALSE)</f>
        <v>47740.5</v>
      </c>
      <c r="J189" s="82">
        <f>VLOOKUP($B189,Rentroll!$C$37:$Z$60,19,FALSE)</f>
        <v>0.03</v>
      </c>
      <c r="K189" s="83">
        <f>VLOOKUP($B189,Rentroll!$C$37:$Z$60,4,FALSE)</f>
        <v>1385.09</v>
      </c>
      <c r="L189" s="81">
        <f>VLOOKUP($B189,Rentroll!$C$37:$Z$60,17,FALSE)</f>
        <v>1</v>
      </c>
      <c r="M189" s="84">
        <f>VLOOKUP($B189,Rentroll!$C$37:$Z$60,18,FALSE)</f>
        <v>1</v>
      </c>
      <c r="O189" s="74">
        <f t="shared" si="258"/>
        <v>8</v>
      </c>
      <c r="P189" s="75"/>
      <c r="Q189" s="75"/>
      <c r="R189" s="88">
        <f t="shared" ref="R189:AW189" si="283">(1+$J189)^(R142-1)*R48</f>
        <v>0</v>
      </c>
      <c r="S189" s="88">
        <f t="shared" si="283"/>
        <v>0</v>
      </c>
      <c r="T189" s="88">
        <f t="shared" si="283"/>
        <v>0</v>
      </c>
      <c r="U189" s="88">
        <f t="shared" si="283"/>
        <v>0</v>
      </c>
      <c r="V189" s="88">
        <f t="shared" si="283"/>
        <v>0</v>
      </c>
      <c r="W189" s="88">
        <f t="shared" si="283"/>
        <v>0</v>
      </c>
      <c r="X189" s="88">
        <f t="shared" si="283"/>
        <v>0</v>
      </c>
      <c r="Y189" s="88">
        <f t="shared" si="283"/>
        <v>0</v>
      </c>
      <c r="Z189" s="88">
        <f t="shared" si="283"/>
        <v>0</v>
      </c>
      <c r="AA189" s="88">
        <f t="shared" si="283"/>
        <v>0</v>
      </c>
      <c r="AB189" s="88">
        <f t="shared" si="283"/>
        <v>0</v>
      </c>
      <c r="AC189" s="88">
        <f t="shared" si="283"/>
        <v>0</v>
      </c>
      <c r="AD189" s="88">
        <f t="shared" si="283"/>
        <v>0</v>
      </c>
      <c r="AE189" s="88">
        <f t="shared" si="283"/>
        <v>0</v>
      </c>
      <c r="AF189" s="88">
        <f t="shared" si="283"/>
        <v>0</v>
      </c>
      <c r="AG189" s="88">
        <f t="shared" si="283"/>
        <v>0</v>
      </c>
      <c r="AH189" s="88">
        <f t="shared" si="283"/>
        <v>0</v>
      </c>
      <c r="AI189" s="88">
        <f t="shared" si="283"/>
        <v>0</v>
      </c>
      <c r="AJ189" s="88">
        <f t="shared" si="283"/>
        <v>0</v>
      </c>
      <c r="AK189" s="88">
        <f t="shared" si="283"/>
        <v>0</v>
      </c>
      <c r="AL189" s="88">
        <f t="shared" si="283"/>
        <v>0</v>
      </c>
      <c r="AM189" s="88">
        <f t="shared" si="283"/>
        <v>0</v>
      </c>
      <c r="AN189" s="88">
        <f t="shared" si="283"/>
        <v>0</v>
      </c>
      <c r="AO189" s="88">
        <f t="shared" si="283"/>
        <v>0</v>
      </c>
      <c r="AP189" s="88">
        <f t="shared" si="283"/>
        <v>0</v>
      </c>
      <c r="AQ189" s="88">
        <f t="shared" si="283"/>
        <v>0</v>
      </c>
      <c r="AR189" s="88">
        <f t="shared" si="283"/>
        <v>0</v>
      </c>
      <c r="AS189" s="88">
        <f t="shared" si="283"/>
        <v>1</v>
      </c>
      <c r="AT189" s="88">
        <f t="shared" si="283"/>
        <v>1</v>
      </c>
      <c r="AU189" s="88">
        <f t="shared" si="283"/>
        <v>1</v>
      </c>
      <c r="AV189" s="88">
        <f t="shared" si="283"/>
        <v>1</v>
      </c>
      <c r="AW189" s="88">
        <f t="shared" si="283"/>
        <v>1</v>
      </c>
      <c r="AX189" s="88">
        <f t="shared" ref="AX189:CC189" si="284">(1+$J189)^(AX142-1)*AX48</f>
        <v>1</v>
      </c>
      <c r="AY189" s="88">
        <f t="shared" si="284"/>
        <v>1</v>
      </c>
      <c r="AZ189" s="88">
        <f t="shared" si="284"/>
        <v>1</v>
      </c>
      <c r="BA189" s="88">
        <f t="shared" si="284"/>
        <v>1</v>
      </c>
      <c r="BB189" s="88">
        <f t="shared" si="284"/>
        <v>1</v>
      </c>
      <c r="BC189" s="88">
        <f t="shared" si="284"/>
        <v>1</v>
      </c>
      <c r="BD189" s="88">
        <f t="shared" si="284"/>
        <v>1</v>
      </c>
      <c r="BE189" s="88">
        <f t="shared" si="284"/>
        <v>1.03</v>
      </c>
      <c r="BF189" s="88">
        <f t="shared" si="284"/>
        <v>1.03</v>
      </c>
      <c r="BG189" s="88">
        <f t="shared" si="284"/>
        <v>1.03</v>
      </c>
      <c r="BH189" s="88">
        <f t="shared" si="284"/>
        <v>1.03</v>
      </c>
      <c r="BI189" s="88">
        <f t="shared" si="284"/>
        <v>1.03</v>
      </c>
      <c r="BJ189" s="88">
        <f t="shared" si="284"/>
        <v>1.03</v>
      </c>
      <c r="BK189" s="88">
        <f t="shared" si="284"/>
        <v>1.03</v>
      </c>
      <c r="BL189" s="88">
        <f t="shared" si="284"/>
        <v>1.03</v>
      </c>
      <c r="BM189" s="88">
        <f t="shared" si="284"/>
        <v>1.03</v>
      </c>
      <c r="BN189" s="88">
        <f t="shared" si="284"/>
        <v>1.03</v>
      </c>
      <c r="BO189" s="88">
        <f t="shared" si="284"/>
        <v>1.03</v>
      </c>
      <c r="BP189" s="88">
        <f t="shared" si="284"/>
        <v>1.03</v>
      </c>
      <c r="BQ189" s="88">
        <f t="shared" si="284"/>
        <v>1.0609</v>
      </c>
      <c r="BR189" s="88">
        <f t="shared" si="284"/>
        <v>1.0609</v>
      </c>
      <c r="BS189" s="88">
        <f t="shared" si="284"/>
        <v>1.0609</v>
      </c>
      <c r="BT189" s="88">
        <f t="shared" si="284"/>
        <v>1.0609</v>
      </c>
      <c r="BU189" s="88">
        <f t="shared" si="284"/>
        <v>1.0609</v>
      </c>
      <c r="BV189" s="88">
        <f t="shared" si="284"/>
        <v>1.0609</v>
      </c>
      <c r="BW189" s="88">
        <f t="shared" si="284"/>
        <v>1.0609</v>
      </c>
      <c r="BX189" s="88">
        <f t="shared" si="284"/>
        <v>1.0609</v>
      </c>
      <c r="BY189" s="88">
        <f t="shared" si="284"/>
        <v>1.0609</v>
      </c>
      <c r="BZ189" s="88">
        <f t="shared" si="284"/>
        <v>1.0609</v>
      </c>
      <c r="CA189" s="88">
        <f t="shared" si="284"/>
        <v>0</v>
      </c>
      <c r="CB189" s="88">
        <f t="shared" si="284"/>
        <v>0</v>
      </c>
      <c r="CC189" s="88">
        <f t="shared" si="284"/>
        <v>0</v>
      </c>
      <c r="CD189" s="88">
        <f t="shared" ref="CD189:DL189" si="285">(1+$J189)^(CD142-1)*CD48</f>
        <v>0</v>
      </c>
      <c r="CE189" s="88">
        <f t="shared" si="285"/>
        <v>0</v>
      </c>
      <c r="CF189" s="88">
        <f t="shared" si="285"/>
        <v>0</v>
      </c>
      <c r="CG189" s="88">
        <f t="shared" si="285"/>
        <v>0</v>
      </c>
      <c r="CH189" s="88">
        <f t="shared" si="285"/>
        <v>0</v>
      </c>
      <c r="CI189" s="88">
        <f t="shared" si="285"/>
        <v>0</v>
      </c>
      <c r="CJ189" s="88">
        <f t="shared" si="285"/>
        <v>0</v>
      </c>
      <c r="CK189" s="88">
        <f t="shared" si="285"/>
        <v>0</v>
      </c>
      <c r="CL189" s="88">
        <f t="shared" si="285"/>
        <v>0</v>
      </c>
      <c r="CM189" s="88">
        <f t="shared" si="285"/>
        <v>0</v>
      </c>
      <c r="CN189" s="88">
        <f t="shared" si="285"/>
        <v>0</v>
      </c>
      <c r="CO189" s="88">
        <f t="shared" si="285"/>
        <v>0</v>
      </c>
      <c r="CP189" s="88">
        <f t="shared" si="285"/>
        <v>0</v>
      </c>
      <c r="CQ189" s="88">
        <f t="shared" si="285"/>
        <v>0</v>
      </c>
      <c r="CR189" s="88">
        <f t="shared" si="285"/>
        <v>0</v>
      </c>
      <c r="CS189" s="88">
        <f t="shared" si="285"/>
        <v>0</v>
      </c>
      <c r="CT189" s="88">
        <f t="shared" si="285"/>
        <v>0</v>
      </c>
      <c r="CU189" s="88">
        <f t="shared" si="285"/>
        <v>0</v>
      </c>
      <c r="CV189" s="88">
        <f t="shared" si="285"/>
        <v>0</v>
      </c>
      <c r="CW189" s="88">
        <f t="shared" si="285"/>
        <v>0</v>
      </c>
      <c r="CX189" s="88">
        <f t="shared" si="285"/>
        <v>0</v>
      </c>
      <c r="CY189" s="88">
        <f t="shared" si="285"/>
        <v>0</v>
      </c>
      <c r="CZ189" s="88">
        <f t="shared" si="285"/>
        <v>0</v>
      </c>
      <c r="DA189" s="88">
        <f t="shared" si="285"/>
        <v>0</v>
      </c>
      <c r="DB189" s="88">
        <f t="shared" si="285"/>
        <v>0</v>
      </c>
      <c r="DC189" s="88">
        <f t="shared" si="285"/>
        <v>0</v>
      </c>
      <c r="DD189" s="88">
        <f t="shared" si="285"/>
        <v>0</v>
      </c>
      <c r="DE189" s="88">
        <f t="shared" si="285"/>
        <v>0</v>
      </c>
      <c r="DF189" s="88">
        <f t="shared" si="285"/>
        <v>0</v>
      </c>
      <c r="DG189" s="88">
        <f t="shared" si="285"/>
        <v>0</v>
      </c>
      <c r="DH189" s="88">
        <f t="shared" si="285"/>
        <v>0</v>
      </c>
      <c r="DI189" s="88">
        <f t="shared" si="285"/>
        <v>0</v>
      </c>
      <c r="DJ189" s="88">
        <f t="shared" si="285"/>
        <v>0</v>
      </c>
      <c r="DK189" s="88">
        <f t="shared" si="285"/>
        <v>0</v>
      </c>
      <c r="DL189" s="88">
        <f t="shared" si="285"/>
        <v>0</v>
      </c>
    </row>
    <row r="190" spans="2:116">
      <c r="B190" s="27">
        <f>Rentroll!$C$47</f>
        <v>7</v>
      </c>
      <c r="C190" s="69" t="str">
        <f>VLOOKUP($B190,Rentroll!$C$37:$Z$60,3,FALSE)</f>
        <v>오케스트로</v>
      </c>
      <c r="D190" s="80">
        <f>VLOOKUP($B190,Rentroll!$C$37:$Z$60,9,FALSE)</f>
        <v>46477</v>
      </c>
      <c r="E190" s="80">
        <f>VLOOKUP($B190,Rentroll!$C$37:$Z$60,10,FALSE)</f>
        <v>48304</v>
      </c>
      <c r="F190" s="81">
        <f>VLOOKUP($B190,Rentroll!$C$37:$Z$60,11,FALSE)</f>
        <v>60</v>
      </c>
      <c r="G190" s="69">
        <f>VLOOKUP($B190,Rentroll!$C$37:$Z$60,13,FALSE)</f>
        <v>109272.7</v>
      </c>
      <c r="H190" s="69">
        <f>VLOOKUP($B190,Rentroll!$C$37:$Z$60,14,FALSE)</f>
        <v>100166.64166666666</v>
      </c>
      <c r="I190" s="69">
        <f>VLOOKUP($B190,Rentroll!$C$37:$Z$60,15,FALSE)</f>
        <v>47740.5</v>
      </c>
      <c r="J190" s="82">
        <f>VLOOKUP($B190,Rentroll!$C$37:$Z$60,19,FALSE)</f>
        <v>0.03</v>
      </c>
      <c r="K190" s="83">
        <f>VLOOKUP($B190,Rentroll!$C$37:$Z$60,4,FALSE)</f>
        <v>1385.09</v>
      </c>
      <c r="L190" s="81">
        <f>VLOOKUP($B190,Rentroll!$C$37:$Z$60,17,FALSE)</f>
        <v>1</v>
      </c>
      <c r="M190" s="84">
        <f>VLOOKUP($B190,Rentroll!$C$37:$Z$60,18,FALSE)</f>
        <v>1</v>
      </c>
      <c r="O190" s="74">
        <f t="shared" si="258"/>
        <v>7</v>
      </c>
      <c r="P190" s="75"/>
      <c r="Q190" s="75"/>
      <c r="R190" s="88">
        <f t="shared" ref="R190:AW190" si="286">(1+$J190)^(R143-1)*R49</f>
        <v>0</v>
      </c>
      <c r="S190" s="88">
        <f t="shared" si="286"/>
        <v>0</v>
      </c>
      <c r="T190" s="88">
        <f t="shared" si="286"/>
        <v>0</v>
      </c>
      <c r="U190" s="88">
        <f t="shared" si="286"/>
        <v>0</v>
      </c>
      <c r="V190" s="88">
        <f t="shared" si="286"/>
        <v>0</v>
      </c>
      <c r="W190" s="88">
        <f t="shared" si="286"/>
        <v>0</v>
      </c>
      <c r="X190" s="88">
        <f t="shared" si="286"/>
        <v>0</v>
      </c>
      <c r="Y190" s="88">
        <f t="shared" si="286"/>
        <v>0</v>
      </c>
      <c r="Z190" s="88">
        <f t="shared" si="286"/>
        <v>0</v>
      </c>
      <c r="AA190" s="88">
        <f t="shared" si="286"/>
        <v>0</v>
      </c>
      <c r="AB190" s="88">
        <f t="shared" si="286"/>
        <v>0</v>
      </c>
      <c r="AC190" s="88">
        <f t="shared" si="286"/>
        <v>0</v>
      </c>
      <c r="AD190" s="88">
        <f t="shared" si="286"/>
        <v>0</v>
      </c>
      <c r="AE190" s="88">
        <f t="shared" si="286"/>
        <v>0</v>
      </c>
      <c r="AF190" s="88">
        <f t="shared" si="286"/>
        <v>0</v>
      </c>
      <c r="AG190" s="88">
        <f t="shared" si="286"/>
        <v>0</v>
      </c>
      <c r="AH190" s="88">
        <f t="shared" si="286"/>
        <v>0</v>
      </c>
      <c r="AI190" s="88">
        <f t="shared" si="286"/>
        <v>0</v>
      </c>
      <c r="AJ190" s="88">
        <f t="shared" si="286"/>
        <v>0</v>
      </c>
      <c r="AK190" s="88">
        <f t="shared" si="286"/>
        <v>0</v>
      </c>
      <c r="AL190" s="88">
        <f t="shared" si="286"/>
        <v>0</v>
      </c>
      <c r="AM190" s="88">
        <f t="shared" si="286"/>
        <v>0</v>
      </c>
      <c r="AN190" s="88">
        <f t="shared" si="286"/>
        <v>0</v>
      </c>
      <c r="AO190" s="88">
        <f t="shared" si="286"/>
        <v>0</v>
      </c>
      <c r="AP190" s="88">
        <f t="shared" si="286"/>
        <v>0</v>
      </c>
      <c r="AQ190" s="88">
        <f t="shared" si="286"/>
        <v>0</v>
      </c>
      <c r="AR190" s="88">
        <f t="shared" si="286"/>
        <v>0</v>
      </c>
      <c r="AS190" s="88">
        <f t="shared" si="286"/>
        <v>1</v>
      </c>
      <c r="AT190" s="88">
        <f t="shared" si="286"/>
        <v>1</v>
      </c>
      <c r="AU190" s="88">
        <f t="shared" si="286"/>
        <v>1</v>
      </c>
      <c r="AV190" s="88">
        <f t="shared" si="286"/>
        <v>1</v>
      </c>
      <c r="AW190" s="88">
        <f t="shared" si="286"/>
        <v>1</v>
      </c>
      <c r="AX190" s="88">
        <f t="shared" ref="AX190:CC190" si="287">(1+$J190)^(AX143-1)*AX49</f>
        <v>1</v>
      </c>
      <c r="AY190" s="88">
        <f t="shared" si="287"/>
        <v>1</v>
      </c>
      <c r="AZ190" s="88">
        <f t="shared" si="287"/>
        <v>1</v>
      </c>
      <c r="BA190" s="88">
        <f t="shared" si="287"/>
        <v>1</v>
      </c>
      <c r="BB190" s="88">
        <f t="shared" si="287"/>
        <v>1</v>
      </c>
      <c r="BC190" s="88">
        <f t="shared" si="287"/>
        <v>1</v>
      </c>
      <c r="BD190" s="88">
        <f t="shared" si="287"/>
        <v>1</v>
      </c>
      <c r="BE190" s="88">
        <f t="shared" si="287"/>
        <v>1.03</v>
      </c>
      <c r="BF190" s="88">
        <f t="shared" si="287"/>
        <v>1.03</v>
      </c>
      <c r="BG190" s="88">
        <f t="shared" si="287"/>
        <v>1.03</v>
      </c>
      <c r="BH190" s="88">
        <f t="shared" si="287"/>
        <v>1.03</v>
      </c>
      <c r="BI190" s="88">
        <f t="shared" si="287"/>
        <v>1.03</v>
      </c>
      <c r="BJ190" s="88">
        <f t="shared" si="287"/>
        <v>1.03</v>
      </c>
      <c r="BK190" s="88">
        <f t="shared" si="287"/>
        <v>1.03</v>
      </c>
      <c r="BL190" s="88">
        <f t="shared" si="287"/>
        <v>1.03</v>
      </c>
      <c r="BM190" s="88">
        <f t="shared" si="287"/>
        <v>1.03</v>
      </c>
      <c r="BN190" s="88">
        <f t="shared" si="287"/>
        <v>1.03</v>
      </c>
      <c r="BO190" s="88">
        <f t="shared" si="287"/>
        <v>1.03</v>
      </c>
      <c r="BP190" s="88">
        <f t="shared" si="287"/>
        <v>1.03</v>
      </c>
      <c r="BQ190" s="88">
        <f t="shared" si="287"/>
        <v>1.0609</v>
      </c>
      <c r="BR190" s="88">
        <f t="shared" si="287"/>
        <v>1.0609</v>
      </c>
      <c r="BS190" s="88">
        <f t="shared" si="287"/>
        <v>1.0609</v>
      </c>
      <c r="BT190" s="88">
        <f t="shared" si="287"/>
        <v>1.0609</v>
      </c>
      <c r="BU190" s="88">
        <f t="shared" si="287"/>
        <v>1.0609</v>
      </c>
      <c r="BV190" s="88">
        <f t="shared" si="287"/>
        <v>1.0609</v>
      </c>
      <c r="BW190" s="88">
        <f t="shared" si="287"/>
        <v>1.0609</v>
      </c>
      <c r="BX190" s="88">
        <f t="shared" si="287"/>
        <v>1.0609</v>
      </c>
      <c r="BY190" s="88">
        <f t="shared" si="287"/>
        <v>1.0609</v>
      </c>
      <c r="BZ190" s="88">
        <f t="shared" si="287"/>
        <v>1.0609</v>
      </c>
      <c r="CA190" s="88">
        <f t="shared" si="287"/>
        <v>0</v>
      </c>
      <c r="CB190" s="88">
        <f t="shared" si="287"/>
        <v>0</v>
      </c>
      <c r="CC190" s="88">
        <f t="shared" si="287"/>
        <v>0</v>
      </c>
      <c r="CD190" s="88">
        <f t="shared" ref="CD190:DL190" si="288">(1+$J190)^(CD143-1)*CD49</f>
        <v>0</v>
      </c>
      <c r="CE190" s="88">
        <f t="shared" si="288"/>
        <v>0</v>
      </c>
      <c r="CF190" s="88">
        <f t="shared" si="288"/>
        <v>0</v>
      </c>
      <c r="CG190" s="88">
        <f t="shared" si="288"/>
        <v>0</v>
      </c>
      <c r="CH190" s="88">
        <f t="shared" si="288"/>
        <v>0</v>
      </c>
      <c r="CI190" s="88">
        <f t="shared" si="288"/>
        <v>0</v>
      </c>
      <c r="CJ190" s="88">
        <f t="shared" si="288"/>
        <v>0</v>
      </c>
      <c r="CK190" s="88">
        <f t="shared" si="288"/>
        <v>0</v>
      </c>
      <c r="CL190" s="88">
        <f t="shared" si="288"/>
        <v>0</v>
      </c>
      <c r="CM190" s="88">
        <f t="shared" si="288"/>
        <v>0</v>
      </c>
      <c r="CN190" s="88">
        <f t="shared" si="288"/>
        <v>0</v>
      </c>
      <c r="CO190" s="88">
        <f t="shared" si="288"/>
        <v>0</v>
      </c>
      <c r="CP190" s="88">
        <f t="shared" si="288"/>
        <v>0</v>
      </c>
      <c r="CQ190" s="88">
        <f t="shared" si="288"/>
        <v>0</v>
      </c>
      <c r="CR190" s="88">
        <f t="shared" si="288"/>
        <v>0</v>
      </c>
      <c r="CS190" s="88">
        <f t="shared" si="288"/>
        <v>0</v>
      </c>
      <c r="CT190" s="88">
        <f t="shared" si="288"/>
        <v>0</v>
      </c>
      <c r="CU190" s="88">
        <f t="shared" si="288"/>
        <v>0</v>
      </c>
      <c r="CV190" s="88">
        <f t="shared" si="288"/>
        <v>0</v>
      </c>
      <c r="CW190" s="88">
        <f t="shared" si="288"/>
        <v>0</v>
      </c>
      <c r="CX190" s="88">
        <f t="shared" si="288"/>
        <v>0</v>
      </c>
      <c r="CY190" s="88">
        <f t="shared" si="288"/>
        <v>0</v>
      </c>
      <c r="CZ190" s="88">
        <f t="shared" si="288"/>
        <v>0</v>
      </c>
      <c r="DA190" s="88">
        <f t="shared" si="288"/>
        <v>0</v>
      </c>
      <c r="DB190" s="88">
        <f t="shared" si="288"/>
        <v>0</v>
      </c>
      <c r="DC190" s="88">
        <f t="shared" si="288"/>
        <v>0</v>
      </c>
      <c r="DD190" s="88">
        <f t="shared" si="288"/>
        <v>0</v>
      </c>
      <c r="DE190" s="88">
        <f t="shared" si="288"/>
        <v>0</v>
      </c>
      <c r="DF190" s="88">
        <f t="shared" si="288"/>
        <v>0</v>
      </c>
      <c r="DG190" s="88">
        <f t="shared" si="288"/>
        <v>0</v>
      </c>
      <c r="DH190" s="88">
        <f t="shared" si="288"/>
        <v>0</v>
      </c>
      <c r="DI190" s="88">
        <f t="shared" si="288"/>
        <v>0</v>
      </c>
      <c r="DJ190" s="88">
        <f t="shared" si="288"/>
        <v>0</v>
      </c>
      <c r="DK190" s="88">
        <f t="shared" si="288"/>
        <v>0</v>
      </c>
      <c r="DL190" s="88">
        <f t="shared" si="288"/>
        <v>0</v>
      </c>
    </row>
    <row r="191" spans="2:116">
      <c r="B191" s="27">
        <f>Rentroll!$C$48</f>
        <v>6</v>
      </c>
      <c r="C191" s="69" t="str">
        <f>VLOOKUP($B191,Rentroll!$C$37:$Z$60,3,FALSE)</f>
        <v>오케스트로</v>
      </c>
      <c r="D191" s="80">
        <f>VLOOKUP($B191,Rentroll!$C$37:$Z$60,9,FALSE)</f>
        <v>46477</v>
      </c>
      <c r="E191" s="80">
        <f>VLOOKUP($B191,Rentroll!$C$37:$Z$60,10,FALSE)</f>
        <v>48304</v>
      </c>
      <c r="F191" s="81">
        <f>VLOOKUP($B191,Rentroll!$C$37:$Z$60,11,FALSE)</f>
        <v>60</v>
      </c>
      <c r="G191" s="69">
        <f>VLOOKUP($B191,Rentroll!$C$37:$Z$60,13,FALSE)</f>
        <v>109272.7</v>
      </c>
      <c r="H191" s="69">
        <f>VLOOKUP($B191,Rentroll!$C$37:$Z$60,14,FALSE)</f>
        <v>100166.64166666666</v>
      </c>
      <c r="I191" s="69">
        <f>VLOOKUP($B191,Rentroll!$C$37:$Z$60,15,FALSE)</f>
        <v>47740.5</v>
      </c>
      <c r="J191" s="82">
        <f>VLOOKUP($B191,Rentroll!$C$37:$Z$60,19,FALSE)</f>
        <v>0.03</v>
      </c>
      <c r="K191" s="83">
        <f>VLOOKUP($B191,Rentroll!$C$37:$Z$60,4,FALSE)</f>
        <v>1385.09</v>
      </c>
      <c r="L191" s="81">
        <f>VLOOKUP($B191,Rentroll!$C$37:$Z$60,17,FALSE)</f>
        <v>1</v>
      </c>
      <c r="M191" s="84">
        <f>VLOOKUP($B191,Rentroll!$C$37:$Z$60,18,FALSE)</f>
        <v>1</v>
      </c>
      <c r="O191" s="74">
        <f t="shared" si="258"/>
        <v>6</v>
      </c>
      <c r="P191" s="75"/>
      <c r="Q191" s="75"/>
      <c r="R191" s="88">
        <f t="shared" ref="R191:AW191" si="289">(1+$J191)^(R144-1)*R50</f>
        <v>0</v>
      </c>
      <c r="S191" s="88">
        <f t="shared" si="289"/>
        <v>0</v>
      </c>
      <c r="T191" s="88">
        <f t="shared" si="289"/>
        <v>0</v>
      </c>
      <c r="U191" s="88">
        <f t="shared" si="289"/>
        <v>0</v>
      </c>
      <c r="V191" s="88">
        <f t="shared" si="289"/>
        <v>0</v>
      </c>
      <c r="W191" s="88">
        <f t="shared" si="289"/>
        <v>0</v>
      </c>
      <c r="X191" s="88">
        <f t="shared" si="289"/>
        <v>0</v>
      </c>
      <c r="Y191" s="88">
        <f t="shared" si="289"/>
        <v>0</v>
      </c>
      <c r="Z191" s="88">
        <f t="shared" si="289"/>
        <v>0</v>
      </c>
      <c r="AA191" s="88">
        <f t="shared" si="289"/>
        <v>0</v>
      </c>
      <c r="AB191" s="88">
        <f t="shared" si="289"/>
        <v>0</v>
      </c>
      <c r="AC191" s="88">
        <f t="shared" si="289"/>
        <v>0</v>
      </c>
      <c r="AD191" s="88">
        <f t="shared" si="289"/>
        <v>0</v>
      </c>
      <c r="AE191" s="88">
        <f t="shared" si="289"/>
        <v>0</v>
      </c>
      <c r="AF191" s="88">
        <f t="shared" si="289"/>
        <v>0</v>
      </c>
      <c r="AG191" s="88">
        <f t="shared" si="289"/>
        <v>0</v>
      </c>
      <c r="AH191" s="88">
        <f t="shared" si="289"/>
        <v>0</v>
      </c>
      <c r="AI191" s="88">
        <f t="shared" si="289"/>
        <v>0</v>
      </c>
      <c r="AJ191" s="88">
        <f t="shared" si="289"/>
        <v>0</v>
      </c>
      <c r="AK191" s="88">
        <f t="shared" si="289"/>
        <v>0</v>
      </c>
      <c r="AL191" s="88">
        <f t="shared" si="289"/>
        <v>0</v>
      </c>
      <c r="AM191" s="88">
        <f t="shared" si="289"/>
        <v>0</v>
      </c>
      <c r="AN191" s="88">
        <f t="shared" si="289"/>
        <v>0</v>
      </c>
      <c r="AO191" s="88">
        <f t="shared" si="289"/>
        <v>0</v>
      </c>
      <c r="AP191" s="88">
        <f t="shared" si="289"/>
        <v>0</v>
      </c>
      <c r="AQ191" s="88">
        <f t="shared" si="289"/>
        <v>0</v>
      </c>
      <c r="AR191" s="88">
        <f t="shared" si="289"/>
        <v>0</v>
      </c>
      <c r="AS191" s="88">
        <f t="shared" si="289"/>
        <v>1</v>
      </c>
      <c r="AT191" s="88">
        <f t="shared" si="289"/>
        <v>1</v>
      </c>
      <c r="AU191" s="88">
        <f t="shared" si="289"/>
        <v>1</v>
      </c>
      <c r="AV191" s="88">
        <f t="shared" si="289"/>
        <v>1</v>
      </c>
      <c r="AW191" s="88">
        <f t="shared" si="289"/>
        <v>1</v>
      </c>
      <c r="AX191" s="88">
        <f t="shared" ref="AX191:CC191" si="290">(1+$J191)^(AX144-1)*AX50</f>
        <v>1</v>
      </c>
      <c r="AY191" s="88">
        <f t="shared" si="290"/>
        <v>1</v>
      </c>
      <c r="AZ191" s="88">
        <f t="shared" si="290"/>
        <v>1</v>
      </c>
      <c r="BA191" s="88">
        <f t="shared" si="290"/>
        <v>1</v>
      </c>
      <c r="BB191" s="88">
        <f t="shared" si="290"/>
        <v>1</v>
      </c>
      <c r="BC191" s="88">
        <f t="shared" si="290"/>
        <v>1</v>
      </c>
      <c r="BD191" s="88">
        <f t="shared" si="290"/>
        <v>1</v>
      </c>
      <c r="BE191" s="88">
        <f t="shared" si="290"/>
        <v>1.03</v>
      </c>
      <c r="BF191" s="88">
        <f t="shared" si="290"/>
        <v>1.03</v>
      </c>
      <c r="BG191" s="88">
        <f t="shared" si="290"/>
        <v>1.03</v>
      </c>
      <c r="BH191" s="88">
        <f t="shared" si="290"/>
        <v>1.03</v>
      </c>
      <c r="BI191" s="88">
        <f t="shared" si="290"/>
        <v>1.03</v>
      </c>
      <c r="BJ191" s="88">
        <f t="shared" si="290"/>
        <v>1.03</v>
      </c>
      <c r="BK191" s="88">
        <f t="shared" si="290"/>
        <v>1.03</v>
      </c>
      <c r="BL191" s="88">
        <f t="shared" si="290"/>
        <v>1.03</v>
      </c>
      <c r="BM191" s="88">
        <f t="shared" si="290"/>
        <v>1.03</v>
      </c>
      <c r="BN191" s="88">
        <f t="shared" si="290"/>
        <v>1.03</v>
      </c>
      <c r="BO191" s="88">
        <f t="shared" si="290"/>
        <v>1.03</v>
      </c>
      <c r="BP191" s="88">
        <f t="shared" si="290"/>
        <v>1.03</v>
      </c>
      <c r="BQ191" s="88">
        <f t="shared" si="290"/>
        <v>1.0609</v>
      </c>
      <c r="BR191" s="88">
        <f t="shared" si="290"/>
        <v>1.0609</v>
      </c>
      <c r="BS191" s="88">
        <f t="shared" si="290"/>
        <v>1.0609</v>
      </c>
      <c r="BT191" s="88">
        <f t="shared" si="290"/>
        <v>1.0609</v>
      </c>
      <c r="BU191" s="88">
        <f t="shared" si="290"/>
        <v>1.0609</v>
      </c>
      <c r="BV191" s="88">
        <f t="shared" si="290"/>
        <v>1.0609</v>
      </c>
      <c r="BW191" s="88">
        <f t="shared" si="290"/>
        <v>1.0609</v>
      </c>
      <c r="BX191" s="88">
        <f t="shared" si="290"/>
        <v>1.0609</v>
      </c>
      <c r="BY191" s="88">
        <f t="shared" si="290"/>
        <v>1.0609</v>
      </c>
      <c r="BZ191" s="88">
        <f t="shared" si="290"/>
        <v>1.0609</v>
      </c>
      <c r="CA191" s="88">
        <f t="shared" si="290"/>
        <v>0</v>
      </c>
      <c r="CB191" s="88">
        <f t="shared" si="290"/>
        <v>0</v>
      </c>
      <c r="CC191" s="88">
        <f t="shared" si="290"/>
        <v>0</v>
      </c>
      <c r="CD191" s="88">
        <f t="shared" ref="CD191:DL191" si="291">(1+$J191)^(CD144-1)*CD50</f>
        <v>0</v>
      </c>
      <c r="CE191" s="88">
        <f t="shared" si="291"/>
        <v>0</v>
      </c>
      <c r="CF191" s="88">
        <f t="shared" si="291"/>
        <v>0</v>
      </c>
      <c r="CG191" s="88">
        <f t="shared" si="291"/>
        <v>0</v>
      </c>
      <c r="CH191" s="88">
        <f t="shared" si="291"/>
        <v>0</v>
      </c>
      <c r="CI191" s="88">
        <f t="shared" si="291"/>
        <v>0</v>
      </c>
      <c r="CJ191" s="88">
        <f t="shared" si="291"/>
        <v>0</v>
      </c>
      <c r="CK191" s="88">
        <f t="shared" si="291"/>
        <v>0</v>
      </c>
      <c r="CL191" s="88">
        <f t="shared" si="291"/>
        <v>0</v>
      </c>
      <c r="CM191" s="88">
        <f t="shared" si="291"/>
        <v>0</v>
      </c>
      <c r="CN191" s="88">
        <f t="shared" si="291"/>
        <v>0</v>
      </c>
      <c r="CO191" s="88">
        <f t="shared" si="291"/>
        <v>0</v>
      </c>
      <c r="CP191" s="88">
        <f t="shared" si="291"/>
        <v>0</v>
      </c>
      <c r="CQ191" s="88">
        <f t="shared" si="291"/>
        <v>0</v>
      </c>
      <c r="CR191" s="88">
        <f t="shared" si="291"/>
        <v>0</v>
      </c>
      <c r="CS191" s="88">
        <f t="shared" si="291"/>
        <v>0</v>
      </c>
      <c r="CT191" s="88">
        <f t="shared" si="291"/>
        <v>0</v>
      </c>
      <c r="CU191" s="88">
        <f t="shared" si="291"/>
        <v>0</v>
      </c>
      <c r="CV191" s="88">
        <f t="shared" si="291"/>
        <v>0</v>
      </c>
      <c r="CW191" s="88">
        <f t="shared" si="291"/>
        <v>0</v>
      </c>
      <c r="CX191" s="88">
        <f t="shared" si="291"/>
        <v>0</v>
      </c>
      <c r="CY191" s="88">
        <f t="shared" si="291"/>
        <v>0</v>
      </c>
      <c r="CZ191" s="88">
        <f t="shared" si="291"/>
        <v>0</v>
      </c>
      <c r="DA191" s="88">
        <f t="shared" si="291"/>
        <v>0</v>
      </c>
      <c r="DB191" s="88">
        <f t="shared" si="291"/>
        <v>0</v>
      </c>
      <c r="DC191" s="88">
        <f t="shared" si="291"/>
        <v>0</v>
      </c>
      <c r="DD191" s="88">
        <f t="shared" si="291"/>
        <v>0</v>
      </c>
      <c r="DE191" s="88">
        <f t="shared" si="291"/>
        <v>0</v>
      </c>
      <c r="DF191" s="88">
        <f t="shared" si="291"/>
        <v>0</v>
      </c>
      <c r="DG191" s="88">
        <f t="shared" si="291"/>
        <v>0</v>
      </c>
      <c r="DH191" s="88">
        <f t="shared" si="291"/>
        <v>0</v>
      </c>
      <c r="DI191" s="88">
        <f t="shared" si="291"/>
        <v>0</v>
      </c>
      <c r="DJ191" s="88">
        <f t="shared" si="291"/>
        <v>0</v>
      </c>
      <c r="DK191" s="88">
        <f t="shared" si="291"/>
        <v>0</v>
      </c>
      <c r="DL191" s="88">
        <f t="shared" si="291"/>
        <v>0</v>
      </c>
    </row>
    <row r="192" spans="2:116">
      <c r="B192" s="27">
        <f>Rentroll!$C$49</f>
        <v>5</v>
      </c>
      <c r="C192" s="69" t="str">
        <f>VLOOKUP($B192,Rentroll!$C$37:$Z$60,3,FALSE)</f>
        <v>타이거로켓</v>
      </c>
      <c r="D192" s="80">
        <f>VLOOKUP($B192,Rentroll!$C$37:$Z$60,9,FALSE)</f>
        <v>45688</v>
      </c>
      <c r="E192" s="80">
        <f>VLOOKUP($B192,Rentroll!$C$37:$Z$60,10,FALSE)</f>
        <v>47514</v>
      </c>
      <c r="F192" s="81">
        <f>VLOOKUP($B192,Rentroll!$C$37:$Z$60,11,FALSE)</f>
        <v>60</v>
      </c>
      <c r="G192" s="69">
        <f>VLOOKUP($B192,Rentroll!$C$37:$Z$60,13,FALSE)</f>
        <v>103000</v>
      </c>
      <c r="H192" s="69">
        <f>VLOOKUP($B192,Rentroll!$C$37:$Z$60,14,FALSE)</f>
        <v>90125</v>
      </c>
      <c r="I192" s="69">
        <f>VLOOKUP($B192,Rentroll!$C$37:$Z$60,15,FALSE)</f>
        <v>45000</v>
      </c>
      <c r="J192" s="82">
        <f>VLOOKUP($B192,Rentroll!$C$37:$Z$60,19,FALSE)</f>
        <v>0.03</v>
      </c>
      <c r="K192" s="83">
        <f>VLOOKUP($B192,Rentroll!$C$37:$Z$60,4,FALSE)</f>
        <v>1385.09</v>
      </c>
      <c r="L192" s="81">
        <f>VLOOKUP($B192,Rentroll!$C$37:$Z$60,17,FALSE)</f>
        <v>1</v>
      </c>
      <c r="M192" s="84">
        <f>VLOOKUP($B192,Rentroll!$C$37:$Z$60,18,FALSE)</f>
        <v>1.5</v>
      </c>
      <c r="O192" s="74">
        <f t="shared" si="258"/>
        <v>5</v>
      </c>
      <c r="P192" s="75"/>
      <c r="Q192" s="75"/>
      <c r="R192" s="88">
        <f t="shared" ref="R192:AW192" si="292">(1+$J192)^(R145-1)*R51</f>
        <v>0</v>
      </c>
      <c r="S192" s="88">
        <f t="shared" si="292"/>
        <v>1</v>
      </c>
      <c r="T192" s="88">
        <f t="shared" si="292"/>
        <v>1</v>
      </c>
      <c r="U192" s="88">
        <f t="shared" si="292"/>
        <v>1</v>
      </c>
      <c r="V192" s="88">
        <f t="shared" si="292"/>
        <v>1</v>
      </c>
      <c r="W192" s="88">
        <f t="shared" si="292"/>
        <v>1</v>
      </c>
      <c r="X192" s="88">
        <f t="shared" si="292"/>
        <v>1</v>
      </c>
      <c r="Y192" s="88">
        <f t="shared" si="292"/>
        <v>1</v>
      </c>
      <c r="Z192" s="88">
        <f t="shared" si="292"/>
        <v>1</v>
      </c>
      <c r="AA192" s="88">
        <f t="shared" si="292"/>
        <v>1</v>
      </c>
      <c r="AB192" s="88">
        <f t="shared" si="292"/>
        <v>1</v>
      </c>
      <c r="AC192" s="88">
        <f t="shared" si="292"/>
        <v>1</v>
      </c>
      <c r="AD192" s="88">
        <f t="shared" si="292"/>
        <v>1</v>
      </c>
      <c r="AE192" s="88">
        <f t="shared" si="292"/>
        <v>1.03</v>
      </c>
      <c r="AF192" s="88">
        <f t="shared" si="292"/>
        <v>1.03</v>
      </c>
      <c r="AG192" s="88">
        <f t="shared" si="292"/>
        <v>1.03</v>
      </c>
      <c r="AH192" s="88">
        <f t="shared" si="292"/>
        <v>1.03</v>
      </c>
      <c r="AI192" s="88">
        <f t="shared" si="292"/>
        <v>1.03</v>
      </c>
      <c r="AJ192" s="88">
        <f t="shared" si="292"/>
        <v>1.03</v>
      </c>
      <c r="AK192" s="88">
        <f t="shared" si="292"/>
        <v>1.03</v>
      </c>
      <c r="AL192" s="88">
        <f t="shared" si="292"/>
        <v>1.03</v>
      </c>
      <c r="AM192" s="88">
        <f t="shared" si="292"/>
        <v>1.03</v>
      </c>
      <c r="AN192" s="88">
        <f t="shared" si="292"/>
        <v>1.03</v>
      </c>
      <c r="AO192" s="88">
        <f t="shared" si="292"/>
        <v>1.03</v>
      </c>
      <c r="AP192" s="88">
        <f t="shared" si="292"/>
        <v>1.03</v>
      </c>
      <c r="AQ192" s="88">
        <f t="shared" si="292"/>
        <v>1.0609</v>
      </c>
      <c r="AR192" s="88">
        <f t="shared" si="292"/>
        <v>1.0609</v>
      </c>
      <c r="AS192" s="88">
        <f t="shared" si="292"/>
        <v>1.0609</v>
      </c>
      <c r="AT192" s="88">
        <f t="shared" si="292"/>
        <v>1.0609</v>
      </c>
      <c r="AU192" s="88">
        <f t="shared" si="292"/>
        <v>1.0609</v>
      </c>
      <c r="AV192" s="88">
        <f t="shared" si="292"/>
        <v>1.0609</v>
      </c>
      <c r="AW192" s="88">
        <f t="shared" si="292"/>
        <v>1.0609</v>
      </c>
      <c r="AX192" s="88">
        <f t="shared" ref="AX192:CC192" si="293">(1+$J192)^(AX145-1)*AX51</f>
        <v>1.0609</v>
      </c>
      <c r="AY192" s="88">
        <f t="shared" si="293"/>
        <v>1.0609</v>
      </c>
      <c r="AZ192" s="88">
        <f t="shared" si="293"/>
        <v>1.0609</v>
      </c>
      <c r="BA192" s="88">
        <f t="shared" si="293"/>
        <v>1.0609</v>
      </c>
      <c r="BB192" s="88">
        <f t="shared" si="293"/>
        <v>1.0609</v>
      </c>
      <c r="BC192" s="88">
        <f t="shared" si="293"/>
        <v>1.092727</v>
      </c>
      <c r="BD192" s="88">
        <f t="shared" si="293"/>
        <v>1.092727</v>
      </c>
      <c r="BE192" s="88">
        <f t="shared" si="293"/>
        <v>1.092727</v>
      </c>
      <c r="BF192" s="88">
        <f t="shared" si="293"/>
        <v>1.092727</v>
      </c>
      <c r="BG192" s="88">
        <f t="shared" si="293"/>
        <v>1.092727</v>
      </c>
      <c r="BH192" s="88">
        <f t="shared" si="293"/>
        <v>1.092727</v>
      </c>
      <c r="BI192" s="88">
        <f t="shared" si="293"/>
        <v>1.092727</v>
      </c>
      <c r="BJ192" s="88">
        <f t="shared" si="293"/>
        <v>1.092727</v>
      </c>
      <c r="BK192" s="88">
        <f t="shared" si="293"/>
        <v>1.092727</v>
      </c>
      <c r="BL192" s="88">
        <f t="shared" si="293"/>
        <v>1.092727</v>
      </c>
      <c r="BM192" s="88">
        <f t="shared" si="293"/>
        <v>1.092727</v>
      </c>
      <c r="BN192" s="88">
        <f t="shared" si="293"/>
        <v>1.092727</v>
      </c>
      <c r="BO192" s="88">
        <f t="shared" si="293"/>
        <v>1.1255088099999999</v>
      </c>
      <c r="BP192" s="88">
        <f t="shared" si="293"/>
        <v>1.1255088099999999</v>
      </c>
      <c r="BQ192" s="88">
        <f t="shared" si="293"/>
        <v>1.1255088099999999</v>
      </c>
      <c r="BR192" s="88">
        <f t="shared" si="293"/>
        <v>1.1255088099999999</v>
      </c>
      <c r="BS192" s="88">
        <f t="shared" si="293"/>
        <v>1.1255088099999999</v>
      </c>
      <c r="BT192" s="88">
        <f t="shared" si="293"/>
        <v>1.1255088099999999</v>
      </c>
      <c r="BU192" s="88">
        <f t="shared" si="293"/>
        <v>1.1255088099999999</v>
      </c>
      <c r="BV192" s="88">
        <f t="shared" si="293"/>
        <v>1.1255088099999999</v>
      </c>
      <c r="BW192" s="88">
        <f t="shared" si="293"/>
        <v>1.1255088099999999</v>
      </c>
      <c r="BX192" s="88">
        <f t="shared" si="293"/>
        <v>1.1255088099999999</v>
      </c>
      <c r="BY192" s="88">
        <f t="shared" si="293"/>
        <v>1.1255088099999999</v>
      </c>
      <c r="BZ192" s="88">
        <f t="shared" si="293"/>
        <v>1.1255088099999999</v>
      </c>
      <c r="CA192" s="88">
        <f t="shared" si="293"/>
        <v>0</v>
      </c>
      <c r="CB192" s="88">
        <f t="shared" si="293"/>
        <v>0</v>
      </c>
      <c r="CC192" s="88">
        <f t="shared" si="293"/>
        <v>0</v>
      </c>
      <c r="CD192" s="88">
        <f t="shared" ref="CD192:DL192" si="294">(1+$J192)^(CD145-1)*CD51</f>
        <v>0</v>
      </c>
      <c r="CE192" s="88">
        <f t="shared" si="294"/>
        <v>0</v>
      </c>
      <c r="CF192" s="88">
        <f t="shared" si="294"/>
        <v>0</v>
      </c>
      <c r="CG192" s="88">
        <f t="shared" si="294"/>
        <v>0</v>
      </c>
      <c r="CH192" s="88">
        <f t="shared" si="294"/>
        <v>0</v>
      </c>
      <c r="CI192" s="88">
        <f t="shared" si="294"/>
        <v>0</v>
      </c>
      <c r="CJ192" s="88">
        <f t="shared" si="294"/>
        <v>0</v>
      </c>
      <c r="CK192" s="88">
        <f t="shared" si="294"/>
        <v>0</v>
      </c>
      <c r="CL192" s="88">
        <f t="shared" si="294"/>
        <v>0</v>
      </c>
      <c r="CM192" s="88">
        <f t="shared" si="294"/>
        <v>0</v>
      </c>
      <c r="CN192" s="88">
        <f t="shared" si="294"/>
        <v>0</v>
      </c>
      <c r="CO192" s="88">
        <f t="shared" si="294"/>
        <v>0</v>
      </c>
      <c r="CP192" s="88">
        <f t="shared" si="294"/>
        <v>0</v>
      </c>
      <c r="CQ192" s="88">
        <f t="shared" si="294"/>
        <v>0</v>
      </c>
      <c r="CR192" s="88">
        <f t="shared" si="294"/>
        <v>0</v>
      </c>
      <c r="CS192" s="88">
        <f t="shared" si="294"/>
        <v>0</v>
      </c>
      <c r="CT192" s="88">
        <f t="shared" si="294"/>
        <v>0</v>
      </c>
      <c r="CU192" s="88">
        <f t="shared" si="294"/>
        <v>0</v>
      </c>
      <c r="CV192" s="88">
        <f t="shared" si="294"/>
        <v>0</v>
      </c>
      <c r="CW192" s="88">
        <f t="shared" si="294"/>
        <v>0</v>
      </c>
      <c r="CX192" s="88">
        <f t="shared" si="294"/>
        <v>0</v>
      </c>
      <c r="CY192" s="88">
        <f t="shared" si="294"/>
        <v>0</v>
      </c>
      <c r="CZ192" s="88">
        <f t="shared" si="294"/>
        <v>0</v>
      </c>
      <c r="DA192" s="88">
        <f t="shared" si="294"/>
        <v>0</v>
      </c>
      <c r="DB192" s="88">
        <f t="shared" si="294"/>
        <v>0</v>
      </c>
      <c r="DC192" s="88">
        <f t="shared" si="294"/>
        <v>0</v>
      </c>
      <c r="DD192" s="88">
        <f t="shared" si="294"/>
        <v>0</v>
      </c>
      <c r="DE192" s="88">
        <f t="shared" si="294"/>
        <v>0</v>
      </c>
      <c r="DF192" s="88">
        <f t="shared" si="294"/>
        <v>0</v>
      </c>
      <c r="DG192" s="88">
        <f t="shared" si="294"/>
        <v>0</v>
      </c>
      <c r="DH192" s="88">
        <f t="shared" si="294"/>
        <v>0</v>
      </c>
      <c r="DI192" s="88">
        <f t="shared" si="294"/>
        <v>0</v>
      </c>
      <c r="DJ192" s="88">
        <f t="shared" si="294"/>
        <v>0</v>
      </c>
      <c r="DK192" s="88">
        <f t="shared" si="294"/>
        <v>0</v>
      </c>
      <c r="DL192" s="88">
        <f t="shared" si="294"/>
        <v>0</v>
      </c>
    </row>
    <row r="193" spans="2:116">
      <c r="B193" s="27">
        <f>Rentroll!$C$50</f>
        <v>4</v>
      </c>
      <c r="C193" s="69" t="str">
        <f>VLOOKUP($B193,Rentroll!$C$37:$Z$60,3,FALSE)</f>
        <v>타이거로켓</v>
      </c>
      <c r="D193" s="80">
        <f>VLOOKUP($B193,Rentroll!$C$37:$Z$60,9,FALSE)</f>
        <v>45688</v>
      </c>
      <c r="E193" s="80">
        <f>VLOOKUP($B193,Rentroll!$C$37:$Z$60,10,FALSE)</f>
        <v>47514</v>
      </c>
      <c r="F193" s="81">
        <f>VLOOKUP($B193,Rentroll!$C$37:$Z$60,11,FALSE)</f>
        <v>60</v>
      </c>
      <c r="G193" s="69">
        <f>VLOOKUP($B193,Rentroll!$C$37:$Z$60,13,FALSE)</f>
        <v>103000</v>
      </c>
      <c r="H193" s="69">
        <f>VLOOKUP($B193,Rentroll!$C$37:$Z$60,14,FALSE)</f>
        <v>90125</v>
      </c>
      <c r="I193" s="69">
        <f>VLOOKUP($B193,Rentroll!$C$37:$Z$60,15,FALSE)</f>
        <v>45000</v>
      </c>
      <c r="J193" s="82">
        <f>VLOOKUP($B193,Rentroll!$C$37:$Z$60,19,FALSE)</f>
        <v>0.03</v>
      </c>
      <c r="K193" s="83">
        <f>VLOOKUP($B193,Rentroll!$C$37:$Z$60,4,FALSE)</f>
        <v>1385.09</v>
      </c>
      <c r="L193" s="81">
        <f>VLOOKUP($B193,Rentroll!$C$37:$Z$60,17,FALSE)</f>
        <v>1</v>
      </c>
      <c r="M193" s="84">
        <f>VLOOKUP($B193,Rentroll!$C$37:$Z$60,18,FALSE)</f>
        <v>1.5</v>
      </c>
      <c r="O193" s="74">
        <f t="shared" si="258"/>
        <v>4</v>
      </c>
      <c r="P193" s="75"/>
      <c r="Q193" s="75"/>
      <c r="R193" s="88">
        <f t="shared" ref="R193:AW193" si="295">(1+$J193)^(R146-1)*R52</f>
        <v>0</v>
      </c>
      <c r="S193" s="88">
        <f t="shared" si="295"/>
        <v>1</v>
      </c>
      <c r="T193" s="88">
        <f t="shared" si="295"/>
        <v>1</v>
      </c>
      <c r="U193" s="88">
        <f t="shared" si="295"/>
        <v>1</v>
      </c>
      <c r="V193" s="88">
        <f t="shared" si="295"/>
        <v>1</v>
      </c>
      <c r="W193" s="88">
        <f t="shared" si="295"/>
        <v>1</v>
      </c>
      <c r="X193" s="88">
        <f t="shared" si="295"/>
        <v>1</v>
      </c>
      <c r="Y193" s="88">
        <f t="shared" si="295"/>
        <v>1</v>
      </c>
      <c r="Z193" s="88">
        <f t="shared" si="295"/>
        <v>1</v>
      </c>
      <c r="AA193" s="88">
        <f t="shared" si="295"/>
        <v>1</v>
      </c>
      <c r="AB193" s="88">
        <f t="shared" si="295"/>
        <v>1</v>
      </c>
      <c r="AC193" s="88">
        <f t="shared" si="295"/>
        <v>1</v>
      </c>
      <c r="AD193" s="88">
        <f t="shared" si="295"/>
        <v>1</v>
      </c>
      <c r="AE193" s="88">
        <f t="shared" si="295"/>
        <v>1.03</v>
      </c>
      <c r="AF193" s="88">
        <f t="shared" si="295"/>
        <v>1.03</v>
      </c>
      <c r="AG193" s="88">
        <f t="shared" si="295"/>
        <v>1.03</v>
      </c>
      <c r="AH193" s="88">
        <f t="shared" si="295"/>
        <v>1.03</v>
      </c>
      <c r="AI193" s="88">
        <f t="shared" si="295"/>
        <v>1.03</v>
      </c>
      <c r="AJ193" s="88">
        <f t="shared" si="295"/>
        <v>1.03</v>
      </c>
      <c r="AK193" s="88">
        <f t="shared" si="295"/>
        <v>1.03</v>
      </c>
      <c r="AL193" s="88">
        <f t="shared" si="295"/>
        <v>1.03</v>
      </c>
      <c r="AM193" s="88">
        <f t="shared" si="295"/>
        <v>1.03</v>
      </c>
      <c r="AN193" s="88">
        <f t="shared" si="295"/>
        <v>1.03</v>
      </c>
      <c r="AO193" s="88">
        <f t="shared" si="295"/>
        <v>1.03</v>
      </c>
      <c r="AP193" s="88">
        <f t="shared" si="295"/>
        <v>1.03</v>
      </c>
      <c r="AQ193" s="88">
        <f t="shared" si="295"/>
        <v>1.0609</v>
      </c>
      <c r="AR193" s="88">
        <f t="shared" si="295"/>
        <v>1.0609</v>
      </c>
      <c r="AS193" s="88">
        <f t="shared" si="295"/>
        <v>1.0609</v>
      </c>
      <c r="AT193" s="88">
        <f t="shared" si="295"/>
        <v>1.0609</v>
      </c>
      <c r="AU193" s="88">
        <f t="shared" si="295"/>
        <v>1.0609</v>
      </c>
      <c r="AV193" s="88">
        <f t="shared" si="295"/>
        <v>1.0609</v>
      </c>
      <c r="AW193" s="88">
        <f t="shared" si="295"/>
        <v>1.0609</v>
      </c>
      <c r="AX193" s="88">
        <f t="shared" ref="AX193:CC193" si="296">(1+$J193)^(AX146-1)*AX52</f>
        <v>1.0609</v>
      </c>
      <c r="AY193" s="88">
        <f t="shared" si="296"/>
        <v>1.0609</v>
      </c>
      <c r="AZ193" s="88">
        <f t="shared" si="296"/>
        <v>1.0609</v>
      </c>
      <c r="BA193" s="88">
        <f t="shared" si="296"/>
        <v>1.0609</v>
      </c>
      <c r="BB193" s="88">
        <f t="shared" si="296"/>
        <v>1.0609</v>
      </c>
      <c r="BC193" s="88">
        <f t="shared" si="296"/>
        <v>1.092727</v>
      </c>
      <c r="BD193" s="88">
        <f t="shared" si="296"/>
        <v>1.092727</v>
      </c>
      <c r="BE193" s="88">
        <f t="shared" si="296"/>
        <v>1.092727</v>
      </c>
      <c r="BF193" s="88">
        <f t="shared" si="296"/>
        <v>1.092727</v>
      </c>
      <c r="BG193" s="88">
        <f t="shared" si="296"/>
        <v>1.092727</v>
      </c>
      <c r="BH193" s="88">
        <f t="shared" si="296"/>
        <v>1.092727</v>
      </c>
      <c r="BI193" s="88">
        <f t="shared" si="296"/>
        <v>1.092727</v>
      </c>
      <c r="BJ193" s="88">
        <f t="shared" si="296"/>
        <v>1.092727</v>
      </c>
      <c r="BK193" s="88">
        <f t="shared" si="296"/>
        <v>1.092727</v>
      </c>
      <c r="BL193" s="88">
        <f t="shared" si="296"/>
        <v>1.092727</v>
      </c>
      <c r="BM193" s="88">
        <f t="shared" si="296"/>
        <v>1.092727</v>
      </c>
      <c r="BN193" s="88">
        <f t="shared" si="296"/>
        <v>1.092727</v>
      </c>
      <c r="BO193" s="88">
        <f t="shared" si="296"/>
        <v>1.1255088099999999</v>
      </c>
      <c r="BP193" s="88">
        <f t="shared" si="296"/>
        <v>1.1255088099999999</v>
      </c>
      <c r="BQ193" s="88">
        <f t="shared" si="296"/>
        <v>1.1255088099999999</v>
      </c>
      <c r="BR193" s="88">
        <f t="shared" si="296"/>
        <v>1.1255088099999999</v>
      </c>
      <c r="BS193" s="88">
        <f t="shared" si="296"/>
        <v>1.1255088099999999</v>
      </c>
      <c r="BT193" s="88">
        <f t="shared" si="296"/>
        <v>1.1255088099999999</v>
      </c>
      <c r="BU193" s="88">
        <f t="shared" si="296"/>
        <v>1.1255088099999999</v>
      </c>
      <c r="BV193" s="88">
        <f t="shared" si="296"/>
        <v>1.1255088099999999</v>
      </c>
      <c r="BW193" s="88">
        <f t="shared" si="296"/>
        <v>1.1255088099999999</v>
      </c>
      <c r="BX193" s="88">
        <f t="shared" si="296"/>
        <v>1.1255088099999999</v>
      </c>
      <c r="BY193" s="88">
        <f t="shared" si="296"/>
        <v>1.1255088099999999</v>
      </c>
      <c r="BZ193" s="88">
        <f t="shared" si="296"/>
        <v>1.1255088099999999</v>
      </c>
      <c r="CA193" s="88">
        <f t="shared" si="296"/>
        <v>0</v>
      </c>
      <c r="CB193" s="88">
        <f t="shared" si="296"/>
        <v>0</v>
      </c>
      <c r="CC193" s="88">
        <f t="shared" si="296"/>
        <v>0</v>
      </c>
      <c r="CD193" s="88">
        <f t="shared" ref="CD193:DL193" si="297">(1+$J193)^(CD146-1)*CD52</f>
        <v>0</v>
      </c>
      <c r="CE193" s="88">
        <f t="shared" si="297"/>
        <v>0</v>
      </c>
      <c r="CF193" s="88">
        <f t="shared" si="297"/>
        <v>0</v>
      </c>
      <c r="CG193" s="88">
        <f t="shared" si="297"/>
        <v>0</v>
      </c>
      <c r="CH193" s="88">
        <f t="shared" si="297"/>
        <v>0</v>
      </c>
      <c r="CI193" s="88">
        <f t="shared" si="297"/>
        <v>0</v>
      </c>
      <c r="CJ193" s="88">
        <f t="shared" si="297"/>
        <v>0</v>
      </c>
      <c r="CK193" s="88">
        <f t="shared" si="297"/>
        <v>0</v>
      </c>
      <c r="CL193" s="88">
        <f t="shared" si="297"/>
        <v>0</v>
      </c>
      <c r="CM193" s="88">
        <f t="shared" si="297"/>
        <v>0</v>
      </c>
      <c r="CN193" s="88">
        <f t="shared" si="297"/>
        <v>0</v>
      </c>
      <c r="CO193" s="88">
        <f t="shared" si="297"/>
        <v>0</v>
      </c>
      <c r="CP193" s="88">
        <f t="shared" si="297"/>
        <v>0</v>
      </c>
      <c r="CQ193" s="88">
        <f t="shared" si="297"/>
        <v>0</v>
      </c>
      <c r="CR193" s="88">
        <f t="shared" si="297"/>
        <v>0</v>
      </c>
      <c r="CS193" s="88">
        <f t="shared" si="297"/>
        <v>0</v>
      </c>
      <c r="CT193" s="88">
        <f t="shared" si="297"/>
        <v>0</v>
      </c>
      <c r="CU193" s="88">
        <f t="shared" si="297"/>
        <v>0</v>
      </c>
      <c r="CV193" s="88">
        <f t="shared" si="297"/>
        <v>0</v>
      </c>
      <c r="CW193" s="88">
        <f t="shared" si="297"/>
        <v>0</v>
      </c>
      <c r="CX193" s="88">
        <f t="shared" si="297"/>
        <v>0</v>
      </c>
      <c r="CY193" s="88">
        <f t="shared" si="297"/>
        <v>0</v>
      </c>
      <c r="CZ193" s="88">
        <f t="shared" si="297"/>
        <v>0</v>
      </c>
      <c r="DA193" s="88">
        <f t="shared" si="297"/>
        <v>0</v>
      </c>
      <c r="DB193" s="88">
        <f t="shared" si="297"/>
        <v>0</v>
      </c>
      <c r="DC193" s="88">
        <f t="shared" si="297"/>
        <v>0</v>
      </c>
      <c r="DD193" s="88">
        <f t="shared" si="297"/>
        <v>0</v>
      </c>
      <c r="DE193" s="88">
        <f t="shared" si="297"/>
        <v>0</v>
      </c>
      <c r="DF193" s="88">
        <f t="shared" si="297"/>
        <v>0</v>
      </c>
      <c r="DG193" s="88">
        <f t="shared" si="297"/>
        <v>0</v>
      </c>
      <c r="DH193" s="88">
        <f t="shared" si="297"/>
        <v>0</v>
      </c>
      <c r="DI193" s="88">
        <f t="shared" si="297"/>
        <v>0</v>
      </c>
      <c r="DJ193" s="88">
        <f t="shared" si="297"/>
        <v>0</v>
      </c>
      <c r="DK193" s="88">
        <f t="shared" si="297"/>
        <v>0</v>
      </c>
      <c r="DL193" s="88">
        <f t="shared" si="297"/>
        <v>0</v>
      </c>
    </row>
    <row r="194" spans="2:116">
      <c r="B194" s="27">
        <f>Rentroll!$C$51</f>
        <v>3</v>
      </c>
      <c r="C194" s="69" t="str">
        <f>VLOOKUP($B194,Rentroll!$C$37:$Z$60,3,FALSE)</f>
        <v>타이거로켓</v>
      </c>
      <c r="D194" s="80">
        <f>VLOOKUP($B194,Rentroll!$C$37:$Z$60,9,FALSE)</f>
        <v>45688</v>
      </c>
      <c r="E194" s="80">
        <f>VLOOKUP($B194,Rentroll!$C$37:$Z$60,10,FALSE)</f>
        <v>47514</v>
      </c>
      <c r="F194" s="81">
        <f>VLOOKUP($B194,Rentroll!$C$37:$Z$60,11,FALSE)</f>
        <v>60</v>
      </c>
      <c r="G194" s="69">
        <f>VLOOKUP($B194,Rentroll!$C$37:$Z$60,13,FALSE)</f>
        <v>103000</v>
      </c>
      <c r="H194" s="69">
        <f>VLOOKUP($B194,Rentroll!$C$37:$Z$60,14,FALSE)</f>
        <v>90125</v>
      </c>
      <c r="I194" s="69">
        <f>VLOOKUP($B194,Rentroll!$C$37:$Z$60,15,FALSE)</f>
        <v>45000</v>
      </c>
      <c r="J194" s="82">
        <f>VLOOKUP($B194,Rentroll!$C$37:$Z$60,19,FALSE)</f>
        <v>0.03</v>
      </c>
      <c r="K194" s="83">
        <f>VLOOKUP($B194,Rentroll!$C$37:$Z$60,4,FALSE)</f>
        <v>1385.09</v>
      </c>
      <c r="L194" s="81">
        <f>VLOOKUP($B194,Rentroll!$C$37:$Z$60,17,FALSE)</f>
        <v>1</v>
      </c>
      <c r="M194" s="84">
        <f>VLOOKUP($B194,Rentroll!$C$37:$Z$60,18,FALSE)</f>
        <v>1.5</v>
      </c>
      <c r="O194" s="74">
        <f t="shared" si="258"/>
        <v>3</v>
      </c>
      <c r="P194" s="75"/>
      <c r="Q194" s="75"/>
      <c r="R194" s="88">
        <f t="shared" ref="R194:AW194" si="298">(1+$J194)^(R147-1)*R53</f>
        <v>0</v>
      </c>
      <c r="S194" s="88">
        <f t="shared" si="298"/>
        <v>1</v>
      </c>
      <c r="T194" s="88">
        <f t="shared" si="298"/>
        <v>1</v>
      </c>
      <c r="U194" s="88">
        <f t="shared" si="298"/>
        <v>1</v>
      </c>
      <c r="V194" s="88">
        <f t="shared" si="298"/>
        <v>1</v>
      </c>
      <c r="W194" s="88">
        <f t="shared" si="298"/>
        <v>1</v>
      </c>
      <c r="X194" s="88">
        <f t="shared" si="298"/>
        <v>1</v>
      </c>
      <c r="Y194" s="88">
        <f t="shared" si="298"/>
        <v>1</v>
      </c>
      <c r="Z194" s="88">
        <f t="shared" si="298"/>
        <v>1</v>
      </c>
      <c r="AA194" s="88">
        <f t="shared" si="298"/>
        <v>1</v>
      </c>
      <c r="AB194" s="88">
        <f t="shared" si="298"/>
        <v>1</v>
      </c>
      <c r="AC194" s="88">
        <f t="shared" si="298"/>
        <v>1</v>
      </c>
      <c r="AD194" s="88">
        <f t="shared" si="298"/>
        <v>1</v>
      </c>
      <c r="AE194" s="88">
        <f t="shared" si="298"/>
        <v>1.03</v>
      </c>
      <c r="AF194" s="88">
        <f t="shared" si="298"/>
        <v>1.03</v>
      </c>
      <c r="AG194" s="88">
        <f t="shared" si="298"/>
        <v>1.03</v>
      </c>
      <c r="AH194" s="88">
        <f t="shared" si="298"/>
        <v>1.03</v>
      </c>
      <c r="AI194" s="88">
        <f t="shared" si="298"/>
        <v>1.03</v>
      </c>
      <c r="AJ194" s="88">
        <f t="shared" si="298"/>
        <v>1.03</v>
      </c>
      <c r="AK194" s="88">
        <f t="shared" si="298"/>
        <v>1.03</v>
      </c>
      <c r="AL194" s="88">
        <f t="shared" si="298"/>
        <v>1.03</v>
      </c>
      <c r="AM194" s="88">
        <f t="shared" si="298"/>
        <v>1.03</v>
      </c>
      <c r="AN194" s="88">
        <f t="shared" si="298"/>
        <v>1.03</v>
      </c>
      <c r="AO194" s="88">
        <f t="shared" si="298"/>
        <v>1.03</v>
      </c>
      <c r="AP194" s="88">
        <f t="shared" si="298"/>
        <v>1.03</v>
      </c>
      <c r="AQ194" s="88">
        <f t="shared" si="298"/>
        <v>1.0609</v>
      </c>
      <c r="AR194" s="88">
        <f t="shared" si="298"/>
        <v>1.0609</v>
      </c>
      <c r="AS194" s="88">
        <f t="shared" si="298"/>
        <v>1.0609</v>
      </c>
      <c r="AT194" s="88">
        <f t="shared" si="298"/>
        <v>1.0609</v>
      </c>
      <c r="AU194" s="88">
        <f t="shared" si="298"/>
        <v>1.0609</v>
      </c>
      <c r="AV194" s="88">
        <f t="shared" si="298"/>
        <v>1.0609</v>
      </c>
      <c r="AW194" s="88">
        <f t="shared" si="298"/>
        <v>1.0609</v>
      </c>
      <c r="AX194" s="88">
        <f t="shared" ref="AX194:CC194" si="299">(1+$J194)^(AX147-1)*AX53</f>
        <v>1.0609</v>
      </c>
      <c r="AY194" s="88">
        <f t="shared" si="299"/>
        <v>1.0609</v>
      </c>
      <c r="AZ194" s="88">
        <f t="shared" si="299"/>
        <v>1.0609</v>
      </c>
      <c r="BA194" s="88">
        <f t="shared" si="299"/>
        <v>1.0609</v>
      </c>
      <c r="BB194" s="88">
        <f t="shared" si="299"/>
        <v>1.0609</v>
      </c>
      <c r="BC194" s="88">
        <f t="shared" si="299"/>
        <v>1.092727</v>
      </c>
      <c r="BD194" s="88">
        <f t="shared" si="299"/>
        <v>1.092727</v>
      </c>
      <c r="BE194" s="88">
        <f t="shared" si="299"/>
        <v>1.092727</v>
      </c>
      <c r="BF194" s="88">
        <f t="shared" si="299"/>
        <v>1.092727</v>
      </c>
      <c r="BG194" s="88">
        <f t="shared" si="299"/>
        <v>1.092727</v>
      </c>
      <c r="BH194" s="88">
        <f t="shared" si="299"/>
        <v>1.092727</v>
      </c>
      <c r="BI194" s="88">
        <f t="shared" si="299"/>
        <v>1.092727</v>
      </c>
      <c r="BJ194" s="88">
        <f t="shared" si="299"/>
        <v>1.092727</v>
      </c>
      <c r="BK194" s="88">
        <f t="shared" si="299"/>
        <v>1.092727</v>
      </c>
      <c r="BL194" s="88">
        <f t="shared" si="299"/>
        <v>1.092727</v>
      </c>
      <c r="BM194" s="88">
        <f t="shared" si="299"/>
        <v>1.092727</v>
      </c>
      <c r="BN194" s="88">
        <f t="shared" si="299"/>
        <v>1.092727</v>
      </c>
      <c r="BO194" s="88">
        <f t="shared" si="299"/>
        <v>1.1255088099999999</v>
      </c>
      <c r="BP194" s="88">
        <f t="shared" si="299"/>
        <v>1.1255088099999999</v>
      </c>
      <c r="BQ194" s="88">
        <f t="shared" si="299"/>
        <v>1.1255088099999999</v>
      </c>
      <c r="BR194" s="88">
        <f t="shared" si="299"/>
        <v>1.1255088099999999</v>
      </c>
      <c r="BS194" s="88">
        <f t="shared" si="299"/>
        <v>1.1255088099999999</v>
      </c>
      <c r="BT194" s="88">
        <f t="shared" si="299"/>
        <v>1.1255088099999999</v>
      </c>
      <c r="BU194" s="88">
        <f t="shared" si="299"/>
        <v>1.1255088099999999</v>
      </c>
      <c r="BV194" s="88">
        <f t="shared" si="299"/>
        <v>1.1255088099999999</v>
      </c>
      <c r="BW194" s="88">
        <f t="shared" si="299"/>
        <v>1.1255088099999999</v>
      </c>
      <c r="BX194" s="88">
        <f t="shared" si="299"/>
        <v>1.1255088099999999</v>
      </c>
      <c r="BY194" s="88">
        <f t="shared" si="299"/>
        <v>1.1255088099999999</v>
      </c>
      <c r="BZ194" s="88">
        <f t="shared" si="299"/>
        <v>1.1255088099999999</v>
      </c>
      <c r="CA194" s="88">
        <f t="shared" si="299"/>
        <v>0</v>
      </c>
      <c r="CB194" s="88">
        <f t="shared" si="299"/>
        <v>0</v>
      </c>
      <c r="CC194" s="88">
        <f t="shared" si="299"/>
        <v>0</v>
      </c>
      <c r="CD194" s="88">
        <f t="shared" ref="CD194:DL194" si="300">(1+$J194)^(CD147-1)*CD53</f>
        <v>0</v>
      </c>
      <c r="CE194" s="88">
        <f t="shared" si="300"/>
        <v>0</v>
      </c>
      <c r="CF194" s="88">
        <f t="shared" si="300"/>
        <v>0</v>
      </c>
      <c r="CG194" s="88">
        <f t="shared" si="300"/>
        <v>0</v>
      </c>
      <c r="CH194" s="88">
        <f t="shared" si="300"/>
        <v>0</v>
      </c>
      <c r="CI194" s="88">
        <f t="shared" si="300"/>
        <v>0</v>
      </c>
      <c r="CJ194" s="88">
        <f t="shared" si="300"/>
        <v>0</v>
      </c>
      <c r="CK194" s="88">
        <f t="shared" si="300"/>
        <v>0</v>
      </c>
      <c r="CL194" s="88">
        <f t="shared" si="300"/>
        <v>0</v>
      </c>
      <c r="CM194" s="88">
        <f t="shared" si="300"/>
        <v>0</v>
      </c>
      <c r="CN194" s="88">
        <f t="shared" si="300"/>
        <v>0</v>
      </c>
      <c r="CO194" s="88">
        <f t="shared" si="300"/>
        <v>0</v>
      </c>
      <c r="CP194" s="88">
        <f t="shared" si="300"/>
        <v>0</v>
      </c>
      <c r="CQ194" s="88">
        <f t="shared" si="300"/>
        <v>0</v>
      </c>
      <c r="CR194" s="88">
        <f t="shared" si="300"/>
        <v>0</v>
      </c>
      <c r="CS194" s="88">
        <f t="shared" si="300"/>
        <v>0</v>
      </c>
      <c r="CT194" s="88">
        <f t="shared" si="300"/>
        <v>0</v>
      </c>
      <c r="CU194" s="88">
        <f t="shared" si="300"/>
        <v>0</v>
      </c>
      <c r="CV194" s="88">
        <f t="shared" si="300"/>
        <v>0</v>
      </c>
      <c r="CW194" s="88">
        <f t="shared" si="300"/>
        <v>0</v>
      </c>
      <c r="CX194" s="88">
        <f t="shared" si="300"/>
        <v>0</v>
      </c>
      <c r="CY194" s="88">
        <f t="shared" si="300"/>
        <v>0</v>
      </c>
      <c r="CZ194" s="88">
        <f t="shared" si="300"/>
        <v>0</v>
      </c>
      <c r="DA194" s="88">
        <f t="shared" si="300"/>
        <v>0</v>
      </c>
      <c r="DB194" s="88">
        <f t="shared" si="300"/>
        <v>0</v>
      </c>
      <c r="DC194" s="88">
        <f t="shared" si="300"/>
        <v>0</v>
      </c>
      <c r="DD194" s="88">
        <f t="shared" si="300"/>
        <v>0</v>
      </c>
      <c r="DE194" s="88">
        <f t="shared" si="300"/>
        <v>0</v>
      </c>
      <c r="DF194" s="88">
        <f t="shared" si="300"/>
        <v>0</v>
      </c>
      <c r="DG194" s="88">
        <f t="shared" si="300"/>
        <v>0</v>
      </c>
      <c r="DH194" s="88">
        <f t="shared" si="300"/>
        <v>0</v>
      </c>
      <c r="DI194" s="88">
        <f t="shared" si="300"/>
        <v>0</v>
      </c>
      <c r="DJ194" s="88">
        <f t="shared" si="300"/>
        <v>0</v>
      </c>
      <c r="DK194" s="88">
        <f t="shared" si="300"/>
        <v>0</v>
      </c>
      <c r="DL194" s="88">
        <f t="shared" si="300"/>
        <v>0</v>
      </c>
    </row>
    <row r="195" spans="2:116">
      <c r="B195" s="27" t="str">
        <f>Rentroll!$C$52</f>
        <v>201호</v>
      </c>
      <c r="C195" s="69" t="str">
        <f>VLOOKUP($B195,Rentroll!$C$37:$Z$60,3,FALSE)</f>
        <v>RMW CARNE</v>
      </c>
      <c r="D195" s="80">
        <f>VLOOKUP($B195,Rentroll!$C$37:$Z$60,9,FALSE)</f>
        <v>45747</v>
      </c>
      <c r="E195" s="80">
        <f>VLOOKUP($B195,Rentroll!$C$37:$Z$60,10,FALSE)</f>
        <v>47573</v>
      </c>
      <c r="F195" s="81">
        <f>VLOOKUP($B195,Rentroll!$C$37:$Z$60,11,FALSE)</f>
        <v>60</v>
      </c>
      <c r="G195" s="69">
        <f>VLOOKUP($B195,Rentroll!$C$37:$Z$60,13,FALSE)</f>
        <v>130000</v>
      </c>
      <c r="H195" s="69">
        <f>VLOOKUP($B195,Rentroll!$C$37:$Z$60,14,FALSE)</f>
        <v>130000</v>
      </c>
      <c r="I195" s="69">
        <f>VLOOKUP($B195,Rentroll!$C$37:$Z$60,15,FALSE)</f>
        <v>45000</v>
      </c>
      <c r="J195" s="82">
        <f>VLOOKUP($B195,Rentroll!$C$37:$Z$60,19,FALSE)</f>
        <v>0.03</v>
      </c>
      <c r="K195" s="83">
        <f>VLOOKUP($B195,Rentroll!$C$37:$Z$60,4,FALSE)</f>
        <v>346.27249999999998</v>
      </c>
      <c r="L195" s="81">
        <f>VLOOKUP($B195,Rentroll!$C$37:$Z$60,17,FALSE)</f>
        <v>2</v>
      </c>
      <c r="M195" s="84">
        <f>VLOOKUP($B195,Rentroll!$C$37:$Z$60,18,FALSE)</f>
        <v>0</v>
      </c>
      <c r="O195" s="74" t="str">
        <f t="shared" si="258"/>
        <v>201호</v>
      </c>
      <c r="P195" s="75"/>
      <c r="Q195" s="75"/>
      <c r="R195" s="88">
        <f t="shared" ref="R195:AW195" si="301">(1+$J195)^(R148-1)*R54</f>
        <v>0</v>
      </c>
      <c r="S195" s="88">
        <f t="shared" si="301"/>
        <v>0</v>
      </c>
      <c r="T195" s="88">
        <f t="shared" si="301"/>
        <v>0</v>
      </c>
      <c r="U195" s="88">
        <f t="shared" si="301"/>
        <v>1</v>
      </c>
      <c r="V195" s="88">
        <f t="shared" si="301"/>
        <v>1</v>
      </c>
      <c r="W195" s="88">
        <f t="shared" si="301"/>
        <v>1</v>
      </c>
      <c r="X195" s="88">
        <f t="shared" si="301"/>
        <v>1</v>
      </c>
      <c r="Y195" s="88">
        <f t="shared" si="301"/>
        <v>1</v>
      </c>
      <c r="Z195" s="88">
        <f t="shared" si="301"/>
        <v>1</v>
      </c>
      <c r="AA195" s="88">
        <f t="shared" si="301"/>
        <v>1</v>
      </c>
      <c r="AB195" s="88">
        <f t="shared" si="301"/>
        <v>1</v>
      </c>
      <c r="AC195" s="88">
        <f t="shared" si="301"/>
        <v>1</v>
      </c>
      <c r="AD195" s="88">
        <f t="shared" si="301"/>
        <v>1</v>
      </c>
      <c r="AE195" s="88">
        <f t="shared" si="301"/>
        <v>1</v>
      </c>
      <c r="AF195" s="88">
        <f t="shared" si="301"/>
        <v>1</v>
      </c>
      <c r="AG195" s="88">
        <f t="shared" si="301"/>
        <v>1.03</v>
      </c>
      <c r="AH195" s="88">
        <f t="shared" si="301"/>
        <v>1.03</v>
      </c>
      <c r="AI195" s="88">
        <f t="shared" si="301"/>
        <v>1.03</v>
      </c>
      <c r="AJ195" s="88">
        <f t="shared" si="301"/>
        <v>1.03</v>
      </c>
      <c r="AK195" s="88">
        <f t="shared" si="301"/>
        <v>1.03</v>
      </c>
      <c r="AL195" s="88">
        <f t="shared" si="301"/>
        <v>1.03</v>
      </c>
      <c r="AM195" s="88">
        <f t="shared" si="301"/>
        <v>1.03</v>
      </c>
      <c r="AN195" s="88">
        <f t="shared" si="301"/>
        <v>1.03</v>
      </c>
      <c r="AO195" s="88">
        <f t="shared" si="301"/>
        <v>1.03</v>
      </c>
      <c r="AP195" s="88">
        <f t="shared" si="301"/>
        <v>1.03</v>
      </c>
      <c r="AQ195" s="88">
        <f t="shared" si="301"/>
        <v>1.03</v>
      </c>
      <c r="AR195" s="88">
        <f t="shared" si="301"/>
        <v>1.03</v>
      </c>
      <c r="AS195" s="88">
        <f t="shared" si="301"/>
        <v>1.0609</v>
      </c>
      <c r="AT195" s="88">
        <f t="shared" si="301"/>
        <v>1.0609</v>
      </c>
      <c r="AU195" s="88">
        <f t="shared" si="301"/>
        <v>1.0609</v>
      </c>
      <c r="AV195" s="88">
        <f t="shared" si="301"/>
        <v>1.0609</v>
      </c>
      <c r="AW195" s="88">
        <f t="shared" si="301"/>
        <v>1.0609</v>
      </c>
      <c r="AX195" s="88">
        <f t="shared" ref="AX195:CC195" si="302">(1+$J195)^(AX148-1)*AX54</f>
        <v>1.0609</v>
      </c>
      <c r="AY195" s="88">
        <f t="shared" si="302"/>
        <v>1.0609</v>
      </c>
      <c r="AZ195" s="88">
        <f t="shared" si="302"/>
        <v>1.0609</v>
      </c>
      <c r="BA195" s="88">
        <f t="shared" si="302"/>
        <v>1.0609</v>
      </c>
      <c r="BB195" s="88">
        <f t="shared" si="302"/>
        <v>1.0609</v>
      </c>
      <c r="BC195" s="88">
        <f t="shared" si="302"/>
        <v>1.0609</v>
      </c>
      <c r="BD195" s="88">
        <f t="shared" si="302"/>
        <v>1.0609</v>
      </c>
      <c r="BE195" s="88">
        <f t="shared" si="302"/>
        <v>1.092727</v>
      </c>
      <c r="BF195" s="88">
        <f t="shared" si="302"/>
        <v>1.092727</v>
      </c>
      <c r="BG195" s="88">
        <f t="shared" si="302"/>
        <v>1.092727</v>
      </c>
      <c r="BH195" s="88">
        <f t="shared" si="302"/>
        <v>1.092727</v>
      </c>
      <c r="BI195" s="88">
        <f t="shared" si="302"/>
        <v>1.092727</v>
      </c>
      <c r="BJ195" s="88">
        <f t="shared" si="302"/>
        <v>1.092727</v>
      </c>
      <c r="BK195" s="88">
        <f t="shared" si="302"/>
        <v>1.092727</v>
      </c>
      <c r="BL195" s="88">
        <f t="shared" si="302"/>
        <v>1.092727</v>
      </c>
      <c r="BM195" s="88">
        <f t="shared" si="302"/>
        <v>1.092727</v>
      </c>
      <c r="BN195" s="88">
        <f t="shared" si="302"/>
        <v>1.092727</v>
      </c>
      <c r="BO195" s="88">
        <f t="shared" si="302"/>
        <v>1.092727</v>
      </c>
      <c r="BP195" s="88">
        <f t="shared" si="302"/>
        <v>1.092727</v>
      </c>
      <c r="BQ195" s="88">
        <f t="shared" si="302"/>
        <v>1.1255088099999999</v>
      </c>
      <c r="BR195" s="88">
        <f t="shared" si="302"/>
        <v>1.1255088099999999</v>
      </c>
      <c r="BS195" s="88">
        <f t="shared" si="302"/>
        <v>1.1255088099999999</v>
      </c>
      <c r="BT195" s="88">
        <f t="shared" si="302"/>
        <v>1.1255088099999999</v>
      </c>
      <c r="BU195" s="88">
        <f t="shared" si="302"/>
        <v>1.1255088099999999</v>
      </c>
      <c r="BV195" s="88">
        <f t="shared" si="302"/>
        <v>1.1255088099999999</v>
      </c>
      <c r="BW195" s="88">
        <f t="shared" si="302"/>
        <v>1.1255088099999999</v>
      </c>
      <c r="BX195" s="88">
        <f t="shared" si="302"/>
        <v>1.1255088099999999</v>
      </c>
      <c r="BY195" s="88">
        <f t="shared" si="302"/>
        <v>1.1255088099999999</v>
      </c>
      <c r="BZ195" s="88">
        <f t="shared" si="302"/>
        <v>1.1255088099999999</v>
      </c>
      <c r="CA195" s="88">
        <f t="shared" si="302"/>
        <v>0</v>
      </c>
      <c r="CB195" s="88">
        <f t="shared" si="302"/>
        <v>0</v>
      </c>
      <c r="CC195" s="88">
        <f t="shared" si="302"/>
        <v>0</v>
      </c>
      <c r="CD195" s="88">
        <f t="shared" ref="CD195:DL195" si="303">(1+$J195)^(CD148-1)*CD54</f>
        <v>0</v>
      </c>
      <c r="CE195" s="88">
        <f t="shared" si="303"/>
        <v>0</v>
      </c>
      <c r="CF195" s="88">
        <f t="shared" si="303"/>
        <v>0</v>
      </c>
      <c r="CG195" s="88">
        <f t="shared" si="303"/>
        <v>0</v>
      </c>
      <c r="CH195" s="88">
        <f t="shared" si="303"/>
        <v>0</v>
      </c>
      <c r="CI195" s="88">
        <f t="shared" si="303"/>
        <v>0</v>
      </c>
      <c r="CJ195" s="88">
        <f t="shared" si="303"/>
        <v>0</v>
      </c>
      <c r="CK195" s="88">
        <f t="shared" si="303"/>
        <v>0</v>
      </c>
      <c r="CL195" s="88">
        <f t="shared" si="303"/>
        <v>0</v>
      </c>
      <c r="CM195" s="88">
        <f t="shared" si="303"/>
        <v>0</v>
      </c>
      <c r="CN195" s="88">
        <f t="shared" si="303"/>
        <v>0</v>
      </c>
      <c r="CO195" s="88">
        <f t="shared" si="303"/>
        <v>0</v>
      </c>
      <c r="CP195" s="88">
        <f t="shared" si="303"/>
        <v>0</v>
      </c>
      <c r="CQ195" s="88">
        <f t="shared" si="303"/>
        <v>0</v>
      </c>
      <c r="CR195" s="88">
        <f t="shared" si="303"/>
        <v>0</v>
      </c>
      <c r="CS195" s="88">
        <f t="shared" si="303"/>
        <v>0</v>
      </c>
      <c r="CT195" s="88">
        <f t="shared" si="303"/>
        <v>0</v>
      </c>
      <c r="CU195" s="88">
        <f t="shared" si="303"/>
        <v>0</v>
      </c>
      <c r="CV195" s="88">
        <f t="shared" si="303"/>
        <v>0</v>
      </c>
      <c r="CW195" s="88">
        <f t="shared" si="303"/>
        <v>0</v>
      </c>
      <c r="CX195" s="88">
        <f t="shared" si="303"/>
        <v>0</v>
      </c>
      <c r="CY195" s="88">
        <f t="shared" si="303"/>
        <v>0</v>
      </c>
      <c r="CZ195" s="88">
        <f t="shared" si="303"/>
        <v>0</v>
      </c>
      <c r="DA195" s="88">
        <f t="shared" si="303"/>
        <v>0</v>
      </c>
      <c r="DB195" s="88">
        <f t="shared" si="303"/>
        <v>0</v>
      </c>
      <c r="DC195" s="88">
        <f t="shared" si="303"/>
        <v>0</v>
      </c>
      <c r="DD195" s="88">
        <f t="shared" si="303"/>
        <v>0</v>
      </c>
      <c r="DE195" s="88">
        <f t="shared" si="303"/>
        <v>0</v>
      </c>
      <c r="DF195" s="88">
        <f t="shared" si="303"/>
        <v>0</v>
      </c>
      <c r="DG195" s="88">
        <f t="shared" si="303"/>
        <v>0</v>
      </c>
      <c r="DH195" s="88">
        <f t="shared" si="303"/>
        <v>0</v>
      </c>
      <c r="DI195" s="88">
        <f t="shared" si="303"/>
        <v>0</v>
      </c>
      <c r="DJ195" s="88">
        <f t="shared" si="303"/>
        <v>0</v>
      </c>
      <c r="DK195" s="88">
        <f t="shared" si="303"/>
        <v>0</v>
      </c>
      <c r="DL195" s="88">
        <f t="shared" si="303"/>
        <v>0</v>
      </c>
    </row>
    <row r="196" spans="2:116">
      <c r="B196" s="27" t="str">
        <f>Rentroll!$C$53</f>
        <v>202호</v>
      </c>
      <c r="C196" s="69" t="str">
        <f>VLOOKUP($B196,Rentroll!$C$37:$Z$60,3,FALSE)</f>
        <v>키이로</v>
      </c>
      <c r="D196" s="80">
        <f>VLOOKUP($B196,Rentroll!$C$37:$Z$60,9,FALSE)</f>
        <v>45747</v>
      </c>
      <c r="E196" s="80">
        <f>VLOOKUP($B196,Rentroll!$C$37:$Z$60,10,FALSE)</f>
        <v>47573</v>
      </c>
      <c r="F196" s="81">
        <f>VLOOKUP($B196,Rentroll!$C$37:$Z$60,11,FALSE)</f>
        <v>60</v>
      </c>
      <c r="G196" s="69">
        <f>VLOOKUP($B196,Rentroll!$C$37:$Z$60,13,FALSE)</f>
        <v>130000</v>
      </c>
      <c r="H196" s="69">
        <f>VLOOKUP($B196,Rentroll!$C$37:$Z$60,14,FALSE)</f>
        <v>130000</v>
      </c>
      <c r="I196" s="69">
        <f>VLOOKUP($B196,Rentroll!$C$37:$Z$60,15,FALSE)</f>
        <v>45000</v>
      </c>
      <c r="J196" s="82">
        <f>VLOOKUP($B196,Rentroll!$C$37:$Z$60,19,FALSE)</f>
        <v>0.03</v>
      </c>
      <c r="K196" s="83">
        <f>VLOOKUP($B196,Rentroll!$C$37:$Z$60,4,FALSE)</f>
        <v>346.27249999999998</v>
      </c>
      <c r="L196" s="81">
        <f>VLOOKUP($B196,Rentroll!$C$37:$Z$60,17,FALSE)</f>
        <v>2</v>
      </c>
      <c r="M196" s="84">
        <f>VLOOKUP($B196,Rentroll!$C$37:$Z$60,18,FALSE)</f>
        <v>0</v>
      </c>
      <c r="O196" s="74" t="str">
        <f t="shared" si="258"/>
        <v>202호</v>
      </c>
      <c r="P196" s="75"/>
      <c r="Q196" s="75"/>
      <c r="R196" s="88">
        <f t="shared" ref="R196:AW196" si="304">(1+$J196)^(R149-1)*R55</f>
        <v>0</v>
      </c>
      <c r="S196" s="88">
        <f t="shared" si="304"/>
        <v>0</v>
      </c>
      <c r="T196" s="88">
        <f t="shared" si="304"/>
        <v>0</v>
      </c>
      <c r="U196" s="88">
        <f t="shared" si="304"/>
        <v>1</v>
      </c>
      <c r="V196" s="88">
        <f t="shared" si="304"/>
        <v>1</v>
      </c>
      <c r="W196" s="88">
        <f t="shared" si="304"/>
        <v>1</v>
      </c>
      <c r="X196" s="88">
        <f t="shared" si="304"/>
        <v>1</v>
      </c>
      <c r="Y196" s="88">
        <f t="shared" si="304"/>
        <v>1</v>
      </c>
      <c r="Z196" s="88">
        <f t="shared" si="304"/>
        <v>1</v>
      </c>
      <c r="AA196" s="88">
        <f t="shared" si="304"/>
        <v>1</v>
      </c>
      <c r="AB196" s="88">
        <f t="shared" si="304"/>
        <v>1</v>
      </c>
      <c r="AC196" s="88">
        <f t="shared" si="304"/>
        <v>1</v>
      </c>
      <c r="AD196" s="88">
        <f t="shared" si="304"/>
        <v>1</v>
      </c>
      <c r="AE196" s="88">
        <f t="shared" si="304"/>
        <v>1</v>
      </c>
      <c r="AF196" s="88">
        <f t="shared" si="304"/>
        <v>1</v>
      </c>
      <c r="AG196" s="88">
        <f t="shared" si="304"/>
        <v>1.03</v>
      </c>
      <c r="AH196" s="88">
        <f t="shared" si="304"/>
        <v>1.03</v>
      </c>
      <c r="AI196" s="88">
        <f t="shared" si="304"/>
        <v>1.03</v>
      </c>
      <c r="AJ196" s="88">
        <f t="shared" si="304"/>
        <v>1.03</v>
      </c>
      <c r="AK196" s="88">
        <f t="shared" si="304"/>
        <v>1.03</v>
      </c>
      <c r="AL196" s="88">
        <f t="shared" si="304"/>
        <v>1.03</v>
      </c>
      <c r="AM196" s="88">
        <f t="shared" si="304"/>
        <v>1.03</v>
      </c>
      <c r="AN196" s="88">
        <f t="shared" si="304"/>
        <v>1.03</v>
      </c>
      <c r="AO196" s="88">
        <f t="shared" si="304"/>
        <v>1.03</v>
      </c>
      <c r="AP196" s="88">
        <f t="shared" si="304"/>
        <v>1.03</v>
      </c>
      <c r="AQ196" s="88">
        <f t="shared" si="304"/>
        <v>1.03</v>
      </c>
      <c r="AR196" s="88">
        <f t="shared" si="304"/>
        <v>1.03</v>
      </c>
      <c r="AS196" s="88">
        <f t="shared" si="304"/>
        <v>1.0609</v>
      </c>
      <c r="AT196" s="88">
        <f t="shared" si="304"/>
        <v>1.0609</v>
      </c>
      <c r="AU196" s="88">
        <f t="shared" si="304"/>
        <v>1.0609</v>
      </c>
      <c r="AV196" s="88">
        <f t="shared" si="304"/>
        <v>1.0609</v>
      </c>
      <c r="AW196" s="88">
        <f t="shared" si="304"/>
        <v>1.0609</v>
      </c>
      <c r="AX196" s="88">
        <f t="shared" ref="AX196:CC196" si="305">(1+$J196)^(AX149-1)*AX55</f>
        <v>1.0609</v>
      </c>
      <c r="AY196" s="88">
        <f t="shared" si="305"/>
        <v>1.0609</v>
      </c>
      <c r="AZ196" s="88">
        <f t="shared" si="305"/>
        <v>1.0609</v>
      </c>
      <c r="BA196" s="88">
        <f t="shared" si="305"/>
        <v>1.0609</v>
      </c>
      <c r="BB196" s="88">
        <f t="shared" si="305"/>
        <v>1.0609</v>
      </c>
      <c r="BC196" s="88">
        <f t="shared" si="305"/>
        <v>1.0609</v>
      </c>
      <c r="BD196" s="88">
        <f t="shared" si="305"/>
        <v>1.0609</v>
      </c>
      <c r="BE196" s="88">
        <f t="shared" si="305"/>
        <v>1.092727</v>
      </c>
      <c r="BF196" s="88">
        <f t="shared" si="305"/>
        <v>1.092727</v>
      </c>
      <c r="BG196" s="88">
        <f t="shared" si="305"/>
        <v>1.092727</v>
      </c>
      <c r="BH196" s="88">
        <f t="shared" si="305"/>
        <v>1.092727</v>
      </c>
      <c r="BI196" s="88">
        <f t="shared" si="305"/>
        <v>1.092727</v>
      </c>
      <c r="BJ196" s="88">
        <f t="shared" si="305"/>
        <v>1.092727</v>
      </c>
      <c r="BK196" s="88">
        <f t="shared" si="305"/>
        <v>1.092727</v>
      </c>
      <c r="BL196" s="88">
        <f t="shared" si="305"/>
        <v>1.092727</v>
      </c>
      <c r="BM196" s="88">
        <f t="shared" si="305"/>
        <v>1.092727</v>
      </c>
      <c r="BN196" s="88">
        <f t="shared" si="305"/>
        <v>1.092727</v>
      </c>
      <c r="BO196" s="88">
        <f t="shared" si="305"/>
        <v>1.092727</v>
      </c>
      <c r="BP196" s="88">
        <f t="shared" si="305"/>
        <v>1.092727</v>
      </c>
      <c r="BQ196" s="88">
        <f t="shared" si="305"/>
        <v>1.1255088099999999</v>
      </c>
      <c r="BR196" s="88">
        <f t="shared" si="305"/>
        <v>1.1255088099999999</v>
      </c>
      <c r="BS196" s="88">
        <f t="shared" si="305"/>
        <v>1.1255088099999999</v>
      </c>
      <c r="BT196" s="88">
        <f t="shared" si="305"/>
        <v>1.1255088099999999</v>
      </c>
      <c r="BU196" s="88">
        <f t="shared" si="305"/>
        <v>1.1255088099999999</v>
      </c>
      <c r="BV196" s="88">
        <f t="shared" si="305"/>
        <v>1.1255088099999999</v>
      </c>
      <c r="BW196" s="88">
        <f t="shared" si="305"/>
        <v>1.1255088099999999</v>
      </c>
      <c r="BX196" s="88">
        <f t="shared" si="305"/>
        <v>1.1255088099999999</v>
      </c>
      <c r="BY196" s="88">
        <f t="shared" si="305"/>
        <v>1.1255088099999999</v>
      </c>
      <c r="BZ196" s="88">
        <f t="shared" si="305"/>
        <v>1.1255088099999999</v>
      </c>
      <c r="CA196" s="88">
        <f t="shared" si="305"/>
        <v>0</v>
      </c>
      <c r="CB196" s="88">
        <f t="shared" si="305"/>
        <v>0</v>
      </c>
      <c r="CC196" s="88">
        <f t="shared" si="305"/>
        <v>0</v>
      </c>
      <c r="CD196" s="88">
        <f t="shared" ref="CD196:DL196" si="306">(1+$J196)^(CD149-1)*CD55</f>
        <v>0</v>
      </c>
      <c r="CE196" s="88">
        <f t="shared" si="306"/>
        <v>0</v>
      </c>
      <c r="CF196" s="88">
        <f t="shared" si="306"/>
        <v>0</v>
      </c>
      <c r="CG196" s="88">
        <f t="shared" si="306"/>
        <v>0</v>
      </c>
      <c r="CH196" s="88">
        <f t="shared" si="306"/>
        <v>0</v>
      </c>
      <c r="CI196" s="88">
        <f t="shared" si="306"/>
        <v>0</v>
      </c>
      <c r="CJ196" s="88">
        <f t="shared" si="306"/>
        <v>0</v>
      </c>
      <c r="CK196" s="88">
        <f t="shared" si="306"/>
        <v>0</v>
      </c>
      <c r="CL196" s="88">
        <f t="shared" si="306"/>
        <v>0</v>
      </c>
      <c r="CM196" s="88">
        <f t="shared" si="306"/>
        <v>0</v>
      </c>
      <c r="CN196" s="88">
        <f t="shared" si="306"/>
        <v>0</v>
      </c>
      <c r="CO196" s="88">
        <f t="shared" si="306"/>
        <v>0</v>
      </c>
      <c r="CP196" s="88">
        <f t="shared" si="306"/>
        <v>0</v>
      </c>
      <c r="CQ196" s="88">
        <f t="shared" si="306"/>
        <v>0</v>
      </c>
      <c r="CR196" s="88">
        <f t="shared" si="306"/>
        <v>0</v>
      </c>
      <c r="CS196" s="88">
        <f t="shared" si="306"/>
        <v>0</v>
      </c>
      <c r="CT196" s="88">
        <f t="shared" si="306"/>
        <v>0</v>
      </c>
      <c r="CU196" s="88">
        <f t="shared" si="306"/>
        <v>0</v>
      </c>
      <c r="CV196" s="88">
        <f t="shared" si="306"/>
        <v>0</v>
      </c>
      <c r="CW196" s="88">
        <f t="shared" si="306"/>
        <v>0</v>
      </c>
      <c r="CX196" s="88">
        <f t="shared" si="306"/>
        <v>0</v>
      </c>
      <c r="CY196" s="88">
        <f t="shared" si="306"/>
        <v>0</v>
      </c>
      <c r="CZ196" s="88">
        <f t="shared" si="306"/>
        <v>0</v>
      </c>
      <c r="DA196" s="88">
        <f t="shared" si="306"/>
        <v>0</v>
      </c>
      <c r="DB196" s="88">
        <f t="shared" si="306"/>
        <v>0</v>
      </c>
      <c r="DC196" s="88">
        <f t="shared" si="306"/>
        <v>0</v>
      </c>
      <c r="DD196" s="88">
        <f t="shared" si="306"/>
        <v>0</v>
      </c>
      <c r="DE196" s="88">
        <f t="shared" si="306"/>
        <v>0</v>
      </c>
      <c r="DF196" s="88">
        <f t="shared" si="306"/>
        <v>0</v>
      </c>
      <c r="DG196" s="88">
        <f t="shared" si="306"/>
        <v>0</v>
      </c>
      <c r="DH196" s="88">
        <f t="shared" si="306"/>
        <v>0</v>
      </c>
      <c r="DI196" s="88">
        <f t="shared" si="306"/>
        <v>0</v>
      </c>
      <c r="DJ196" s="88">
        <f t="shared" si="306"/>
        <v>0</v>
      </c>
      <c r="DK196" s="88">
        <f t="shared" si="306"/>
        <v>0</v>
      </c>
      <c r="DL196" s="88">
        <f t="shared" si="306"/>
        <v>0</v>
      </c>
    </row>
    <row r="197" spans="2:116">
      <c r="B197" s="27" t="str">
        <f>Rentroll!$C$54</f>
        <v>203호</v>
      </c>
      <c r="C197" s="69" t="str">
        <f>VLOOKUP($B197,Rentroll!$C$37:$Z$60,3,FALSE)</f>
        <v>주 052</v>
      </c>
      <c r="D197" s="80">
        <f>VLOOKUP($B197,Rentroll!$C$37:$Z$60,9,FALSE)</f>
        <v>45747</v>
      </c>
      <c r="E197" s="80">
        <f>VLOOKUP($B197,Rentroll!$C$37:$Z$60,10,FALSE)</f>
        <v>47573</v>
      </c>
      <c r="F197" s="81">
        <f>VLOOKUP($B197,Rentroll!$C$37:$Z$60,11,FALSE)</f>
        <v>60</v>
      </c>
      <c r="G197" s="69">
        <f>VLOOKUP($B197,Rentroll!$C$37:$Z$60,13,FALSE)</f>
        <v>130000</v>
      </c>
      <c r="H197" s="69">
        <f>VLOOKUP($B197,Rentroll!$C$37:$Z$60,14,FALSE)</f>
        <v>130000</v>
      </c>
      <c r="I197" s="69">
        <f>VLOOKUP($B197,Rentroll!$C$37:$Z$60,15,FALSE)</f>
        <v>45000</v>
      </c>
      <c r="J197" s="82">
        <f>VLOOKUP($B197,Rentroll!$C$37:$Z$60,19,FALSE)</f>
        <v>0.03</v>
      </c>
      <c r="K197" s="83">
        <f>VLOOKUP($B197,Rentroll!$C$37:$Z$60,4,FALSE)</f>
        <v>346.27249999999998</v>
      </c>
      <c r="L197" s="81">
        <f>VLOOKUP($B197,Rentroll!$C$37:$Z$60,17,FALSE)</f>
        <v>2</v>
      </c>
      <c r="M197" s="84">
        <f>VLOOKUP($B197,Rentroll!$C$37:$Z$60,18,FALSE)</f>
        <v>0</v>
      </c>
      <c r="O197" s="74" t="str">
        <f t="shared" si="258"/>
        <v>203호</v>
      </c>
      <c r="P197" s="75"/>
      <c r="Q197" s="75"/>
      <c r="R197" s="88">
        <f t="shared" ref="R197:AW197" si="307">(1+$J197)^(R150-1)*R56</f>
        <v>0</v>
      </c>
      <c r="S197" s="88">
        <f t="shared" si="307"/>
        <v>0</v>
      </c>
      <c r="T197" s="88">
        <f t="shared" si="307"/>
        <v>0</v>
      </c>
      <c r="U197" s="88">
        <f t="shared" si="307"/>
        <v>1</v>
      </c>
      <c r="V197" s="88">
        <f t="shared" si="307"/>
        <v>1</v>
      </c>
      <c r="W197" s="88">
        <f t="shared" si="307"/>
        <v>1</v>
      </c>
      <c r="X197" s="88">
        <f t="shared" si="307"/>
        <v>1</v>
      </c>
      <c r="Y197" s="88">
        <f t="shared" si="307"/>
        <v>1</v>
      </c>
      <c r="Z197" s="88">
        <f t="shared" si="307"/>
        <v>1</v>
      </c>
      <c r="AA197" s="88">
        <f t="shared" si="307"/>
        <v>1</v>
      </c>
      <c r="AB197" s="88">
        <f t="shared" si="307"/>
        <v>1</v>
      </c>
      <c r="AC197" s="88">
        <f t="shared" si="307"/>
        <v>1</v>
      </c>
      <c r="AD197" s="88">
        <f t="shared" si="307"/>
        <v>1</v>
      </c>
      <c r="AE197" s="88">
        <f t="shared" si="307"/>
        <v>1</v>
      </c>
      <c r="AF197" s="88">
        <f t="shared" si="307"/>
        <v>1</v>
      </c>
      <c r="AG197" s="88">
        <f t="shared" si="307"/>
        <v>1.03</v>
      </c>
      <c r="AH197" s="88">
        <f t="shared" si="307"/>
        <v>1.03</v>
      </c>
      <c r="AI197" s="88">
        <f t="shared" si="307"/>
        <v>1.03</v>
      </c>
      <c r="AJ197" s="88">
        <f t="shared" si="307"/>
        <v>1.03</v>
      </c>
      <c r="AK197" s="88">
        <f t="shared" si="307"/>
        <v>1.03</v>
      </c>
      <c r="AL197" s="88">
        <f t="shared" si="307"/>
        <v>1.03</v>
      </c>
      <c r="AM197" s="88">
        <f t="shared" si="307"/>
        <v>1.03</v>
      </c>
      <c r="AN197" s="88">
        <f t="shared" si="307"/>
        <v>1.03</v>
      </c>
      <c r="AO197" s="88">
        <f t="shared" si="307"/>
        <v>1.03</v>
      </c>
      <c r="AP197" s="88">
        <f t="shared" si="307"/>
        <v>1.03</v>
      </c>
      <c r="AQ197" s="88">
        <f t="shared" si="307"/>
        <v>1.03</v>
      </c>
      <c r="AR197" s="88">
        <f t="shared" si="307"/>
        <v>1.03</v>
      </c>
      <c r="AS197" s="88">
        <f t="shared" si="307"/>
        <v>1.0609</v>
      </c>
      <c r="AT197" s="88">
        <f t="shared" si="307"/>
        <v>1.0609</v>
      </c>
      <c r="AU197" s="88">
        <f t="shared" si="307"/>
        <v>1.0609</v>
      </c>
      <c r="AV197" s="88">
        <f t="shared" si="307"/>
        <v>1.0609</v>
      </c>
      <c r="AW197" s="88">
        <f t="shared" si="307"/>
        <v>1.0609</v>
      </c>
      <c r="AX197" s="88">
        <f t="shared" ref="AX197:CC197" si="308">(1+$J197)^(AX150-1)*AX56</f>
        <v>1.0609</v>
      </c>
      <c r="AY197" s="88">
        <f t="shared" si="308"/>
        <v>1.0609</v>
      </c>
      <c r="AZ197" s="88">
        <f t="shared" si="308"/>
        <v>1.0609</v>
      </c>
      <c r="BA197" s="88">
        <f t="shared" si="308"/>
        <v>1.0609</v>
      </c>
      <c r="BB197" s="88">
        <f t="shared" si="308"/>
        <v>1.0609</v>
      </c>
      <c r="BC197" s="88">
        <f t="shared" si="308"/>
        <v>1.0609</v>
      </c>
      <c r="BD197" s="88">
        <f t="shared" si="308"/>
        <v>1.0609</v>
      </c>
      <c r="BE197" s="88">
        <f t="shared" si="308"/>
        <v>1.092727</v>
      </c>
      <c r="BF197" s="88">
        <f t="shared" si="308"/>
        <v>1.092727</v>
      </c>
      <c r="BG197" s="88">
        <f t="shared" si="308"/>
        <v>1.092727</v>
      </c>
      <c r="BH197" s="88">
        <f t="shared" si="308"/>
        <v>1.092727</v>
      </c>
      <c r="BI197" s="88">
        <f t="shared" si="308"/>
        <v>1.092727</v>
      </c>
      <c r="BJ197" s="88">
        <f t="shared" si="308"/>
        <v>1.092727</v>
      </c>
      <c r="BK197" s="88">
        <f t="shared" si="308"/>
        <v>1.092727</v>
      </c>
      <c r="BL197" s="88">
        <f t="shared" si="308"/>
        <v>1.092727</v>
      </c>
      <c r="BM197" s="88">
        <f t="shared" si="308"/>
        <v>1.092727</v>
      </c>
      <c r="BN197" s="88">
        <f t="shared" si="308"/>
        <v>1.092727</v>
      </c>
      <c r="BO197" s="88">
        <f t="shared" si="308"/>
        <v>1.092727</v>
      </c>
      <c r="BP197" s="88">
        <f t="shared" si="308"/>
        <v>1.092727</v>
      </c>
      <c r="BQ197" s="88">
        <f t="shared" si="308"/>
        <v>1.1255088099999999</v>
      </c>
      <c r="BR197" s="88">
        <f t="shared" si="308"/>
        <v>1.1255088099999999</v>
      </c>
      <c r="BS197" s="88">
        <f t="shared" si="308"/>
        <v>1.1255088099999999</v>
      </c>
      <c r="BT197" s="88">
        <f t="shared" si="308"/>
        <v>1.1255088099999999</v>
      </c>
      <c r="BU197" s="88">
        <f t="shared" si="308"/>
        <v>1.1255088099999999</v>
      </c>
      <c r="BV197" s="88">
        <f t="shared" si="308"/>
        <v>1.1255088099999999</v>
      </c>
      <c r="BW197" s="88">
        <f t="shared" si="308"/>
        <v>1.1255088099999999</v>
      </c>
      <c r="BX197" s="88">
        <f t="shared" si="308"/>
        <v>1.1255088099999999</v>
      </c>
      <c r="BY197" s="88">
        <f t="shared" si="308"/>
        <v>1.1255088099999999</v>
      </c>
      <c r="BZ197" s="88">
        <f t="shared" si="308"/>
        <v>1.1255088099999999</v>
      </c>
      <c r="CA197" s="88">
        <f t="shared" si="308"/>
        <v>0</v>
      </c>
      <c r="CB197" s="88">
        <f t="shared" si="308"/>
        <v>0</v>
      </c>
      <c r="CC197" s="88">
        <f t="shared" si="308"/>
        <v>0</v>
      </c>
      <c r="CD197" s="88">
        <f t="shared" ref="CD197:DL197" si="309">(1+$J197)^(CD150-1)*CD56</f>
        <v>0</v>
      </c>
      <c r="CE197" s="88">
        <f t="shared" si="309"/>
        <v>0</v>
      </c>
      <c r="CF197" s="88">
        <f t="shared" si="309"/>
        <v>0</v>
      </c>
      <c r="CG197" s="88">
        <f t="shared" si="309"/>
        <v>0</v>
      </c>
      <c r="CH197" s="88">
        <f t="shared" si="309"/>
        <v>0</v>
      </c>
      <c r="CI197" s="88">
        <f t="shared" si="309"/>
        <v>0</v>
      </c>
      <c r="CJ197" s="88">
        <f t="shared" si="309"/>
        <v>0</v>
      </c>
      <c r="CK197" s="88">
        <f t="shared" si="309"/>
        <v>0</v>
      </c>
      <c r="CL197" s="88">
        <f t="shared" si="309"/>
        <v>0</v>
      </c>
      <c r="CM197" s="88">
        <f t="shared" si="309"/>
        <v>0</v>
      </c>
      <c r="CN197" s="88">
        <f t="shared" si="309"/>
        <v>0</v>
      </c>
      <c r="CO197" s="88">
        <f t="shared" si="309"/>
        <v>0</v>
      </c>
      <c r="CP197" s="88">
        <f t="shared" si="309"/>
        <v>0</v>
      </c>
      <c r="CQ197" s="88">
        <f t="shared" si="309"/>
        <v>0</v>
      </c>
      <c r="CR197" s="88">
        <f t="shared" si="309"/>
        <v>0</v>
      </c>
      <c r="CS197" s="88">
        <f t="shared" si="309"/>
        <v>0</v>
      </c>
      <c r="CT197" s="88">
        <f t="shared" si="309"/>
        <v>0</v>
      </c>
      <c r="CU197" s="88">
        <f t="shared" si="309"/>
        <v>0</v>
      </c>
      <c r="CV197" s="88">
        <f t="shared" si="309"/>
        <v>0</v>
      </c>
      <c r="CW197" s="88">
        <f t="shared" si="309"/>
        <v>0</v>
      </c>
      <c r="CX197" s="88">
        <f t="shared" si="309"/>
        <v>0</v>
      </c>
      <c r="CY197" s="88">
        <f t="shared" si="309"/>
        <v>0</v>
      </c>
      <c r="CZ197" s="88">
        <f t="shared" si="309"/>
        <v>0</v>
      </c>
      <c r="DA197" s="88">
        <f t="shared" si="309"/>
        <v>0</v>
      </c>
      <c r="DB197" s="88">
        <f t="shared" si="309"/>
        <v>0</v>
      </c>
      <c r="DC197" s="88">
        <f t="shared" si="309"/>
        <v>0</v>
      </c>
      <c r="DD197" s="88">
        <f t="shared" si="309"/>
        <v>0</v>
      </c>
      <c r="DE197" s="88">
        <f t="shared" si="309"/>
        <v>0</v>
      </c>
      <c r="DF197" s="88">
        <f t="shared" si="309"/>
        <v>0</v>
      </c>
      <c r="DG197" s="88">
        <f t="shared" si="309"/>
        <v>0</v>
      </c>
      <c r="DH197" s="88">
        <f t="shared" si="309"/>
        <v>0</v>
      </c>
      <c r="DI197" s="88">
        <f t="shared" si="309"/>
        <v>0</v>
      </c>
      <c r="DJ197" s="88">
        <f t="shared" si="309"/>
        <v>0</v>
      </c>
      <c r="DK197" s="88">
        <f t="shared" si="309"/>
        <v>0</v>
      </c>
      <c r="DL197" s="88">
        <f t="shared" si="309"/>
        <v>0</v>
      </c>
    </row>
    <row r="198" spans="2:116">
      <c r="B198" s="27" t="str">
        <f>Rentroll!$C$55</f>
        <v>204호</v>
      </c>
      <c r="C198" s="69" t="str">
        <f>VLOOKUP($B198,Rentroll!$C$37:$Z$60,3,FALSE)</f>
        <v>바이닐 청계</v>
      </c>
      <c r="D198" s="80">
        <f>VLOOKUP($B198,Rentroll!$C$37:$Z$60,9,FALSE)</f>
        <v>45747</v>
      </c>
      <c r="E198" s="80">
        <f>VLOOKUP($B198,Rentroll!$C$37:$Z$60,10,FALSE)</f>
        <v>47573</v>
      </c>
      <c r="F198" s="81">
        <f>VLOOKUP($B198,Rentroll!$C$37:$Z$60,11,FALSE)</f>
        <v>60</v>
      </c>
      <c r="G198" s="69">
        <f>VLOOKUP($B198,Rentroll!$C$37:$Z$60,13,FALSE)</f>
        <v>130000</v>
      </c>
      <c r="H198" s="69">
        <f>VLOOKUP($B198,Rentroll!$C$37:$Z$60,14,FALSE)</f>
        <v>130000</v>
      </c>
      <c r="I198" s="69">
        <f>VLOOKUP($B198,Rentroll!$C$37:$Z$60,15,FALSE)</f>
        <v>45000</v>
      </c>
      <c r="J198" s="82">
        <f>VLOOKUP($B198,Rentroll!$C$37:$Z$60,19,FALSE)</f>
        <v>0.03</v>
      </c>
      <c r="K198" s="83">
        <f>VLOOKUP($B198,Rentroll!$C$37:$Z$60,4,FALSE)</f>
        <v>346.27249999999998</v>
      </c>
      <c r="L198" s="81">
        <f>VLOOKUP($B198,Rentroll!$C$37:$Z$60,17,FALSE)</f>
        <v>2</v>
      </c>
      <c r="M198" s="84">
        <f>VLOOKUP($B198,Rentroll!$C$37:$Z$60,18,FALSE)</f>
        <v>0</v>
      </c>
      <c r="O198" s="26" t="str">
        <f t="shared" si="258"/>
        <v>204호</v>
      </c>
      <c r="P198" s="76"/>
      <c r="Q198" s="76"/>
      <c r="R198" s="89">
        <f t="shared" ref="R198:AW198" si="310">(1+$J198)^(R151-1)*R57</f>
        <v>0</v>
      </c>
      <c r="S198" s="89">
        <f t="shared" si="310"/>
        <v>0</v>
      </c>
      <c r="T198" s="89">
        <f t="shared" si="310"/>
        <v>0</v>
      </c>
      <c r="U198" s="89">
        <f t="shared" si="310"/>
        <v>1</v>
      </c>
      <c r="V198" s="89">
        <f t="shared" si="310"/>
        <v>1</v>
      </c>
      <c r="W198" s="89">
        <f t="shared" si="310"/>
        <v>1</v>
      </c>
      <c r="X198" s="89">
        <f t="shared" si="310"/>
        <v>1</v>
      </c>
      <c r="Y198" s="89">
        <f t="shared" si="310"/>
        <v>1</v>
      </c>
      <c r="Z198" s="89">
        <f t="shared" si="310"/>
        <v>1</v>
      </c>
      <c r="AA198" s="89">
        <f t="shared" si="310"/>
        <v>1</v>
      </c>
      <c r="AB198" s="89">
        <f t="shared" si="310"/>
        <v>1</v>
      </c>
      <c r="AC198" s="89">
        <f t="shared" si="310"/>
        <v>1</v>
      </c>
      <c r="AD198" s="89">
        <f t="shared" si="310"/>
        <v>1</v>
      </c>
      <c r="AE198" s="89">
        <f t="shared" si="310"/>
        <v>1</v>
      </c>
      <c r="AF198" s="89">
        <f t="shared" si="310"/>
        <v>1</v>
      </c>
      <c r="AG198" s="89">
        <f t="shared" si="310"/>
        <v>1.03</v>
      </c>
      <c r="AH198" s="89">
        <f t="shared" si="310"/>
        <v>1.03</v>
      </c>
      <c r="AI198" s="89">
        <f t="shared" si="310"/>
        <v>1.03</v>
      </c>
      <c r="AJ198" s="89">
        <f t="shared" si="310"/>
        <v>1.03</v>
      </c>
      <c r="AK198" s="89">
        <f t="shared" si="310"/>
        <v>1.03</v>
      </c>
      <c r="AL198" s="89">
        <f t="shared" si="310"/>
        <v>1.03</v>
      </c>
      <c r="AM198" s="89">
        <f t="shared" si="310"/>
        <v>1.03</v>
      </c>
      <c r="AN198" s="89">
        <f t="shared" si="310"/>
        <v>1.03</v>
      </c>
      <c r="AO198" s="89">
        <f t="shared" si="310"/>
        <v>1.03</v>
      </c>
      <c r="AP198" s="89">
        <f t="shared" si="310"/>
        <v>1.03</v>
      </c>
      <c r="AQ198" s="89">
        <f t="shared" si="310"/>
        <v>1.03</v>
      </c>
      <c r="AR198" s="89">
        <f t="shared" si="310"/>
        <v>1.03</v>
      </c>
      <c r="AS198" s="89">
        <f t="shared" si="310"/>
        <v>1.0609</v>
      </c>
      <c r="AT198" s="89">
        <f t="shared" si="310"/>
        <v>1.0609</v>
      </c>
      <c r="AU198" s="89">
        <f t="shared" si="310"/>
        <v>1.0609</v>
      </c>
      <c r="AV198" s="89">
        <f t="shared" si="310"/>
        <v>1.0609</v>
      </c>
      <c r="AW198" s="89">
        <f t="shared" si="310"/>
        <v>1.0609</v>
      </c>
      <c r="AX198" s="89">
        <f t="shared" ref="AX198:CC198" si="311">(1+$J198)^(AX151-1)*AX57</f>
        <v>1.0609</v>
      </c>
      <c r="AY198" s="89">
        <f t="shared" si="311"/>
        <v>1.0609</v>
      </c>
      <c r="AZ198" s="89">
        <f t="shared" si="311"/>
        <v>1.0609</v>
      </c>
      <c r="BA198" s="89">
        <f t="shared" si="311"/>
        <v>1.0609</v>
      </c>
      <c r="BB198" s="89">
        <f t="shared" si="311"/>
        <v>1.0609</v>
      </c>
      <c r="BC198" s="89">
        <f t="shared" si="311"/>
        <v>1.0609</v>
      </c>
      <c r="BD198" s="89">
        <f t="shared" si="311"/>
        <v>1.0609</v>
      </c>
      <c r="BE198" s="89">
        <f t="shared" si="311"/>
        <v>1.092727</v>
      </c>
      <c r="BF198" s="89">
        <f t="shared" si="311"/>
        <v>1.092727</v>
      </c>
      <c r="BG198" s="89">
        <f t="shared" si="311"/>
        <v>1.092727</v>
      </c>
      <c r="BH198" s="89">
        <f t="shared" si="311"/>
        <v>1.092727</v>
      </c>
      <c r="BI198" s="89">
        <f t="shared" si="311"/>
        <v>1.092727</v>
      </c>
      <c r="BJ198" s="89">
        <f t="shared" si="311"/>
        <v>1.092727</v>
      </c>
      <c r="BK198" s="89">
        <f t="shared" si="311"/>
        <v>1.092727</v>
      </c>
      <c r="BL198" s="89">
        <f t="shared" si="311"/>
        <v>1.092727</v>
      </c>
      <c r="BM198" s="89">
        <f t="shared" si="311"/>
        <v>1.092727</v>
      </c>
      <c r="BN198" s="89">
        <f t="shared" si="311"/>
        <v>1.092727</v>
      </c>
      <c r="BO198" s="89">
        <f t="shared" si="311"/>
        <v>1.092727</v>
      </c>
      <c r="BP198" s="89">
        <f t="shared" si="311"/>
        <v>1.092727</v>
      </c>
      <c r="BQ198" s="89">
        <f t="shared" si="311"/>
        <v>1.1255088099999999</v>
      </c>
      <c r="BR198" s="89">
        <f t="shared" si="311"/>
        <v>1.1255088099999999</v>
      </c>
      <c r="BS198" s="89">
        <f t="shared" si="311"/>
        <v>1.1255088099999999</v>
      </c>
      <c r="BT198" s="89">
        <f t="shared" si="311"/>
        <v>1.1255088099999999</v>
      </c>
      <c r="BU198" s="89">
        <f t="shared" si="311"/>
        <v>1.1255088099999999</v>
      </c>
      <c r="BV198" s="89">
        <f t="shared" si="311"/>
        <v>1.1255088099999999</v>
      </c>
      <c r="BW198" s="89">
        <f t="shared" si="311"/>
        <v>1.1255088099999999</v>
      </c>
      <c r="BX198" s="89">
        <f t="shared" si="311"/>
        <v>1.1255088099999999</v>
      </c>
      <c r="BY198" s="89">
        <f t="shared" si="311"/>
        <v>1.1255088099999999</v>
      </c>
      <c r="BZ198" s="89">
        <f t="shared" si="311"/>
        <v>1.1255088099999999</v>
      </c>
      <c r="CA198" s="89">
        <f t="shared" si="311"/>
        <v>0</v>
      </c>
      <c r="CB198" s="89">
        <f t="shared" si="311"/>
        <v>0</v>
      </c>
      <c r="CC198" s="89">
        <f t="shared" si="311"/>
        <v>0</v>
      </c>
      <c r="CD198" s="89">
        <f t="shared" ref="CD198:DL198" si="312">(1+$J198)^(CD151-1)*CD57</f>
        <v>0</v>
      </c>
      <c r="CE198" s="89">
        <f t="shared" si="312"/>
        <v>0</v>
      </c>
      <c r="CF198" s="89">
        <f t="shared" si="312"/>
        <v>0</v>
      </c>
      <c r="CG198" s="89">
        <f t="shared" si="312"/>
        <v>0</v>
      </c>
      <c r="CH198" s="89">
        <f t="shared" si="312"/>
        <v>0</v>
      </c>
      <c r="CI198" s="89">
        <f t="shared" si="312"/>
        <v>0</v>
      </c>
      <c r="CJ198" s="89">
        <f t="shared" si="312"/>
        <v>0</v>
      </c>
      <c r="CK198" s="89">
        <f t="shared" si="312"/>
        <v>0</v>
      </c>
      <c r="CL198" s="89">
        <f t="shared" si="312"/>
        <v>0</v>
      </c>
      <c r="CM198" s="89">
        <f t="shared" si="312"/>
        <v>0</v>
      </c>
      <c r="CN198" s="89">
        <f t="shared" si="312"/>
        <v>0</v>
      </c>
      <c r="CO198" s="89">
        <f t="shared" si="312"/>
        <v>0</v>
      </c>
      <c r="CP198" s="89">
        <f t="shared" si="312"/>
        <v>0</v>
      </c>
      <c r="CQ198" s="89">
        <f t="shared" si="312"/>
        <v>0</v>
      </c>
      <c r="CR198" s="89">
        <f t="shared" si="312"/>
        <v>0</v>
      </c>
      <c r="CS198" s="89">
        <f t="shared" si="312"/>
        <v>0</v>
      </c>
      <c r="CT198" s="89">
        <f t="shared" si="312"/>
        <v>0</v>
      </c>
      <c r="CU198" s="89">
        <f t="shared" si="312"/>
        <v>0</v>
      </c>
      <c r="CV198" s="89">
        <f t="shared" si="312"/>
        <v>0</v>
      </c>
      <c r="CW198" s="89">
        <f t="shared" si="312"/>
        <v>0</v>
      </c>
      <c r="CX198" s="89">
        <f t="shared" si="312"/>
        <v>0</v>
      </c>
      <c r="CY198" s="89">
        <f t="shared" si="312"/>
        <v>0</v>
      </c>
      <c r="CZ198" s="89">
        <f t="shared" si="312"/>
        <v>0</v>
      </c>
      <c r="DA198" s="89">
        <f t="shared" si="312"/>
        <v>0</v>
      </c>
      <c r="DB198" s="89">
        <f t="shared" si="312"/>
        <v>0</v>
      </c>
      <c r="DC198" s="89">
        <f t="shared" si="312"/>
        <v>0</v>
      </c>
      <c r="DD198" s="89">
        <f t="shared" si="312"/>
        <v>0</v>
      </c>
      <c r="DE198" s="89">
        <f t="shared" si="312"/>
        <v>0</v>
      </c>
      <c r="DF198" s="89">
        <f t="shared" si="312"/>
        <v>0</v>
      </c>
      <c r="DG198" s="89">
        <f t="shared" si="312"/>
        <v>0</v>
      </c>
      <c r="DH198" s="89">
        <f t="shared" si="312"/>
        <v>0</v>
      </c>
      <c r="DI198" s="89">
        <f t="shared" si="312"/>
        <v>0</v>
      </c>
      <c r="DJ198" s="89">
        <f t="shared" si="312"/>
        <v>0</v>
      </c>
      <c r="DK198" s="89">
        <f t="shared" si="312"/>
        <v>0</v>
      </c>
      <c r="DL198" s="89">
        <f t="shared" si="312"/>
        <v>0</v>
      </c>
    </row>
    <row r="199" spans="2:116">
      <c r="B199" s="28" t="str">
        <f>Rentroll!$C$56</f>
        <v>101호</v>
      </c>
      <c r="C199" s="69" t="str">
        <f>VLOOKUP($B199,Rentroll!$C$37:$Z$60,3,FALSE)</f>
        <v>카페 1리터</v>
      </c>
      <c r="D199" s="80">
        <f>VLOOKUP($B199,Rentroll!$C$37:$Z$60,9,FALSE)</f>
        <v>45838</v>
      </c>
      <c r="E199" s="80">
        <f>VLOOKUP($B199,Rentroll!$C$37:$Z$60,10,FALSE)</f>
        <v>47634</v>
      </c>
      <c r="F199" s="81">
        <f>VLOOKUP($B199,Rentroll!$C$37:$Z$60,11,FALSE)</f>
        <v>60</v>
      </c>
      <c r="G199" s="69">
        <f>VLOOKUP($B199,Rentroll!$C$37:$Z$60,13,FALSE)</f>
        <v>150000</v>
      </c>
      <c r="H199" s="69">
        <f>VLOOKUP($B199,Rentroll!$C$37:$Z$60,14,FALSE)</f>
        <v>150000</v>
      </c>
      <c r="I199" s="69">
        <f>VLOOKUP($B199,Rentroll!$C$37:$Z$60,15,FALSE)</f>
        <v>45000</v>
      </c>
      <c r="J199" s="82">
        <f>VLOOKUP($B199,Rentroll!$C$37:$Z$60,19,FALSE)</f>
        <v>0.03</v>
      </c>
      <c r="K199" s="83">
        <f>VLOOKUP($B199,Rentroll!$C$37:$Z$60,4,FALSE)</f>
        <v>484.78</v>
      </c>
      <c r="L199" s="81">
        <f>VLOOKUP($B199,Rentroll!$C$37:$Z$60,17,FALSE)</f>
        <v>1</v>
      </c>
      <c r="M199" s="84">
        <f>VLOOKUP($B199,Rentroll!$C$37:$Z$60,18,FALSE)</f>
        <v>0</v>
      </c>
      <c r="O199" s="74" t="str">
        <f t="shared" ref="O199:O203" si="313">B199</f>
        <v>101호</v>
      </c>
      <c r="P199" s="75"/>
      <c r="Q199" s="75"/>
      <c r="R199" s="88">
        <f t="shared" ref="R199:CC199" si="314">(1+$J199)^(R152-1)*R58</f>
        <v>0</v>
      </c>
      <c r="S199" s="88">
        <f t="shared" si="314"/>
        <v>0</v>
      </c>
      <c r="T199" s="88">
        <f t="shared" si="314"/>
        <v>0</v>
      </c>
      <c r="U199" s="88">
        <f t="shared" si="314"/>
        <v>0</v>
      </c>
      <c r="V199" s="88">
        <f t="shared" si="314"/>
        <v>0</v>
      </c>
      <c r="W199" s="88">
        <f t="shared" si="314"/>
        <v>0</v>
      </c>
      <c r="X199" s="88">
        <f t="shared" si="314"/>
        <v>1</v>
      </c>
      <c r="Y199" s="88">
        <f t="shared" si="314"/>
        <v>1</v>
      </c>
      <c r="Z199" s="88">
        <f t="shared" si="314"/>
        <v>1</v>
      </c>
      <c r="AA199" s="88">
        <f t="shared" si="314"/>
        <v>1</v>
      </c>
      <c r="AB199" s="88">
        <f t="shared" si="314"/>
        <v>1</v>
      </c>
      <c r="AC199" s="88">
        <f t="shared" si="314"/>
        <v>1</v>
      </c>
      <c r="AD199" s="88">
        <f t="shared" si="314"/>
        <v>1</v>
      </c>
      <c r="AE199" s="88">
        <f t="shared" si="314"/>
        <v>1</v>
      </c>
      <c r="AF199" s="88">
        <f t="shared" si="314"/>
        <v>1</v>
      </c>
      <c r="AG199" s="88">
        <f t="shared" si="314"/>
        <v>1</v>
      </c>
      <c r="AH199" s="88">
        <f t="shared" si="314"/>
        <v>1</v>
      </c>
      <c r="AI199" s="88">
        <f t="shared" si="314"/>
        <v>1</v>
      </c>
      <c r="AJ199" s="88">
        <f t="shared" si="314"/>
        <v>1.03</v>
      </c>
      <c r="AK199" s="88">
        <f t="shared" si="314"/>
        <v>1.03</v>
      </c>
      <c r="AL199" s="88">
        <f t="shared" si="314"/>
        <v>1.03</v>
      </c>
      <c r="AM199" s="88">
        <f t="shared" si="314"/>
        <v>1.03</v>
      </c>
      <c r="AN199" s="88">
        <f t="shared" si="314"/>
        <v>1.03</v>
      </c>
      <c r="AO199" s="88">
        <f t="shared" si="314"/>
        <v>1.03</v>
      </c>
      <c r="AP199" s="88">
        <f t="shared" si="314"/>
        <v>1.03</v>
      </c>
      <c r="AQ199" s="88">
        <f t="shared" si="314"/>
        <v>1.03</v>
      </c>
      <c r="AR199" s="88">
        <f t="shared" si="314"/>
        <v>1.03</v>
      </c>
      <c r="AS199" s="88">
        <f t="shared" si="314"/>
        <v>1.03</v>
      </c>
      <c r="AT199" s="88">
        <f t="shared" si="314"/>
        <v>1.03</v>
      </c>
      <c r="AU199" s="88">
        <f t="shared" si="314"/>
        <v>1.03</v>
      </c>
      <c r="AV199" s="88">
        <f t="shared" si="314"/>
        <v>1.0609</v>
      </c>
      <c r="AW199" s="88">
        <f t="shared" si="314"/>
        <v>1.0609</v>
      </c>
      <c r="AX199" s="88">
        <f t="shared" si="314"/>
        <v>1.0609</v>
      </c>
      <c r="AY199" s="88">
        <f t="shared" si="314"/>
        <v>1.0609</v>
      </c>
      <c r="AZ199" s="88">
        <f t="shared" si="314"/>
        <v>1.0609</v>
      </c>
      <c r="BA199" s="88">
        <f t="shared" si="314"/>
        <v>1.0609</v>
      </c>
      <c r="BB199" s="88">
        <f t="shared" si="314"/>
        <v>1.0609</v>
      </c>
      <c r="BC199" s="88">
        <f t="shared" si="314"/>
        <v>1.0609</v>
      </c>
      <c r="BD199" s="88">
        <f t="shared" si="314"/>
        <v>1.0609</v>
      </c>
      <c r="BE199" s="88">
        <f t="shared" si="314"/>
        <v>1.0609</v>
      </c>
      <c r="BF199" s="88">
        <f t="shared" si="314"/>
        <v>1.0609</v>
      </c>
      <c r="BG199" s="88">
        <f t="shared" si="314"/>
        <v>1.0609</v>
      </c>
      <c r="BH199" s="88">
        <f t="shared" si="314"/>
        <v>1.092727</v>
      </c>
      <c r="BI199" s="88">
        <f t="shared" si="314"/>
        <v>1.092727</v>
      </c>
      <c r="BJ199" s="88">
        <f t="shared" si="314"/>
        <v>1.092727</v>
      </c>
      <c r="BK199" s="88">
        <f t="shared" si="314"/>
        <v>1.092727</v>
      </c>
      <c r="BL199" s="88">
        <f t="shared" si="314"/>
        <v>1.092727</v>
      </c>
      <c r="BM199" s="88">
        <f t="shared" si="314"/>
        <v>1.092727</v>
      </c>
      <c r="BN199" s="88">
        <f t="shared" si="314"/>
        <v>1.092727</v>
      </c>
      <c r="BO199" s="88">
        <f t="shared" si="314"/>
        <v>1.092727</v>
      </c>
      <c r="BP199" s="88">
        <f t="shared" si="314"/>
        <v>1.092727</v>
      </c>
      <c r="BQ199" s="88">
        <f t="shared" si="314"/>
        <v>1.092727</v>
      </c>
      <c r="BR199" s="88">
        <f t="shared" si="314"/>
        <v>1.092727</v>
      </c>
      <c r="BS199" s="88">
        <f t="shared" si="314"/>
        <v>1.092727</v>
      </c>
      <c r="BT199" s="88">
        <f t="shared" si="314"/>
        <v>1.1255088099999999</v>
      </c>
      <c r="BU199" s="88">
        <f t="shared" si="314"/>
        <v>1.1255088099999999</v>
      </c>
      <c r="BV199" s="88">
        <f t="shared" si="314"/>
        <v>1.1255088099999999</v>
      </c>
      <c r="BW199" s="88">
        <f t="shared" si="314"/>
        <v>1.1255088099999999</v>
      </c>
      <c r="BX199" s="88">
        <f t="shared" si="314"/>
        <v>1.1255088099999999</v>
      </c>
      <c r="BY199" s="88">
        <f t="shared" si="314"/>
        <v>1.1255088099999999</v>
      </c>
      <c r="BZ199" s="88">
        <f t="shared" si="314"/>
        <v>1.1255088099999999</v>
      </c>
      <c r="CA199" s="88">
        <f t="shared" si="314"/>
        <v>0</v>
      </c>
      <c r="CB199" s="88">
        <f t="shared" si="314"/>
        <v>0</v>
      </c>
      <c r="CC199" s="88">
        <f t="shared" si="314"/>
        <v>0</v>
      </c>
      <c r="CD199" s="88">
        <f t="shared" ref="CD199:DL199" si="315">(1+$J199)^(CD152-1)*CD58</f>
        <v>0</v>
      </c>
      <c r="CE199" s="88">
        <f t="shared" si="315"/>
        <v>0</v>
      </c>
      <c r="CF199" s="88">
        <f t="shared" si="315"/>
        <v>0</v>
      </c>
      <c r="CG199" s="88">
        <f t="shared" si="315"/>
        <v>0</v>
      </c>
      <c r="CH199" s="88">
        <f t="shared" si="315"/>
        <v>0</v>
      </c>
      <c r="CI199" s="88">
        <f t="shared" si="315"/>
        <v>0</v>
      </c>
      <c r="CJ199" s="88">
        <f t="shared" si="315"/>
        <v>0</v>
      </c>
      <c r="CK199" s="88">
        <f t="shared" si="315"/>
        <v>0</v>
      </c>
      <c r="CL199" s="88">
        <f t="shared" si="315"/>
        <v>0</v>
      </c>
      <c r="CM199" s="88">
        <f t="shared" si="315"/>
        <v>0</v>
      </c>
      <c r="CN199" s="88">
        <f t="shared" si="315"/>
        <v>0</v>
      </c>
      <c r="CO199" s="88">
        <f t="shared" si="315"/>
        <v>0</v>
      </c>
      <c r="CP199" s="88">
        <f t="shared" si="315"/>
        <v>0</v>
      </c>
      <c r="CQ199" s="88">
        <f t="shared" si="315"/>
        <v>0</v>
      </c>
      <c r="CR199" s="88">
        <f t="shared" si="315"/>
        <v>0</v>
      </c>
      <c r="CS199" s="88">
        <f t="shared" si="315"/>
        <v>0</v>
      </c>
      <c r="CT199" s="88">
        <f t="shared" si="315"/>
        <v>0</v>
      </c>
      <c r="CU199" s="88">
        <f t="shared" si="315"/>
        <v>0</v>
      </c>
      <c r="CV199" s="88">
        <f t="shared" si="315"/>
        <v>0</v>
      </c>
      <c r="CW199" s="88">
        <f t="shared" si="315"/>
        <v>0</v>
      </c>
      <c r="CX199" s="88">
        <f t="shared" si="315"/>
        <v>0</v>
      </c>
      <c r="CY199" s="88">
        <f t="shared" si="315"/>
        <v>0</v>
      </c>
      <c r="CZ199" s="88">
        <f t="shared" si="315"/>
        <v>0</v>
      </c>
      <c r="DA199" s="88">
        <f t="shared" si="315"/>
        <v>0</v>
      </c>
      <c r="DB199" s="88">
        <f t="shared" si="315"/>
        <v>0</v>
      </c>
      <c r="DC199" s="88">
        <f t="shared" si="315"/>
        <v>0</v>
      </c>
      <c r="DD199" s="88">
        <f t="shared" si="315"/>
        <v>0</v>
      </c>
      <c r="DE199" s="88">
        <f t="shared" si="315"/>
        <v>0</v>
      </c>
      <c r="DF199" s="88">
        <f t="shared" si="315"/>
        <v>0</v>
      </c>
      <c r="DG199" s="88">
        <f t="shared" si="315"/>
        <v>0</v>
      </c>
      <c r="DH199" s="88">
        <f t="shared" si="315"/>
        <v>0</v>
      </c>
      <c r="DI199" s="88">
        <f t="shared" si="315"/>
        <v>0</v>
      </c>
      <c r="DJ199" s="88">
        <f t="shared" si="315"/>
        <v>0</v>
      </c>
      <c r="DK199" s="88">
        <f t="shared" si="315"/>
        <v>0</v>
      </c>
      <c r="DL199" s="88">
        <f t="shared" si="315"/>
        <v>0</v>
      </c>
    </row>
    <row r="200" spans="2:116">
      <c r="B200" s="28" t="str">
        <f>Rentroll!$C$57</f>
        <v>102호</v>
      </c>
      <c r="C200" s="69" t="str">
        <f>VLOOKUP($B200,Rentroll!$C$37:$Z$60,3,FALSE)</f>
        <v>DOTZ</v>
      </c>
      <c r="D200" s="80">
        <f>VLOOKUP($B200,Rentroll!$C$37:$Z$60,9,FALSE)</f>
        <v>45838</v>
      </c>
      <c r="E200" s="80">
        <f>VLOOKUP($B200,Rentroll!$C$37:$Z$60,10,FALSE)</f>
        <v>47634</v>
      </c>
      <c r="F200" s="81">
        <f>VLOOKUP($B200,Rentroll!$C$37:$Z$60,11,FALSE)</f>
        <v>60</v>
      </c>
      <c r="G200" s="69">
        <f>VLOOKUP($B200,Rentroll!$C$37:$Z$60,13,FALSE)</f>
        <v>150000</v>
      </c>
      <c r="H200" s="69">
        <f>VLOOKUP($B200,Rentroll!$C$37:$Z$60,14,FALSE)</f>
        <v>150000</v>
      </c>
      <c r="I200" s="69">
        <f>VLOOKUP($B200,Rentroll!$C$37:$Z$60,15,FALSE)</f>
        <v>45000</v>
      </c>
      <c r="J200" s="82">
        <f>VLOOKUP($B200,Rentroll!$C$37:$Z$60,19,FALSE)</f>
        <v>0.03</v>
      </c>
      <c r="K200" s="83">
        <f>VLOOKUP($B200,Rentroll!$C$37:$Z$60,4,FALSE)</f>
        <v>484.78</v>
      </c>
      <c r="L200" s="81">
        <f>VLOOKUP($B200,Rentroll!$C$37:$Z$60,17,FALSE)</f>
        <v>1</v>
      </c>
      <c r="M200" s="84">
        <f>VLOOKUP($B200,Rentroll!$C$37:$Z$60,18,FALSE)</f>
        <v>0</v>
      </c>
      <c r="O200" s="74" t="str">
        <f t="shared" si="313"/>
        <v>102호</v>
      </c>
      <c r="P200" s="75"/>
      <c r="Q200" s="75"/>
      <c r="R200" s="88">
        <f t="shared" ref="R200:CC200" si="316">(1+$J200)^(R153-1)*R59</f>
        <v>0</v>
      </c>
      <c r="S200" s="88">
        <f t="shared" si="316"/>
        <v>0</v>
      </c>
      <c r="T200" s="88">
        <f t="shared" si="316"/>
        <v>0</v>
      </c>
      <c r="U200" s="88">
        <f t="shared" si="316"/>
        <v>0</v>
      </c>
      <c r="V200" s="88">
        <f t="shared" si="316"/>
        <v>0</v>
      </c>
      <c r="W200" s="88">
        <f t="shared" si="316"/>
        <v>0</v>
      </c>
      <c r="X200" s="88">
        <f t="shared" si="316"/>
        <v>1</v>
      </c>
      <c r="Y200" s="88">
        <f t="shared" si="316"/>
        <v>1</v>
      </c>
      <c r="Z200" s="88">
        <f t="shared" si="316"/>
        <v>1</v>
      </c>
      <c r="AA200" s="88">
        <f t="shared" si="316"/>
        <v>1</v>
      </c>
      <c r="AB200" s="88">
        <f t="shared" si="316"/>
        <v>1</v>
      </c>
      <c r="AC200" s="88">
        <f t="shared" si="316"/>
        <v>1</v>
      </c>
      <c r="AD200" s="88">
        <f t="shared" si="316"/>
        <v>1</v>
      </c>
      <c r="AE200" s="88">
        <f t="shared" si="316"/>
        <v>1</v>
      </c>
      <c r="AF200" s="88">
        <f t="shared" si="316"/>
        <v>1</v>
      </c>
      <c r="AG200" s="88">
        <f t="shared" si="316"/>
        <v>1</v>
      </c>
      <c r="AH200" s="88">
        <f t="shared" si="316"/>
        <v>1</v>
      </c>
      <c r="AI200" s="88">
        <f t="shared" si="316"/>
        <v>1</v>
      </c>
      <c r="AJ200" s="88">
        <f t="shared" si="316"/>
        <v>1.03</v>
      </c>
      <c r="AK200" s="88">
        <f t="shared" si="316"/>
        <v>1.03</v>
      </c>
      <c r="AL200" s="88">
        <f t="shared" si="316"/>
        <v>1.03</v>
      </c>
      <c r="AM200" s="88">
        <f t="shared" si="316"/>
        <v>1.03</v>
      </c>
      <c r="AN200" s="88">
        <f t="shared" si="316"/>
        <v>1.03</v>
      </c>
      <c r="AO200" s="88">
        <f t="shared" si="316"/>
        <v>1.03</v>
      </c>
      <c r="AP200" s="88">
        <f t="shared" si="316"/>
        <v>1.03</v>
      </c>
      <c r="AQ200" s="88">
        <f t="shared" si="316"/>
        <v>1.03</v>
      </c>
      <c r="AR200" s="88">
        <f t="shared" si="316"/>
        <v>1.03</v>
      </c>
      <c r="AS200" s="88">
        <f t="shared" si="316"/>
        <v>1.03</v>
      </c>
      <c r="AT200" s="88">
        <f t="shared" si="316"/>
        <v>1.03</v>
      </c>
      <c r="AU200" s="88">
        <f t="shared" si="316"/>
        <v>1.03</v>
      </c>
      <c r="AV200" s="88">
        <f t="shared" si="316"/>
        <v>1.0609</v>
      </c>
      <c r="AW200" s="88">
        <f t="shared" si="316"/>
        <v>1.0609</v>
      </c>
      <c r="AX200" s="88">
        <f t="shared" si="316"/>
        <v>1.0609</v>
      </c>
      <c r="AY200" s="88">
        <f t="shared" si="316"/>
        <v>1.0609</v>
      </c>
      <c r="AZ200" s="88">
        <f t="shared" si="316"/>
        <v>1.0609</v>
      </c>
      <c r="BA200" s="88">
        <f t="shared" si="316"/>
        <v>1.0609</v>
      </c>
      <c r="BB200" s="88">
        <f t="shared" si="316"/>
        <v>1.0609</v>
      </c>
      <c r="BC200" s="88">
        <f t="shared" si="316"/>
        <v>1.0609</v>
      </c>
      <c r="BD200" s="88">
        <f t="shared" si="316"/>
        <v>1.0609</v>
      </c>
      <c r="BE200" s="88">
        <f t="shared" si="316"/>
        <v>1.0609</v>
      </c>
      <c r="BF200" s="88">
        <f t="shared" si="316"/>
        <v>1.0609</v>
      </c>
      <c r="BG200" s="88">
        <f t="shared" si="316"/>
        <v>1.0609</v>
      </c>
      <c r="BH200" s="88">
        <f t="shared" si="316"/>
        <v>1.092727</v>
      </c>
      <c r="BI200" s="88">
        <f t="shared" si="316"/>
        <v>1.092727</v>
      </c>
      <c r="BJ200" s="88">
        <f t="shared" si="316"/>
        <v>1.092727</v>
      </c>
      <c r="BK200" s="88">
        <f t="shared" si="316"/>
        <v>1.092727</v>
      </c>
      <c r="BL200" s="88">
        <f t="shared" si="316"/>
        <v>1.092727</v>
      </c>
      <c r="BM200" s="88">
        <f t="shared" si="316"/>
        <v>1.092727</v>
      </c>
      <c r="BN200" s="88">
        <f t="shared" si="316"/>
        <v>1.092727</v>
      </c>
      <c r="BO200" s="88">
        <f t="shared" si="316"/>
        <v>1.092727</v>
      </c>
      <c r="BP200" s="88">
        <f t="shared" si="316"/>
        <v>1.092727</v>
      </c>
      <c r="BQ200" s="88">
        <f t="shared" si="316"/>
        <v>1.092727</v>
      </c>
      <c r="BR200" s="88">
        <f t="shared" si="316"/>
        <v>1.092727</v>
      </c>
      <c r="BS200" s="88">
        <f t="shared" si="316"/>
        <v>1.092727</v>
      </c>
      <c r="BT200" s="88">
        <f t="shared" si="316"/>
        <v>1.1255088099999999</v>
      </c>
      <c r="BU200" s="88">
        <f t="shared" si="316"/>
        <v>1.1255088099999999</v>
      </c>
      <c r="BV200" s="88">
        <f t="shared" si="316"/>
        <v>1.1255088099999999</v>
      </c>
      <c r="BW200" s="88">
        <f t="shared" si="316"/>
        <v>1.1255088099999999</v>
      </c>
      <c r="BX200" s="88">
        <f t="shared" si="316"/>
        <v>1.1255088099999999</v>
      </c>
      <c r="BY200" s="88">
        <f t="shared" si="316"/>
        <v>1.1255088099999999</v>
      </c>
      <c r="BZ200" s="88">
        <f t="shared" si="316"/>
        <v>1.1255088099999999</v>
      </c>
      <c r="CA200" s="88">
        <f t="shared" si="316"/>
        <v>0</v>
      </c>
      <c r="CB200" s="88">
        <f t="shared" si="316"/>
        <v>0</v>
      </c>
      <c r="CC200" s="88">
        <f t="shared" si="316"/>
        <v>0</v>
      </c>
      <c r="CD200" s="88">
        <f t="shared" ref="CD200:DL200" si="317">(1+$J200)^(CD153-1)*CD59</f>
        <v>0</v>
      </c>
      <c r="CE200" s="88">
        <f t="shared" si="317"/>
        <v>0</v>
      </c>
      <c r="CF200" s="88">
        <f t="shared" si="317"/>
        <v>0</v>
      </c>
      <c r="CG200" s="88">
        <f t="shared" si="317"/>
        <v>0</v>
      </c>
      <c r="CH200" s="88">
        <f t="shared" si="317"/>
        <v>0</v>
      </c>
      <c r="CI200" s="88">
        <f t="shared" si="317"/>
        <v>0</v>
      </c>
      <c r="CJ200" s="88">
        <f t="shared" si="317"/>
        <v>0</v>
      </c>
      <c r="CK200" s="88">
        <f t="shared" si="317"/>
        <v>0</v>
      </c>
      <c r="CL200" s="88">
        <f t="shared" si="317"/>
        <v>0</v>
      </c>
      <c r="CM200" s="88">
        <f t="shared" si="317"/>
        <v>0</v>
      </c>
      <c r="CN200" s="88">
        <f t="shared" si="317"/>
        <v>0</v>
      </c>
      <c r="CO200" s="88">
        <f t="shared" si="317"/>
        <v>0</v>
      </c>
      <c r="CP200" s="88">
        <f t="shared" si="317"/>
        <v>0</v>
      </c>
      <c r="CQ200" s="88">
        <f t="shared" si="317"/>
        <v>0</v>
      </c>
      <c r="CR200" s="88">
        <f t="shared" si="317"/>
        <v>0</v>
      </c>
      <c r="CS200" s="88">
        <f t="shared" si="317"/>
        <v>0</v>
      </c>
      <c r="CT200" s="88">
        <f t="shared" si="317"/>
        <v>0</v>
      </c>
      <c r="CU200" s="88">
        <f t="shared" si="317"/>
        <v>0</v>
      </c>
      <c r="CV200" s="88">
        <f t="shared" si="317"/>
        <v>0</v>
      </c>
      <c r="CW200" s="88">
        <f t="shared" si="317"/>
        <v>0</v>
      </c>
      <c r="CX200" s="88">
        <f t="shared" si="317"/>
        <v>0</v>
      </c>
      <c r="CY200" s="88">
        <f t="shared" si="317"/>
        <v>0</v>
      </c>
      <c r="CZ200" s="88">
        <f t="shared" si="317"/>
        <v>0</v>
      </c>
      <c r="DA200" s="88">
        <f t="shared" si="317"/>
        <v>0</v>
      </c>
      <c r="DB200" s="88">
        <f t="shared" si="317"/>
        <v>0</v>
      </c>
      <c r="DC200" s="88">
        <f t="shared" si="317"/>
        <v>0</v>
      </c>
      <c r="DD200" s="88">
        <f t="shared" si="317"/>
        <v>0</v>
      </c>
      <c r="DE200" s="88">
        <f t="shared" si="317"/>
        <v>0</v>
      </c>
      <c r="DF200" s="88">
        <f t="shared" si="317"/>
        <v>0</v>
      </c>
      <c r="DG200" s="88">
        <f t="shared" si="317"/>
        <v>0</v>
      </c>
      <c r="DH200" s="88">
        <f t="shared" si="317"/>
        <v>0</v>
      </c>
      <c r="DI200" s="88">
        <f t="shared" si="317"/>
        <v>0</v>
      </c>
      <c r="DJ200" s="88">
        <f t="shared" si="317"/>
        <v>0</v>
      </c>
      <c r="DK200" s="88">
        <f t="shared" si="317"/>
        <v>0</v>
      </c>
      <c r="DL200" s="88">
        <f t="shared" si="317"/>
        <v>0</v>
      </c>
    </row>
    <row r="201" spans="2:116">
      <c r="B201" s="28" t="str">
        <f>Rentroll!$C$58</f>
        <v>B101호</v>
      </c>
      <c r="C201" s="69" t="str">
        <f>VLOOKUP($B201,Rentroll!$C$37:$Z$60,3,FALSE)</f>
        <v>편안창고 스토리지</v>
      </c>
      <c r="D201" s="80">
        <f>VLOOKUP($B201,Rentroll!$C$37:$Z$60,9,FALSE)</f>
        <v>46752</v>
      </c>
      <c r="E201" s="80">
        <f>VLOOKUP($B201,Rentroll!$C$37:$Z$60,10,FALSE)</f>
        <v>48579</v>
      </c>
      <c r="F201" s="81">
        <f>VLOOKUP($B201,Rentroll!$C$37:$Z$60,11,FALSE)</f>
        <v>60</v>
      </c>
      <c r="G201" s="69">
        <f>VLOOKUP($B201,Rentroll!$C$37:$Z$60,13,FALSE)</f>
        <v>52116.712499999994</v>
      </c>
      <c r="H201" s="69">
        <f>VLOOKUP($B201,Rentroll!$C$37:$Z$60,14,FALSE)</f>
        <v>52116.712499999994</v>
      </c>
      <c r="I201" s="69">
        <f>VLOOKUP($B201,Rentroll!$C$37:$Z$60,15,FALSE)</f>
        <v>40000</v>
      </c>
      <c r="J201" s="82">
        <f>VLOOKUP($B201,Rentroll!$C$37:$Z$60,19,FALSE)</f>
        <v>0.03</v>
      </c>
      <c r="K201" s="83">
        <f>VLOOKUP($B201,Rentroll!$C$37:$Z$60,4,FALSE)</f>
        <v>969.56</v>
      </c>
      <c r="L201" s="81">
        <f>VLOOKUP($B201,Rentroll!$C$37:$Z$60,17,FALSE)</f>
        <v>1</v>
      </c>
      <c r="M201" s="84">
        <f>VLOOKUP($B201,Rentroll!$C$37:$Z$60,18,FALSE)</f>
        <v>0</v>
      </c>
      <c r="O201" s="74" t="str">
        <f t="shared" ref="O201" si="318">B201</f>
        <v>B101호</v>
      </c>
      <c r="P201" s="75"/>
      <c r="Q201" s="75"/>
      <c r="R201" s="88">
        <f t="shared" ref="R201:CC202" si="319">(1+$J201)^(R154-1)*R60</f>
        <v>0</v>
      </c>
      <c r="S201" s="88">
        <f t="shared" si="319"/>
        <v>0</v>
      </c>
      <c r="T201" s="88">
        <f t="shared" si="319"/>
        <v>0</v>
      </c>
      <c r="U201" s="88">
        <f t="shared" si="319"/>
        <v>0</v>
      </c>
      <c r="V201" s="88">
        <f t="shared" si="319"/>
        <v>0</v>
      </c>
      <c r="W201" s="88">
        <f t="shared" si="319"/>
        <v>0</v>
      </c>
      <c r="X201" s="88">
        <f t="shared" si="319"/>
        <v>0</v>
      </c>
      <c r="Y201" s="88">
        <f t="shared" si="319"/>
        <v>0</v>
      </c>
      <c r="Z201" s="88">
        <f t="shared" si="319"/>
        <v>0</v>
      </c>
      <c r="AA201" s="88">
        <f t="shared" si="319"/>
        <v>0</v>
      </c>
      <c r="AB201" s="88">
        <f t="shared" si="319"/>
        <v>0</v>
      </c>
      <c r="AC201" s="88">
        <f t="shared" si="319"/>
        <v>0</v>
      </c>
      <c r="AD201" s="88">
        <f t="shared" si="319"/>
        <v>0</v>
      </c>
      <c r="AE201" s="88">
        <f t="shared" si="319"/>
        <v>0</v>
      </c>
      <c r="AF201" s="88">
        <f t="shared" si="319"/>
        <v>0</v>
      </c>
      <c r="AG201" s="88">
        <f t="shared" si="319"/>
        <v>0</v>
      </c>
      <c r="AH201" s="88">
        <f t="shared" si="319"/>
        <v>0</v>
      </c>
      <c r="AI201" s="88">
        <f t="shared" si="319"/>
        <v>0</v>
      </c>
      <c r="AJ201" s="88">
        <f t="shared" si="319"/>
        <v>0</v>
      </c>
      <c r="AK201" s="88">
        <f t="shared" si="319"/>
        <v>0</v>
      </c>
      <c r="AL201" s="88">
        <f t="shared" si="319"/>
        <v>0</v>
      </c>
      <c r="AM201" s="88">
        <f t="shared" si="319"/>
        <v>0</v>
      </c>
      <c r="AN201" s="88">
        <f t="shared" si="319"/>
        <v>0</v>
      </c>
      <c r="AO201" s="88">
        <f t="shared" si="319"/>
        <v>0</v>
      </c>
      <c r="AP201" s="88">
        <f t="shared" si="319"/>
        <v>0</v>
      </c>
      <c r="AQ201" s="88">
        <f t="shared" si="319"/>
        <v>0</v>
      </c>
      <c r="AR201" s="88">
        <f t="shared" si="319"/>
        <v>0</v>
      </c>
      <c r="AS201" s="88">
        <f t="shared" si="319"/>
        <v>0</v>
      </c>
      <c r="AT201" s="88">
        <f t="shared" si="319"/>
        <v>0</v>
      </c>
      <c r="AU201" s="88">
        <f t="shared" si="319"/>
        <v>0</v>
      </c>
      <c r="AV201" s="88">
        <f t="shared" si="319"/>
        <v>0</v>
      </c>
      <c r="AW201" s="88">
        <f t="shared" si="319"/>
        <v>0</v>
      </c>
      <c r="AX201" s="88">
        <f t="shared" si="319"/>
        <v>0</v>
      </c>
      <c r="AY201" s="88">
        <f t="shared" si="319"/>
        <v>0</v>
      </c>
      <c r="AZ201" s="88">
        <f t="shared" si="319"/>
        <v>0</v>
      </c>
      <c r="BA201" s="88">
        <f t="shared" si="319"/>
        <v>0</v>
      </c>
      <c r="BB201" s="88">
        <f t="shared" si="319"/>
        <v>1</v>
      </c>
      <c r="BC201" s="88">
        <f t="shared" si="319"/>
        <v>1</v>
      </c>
      <c r="BD201" s="88">
        <f t="shared" si="319"/>
        <v>1</v>
      </c>
      <c r="BE201" s="88">
        <f t="shared" si="319"/>
        <v>1</v>
      </c>
      <c r="BF201" s="88">
        <f t="shared" si="319"/>
        <v>1</v>
      </c>
      <c r="BG201" s="88">
        <f t="shared" si="319"/>
        <v>1</v>
      </c>
      <c r="BH201" s="88">
        <f t="shared" si="319"/>
        <v>1</v>
      </c>
      <c r="BI201" s="88">
        <f t="shared" si="319"/>
        <v>1</v>
      </c>
      <c r="BJ201" s="88">
        <f t="shared" si="319"/>
        <v>1</v>
      </c>
      <c r="BK201" s="88">
        <f t="shared" si="319"/>
        <v>1</v>
      </c>
      <c r="BL201" s="88">
        <f t="shared" si="319"/>
        <v>1</v>
      </c>
      <c r="BM201" s="88">
        <f t="shared" si="319"/>
        <v>1</v>
      </c>
      <c r="BN201" s="88">
        <f t="shared" si="319"/>
        <v>1.03</v>
      </c>
      <c r="BO201" s="88">
        <f t="shared" si="319"/>
        <v>1.03</v>
      </c>
      <c r="BP201" s="88">
        <f t="shared" si="319"/>
        <v>1.03</v>
      </c>
      <c r="BQ201" s="88">
        <f t="shared" si="319"/>
        <v>1.03</v>
      </c>
      <c r="BR201" s="88">
        <f t="shared" si="319"/>
        <v>1.03</v>
      </c>
      <c r="BS201" s="88">
        <f t="shared" si="319"/>
        <v>1.03</v>
      </c>
      <c r="BT201" s="88">
        <f t="shared" si="319"/>
        <v>1.03</v>
      </c>
      <c r="BU201" s="88">
        <f t="shared" si="319"/>
        <v>1.03</v>
      </c>
      <c r="BV201" s="88">
        <f t="shared" si="319"/>
        <v>1.03</v>
      </c>
      <c r="BW201" s="88">
        <f t="shared" si="319"/>
        <v>1.03</v>
      </c>
      <c r="BX201" s="88">
        <f t="shared" si="319"/>
        <v>1.03</v>
      </c>
      <c r="BY201" s="88">
        <f t="shared" si="319"/>
        <v>1.03</v>
      </c>
      <c r="BZ201" s="88">
        <f t="shared" si="319"/>
        <v>1.0609</v>
      </c>
      <c r="CA201" s="88">
        <f t="shared" si="319"/>
        <v>0</v>
      </c>
      <c r="CB201" s="88">
        <f t="shared" si="319"/>
        <v>0</v>
      </c>
      <c r="CC201" s="88">
        <f t="shared" si="319"/>
        <v>0</v>
      </c>
      <c r="CD201" s="88">
        <f t="shared" ref="CD201:DL202" si="320">(1+$J201)^(CD154-1)*CD60</f>
        <v>0</v>
      </c>
      <c r="CE201" s="88">
        <f t="shared" si="320"/>
        <v>0</v>
      </c>
      <c r="CF201" s="88">
        <f t="shared" si="320"/>
        <v>0</v>
      </c>
      <c r="CG201" s="88">
        <f t="shared" si="320"/>
        <v>0</v>
      </c>
      <c r="CH201" s="88">
        <f t="shared" si="320"/>
        <v>0</v>
      </c>
      <c r="CI201" s="88">
        <f t="shared" si="320"/>
        <v>0</v>
      </c>
      <c r="CJ201" s="88">
        <f t="shared" si="320"/>
        <v>0</v>
      </c>
      <c r="CK201" s="88">
        <f t="shared" si="320"/>
        <v>0</v>
      </c>
      <c r="CL201" s="88">
        <f t="shared" si="320"/>
        <v>0</v>
      </c>
      <c r="CM201" s="88">
        <f t="shared" si="320"/>
        <v>0</v>
      </c>
      <c r="CN201" s="88">
        <f t="shared" si="320"/>
        <v>0</v>
      </c>
      <c r="CO201" s="88">
        <f t="shared" si="320"/>
        <v>0</v>
      </c>
      <c r="CP201" s="88">
        <f t="shared" si="320"/>
        <v>0</v>
      </c>
      <c r="CQ201" s="88">
        <f t="shared" si="320"/>
        <v>0</v>
      </c>
      <c r="CR201" s="88">
        <f t="shared" si="320"/>
        <v>0</v>
      </c>
      <c r="CS201" s="88">
        <f t="shared" si="320"/>
        <v>0</v>
      </c>
      <c r="CT201" s="88">
        <f t="shared" si="320"/>
        <v>0</v>
      </c>
      <c r="CU201" s="88">
        <f t="shared" si="320"/>
        <v>0</v>
      </c>
      <c r="CV201" s="88">
        <f t="shared" si="320"/>
        <v>0</v>
      </c>
      <c r="CW201" s="88">
        <f t="shared" si="320"/>
        <v>0</v>
      </c>
      <c r="CX201" s="88">
        <f t="shared" si="320"/>
        <v>0</v>
      </c>
      <c r="CY201" s="88">
        <f t="shared" si="320"/>
        <v>0</v>
      </c>
      <c r="CZ201" s="88">
        <f t="shared" si="320"/>
        <v>0</v>
      </c>
      <c r="DA201" s="88">
        <f t="shared" si="320"/>
        <v>0</v>
      </c>
      <c r="DB201" s="88">
        <f t="shared" si="320"/>
        <v>0</v>
      </c>
      <c r="DC201" s="88">
        <f t="shared" si="320"/>
        <v>0</v>
      </c>
      <c r="DD201" s="88">
        <f t="shared" si="320"/>
        <v>0</v>
      </c>
      <c r="DE201" s="88">
        <f t="shared" si="320"/>
        <v>0</v>
      </c>
      <c r="DF201" s="88">
        <f t="shared" si="320"/>
        <v>0</v>
      </c>
      <c r="DG201" s="88">
        <f t="shared" si="320"/>
        <v>0</v>
      </c>
      <c r="DH201" s="88">
        <f t="shared" si="320"/>
        <v>0</v>
      </c>
      <c r="DI201" s="88">
        <f t="shared" si="320"/>
        <v>0</v>
      </c>
      <c r="DJ201" s="88">
        <f t="shared" si="320"/>
        <v>0</v>
      </c>
      <c r="DK201" s="88">
        <f t="shared" si="320"/>
        <v>0</v>
      </c>
      <c r="DL201" s="88">
        <f t="shared" si="320"/>
        <v>0</v>
      </c>
    </row>
    <row r="202" spans="2:116">
      <c r="B202" s="28" t="str">
        <f>Rentroll!$C$59</f>
        <v>B102호</v>
      </c>
      <c r="C202" s="69" t="str">
        <f>VLOOKUP($B202,Rentroll!$C$37:$Z$60,3,FALSE)</f>
        <v>스크린 퀀텀</v>
      </c>
      <c r="D202" s="80">
        <f>VLOOKUP($B202,Rentroll!$C$37:$Z$60,9,FALSE)</f>
        <v>46418</v>
      </c>
      <c r="E202" s="80">
        <f>VLOOKUP($B202,Rentroll!$C$37:$Z$60,10,FALSE)</f>
        <v>48244</v>
      </c>
      <c r="F202" s="81">
        <f>VLOOKUP($B202,Rentroll!$C$37:$Z$60,11,FALSE)</f>
        <v>60</v>
      </c>
      <c r="G202" s="69">
        <f>VLOOKUP($B202,Rentroll!$C$37:$Z$60,13,FALSE)</f>
        <v>52116.712499999994</v>
      </c>
      <c r="H202" s="69">
        <f>VLOOKUP($B202,Rentroll!$C$37:$Z$60,14,FALSE)</f>
        <v>52116.712499999994</v>
      </c>
      <c r="I202" s="69">
        <f>VLOOKUP($B202,Rentroll!$C$37:$Z$60,15,FALSE)</f>
        <v>40000</v>
      </c>
      <c r="J202" s="82">
        <f>VLOOKUP($B202,Rentroll!$C$37:$Z$60,19,FALSE)</f>
        <v>0.03</v>
      </c>
      <c r="K202" s="83">
        <f>VLOOKUP($B202,Rentroll!$C$37:$Z$60,4,FALSE)</f>
        <v>969.56</v>
      </c>
      <c r="L202" s="81">
        <f>VLOOKUP($B202,Rentroll!$C$37:$Z$60,17,FALSE)</f>
        <v>1</v>
      </c>
      <c r="M202" s="84">
        <f>VLOOKUP($B202,Rentroll!$C$37:$Z$60,18,FALSE)</f>
        <v>0</v>
      </c>
      <c r="O202" s="74" t="str">
        <f t="shared" si="313"/>
        <v>B102호</v>
      </c>
      <c r="P202" s="75"/>
      <c r="Q202" s="75"/>
      <c r="R202" s="88">
        <f t="shared" si="319"/>
        <v>0</v>
      </c>
      <c r="S202" s="88">
        <f t="shared" si="319"/>
        <v>0</v>
      </c>
      <c r="T202" s="88">
        <f t="shared" si="319"/>
        <v>0</v>
      </c>
      <c r="U202" s="88">
        <f t="shared" si="319"/>
        <v>0</v>
      </c>
      <c r="V202" s="88">
        <f t="shared" si="319"/>
        <v>0</v>
      </c>
      <c r="W202" s="88">
        <f t="shared" si="319"/>
        <v>0</v>
      </c>
      <c r="X202" s="88">
        <f t="shared" si="319"/>
        <v>0</v>
      </c>
      <c r="Y202" s="88">
        <f t="shared" si="319"/>
        <v>0</v>
      </c>
      <c r="Z202" s="88">
        <f t="shared" si="319"/>
        <v>0</v>
      </c>
      <c r="AA202" s="88">
        <f t="shared" si="319"/>
        <v>0</v>
      </c>
      <c r="AB202" s="88">
        <f t="shared" si="319"/>
        <v>0</v>
      </c>
      <c r="AC202" s="88">
        <f t="shared" si="319"/>
        <v>0</v>
      </c>
      <c r="AD202" s="88">
        <f t="shared" si="319"/>
        <v>0</v>
      </c>
      <c r="AE202" s="88">
        <f t="shared" si="319"/>
        <v>0</v>
      </c>
      <c r="AF202" s="88">
        <f t="shared" si="319"/>
        <v>0</v>
      </c>
      <c r="AG202" s="88">
        <f t="shared" si="319"/>
        <v>0</v>
      </c>
      <c r="AH202" s="88">
        <f t="shared" si="319"/>
        <v>0</v>
      </c>
      <c r="AI202" s="88">
        <f t="shared" si="319"/>
        <v>0</v>
      </c>
      <c r="AJ202" s="88">
        <f t="shared" si="319"/>
        <v>0</v>
      </c>
      <c r="AK202" s="88">
        <f t="shared" si="319"/>
        <v>0</v>
      </c>
      <c r="AL202" s="88">
        <f t="shared" si="319"/>
        <v>0</v>
      </c>
      <c r="AM202" s="88">
        <f t="shared" si="319"/>
        <v>0</v>
      </c>
      <c r="AN202" s="88">
        <f t="shared" si="319"/>
        <v>0</v>
      </c>
      <c r="AO202" s="88">
        <f t="shared" si="319"/>
        <v>0</v>
      </c>
      <c r="AP202" s="88">
        <f t="shared" si="319"/>
        <v>0</v>
      </c>
      <c r="AQ202" s="88">
        <f t="shared" si="319"/>
        <v>1</v>
      </c>
      <c r="AR202" s="88">
        <f t="shared" si="319"/>
        <v>1</v>
      </c>
      <c r="AS202" s="88">
        <f t="shared" si="319"/>
        <v>1</v>
      </c>
      <c r="AT202" s="88">
        <f t="shared" si="319"/>
        <v>1</v>
      </c>
      <c r="AU202" s="88">
        <f t="shared" si="319"/>
        <v>1</v>
      </c>
      <c r="AV202" s="88">
        <f t="shared" si="319"/>
        <v>1</v>
      </c>
      <c r="AW202" s="88">
        <f t="shared" si="319"/>
        <v>1</v>
      </c>
      <c r="AX202" s="88">
        <f t="shared" si="319"/>
        <v>1</v>
      </c>
      <c r="AY202" s="88">
        <f t="shared" si="319"/>
        <v>1</v>
      </c>
      <c r="AZ202" s="88">
        <f t="shared" si="319"/>
        <v>1</v>
      </c>
      <c r="BA202" s="88">
        <f t="shared" si="319"/>
        <v>1</v>
      </c>
      <c r="BB202" s="88">
        <f t="shared" si="319"/>
        <v>1</v>
      </c>
      <c r="BC202" s="88">
        <f t="shared" si="319"/>
        <v>1.03</v>
      </c>
      <c r="BD202" s="88">
        <f t="shared" si="319"/>
        <v>1.03</v>
      </c>
      <c r="BE202" s="88">
        <f t="shared" si="319"/>
        <v>1.03</v>
      </c>
      <c r="BF202" s="88">
        <f t="shared" si="319"/>
        <v>1.03</v>
      </c>
      <c r="BG202" s="88">
        <f t="shared" si="319"/>
        <v>1.03</v>
      </c>
      <c r="BH202" s="88">
        <f t="shared" si="319"/>
        <v>1.03</v>
      </c>
      <c r="BI202" s="88">
        <f t="shared" si="319"/>
        <v>1.03</v>
      </c>
      <c r="BJ202" s="88">
        <f t="shared" si="319"/>
        <v>1.03</v>
      </c>
      <c r="BK202" s="88">
        <f t="shared" si="319"/>
        <v>1.03</v>
      </c>
      <c r="BL202" s="88">
        <f t="shared" si="319"/>
        <v>1.03</v>
      </c>
      <c r="BM202" s="88">
        <f t="shared" si="319"/>
        <v>1.03</v>
      </c>
      <c r="BN202" s="88">
        <f t="shared" si="319"/>
        <v>1.03</v>
      </c>
      <c r="BO202" s="88">
        <f t="shared" si="319"/>
        <v>1.0609</v>
      </c>
      <c r="BP202" s="88">
        <f t="shared" si="319"/>
        <v>1.0609</v>
      </c>
      <c r="BQ202" s="88">
        <f t="shared" si="319"/>
        <v>1.0609</v>
      </c>
      <c r="BR202" s="88">
        <f t="shared" si="319"/>
        <v>1.0609</v>
      </c>
      <c r="BS202" s="88">
        <f t="shared" si="319"/>
        <v>1.0609</v>
      </c>
      <c r="BT202" s="88">
        <f t="shared" si="319"/>
        <v>1.0609</v>
      </c>
      <c r="BU202" s="88">
        <f t="shared" si="319"/>
        <v>1.0609</v>
      </c>
      <c r="BV202" s="88">
        <f t="shared" si="319"/>
        <v>1.0609</v>
      </c>
      <c r="BW202" s="88">
        <f t="shared" si="319"/>
        <v>1.0609</v>
      </c>
      <c r="BX202" s="88">
        <f t="shared" si="319"/>
        <v>1.0609</v>
      </c>
      <c r="BY202" s="88">
        <f t="shared" si="319"/>
        <v>1.0609</v>
      </c>
      <c r="BZ202" s="88">
        <f t="shared" si="319"/>
        <v>1.0609</v>
      </c>
      <c r="CA202" s="88">
        <f t="shared" si="319"/>
        <v>0</v>
      </c>
      <c r="CB202" s="88">
        <f t="shared" si="319"/>
        <v>0</v>
      </c>
      <c r="CC202" s="88">
        <f t="shared" si="319"/>
        <v>0</v>
      </c>
      <c r="CD202" s="88">
        <f t="shared" si="320"/>
        <v>0</v>
      </c>
      <c r="CE202" s="88">
        <f t="shared" si="320"/>
        <v>0</v>
      </c>
      <c r="CF202" s="88">
        <f t="shared" si="320"/>
        <v>0</v>
      </c>
      <c r="CG202" s="88">
        <f t="shared" si="320"/>
        <v>0</v>
      </c>
      <c r="CH202" s="88">
        <f t="shared" si="320"/>
        <v>0</v>
      </c>
      <c r="CI202" s="88">
        <f t="shared" si="320"/>
        <v>0</v>
      </c>
      <c r="CJ202" s="88">
        <f t="shared" si="320"/>
        <v>0</v>
      </c>
      <c r="CK202" s="88">
        <f t="shared" si="320"/>
        <v>0</v>
      </c>
      <c r="CL202" s="88">
        <f t="shared" si="320"/>
        <v>0</v>
      </c>
      <c r="CM202" s="88">
        <f t="shared" si="320"/>
        <v>0</v>
      </c>
      <c r="CN202" s="88">
        <f t="shared" si="320"/>
        <v>0</v>
      </c>
      <c r="CO202" s="88">
        <f t="shared" si="320"/>
        <v>0</v>
      </c>
      <c r="CP202" s="88">
        <f t="shared" si="320"/>
        <v>0</v>
      </c>
      <c r="CQ202" s="88">
        <f t="shared" si="320"/>
        <v>0</v>
      </c>
      <c r="CR202" s="88">
        <f t="shared" si="320"/>
        <v>0</v>
      </c>
      <c r="CS202" s="88">
        <f t="shared" si="320"/>
        <v>0</v>
      </c>
      <c r="CT202" s="88">
        <f t="shared" si="320"/>
        <v>0</v>
      </c>
      <c r="CU202" s="88">
        <f t="shared" si="320"/>
        <v>0</v>
      </c>
      <c r="CV202" s="88">
        <f t="shared" si="320"/>
        <v>0</v>
      </c>
      <c r="CW202" s="88">
        <f t="shared" si="320"/>
        <v>0</v>
      </c>
      <c r="CX202" s="88">
        <f t="shared" si="320"/>
        <v>0</v>
      </c>
      <c r="CY202" s="88">
        <f t="shared" si="320"/>
        <v>0</v>
      </c>
      <c r="CZ202" s="88">
        <f t="shared" si="320"/>
        <v>0</v>
      </c>
      <c r="DA202" s="88">
        <f t="shared" si="320"/>
        <v>0</v>
      </c>
      <c r="DB202" s="88">
        <f t="shared" si="320"/>
        <v>0</v>
      </c>
      <c r="DC202" s="88">
        <f t="shared" si="320"/>
        <v>0</v>
      </c>
      <c r="DD202" s="88">
        <f t="shared" si="320"/>
        <v>0</v>
      </c>
      <c r="DE202" s="88">
        <f t="shared" si="320"/>
        <v>0</v>
      </c>
      <c r="DF202" s="88">
        <f t="shared" si="320"/>
        <v>0</v>
      </c>
      <c r="DG202" s="88">
        <f t="shared" si="320"/>
        <v>0</v>
      </c>
      <c r="DH202" s="88">
        <f t="shared" si="320"/>
        <v>0</v>
      </c>
      <c r="DI202" s="88">
        <f t="shared" si="320"/>
        <v>0</v>
      </c>
      <c r="DJ202" s="88">
        <f t="shared" si="320"/>
        <v>0</v>
      </c>
      <c r="DK202" s="88">
        <f t="shared" si="320"/>
        <v>0</v>
      </c>
      <c r="DL202" s="88">
        <f t="shared" si="320"/>
        <v>0</v>
      </c>
    </row>
    <row r="203" spans="2:116">
      <c r="B203" s="28">
        <f>Rentroll!$C$60</f>
        <v>0</v>
      </c>
      <c r="C203" s="69">
        <f>VLOOKUP($B203,Rentroll!$C$37:$Z$60,3,FALSE)</f>
        <v>0</v>
      </c>
      <c r="D203" s="80">
        <f>VLOOKUP($B203,Rentroll!$C$37:$Z$60,9,FALSE)</f>
        <v>0</v>
      </c>
      <c r="E203" s="80">
        <f>VLOOKUP($B203,Rentroll!$C$37:$Z$60,10,FALSE)</f>
        <v>0</v>
      </c>
      <c r="F203" s="81">
        <f>VLOOKUP($B203,Rentroll!$C$37:$Z$60,11,FALSE)</f>
        <v>0</v>
      </c>
      <c r="G203" s="69">
        <f>VLOOKUP($B203,Rentroll!$C$37:$Z$60,13,FALSE)</f>
        <v>0</v>
      </c>
      <c r="H203" s="69">
        <f>VLOOKUP($B203,Rentroll!$C$37:$Z$60,14,FALSE)</f>
        <v>0</v>
      </c>
      <c r="I203" s="69">
        <f>VLOOKUP($B203,Rentroll!$C$37:$Z$60,15,FALSE)</f>
        <v>0</v>
      </c>
      <c r="J203" s="82">
        <f>VLOOKUP($B203,Rentroll!$C$37:$Z$60,19,FALSE)</f>
        <v>0</v>
      </c>
      <c r="K203" s="83">
        <f>VLOOKUP($B203,Rentroll!$C$37:$Z$60,4,FALSE)</f>
        <v>0</v>
      </c>
      <c r="L203" s="81">
        <f>VLOOKUP($B203,Rentroll!$C$37:$Z$60,17,FALSE)</f>
        <v>0</v>
      </c>
      <c r="M203" s="84">
        <f>VLOOKUP($B203,Rentroll!$C$37:$Z$60,18,FALSE)</f>
        <v>0</v>
      </c>
      <c r="O203" s="26">
        <f t="shared" si="313"/>
        <v>0</v>
      </c>
      <c r="P203" s="76"/>
      <c r="Q203" s="76"/>
      <c r="R203" s="89">
        <f t="shared" ref="R203:CC203" si="321">(1+$J203)^(R156-1)*R62</f>
        <v>0</v>
      </c>
      <c r="S203" s="89">
        <f t="shared" si="321"/>
        <v>0</v>
      </c>
      <c r="T203" s="89">
        <f t="shared" si="321"/>
        <v>0</v>
      </c>
      <c r="U203" s="89">
        <f t="shared" si="321"/>
        <v>0</v>
      </c>
      <c r="V203" s="89">
        <f t="shared" si="321"/>
        <v>0</v>
      </c>
      <c r="W203" s="89">
        <f t="shared" si="321"/>
        <v>0</v>
      </c>
      <c r="X203" s="89">
        <f t="shared" si="321"/>
        <v>0</v>
      </c>
      <c r="Y203" s="89">
        <f t="shared" si="321"/>
        <v>0</v>
      </c>
      <c r="Z203" s="89">
        <f t="shared" si="321"/>
        <v>0</v>
      </c>
      <c r="AA203" s="89">
        <f t="shared" si="321"/>
        <v>0</v>
      </c>
      <c r="AB203" s="89">
        <f t="shared" si="321"/>
        <v>0</v>
      </c>
      <c r="AC203" s="89">
        <f t="shared" si="321"/>
        <v>0</v>
      </c>
      <c r="AD203" s="89">
        <f t="shared" si="321"/>
        <v>0</v>
      </c>
      <c r="AE203" s="89">
        <f t="shared" si="321"/>
        <v>0</v>
      </c>
      <c r="AF203" s="89">
        <f t="shared" si="321"/>
        <v>0</v>
      </c>
      <c r="AG203" s="89">
        <f t="shared" si="321"/>
        <v>0</v>
      </c>
      <c r="AH203" s="89">
        <f t="shared" si="321"/>
        <v>0</v>
      </c>
      <c r="AI203" s="89">
        <f t="shared" si="321"/>
        <v>0</v>
      </c>
      <c r="AJ203" s="89">
        <f t="shared" si="321"/>
        <v>0</v>
      </c>
      <c r="AK203" s="89">
        <f t="shared" si="321"/>
        <v>0</v>
      </c>
      <c r="AL203" s="89">
        <f t="shared" si="321"/>
        <v>0</v>
      </c>
      <c r="AM203" s="89">
        <f t="shared" si="321"/>
        <v>0</v>
      </c>
      <c r="AN203" s="89">
        <f t="shared" si="321"/>
        <v>0</v>
      </c>
      <c r="AO203" s="89">
        <f t="shared" si="321"/>
        <v>0</v>
      </c>
      <c r="AP203" s="89">
        <f t="shared" si="321"/>
        <v>0</v>
      </c>
      <c r="AQ203" s="89">
        <f t="shared" si="321"/>
        <v>0</v>
      </c>
      <c r="AR203" s="89">
        <f t="shared" si="321"/>
        <v>0</v>
      </c>
      <c r="AS203" s="89">
        <f t="shared" si="321"/>
        <v>0</v>
      </c>
      <c r="AT203" s="89">
        <f t="shared" si="321"/>
        <v>0</v>
      </c>
      <c r="AU203" s="89">
        <f t="shared" si="321"/>
        <v>0</v>
      </c>
      <c r="AV203" s="89">
        <f t="shared" si="321"/>
        <v>0</v>
      </c>
      <c r="AW203" s="89">
        <f t="shared" si="321"/>
        <v>0</v>
      </c>
      <c r="AX203" s="89">
        <f t="shared" si="321"/>
        <v>0</v>
      </c>
      <c r="AY203" s="89">
        <f t="shared" si="321"/>
        <v>0</v>
      </c>
      <c r="AZ203" s="89">
        <f t="shared" si="321"/>
        <v>0</v>
      </c>
      <c r="BA203" s="89">
        <f t="shared" si="321"/>
        <v>0</v>
      </c>
      <c r="BB203" s="89">
        <f t="shared" si="321"/>
        <v>0</v>
      </c>
      <c r="BC203" s="89">
        <f t="shared" si="321"/>
        <v>0</v>
      </c>
      <c r="BD203" s="89">
        <f t="shared" si="321"/>
        <v>0</v>
      </c>
      <c r="BE203" s="89">
        <f t="shared" si="321"/>
        <v>0</v>
      </c>
      <c r="BF203" s="89">
        <f t="shared" si="321"/>
        <v>0</v>
      </c>
      <c r="BG203" s="89">
        <f t="shared" si="321"/>
        <v>0</v>
      </c>
      <c r="BH203" s="89">
        <f t="shared" si="321"/>
        <v>0</v>
      </c>
      <c r="BI203" s="89">
        <f t="shared" si="321"/>
        <v>0</v>
      </c>
      <c r="BJ203" s="89">
        <f t="shared" si="321"/>
        <v>0</v>
      </c>
      <c r="BK203" s="89">
        <f t="shared" si="321"/>
        <v>0</v>
      </c>
      <c r="BL203" s="89">
        <f t="shared" si="321"/>
        <v>0</v>
      </c>
      <c r="BM203" s="89">
        <f t="shared" si="321"/>
        <v>0</v>
      </c>
      <c r="BN203" s="89">
        <f t="shared" si="321"/>
        <v>0</v>
      </c>
      <c r="BO203" s="89">
        <f t="shared" si="321"/>
        <v>0</v>
      </c>
      <c r="BP203" s="89">
        <f t="shared" si="321"/>
        <v>0</v>
      </c>
      <c r="BQ203" s="89">
        <f t="shared" si="321"/>
        <v>0</v>
      </c>
      <c r="BR203" s="89">
        <f t="shared" si="321"/>
        <v>0</v>
      </c>
      <c r="BS203" s="89">
        <f t="shared" si="321"/>
        <v>0</v>
      </c>
      <c r="BT203" s="89">
        <f t="shared" si="321"/>
        <v>0</v>
      </c>
      <c r="BU203" s="89">
        <f t="shared" si="321"/>
        <v>0</v>
      </c>
      <c r="BV203" s="89">
        <f t="shared" si="321"/>
        <v>0</v>
      </c>
      <c r="BW203" s="89">
        <f t="shared" si="321"/>
        <v>0</v>
      </c>
      <c r="BX203" s="89">
        <f t="shared" si="321"/>
        <v>0</v>
      </c>
      <c r="BY203" s="89">
        <f t="shared" si="321"/>
        <v>0</v>
      </c>
      <c r="BZ203" s="89">
        <f t="shared" si="321"/>
        <v>0</v>
      </c>
      <c r="CA203" s="89">
        <f t="shared" si="321"/>
        <v>0</v>
      </c>
      <c r="CB203" s="89">
        <f t="shared" si="321"/>
        <v>0</v>
      </c>
      <c r="CC203" s="89">
        <f t="shared" si="321"/>
        <v>0</v>
      </c>
      <c r="CD203" s="89">
        <f t="shared" ref="CD203:DL203" si="322">(1+$J203)^(CD156-1)*CD62</f>
        <v>0</v>
      </c>
      <c r="CE203" s="89">
        <f t="shared" si="322"/>
        <v>0</v>
      </c>
      <c r="CF203" s="89">
        <f t="shared" si="322"/>
        <v>0</v>
      </c>
      <c r="CG203" s="89">
        <f t="shared" si="322"/>
        <v>0</v>
      </c>
      <c r="CH203" s="89">
        <f t="shared" si="322"/>
        <v>0</v>
      </c>
      <c r="CI203" s="89">
        <f t="shared" si="322"/>
        <v>0</v>
      </c>
      <c r="CJ203" s="89">
        <f t="shared" si="322"/>
        <v>0</v>
      </c>
      <c r="CK203" s="89">
        <f t="shared" si="322"/>
        <v>0</v>
      </c>
      <c r="CL203" s="89">
        <f t="shared" si="322"/>
        <v>0</v>
      </c>
      <c r="CM203" s="89">
        <f t="shared" si="322"/>
        <v>0</v>
      </c>
      <c r="CN203" s="89">
        <f t="shared" si="322"/>
        <v>0</v>
      </c>
      <c r="CO203" s="89">
        <f t="shared" si="322"/>
        <v>0</v>
      </c>
      <c r="CP203" s="89">
        <f t="shared" si="322"/>
        <v>0</v>
      </c>
      <c r="CQ203" s="89">
        <f t="shared" si="322"/>
        <v>0</v>
      </c>
      <c r="CR203" s="89">
        <f t="shared" si="322"/>
        <v>0</v>
      </c>
      <c r="CS203" s="89">
        <f t="shared" si="322"/>
        <v>0</v>
      </c>
      <c r="CT203" s="89">
        <f t="shared" si="322"/>
        <v>0</v>
      </c>
      <c r="CU203" s="89">
        <f t="shared" si="322"/>
        <v>0</v>
      </c>
      <c r="CV203" s="89">
        <f t="shared" si="322"/>
        <v>0</v>
      </c>
      <c r="CW203" s="89">
        <f t="shared" si="322"/>
        <v>0</v>
      </c>
      <c r="CX203" s="89">
        <f t="shared" si="322"/>
        <v>0</v>
      </c>
      <c r="CY203" s="89">
        <f t="shared" si="322"/>
        <v>0</v>
      </c>
      <c r="CZ203" s="89">
        <f t="shared" si="322"/>
        <v>0</v>
      </c>
      <c r="DA203" s="89">
        <f t="shared" si="322"/>
        <v>0</v>
      </c>
      <c r="DB203" s="89">
        <f t="shared" si="322"/>
        <v>0</v>
      </c>
      <c r="DC203" s="89">
        <f t="shared" si="322"/>
        <v>0</v>
      </c>
      <c r="DD203" s="89">
        <f t="shared" si="322"/>
        <v>0</v>
      </c>
      <c r="DE203" s="89">
        <f t="shared" si="322"/>
        <v>0</v>
      </c>
      <c r="DF203" s="89">
        <f t="shared" si="322"/>
        <v>0</v>
      </c>
      <c r="DG203" s="89">
        <f t="shared" si="322"/>
        <v>0</v>
      </c>
      <c r="DH203" s="89">
        <f t="shared" si="322"/>
        <v>0</v>
      </c>
      <c r="DI203" s="89">
        <f t="shared" si="322"/>
        <v>0</v>
      </c>
      <c r="DJ203" s="89">
        <f t="shared" si="322"/>
        <v>0</v>
      </c>
      <c r="DK203" s="89">
        <f t="shared" si="322"/>
        <v>0</v>
      </c>
      <c r="DL203" s="89">
        <f t="shared" si="32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  <ignoredErrors>
    <ignoredError sqref="R104:DL10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D8CD-9B62-5D40-9850-AF7833B75AAF}">
  <dimension ref="A1:DM182"/>
  <sheetViews>
    <sheetView showGridLines="0" zoomScale="67" zoomScaleNormal="92" workbookViewId="0">
      <pane xSplit="18" ySplit="16" topLeftCell="S120" activePane="bottomRight" state="frozen"/>
      <selection pane="topRight" activeCell="S1" sqref="S1"/>
      <selection pane="bottomLeft" activeCell="A17" sqref="A17"/>
      <selection pane="bottomRight" activeCell="U166" sqref="U166"/>
    </sheetView>
  </sheetViews>
  <sheetFormatPr baseColWidth="10" defaultRowHeight="15" outlineLevelRow="1" outlineLevelCol="1"/>
  <cols>
    <col min="1" max="1" width="3.5" style="13" customWidth="1"/>
    <col min="2" max="2" width="10.83203125" style="13" hidden="1" customWidth="1" outlineLevel="1"/>
    <col min="3" max="3" width="21.1640625" style="13" hidden="1" customWidth="1" outlineLevel="1"/>
    <col min="4" max="4" width="12.1640625" style="13" hidden="1" customWidth="1" outlineLevel="1"/>
    <col min="5" max="6" width="10.83203125" style="13" hidden="1" customWidth="1" outlineLevel="1"/>
    <col min="7" max="8" width="13.33203125" style="13" hidden="1" customWidth="1" outlineLevel="1"/>
    <col min="9" max="13" width="10.83203125" style="13" hidden="1" customWidth="1" outlineLevel="1"/>
    <col min="14" max="14" width="3.33203125" style="13" customWidth="1" collapsed="1"/>
    <col min="15" max="15" width="13.1640625" style="13" customWidth="1"/>
    <col min="16" max="16" width="11.83203125" style="13" bestFit="1" customWidth="1"/>
    <col min="17" max="17" width="10.83203125" style="13"/>
    <col min="18" max="18" width="3.33203125" style="13" customWidth="1"/>
    <col min="19" max="16384" width="10.83203125" style="13"/>
  </cols>
  <sheetData>
    <row r="1" spans="1:117" s="1" customFormat="1" ht="17" customHeight="1"/>
    <row r="2" spans="1:117" s="1" customFormat="1" ht="17" customHeight="1">
      <c r="B2" s="2" t="s">
        <v>10</v>
      </c>
      <c r="T2" s="3" t="s">
        <v>0</v>
      </c>
      <c r="U2" s="4" t="s">
        <v>1</v>
      </c>
      <c r="V2" s="5" t="s">
        <v>2</v>
      </c>
    </row>
    <row r="3" spans="1:117" s="1" customFormat="1" ht="17" customHeight="1">
      <c r="B3" s="2" t="s">
        <v>11</v>
      </c>
      <c r="T3" s="6" t="s">
        <v>3</v>
      </c>
      <c r="U3" s="7" t="s">
        <v>4</v>
      </c>
      <c r="V3" s="8" t="s">
        <v>5</v>
      </c>
    </row>
    <row r="4" spans="1:117" s="1" customFormat="1" ht="17" customHeight="1">
      <c r="B4" s="14"/>
      <c r="T4" s="9" t="s">
        <v>6</v>
      </c>
      <c r="U4" s="10" t="s">
        <v>7</v>
      </c>
      <c r="V4" s="63" t="s">
        <v>8</v>
      </c>
    </row>
    <row r="5" spans="1:117" s="12" customFormat="1" ht="17" customHeight="1" thickBot="1"/>
    <row r="6" spans="1:117" ht="16" thickTop="1">
      <c r="A6" s="13" t="s">
        <v>9</v>
      </c>
    </row>
    <row r="7" spans="1:117">
      <c r="A7" s="2" t="s">
        <v>111</v>
      </c>
    </row>
    <row r="8" spans="1:117" ht="17" hidden="1" customHeight="1" outlineLevel="1">
      <c r="S8" s="60" t="s">
        <v>89</v>
      </c>
      <c r="T8" s="61">
        <v>1</v>
      </c>
      <c r="U8" s="61">
        <v>2</v>
      </c>
      <c r="V8" s="61">
        <v>3</v>
      </c>
      <c r="W8" s="61">
        <v>4</v>
      </c>
      <c r="X8" s="61">
        <v>5</v>
      </c>
      <c r="Y8" s="61">
        <v>6</v>
      </c>
      <c r="Z8" s="61">
        <v>7</v>
      </c>
      <c r="AA8" s="61">
        <v>8</v>
      </c>
      <c r="AB8" s="61">
        <v>9</v>
      </c>
      <c r="AC8" s="61">
        <v>10</v>
      </c>
      <c r="AD8" s="61">
        <v>11</v>
      </c>
      <c r="AE8" s="61">
        <v>12</v>
      </c>
      <c r="AF8" s="61">
        <v>13</v>
      </c>
      <c r="AG8" s="61">
        <v>14</v>
      </c>
      <c r="AH8" s="61">
        <v>15</v>
      </c>
      <c r="AI8" s="61">
        <v>16</v>
      </c>
    </row>
    <row r="9" spans="1:117" ht="17" hidden="1" customHeight="1" outlineLevel="1">
      <c r="S9" s="60" t="s">
        <v>60</v>
      </c>
      <c r="T9" s="62">
        <f>start</f>
        <v>45716</v>
      </c>
      <c r="U9" s="62">
        <f>EOMONTH(T10,1)</f>
        <v>45900</v>
      </c>
      <c r="V9" s="62">
        <f t="shared" ref="V9:AI9" si="0">EOMONTH(U10,1)</f>
        <v>46081</v>
      </c>
      <c r="W9" s="62">
        <f t="shared" si="0"/>
        <v>46265</v>
      </c>
      <c r="X9" s="62">
        <f t="shared" si="0"/>
        <v>46446</v>
      </c>
      <c r="Y9" s="62">
        <f t="shared" si="0"/>
        <v>46630</v>
      </c>
      <c r="Z9" s="62">
        <f t="shared" si="0"/>
        <v>46812</v>
      </c>
      <c r="AA9" s="62">
        <f t="shared" si="0"/>
        <v>46996</v>
      </c>
      <c r="AB9" s="62">
        <f t="shared" si="0"/>
        <v>47177</v>
      </c>
      <c r="AC9" s="62">
        <f t="shared" si="0"/>
        <v>47361</v>
      </c>
      <c r="AD9" s="62">
        <f t="shared" si="0"/>
        <v>47542</v>
      </c>
      <c r="AE9" s="62">
        <f t="shared" si="0"/>
        <v>47726</v>
      </c>
      <c r="AF9" s="62">
        <f t="shared" si="0"/>
        <v>47907</v>
      </c>
      <c r="AG9" s="62">
        <f t="shared" si="0"/>
        <v>48091</v>
      </c>
      <c r="AH9" s="62">
        <f t="shared" si="0"/>
        <v>48273</v>
      </c>
      <c r="AI9" s="62">
        <f t="shared" si="0"/>
        <v>48457</v>
      </c>
    </row>
    <row r="10" spans="1:117" ht="17" hidden="1" customHeight="1" outlineLevel="1">
      <c r="S10" s="60" t="s">
        <v>61</v>
      </c>
      <c r="T10" s="62">
        <f t="shared" ref="T10:AI10" si="1">EOMONTH(T9,period-1)</f>
        <v>45869</v>
      </c>
      <c r="U10" s="62">
        <f t="shared" si="1"/>
        <v>46053</v>
      </c>
      <c r="V10" s="62">
        <f t="shared" si="1"/>
        <v>46234</v>
      </c>
      <c r="W10" s="62">
        <f t="shared" si="1"/>
        <v>46418</v>
      </c>
      <c r="X10" s="62">
        <f t="shared" si="1"/>
        <v>46599</v>
      </c>
      <c r="Y10" s="62">
        <f t="shared" si="1"/>
        <v>46783</v>
      </c>
      <c r="Z10" s="62">
        <f t="shared" si="1"/>
        <v>46965</v>
      </c>
      <c r="AA10" s="62">
        <f t="shared" si="1"/>
        <v>47149</v>
      </c>
      <c r="AB10" s="62">
        <f t="shared" si="1"/>
        <v>47330</v>
      </c>
      <c r="AC10" s="62">
        <f t="shared" si="1"/>
        <v>47514</v>
      </c>
      <c r="AD10" s="62">
        <f t="shared" si="1"/>
        <v>47695</v>
      </c>
      <c r="AE10" s="62">
        <f t="shared" si="1"/>
        <v>47879</v>
      </c>
      <c r="AF10" s="62">
        <f t="shared" si="1"/>
        <v>48060</v>
      </c>
      <c r="AG10" s="62">
        <f t="shared" si="1"/>
        <v>48244</v>
      </c>
      <c r="AH10" s="62">
        <f t="shared" si="1"/>
        <v>48426</v>
      </c>
      <c r="AI10" s="62">
        <f t="shared" si="1"/>
        <v>48610</v>
      </c>
    </row>
    <row r="11" spans="1:117" s="63" customFormat="1" ht="17" hidden="1" customHeight="1" outlineLevel="1">
      <c r="P11" s="63" t="s">
        <v>90</v>
      </c>
      <c r="S11" s="63">
        <f>(S14&gt;=[0]!start)*(S14&lt;=[0]!exit)*1</f>
        <v>0</v>
      </c>
      <c r="T11" s="63">
        <f>(T14&gt;=[0]!start)*(T14&lt;=[0]!exit)*1</f>
        <v>1</v>
      </c>
      <c r="U11" s="63">
        <f>(U14&gt;=[0]!start)*(U14&lt;=[0]!exit)*1</f>
        <v>1</v>
      </c>
      <c r="V11" s="63">
        <f>(V14&gt;=[0]!start)*(V14&lt;=[0]!exit)*1</f>
        <v>1</v>
      </c>
      <c r="W11" s="63">
        <f>(W14&gt;=[0]!start)*(W14&lt;=[0]!exit)*1</f>
        <v>1</v>
      </c>
      <c r="X11" s="63">
        <f>(X14&gt;=[0]!start)*(X14&lt;=[0]!exit)*1</f>
        <v>1</v>
      </c>
      <c r="Y11" s="63">
        <f>(Y14&gt;=[0]!start)*(Y14&lt;=[0]!exit)*1</f>
        <v>1</v>
      </c>
      <c r="Z11" s="63">
        <f>(Z14&gt;=[0]!start)*(Z14&lt;=[0]!exit)*1</f>
        <v>1</v>
      </c>
      <c r="AA11" s="63">
        <f>(AA14&gt;=[0]!start)*(AA14&lt;=[0]!exit)*1</f>
        <v>1</v>
      </c>
      <c r="AB11" s="63">
        <f>(AB14&gt;=[0]!start)*(AB14&lt;=[0]!exit)*1</f>
        <v>1</v>
      </c>
      <c r="AC11" s="63">
        <f>(AC14&gt;=[0]!start)*(AC14&lt;=[0]!exit)*1</f>
        <v>1</v>
      </c>
      <c r="AD11" s="63">
        <f>(AD14&gt;=[0]!start)*(AD14&lt;=[0]!exit)*1</f>
        <v>1</v>
      </c>
      <c r="AE11" s="63">
        <f>(AE14&gt;=[0]!start)*(AE14&lt;=[0]!exit)*1</f>
        <v>1</v>
      </c>
      <c r="AF11" s="63">
        <f>(AF14&gt;=[0]!start)*(AF14&lt;=[0]!exit)*1</f>
        <v>1</v>
      </c>
      <c r="AG11" s="63">
        <f>(AG14&gt;=[0]!start)*(AG14&lt;=[0]!exit)*1</f>
        <v>1</v>
      </c>
      <c r="AH11" s="63">
        <f>(AH14&gt;=[0]!start)*(AH14&lt;=[0]!exit)*1</f>
        <v>1</v>
      </c>
      <c r="AI11" s="63">
        <f>(AI14&gt;=[0]!start)*(AI14&lt;=[0]!exit)*1</f>
        <v>1</v>
      </c>
      <c r="AJ11" s="63">
        <f>(AJ14&gt;=[0]!start)*(AJ14&lt;=[0]!exit)*1</f>
        <v>1</v>
      </c>
      <c r="AK11" s="63">
        <f>(AK14&gt;=[0]!start)*(AK14&lt;=[0]!exit)*1</f>
        <v>1</v>
      </c>
      <c r="AL11" s="63">
        <f>(AL14&gt;=[0]!start)*(AL14&lt;=[0]!exit)*1</f>
        <v>1</v>
      </c>
      <c r="AM11" s="63">
        <f>(AM14&gt;=[0]!start)*(AM14&lt;=[0]!exit)*1</f>
        <v>1</v>
      </c>
      <c r="AN11" s="63">
        <f>(AN14&gt;=[0]!start)*(AN14&lt;=[0]!exit)*1</f>
        <v>1</v>
      </c>
      <c r="AO11" s="63">
        <f>(AO14&gt;=[0]!start)*(AO14&lt;=[0]!exit)*1</f>
        <v>1</v>
      </c>
      <c r="AP11" s="63">
        <f>(AP14&gt;=[0]!start)*(AP14&lt;=[0]!exit)*1</f>
        <v>1</v>
      </c>
      <c r="AQ11" s="63">
        <f>(AQ14&gt;=[0]!start)*(AQ14&lt;=[0]!exit)*1</f>
        <v>1</v>
      </c>
      <c r="AR11" s="63">
        <f>(AR14&gt;=[0]!start)*(AR14&lt;=[0]!exit)*1</f>
        <v>1</v>
      </c>
      <c r="AS11" s="63">
        <f>(AS14&gt;=[0]!start)*(AS14&lt;=[0]!exit)*1</f>
        <v>1</v>
      </c>
      <c r="AT11" s="63">
        <f>(AT14&gt;=[0]!start)*(AT14&lt;=[0]!exit)*1</f>
        <v>1</v>
      </c>
      <c r="AU11" s="63">
        <f>(AU14&gt;=[0]!start)*(AU14&lt;=[0]!exit)*1</f>
        <v>1</v>
      </c>
      <c r="AV11" s="63">
        <f>(AV14&gt;=[0]!start)*(AV14&lt;=[0]!exit)*1</f>
        <v>1</v>
      </c>
      <c r="AW11" s="63">
        <f>(AW14&gt;=[0]!start)*(AW14&lt;=[0]!exit)*1</f>
        <v>1</v>
      </c>
      <c r="AX11" s="63">
        <f>(AX14&gt;=[0]!start)*(AX14&lt;=[0]!exit)*1</f>
        <v>1</v>
      </c>
      <c r="AY11" s="63">
        <f>(AY14&gt;=[0]!start)*(AY14&lt;=[0]!exit)*1</f>
        <v>1</v>
      </c>
      <c r="AZ11" s="63">
        <f>(AZ14&gt;=[0]!start)*(AZ14&lt;=[0]!exit)*1</f>
        <v>1</v>
      </c>
      <c r="BA11" s="63">
        <f>(BA14&gt;=[0]!start)*(BA14&lt;=[0]!exit)*1</f>
        <v>1</v>
      </c>
      <c r="BB11" s="63">
        <f>(BB14&gt;=[0]!start)*(BB14&lt;=[0]!exit)*1</f>
        <v>1</v>
      </c>
      <c r="BC11" s="63">
        <f>(BC14&gt;=[0]!start)*(BC14&lt;=[0]!exit)*1</f>
        <v>1</v>
      </c>
      <c r="BD11" s="63">
        <f>(BD14&gt;=[0]!start)*(BD14&lt;=[0]!exit)*1</f>
        <v>1</v>
      </c>
      <c r="BE11" s="63">
        <f>(BE14&gt;=[0]!start)*(BE14&lt;=[0]!exit)*1</f>
        <v>1</v>
      </c>
      <c r="BF11" s="63">
        <f>(BF14&gt;=[0]!start)*(BF14&lt;=[0]!exit)*1</f>
        <v>1</v>
      </c>
      <c r="BG11" s="63">
        <f>(BG14&gt;=[0]!start)*(BG14&lt;=[0]!exit)*1</f>
        <v>1</v>
      </c>
      <c r="BH11" s="63">
        <f>(BH14&gt;=[0]!start)*(BH14&lt;=[0]!exit)*1</f>
        <v>1</v>
      </c>
      <c r="BI11" s="63">
        <f>(BI14&gt;=[0]!start)*(BI14&lt;=[0]!exit)*1</f>
        <v>1</v>
      </c>
      <c r="BJ11" s="63">
        <f>(BJ14&gt;=[0]!start)*(BJ14&lt;=[0]!exit)*1</f>
        <v>1</v>
      </c>
      <c r="BK11" s="63">
        <f>(BK14&gt;=[0]!start)*(BK14&lt;=[0]!exit)*1</f>
        <v>1</v>
      </c>
      <c r="BL11" s="63">
        <f>(BL14&gt;=[0]!start)*(BL14&lt;=[0]!exit)*1</f>
        <v>1</v>
      </c>
      <c r="BM11" s="63">
        <f>(BM14&gt;=[0]!start)*(BM14&lt;=[0]!exit)*1</f>
        <v>1</v>
      </c>
      <c r="BN11" s="63">
        <f>(BN14&gt;=[0]!start)*(BN14&lt;=[0]!exit)*1</f>
        <v>1</v>
      </c>
      <c r="BO11" s="63">
        <f>(BO14&gt;=[0]!start)*(BO14&lt;=[0]!exit)*1</f>
        <v>1</v>
      </c>
      <c r="BP11" s="63">
        <f>(BP14&gt;=[0]!start)*(BP14&lt;=[0]!exit)*1</f>
        <v>1</v>
      </c>
      <c r="BQ11" s="63">
        <f>(BQ14&gt;=[0]!start)*(BQ14&lt;=[0]!exit)*1</f>
        <v>1</v>
      </c>
      <c r="BR11" s="63">
        <f>(BR14&gt;=[0]!start)*(BR14&lt;=[0]!exit)*1</f>
        <v>1</v>
      </c>
      <c r="BS11" s="63">
        <f>(BS14&gt;=[0]!start)*(BS14&lt;=[0]!exit)*1</f>
        <v>1</v>
      </c>
      <c r="BT11" s="63">
        <f>(BT14&gt;=[0]!start)*(BT14&lt;=[0]!exit)*1</f>
        <v>1</v>
      </c>
      <c r="BU11" s="63">
        <f>(BU14&gt;=[0]!start)*(BU14&lt;=[0]!exit)*1</f>
        <v>1</v>
      </c>
      <c r="BV11" s="63">
        <f>(BV14&gt;=[0]!start)*(BV14&lt;=[0]!exit)*1</f>
        <v>1</v>
      </c>
      <c r="BW11" s="63">
        <f>(BW14&gt;=[0]!start)*(BW14&lt;=[0]!exit)*1</f>
        <v>1</v>
      </c>
      <c r="BX11" s="63">
        <f>(BX14&gt;=[0]!start)*(BX14&lt;=[0]!exit)*1</f>
        <v>1</v>
      </c>
      <c r="BY11" s="63">
        <f>(BY14&gt;=[0]!start)*(BY14&lt;=[0]!exit)*1</f>
        <v>1</v>
      </c>
      <c r="BZ11" s="63">
        <f>(BZ14&gt;=[0]!start)*(BZ14&lt;=[0]!exit)*1</f>
        <v>1</v>
      </c>
      <c r="CA11" s="63">
        <f>(CA14&gt;=[0]!start)*(CA14&lt;=[0]!exit)*1</f>
        <v>1</v>
      </c>
      <c r="CB11" s="63">
        <f>(CB14&gt;=[0]!start)*(CB14&lt;=[0]!exit)*1</f>
        <v>0</v>
      </c>
      <c r="CC11" s="63">
        <f>(CC14&gt;=[0]!start)*(CC14&lt;=[0]!exit)*1</f>
        <v>0</v>
      </c>
      <c r="CD11" s="63">
        <f>(CD14&gt;=[0]!start)*(CD14&lt;=[0]!exit)*1</f>
        <v>0</v>
      </c>
      <c r="CE11" s="63">
        <f>(CE14&gt;=[0]!start)*(CE14&lt;=[0]!exit)*1</f>
        <v>0</v>
      </c>
      <c r="CF11" s="63">
        <f>(CF14&gt;=[0]!start)*(CF14&lt;=[0]!exit)*1</f>
        <v>0</v>
      </c>
      <c r="CG11" s="63">
        <f>(CG14&gt;=[0]!start)*(CG14&lt;=[0]!exit)*1</f>
        <v>0</v>
      </c>
      <c r="CH11" s="63">
        <f>(CH14&gt;=[0]!start)*(CH14&lt;=[0]!exit)*1</f>
        <v>0</v>
      </c>
      <c r="CI11" s="63">
        <f>(CI14&gt;=[0]!start)*(CI14&lt;=[0]!exit)*1</f>
        <v>0</v>
      </c>
      <c r="CJ11" s="63">
        <f>(CJ14&gt;=[0]!start)*(CJ14&lt;=[0]!exit)*1</f>
        <v>0</v>
      </c>
      <c r="CK11" s="63">
        <f>(CK14&gt;=[0]!start)*(CK14&lt;=[0]!exit)*1</f>
        <v>0</v>
      </c>
      <c r="CL11" s="63">
        <f>(CL14&gt;=[0]!start)*(CL14&lt;=[0]!exit)*1</f>
        <v>0</v>
      </c>
      <c r="CM11" s="63">
        <f>(CM14&gt;=[0]!start)*(CM14&lt;=[0]!exit)*1</f>
        <v>0</v>
      </c>
      <c r="CN11" s="63">
        <f>(CN14&gt;=[0]!start)*(CN14&lt;=[0]!exit)*1</f>
        <v>0</v>
      </c>
      <c r="CO11" s="63">
        <f>(CO14&gt;=[0]!start)*(CO14&lt;=[0]!exit)*1</f>
        <v>0</v>
      </c>
      <c r="CP11" s="63">
        <f>(CP14&gt;=[0]!start)*(CP14&lt;=[0]!exit)*1</f>
        <v>0</v>
      </c>
      <c r="CQ11" s="63">
        <f>(CQ14&gt;=[0]!start)*(CQ14&lt;=[0]!exit)*1</f>
        <v>0</v>
      </c>
      <c r="CR11" s="63">
        <f>(CR14&gt;=[0]!start)*(CR14&lt;=[0]!exit)*1</f>
        <v>0</v>
      </c>
      <c r="CS11" s="63">
        <f>(CS14&gt;=[0]!start)*(CS14&lt;=[0]!exit)*1</f>
        <v>0</v>
      </c>
      <c r="CT11" s="63">
        <f>(CT14&gt;=[0]!start)*(CT14&lt;=[0]!exit)*1</f>
        <v>0</v>
      </c>
      <c r="CU11" s="63">
        <f>(CU14&gt;=[0]!start)*(CU14&lt;=[0]!exit)*1</f>
        <v>0</v>
      </c>
      <c r="CV11" s="63">
        <f>(CV14&gt;=[0]!start)*(CV14&lt;=[0]!exit)*1</f>
        <v>0</v>
      </c>
      <c r="CW11" s="63">
        <f>(CW14&gt;=[0]!start)*(CW14&lt;=[0]!exit)*1</f>
        <v>0</v>
      </c>
      <c r="CX11" s="63">
        <f>(CX14&gt;=[0]!start)*(CX14&lt;=[0]!exit)*1</f>
        <v>0</v>
      </c>
      <c r="CY11" s="63">
        <f>(CY14&gt;=[0]!start)*(CY14&lt;=[0]!exit)*1</f>
        <v>0</v>
      </c>
      <c r="CZ11" s="63">
        <f>(CZ14&gt;=[0]!start)*(CZ14&lt;=[0]!exit)*1</f>
        <v>0</v>
      </c>
      <c r="DA11" s="63">
        <f>(DA14&gt;=[0]!start)*(DA14&lt;=[0]!exit)*1</f>
        <v>0</v>
      </c>
      <c r="DB11" s="63">
        <f>(DB14&gt;=[0]!start)*(DB14&lt;=[0]!exit)*1</f>
        <v>0</v>
      </c>
      <c r="DC11" s="63">
        <f>(DC14&gt;=[0]!start)*(DC14&lt;=[0]!exit)*1</f>
        <v>0</v>
      </c>
      <c r="DD11" s="63">
        <f>(DD14&gt;=[0]!start)*(DD14&lt;=[0]!exit)*1</f>
        <v>0</v>
      </c>
      <c r="DE11" s="63">
        <f>(DE14&gt;=[0]!start)*(DE14&lt;=[0]!exit)*1</f>
        <v>0</v>
      </c>
      <c r="DF11" s="63">
        <f>(DF14&gt;=[0]!start)*(DF14&lt;=[0]!exit)*1</f>
        <v>0</v>
      </c>
      <c r="DG11" s="63">
        <f>(DG14&gt;=[0]!start)*(DG14&lt;=[0]!exit)*1</f>
        <v>0</v>
      </c>
      <c r="DH11" s="63">
        <f>(DH14&gt;=[0]!start)*(DH14&lt;=[0]!exit)*1</f>
        <v>0</v>
      </c>
      <c r="DI11" s="63">
        <f>(DI14&gt;=[0]!start)*(DI14&lt;=[0]!exit)*1</f>
        <v>0</v>
      </c>
      <c r="DJ11" s="63">
        <f>(DJ14&gt;=[0]!start)*(DJ14&lt;=[0]!exit)*1</f>
        <v>0</v>
      </c>
      <c r="DK11" s="63">
        <f>(DK14&gt;=[0]!start)*(DK14&lt;=[0]!exit)*1</f>
        <v>0</v>
      </c>
      <c r="DL11" s="63">
        <f>(DL14&gt;=[0]!start)*(DL14&lt;=[0]!exit)*1</f>
        <v>0</v>
      </c>
      <c r="DM11" s="63">
        <f>(DM14&gt;=[0]!start)*(DM14&lt;=[0]!exit)*1</f>
        <v>0</v>
      </c>
    </row>
    <row r="12" spans="1:117" s="63" customFormat="1" ht="17" hidden="1" customHeight="1" outlineLevel="1">
      <c r="P12" s="63" t="s">
        <v>91</v>
      </c>
      <c r="S12" s="63">
        <f>SUM($S$11:S11)*S11</f>
        <v>0</v>
      </c>
      <c r="T12" s="63">
        <f>SUM($S$11:T11)*T11</f>
        <v>1</v>
      </c>
      <c r="U12" s="63">
        <f>SUM($S$11:U11)*U11</f>
        <v>2</v>
      </c>
      <c r="V12" s="63">
        <f>SUM($S$11:V11)*V11</f>
        <v>3</v>
      </c>
      <c r="W12" s="63">
        <f>SUM($S$11:W11)*W11</f>
        <v>4</v>
      </c>
      <c r="X12" s="63">
        <f>SUM($S$11:X11)*X11</f>
        <v>5</v>
      </c>
      <c r="Y12" s="63">
        <f>SUM($S$11:Y11)*Y11</f>
        <v>6</v>
      </c>
      <c r="Z12" s="63">
        <f>SUM($S$11:Z11)*Z11</f>
        <v>7</v>
      </c>
      <c r="AA12" s="63">
        <f>SUM($S$11:AA11)*AA11</f>
        <v>8</v>
      </c>
      <c r="AB12" s="63">
        <f>SUM($S$11:AB11)*AB11</f>
        <v>9</v>
      </c>
      <c r="AC12" s="63">
        <f>SUM($S$11:AC11)*AC11</f>
        <v>10</v>
      </c>
      <c r="AD12" s="63">
        <f>SUM($S$11:AD11)*AD11</f>
        <v>11</v>
      </c>
      <c r="AE12" s="63">
        <f>SUM($S$11:AE11)*AE11</f>
        <v>12</v>
      </c>
      <c r="AF12" s="63">
        <f>SUM($S$11:AF11)*AF11</f>
        <v>13</v>
      </c>
      <c r="AG12" s="63">
        <f>SUM($S$11:AG11)*AG11</f>
        <v>14</v>
      </c>
      <c r="AH12" s="63">
        <f>SUM($S$11:AH11)*AH11</f>
        <v>15</v>
      </c>
      <c r="AI12" s="63">
        <f>SUM($S$11:AI11)*AI11</f>
        <v>16</v>
      </c>
      <c r="AJ12" s="63">
        <f>SUM($S$11:AJ11)*AJ11</f>
        <v>17</v>
      </c>
      <c r="AK12" s="63">
        <f>SUM($S$11:AK11)*AK11</f>
        <v>18</v>
      </c>
      <c r="AL12" s="63">
        <f>SUM($S$11:AL11)*AL11</f>
        <v>19</v>
      </c>
      <c r="AM12" s="63">
        <f>SUM($S$11:AM11)*AM11</f>
        <v>20</v>
      </c>
      <c r="AN12" s="63">
        <f>SUM($S$11:AN11)*AN11</f>
        <v>21</v>
      </c>
      <c r="AO12" s="63">
        <f>SUM($S$11:AO11)*AO11</f>
        <v>22</v>
      </c>
      <c r="AP12" s="63">
        <f>SUM($S$11:AP11)*AP11</f>
        <v>23</v>
      </c>
      <c r="AQ12" s="63">
        <f>SUM($S$11:AQ11)*AQ11</f>
        <v>24</v>
      </c>
      <c r="AR12" s="63">
        <f>SUM($S$11:AR11)*AR11</f>
        <v>25</v>
      </c>
      <c r="AS12" s="63">
        <f>SUM($S$11:AS11)*AS11</f>
        <v>26</v>
      </c>
      <c r="AT12" s="63">
        <f>SUM($S$11:AT11)*AT11</f>
        <v>27</v>
      </c>
      <c r="AU12" s="63">
        <f>SUM($S$11:AU11)*AU11</f>
        <v>28</v>
      </c>
      <c r="AV12" s="63">
        <f>SUM($S$11:AV11)*AV11</f>
        <v>29</v>
      </c>
      <c r="AW12" s="63">
        <f>SUM($S$11:AW11)*AW11</f>
        <v>30</v>
      </c>
      <c r="AX12" s="63">
        <f>SUM($S$11:AX11)*AX11</f>
        <v>31</v>
      </c>
      <c r="AY12" s="63">
        <f>SUM($S$11:AY11)*AY11</f>
        <v>32</v>
      </c>
      <c r="AZ12" s="63">
        <f>SUM($S$11:AZ11)*AZ11</f>
        <v>33</v>
      </c>
      <c r="BA12" s="63">
        <f>SUM($S$11:BA11)*BA11</f>
        <v>34</v>
      </c>
      <c r="BB12" s="63">
        <f>SUM($S$11:BB11)*BB11</f>
        <v>35</v>
      </c>
      <c r="BC12" s="63">
        <f>SUM($S$11:BC11)*BC11</f>
        <v>36</v>
      </c>
      <c r="BD12" s="63">
        <f>SUM($S$11:BD11)*BD11</f>
        <v>37</v>
      </c>
      <c r="BE12" s="63">
        <f>SUM($S$11:BE11)*BE11</f>
        <v>38</v>
      </c>
      <c r="BF12" s="63">
        <f>SUM($S$11:BF11)*BF11</f>
        <v>39</v>
      </c>
      <c r="BG12" s="63">
        <f>SUM($S$11:BG11)*BG11</f>
        <v>40</v>
      </c>
      <c r="BH12" s="63">
        <f>SUM($S$11:BH11)*BH11</f>
        <v>41</v>
      </c>
      <c r="BI12" s="63">
        <f>SUM($S$11:BI11)*BI11</f>
        <v>42</v>
      </c>
      <c r="BJ12" s="63">
        <f>SUM($S$11:BJ11)*BJ11</f>
        <v>43</v>
      </c>
      <c r="BK12" s="63">
        <f>SUM($S$11:BK11)*BK11</f>
        <v>44</v>
      </c>
      <c r="BL12" s="63">
        <f>SUM($S$11:BL11)*BL11</f>
        <v>45</v>
      </c>
      <c r="BM12" s="63">
        <f>SUM($S$11:BM11)*BM11</f>
        <v>46</v>
      </c>
      <c r="BN12" s="63">
        <f>SUM($S$11:BN11)*BN11</f>
        <v>47</v>
      </c>
      <c r="BO12" s="63">
        <f>SUM($S$11:BO11)*BO11</f>
        <v>48</v>
      </c>
      <c r="BP12" s="63">
        <f>SUM($S$11:BP11)*BP11</f>
        <v>49</v>
      </c>
      <c r="BQ12" s="63">
        <f>SUM($S$11:BQ11)*BQ11</f>
        <v>50</v>
      </c>
      <c r="BR12" s="63">
        <f>SUM($S$11:BR11)*BR11</f>
        <v>51</v>
      </c>
      <c r="BS12" s="63">
        <f>SUM($S$11:BS11)*BS11</f>
        <v>52</v>
      </c>
      <c r="BT12" s="63">
        <f>SUM($S$11:BT11)*BT11</f>
        <v>53</v>
      </c>
      <c r="BU12" s="63">
        <f>SUM($S$11:BU11)*BU11</f>
        <v>54</v>
      </c>
      <c r="BV12" s="63">
        <f>SUM($S$11:BV11)*BV11</f>
        <v>55</v>
      </c>
      <c r="BW12" s="63">
        <f>SUM($S$11:BW11)*BW11</f>
        <v>56</v>
      </c>
      <c r="BX12" s="63">
        <f>SUM($S$11:BX11)*BX11</f>
        <v>57</v>
      </c>
      <c r="BY12" s="63">
        <f>SUM($S$11:BY11)*BY11</f>
        <v>58</v>
      </c>
      <c r="BZ12" s="63">
        <f>SUM($S$11:BZ11)*BZ11</f>
        <v>59</v>
      </c>
      <c r="CA12" s="63">
        <f>SUM($S$11:CA11)*CA11</f>
        <v>60</v>
      </c>
      <c r="CB12" s="63">
        <f>SUM($S$11:CB11)*CB11</f>
        <v>0</v>
      </c>
      <c r="CC12" s="63">
        <f>SUM($S$11:CC11)*CC11</f>
        <v>0</v>
      </c>
      <c r="CD12" s="63">
        <f>SUM($S$11:CD11)*CD11</f>
        <v>0</v>
      </c>
      <c r="CE12" s="63">
        <f>SUM($S$11:CE11)*CE11</f>
        <v>0</v>
      </c>
      <c r="CF12" s="63">
        <f>SUM($S$11:CF11)*CF11</f>
        <v>0</v>
      </c>
      <c r="CG12" s="63">
        <f>SUM($S$11:CG11)*CG11</f>
        <v>0</v>
      </c>
      <c r="CH12" s="63">
        <f>SUM($S$11:CH11)*CH11</f>
        <v>0</v>
      </c>
      <c r="CI12" s="63">
        <f>SUM($S$11:CI11)*CI11</f>
        <v>0</v>
      </c>
      <c r="CJ12" s="63">
        <f>SUM($S$11:CJ11)*CJ11</f>
        <v>0</v>
      </c>
      <c r="CK12" s="63">
        <f>SUM($S$11:CK11)*CK11</f>
        <v>0</v>
      </c>
      <c r="CL12" s="63">
        <f>SUM($S$11:CL11)*CL11</f>
        <v>0</v>
      </c>
      <c r="CM12" s="63">
        <f>SUM($S$11:CM11)*CM11</f>
        <v>0</v>
      </c>
      <c r="CN12" s="63">
        <f>SUM($S$11:CN11)*CN11</f>
        <v>0</v>
      </c>
      <c r="CO12" s="63">
        <f>SUM($S$11:CO11)*CO11</f>
        <v>0</v>
      </c>
      <c r="CP12" s="63">
        <f>SUM($S$11:CP11)*CP11</f>
        <v>0</v>
      </c>
      <c r="CQ12" s="63">
        <f>SUM($S$11:CQ11)*CQ11</f>
        <v>0</v>
      </c>
      <c r="CR12" s="63">
        <f>SUM($S$11:CR11)*CR11</f>
        <v>0</v>
      </c>
      <c r="CS12" s="63">
        <f>SUM($S$11:CS11)*CS11</f>
        <v>0</v>
      </c>
      <c r="CT12" s="63">
        <f>SUM($S$11:CT11)*CT11</f>
        <v>0</v>
      </c>
      <c r="CU12" s="63">
        <f>SUM($S$11:CU11)*CU11</f>
        <v>0</v>
      </c>
      <c r="CV12" s="63">
        <f>SUM($S$11:CV11)*CV11</f>
        <v>0</v>
      </c>
      <c r="CW12" s="63">
        <f>SUM($S$11:CW11)*CW11</f>
        <v>0</v>
      </c>
      <c r="CX12" s="63">
        <f>SUM($S$11:CX11)*CX11</f>
        <v>0</v>
      </c>
      <c r="CY12" s="63">
        <f>SUM($S$11:CY11)*CY11</f>
        <v>0</v>
      </c>
      <c r="CZ12" s="63">
        <f>SUM($S$11:CZ11)*CZ11</f>
        <v>0</v>
      </c>
      <c r="DA12" s="63">
        <f>SUM($S$11:DA11)*DA11</f>
        <v>0</v>
      </c>
      <c r="DB12" s="63">
        <f>SUM($S$11:DB11)*DB11</f>
        <v>0</v>
      </c>
      <c r="DC12" s="63">
        <f>SUM($S$11:DC11)*DC11</f>
        <v>0</v>
      </c>
      <c r="DD12" s="63">
        <f>SUM($S$11:DD11)*DD11</f>
        <v>0</v>
      </c>
      <c r="DE12" s="63">
        <f>SUM($S$11:DE11)*DE11</f>
        <v>0</v>
      </c>
      <c r="DF12" s="63">
        <f>SUM($S$11:DF11)*DF11</f>
        <v>0</v>
      </c>
      <c r="DG12" s="63">
        <f>SUM($S$11:DG11)*DG11</f>
        <v>0</v>
      </c>
      <c r="DH12" s="63">
        <f>SUM($S$11:DH11)*DH11</f>
        <v>0</v>
      </c>
      <c r="DI12" s="63">
        <f>SUM($S$11:DI11)*DI11</f>
        <v>0</v>
      </c>
      <c r="DJ12" s="63">
        <f>SUM($S$11:DJ11)*DJ11</f>
        <v>0</v>
      </c>
      <c r="DK12" s="63">
        <f>SUM($S$11:DK11)*DK11</f>
        <v>0</v>
      </c>
      <c r="DL12" s="63">
        <f>SUM($S$11:DL11)*DL11</f>
        <v>0</v>
      </c>
      <c r="DM12" s="63">
        <f>SUM($S$11:DM11)*DM11</f>
        <v>0</v>
      </c>
    </row>
    <row r="13" spans="1:117" s="63" customFormat="1" ht="17" hidden="1" customHeight="1" outlineLevel="1">
      <c r="P13" s="63" t="s">
        <v>92</v>
      </c>
      <c r="S13" s="63">
        <f>(MOD(S12,12)=1)*1</f>
        <v>0</v>
      </c>
      <c r="T13" s="63">
        <f t="shared" ref="T13:CE13" si="2">(MOD(T12,12)=1)*1</f>
        <v>1</v>
      </c>
      <c r="U13" s="63">
        <f t="shared" si="2"/>
        <v>0</v>
      </c>
      <c r="V13" s="63">
        <f t="shared" si="2"/>
        <v>0</v>
      </c>
      <c r="W13" s="63">
        <f t="shared" si="2"/>
        <v>0</v>
      </c>
      <c r="X13" s="63">
        <f t="shared" si="2"/>
        <v>0</v>
      </c>
      <c r="Y13" s="63">
        <f t="shared" si="2"/>
        <v>0</v>
      </c>
      <c r="Z13" s="63">
        <f t="shared" si="2"/>
        <v>0</v>
      </c>
      <c r="AA13" s="63">
        <f t="shared" si="2"/>
        <v>0</v>
      </c>
      <c r="AB13" s="63">
        <f t="shared" si="2"/>
        <v>0</v>
      </c>
      <c r="AC13" s="63">
        <f t="shared" si="2"/>
        <v>0</v>
      </c>
      <c r="AD13" s="63">
        <f t="shared" si="2"/>
        <v>0</v>
      </c>
      <c r="AE13" s="63">
        <f t="shared" si="2"/>
        <v>0</v>
      </c>
      <c r="AF13" s="63">
        <f t="shared" si="2"/>
        <v>1</v>
      </c>
      <c r="AG13" s="63">
        <f t="shared" si="2"/>
        <v>0</v>
      </c>
      <c r="AH13" s="63">
        <f t="shared" si="2"/>
        <v>0</v>
      </c>
      <c r="AI13" s="63">
        <f t="shared" si="2"/>
        <v>0</v>
      </c>
      <c r="AJ13" s="63">
        <f t="shared" si="2"/>
        <v>0</v>
      </c>
      <c r="AK13" s="63">
        <f t="shared" si="2"/>
        <v>0</v>
      </c>
      <c r="AL13" s="63">
        <f t="shared" si="2"/>
        <v>0</v>
      </c>
      <c r="AM13" s="63">
        <f t="shared" si="2"/>
        <v>0</v>
      </c>
      <c r="AN13" s="63">
        <f t="shared" si="2"/>
        <v>0</v>
      </c>
      <c r="AO13" s="63">
        <f t="shared" si="2"/>
        <v>0</v>
      </c>
      <c r="AP13" s="63">
        <f t="shared" si="2"/>
        <v>0</v>
      </c>
      <c r="AQ13" s="63">
        <f t="shared" si="2"/>
        <v>0</v>
      </c>
      <c r="AR13" s="63">
        <f t="shared" si="2"/>
        <v>1</v>
      </c>
      <c r="AS13" s="63">
        <f t="shared" si="2"/>
        <v>0</v>
      </c>
      <c r="AT13" s="63">
        <f t="shared" si="2"/>
        <v>0</v>
      </c>
      <c r="AU13" s="63">
        <f t="shared" si="2"/>
        <v>0</v>
      </c>
      <c r="AV13" s="63">
        <f t="shared" si="2"/>
        <v>0</v>
      </c>
      <c r="AW13" s="63">
        <f t="shared" si="2"/>
        <v>0</v>
      </c>
      <c r="AX13" s="63">
        <f t="shared" si="2"/>
        <v>0</v>
      </c>
      <c r="AY13" s="63">
        <f t="shared" si="2"/>
        <v>0</v>
      </c>
      <c r="AZ13" s="63">
        <f t="shared" si="2"/>
        <v>0</v>
      </c>
      <c r="BA13" s="63">
        <f t="shared" si="2"/>
        <v>0</v>
      </c>
      <c r="BB13" s="63">
        <f t="shared" si="2"/>
        <v>0</v>
      </c>
      <c r="BC13" s="63">
        <f t="shared" si="2"/>
        <v>0</v>
      </c>
      <c r="BD13" s="63">
        <f t="shared" si="2"/>
        <v>1</v>
      </c>
      <c r="BE13" s="63">
        <f t="shared" si="2"/>
        <v>0</v>
      </c>
      <c r="BF13" s="63">
        <f t="shared" si="2"/>
        <v>0</v>
      </c>
      <c r="BG13" s="63">
        <f t="shared" si="2"/>
        <v>0</v>
      </c>
      <c r="BH13" s="63">
        <f t="shared" si="2"/>
        <v>0</v>
      </c>
      <c r="BI13" s="63">
        <f t="shared" si="2"/>
        <v>0</v>
      </c>
      <c r="BJ13" s="63">
        <f t="shared" si="2"/>
        <v>0</v>
      </c>
      <c r="BK13" s="63">
        <f t="shared" si="2"/>
        <v>0</v>
      </c>
      <c r="BL13" s="63">
        <f t="shared" si="2"/>
        <v>0</v>
      </c>
      <c r="BM13" s="63">
        <f t="shared" si="2"/>
        <v>0</v>
      </c>
      <c r="BN13" s="63">
        <f t="shared" si="2"/>
        <v>0</v>
      </c>
      <c r="BO13" s="63">
        <f t="shared" si="2"/>
        <v>0</v>
      </c>
      <c r="BP13" s="63">
        <f t="shared" si="2"/>
        <v>1</v>
      </c>
      <c r="BQ13" s="63">
        <f t="shared" si="2"/>
        <v>0</v>
      </c>
      <c r="BR13" s="63">
        <f t="shared" si="2"/>
        <v>0</v>
      </c>
      <c r="BS13" s="63">
        <f t="shared" si="2"/>
        <v>0</v>
      </c>
      <c r="BT13" s="63">
        <f t="shared" si="2"/>
        <v>0</v>
      </c>
      <c r="BU13" s="63">
        <f t="shared" si="2"/>
        <v>0</v>
      </c>
      <c r="BV13" s="63">
        <f t="shared" si="2"/>
        <v>0</v>
      </c>
      <c r="BW13" s="63">
        <f t="shared" si="2"/>
        <v>0</v>
      </c>
      <c r="BX13" s="63">
        <f t="shared" si="2"/>
        <v>0</v>
      </c>
      <c r="BY13" s="63">
        <f t="shared" si="2"/>
        <v>0</v>
      </c>
      <c r="BZ13" s="63">
        <f t="shared" si="2"/>
        <v>0</v>
      </c>
      <c r="CA13" s="63">
        <f t="shared" si="2"/>
        <v>0</v>
      </c>
      <c r="CB13" s="63">
        <f t="shared" si="2"/>
        <v>0</v>
      </c>
      <c r="CC13" s="63">
        <f t="shared" si="2"/>
        <v>0</v>
      </c>
      <c r="CD13" s="63">
        <f t="shared" si="2"/>
        <v>0</v>
      </c>
      <c r="CE13" s="63">
        <f t="shared" si="2"/>
        <v>0</v>
      </c>
      <c r="CF13" s="63">
        <f t="shared" ref="CF13:DM13" si="3">(MOD(CF12,12)=1)*1</f>
        <v>0</v>
      </c>
      <c r="CG13" s="63">
        <f t="shared" si="3"/>
        <v>0</v>
      </c>
      <c r="CH13" s="63">
        <f t="shared" si="3"/>
        <v>0</v>
      </c>
      <c r="CI13" s="63">
        <f t="shared" si="3"/>
        <v>0</v>
      </c>
      <c r="CJ13" s="63">
        <f t="shared" si="3"/>
        <v>0</v>
      </c>
      <c r="CK13" s="63">
        <f t="shared" si="3"/>
        <v>0</v>
      </c>
      <c r="CL13" s="63">
        <f t="shared" si="3"/>
        <v>0</v>
      </c>
      <c r="CM13" s="63">
        <f t="shared" si="3"/>
        <v>0</v>
      </c>
      <c r="CN13" s="63">
        <f t="shared" si="3"/>
        <v>0</v>
      </c>
      <c r="CO13" s="63">
        <f t="shared" si="3"/>
        <v>0</v>
      </c>
      <c r="CP13" s="63">
        <f t="shared" si="3"/>
        <v>0</v>
      </c>
      <c r="CQ13" s="63">
        <f t="shared" si="3"/>
        <v>0</v>
      </c>
      <c r="CR13" s="63">
        <f t="shared" si="3"/>
        <v>0</v>
      </c>
      <c r="CS13" s="63">
        <f t="shared" si="3"/>
        <v>0</v>
      </c>
      <c r="CT13" s="63">
        <f t="shared" si="3"/>
        <v>0</v>
      </c>
      <c r="CU13" s="63">
        <f t="shared" si="3"/>
        <v>0</v>
      </c>
      <c r="CV13" s="63">
        <f t="shared" si="3"/>
        <v>0</v>
      </c>
      <c r="CW13" s="63">
        <f t="shared" si="3"/>
        <v>0</v>
      </c>
      <c r="CX13" s="63">
        <f t="shared" si="3"/>
        <v>0</v>
      </c>
      <c r="CY13" s="63">
        <f t="shared" si="3"/>
        <v>0</v>
      </c>
      <c r="CZ13" s="63">
        <f t="shared" si="3"/>
        <v>0</v>
      </c>
      <c r="DA13" s="63">
        <f t="shared" si="3"/>
        <v>0</v>
      </c>
      <c r="DB13" s="63">
        <f t="shared" si="3"/>
        <v>0</v>
      </c>
      <c r="DC13" s="63">
        <f t="shared" si="3"/>
        <v>0</v>
      </c>
      <c r="DD13" s="63">
        <f t="shared" si="3"/>
        <v>0</v>
      </c>
      <c r="DE13" s="63">
        <f t="shared" si="3"/>
        <v>0</v>
      </c>
      <c r="DF13" s="63">
        <f t="shared" si="3"/>
        <v>0</v>
      </c>
      <c r="DG13" s="63">
        <f t="shared" si="3"/>
        <v>0</v>
      </c>
      <c r="DH13" s="63">
        <f t="shared" si="3"/>
        <v>0</v>
      </c>
      <c r="DI13" s="63">
        <f t="shared" si="3"/>
        <v>0</v>
      </c>
      <c r="DJ13" s="63">
        <f t="shared" si="3"/>
        <v>0</v>
      </c>
      <c r="DK13" s="63">
        <f t="shared" si="3"/>
        <v>0</v>
      </c>
      <c r="DL13" s="63">
        <f t="shared" si="3"/>
        <v>0</v>
      </c>
      <c r="DM13" s="63">
        <f t="shared" si="3"/>
        <v>0</v>
      </c>
    </row>
    <row r="14" spans="1:117" ht="17" customHeight="1" collapsed="1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 t="s">
        <v>93</v>
      </c>
      <c r="Q14" s="64"/>
      <c r="R14" s="64"/>
      <c r="S14" s="65">
        <f>acq</f>
        <v>45688</v>
      </c>
      <c r="T14" s="65">
        <f>EOMONTH(S14,1)</f>
        <v>45716</v>
      </c>
      <c r="U14" s="65">
        <f t="shared" ref="U14:CF14" si="4">EOMONTH(T14,1)</f>
        <v>45747</v>
      </c>
      <c r="V14" s="65">
        <f t="shared" si="4"/>
        <v>45777</v>
      </c>
      <c r="W14" s="65">
        <f t="shared" si="4"/>
        <v>45808</v>
      </c>
      <c r="X14" s="65">
        <f t="shared" si="4"/>
        <v>45838</v>
      </c>
      <c r="Y14" s="65">
        <f t="shared" si="4"/>
        <v>45869</v>
      </c>
      <c r="Z14" s="65">
        <f t="shared" si="4"/>
        <v>45900</v>
      </c>
      <c r="AA14" s="65">
        <f t="shared" si="4"/>
        <v>45930</v>
      </c>
      <c r="AB14" s="65">
        <f t="shared" si="4"/>
        <v>45961</v>
      </c>
      <c r="AC14" s="65">
        <f t="shared" si="4"/>
        <v>45991</v>
      </c>
      <c r="AD14" s="65">
        <f t="shared" si="4"/>
        <v>46022</v>
      </c>
      <c r="AE14" s="65">
        <f t="shared" si="4"/>
        <v>46053</v>
      </c>
      <c r="AF14" s="65">
        <f t="shared" si="4"/>
        <v>46081</v>
      </c>
      <c r="AG14" s="65">
        <f t="shared" si="4"/>
        <v>46112</v>
      </c>
      <c r="AH14" s="65">
        <f t="shared" si="4"/>
        <v>46142</v>
      </c>
      <c r="AI14" s="65">
        <f t="shared" si="4"/>
        <v>46173</v>
      </c>
      <c r="AJ14" s="65">
        <f t="shared" si="4"/>
        <v>46203</v>
      </c>
      <c r="AK14" s="65">
        <f t="shared" si="4"/>
        <v>46234</v>
      </c>
      <c r="AL14" s="65">
        <f t="shared" si="4"/>
        <v>46265</v>
      </c>
      <c r="AM14" s="65">
        <f t="shared" si="4"/>
        <v>46295</v>
      </c>
      <c r="AN14" s="65">
        <f t="shared" si="4"/>
        <v>46326</v>
      </c>
      <c r="AO14" s="65">
        <f t="shared" si="4"/>
        <v>46356</v>
      </c>
      <c r="AP14" s="65">
        <f t="shared" si="4"/>
        <v>46387</v>
      </c>
      <c r="AQ14" s="65">
        <f t="shared" si="4"/>
        <v>46418</v>
      </c>
      <c r="AR14" s="65">
        <f t="shared" si="4"/>
        <v>46446</v>
      </c>
      <c r="AS14" s="65">
        <f t="shared" si="4"/>
        <v>46477</v>
      </c>
      <c r="AT14" s="65">
        <f t="shared" si="4"/>
        <v>46507</v>
      </c>
      <c r="AU14" s="65">
        <f t="shared" si="4"/>
        <v>46538</v>
      </c>
      <c r="AV14" s="65">
        <f t="shared" si="4"/>
        <v>46568</v>
      </c>
      <c r="AW14" s="65">
        <f t="shared" si="4"/>
        <v>46599</v>
      </c>
      <c r="AX14" s="65">
        <f t="shared" si="4"/>
        <v>46630</v>
      </c>
      <c r="AY14" s="65">
        <f t="shared" si="4"/>
        <v>46660</v>
      </c>
      <c r="AZ14" s="65">
        <f t="shared" si="4"/>
        <v>46691</v>
      </c>
      <c r="BA14" s="65">
        <f t="shared" si="4"/>
        <v>46721</v>
      </c>
      <c r="BB14" s="65">
        <f t="shared" si="4"/>
        <v>46752</v>
      </c>
      <c r="BC14" s="65">
        <f t="shared" si="4"/>
        <v>46783</v>
      </c>
      <c r="BD14" s="65">
        <f t="shared" si="4"/>
        <v>46812</v>
      </c>
      <c r="BE14" s="65">
        <f t="shared" si="4"/>
        <v>46843</v>
      </c>
      <c r="BF14" s="65">
        <f t="shared" si="4"/>
        <v>46873</v>
      </c>
      <c r="BG14" s="65">
        <f t="shared" si="4"/>
        <v>46904</v>
      </c>
      <c r="BH14" s="65">
        <f t="shared" si="4"/>
        <v>46934</v>
      </c>
      <c r="BI14" s="65">
        <f t="shared" si="4"/>
        <v>46965</v>
      </c>
      <c r="BJ14" s="65">
        <f t="shared" si="4"/>
        <v>46996</v>
      </c>
      <c r="BK14" s="65">
        <f t="shared" si="4"/>
        <v>47026</v>
      </c>
      <c r="BL14" s="65">
        <f t="shared" si="4"/>
        <v>47057</v>
      </c>
      <c r="BM14" s="65">
        <f t="shared" si="4"/>
        <v>47087</v>
      </c>
      <c r="BN14" s="65">
        <f t="shared" si="4"/>
        <v>47118</v>
      </c>
      <c r="BO14" s="65">
        <f t="shared" si="4"/>
        <v>47149</v>
      </c>
      <c r="BP14" s="65">
        <f t="shared" si="4"/>
        <v>47177</v>
      </c>
      <c r="BQ14" s="65">
        <f t="shared" si="4"/>
        <v>47208</v>
      </c>
      <c r="BR14" s="65">
        <f t="shared" si="4"/>
        <v>47238</v>
      </c>
      <c r="BS14" s="65">
        <f t="shared" si="4"/>
        <v>47269</v>
      </c>
      <c r="BT14" s="65">
        <f t="shared" si="4"/>
        <v>47299</v>
      </c>
      <c r="BU14" s="65">
        <f t="shared" si="4"/>
        <v>47330</v>
      </c>
      <c r="BV14" s="65">
        <f t="shared" si="4"/>
        <v>47361</v>
      </c>
      <c r="BW14" s="65">
        <f t="shared" si="4"/>
        <v>47391</v>
      </c>
      <c r="BX14" s="65">
        <f t="shared" si="4"/>
        <v>47422</v>
      </c>
      <c r="BY14" s="65">
        <f t="shared" si="4"/>
        <v>47452</v>
      </c>
      <c r="BZ14" s="65">
        <f t="shared" si="4"/>
        <v>47483</v>
      </c>
      <c r="CA14" s="65">
        <f t="shared" si="4"/>
        <v>47514</v>
      </c>
      <c r="CB14" s="65">
        <f t="shared" si="4"/>
        <v>47542</v>
      </c>
      <c r="CC14" s="65">
        <f t="shared" si="4"/>
        <v>47573</v>
      </c>
      <c r="CD14" s="65">
        <f t="shared" si="4"/>
        <v>47603</v>
      </c>
      <c r="CE14" s="65">
        <f t="shared" si="4"/>
        <v>47634</v>
      </c>
      <c r="CF14" s="65">
        <f t="shared" si="4"/>
        <v>47664</v>
      </c>
      <c r="CG14" s="65">
        <f t="shared" ref="CG14:DM14" si="5">EOMONTH(CF14,1)</f>
        <v>47695</v>
      </c>
      <c r="CH14" s="65">
        <f t="shared" si="5"/>
        <v>47726</v>
      </c>
      <c r="CI14" s="65">
        <f t="shared" si="5"/>
        <v>47756</v>
      </c>
      <c r="CJ14" s="65">
        <f t="shared" si="5"/>
        <v>47787</v>
      </c>
      <c r="CK14" s="65">
        <f t="shared" si="5"/>
        <v>47817</v>
      </c>
      <c r="CL14" s="65">
        <f t="shared" si="5"/>
        <v>47848</v>
      </c>
      <c r="CM14" s="65">
        <f t="shared" si="5"/>
        <v>47879</v>
      </c>
      <c r="CN14" s="65">
        <f t="shared" si="5"/>
        <v>47907</v>
      </c>
      <c r="CO14" s="65">
        <f t="shared" si="5"/>
        <v>47938</v>
      </c>
      <c r="CP14" s="65">
        <f t="shared" si="5"/>
        <v>47968</v>
      </c>
      <c r="CQ14" s="65">
        <f t="shared" si="5"/>
        <v>47999</v>
      </c>
      <c r="CR14" s="65">
        <f t="shared" si="5"/>
        <v>48029</v>
      </c>
      <c r="CS14" s="65">
        <f t="shared" si="5"/>
        <v>48060</v>
      </c>
      <c r="CT14" s="65">
        <f t="shared" si="5"/>
        <v>48091</v>
      </c>
      <c r="CU14" s="65">
        <f t="shared" si="5"/>
        <v>48121</v>
      </c>
      <c r="CV14" s="65">
        <f t="shared" si="5"/>
        <v>48152</v>
      </c>
      <c r="CW14" s="65">
        <f t="shared" si="5"/>
        <v>48182</v>
      </c>
      <c r="CX14" s="65">
        <f t="shared" si="5"/>
        <v>48213</v>
      </c>
      <c r="CY14" s="65">
        <f t="shared" si="5"/>
        <v>48244</v>
      </c>
      <c r="CZ14" s="65">
        <f t="shared" si="5"/>
        <v>48273</v>
      </c>
      <c r="DA14" s="65">
        <f t="shared" si="5"/>
        <v>48304</v>
      </c>
      <c r="DB14" s="65">
        <f t="shared" si="5"/>
        <v>48334</v>
      </c>
      <c r="DC14" s="65">
        <f t="shared" si="5"/>
        <v>48365</v>
      </c>
      <c r="DD14" s="65">
        <f t="shared" si="5"/>
        <v>48395</v>
      </c>
      <c r="DE14" s="65">
        <f t="shared" si="5"/>
        <v>48426</v>
      </c>
      <c r="DF14" s="65">
        <f t="shared" si="5"/>
        <v>48457</v>
      </c>
      <c r="DG14" s="65">
        <f t="shared" si="5"/>
        <v>48487</v>
      </c>
      <c r="DH14" s="65">
        <f t="shared" si="5"/>
        <v>48518</v>
      </c>
      <c r="DI14" s="65">
        <f t="shared" si="5"/>
        <v>48548</v>
      </c>
      <c r="DJ14" s="65">
        <f t="shared" si="5"/>
        <v>48579</v>
      </c>
      <c r="DK14" s="65">
        <f t="shared" si="5"/>
        <v>48610</v>
      </c>
      <c r="DL14" s="65">
        <f t="shared" si="5"/>
        <v>48638</v>
      </c>
      <c r="DM14" s="65">
        <f t="shared" si="5"/>
        <v>48669</v>
      </c>
    </row>
    <row r="15" spans="1:117" ht="17" customHeight="1"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 t="s">
        <v>94</v>
      </c>
      <c r="Q15" s="64"/>
      <c r="R15" s="64"/>
      <c r="S15" s="66">
        <f>SUMIFS($T$8:$AI$8,$T$9:$AI$9,"&lt;="&amp;S$14,$T$10:$AI$10,"&gt;="&amp;S$14)</f>
        <v>0</v>
      </c>
      <c r="T15" s="66">
        <f t="shared" ref="T15:CE15" si="6">SUMIFS($T$8:$AI$8,$T$9:$AI$9,"&lt;="&amp;T$14,$T$10:$AI$10,"&gt;="&amp;T$14)</f>
        <v>1</v>
      </c>
      <c r="U15" s="66">
        <f t="shared" si="6"/>
        <v>1</v>
      </c>
      <c r="V15" s="66">
        <f t="shared" si="6"/>
        <v>1</v>
      </c>
      <c r="W15" s="66">
        <f t="shared" si="6"/>
        <v>1</v>
      </c>
      <c r="X15" s="66">
        <f t="shared" si="6"/>
        <v>1</v>
      </c>
      <c r="Y15" s="66">
        <f t="shared" si="6"/>
        <v>1</v>
      </c>
      <c r="Z15" s="66">
        <f t="shared" si="6"/>
        <v>2</v>
      </c>
      <c r="AA15" s="66">
        <f t="shared" si="6"/>
        <v>2</v>
      </c>
      <c r="AB15" s="66">
        <f t="shared" si="6"/>
        <v>2</v>
      </c>
      <c r="AC15" s="66">
        <f t="shared" si="6"/>
        <v>2</v>
      </c>
      <c r="AD15" s="66">
        <f t="shared" si="6"/>
        <v>2</v>
      </c>
      <c r="AE15" s="66">
        <f t="shared" si="6"/>
        <v>2</v>
      </c>
      <c r="AF15" s="66">
        <f t="shared" si="6"/>
        <v>3</v>
      </c>
      <c r="AG15" s="66">
        <f t="shared" si="6"/>
        <v>3</v>
      </c>
      <c r="AH15" s="66">
        <f t="shared" si="6"/>
        <v>3</v>
      </c>
      <c r="AI15" s="66">
        <f t="shared" si="6"/>
        <v>3</v>
      </c>
      <c r="AJ15" s="66">
        <f t="shared" si="6"/>
        <v>3</v>
      </c>
      <c r="AK15" s="66">
        <f t="shared" si="6"/>
        <v>3</v>
      </c>
      <c r="AL15" s="66">
        <f t="shared" si="6"/>
        <v>4</v>
      </c>
      <c r="AM15" s="66">
        <f t="shared" si="6"/>
        <v>4</v>
      </c>
      <c r="AN15" s="66">
        <f t="shared" si="6"/>
        <v>4</v>
      </c>
      <c r="AO15" s="66">
        <f t="shared" si="6"/>
        <v>4</v>
      </c>
      <c r="AP15" s="66">
        <f t="shared" si="6"/>
        <v>4</v>
      </c>
      <c r="AQ15" s="66">
        <f t="shared" si="6"/>
        <v>4</v>
      </c>
      <c r="AR15" s="66">
        <f t="shared" si="6"/>
        <v>5</v>
      </c>
      <c r="AS15" s="66">
        <f t="shared" si="6"/>
        <v>5</v>
      </c>
      <c r="AT15" s="66">
        <f t="shared" si="6"/>
        <v>5</v>
      </c>
      <c r="AU15" s="66">
        <f t="shared" si="6"/>
        <v>5</v>
      </c>
      <c r="AV15" s="66">
        <f t="shared" si="6"/>
        <v>5</v>
      </c>
      <c r="AW15" s="66">
        <f t="shared" si="6"/>
        <v>5</v>
      </c>
      <c r="AX15" s="66">
        <f t="shared" si="6"/>
        <v>6</v>
      </c>
      <c r="AY15" s="66">
        <f t="shared" si="6"/>
        <v>6</v>
      </c>
      <c r="AZ15" s="66">
        <f t="shared" si="6"/>
        <v>6</v>
      </c>
      <c r="BA15" s="66">
        <f t="shared" si="6"/>
        <v>6</v>
      </c>
      <c r="BB15" s="66">
        <f t="shared" si="6"/>
        <v>6</v>
      </c>
      <c r="BC15" s="66">
        <f t="shared" si="6"/>
        <v>6</v>
      </c>
      <c r="BD15" s="66">
        <f t="shared" si="6"/>
        <v>7</v>
      </c>
      <c r="BE15" s="66">
        <f t="shared" si="6"/>
        <v>7</v>
      </c>
      <c r="BF15" s="66">
        <f t="shared" si="6"/>
        <v>7</v>
      </c>
      <c r="BG15" s="66">
        <f t="shared" si="6"/>
        <v>7</v>
      </c>
      <c r="BH15" s="66">
        <f t="shared" si="6"/>
        <v>7</v>
      </c>
      <c r="BI15" s="66">
        <f t="shared" si="6"/>
        <v>7</v>
      </c>
      <c r="BJ15" s="66">
        <f t="shared" si="6"/>
        <v>8</v>
      </c>
      <c r="BK15" s="66">
        <f t="shared" si="6"/>
        <v>8</v>
      </c>
      <c r="BL15" s="66">
        <f t="shared" si="6"/>
        <v>8</v>
      </c>
      <c r="BM15" s="66">
        <f t="shared" si="6"/>
        <v>8</v>
      </c>
      <c r="BN15" s="66">
        <f t="shared" si="6"/>
        <v>8</v>
      </c>
      <c r="BO15" s="66">
        <f t="shared" si="6"/>
        <v>8</v>
      </c>
      <c r="BP15" s="66">
        <f t="shared" si="6"/>
        <v>9</v>
      </c>
      <c r="BQ15" s="66">
        <f t="shared" si="6"/>
        <v>9</v>
      </c>
      <c r="BR15" s="66">
        <f t="shared" si="6"/>
        <v>9</v>
      </c>
      <c r="BS15" s="66">
        <f t="shared" si="6"/>
        <v>9</v>
      </c>
      <c r="BT15" s="66">
        <f t="shared" si="6"/>
        <v>9</v>
      </c>
      <c r="BU15" s="66">
        <f t="shared" si="6"/>
        <v>9</v>
      </c>
      <c r="BV15" s="66">
        <f t="shared" si="6"/>
        <v>10</v>
      </c>
      <c r="BW15" s="66">
        <f t="shared" si="6"/>
        <v>10</v>
      </c>
      <c r="BX15" s="66">
        <f t="shared" si="6"/>
        <v>10</v>
      </c>
      <c r="BY15" s="66">
        <f t="shared" si="6"/>
        <v>10</v>
      </c>
      <c r="BZ15" s="66">
        <f t="shared" si="6"/>
        <v>10</v>
      </c>
      <c r="CA15" s="66">
        <f t="shared" si="6"/>
        <v>10</v>
      </c>
      <c r="CB15" s="66">
        <f t="shared" si="6"/>
        <v>11</v>
      </c>
      <c r="CC15" s="66">
        <f t="shared" si="6"/>
        <v>11</v>
      </c>
      <c r="CD15" s="66">
        <f t="shared" si="6"/>
        <v>11</v>
      </c>
      <c r="CE15" s="66">
        <f t="shared" si="6"/>
        <v>11</v>
      </c>
      <c r="CF15" s="66">
        <f t="shared" ref="CF15:DM15" si="7">SUMIFS($T$8:$AI$8,$T$9:$AI$9,"&lt;="&amp;CF$14,$T$10:$AI$10,"&gt;="&amp;CF$14)</f>
        <v>11</v>
      </c>
      <c r="CG15" s="66">
        <f t="shared" si="7"/>
        <v>11</v>
      </c>
      <c r="CH15" s="66">
        <f t="shared" si="7"/>
        <v>12</v>
      </c>
      <c r="CI15" s="66">
        <f t="shared" si="7"/>
        <v>12</v>
      </c>
      <c r="CJ15" s="66">
        <f t="shared" si="7"/>
        <v>12</v>
      </c>
      <c r="CK15" s="66">
        <f t="shared" si="7"/>
        <v>12</v>
      </c>
      <c r="CL15" s="66">
        <f t="shared" si="7"/>
        <v>12</v>
      </c>
      <c r="CM15" s="66">
        <f t="shared" si="7"/>
        <v>12</v>
      </c>
      <c r="CN15" s="66">
        <f t="shared" si="7"/>
        <v>13</v>
      </c>
      <c r="CO15" s="66">
        <f t="shared" si="7"/>
        <v>13</v>
      </c>
      <c r="CP15" s="66">
        <f t="shared" si="7"/>
        <v>13</v>
      </c>
      <c r="CQ15" s="66">
        <f t="shared" si="7"/>
        <v>13</v>
      </c>
      <c r="CR15" s="66">
        <f t="shared" si="7"/>
        <v>13</v>
      </c>
      <c r="CS15" s="66">
        <f t="shared" si="7"/>
        <v>13</v>
      </c>
      <c r="CT15" s="66">
        <f t="shared" si="7"/>
        <v>14</v>
      </c>
      <c r="CU15" s="66">
        <f t="shared" si="7"/>
        <v>14</v>
      </c>
      <c r="CV15" s="66">
        <f t="shared" si="7"/>
        <v>14</v>
      </c>
      <c r="CW15" s="66">
        <f t="shared" si="7"/>
        <v>14</v>
      </c>
      <c r="CX15" s="66">
        <f t="shared" si="7"/>
        <v>14</v>
      </c>
      <c r="CY15" s="66">
        <f t="shared" si="7"/>
        <v>14</v>
      </c>
      <c r="CZ15" s="66">
        <f t="shared" si="7"/>
        <v>15</v>
      </c>
      <c r="DA15" s="66">
        <f t="shared" si="7"/>
        <v>15</v>
      </c>
      <c r="DB15" s="66">
        <f t="shared" si="7"/>
        <v>15</v>
      </c>
      <c r="DC15" s="66">
        <f t="shared" si="7"/>
        <v>15</v>
      </c>
      <c r="DD15" s="66">
        <f t="shared" si="7"/>
        <v>15</v>
      </c>
      <c r="DE15" s="66">
        <f t="shared" si="7"/>
        <v>15</v>
      </c>
      <c r="DF15" s="66">
        <f t="shared" si="7"/>
        <v>16</v>
      </c>
      <c r="DG15" s="66">
        <f t="shared" si="7"/>
        <v>16</v>
      </c>
      <c r="DH15" s="66">
        <f t="shared" si="7"/>
        <v>16</v>
      </c>
      <c r="DI15" s="66">
        <f t="shared" si="7"/>
        <v>16</v>
      </c>
      <c r="DJ15" s="66">
        <f t="shared" si="7"/>
        <v>16</v>
      </c>
      <c r="DK15" s="66">
        <f t="shared" si="7"/>
        <v>16</v>
      </c>
      <c r="DL15" s="66">
        <f t="shared" si="7"/>
        <v>0</v>
      </c>
      <c r="DM15" s="66">
        <f t="shared" si="7"/>
        <v>0</v>
      </c>
    </row>
    <row r="16" spans="1:117" ht="17" customHeight="1"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 t="s">
        <v>95</v>
      </c>
      <c r="Q16" s="67"/>
      <c r="R16" s="67"/>
      <c r="S16" s="68">
        <f>SUM($S$13:S13)*S11</f>
        <v>0</v>
      </c>
      <c r="T16" s="68">
        <f>SUM($S$13:T13)*T11</f>
        <v>1</v>
      </c>
      <c r="U16" s="68">
        <f>SUM($S$13:U13)*U11</f>
        <v>1</v>
      </c>
      <c r="V16" s="68">
        <f>SUM($S$13:V13)*V11</f>
        <v>1</v>
      </c>
      <c r="W16" s="68">
        <f>SUM($S$13:W13)*W11</f>
        <v>1</v>
      </c>
      <c r="X16" s="68">
        <f>SUM($S$13:X13)*X11</f>
        <v>1</v>
      </c>
      <c r="Y16" s="68">
        <f>SUM($S$13:Y13)*Y11</f>
        <v>1</v>
      </c>
      <c r="Z16" s="68">
        <f>SUM($S$13:Z13)*Z11</f>
        <v>1</v>
      </c>
      <c r="AA16" s="68">
        <f>SUM($S$13:AA13)*AA11</f>
        <v>1</v>
      </c>
      <c r="AB16" s="68">
        <f>SUM($S$13:AB13)*AB11</f>
        <v>1</v>
      </c>
      <c r="AC16" s="68">
        <f>SUM($S$13:AC13)*AC11</f>
        <v>1</v>
      </c>
      <c r="AD16" s="68">
        <f>SUM($S$13:AD13)*AD11</f>
        <v>1</v>
      </c>
      <c r="AE16" s="68">
        <f>SUM($S$13:AE13)*AE11</f>
        <v>1</v>
      </c>
      <c r="AF16" s="68">
        <f>SUM($S$13:AF13)*AF11</f>
        <v>2</v>
      </c>
      <c r="AG16" s="68">
        <f>SUM($S$13:AG13)*AG11</f>
        <v>2</v>
      </c>
      <c r="AH16" s="68">
        <f>SUM($S$13:AH13)*AH11</f>
        <v>2</v>
      </c>
      <c r="AI16" s="68">
        <f>SUM($S$13:AI13)*AI11</f>
        <v>2</v>
      </c>
      <c r="AJ16" s="68">
        <f>SUM($S$13:AJ13)*AJ11</f>
        <v>2</v>
      </c>
      <c r="AK16" s="68">
        <f>SUM($S$13:AK13)*AK11</f>
        <v>2</v>
      </c>
      <c r="AL16" s="68">
        <f>SUM($S$13:AL13)*AL11</f>
        <v>2</v>
      </c>
      <c r="AM16" s="68">
        <f>SUM($S$13:AM13)*AM11</f>
        <v>2</v>
      </c>
      <c r="AN16" s="68">
        <f>SUM($S$13:AN13)*AN11</f>
        <v>2</v>
      </c>
      <c r="AO16" s="68">
        <f>SUM($S$13:AO13)*AO11</f>
        <v>2</v>
      </c>
      <c r="AP16" s="68">
        <f>SUM($S$13:AP13)*AP11</f>
        <v>2</v>
      </c>
      <c r="AQ16" s="68">
        <f>SUM($S$13:AQ13)*AQ11</f>
        <v>2</v>
      </c>
      <c r="AR16" s="68">
        <f>SUM($S$13:AR13)*AR11</f>
        <v>3</v>
      </c>
      <c r="AS16" s="68">
        <f>SUM($S$13:AS13)*AS11</f>
        <v>3</v>
      </c>
      <c r="AT16" s="68">
        <f>SUM($S$13:AT13)*AT11</f>
        <v>3</v>
      </c>
      <c r="AU16" s="68">
        <f>SUM($S$13:AU13)*AU11</f>
        <v>3</v>
      </c>
      <c r="AV16" s="68">
        <f>SUM($S$13:AV13)*AV11</f>
        <v>3</v>
      </c>
      <c r="AW16" s="68">
        <f>SUM($S$13:AW13)*AW11</f>
        <v>3</v>
      </c>
      <c r="AX16" s="68">
        <f>SUM($S$13:AX13)*AX11</f>
        <v>3</v>
      </c>
      <c r="AY16" s="68">
        <f>SUM($S$13:AY13)*AY11</f>
        <v>3</v>
      </c>
      <c r="AZ16" s="68">
        <f>SUM($S$13:AZ13)*AZ11</f>
        <v>3</v>
      </c>
      <c r="BA16" s="68">
        <f>SUM($S$13:BA13)*BA11</f>
        <v>3</v>
      </c>
      <c r="BB16" s="68">
        <f>SUM($S$13:BB13)*BB11</f>
        <v>3</v>
      </c>
      <c r="BC16" s="68">
        <f>SUM($S$13:BC13)*BC11</f>
        <v>3</v>
      </c>
      <c r="BD16" s="68">
        <f>SUM($S$13:BD13)*BD11</f>
        <v>4</v>
      </c>
      <c r="BE16" s="68">
        <f>SUM($S$13:BE13)*BE11</f>
        <v>4</v>
      </c>
      <c r="BF16" s="68">
        <f>SUM($S$13:BF13)*BF11</f>
        <v>4</v>
      </c>
      <c r="BG16" s="68">
        <f>SUM($S$13:BG13)*BG11</f>
        <v>4</v>
      </c>
      <c r="BH16" s="68">
        <f>SUM($S$13:BH13)*BH11</f>
        <v>4</v>
      </c>
      <c r="BI16" s="68">
        <f>SUM($S$13:BI13)*BI11</f>
        <v>4</v>
      </c>
      <c r="BJ16" s="68">
        <f>SUM($S$13:BJ13)*BJ11</f>
        <v>4</v>
      </c>
      <c r="BK16" s="68">
        <f>SUM($S$13:BK13)*BK11</f>
        <v>4</v>
      </c>
      <c r="BL16" s="68">
        <f>SUM($S$13:BL13)*BL11</f>
        <v>4</v>
      </c>
      <c r="BM16" s="68">
        <f>SUM($S$13:BM13)*BM11</f>
        <v>4</v>
      </c>
      <c r="BN16" s="68">
        <f>SUM($S$13:BN13)*BN11</f>
        <v>4</v>
      </c>
      <c r="BO16" s="68">
        <f>SUM($S$13:BO13)*BO11</f>
        <v>4</v>
      </c>
      <c r="BP16" s="68">
        <f>SUM($S$13:BP13)*BP11</f>
        <v>5</v>
      </c>
      <c r="BQ16" s="68">
        <f>SUM($S$13:BQ13)*BQ11</f>
        <v>5</v>
      </c>
      <c r="BR16" s="68">
        <f>SUM($S$13:BR13)*BR11</f>
        <v>5</v>
      </c>
      <c r="BS16" s="68">
        <f>SUM($S$13:BS13)*BS11</f>
        <v>5</v>
      </c>
      <c r="BT16" s="68">
        <f>SUM($S$13:BT13)*BT11</f>
        <v>5</v>
      </c>
      <c r="BU16" s="68">
        <f>SUM($S$13:BU13)*BU11</f>
        <v>5</v>
      </c>
      <c r="BV16" s="68">
        <f>SUM($S$13:BV13)*BV11</f>
        <v>5</v>
      </c>
      <c r="BW16" s="68">
        <f>SUM($S$13:BW13)*BW11</f>
        <v>5</v>
      </c>
      <c r="BX16" s="68">
        <f>SUM($S$13:BX13)*BX11</f>
        <v>5</v>
      </c>
      <c r="BY16" s="68">
        <f>SUM($S$13:BY13)*BY11</f>
        <v>5</v>
      </c>
      <c r="BZ16" s="68">
        <f>SUM($S$13:BZ13)*BZ11</f>
        <v>5</v>
      </c>
      <c r="CA16" s="68">
        <f>SUM($S$13:CA13)*CA11</f>
        <v>5</v>
      </c>
      <c r="CB16" s="68">
        <f>SUM($S$13:CB13)*CB11</f>
        <v>0</v>
      </c>
      <c r="CC16" s="68">
        <f>SUM($S$13:CC13)*CC11</f>
        <v>0</v>
      </c>
      <c r="CD16" s="68">
        <f>SUM($S$13:CD13)*CD11</f>
        <v>0</v>
      </c>
      <c r="CE16" s="68">
        <f>SUM($S$13:CE13)*CE11</f>
        <v>0</v>
      </c>
      <c r="CF16" s="68">
        <f>SUM($S$13:CF13)*CF11</f>
        <v>0</v>
      </c>
      <c r="CG16" s="68">
        <f>SUM($S$13:CG13)*CG11</f>
        <v>0</v>
      </c>
      <c r="CH16" s="68">
        <f>SUM($S$13:CH13)*CH11</f>
        <v>0</v>
      </c>
      <c r="CI16" s="68">
        <f>SUM($S$13:CI13)*CI11</f>
        <v>0</v>
      </c>
      <c r="CJ16" s="68">
        <f>SUM($S$13:CJ13)*CJ11</f>
        <v>0</v>
      </c>
      <c r="CK16" s="68">
        <f>SUM($S$13:CK13)*CK11</f>
        <v>0</v>
      </c>
      <c r="CL16" s="68">
        <f>SUM($S$13:CL13)*CL11</f>
        <v>0</v>
      </c>
      <c r="CM16" s="68">
        <f>SUM($S$13:CM13)*CM11</f>
        <v>0</v>
      </c>
      <c r="CN16" s="68">
        <f>SUM($S$13:CN13)*CN11</f>
        <v>0</v>
      </c>
      <c r="CO16" s="68">
        <f>SUM($S$13:CO13)*CO11</f>
        <v>0</v>
      </c>
      <c r="CP16" s="68">
        <f>SUM($S$13:CP13)*CP11</f>
        <v>0</v>
      </c>
      <c r="CQ16" s="68">
        <f>SUM($S$13:CQ13)*CQ11</f>
        <v>0</v>
      </c>
      <c r="CR16" s="68">
        <f>SUM($S$13:CR13)*CR11</f>
        <v>0</v>
      </c>
      <c r="CS16" s="68">
        <f>SUM($S$13:CS13)*CS11</f>
        <v>0</v>
      </c>
      <c r="CT16" s="68">
        <f>SUM($S$13:CT13)*CT11</f>
        <v>0</v>
      </c>
      <c r="CU16" s="68">
        <f>SUM($S$13:CU13)*CU11</f>
        <v>0</v>
      </c>
      <c r="CV16" s="68">
        <f>SUM($S$13:CV13)*CV11</f>
        <v>0</v>
      </c>
      <c r="CW16" s="68">
        <f>SUM($S$13:CW13)*CW11</f>
        <v>0</v>
      </c>
      <c r="CX16" s="68">
        <f>SUM($S$13:CX13)*CX11</f>
        <v>0</v>
      </c>
      <c r="CY16" s="68">
        <f>SUM($S$13:CY13)*CY11</f>
        <v>0</v>
      </c>
      <c r="CZ16" s="68">
        <f>SUM($S$13:CZ13)*CZ11</f>
        <v>0</v>
      </c>
      <c r="DA16" s="68">
        <f>SUM($S$13:DA13)*DA11</f>
        <v>0</v>
      </c>
      <c r="DB16" s="68">
        <f>SUM($S$13:DB13)*DB11</f>
        <v>0</v>
      </c>
      <c r="DC16" s="68">
        <f>SUM($S$13:DC13)*DC11</f>
        <v>0</v>
      </c>
      <c r="DD16" s="68">
        <f>SUM($S$13:DD13)*DD11</f>
        <v>0</v>
      </c>
      <c r="DE16" s="68">
        <f>SUM($S$13:DE13)*DE11</f>
        <v>0</v>
      </c>
      <c r="DF16" s="68">
        <f>SUM($S$13:DF13)*DF11</f>
        <v>0</v>
      </c>
      <c r="DG16" s="68">
        <f>SUM($S$13:DG13)*DG11</f>
        <v>0</v>
      </c>
      <c r="DH16" s="68">
        <f>SUM($S$13:DH13)*DH11</f>
        <v>0</v>
      </c>
      <c r="DI16" s="68">
        <f>SUM($S$13:DI13)*DI11</f>
        <v>0</v>
      </c>
      <c r="DJ16" s="68">
        <f>SUM($S$13:DJ13)*DJ11</f>
        <v>0</v>
      </c>
      <c r="DK16" s="68">
        <f>SUM($S$13:DK13)*DK11</f>
        <v>0</v>
      </c>
      <c r="DL16" s="68">
        <f>SUM($S$13:DL13)*DL11</f>
        <v>0</v>
      </c>
      <c r="DM16" s="68">
        <f>SUM($S$13:DM13)*DM11</f>
        <v>0</v>
      </c>
    </row>
    <row r="17" spans="2:117" ht="17" customHeight="1"/>
    <row r="18" spans="2:117">
      <c r="B18" s="22" t="s">
        <v>113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O18" s="122" t="s">
        <v>201</v>
      </c>
      <c r="P18" s="122"/>
      <c r="Q18" s="122">
        <f>SUM(S18:DM18)</f>
        <v>42367.537150880773</v>
      </c>
      <c r="R18" s="122"/>
      <c r="S18" s="122">
        <f>S19+S39</f>
        <v>0</v>
      </c>
      <c r="T18" s="122">
        <f t="shared" ref="T18:CE18" si="8">T19+T39</f>
        <v>430.67442818819382</v>
      </c>
      <c r="U18" s="122">
        <f t="shared" si="8"/>
        <v>519.40354622335212</v>
      </c>
      <c r="V18" s="122">
        <f>V19+V39</f>
        <v>522.70400475280189</v>
      </c>
      <c r="W18" s="122">
        <f t="shared" si="8"/>
        <v>536.32117081530191</v>
      </c>
      <c r="X18" s="122">
        <f t="shared" si="8"/>
        <v>580.40936462842694</v>
      </c>
      <c r="Y18" s="122">
        <f t="shared" si="8"/>
        <v>580.40936462842694</v>
      </c>
      <c r="Z18" s="122">
        <f t="shared" si="8"/>
        <v>511.22438814225188</v>
      </c>
      <c r="AA18" s="122">
        <f t="shared" si="8"/>
        <v>669.46284095058525</v>
      </c>
      <c r="AB18" s="122">
        <f t="shared" si="8"/>
        <v>669.46284095058525</v>
      </c>
      <c r="AC18" s="122">
        <f t="shared" si="8"/>
        <v>669.46284095058525</v>
      </c>
      <c r="AD18" s="122">
        <f t="shared" si="8"/>
        <v>669.46284095058525</v>
      </c>
      <c r="AE18" s="122">
        <f t="shared" si="8"/>
        <v>669.61841763894029</v>
      </c>
      <c r="AF18" s="122">
        <f t="shared" si="8"/>
        <v>675.11243033762582</v>
      </c>
      <c r="AG18" s="122">
        <f t="shared" si="8"/>
        <v>675.11243033762582</v>
      </c>
      <c r="AH18" s="122">
        <f t="shared" si="8"/>
        <v>680.14596255045899</v>
      </c>
      <c r="AI18" s="122">
        <f t="shared" si="8"/>
        <v>680.14596255045899</v>
      </c>
      <c r="AJ18" s="122">
        <f t="shared" si="8"/>
        <v>683.47975904485281</v>
      </c>
      <c r="AK18" s="122">
        <f t="shared" si="8"/>
        <v>684.79957259485286</v>
      </c>
      <c r="AL18" s="122">
        <f t="shared" si="8"/>
        <v>689.54672617910296</v>
      </c>
      <c r="AM18" s="122">
        <f t="shared" si="8"/>
        <v>689.54672617910296</v>
      </c>
      <c r="AN18" s="122">
        <f t="shared" si="8"/>
        <v>689.54672617910296</v>
      </c>
      <c r="AO18" s="122">
        <f t="shared" si="8"/>
        <v>689.54672617910296</v>
      </c>
      <c r="AP18" s="122">
        <f t="shared" si="8"/>
        <v>689.54672617910296</v>
      </c>
      <c r="AQ18" s="122">
        <f t="shared" si="8"/>
        <v>689.70697016810846</v>
      </c>
      <c r="AR18" s="122">
        <f t="shared" si="8"/>
        <v>687.93849435734273</v>
      </c>
      <c r="AS18" s="122">
        <f t="shared" si="8"/>
        <v>703.22390398822142</v>
      </c>
      <c r="AT18" s="122">
        <f t="shared" si="8"/>
        <v>588.19177058376954</v>
      </c>
      <c r="AU18" s="122">
        <f t="shared" si="8"/>
        <v>714.09815152203998</v>
      </c>
      <c r="AV18" s="122">
        <f t="shared" si="8"/>
        <v>717.53196191126563</v>
      </c>
      <c r="AW18" s="122">
        <f t="shared" si="8"/>
        <v>718.89136986776566</v>
      </c>
      <c r="AX18" s="122">
        <f t="shared" si="8"/>
        <v>723.78093805954313</v>
      </c>
      <c r="AY18" s="122">
        <f t="shared" si="8"/>
        <v>723.78093805954313</v>
      </c>
      <c r="AZ18" s="122">
        <f t="shared" si="8"/>
        <v>723.78093805954313</v>
      </c>
      <c r="BA18" s="122">
        <f t="shared" si="8"/>
        <v>723.78093805954313</v>
      </c>
      <c r="BB18" s="122">
        <f t="shared" si="8"/>
        <v>723.78093805954313</v>
      </c>
      <c r="BC18" s="122">
        <f t="shared" si="8"/>
        <v>718.27922777034905</v>
      </c>
      <c r="BD18" s="122">
        <f t="shared" si="8"/>
        <v>739.6289784954771</v>
      </c>
      <c r="BE18" s="122">
        <f t="shared" si="8"/>
        <v>739.6289784954771</v>
      </c>
      <c r="BF18" s="122">
        <f t="shared" si="8"/>
        <v>745.13974410071012</v>
      </c>
      <c r="BG18" s="122">
        <f t="shared" si="8"/>
        <v>745.13974410071012</v>
      </c>
      <c r="BH18" s="122">
        <f t="shared" si="8"/>
        <v>756.92915977038479</v>
      </c>
      <c r="BI18" s="122">
        <f t="shared" si="8"/>
        <v>758.32934996557969</v>
      </c>
      <c r="BJ18" s="122">
        <f t="shared" si="8"/>
        <v>763.36560520311036</v>
      </c>
      <c r="BK18" s="122">
        <f t="shared" si="8"/>
        <v>763.36560520311036</v>
      </c>
      <c r="BL18" s="122">
        <f t="shared" si="8"/>
        <v>763.36560520311036</v>
      </c>
      <c r="BM18" s="122">
        <f t="shared" si="8"/>
        <v>763.36560520311036</v>
      </c>
      <c r="BN18" s="122">
        <f t="shared" si="8"/>
        <v>763.36560520311036</v>
      </c>
      <c r="BO18" s="122">
        <f t="shared" si="8"/>
        <v>763.82416749203674</v>
      </c>
      <c r="BP18" s="122">
        <f t="shared" si="8"/>
        <v>788.38333115934142</v>
      </c>
      <c r="BQ18" s="122">
        <f t="shared" si="8"/>
        <v>788.38333115934142</v>
      </c>
      <c r="BR18" s="122">
        <f t="shared" si="8"/>
        <v>794.05941973273139</v>
      </c>
      <c r="BS18" s="122">
        <f t="shared" si="8"/>
        <v>794.05941973273139</v>
      </c>
      <c r="BT18" s="122">
        <f t="shared" si="8"/>
        <v>797.94992690372374</v>
      </c>
      <c r="BU18" s="122">
        <f t="shared" si="8"/>
        <v>799.39212280477454</v>
      </c>
      <c r="BV18" s="122">
        <f t="shared" si="8"/>
        <v>804.57946569943147</v>
      </c>
      <c r="BW18" s="122">
        <f t="shared" si="8"/>
        <v>804.57946569943147</v>
      </c>
      <c r="BX18" s="122">
        <f t="shared" si="8"/>
        <v>804.57946569943147</v>
      </c>
      <c r="BY18" s="122">
        <f t="shared" si="8"/>
        <v>804.57946569943147</v>
      </c>
      <c r="BZ18" s="122">
        <f t="shared" si="8"/>
        <v>804.57946569943147</v>
      </c>
      <c r="CA18" s="122">
        <f t="shared" si="8"/>
        <v>805.05178485702572</v>
      </c>
      <c r="CB18" s="122">
        <f t="shared" si="8"/>
        <v>0</v>
      </c>
      <c r="CC18" s="122">
        <f t="shared" si="8"/>
        <v>0</v>
      </c>
      <c r="CD18" s="122">
        <f t="shared" si="8"/>
        <v>0</v>
      </c>
      <c r="CE18" s="122">
        <f t="shared" si="8"/>
        <v>0</v>
      </c>
      <c r="CF18" s="122">
        <f t="shared" ref="CF18:DM18" si="9">CF19+CF39</f>
        <v>0</v>
      </c>
      <c r="CG18" s="122">
        <f t="shared" si="9"/>
        <v>0</v>
      </c>
      <c r="CH18" s="122">
        <f t="shared" si="9"/>
        <v>0</v>
      </c>
      <c r="CI18" s="122">
        <f t="shared" si="9"/>
        <v>0</v>
      </c>
      <c r="CJ18" s="122">
        <f t="shared" si="9"/>
        <v>0</v>
      </c>
      <c r="CK18" s="122">
        <f t="shared" si="9"/>
        <v>0</v>
      </c>
      <c r="CL18" s="122">
        <f t="shared" si="9"/>
        <v>0</v>
      </c>
      <c r="CM18" s="122">
        <f t="shared" si="9"/>
        <v>0</v>
      </c>
      <c r="CN18" s="122">
        <f t="shared" si="9"/>
        <v>0</v>
      </c>
      <c r="CO18" s="122">
        <f t="shared" si="9"/>
        <v>0</v>
      </c>
      <c r="CP18" s="122">
        <f t="shared" si="9"/>
        <v>0</v>
      </c>
      <c r="CQ18" s="122">
        <f t="shared" si="9"/>
        <v>0</v>
      </c>
      <c r="CR18" s="122">
        <f t="shared" si="9"/>
        <v>0</v>
      </c>
      <c r="CS18" s="122">
        <f t="shared" si="9"/>
        <v>0</v>
      </c>
      <c r="CT18" s="122">
        <f t="shared" si="9"/>
        <v>0</v>
      </c>
      <c r="CU18" s="122">
        <f t="shared" si="9"/>
        <v>0</v>
      </c>
      <c r="CV18" s="122">
        <f t="shared" si="9"/>
        <v>0</v>
      </c>
      <c r="CW18" s="122">
        <f t="shared" si="9"/>
        <v>0</v>
      </c>
      <c r="CX18" s="122">
        <f t="shared" si="9"/>
        <v>0</v>
      </c>
      <c r="CY18" s="122">
        <f t="shared" si="9"/>
        <v>0</v>
      </c>
      <c r="CZ18" s="122">
        <f t="shared" si="9"/>
        <v>0</v>
      </c>
      <c r="DA18" s="122">
        <f t="shared" si="9"/>
        <v>0</v>
      </c>
      <c r="DB18" s="122">
        <f t="shared" si="9"/>
        <v>0</v>
      </c>
      <c r="DC18" s="122">
        <f t="shared" si="9"/>
        <v>0</v>
      </c>
      <c r="DD18" s="122">
        <f t="shared" si="9"/>
        <v>0</v>
      </c>
      <c r="DE18" s="122">
        <f t="shared" si="9"/>
        <v>0</v>
      </c>
      <c r="DF18" s="122">
        <f t="shared" si="9"/>
        <v>0</v>
      </c>
      <c r="DG18" s="122">
        <f t="shared" si="9"/>
        <v>0</v>
      </c>
      <c r="DH18" s="122">
        <f t="shared" si="9"/>
        <v>0</v>
      </c>
      <c r="DI18" s="122">
        <f t="shared" si="9"/>
        <v>0</v>
      </c>
      <c r="DJ18" s="122">
        <f t="shared" si="9"/>
        <v>0</v>
      </c>
      <c r="DK18" s="122">
        <f t="shared" si="9"/>
        <v>0</v>
      </c>
      <c r="DL18" s="122">
        <f t="shared" si="9"/>
        <v>0</v>
      </c>
      <c r="DM18" s="122">
        <f t="shared" si="9"/>
        <v>0</v>
      </c>
    </row>
    <row r="19" spans="2:117">
      <c r="B19" s="70" t="s">
        <v>47</v>
      </c>
      <c r="C19" s="71" t="s">
        <v>49</v>
      </c>
      <c r="D19" s="71" t="s">
        <v>97</v>
      </c>
      <c r="E19" s="71" t="s">
        <v>98</v>
      </c>
      <c r="F19" s="71" t="s">
        <v>84</v>
      </c>
      <c r="G19" s="71" t="s">
        <v>104</v>
      </c>
      <c r="H19" s="71" t="s">
        <v>105</v>
      </c>
      <c r="I19" s="71" t="s">
        <v>103</v>
      </c>
      <c r="J19" s="71" t="s">
        <v>99</v>
      </c>
      <c r="K19" s="71" t="s">
        <v>102</v>
      </c>
      <c r="L19" s="71" t="s">
        <v>100</v>
      </c>
      <c r="M19" s="72" t="s">
        <v>101</v>
      </c>
      <c r="N19" s="56"/>
      <c r="O19" s="4" t="s">
        <v>107</v>
      </c>
      <c r="P19" s="4"/>
      <c r="Q19" s="4">
        <f>SUM(S19:DM19)</f>
        <v>11750.282090454191</v>
      </c>
      <c r="R19" s="4"/>
      <c r="S19" s="4">
        <f>SUM(S20:S38)</f>
        <v>0</v>
      </c>
      <c r="T19" s="4">
        <f>SUM(T20:T38)</f>
        <v>430.67442818819382</v>
      </c>
      <c r="U19" s="4">
        <f t="shared" ref="U19:CE19" si="10">SUM(U20:U38)</f>
        <v>406.11919932647714</v>
      </c>
      <c r="V19" s="4">
        <f t="shared" si="10"/>
        <v>409.41965785592697</v>
      </c>
      <c r="W19" s="4">
        <f t="shared" si="10"/>
        <v>409.41965785592697</v>
      </c>
      <c r="X19" s="4">
        <f t="shared" si="10"/>
        <v>412.65635348155195</v>
      </c>
      <c r="Y19" s="4">
        <f t="shared" si="10"/>
        <v>412.65635348155195</v>
      </c>
      <c r="Z19" s="4">
        <f t="shared" si="10"/>
        <v>299.47759199537688</v>
      </c>
      <c r="AA19" s="4">
        <f t="shared" si="10"/>
        <v>299.47759199537688</v>
      </c>
      <c r="AB19" s="4">
        <f t="shared" si="10"/>
        <v>299.47759199537688</v>
      </c>
      <c r="AC19" s="4">
        <f t="shared" si="10"/>
        <v>299.47759199537688</v>
      </c>
      <c r="AD19" s="4">
        <f t="shared" si="10"/>
        <v>299.47759199537688</v>
      </c>
      <c r="AE19" s="4">
        <f t="shared" si="10"/>
        <v>299.63316868373192</v>
      </c>
      <c r="AF19" s="4">
        <f t="shared" si="10"/>
        <v>301.72865097551119</v>
      </c>
      <c r="AG19" s="4">
        <f t="shared" si="10"/>
        <v>301.72865097551119</v>
      </c>
      <c r="AH19" s="4">
        <f t="shared" si="10"/>
        <v>305.12812326084446</v>
      </c>
      <c r="AI19" s="4">
        <f t="shared" si="10"/>
        <v>305.12812326084446</v>
      </c>
      <c r="AJ19" s="4">
        <f t="shared" si="10"/>
        <v>308.46191975523823</v>
      </c>
      <c r="AK19" s="4">
        <f t="shared" si="10"/>
        <v>308.46191975523823</v>
      </c>
      <c r="AL19" s="4">
        <f t="shared" si="10"/>
        <v>308.46191975523823</v>
      </c>
      <c r="AM19" s="4">
        <f t="shared" si="10"/>
        <v>308.46191975523823</v>
      </c>
      <c r="AN19" s="4">
        <f t="shared" si="10"/>
        <v>308.46191975523823</v>
      </c>
      <c r="AO19" s="4">
        <f t="shared" si="10"/>
        <v>308.46191975523823</v>
      </c>
      <c r="AP19" s="4">
        <f t="shared" si="10"/>
        <v>308.46191975523823</v>
      </c>
      <c r="AQ19" s="4">
        <f t="shared" si="10"/>
        <v>308.62216374424384</v>
      </c>
      <c r="AR19" s="4">
        <f t="shared" si="10"/>
        <v>303.35320161436454</v>
      </c>
      <c r="AS19" s="4">
        <f t="shared" si="10"/>
        <v>303.35320161436454</v>
      </c>
      <c r="AT19" s="4">
        <f t="shared" si="10"/>
        <v>186.63798648458771</v>
      </c>
      <c r="AU19" s="4">
        <f t="shared" si="10"/>
        <v>186.63798648458771</v>
      </c>
      <c r="AV19" s="4">
        <f t="shared" si="10"/>
        <v>190.0717968738133</v>
      </c>
      <c r="AW19" s="4">
        <f t="shared" si="10"/>
        <v>190.0717968738133</v>
      </c>
      <c r="AX19" s="4">
        <f t="shared" si="10"/>
        <v>190.0717968738133</v>
      </c>
      <c r="AY19" s="4">
        <f t="shared" si="10"/>
        <v>190.0717968738133</v>
      </c>
      <c r="AZ19" s="4">
        <f t="shared" si="10"/>
        <v>190.0717968738133</v>
      </c>
      <c r="BA19" s="4">
        <f t="shared" si="10"/>
        <v>190.0717968738133</v>
      </c>
      <c r="BB19" s="4">
        <f t="shared" si="10"/>
        <v>190.0717968738133</v>
      </c>
      <c r="BC19" s="4">
        <f t="shared" si="10"/>
        <v>184.5700865846193</v>
      </c>
      <c r="BD19" s="4">
        <f t="shared" si="10"/>
        <v>186.57036448125555</v>
      </c>
      <c r="BE19" s="4">
        <f t="shared" si="10"/>
        <v>186.57036448125555</v>
      </c>
      <c r="BF19" s="4">
        <f t="shared" si="10"/>
        <v>186.57036448125555</v>
      </c>
      <c r="BG19" s="4">
        <f t="shared" si="10"/>
        <v>186.57036448125555</v>
      </c>
      <c r="BH19" s="4">
        <f t="shared" si="10"/>
        <v>68.676207784511249</v>
      </c>
      <c r="BI19" s="4">
        <f t="shared" si="10"/>
        <v>68.676207784511249</v>
      </c>
      <c r="BJ19" s="4">
        <f t="shared" si="10"/>
        <v>68.676207784511249</v>
      </c>
      <c r="BK19" s="4">
        <f t="shared" si="10"/>
        <v>68.676207784511249</v>
      </c>
      <c r="BL19" s="4">
        <f t="shared" si="10"/>
        <v>68.676207784511249</v>
      </c>
      <c r="BM19" s="4">
        <f t="shared" si="10"/>
        <v>68.676207784511249</v>
      </c>
      <c r="BN19" s="4">
        <f t="shared" si="10"/>
        <v>68.676207784511249</v>
      </c>
      <c r="BO19" s="4">
        <f t="shared" si="10"/>
        <v>68.676207784511249</v>
      </c>
      <c r="BP19" s="4">
        <f t="shared" si="10"/>
        <v>0</v>
      </c>
      <c r="BQ19" s="4">
        <f t="shared" si="10"/>
        <v>0</v>
      </c>
      <c r="BR19" s="4">
        <f t="shared" si="10"/>
        <v>0</v>
      </c>
      <c r="BS19" s="4">
        <f t="shared" si="10"/>
        <v>0</v>
      </c>
      <c r="BT19" s="4">
        <f t="shared" si="10"/>
        <v>0</v>
      </c>
      <c r="BU19" s="4">
        <f t="shared" si="10"/>
        <v>0</v>
      </c>
      <c r="BV19" s="4">
        <f t="shared" si="10"/>
        <v>0</v>
      </c>
      <c r="BW19" s="4">
        <f t="shared" si="10"/>
        <v>0</v>
      </c>
      <c r="BX19" s="4">
        <f t="shared" si="10"/>
        <v>0</v>
      </c>
      <c r="BY19" s="4">
        <f t="shared" si="10"/>
        <v>0</v>
      </c>
      <c r="BZ19" s="4">
        <f t="shared" si="10"/>
        <v>0</v>
      </c>
      <c r="CA19" s="4">
        <f t="shared" si="10"/>
        <v>0</v>
      </c>
      <c r="CB19" s="4">
        <f t="shared" si="10"/>
        <v>0</v>
      </c>
      <c r="CC19" s="4">
        <f t="shared" si="10"/>
        <v>0</v>
      </c>
      <c r="CD19" s="4">
        <f t="shared" si="10"/>
        <v>0</v>
      </c>
      <c r="CE19" s="4">
        <f t="shared" si="10"/>
        <v>0</v>
      </c>
      <c r="CF19" s="4">
        <f t="shared" ref="CF19:DM19" si="11">SUM(CF20:CF38)</f>
        <v>0</v>
      </c>
      <c r="CG19" s="4">
        <f t="shared" si="11"/>
        <v>0</v>
      </c>
      <c r="CH19" s="4">
        <f t="shared" si="11"/>
        <v>0</v>
      </c>
      <c r="CI19" s="4">
        <f t="shared" si="11"/>
        <v>0</v>
      </c>
      <c r="CJ19" s="4">
        <f t="shared" si="11"/>
        <v>0</v>
      </c>
      <c r="CK19" s="4">
        <f t="shared" si="11"/>
        <v>0</v>
      </c>
      <c r="CL19" s="4">
        <f t="shared" si="11"/>
        <v>0</v>
      </c>
      <c r="CM19" s="4">
        <f t="shared" si="11"/>
        <v>0</v>
      </c>
      <c r="CN19" s="4">
        <f t="shared" si="11"/>
        <v>0</v>
      </c>
      <c r="CO19" s="4">
        <f t="shared" si="11"/>
        <v>0</v>
      </c>
      <c r="CP19" s="4">
        <f t="shared" si="11"/>
        <v>0</v>
      </c>
      <c r="CQ19" s="4">
        <f t="shared" si="11"/>
        <v>0</v>
      </c>
      <c r="CR19" s="4">
        <f t="shared" si="11"/>
        <v>0</v>
      </c>
      <c r="CS19" s="4">
        <f t="shared" si="11"/>
        <v>0</v>
      </c>
      <c r="CT19" s="4">
        <f t="shared" si="11"/>
        <v>0</v>
      </c>
      <c r="CU19" s="4">
        <f t="shared" si="11"/>
        <v>0</v>
      </c>
      <c r="CV19" s="4">
        <f t="shared" si="11"/>
        <v>0</v>
      </c>
      <c r="CW19" s="4">
        <f t="shared" si="11"/>
        <v>0</v>
      </c>
      <c r="CX19" s="4">
        <f t="shared" si="11"/>
        <v>0</v>
      </c>
      <c r="CY19" s="4">
        <f t="shared" si="11"/>
        <v>0</v>
      </c>
      <c r="CZ19" s="4">
        <f t="shared" si="11"/>
        <v>0</v>
      </c>
      <c r="DA19" s="4">
        <f t="shared" si="11"/>
        <v>0</v>
      </c>
      <c r="DB19" s="4">
        <f t="shared" si="11"/>
        <v>0</v>
      </c>
      <c r="DC19" s="4">
        <f t="shared" si="11"/>
        <v>0</v>
      </c>
      <c r="DD19" s="4">
        <f t="shared" si="11"/>
        <v>0</v>
      </c>
      <c r="DE19" s="4">
        <f t="shared" si="11"/>
        <v>0</v>
      </c>
      <c r="DF19" s="4">
        <f t="shared" si="11"/>
        <v>0</v>
      </c>
      <c r="DG19" s="4">
        <f t="shared" si="11"/>
        <v>0</v>
      </c>
      <c r="DH19" s="4">
        <f t="shared" si="11"/>
        <v>0</v>
      </c>
      <c r="DI19" s="4">
        <f t="shared" si="11"/>
        <v>0</v>
      </c>
      <c r="DJ19" s="4">
        <f t="shared" si="11"/>
        <v>0</v>
      </c>
      <c r="DK19" s="4">
        <f t="shared" si="11"/>
        <v>0</v>
      </c>
      <c r="DL19" s="4">
        <f t="shared" si="11"/>
        <v>0</v>
      </c>
      <c r="DM19" s="4">
        <f t="shared" si="11"/>
        <v>0</v>
      </c>
    </row>
    <row r="20" spans="2:117">
      <c r="B20" s="27">
        <f>Rentroll!$C$11</f>
        <v>17</v>
      </c>
      <c r="C20" s="69" t="str">
        <f>VLOOKUP($B20,Rentroll!$C$11:$X$29,3,FALSE)</f>
        <v>리마 상사</v>
      </c>
      <c r="D20" s="80">
        <f>VLOOKUP($B20,Rentroll!$C$11:$X$29,9,FALSE)</f>
        <v>45322</v>
      </c>
      <c r="E20" s="80">
        <f>VLOOKUP($B20,Rentroll!$C$11:$X$29,10,FALSE)</f>
        <v>47148</v>
      </c>
      <c r="F20" s="81">
        <f>VLOOKUP($B20,Rentroll!$C$11:$X$29,11,FALSE)</f>
        <v>60</v>
      </c>
      <c r="G20" s="69">
        <f>VLOOKUP($B20,Rentroll!$C$11:$X$29,13,FALSE)</f>
        <v>100000</v>
      </c>
      <c r="H20" s="69">
        <f>VLOOKUP($B20,Rentroll!$C$11:$X$29,14,FALSE)</f>
        <v>75000</v>
      </c>
      <c r="I20" s="69">
        <f>VLOOKUP($B20,Rentroll!$C$11:$X$29,15,FALSE)</f>
        <v>45000</v>
      </c>
      <c r="J20" s="82">
        <f>VLOOKUP($B20,Rentroll!$C$11:$X$29,19,FALSE)</f>
        <v>0.03</v>
      </c>
      <c r="K20" s="83">
        <f>VLOOKUP($B20,Rentroll!$C$11:$X$29,4,FALSE)</f>
        <v>1385.09</v>
      </c>
      <c r="L20" s="81">
        <f>VLOOKUP($B20,Rentroll!$C$11:$X$29,17,FALSE)</f>
        <v>0</v>
      </c>
      <c r="M20" s="84">
        <f>VLOOKUP($B20,Rentroll!$C$11:$X$29,18,FALSE)</f>
        <v>3</v>
      </c>
      <c r="O20" s="46">
        <f>B20</f>
        <v>17</v>
      </c>
      <c r="P20" s="73"/>
      <c r="Q20" s="73">
        <f>SUM(S20:DM20)</f>
        <v>1577.6070536093191</v>
      </c>
      <c r="R20" s="73"/>
      <c r="S20" s="73">
        <f>IF(Index!R66=1,0,$H20*$K20*py*Index!R19*Index!R160/unit)</f>
        <v>0</v>
      </c>
      <c r="T20" s="73">
        <f>IF(Index!S66=1,0,$H20*$K20*py*Index!S19*Index!S160/unit)</f>
        <v>31.424229374999999</v>
      </c>
      <c r="U20" s="73">
        <f>IF(Index!T66=1,0,$H20*$K20*py*Index!T19*Index!T160/unit)</f>
        <v>31.424229374999999</v>
      </c>
      <c r="V20" s="73">
        <f>IF(Index!U66=1,0,$H20*$K20*py*Index!U19*Index!U160/unit)</f>
        <v>31.424229374999999</v>
      </c>
      <c r="W20" s="73">
        <f>IF(Index!V66=1,0,$H20*$K20*py*Index!V19*Index!V160/unit)</f>
        <v>31.424229374999999</v>
      </c>
      <c r="X20" s="73">
        <f>IF(Index!W66=1,0,$H20*$K20*py*Index!W19*Index!W160/unit)</f>
        <v>31.424229374999999</v>
      </c>
      <c r="Y20" s="73">
        <f>IF(Index!X66=1,0,$H20*$K20*py*Index!X19*Index!X160/unit)</f>
        <v>31.424229374999999</v>
      </c>
      <c r="Z20" s="73">
        <f>IF(Index!Y66=1,0,$H20*$K20*py*Index!Y19*Index!Y160/unit)</f>
        <v>31.424229374999999</v>
      </c>
      <c r="AA20" s="73">
        <f>IF(Index!Z66=1,0,$H20*$K20*py*Index!Z19*Index!Z160/unit)</f>
        <v>31.424229374999999</v>
      </c>
      <c r="AB20" s="73">
        <f>IF(Index!AA66=1,0,$H20*$K20*py*Index!AA19*Index!AA160/unit)</f>
        <v>31.424229374999999</v>
      </c>
      <c r="AC20" s="73">
        <f>IF(Index!AB66=1,0,$H20*$K20*py*Index!AB19*Index!AB160/unit)</f>
        <v>31.424229374999999</v>
      </c>
      <c r="AD20" s="73">
        <f>IF(Index!AC66=1,0,$H20*$K20*py*Index!AC19*Index!AC160/unit)</f>
        <v>31.424229374999999</v>
      </c>
      <c r="AE20" s="73">
        <f>IF(Index!AD66=1,0,$H20*$K20*py*Index!AD19*Index!AD160/unit)</f>
        <v>31.424229374999999</v>
      </c>
      <c r="AF20" s="73">
        <f>IF(Index!AE66=1,0,$H20*$K20*py*Index!AE19*Index!AE160/unit)</f>
        <v>32.366956256249999</v>
      </c>
      <c r="AG20" s="73">
        <f>IF(Index!AF66=1,0,$H20*$K20*py*Index!AF19*Index!AF160/unit)</f>
        <v>32.366956256249999</v>
      </c>
      <c r="AH20" s="73">
        <f>IF(Index!AG66=1,0,$H20*$K20*py*Index!AG19*Index!AG160/unit)</f>
        <v>32.366956256249999</v>
      </c>
      <c r="AI20" s="73">
        <f>IF(Index!AH66=1,0,$H20*$K20*py*Index!AH19*Index!AH160/unit)</f>
        <v>32.366956256249999</v>
      </c>
      <c r="AJ20" s="73">
        <f>IF(Index!AI66=1,0,$H20*$K20*py*Index!AI19*Index!AI160/unit)</f>
        <v>32.366956256249999</v>
      </c>
      <c r="AK20" s="73">
        <f>IF(Index!AJ66=1,0,$H20*$K20*py*Index!AJ19*Index!AJ160/unit)</f>
        <v>32.366956256249999</v>
      </c>
      <c r="AL20" s="73">
        <f>IF(Index!AK66=1,0,$H20*$K20*py*Index!AK19*Index!AK160/unit)</f>
        <v>32.366956256249999</v>
      </c>
      <c r="AM20" s="73">
        <f>IF(Index!AL66=1,0,$H20*$K20*py*Index!AL19*Index!AL160/unit)</f>
        <v>32.366956256249999</v>
      </c>
      <c r="AN20" s="73">
        <f>IF(Index!AM66=1,0,$H20*$K20*py*Index!AM19*Index!AM160/unit)</f>
        <v>32.366956256249999</v>
      </c>
      <c r="AO20" s="73">
        <f>IF(Index!AN66=1,0,$H20*$K20*py*Index!AN19*Index!AN160/unit)</f>
        <v>32.366956256249999</v>
      </c>
      <c r="AP20" s="73">
        <f>IF(Index!AO66=1,0,$H20*$K20*py*Index!AO19*Index!AO160/unit)</f>
        <v>32.366956256249999</v>
      </c>
      <c r="AQ20" s="73">
        <f>IF(Index!AP66=1,0,$H20*$K20*py*Index!AP19*Index!AP160/unit)</f>
        <v>32.366956256249999</v>
      </c>
      <c r="AR20" s="73">
        <f>IF(Index!AQ66=1,0,$H20*$K20*py*Index!AQ19*Index!AQ160/unit)</f>
        <v>33.3379649439375</v>
      </c>
      <c r="AS20" s="73">
        <f>IF(Index!AR66=1,0,$H20*$K20*py*Index!AR19*Index!AR160/unit)</f>
        <v>33.3379649439375</v>
      </c>
      <c r="AT20" s="73">
        <f>IF(Index!AS66=1,0,$H20*$K20*py*Index!AS19*Index!AS160/unit)</f>
        <v>33.3379649439375</v>
      </c>
      <c r="AU20" s="73">
        <f>IF(Index!AT66=1,0,$H20*$K20*py*Index!AT19*Index!AT160/unit)</f>
        <v>33.3379649439375</v>
      </c>
      <c r="AV20" s="73">
        <f>IF(Index!AU66=1,0,$H20*$K20*py*Index!AU19*Index!AU160/unit)</f>
        <v>33.3379649439375</v>
      </c>
      <c r="AW20" s="73">
        <f>IF(Index!AV66=1,0,$H20*$K20*py*Index!AV19*Index!AV160/unit)</f>
        <v>33.3379649439375</v>
      </c>
      <c r="AX20" s="73">
        <f>IF(Index!AW66=1,0,$H20*$K20*py*Index!AW19*Index!AW160/unit)</f>
        <v>33.3379649439375</v>
      </c>
      <c r="AY20" s="73">
        <f>IF(Index!AX66=1,0,$H20*$K20*py*Index!AX19*Index!AX160/unit)</f>
        <v>33.3379649439375</v>
      </c>
      <c r="AZ20" s="73">
        <f>IF(Index!AY66=1,0,$H20*$K20*py*Index!AY19*Index!AY160/unit)</f>
        <v>33.3379649439375</v>
      </c>
      <c r="BA20" s="73">
        <f>IF(Index!AZ66=1,0,$H20*$K20*py*Index!AZ19*Index!AZ160/unit)</f>
        <v>33.3379649439375</v>
      </c>
      <c r="BB20" s="73">
        <f>IF(Index!BA66=1,0,$H20*$K20*py*Index!BA19*Index!BA160/unit)</f>
        <v>33.3379649439375</v>
      </c>
      <c r="BC20" s="73">
        <f>IF(Index!BB66=1,0,$H20*$K20*py*Index!BB19*Index!BB160/unit)</f>
        <v>33.3379649439375</v>
      </c>
      <c r="BD20" s="73">
        <f>IF(Index!BC66=1,0,$H20*$K20*py*Index!BC19*Index!BC160/unit)</f>
        <v>34.338103892255624</v>
      </c>
      <c r="BE20" s="73">
        <f>IF(Index!BD66=1,0,$H20*$K20*py*Index!BD19*Index!BD160/unit)</f>
        <v>34.338103892255624</v>
      </c>
      <c r="BF20" s="73">
        <f>IF(Index!BE66=1,0,$H20*$K20*py*Index!BE19*Index!BE160/unit)</f>
        <v>34.338103892255624</v>
      </c>
      <c r="BG20" s="73">
        <f>IF(Index!BF66=1,0,$H20*$K20*py*Index!BF19*Index!BF160/unit)</f>
        <v>34.338103892255624</v>
      </c>
      <c r="BH20" s="73">
        <f>IF(Index!BG66=1,0,$H20*$K20*py*Index!BG19*Index!BG160/unit)</f>
        <v>34.338103892255624</v>
      </c>
      <c r="BI20" s="73">
        <f>IF(Index!BH66=1,0,$H20*$K20*py*Index!BH19*Index!BH160/unit)</f>
        <v>34.338103892255624</v>
      </c>
      <c r="BJ20" s="73">
        <f>IF(Index!BI66=1,0,$H20*$K20*py*Index!BI19*Index!BI160/unit)</f>
        <v>34.338103892255624</v>
      </c>
      <c r="BK20" s="73">
        <f>IF(Index!BJ66=1,0,$H20*$K20*py*Index!BJ19*Index!BJ160/unit)</f>
        <v>34.338103892255624</v>
      </c>
      <c r="BL20" s="73">
        <f>IF(Index!BK66=1,0,$H20*$K20*py*Index!BK19*Index!BK160/unit)</f>
        <v>34.338103892255624</v>
      </c>
      <c r="BM20" s="73">
        <f>IF(Index!BL66=1,0,$H20*$K20*py*Index!BL19*Index!BL160/unit)</f>
        <v>34.338103892255624</v>
      </c>
      <c r="BN20" s="73">
        <f>IF(Index!BM66=1,0,$H20*$K20*py*Index!BM19*Index!BM160/unit)</f>
        <v>34.338103892255624</v>
      </c>
      <c r="BO20" s="73">
        <f>IF(Index!BN66=1,0,$H20*$K20*py*Index!BN19*Index!BN160/unit)</f>
        <v>34.338103892255624</v>
      </c>
      <c r="BP20" s="73">
        <f>IF(Index!BO66=1,0,$H20*$K20*py*Index!BO19*Index!BO160/unit)</f>
        <v>0</v>
      </c>
      <c r="BQ20" s="73">
        <f>IF(Index!BP66=1,0,$H20*$K20*py*Index!BP19*Index!BP160/unit)</f>
        <v>0</v>
      </c>
      <c r="BR20" s="73">
        <f>IF(Index!BQ66=1,0,$H20*$K20*py*Index!BQ19*Index!BQ160/unit)</f>
        <v>0</v>
      </c>
      <c r="BS20" s="73">
        <f>IF(Index!BR66=1,0,$H20*$K20*py*Index!BR19*Index!BR160/unit)</f>
        <v>0</v>
      </c>
      <c r="BT20" s="73">
        <f>IF(Index!BS66=1,0,$H20*$K20*py*Index!BS19*Index!BS160/unit)</f>
        <v>0</v>
      </c>
      <c r="BU20" s="73">
        <f>IF(Index!BT66=1,0,$H20*$K20*py*Index!BT19*Index!BT160/unit)</f>
        <v>0</v>
      </c>
      <c r="BV20" s="73">
        <f>IF(Index!BU66=1,0,$H20*$K20*py*Index!BU19*Index!BU160/unit)</f>
        <v>0</v>
      </c>
      <c r="BW20" s="73">
        <f>IF(Index!BV66=1,0,$H20*$K20*py*Index!BV19*Index!BV160/unit)</f>
        <v>0</v>
      </c>
      <c r="BX20" s="73">
        <f>IF(Index!BW66=1,0,$H20*$K20*py*Index!BW19*Index!BW160/unit)</f>
        <v>0</v>
      </c>
      <c r="BY20" s="73">
        <f>IF(Index!BX66=1,0,$H20*$K20*py*Index!BX19*Index!BX160/unit)</f>
        <v>0</v>
      </c>
      <c r="BZ20" s="73">
        <f>IF(Index!BY66=1,0,$H20*$K20*py*Index!BY19*Index!BY160/unit)</f>
        <v>0</v>
      </c>
      <c r="CA20" s="73">
        <f>IF(Index!BZ66=1,0,$H20*$K20*py*Index!BZ19*Index!BZ160/unit)</f>
        <v>0</v>
      </c>
      <c r="CB20" s="73">
        <f>IF(Index!CA66=1,0,$H20*$K20*py*Index!CA19*Index!CA160/unit)</f>
        <v>0</v>
      </c>
      <c r="CC20" s="73">
        <f>IF(Index!CB66=1,0,$H20*$K20*py*Index!CB19*Index!CB160/unit)</f>
        <v>0</v>
      </c>
      <c r="CD20" s="73">
        <f>IF(Index!CC66=1,0,$H20*$K20*py*Index!CC19*Index!CC160/unit)</f>
        <v>0</v>
      </c>
      <c r="CE20" s="73">
        <f>IF(Index!CD66=1,0,$H20*$K20*py*Index!CD19*Index!CD160/unit)</f>
        <v>0</v>
      </c>
      <c r="CF20" s="73">
        <f>IF(Index!CE66=1,0,$H20*$K20*py*Index!CE19*Index!CE160/unit)</f>
        <v>0</v>
      </c>
      <c r="CG20" s="73">
        <f>IF(Index!CF66=1,0,$H20*$K20*py*Index!CF19*Index!CF160/unit)</f>
        <v>0</v>
      </c>
      <c r="CH20" s="73">
        <f>IF(Index!CG66=1,0,$H20*$K20*py*Index!CG19*Index!CG160/unit)</f>
        <v>0</v>
      </c>
      <c r="CI20" s="73">
        <f>IF(Index!CH66=1,0,$H20*$K20*py*Index!CH19*Index!CH160/unit)</f>
        <v>0</v>
      </c>
      <c r="CJ20" s="73">
        <f>IF(Index!CI66=1,0,$H20*$K20*py*Index!CI19*Index!CI160/unit)</f>
        <v>0</v>
      </c>
      <c r="CK20" s="73">
        <f>IF(Index!CJ66=1,0,$H20*$K20*py*Index!CJ19*Index!CJ160/unit)</f>
        <v>0</v>
      </c>
      <c r="CL20" s="73">
        <f>IF(Index!CK66=1,0,$H20*$K20*py*Index!CK19*Index!CK160/unit)</f>
        <v>0</v>
      </c>
      <c r="CM20" s="73">
        <f>IF(Index!CL66=1,0,$H20*$K20*py*Index!CL19*Index!CL160/unit)</f>
        <v>0</v>
      </c>
      <c r="CN20" s="73">
        <f>IF(Index!CM66=1,0,$H20*$K20*py*Index!CM19*Index!CM160/unit)</f>
        <v>0</v>
      </c>
      <c r="CO20" s="73">
        <f>IF(Index!CN66=1,0,$H20*$K20*py*Index!CN19*Index!CN160/unit)</f>
        <v>0</v>
      </c>
      <c r="CP20" s="73">
        <f>IF(Index!CO66=1,0,$H20*$K20*py*Index!CO19*Index!CO160/unit)</f>
        <v>0</v>
      </c>
      <c r="CQ20" s="73">
        <f>IF(Index!CP66=1,0,$H20*$K20*py*Index!CP19*Index!CP160/unit)</f>
        <v>0</v>
      </c>
      <c r="CR20" s="73">
        <f>IF(Index!CQ66=1,0,$H20*$K20*py*Index!CQ19*Index!CQ160/unit)</f>
        <v>0</v>
      </c>
      <c r="CS20" s="73">
        <f>IF(Index!CR66=1,0,$H20*$K20*py*Index!CR19*Index!CR160/unit)</f>
        <v>0</v>
      </c>
      <c r="CT20" s="73">
        <f>IF(Index!CS66=1,0,$H20*$K20*py*Index!CS19*Index!CS160/unit)</f>
        <v>0</v>
      </c>
      <c r="CU20" s="73">
        <f>IF(Index!CT66=1,0,$H20*$K20*py*Index!CT19*Index!CT160/unit)</f>
        <v>0</v>
      </c>
      <c r="CV20" s="73">
        <f>IF(Index!CU66=1,0,$H20*$K20*py*Index!CU19*Index!CU160/unit)</f>
        <v>0</v>
      </c>
      <c r="CW20" s="73">
        <f>IF(Index!CV66=1,0,$H20*$K20*py*Index!CV19*Index!CV160/unit)</f>
        <v>0</v>
      </c>
      <c r="CX20" s="73">
        <f>IF(Index!CW66=1,0,$H20*$K20*py*Index!CW19*Index!CW160/unit)</f>
        <v>0</v>
      </c>
      <c r="CY20" s="73">
        <f>IF(Index!CX66=1,0,$H20*$K20*py*Index!CX19*Index!CX160/unit)</f>
        <v>0</v>
      </c>
      <c r="CZ20" s="73">
        <f>IF(Index!CY66=1,0,$H20*$K20*py*Index!CY19*Index!CY160/unit)</f>
        <v>0</v>
      </c>
      <c r="DA20" s="73">
        <f>IF(Index!CZ66=1,0,$H20*$K20*py*Index!CZ19*Index!CZ160/unit)</f>
        <v>0</v>
      </c>
      <c r="DB20" s="73">
        <f>IF(Index!DA66=1,0,$H20*$K20*py*Index!DA19*Index!DA160/unit)</f>
        <v>0</v>
      </c>
      <c r="DC20" s="73">
        <f>IF(Index!DB66=1,0,$H20*$K20*py*Index!DB19*Index!DB160/unit)</f>
        <v>0</v>
      </c>
      <c r="DD20" s="73">
        <f>IF(Index!DC66=1,0,$H20*$K20*py*Index!DC19*Index!DC160/unit)</f>
        <v>0</v>
      </c>
      <c r="DE20" s="73">
        <f>IF(Index!DD66=1,0,$H20*$K20*py*Index!DD19*Index!DD160/unit)</f>
        <v>0</v>
      </c>
      <c r="DF20" s="73">
        <f>IF(Index!DE66=1,0,$H20*$K20*py*Index!DE19*Index!DE160/unit)</f>
        <v>0</v>
      </c>
      <c r="DG20" s="73">
        <f>IF(Index!DF66=1,0,$H20*$K20*py*Index!DF19*Index!DF160/unit)</f>
        <v>0</v>
      </c>
      <c r="DH20" s="73">
        <f>IF(Index!DG66=1,0,$H20*$K20*py*Index!DG19*Index!DG160/unit)</f>
        <v>0</v>
      </c>
      <c r="DI20" s="73">
        <f>IF(Index!DH66=1,0,$H20*$K20*py*Index!DH19*Index!DH160/unit)</f>
        <v>0</v>
      </c>
      <c r="DJ20" s="73">
        <f>IF(Index!DI66=1,0,$H20*$K20*py*Index!DI19*Index!DI160/unit)</f>
        <v>0</v>
      </c>
      <c r="DK20" s="73">
        <f>IF(Index!DJ66=1,0,$H20*$K20*py*Index!DJ19*Index!DJ160/unit)</f>
        <v>0</v>
      </c>
      <c r="DL20" s="73">
        <f>IF(Index!DK66=1,0,$H20*$K20*py*Index!DK19*Index!DK160/unit)</f>
        <v>0</v>
      </c>
      <c r="DM20" s="73">
        <f>IF(Index!DL66=1,0,$H20*$K20*py*Index!DL19*Index!DL160/unit)</f>
        <v>0</v>
      </c>
    </row>
    <row r="21" spans="2:117" ht="17">
      <c r="B21" s="27">
        <f>Rentroll!$C$12</f>
        <v>16</v>
      </c>
      <c r="C21" s="69" t="str">
        <f>VLOOKUP($B21,Rentroll!$C$11:$X$29,3,FALSE)</f>
        <v>리마 상사</v>
      </c>
      <c r="D21" s="80">
        <f>VLOOKUP($B21,Rentroll!$C$11:$X$29,9,FALSE)</f>
        <v>45322</v>
      </c>
      <c r="E21" s="80">
        <f>VLOOKUP($B21,Rentroll!$C$11:$X$29,10,FALSE)</f>
        <v>47148</v>
      </c>
      <c r="F21" s="81">
        <f>VLOOKUP($B21,Rentroll!$C$11:$X$29,11,FALSE)</f>
        <v>60</v>
      </c>
      <c r="G21" s="69">
        <f>VLOOKUP($B21,Rentroll!$C$11:$X$29,13,FALSE)</f>
        <v>100000</v>
      </c>
      <c r="H21" s="69">
        <f>VLOOKUP($B21,Rentroll!$C$11:$X$29,14,FALSE)</f>
        <v>75000</v>
      </c>
      <c r="I21" s="69">
        <f>VLOOKUP($B21,Rentroll!$C$11:$X$29,15,FALSE)</f>
        <v>45000</v>
      </c>
      <c r="J21" s="82">
        <f>VLOOKUP($B21,Rentroll!$C$11:$X$29,19,FALSE)</f>
        <v>0.03</v>
      </c>
      <c r="K21" s="83">
        <f>VLOOKUP($B21,Rentroll!$C$11:$X$29,4,FALSE)</f>
        <v>1385.09</v>
      </c>
      <c r="L21" s="81">
        <f>VLOOKUP($B21,Rentroll!$C$11:$X$29,17,FALSE)</f>
        <v>0</v>
      </c>
      <c r="M21" s="84">
        <f>VLOOKUP($B21,Rentroll!$C$11:$X$29,18,FALSE)</f>
        <v>3</v>
      </c>
      <c r="N21" s="20"/>
      <c r="O21" s="74">
        <f t="shared" ref="O21:O38" si="12">B21</f>
        <v>16</v>
      </c>
      <c r="P21" s="75"/>
      <c r="Q21" s="75">
        <f t="shared" ref="Q21:Q58" si="13">SUM(S21:DM21)</f>
        <v>1577.6070536093191</v>
      </c>
      <c r="R21" s="75"/>
      <c r="S21" s="75">
        <f>IF(Index!R67=1,0,$H21*$K21*py*Index!R20*Index!R161/unit)</f>
        <v>0</v>
      </c>
      <c r="T21" s="75">
        <f>IF(Index!S67=1,0,$H21*$K21*py*Index!S20*Index!S161/unit)</f>
        <v>31.424229374999999</v>
      </c>
      <c r="U21" s="75">
        <f>IF(Index!T67=1,0,$H21*$K21*py*Index!T20*Index!T161/unit)</f>
        <v>31.424229374999999</v>
      </c>
      <c r="V21" s="75">
        <f>IF(Index!U67=1,0,$H21*$K21*py*Index!U20*Index!U161/unit)</f>
        <v>31.424229374999999</v>
      </c>
      <c r="W21" s="75">
        <f>IF(Index!V67=1,0,$H21*$K21*py*Index!V20*Index!V161/unit)</f>
        <v>31.424229374999999</v>
      </c>
      <c r="X21" s="75">
        <f>IF(Index!W67=1,0,$H21*$K21*py*Index!W20*Index!W161/unit)</f>
        <v>31.424229374999999</v>
      </c>
      <c r="Y21" s="75">
        <f>IF(Index!X67=1,0,$H21*$K21*py*Index!X20*Index!X161/unit)</f>
        <v>31.424229374999999</v>
      </c>
      <c r="Z21" s="75">
        <f>IF(Index!Y67=1,0,$H21*$K21*py*Index!Y20*Index!Y161/unit)</f>
        <v>31.424229374999999</v>
      </c>
      <c r="AA21" s="75">
        <f>IF(Index!Z67=1,0,$H21*$K21*py*Index!Z20*Index!Z161/unit)</f>
        <v>31.424229374999999</v>
      </c>
      <c r="AB21" s="75">
        <f>IF(Index!AA67=1,0,$H21*$K21*py*Index!AA20*Index!AA161/unit)</f>
        <v>31.424229374999999</v>
      </c>
      <c r="AC21" s="75">
        <f>IF(Index!AB67=1,0,$H21*$K21*py*Index!AB20*Index!AB161/unit)</f>
        <v>31.424229374999999</v>
      </c>
      <c r="AD21" s="75">
        <f>IF(Index!AC67=1,0,$H21*$K21*py*Index!AC20*Index!AC161/unit)</f>
        <v>31.424229374999999</v>
      </c>
      <c r="AE21" s="75">
        <f>IF(Index!AD67=1,0,$H21*$K21*py*Index!AD20*Index!AD161/unit)</f>
        <v>31.424229374999999</v>
      </c>
      <c r="AF21" s="75">
        <f>IF(Index!AE67=1,0,$H21*$K21*py*Index!AE20*Index!AE161/unit)</f>
        <v>32.366956256249999</v>
      </c>
      <c r="AG21" s="75">
        <f>IF(Index!AF67=1,0,$H21*$K21*py*Index!AF20*Index!AF161/unit)</f>
        <v>32.366956256249999</v>
      </c>
      <c r="AH21" s="75">
        <f>IF(Index!AG67=1,0,$H21*$K21*py*Index!AG20*Index!AG161/unit)</f>
        <v>32.366956256249999</v>
      </c>
      <c r="AI21" s="75">
        <f>IF(Index!AH67=1,0,$H21*$K21*py*Index!AH20*Index!AH161/unit)</f>
        <v>32.366956256249999</v>
      </c>
      <c r="AJ21" s="75">
        <f>IF(Index!AI67=1,0,$H21*$K21*py*Index!AI20*Index!AI161/unit)</f>
        <v>32.366956256249999</v>
      </c>
      <c r="AK21" s="75">
        <f>IF(Index!AJ67=1,0,$H21*$K21*py*Index!AJ20*Index!AJ161/unit)</f>
        <v>32.366956256249999</v>
      </c>
      <c r="AL21" s="75">
        <f>IF(Index!AK67=1,0,$H21*$K21*py*Index!AK20*Index!AK161/unit)</f>
        <v>32.366956256249999</v>
      </c>
      <c r="AM21" s="75">
        <f>IF(Index!AL67=1,0,$H21*$K21*py*Index!AL20*Index!AL161/unit)</f>
        <v>32.366956256249999</v>
      </c>
      <c r="AN21" s="75">
        <f>IF(Index!AM67=1,0,$H21*$K21*py*Index!AM20*Index!AM161/unit)</f>
        <v>32.366956256249999</v>
      </c>
      <c r="AO21" s="75">
        <f>IF(Index!AN67=1,0,$H21*$K21*py*Index!AN20*Index!AN161/unit)</f>
        <v>32.366956256249999</v>
      </c>
      <c r="AP21" s="75">
        <f>IF(Index!AO67=1,0,$H21*$K21*py*Index!AO20*Index!AO161/unit)</f>
        <v>32.366956256249999</v>
      </c>
      <c r="AQ21" s="75">
        <f>IF(Index!AP67=1,0,$H21*$K21*py*Index!AP20*Index!AP161/unit)</f>
        <v>32.366956256249999</v>
      </c>
      <c r="AR21" s="75">
        <f>IF(Index!AQ67=1,0,$H21*$K21*py*Index!AQ20*Index!AQ161/unit)</f>
        <v>33.3379649439375</v>
      </c>
      <c r="AS21" s="75">
        <f>IF(Index!AR67=1,0,$H21*$K21*py*Index!AR20*Index!AR161/unit)</f>
        <v>33.3379649439375</v>
      </c>
      <c r="AT21" s="75">
        <f>IF(Index!AS67=1,0,$H21*$K21*py*Index!AS20*Index!AS161/unit)</f>
        <v>33.3379649439375</v>
      </c>
      <c r="AU21" s="75">
        <f>IF(Index!AT67=1,0,$H21*$K21*py*Index!AT20*Index!AT161/unit)</f>
        <v>33.3379649439375</v>
      </c>
      <c r="AV21" s="75">
        <f>IF(Index!AU67=1,0,$H21*$K21*py*Index!AU20*Index!AU161/unit)</f>
        <v>33.3379649439375</v>
      </c>
      <c r="AW21" s="75">
        <f>IF(Index!AV67=1,0,$H21*$K21*py*Index!AV20*Index!AV161/unit)</f>
        <v>33.3379649439375</v>
      </c>
      <c r="AX21" s="75">
        <f>IF(Index!AW67=1,0,$H21*$K21*py*Index!AW20*Index!AW161/unit)</f>
        <v>33.3379649439375</v>
      </c>
      <c r="AY21" s="75">
        <f>IF(Index!AX67=1,0,$H21*$K21*py*Index!AX20*Index!AX161/unit)</f>
        <v>33.3379649439375</v>
      </c>
      <c r="AZ21" s="75">
        <f>IF(Index!AY67=1,0,$H21*$K21*py*Index!AY20*Index!AY161/unit)</f>
        <v>33.3379649439375</v>
      </c>
      <c r="BA21" s="75">
        <f>IF(Index!AZ67=1,0,$H21*$K21*py*Index!AZ20*Index!AZ161/unit)</f>
        <v>33.3379649439375</v>
      </c>
      <c r="BB21" s="75">
        <f>IF(Index!BA67=1,0,$H21*$K21*py*Index!BA20*Index!BA161/unit)</f>
        <v>33.3379649439375</v>
      </c>
      <c r="BC21" s="75">
        <f>IF(Index!BB67=1,0,$H21*$K21*py*Index!BB20*Index!BB161/unit)</f>
        <v>33.3379649439375</v>
      </c>
      <c r="BD21" s="75">
        <f>IF(Index!BC67=1,0,$H21*$K21*py*Index!BC20*Index!BC161/unit)</f>
        <v>34.338103892255624</v>
      </c>
      <c r="BE21" s="75">
        <f>IF(Index!BD67=1,0,$H21*$K21*py*Index!BD20*Index!BD161/unit)</f>
        <v>34.338103892255624</v>
      </c>
      <c r="BF21" s="75">
        <f>IF(Index!BE67=1,0,$H21*$K21*py*Index!BE20*Index!BE161/unit)</f>
        <v>34.338103892255624</v>
      </c>
      <c r="BG21" s="75">
        <f>IF(Index!BF67=1,0,$H21*$K21*py*Index!BF20*Index!BF161/unit)</f>
        <v>34.338103892255624</v>
      </c>
      <c r="BH21" s="75">
        <f>IF(Index!BG67=1,0,$H21*$K21*py*Index!BG20*Index!BG161/unit)</f>
        <v>34.338103892255624</v>
      </c>
      <c r="BI21" s="75">
        <f>IF(Index!BH67=1,0,$H21*$K21*py*Index!BH20*Index!BH161/unit)</f>
        <v>34.338103892255624</v>
      </c>
      <c r="BJ21" s="75">
        <f>IF(Index!BI67=1,0,$H21*$K21*py*Index!BI20*Index!BI161/unit)</f>
        <v>34.338103892255624</v>
      </c>
      <c r="BK21" s="75">
        <f>IF(Index!BJ67=1,0,$H21*$K21*py*Index!BJ20*Index!BJ161/unit)</f>
        <v>34.338103892255624</v>
      </c>
      <c r="BL21" s="75">
        <f>IF(Index!BK67=1,0,$H21*$K21*py*Index!BK20*Index!BK161/unit)</f>
        <v>34.338103892255624</v>
      </c>
      <c r="BM21" s="75">
        <f>IF(Index!BL67=1,0,$H21*$K21*py*Index!BL20*Index!BL161/unit)</f>
        <v>34.338103892255624</v>
      </c>
      <c r="BN21" s="75">
        <f>IF(Index!BM67=1,0,$H21*$K21*py*Index!BM20*Index!BM161/unit)</f>
        <v>34.338103892255624</v>
      </c>
      <c r="BO21" s="75">
        <f>IF(Index!BN67=1,0,$H21*$K21*py*Index!BN20*Index!BN161/unit)</f>
        <v>34.338103892255624</v>
      </c>
      <c r="BP21" s="75">
        <f>IF(Index!BO67=1,0,$H21*$K21*py*Index!BO20*Index!BO161/unit)</f>
        <v>0</v>
      </c>
      <c r="BQ21" s="75">
        <f>IF(Index!BP67=1,0,$H21*$K21*py*Index!BP20*Index!BP161/unit)</f>
        <v>0</v>
      </c>
      <c r="BR21" s="75">
        <f>IF(Index!BQ67=1,0,$H21*$K21*py*Index!BQ20*Index!BQ161/unit)</f>
        <v>0</v>
      </c>
      <c r="BS21" s="75">
        <f>IF(Index!BR67=1,0,$H21*$K21*py*Index!BR20*Index!BR161/unit)</f>
        <v>0</v>
      </c>
      <c r="BT21" s="75">
        <f>IF(Index!BS67=1,0,$H21*$K21*py*Index!BS20*Index!BS161/unit)</f>
        <v>0</v>
      </c>
      <c r="BU21" s="75">
        <f>IF(Index!BT67=1,0,$H21*$K21*py*Index!BT20*Index!BT161/unit)</f>
        <v>0</v>
      </c>
      <c r="BV21" s="75">
        <f>IF(Index!BU67=1,0,$H21*$K21*py*Index!BU20*Index!BU161/unit)</f>
        <v>0</v>
      </c>
      <c r="BW21" s="75">
        <f>IF(Index!BV67=1,0,$H21*$K21*py*Index!BV20*Index!BV161/unit)</f>
        <v>0</v>
      </c>
      <c r="BX21" s="75">
        <f>IF(Index!BW67=1,0,$H21*$K21*py*Index!BW20*Index!BW161/unit)</f>
        <v>0</v>
      </c>
      <c r="BY21" s="75">
        <f>IF(Index!BX67=1,0,$H21*$K21*py*Index!BX20*Index!BX161/unit)</f>
        <v>0</v>
      </c>
      <c r="BZ21" s="75">
        <f>IF(Index!BY67=1,0,$H21*$K21*py*Index!BY20*Index!BY161/unit)</f>
        <v>0</v>
      </c>
      <c r="CA21" s="75">
        <f>IF(Index!BZ67=1,0,$H21*$K21*py*Index!BZ20*Index!BZ161/unit)</f>
        <v>0</v>
      </c>
      <c r="CB21" s="75">
        <f>IF(Index!CA67=1,0,$H21*$K21*py*Index!CA20*Index!CA161/unit)</f>
        <v>0</v>
      </c>
      <c r="CC21" s="75">
        <f>IF(Index!CB67=1,0,$H21*$K21*py*Index!CB20*Index!CB161/unit)</f>
        <v>0</v>
      </c>
      <c r="CD21" s="75">
        <f>IF(Index!CC67=1,0,$H21*$K21*py*Index!CC20*Index!CC161/unit)</f>
        <v>0</v>
      </c>
      <c r="CE21" s="75">
        <f>IF(Index!CD67=1,0,$H21*$K21*py*Index!CD20*Index!CD161/unit)</f>
        <v>0</v>
      </c>
      <c r="CF21" s="75">
        <f>IF(Index!CE67=1,0,$H21*$K21*py*Index!CE20*Index!CE161/unit)</f>
        <v>0</v>
      </c>
      <c r="CG21" s="75">
        <f>IF(Index!CF67=1,0,$H21*$K21*py*Index!CF20*Index!CF161/unit)</f>
        <v>0</v>
      </c>
      <c r="CH21" s="75">
        <f>IF(Index!CG67=1,0,$H21*$K21*py*Index!CG20*Index!CG161/unit)</f>
        <v>0</v>
      </c>
      <c r="CI21" s="75">
        <f>IF(Index!CH67=1,0,$H21*$K21*py*Index!CH20*Index!CH161/unit)</f>
        <v>0</v>
      </c>
      <c r="CJ21" s="75">
        <f>IF(Index!CI67=1,0,$H21*$K21*py*Index!CI20*Index!CI161/unit)</f>
        <v>0</v>
      </c>
      <c r="CK21" s="75">
        <f>IF(Index!CJ67=1,0,$H21*$K21*py*Index!CJ20*Index!CJ161/unit)</f>
        <v>0</v>
      </c>
      <c r="CL21" s="75">
        <f>IF(Index!CK67=1,0,$H21*$K21*py*Index!CK20*Index!CK161/unit)</f>
        <v>0</v>
      </c>
      <c r="CM21" s="75">
        <f>IF(Index!CL67=1,0,$H21*$K21*py*Index!CL20*Index!CL161/unit)</f>
        <v>0</v>
      </c>
      <c r="CN21" s="75">
        <f>IF(Index!CM67=1,0,$H21*$K21*py*Index!CM20*Index!CM161/unit)</f>
        <v>0</v>
      </c>
      <c r="CO21" s="75">
        <f>IF(Index!CN67=1,0,$H21*$K21*py*Index!CN20*Index!CN161/unit)</f>
        <v>0</v>
      </c>
      <c r="CP21" s="75">
        <f>IF(Index!CO67=1,0,$H21*$K21*py*Index!CO20*Index!CO161/unit)</f>
        <v>0</v>
      </c>
      <c r="CQ21" s="75">
        <f>IF(Index!CP67=1,0,$H21*$K21*py*Index!CP20*Index!CP161/unit)</f>
        <v>0</v>
      </c>
      <c r="CR21" s="75">
        <f>IF(Index!CQ67=1,0,$H21*$K21*py*Index!CQ20*Index!CQ161/unit)</f>
        <v>0</v>
      </c>
      <c r="CS21" s="75">
        <f>IF(Index!CR67=1,0,$H21*$K21*py*Index!CR20*Index!CR161/unit)</f>
        <v>0</v>
      </c>
      <c r="CT21" s="75">
        <f>IF(Index!CS67=1,0,$H21*$K21*py*Index!CS20*Index!CS161/unit)</f>
        <v>0</v>
      </c>
      <c r="CU21" s="75">
        <f>IF(Index!CT67=1,0,$H21*$K21*py*Index!CT20*Index!CT161/unit)</f>
        <v>0</v>
      </c>
      <c r="CV21" s="75">
        <f>IF(Index!CU67=1,0,$H21*$K21*py*Index!CU20*Index!CU161/unit)</f>
        <v>0</v>
      </c>
      <c r="CW21" s="75">
        <f>IF(Index!CV67=1,0,$H21*$K21*py*Index!CV20*Index!CV161/unit)</f>
        <v>0</v>
      </c>
      <c r="CX21" s="75">
        <f>IF(Index!CW67=1,0,$H21*$K21*py*Index!CW20*Index!CW161/unit)</f>
        <v>0</v>
      </c>
      <c r="CY21" s="75">
        <f>IF(Index!CX67=1,0,$H21*$K21*py*Index!CX20*Index!CX161/unit)</f>
        <v>0</v>
      </c>
      <c r="CZ21" s="75">
        <f>IF(Index!CY67=1,0,$H21*$K21*py*Index!CY20*Index!CY161/unit)</f>
        <v>0</v>
      </c>
      <c r="DA21" s="75">
        <f>IF(Index!CZ67=1,0,$H21*$K21*py*Index!CZ20*Index!CZ161/unit)</f>
        <v>0</v>
      </c>
      <c r="DB21" s="75">
        <f>IF(Index!DA67=1,0,$H21*$K21*py*Index!DA20*Index!DA161/unit)</f>
        <v>0</v>
      </c>
      <c r="DC21" s="75">
        <f>IF(Index!DB67=1,0,$H21*$K21*py*Index!DB20*Index!DB161/unit)</f>
        <v>0</v>
      </c>
      <c r="DD21" s="75">
        <f>IF(Index!DC67=1,0,$H21*$K21*py*Index!DC20*Index!DC161/unit)</f>
        <v>0</v>
      </c>
      <c r="DE21" s="75">
        <f>IF(Index!DD67=1,0,$H21*$K21*py*Index!DD20*Index!DD161/unit)</f>
        <v>0</v>
      </c>
      <c r="DF21" s="75">
        <f>IF(Index!DE67=1,0,$H21*$K21*py*Index!DE20*Index!DE161/unit)</f>
        <v>0</v>
      </c>
      <c r="DG21" s="75">
        <f>IF(Index!DF67=1,0,$H21*$K21*py*Index!DF20*Index!DF161/unit)</f>
        <v>0</v>
      </c>
      <c r="DH21" s="75">
        <f>IF(Index!DG67=1,0,$H21*$K21*py*Index!DG20*Index!DG161/unit)</f>
        <v>0</v>
      </c>
      <c r="DI21" s="75">
        <f>IF(Index!DH67=1,0,$H21*$K21*py*Index!DH20*Index!DH161/unit)</f>
        <v>0</v>
      </c>
      <c r="DJ21" s="75">
        <f>IF(Index!DI67=1,0,$H21*$K21*py*Index!DI20*Index!DI161/unit)</f>
        <v>0</v>
      </c>
      <c r="DK21" s="75">
        <f>IF(Index!DJ67=1,0,$H21*$K21*py*Index!DJ20*Index!DJ161/unit)</f>
        <v>0</v>
      </c>
      <c r="DL21" s="75">
        <f>IF(Index!DK67=1,0,$H21*$K21*py*Index!DK20*Index!DK161/unit)</f>
        <v>0</v>
      </c>
      <c r="DM21" s="75">
        <f>IF(Index!DL67=1,0,$H21*$K21*py*Index!DL20*Index!DL161/unit)</f>
        <v>0</v>
      </c>
    </row>
    <row r="22" spans="2:117">
      <c r="B22" s="27">
        <f>Rentroll!$C$13</f>
        <v>15</v>
      </c>
      <c r="C22" s="69" t="str">
        <f>VLOOKUP($B22,Rentroll!$C$11:$X$29,3,FALSE)</f>
        <v>모빌리티 테크놀로지</v>
      </c>
      <c r="D22" s="80">
        <f>VLOOKUP($B22,Rentroll!$C$11:$X$29,9,FALSE)</f>
        <v>44042</v>
      </c>
      <c r="E22" s="80">
        <f>VLOOKUP($B22,Rentroll!$C$11:$X$29,10,FALSE)</f>
        <v>45869</v>
      </c>
      <c r="F22" s="81">
        <f>VLOOKUP($B22,Rentroll!$C$11:$X$29,11,FALSE)</f>
        <v>60</v>
      </c>
      <c r="G22" s="69">
        <f>VLOOKUP($B22,Rentroll!$C$11:$X$29,13,FALSE)</f>
        <v>90041</v>
      </c>
      <c r="H22" s="69">
        <f>VLOOKUP($B22,Rentroll!$C$11:$X$29,14,FALSE)</f>
        <v>67530.75</v>
      </c>
      <c r="I22" s="69">
        <f>VLOOKUP($B22,Rentroll!$C$11:$X$29,15,FALSE)</f>
        <v>45020</v>
      </c>
      <c r="J22" s="82">
        <f>VLOOKUP($B22,Rentroll!$C$11:$X$29,19,FALSE)</f>
        <v>0.03</v>
      </c>
      <c r="K22" s="83">
        <f>VLOOKUP($B22,Rentroll!$C$11:$X$29,4,FALSE)</f>
        <v>1385.09</v>
      </c>
      <c r="L22" s="81">
        <f>VLOOKUP($B22,Rentroll!$C$11:$X$29,17,FALSE)</f>
        <v>0</v>
      </c>
      <c r="M22" s="84">
        <f>VLOOKUP($B22,Rentroll!$C$11:$X$29,18,FALSE)</f>
        <v>3</v>
      </c>
      <c r="O22" s="74">
        <f t="shared" si="12"/>
        <v>15</v>
      </c>
      <c r="P22" s="75"/>
      <c r="Q22" s="75">
        <f t="shared" si="13"/>
        <v>169.76814222926254</v>
      </c>
      <c r="R22" s="75"/>
      <c r="S22" s="75">
        <f>IF(Index!R68=1,0,$H22*$K22*py*Index!R21*Index!R162/unit)</f>
        <v>0</v>
      </c>
      <c r="T22" s="75">
        <f>IF(Index!S68=1,0,$H22*$K22*py*Index!S21*Index!S162/unit)</f>
        <v>28.294690371543751</v>
      </c>
      <c r="U22" s="75">
        <f>IF(Index!T68=1,0,$H22*$K22*py*Index!T21*Index!T162/unit)</f>
        <v>28.294690371543751</v>
      </c>
      <c r="V22" s="75">
        <f>IF(Index!U68=1,0,$H22*$K22*py*Index!U21*Index!U162/unit)</f>
        <v>28.294690371543751</v>
      </c>
      <c r="W22" s="75">
        <f>IF(Index!V68=1,0,$H22*$K22*py*Index!V21*Index!V162/unit)</f>
        <v>28.294690371543751</v>
      </c>
      <c r="X22" s="75">
        <f>IF(Index!W68=1,0,$H22*$K22*py*Index!W21*Index!W162/unit)</f>
        <v>28.294690371543751</v>
      </c>
      <c r="Y22" s="75">
        <f>IF(Index!X68=1,0,$H22*$K22*py*Index!X21*Index!X162/unit)</f>
        <v>28.294690371543751</v>
      </c>
      <c r="Z22" s="75">
        <f>IF(Index!Y68=1,0,$H22*$K22*py*Index!Y21*Index!Y162/unit)</f>
        <v>0</v>
      </c>
      <c r="AA22" s="75">
        <f>IF(Index!Z68=1,0,$H22*$K22*py*Index!Z21*Index!Z162/unit)</f>
        <v>0</v>
      </c>
      <c r="AB22" s="75">
        <f>IF(Index!AA68=1,0,$H22*$K22*py*Index!AA21*Index!AA162/unit)</f>
        <v>0</v>
      </c>
      <c r="AC22" s="75">
        <f>IF(Index!AB68=1,0,$H22*$K22*py*Index!AB21*Index!AB162/unit)</f>
        <v>0</v>
      </c>
      <c r="AD22" s="75">
        <f>IF(Index!AC68=1,0,$H22*$K22*py*Index!AC21*Index!AC162/unit)</f>
        <v>0</v>
      </c>
      <c r="AE22" s="75">
        <f>IF(Index!AD68=1,0,$H22*$K22*py*Index!AD21*Index!AD162/unit)</f>
        <v>0</v>
      </c>
      <c r="AF22" s="75">
        <f>IF(Index!AE68=1,0,$H22*$K22*py*Index!AE21*Index!AE162/unit)</f>
        <v>0</v>
      </c>
      <c r="AG22" s="75">
        <f>IF(Index!AF68=1,0,$H22*$K22*py*Index!AF21*Index!AF162/unit)</f>
        <v>0</v>
      </c>
      <c r="AH22" s="75">
        <f>IF(Index!AG68=1,0,$H22*$K22*py*Index!AG21*Index!AG162/unit)</f>
        <v>0</v>
      </c>
      <c r="AI22" s="75">
        <f>IF(Index!AH68=1,0,$H22*$K22*py*Index!AH21*Index!AH162/unit)</f>
        <v>0</v>
      </c>
      <c r="AJ22" s="75">
        <f>IF(Index!AI68=1,0,$H22*$K22*py*Index!AI21*Index!AI162/unit)</f>
        <v>0</v>
      </c>
      <c r="AK22" s="75">
        <f>IF(Index!AJ68=1,0,$H22*$K22*py*Index!AJ21*Index!AJ162/unit)</f>
        <v>0</v>
      </c>
      <c r="AL22" s="75">
        <f>IF(Index!AK68=1,0,$H22*$K22*py*Index!AK21*Index!AK162/unit)</f>
        <v>0</v>
      </c>
      <c r="AM22" s="75">
        <f>IF(Index!AL68=1,0,$H22*$K22*py*Index!AL21*Index!AL162/unit)</f>
        <v>0</v>
      </c>
      <c r="AN22" s="75">
        <f>IF(Index!AM68=1,0,$H22*$K22*py*Index!AM21*Index!AM162/unit)</f>
        <v>0</v>
      </c>
      <c r="AO22" s="75">
        <f>IF(Index!AN68=1,0,$H22*$K22*py*Index!AN21*Index!AN162/unit)</f>
        <v>0</v>
      </c>
      <c r="AP22" s="75">
        <f>IF(Index!AO68=1,0,$H22*$K22*py*Index!AO21*Index!AO162/unit)</f>
        <v>0</v>
      </c>
      <c r="AQ22" s="75">
        <f>IF(Index!AP68=1,0,$H22*$K22*py*Index!AP21*Index!AP162/unit)</f>
        <v>0</v>
      </c>
      <c r="AR22" s="75">
        <f>IF(Index!AQ68=1,0,$H22*$K22*py*Index!AQ21*Index!AQ162/unit)</f>
        <v>0</v>
      </c>
      <c r="AS22" s="75">
        <f>IF(Index!AR68=1,0,$H22*$K22*py*Index!AR21*Index!AR162/unit)</f>
        <v>0</v>
      </c>
      <c r="AT22" s="75">
        <f>IF(Index!AS68=1,0,$H22*$K22*py*Index!AS21*Index!AS162/unit)</f>
        <v>0</v>
      </c>
      <c r="AU22" s="75">
        <f>IF(Index!AT68=1,0,$H22*$K22*py*Index!AT21*Index!AT162/unit)</f>
        <v>0</v>
      </c>
      <c r="AV22" s="75">
        <f>IF(Index!AU68=1,0,$H22*$K22*py*Index!AU21*Index!AU162/unit)</f>
        <v>0</v>
      </c>
      <c r="AW22" s="75">
        <f>IF(Index!AV68=1,0,$H22*$K22*py*Index!AV21*Index!AV162/unit)</f>
        <v>0</v>
      </c>
      <c r="AX22" s="75">
        <f>IF(Index!AW68=1,0,$H22*$K22*py*Index!AW21*Index!AW162/unit)</f>
        <v>0</v>
      </c>
      <c r="AY22" s="75">
        <f>IF(Index!AX68=1,0,$H22*$K22*py*Index!AX21*Index!AX162/unit)</f>
        <v>0</v>
      </c>
      <c r="AZ22" s="75">
        <f>IF(Index!AY68=1,0,$H22*$K22*py*Index!AY21*Index!AY162/unit)</f>
        <v>0</v>
      </c>
      <c r="BA22" s="75">
        <f>IF(Index!AZ68=1,0,$H22*$K22*py*Index!AZ21*Index!AZ162/unit)</f>
        <v>0</v>
      </c>
      <c r="BB22" s="75">
        <f>IF(Index!BA68=1,0,$H22*$K22*py*Index!BA21*Index!BA162/unit)</f>
        <v>0</v>
      </c>
      <c r="BC22" s="75">
        <f>IF(Index!BB68=1,0,$H22*$K22*py*Index!BB21*Index!BB162/unit)</f>
        <v>0</v>
      </c>
      <c r="BD22" s="75">
        <f>IF(Index!BC68=1,0,$H22*$K22*py*Index!BC21*Index!BC162/unit)</f>
        <v>0</v>
      </c>
      <c r="BE22" s="75">
        <f>IF(Index!BD68=1,0,$H22*$K22*py*Index!BD21*Index!BD162/unit)</f>
        <v>0</v>
      </c>
      <c r="BF22" s="75">
        <f>IF(Index!BE68=1,0,$H22*$K22*py*Index!BE21*Index!BE162/unit)</f>
        <v>0</v>
      </c>
      <c r="BG22" s="75">
        <f>IF(Index!BF68=1,0,$H22*$K22*py*Index!BF21*Index!BF162/unit)</f>
        <v>0</v>
      </c>
      <c r="BH22" s="75">
        <f>IF(Index!BG68=1,0,$H22*$K22*py*Index!BG21*Index!BG162/unit)</f>
        <v>0</v>
      </c>
      <c r="BI22" s="75">
        <f>IF(Index!BH68=1,0,$H22*$K22*py*Index!BH21*Index!BH162/unit)</f>
        <v>0</v>
      </c>
      <c r="BJ22" s="75">
        <f>IF(Index!BI68=1,0,$H22*$K22*py*Index!BI21*Index!BI162/unit)</f>
        <v>0</v>
      </c>
      <c r="BK22" s="75">
        <f>IF(Index!BJ68=1,0,$H22*$K22*py*Index!BJ21*Index!BJ162/unit)</f>
        <v>0</v>
      </c>
      <c r="BL22" s="75">
        <f>IF(Index!BK68=1,0,$H22*$K22*py*Index!BK21*Index!BK162/unit)</f>
        <v>0</v>
      </c>
      <c r="BM22" s="75">
        <f>IF(Index!BL68=1,0,$H22*$K22*py*Index!BL21*Index!BL162/unit)</f>
        <v>0</v>
      </c>
      <c r="BN22" s="75">
        <f>IF(Index!BM68=1,0,$H22*$K22*py*Index!BM21*Index!BM162/unit)</f>
        <v>0</v>
      </c>
      <c r="BO22" s="75">
        <f>IF(Index!BN68=1,0,$H22*$K22*py*Index!BN21*Index!BN162/unit)</f>
        <v>0</v>
      </c>
      <c r="BP22" s="75">
        <f>IF(Index!BO68=1,0,$H22*$K22*py*Index!BO21*Index!BO162/unit)</f>
        <v>0</v>
      </c>
      <c r="BQ22" s="75">
        <f>IF(Index!BP68=1,0,$H22*$K22*py*Index!BP21*Index!BP162/unit)</f>
        <v>0</v>
      </c>
      <c r="BR22" s="75">
        <f>IF(Index!BQ68=1,0,$H22*$K22*py*Index!BQ21*Index!BQ162/unit)</f>
        <v>0</v>
      </c>
      <c r="BS22" s="75">
        <f>IF(Index!BR68=1,0,$H22*$K22*py*Index!BR21*Index!BR162/unit)</f>
        <v>0</v>
      </c>
      <c r="BT22" s="75">
        <f>IF(Index!BS68=1,0,$H22*$K22*py*Index!BS21*Index!BS162/unit)</f>
        <v>0</v>
      </c>
      <c r="BU22" s="75">
        <f>IF(Index!BT68=1,0,$H22*$K22*py*Index!BT21*Index!BT162/unit)</f>
        <v>0</v>
      </c>
      <c r="BV22" s="75">
        <f>IF(Index!BU68=1,0,$H22*$K22*py*Index!BU21*Index!BU162/unit)</f>
        <v>0</v>
      </c>
      <c r="BW22" s="75">
        <f>IF(Index!BV68=1,0,$H22*$K22*py*Index!BV21*Index!BV162/unit)</f>
        <v>0</v>
      </c>
      <c r="BX22" s="75">
        <f>IF(Index!BW68=1,0,$H22*$K22*py*Index!BW21*Index!BW162/unit)</f>
        <v>0</v>
      </c>
      <c r="BY22" s="75">
        <f>IF(Index!BX68=1,0,$H22*$K22*py*Index!BX21*Index!BX162/unit)</f>
        <v>0</v>
      </c>
      <c r="BZ22" s="75">
        <f>IF(Index!BY68=1,0,$H22*$K22*py*Index!BY21*Index!BY162/unit)</f>
        <v>0</v>
      </c>
      <c r="CA22" s="75">
        <f>IF(Index!BZ68=1,0,$H22*$K22*py*Index!BZ21*Index!BZ162/unit)</f>
        <v>0</v>
      </c>
      <c r="CB22" s="75">
        <f>IF(Index!CA68=1,0,$H22*$K22*py*Index!CA21*Index!CA162/unit)</f>
        <v>0</v>
      </c>
      <c r="CC22" s="75">
        <f>IF(Index!CB68=1,0,$H22*$K22*py*Index!CB21*Index!CB162/unit)</f>
        <v>0</v>
      </c>
      <c r="CD22" s="75">
        <f>IF(Index!CC68=1,0,$H22*$K22*py*Index!CC21*Index!CC162/unit)</f>
        <v>0</v>
      </c>
      <c r="CE22" s="75">
        <f>IF(Index!CD68=1,0,$H22*$K22*py*Index!CD21*Index!CD162/unit)</f>
        <v>0</v>
      </c>
      <c r="CF22" s="75">
        <f>IF(Index!CE68=1,0,$H22*$K22*py*Index!CE21*Index!CE162/unit)</f>
        <v>0</v>
      </c>
      <c r="CG22" s="75">
        <f>IF(Index!CF68=1,0,$H22*$K22*py*Index!CF21*Index!CF162/unit)</f>
        <v>0</v>
      </c>
      <c r="CH22" s="75">
        <f>IF(Index!CG68=1,0,$H22*$K22*py*Index!CG21*Index!CG162/unit)</f>
        <v>0</v>
      </c>
      <c r="CI22" s="75">
        <f>IF(Index!CH68=1,0,$H22*$K22*py*Index!CH21*Index!CH162/unit)</f>
        <v>0</v>
      </c>
      <c r="CJ22" s="75">
        <f>IF(Index!CI68=1,0,$H22*$K22*py*Index!CI21*Index!CI162/unit)</f>
        <v>0</v>
      </c>
      <c r="CK22" s="75">
        <f>IF(Index!CJ68=1,0,$H22*$K22*py*Index!CJ21*Index!CJ162/unit)</f>
        <v>0</v>
      </c>
      <c r="CL22" s="75">
        <f>IF(Index!CK68=1,0,$H22*$K22*py*Index!CK21*Index!CK162/unit)</f>
        <v>0</v>
      </c>
      <c r="CM22" s="75">
        <f>IF(Index!CL68=1,0,$H22*$K22*py*Index!CL21*Index!CL162/unit)</f>
        <v>0</v>
      </c>
      <c r="CN22" s="75">
        <f>IF(Index!CM68=1,0,$H22*$K22*py*Index!CM21*Index!CM162/unit)</f>
        <v>0</v>
      </c>
      <c r="CO22" s="75">
        <f>IF(Index!CN68=1,0,$H22*$K22*py*Index!CN21*Index!CN162/unit)</f>
        <v>0</v>
      </c>
      <c r="CP22" s="75">
        <f>IF(Index!CO68=1,0,$H22*$K22*py*Index!CO21*Index!CO162/unit)</f>
        <v>0</v>
      </c>
      <c r="CQ22" s="75">
        <f>IF(Index!CP68=1,0,$H22*$K22*py*Index!CP21*Index!CP162/unit)</f>
        <v>0</v>
      </c>
      <c r="CR22" s="75">
        <f>IF(Index!CQ68=1,0,$H22*$K22*py*Index!CQ21*Index!CQ162/unit)</f>
        <v>0</v>
      </c>
      <c r="CS22" s="75">
        <f>IF(Index!CR68=1,0,$H22*$K22*py*Index!CR21*Index!CR162/unit)</f>
        <v>0</v>
      </c>
      <c r="CT22" s="75">
        <f>IF(Index!CS68=1,0,$H22*$K22*py*Index!CS21*Index!CS162/unit)</f>
        <v>0</v>
      </c>
      <c r="CU22" s="75">
        <f>IF(Index!CT68=1,0,$H22*$K22*py*Index!CT21*Index!CT162/unit)</f>
        <v>0</v>
      </c>
      <c r="CV22" s="75">
        <f>IF(Index!CU68=1,0,$H22*$K22*py*Index!CU21*Index!CU162/unit)</f>
        <v>0</v>
      </c>
      <c r="CW22" s="75">
        <f>IF(Index!CV68=1,0,$H22*$K22*py*Index!CV21*Index!CV162/unit)</f>
        <v>0</v>
      </c>
      <c r="CX22" s="75">
        <f>IF(Index!CW68=1,0,$H22*$K22*py*Index!CW21*Index!CW162/unit)</f>
        <v>0</v>
      </c>
      <c r="CY22" s="75">
        <f>IF(Index!CX68=1,0,$H22*$K22*py*Index!CX21*Index!CX162/unit)</f>
        <v>0</v>
      </c>
      <c r="CZ22" s="75">
        <f>IF(Index!CY68=1,0,$H22*$K22*py*Index!CY21*Index!CY162/unit)</f>
        <v>0</v>
      </c>
      <c r="DA22" s="75">
        <f>IF(Index!CZ68=1,0,$H22*$K22*py*Index!CZ21*Index!CZ162/unit)</f>
        <v>0</v>
      </c>
      <c r="DB22" s="75">
        <f>IF(Index!DA68=1,0,$H22*$K22*py*Index!DA21*Index!DA162/unit)</f>
        <v>0</v>
      </c>
      <c r="DC22" s="75">
        <f>IF(Index!DB68=1,0,$H22*$K22*py*Index!DB21*Index!DB162/unit)</f>
        <v>0</v>
      </c>
      <c r="DD22" s="75">
        <f>IF(Index!DC68=1,0,$H22*$K22*py*Index!DC21*Index!DC162/unit)</f>
        <v>0</v>
      </c>
      <c r="DE22" s="75">
        <f>IF(Index!DD68=1,0,$H22*$K22*py*Index!DD21*Index!DD162/unit)</f>
        <v>0</v>
      </c>
      <c r="DF22" s="75">
        <f>IF(Index!DE68=1,0,$H22*$K22*py*Index!DE21*Index!DE162/unit)</f>
        <v>0</v>
      </c>
      <c r="DG22" s="75">
        <f>IF(Index!DF68=1,0,$H22*$K22*py*Index!DF21*Index!DF162/unit)</f>
        <v>0</v>
      </c>
      <c r="DH22" s="75">
        <f>IF(Index!DG68=1,0,$H22*$K22*py*Index!DG21*Index!DG162/unit)</f>
        <v>0</v>
      </c>
      <c r="DI22" s="75">
        <f>IF(Index!DH68=1,0,$H22*$K22*py*Index!DH21*Index!DH162/unit)</f>
        <v>0</v>
      </c>
      <c r="DJ22" s="75">
        <f>IF(Index!DI68=1,0,$H22*$K22*py*Index!DI21*Index!DI162/unit)</f>
        <v>0</v>
      </c>
      <c r="DK22" s="75">
        <f>IF(Index!DJ68=1,0,$H22*$K22*py*Index!DJ21*Index!DJ162/unit)</f>
        <v>0</v>
      </c>
      <c r="DL22" s="75">
        <f>IF(Index!DK68=1,0,$H22*$K22*py*Index!DK21*Index!DK162/unit)</f>
        <v>0</v>
      </c>
      <c r="DM22" s="75">
        <f>IF(Index!DL68=1,0,$H22*$K22*py*Index!DL21*Index!DL162/unit)</f>
        <v>0</v>
      </c>
    </row>
    <row r="23" spans="2:117">
      <c r="B23" s="27">
        <f>Rentroll!$C$14</f>
        <v>14</v>
      </c>
      <c r="C23" s="69" t="str">
        <f>VLOOKUP($B23,Rentroll!$C$11:$X$29,3,FALSE)</f>
        <v>모빌리티 테크놀로지</v>
      </c>
      <c r="D23" s="80">
        <f>VLOOKUP($B23,Rentroll!$C$11:$X$29,9,FALSE)</f>
        <v>44043</v>
      </c>
      <c r="E23" s="80">
        <f>VLOOKUP($B23,Rentroll!$C$11:$X$29,10,FALSE)</f>
        <v>45868</v>
      </c>
      <c r="F23" s="81">
        <f>VLOOKUP($B23,Rentroll!$C$11:$X$29,11,FALSE)</f>
        <v>60</v>
      </c>
      <c r="G23" s="69">
        <f>VLOOKUP($B23,Rentroll!$C$11:$X$29,13,FALSE)</f>
        <v>90041</v>
      </c>
      <c r="H23" s="69">
        <f>VLOOKUP($B23,Rentroll!$C$11:$X$29,14,FALSE)</f>
        <v>67530.75</v>
      </c>
      <c r="I23" s="69">
        <f>VLOOKUP($B23,Rentroll!$C$11:$X$29,15,FALSE)</f>
        <v>45020</v>
      </c>
      <c r="J23" s="82">
        <f>VLOOKUP($B23,Rentroll!$C$11:$X$29,19,FALSE)</f>
        <v>0.03</v>
      </c>
      <c r="K23" s="83">
        <f>VLOOKUP($B23,Rentroll!$C$11:$X$29,4,FALSE)</f>
        <v>1385.09</v>
      </c>
      <c r="L23" s="81">
        <f>VLOOKUP($B23,Rentroll!$C$11:$X$29,17,FALSE)</f>
        <v>0</v>
      </c>
      <c r="M23" s="84">
        <f>VLOOKUP($B23,Rentroll!$C$11:$X$29,18,FALSE)</f>
        <v>3</v>
      </c>
      <c r="O23" s="74">
        <f t="shared" si="12"/>
        <v>14</v>
      </c>
      <c r="P23" s="75"/>
      <c r="Q23" s="75">
        <f t="shared" si="13"/>
        <v>169.76814222926254</v>
      </c>
      <c r="R23" s="75"/>
      <c r="S23" s="75">
        <f>IF(Index!R69=1,0,$H23*$K23*py*Index!R22*Index!R163/unit)</f>
        <v>0</v>
      </c>
      <c r="T23" s="75">
        <f>IF(Index!S69=1,0,$H23*$K23*py*Index!S22*Index!S163/unit)</f>
        <v>28.294690371543751</v>
      </c>
      <c r="U23" s="75">
        <f>IF(Index!T69=1,0,$H23*$K23*py*Index!T22*Index!T163/unit)</f>
        <v>28.294690371543751</v>
      </c>
      <c r="V23" s="75">
        <f>IF(Index!U69=1,0,$H23*$K23*py*Index!U22*Index!U163/unit)</f>
        <v>28.294690371543751</v>
      </c>
      <c r="W23" s="75">
        <f>IF(Index!V69=1,0,$H23*$K23*py*Index!V22*Index!V163/unit)</f>
        <v>28.294690371543751</v>
      </c>
      <c r="X23" s="75">
        <f>IF(Index!W69=1,0,$H23*$K23*py*Index!W22*Index!W163/unit)</f>
        <v>28.294690371543751</v>
      </c>
      <c r="Y23" s="75">
        <f>IF(Index!X69=1,0,$H23*$K23*py*Index!X22*Index!X163/unit)</f>
        <v>28.294690371543751</v>
      </c>
      <c r="Z23" s="75">
        <f>IF(Index!Y69=1,0,$H23*$K23*py*Index!Y22*Index!Y163/unit)</f>
        <v>0</v>
      </c>
      <c r="AA23" s="75">
        <f>IF(Index!Z69=1,0,$H23*$K23*py*Index!Z22*Index!Z163/unit)</f>
        <v>0</v>
      </c>
      <c r="AB23" s="75">
        <f>IF(Index!AA69=1,0,$H23*$K23*py*Index!AA22*Index!AA163/unit)</f>
        <v>0</v>
      </c>
      <c r="AC23" s="75">
        <f>IF(Index!AB69=1,0,$H23*$K23*py*Index!AB22*Index!AB163/unit)</f>
        <v>0</v>
      </c>
      <c r="AD23" s="75">
        <f>IF(Index!AC69=1,0,$H23*$K23*py*Index!AC22*Index!AC163/unit)</f>
        <v>0</v>
      </c>
      <c r="AE23" s="75">
        <f>IF(Index!AD69=1,0,$H23*$K23*py*Index!AD22*Index!AD163/unit)</f>
        <v>0</v>
      </c>
      <c r="AF23" s="75">
        <f>IF(Index!AE69=1,0,$H23*$K23*py*Index!AE22*Index!AE163/unit)</f>
        <v>0</v>
      </c>
      <c r="AG23" s="75">
        <f>IF(Index!AF69=1,0,$H23*$K23*py*Index!AF22*Index!AF163/unit)</f>
        <v>0</v>
      </c>
      <c r="AH23" s="75">
        <f>IF(Index!AG69=1,0,$H23*$K23*py*Index!AG22*Index!AG163/unit)</f>
        <v>0</v>
      </c>
      <c r="AI23" s="75">
        <f>IF(Index!AH69=1,0,$H23*$K23*py*Index!AH22*Index!AH163/unit)</f>
        <v>0</v>
      </c>
      <c r="AJ23" s="75">
        <f>IF(Index!AI69=1,0,$H23*$K23*py*Index!AI22*Index!AI163/unit)</f>
        <v>0</v>
      </c>
      <c r="AK23" s="75">
        <f>IF(Index!AJ69=1,0,$H23*$K23*py*Index!AJ22*Index!AJ163/unit)</f>
        <v>0</v>
      </c>
      <c r="AL23" s="75">
        <f>IF(Index!AK69=1,0,$H23*$K23*py*Index!AK22*Index!AK163/unit)</f>
        <v>0</v>
      </c>
      <c r="AM23" s="75">
        <f>IF(Index!AL69=1,0,$H23*$K23*py*Index!AL22*Index!AL163/unit)</f>
        <v>0</v>
      </c>
      <c r="AN23" s="75">
        <f>IF(Index!AM69=1,0,$H23*$K23*py*Index!AM22*Index!AM163/unit)</f>
        <v>0</v>
      </c>
      <c r="AO23" s="75">
        <f>IF(Index!AN69=1,0,$H23*$K23*py*Index!AN22*Index!AN163/unit)</f>
        <v>0</v>
      </c>
      <c r="AP23" s="75">
        <f>IF(Index!AO69=1,0,$H23*$K23*py*Index!AO22*Index!AO163/unit)</f>
        <v>0</v>
      </c>
      <c r="AQ23" s="75">
        <f>IF(Index!AP69=1,0,$H23*$K23*py*Index!AP22*Index!AP163/unit)</f>
        <v>0</v>
      </c>
      <c r="AR23" s="75">
        <f>IF(Index!AQ69=1,0,$H23*$K23*py*Index!AQ22*Index!AQ163/unit)</f>
        <v>0</v>
      </c>
      <c r="AS23" s="75">
        <f>IF(Index!AR69=1,0,$H23*$K23*py*Index!AR22*Index!AR163/unit)</f>
        <v>0</v>
      </c>
      <c r="AT23" s="75">
        <f>IF(Index!AS69=1,0,$H23*$K23*py*Index!AS22*Index!AS163/unit)</f>
        <v>0</v>
      </c>
      <c r="AU23" s="75">
        <f>IF(Index!AT69=1,0,$H23*$K23*py*Index!AT22*Index!AT163/unit)</f>
        <v>0</v>
      </c>
      <c r="AV23" s="75">
        <f>IF(Index!AU69=1,0,$H23*$K23*py*Index!AU22*Index!AU163/unit)</f>
        <v>0</v>
      </c>
      <c r="AW23" s="75">
        <f>IF(Index!AV69=1,0,$H23*$K23*py*Index!AV22*Index!AV163/unit)</f>
        <v>0</v>
      </c>
      <c r="AX23" s="75">
        <f>IF(Index!AW69=1,0,$H23*$K23*py*Index!AW22*Index!AW163/unit)</f>
        <v>0</v>
      </c>
      <c r="AY23" s="75">
        <f>IF(Index!AX69=1,0,$H23*$K23*py*Index!AX22*Index!AX163/unit)</f>
        <v>0</v>
      </c>
      <c r="AZ23" s="75">
        <f>IF(Index!AY69=1,0,$H23*$K23*py*Index!AY22*Index!AY163/unit)</f>
        <v>0</v>
      </c>
      <c r="BA23" s="75">
        <f>IF(Index!AZ69=1,0,$H23*$K23*py*Index!AZ22*Index!AZ163/unit)</f>
        <v>0</v>
      </c>
      <c r="BB23" s="75">
        <f>IF(Index!BA69=1,0,$H23*$K23*py*Index!BA22*Index!BA163/unit)</f>
        <v>0</v>
      </c>
      <c r="BC23" s="75">
        <f>IF(Index!BB69=1,0,$H23*$K23*py*Index!BB22*Index!BB163/unit)</f>
        <v>0</v>
      </c>
      <c r="BD23" s="75">
        <f>IF(Index!BC69=1,0,$H23*$K23*py*Index!BC22*Index!BC163/unit)</f>
        <v>0</v>
      </c>
      <c r="BE23" s="75">
        <f>IF(Index!BD69=1,0,$H23*$K23*py*Index!BD22*Index!BD163/unit)</f>
        <v>0</v>
      </c>
      <c r="BF23" s="75">
        <f>IF(Index!BE69=1,0,$H23*$K23*py*Index!BE22*Index!BE163/unit)</f>
        <v>0</v>
      </c>
      <c r="BG23" s="75">
        <f>IF(Index!BF69=1,0,$H23*$K23*py*Index!BF22*Index!BF163/unit)</f>
        <v>0</v>
      </c>
      <c r="BH23" s="75">
        <f>IF(Index!BG69=1,0,$H23*$K23*py*Index!BG22*Index!BG163/unit)</f>
        <v>0</v>
      </c>
      <c r="BI23" s="75">
        <f>IF(Index!BH69=1,0,$H23*$K23*py*Index!BH22*Index!BH163/unit)</f>
        <v>0</v>
      </c>
      <c r="BJ23" s="75">
        <f>IF(Index!BI69=1,0,$H23*$K23*py*Index!BI22*Index!BI163/unit)</f>
        <v>0</v>
      </c>
      <c r="BK23" s="75">
        <f>IF(Index!BJ69=1,0,$H23*$K23*py*Index!BJ22*Index!BJ163/unit)</f>
        <v>0</v>
      </c>
      <c r="BL23" s="75">
        <f>IF(Index!BK69=1,0,$H23*$K23*py*Index!BK22*Index!BK163/unit)</f>
        <v>0</v>
      </c>
      <c r="BM23" s="75">
        <f>IF(Index!BL69=1,0,$H23*$K23*py*Index!BL22*Index!BL163/unit)</f>
        <v>0</v>
      </c>
      <c r="BN23" s="75">
        <f>IF(Index!BM69=1,0,$H23*$K23*py*Index!BM22*Index!BM163/unit)</f>
        <v>0</v>
      </c>
      <c r="BO23" s="75">
        <f>IF(Index!BN69=1,0,$H23*$K23*py*Index!BN22*Index!BN163/unit)</f>
        <v>0</v>
      </c>
      <c r="BP23" s="75">
        <f>IF(Index!BO69=1,0,$H23*$K23*py*Index!BO22*Index!BO163/unit)</f>
        <v>0</v>
      </c>
      <c r="BQ23" s="75">
        <f>IF(Index!BP69=1,0,$H23*$K23*py*Index!BP22*Index!BP163/unit)</f>
        <v>0</v>
      </c>
      <c r="BR23" s="75">
        <f>IF(Index!BQ69=1,0,$H23*$K23*py*Index!BQ22*Index!BQ163/unit)</f>
        <v>0</v>
      </c>
      <c r="BS23" s="75">
        <f>IF(Index!BR69=1,0,$H23*$K23*py*Index!BR22*Index!BR163/unit)</f>
        <v>0</v>
      </c>
      <c r="BT23" s="75">
        <f>IF(Index!BS69=1,0,$H23*$K23*py*Index!BS22*Index!BS163/unit)</f>
        <v>0</v>
      </c>
      <c r="BU23" s="75">
        <f>IF(Index!BT69=1,0,$H23*$K23*py*Index!BT22*Index!BT163/unit)</f>
        <v>0</v>
      </c>
      <c r="BV23" s="75">
        <f>IF(Index!BU69=1,0,$H23*$K23*py*Index!BU22*Index!BU163/unit)</f>
        <v>0</v>
      </c>
      <c r="BW23" s="75">
        <f>IF(Index!BV69=1,0,$H23*$K23*py*Index!BV22*Index!BV163/unit)</f>
        <v>0</v>
      </c>
      <c r="BX23" s="75">
        <f>IF(Index!BW69=1,0,$H23*$K23*py*Index!BW22*Index!BW163/unit)</f>
        <v>0</v>
      </c>
      <c r="BY23" s="75">
        <f>IF(Index!BX69=1,0,$H23*$K23*py*Index!BX22*Index!BX163/unit)</f>
        <v>0</v>
      </c>
      <c r="BZ23" s="75">
        <f>IF(Index!BY69=1,0,$H23*$K23*py*Index!BY22*Index!BY163/unit)</f>
        <v>0</v>
      </c>
      <c r="CA23" s="75">
        <f>IF(Index!BZ69=1,0,$H23*$K23*py*Index!BZ22*Index!BZ163/unit)</f>
        <v>0</v>
      </c>
      <c r="CB23" s="75">
        <f>IF(Index!CA69=1,0,$H23*$K23*py*Index!CA22*Index!CA163/unit)</f>
        <v>0</v>
      </c>
      <c r="CC23" s="75">
        <f>IF(Index!CB69=1,0,$H23*$K23*py*Index!CB22*Index!CB163/unit)</f>
        <v>0</v>
      </c>
      <c r="CD23" s="75">
        <f>IF(Index!CC69=1,0,$H23*$K23*py*Index!CC22*Index!CC163/unit)</f>
        <v>0</v>
      </c>
      <c r="CE23" s="75">
        <f>IF(Index!CD69=1,0,$H23*$K23*py*Index!CD22*Index!CD163/unit)</f>
        <v>0</v>
      </c>
      <c r="CF23" s="75">
        <f>IF(Index!CE69=1,0,$H23*$K23*py*Index!CE22*Index!CE163/unit)</f>
        <v>0</v>
      </c>
      <c r="CG23" s="75">
        <f>IF(Index!CF69=1,0,$H23*$K23*py*Index!CF22*Index!CF163/unit)</f>
        <v>0</v>
      </c>
      <c r="CH23" s="75">
        <f>IF(Index!CG69=1,0,$H23*$K23*py*Index!CG22*Index!CG163/unit)</f>
        <v>0</v>
      </c>
      <c r="CI23" s="75">
        <f>IF(Index!CH69=1,0,$H23*$K23*py*Index!CH22*Index!CH163/unit)</f>
        <v>0</v>
      </c>
      <c r="CJ23" s="75">
        <f>IF(Index!CI69=1,0,$H23*$K23*py*Index!CI22*Index!CI163/unit)</f>
        <v>0</v>
      </c>
      <c r="CK23" s="75">
        <f>IF(Index!CJ69=1,0,$H23*$K23*py*Index!CJ22*Index!CJ163/unit)</f>
        <v>0</v>
      </c>
      <c r="CL23" s="75">
        <f>IF(Index!CK69=1,0,$H23*$K23*py*Index!CK22*Index!CK163/unit)</f>
        <v>0</v>
      </c>
      <c r="CM23" s="75">
        <f>IF(Index!CL69=1,0,$H23*$K23*py*Index!CL22*Index!CL163/unit)</f>
        <v>0</v>
      </c>
      <c r="CN23" s="75">
        <f>IF(Index!CM69=1,0,$H23*$K23*py*Index!CM22*Index!CM163/unit)</f>
        <v>0</v>
      </c>
      <c r="CO23" s="75">
        <f>IF(Index!CN69=1,0,$H23*$K23*py*Index!CN22*Index!CN163/unit)</f>
        <v>0</v>
      </c>
      <c r="CP23" s="75">
        <f>IF(Index!CO69=1,0,$H23*$K23*py*Index!CO22*Index!CO163/unit)</f>
        <v>0</v>
      </c>
      <c r="CQ23" s="75">
        <f>IF(Index!CP69=1,0,$H23*$K23*py*Index!CP22*Index!CP163/unit)</f>
        <v>0</v>
      </c>
      <c r="CR23" s="75">
        <f>IF(Index!CQ69=1,0,$H23*$K23*py*Index!CQ22*Index!CQ163/unit)</f>
        <v>0</v>
      </c>
      <c r="CS23" s="75">
        <f>IF(Index!CR69=1,0,$H23*$K23*py*Index!CR22*Index!CR163/unit)</f>
        <v>0</v>
      </c>
      <c r="CT23" s="75">
        <f>IF(Index!CS69=1,0,$H23*$K23*py*Index!CS22*Index!CS163/unit)</f>
        <v>0</v>
      </c>
      <c r="CU23" s="75">
        <f>IF(Index!CT69=1,0,$H23*$K23*py*Index!CT22*Index!CT163/unit)</f>
        <v>0</v>
      </c>
      <c r="CV23" s="75">
        <f>IF(Index!CU69=1,0,$H23*$K23*py*Index!CU22*Index!CU163/unit)</f>
        <v>0</v>
      </c>
      <c r="CW23" s="75">
        <f>IF(Index!CV69=1,0,$H23*$K23*py*Index!CV22*Index!CV163/unit)</f>
        <v>0</v>
      </c>
      <c r="CX23" s="75">
        <f>IF(Index!CW69=1,0,$H23*$K23*py*Index!CW22*Index!CW163/unit)</f>
        <v>0</v>
      </c>
      <c r="CY23" s="75">
        <f>IF(Index!CX69=1,0,$H23*$K23*py*Index!CX22*Index!CX163/unit)</f>
        <v>0</v>
      </c>
      <c r="CZ23" s="75">
        <f>IF(Index!CY69=1,0,$H23*$K23*py*Index!CY22*Index!CY163/unit)</f>
        <v>0</v>
      </c>
      <c r="DA23" s="75">
        <f>IF(Index!CZ69=1,0,$H23*$K23*py*Index!CZ22*Index!CZ163/unit)</f>
        <v>0</v>
      </c>
      <c r="DB23" s="75">
        <f>IF(Index!DA69=1,0,$H23*$K23*py*Index!DA22*Index!DA163/unit)</f>
        <v>0</v>
      </c>
      <c r="DC23" s="75">
        <f>IF(Index!DB69=1,0,$H23*$K23*py*Index!DB22*Index!DB163/unit)</f>
        <v>0</v>
      </c>
      <c r="DD23" s="75">
        <f>IF(Index!DC69=1,0,$H23*$K23*py*Index!DC22*Index!DC163/unit)</f>
        <v>0</v>
      </c>
      <c r="DE23" s="75">
        <f>IF(Index!DD69=1,0,$H23*$K23*py*Index!DD22*Index!DD163/unit)</f>
        <v>0</v>
      </c>
      <c r="DF23" s="75">
        <f>IF(Index!DE69=1,0,$H23*$K23*py*Index!DE22*Index!DE163/unit)</f>
        <v>0</v>
      </c>
      <c r="DG23" s="75">
        <f>IF(Index!DF69=1,0,$H23*$K23*py*Index!DF22*Index!DF163/unit)</f>
        <v>0</v>
      </c>
      <c r="DH23" s="75">
        <f>IF(Index!DG69=1,0,$H23*$K23*py*Index!DG22*Index!DG163/unit)</f>
        <v>0</v>
      </c>
      <c r="DI23" s="75">
        <f>IF(Index!DH69=1,0,$H23*$K23*py*Index!DH22*Index!DH163/unit)</f>
        <v>0</v>
      </c>
      <c r="DJ23" s="75">
        <f>IF(Index!DI69=1,0,$H23*$K23*py*Index!DI22*Index!DI163/unit)</f>
        <v>0</v>
      </c>
      <c r="DK23" s="75">
        <f>IF(Index!DJ69=1,0,$H23*$K23*py*Index!DJ22*Index!DJ163/unit)</f>
        <v>0</v>
      </c>
      <c r="DL23" s="75">
        <f>IF(Index!DK69=1,0,$H23*$K23*py*Index!DK22*Index!DK163/unit)</f>
        <v>0</v>
      </c>
      <c r="DM23" s="75">
        <f>IF(Index!DL69=1,0,$H23*$K23*py*Index!DL22*Index!DL163/unit)</f>
        <v>0</v>
      </c>
    </row>
    <row r="24" spans="2:117" ht="17">
      <c r="B24" s="27">
        <f>Rentroll!$C$15</f>
        <v>13</v>
      </c>
      <c r="C24" s="69" t="str">
        <f>VLOOKUP($B24,Rentroll!$C$11:$X$29,3,FALSE)</f>
        <v>모빌리티 테크놀로지</v>
      </c>
      <c r="D24" s="80">
        <f>VLOOKUP($B24,Rentroll!$C$11:$X$29,9,FALSE)</f>
        <v>44043</v>
      </c>
      <c r="E24" s="80">
        <f>VLOOKUP($B24,Rentroll!$C$11:$X$29,10,FALSE)</f>
        <v>45868</v>
      </c>
      <c r="F24" s="85">
        <f>VLOOKUP($B24,Rentroll!$C$11:$X$29,11,FALSE)</f>
        <v>60</v>
      </c>
      <c r="G24" s="86">
        <f>VLOOKUP($B24,Rentroll!$C$11:$X$29,13,FALSE)</f>
        <v>90041</v>
      </c>
      <c r="H24" s="69">
        <f>VLOOKUP($B24,Rentroll!$C$11:$X$29,14,FALSE)</f>
        <v>67530.75</v>
      </c>
      <c r="I24" s="69">
        <f>VLOOKUP($B24,Rentroll!$C$11:$X$29,15,FALSE)</f>
        <v>45020</v>
      </c>
      <c r="J24" s="82">
        <f>VLOOKUP($B24,Rentroll!$C$11:$X$29,19,FALSE)</f>
        <v>0.03</v>
      </c>
      <c r="K24" s="83">
        <f>VLOOKUP($B24,Rentroll!$C$11:$X$29,4,FALSE)</f>
        <v>1385.09</v>
      </c>
      <c r="L24" s="81">
        <f>VLOOKUP($B24,Rentroll!$C$11:$X$29,17,FALSE)</f>
        <v>0</v>
      </c>
      <c r="M24" s="84">
        <f>VLOOKUP($B24,Rentroll!$C$11:$X$29,18,FALSE)</f>
        <v>3</v>
      </c>
      <c r="O24" s="74">
        <f t="shared" si="12"/>
        <v>13</v>
      </c>
      <c r="P24" s="75"/>
      <c r="Q24" s="75">
        <f t="shared" si="13"/>
        <v>169.76814222926254</v>
      </c>
      <c r="R24" s="75"/>
      <c r="S24" s="75">
        <f>IF(Index!R70=1,0,$H24*$K24*py*Index!R23*Index!R164/unit)</f>
        <v>0</v>
      </c>
      <c r="T24" s="75">
        <f>IF(Index!S70=1,0,$H24*$K24*py*Index!S23*Index!S164/unit)</f>
        <v>28.294690371543751</v>
      </c>
      <c r="U24" s="75">
        <f>IF(Index!T70=1,0,$H24*$K24*py*Index!T23*Index!T164/unit)</f>
        <v>28.294690371543751</v>
      </c>
      <c r="V24" s="75">
        <f>IF(Index!U70=1,0,$H24*$K24*py*Index!U23*Index!U164/unit)</f>
        <v>28.294690371543751</v>
      </c>
      <c r="W24" s="75">
        <f>IF(Index!V70=1,0,$H24*$K24*py*Index!V23*Index!V164/unit)</f>
        <v>28.294690371543751</v>
      </c>
      <c r="X24" s="75">
        <f>IF(Index!W70=1,0,$H24*$K24*py*Index!W23*Index!W164/unit)</f>
        <v>28.294690371543751</v>
      </c>
      <c r="Y24" s="75">
        <f>IF(Index!X70=1,0,$H24*$K24*py*Index!X23*Index!X164/unit)</f>
        <v>28.294690371543751</v>
      </c>
      <c r="Z24" s="75">
        <f>IF(Index!Y70=1,0,$H24*$K24*py*Index!Y23*Index!Y164/unit)</f>
        <v>0</v>
      </c>
      <c r="AA24" s="75">
        <f>IF(Index!Z70=1,0,$H24*$K24*py*Index!Z23*Index!Z164/unit)</f>
        <v>0</v>
      </c>
      <c r="AB24" s="75">
        <f>IF(Index!AA70=1,0,$H24*$K24*py*Index!AA23*Index!AA164/unit)</f>
        <v>0</v>
      </c>
      <c r="AC24" s="75">
        <f>IF(Index!AB70=1,0,$H24*$K24*py*Index!AB23*Index!AB164/unit)</f>
        <v>0</v>
      </c>
      <c r="AD24" s="75">
        <f>IF(Index!AC70=1,0,$H24*$K24*py*Index!AC23*Index!AC164/unit)</f>
        <v>0</v>
      </c>
      <c r="AE24" s="75">
        <f>IF(Index!AD70=1,0,$H24*$K24*py*Index!AD23*Index!AD164/unit)</f>
        <v>0</v>
      </c>
      <c r="AF24" s="75">
        <f>IF(Index!AE70=1,0,$H24*$K24*py*Index!AE23*Index!AE164/unit)</f>
        <v>0</v>
      </c>
      <c r="AG24" s="75">
        <f>IF(Index!AF70=1,0,$H24*$K24*py*Index!AF23*Index!AF164/unit)</f>
        <v>0</v>
      </c>
      <c r="AH24" s="75">
        <f>IF(Index!AG70=1,0,$H24*$K24*py*Index!AG23*Index!AG164/unit)</f>
        <v>0</v>
      </c>
      <c r="AI24" s="75">
        <f>IF(Index!AH70=1,0,$H24*$K24*py*Index!AH23*Index!AH164/unit)</f>
        <v>0</v>
      </c>
      <c r="AJ24" s="75">
        <f>IF(Index!AI70=1,0,$H24*$K24*py*Index!AI23*Index!AI164/unit)</f>
        <v>0</v>
      </c>
      <c r="AK24" s="75">
        <f>IF(Index!AJ70=1,0,$H24*$K24*py*Index!AJ23*Index!AJ164/unit)</f>
        <v>0</v>
      </c>
      <c r="AL24" s="75">
        <f>IF(Index!AK70=1,0,$H24*$K24*py*Index!AK23*Index!AK164/unit)</f>
        <v>0</v>
      </c>
      <c r="AM24" s="75">
        <f>IF(Index!AL70=1,0,$H24*$K24*py*Index!AL23*Index!AL164/unit)</f>
        <v>0</v>
      </c>
      <c r="AN24" s="75">
        <f>IF(Index!AM70=1,0,$H24*$K24*py*Index!AM23*Index!AM164/unit)</f>
        <v>0</v>
      </c>
      <c r="AO24" s="75">
        <f>IF(Index!AN70=1,0,$H24*$K24*py*Index!AN23*Index!AN164/unit)</f>
        <v>0</v>
      </c>
      <c r="AP24" s="75">
        <f>IF(Index!AO70=1,0,$H24*$K24*py*Index!AO23*Index!AO164/unit)</f>
        <v>0</v>
      </c>
      <c r="AQ24" s="75">
        <f>IF(Index!AP70=1,0,$H24*$K24*py*Index!AP23*Index!AP164/unit)</f>
        <v>0</v>
      </c>
      <c r="AR24" s="75">
        <f>IF(Index!AQ70=1,0,$H24*$K24*py*Index!AQ23*Index!AQ164/unit)</f>
        <v>0</v>
      </c>
      <c r="AS24" s="75">
        <f>IF(Index!AR70=1,0,$H24*$K24*py*Index!AR23*Index!AR164/unit)</f>
        <v>0</v>
      </c>
      <c r="AT24" s="75">
        <f>IF(Index!AS70=1,0,$H24*$K24*py*Index!AS23*Index!AS164/unit)</f>
        <v>0</v>
      </c>
      <c r="AU24" s="75">
        <f>IF(Index!AT70=1,0,$H24*$K24*py*Index!AT23*Index!AT164/unit)</f>
        <v>0</v>
      </c>
      <c r="AV24" s="75">
        <f>IF(Index!AU70=1,0,$H24*$K24*py*Index!AU23*Index!AU164/unit)</f>
        <v>0</v>
      </c>
      <c r="AW24" s="75">
        <f>IF(Index!AV70=1,0,$H24*$K24*py*Index!AV23*Index!AV164/unit)</f>
        <v>0</v>
      </c>
      <c r="AX24" s="75">
        <f>IF(Index!AW70=1,0,$H24*$K24*py*Index!AW23*Index!AW164/unit)</f>
        <v>0</v>
      </c>
      <c r="AY24" s="75">
        <f>IF(Index!AX70=1,0,$H24*$K24*py*Index!AX23*Index!AX164/unit)</f>
        <v>0</v>
      </c>
      <c r="AZ24" s="75">
        <f>IF(Index!AY70=1,0,$H24*$K24*py*Index!AY23*Index!AY164/unit)</f>
        <v>0</v>
      </c>
      <c r="BA24" s="75">
        <f>IF(Index!AZ70=1,0,$H24*$K24*py*Index!AZ23*Index!AZ164/unit)</f>
        <v>0</v>
      </c>
      <c r="BB24" s="75">
        <f>IF(Index!BA70=1,0,$H24*$K24*py*Index!BA23*Index!BA164/unit)</f>
        <v>0</v>
      </c>
      <c r="BC24" s="75">
        <f>IF(Index!BB70=1,0,$H24*$K24*py*Index!BB23*Index!BB164/unit)</f>
        <v>0</v>
      </c>
      <c r="BD24" s="75">
        <f>IF(Index!BC70=1,0,$H24*$K24*py*Index!BC23*Index!BC164/unit)</f>
        <v>0</v>
      </c>
      <c r="BE24" s="75">
        <f>IF(Index!BD70=1,0,$H24*$K24*py*Index!BD23*Index!BD164/unit)</f>
        <v>0</v>
      </c>
      <c r="BF24" s="75">
        <f>IF(Index!BE70=1,0,$H24*$K24*py*Index!BE23*Index!BE164/unit)</f>
        <v>0</v>
      </c>
      <c r="BG24" s="75">
        <f>IF(Index!BF70=1,0,$H24*$K24*py*Index!BF23*Index!BF164/unit)</f>
        <v>0</v>
      </c>
      <c r="BH24" s="75">
        <f>IF(Index!BG70=1,0,$H24*$K24*py*Index!BG23*Index!BG164/unit)</f>
        <v>0</v>
      </c>
      <c r="BI24" s="75">
        <f>IF(Index!BH70=1,0,$H24*$K24*py*Index!BH23*Index!BH164/unit)</f>
        <v>0</v>
      </c>
      <c r="BJ24" s="75">
        <f>IF(Index!BI70=1,0,$H24*$K24*py*Index!BI23*Index!BI164/unit)</f>
        <v>0</v>
      </c>
      <c r="BK24" s="75">
        <f>IF(Index!BJ70=1,0,$H24*$K24*py*Index!BJ23*Index!BJ164/unit)</f>
        <v>0</v>
      </c>
      <c r="BL24" s="75">
        <f>IF(Index!BK70=1,0,$H24*$K24*py*Index!BK23*Index!BK164/unit)</f>
        <v>0</v>
      </c>
      <c r="BM24" s="75">
        <f>IF(Index!BL70=1,0,$H24*$K24*py*Index!BL23*Index!BL164/unit)</f>
        <v>0</v>
      </c>
      <c r="BN24" s="75">
        <f>IF(Index!BM70=1,0,$H24*$K24*py*Index!BM23*Index!BM164/unit)</f>
        <v>0</v>
      </c>
      <c r="BO24" s="75">
        <f>IF(Index!BN70=1,0,$H24*$K24*py*Index!BN23*Index!BN164/unit)</f>
        <v>0</v>
      </c>
      <c r="BP24" s="75">
        <f>IF(Index!BO70=1,0,$H24*$K24*py*Index!BO23*Index!BO164/unit)</f>
        <v>0</v>
      </c>
      <c r="BQ24" s="75">
        <f>IF(Index!BP70=1,0,$H24*$K24*py*Index!BP23*Index!BP164/unit)</f>
        <v>0</v>
      </c>
      <c r="BR24" s="75">
        <f>IF(Index!BQ70=1,0,$H24*$K24*py*Index!BQ23*Index!BQ164/unit)</f>
        <v>0</v>
      </c>
      <c r="BS24" s="75">
        <f>IF(Index!BR70=1,0,$H24*$K24*py*Index!BR23*Index!BR164/unit)</f>
        <v>0</v>
      </c>
      <c r="BT24" s="75">
        <f>IF(Index!BS70=1,0,$H24*$K24*py*Index!BS23*Index!BS164/unit)</f>
        <v>0</v>
      </c>
      <c r="BU24" s="75">
        <f>IF(Index!BT70=1,0,$H24*$K24*py*Index!BT23*Index!BT164/unit)</f>
        <v>0</v>
      </c>
      <c r="BV24" s="75">
        <f>IF(Index!BU70=1,0,$H24*$K24*py*Index!BU23*Index!BU164/unit)</f>
        <v>0</v>
      </c>
      <c r="BW24" s="75">
        <f>IF(Index!BV70=1,0,$H24*$K24*py*Index!BV23*Index!BV164/unit)</f>
        <v>0</v>
      </c>
      <c r="BX24" s="75">
        <f>IF(Index!BW70=1,0,$H24*$K24*py*Index!BW23*Index!BW164/unit)</f>
        <v>0</v>
      </c>
      <c r="BY24" s="75">
        <f>IF(Index!BX70=1,0,$H24*$K24*py*Index!BX23*Index!BX164/unit)</f>
        <v>0</v>
      </c>
      <c r="BZ24" s="75">
        <f>IF(Index!BY70=1,0,$H24*$K24*py*Index!BY23*Index!BY164/unit)</f>
        <v>0</v>
      </c>
      <c r="CA24" s="75">
        <f>IF(Index!BZ70=1,0,$H24*$K24*py*Index!BZ23*Index!BZ164/unit)</f>
        <v>0</v>
      </c>
      <c r="CB24" s="75">
        <f>IF(Index!CA70=1,0,$H24*$K24*py*Index!CA23*Index!CA164/unit)</f>
        <v>0</v>
      </c>
      <c r="CC24" s="75">
        <f>IF(Index!CB70=1,0,$H24*$K24*py*Index!CB23*Index!CB164/unit)</f>
        <v>0</v>
      </c>
      <c r="CD24" s="75">
        <f>IF(Index!CC70=1,0,$H24*$K24*py*Index!CC23*Index!CC164/unit)</f>
        <v>0</v>
      </c>
      <c r="CE24" s="75">
        <f>IF(Index!CD70=1,0,$H24*$K24*py*Index!CD23*Index!CD164/unit)</f>
        <v>0</v>
      </c>
      <c r="CF24" s="75">
        <f>IF(Index!CE70=1,0,$H24*$K24*py*Index!CE23*Index!CE164/unit)</f>
        <v>0</v>
      </c>
      <c r="CG24" s="75">
        <f>IF(Index!CF70=1,0,$H24*$K24*py*Index!CF23*Index!CF164/unit)</f>
        <v>0</v>
      </c>
      <c r="CH24" s="75">
        <f>IF(Index!CG70=1,0,$H24*$K24*py*Index!CG23*Index!CG164/unit)</f>
        <v>0</v>
      </c>
      <c r="CI24" s="75">
        <f>IF(Index!CH70=1,0,$H24*$K24*py*Index!CH23*Index!CH164/unit)</f>
        <v>0</v>
      </c>
      <c r="CJ24" s="75">
        <f>IF(Index!CI70=1,0,$H24*$K24*py*Index!CI23*Index!CI164/unit)</f>
        <v>0</v>
      </c>
      <c r="CK24" s="75">
        <f>IF(Index!CJ70=1,0,$H24*$K24*py*Index!CJ23*Index!CJ164/unit)</f>
        <v>0</v>
      </c>
      <c r="CL24" s="75">
        <f>IF(Index!CK70=1,0,$H24*$K24*py*Index!CK23*Index!CK164/unit)</f>
        <v>0</v>
      </c>
      <c r="CM24" s="75">
        <f>IF(Index!CL70=1,0,$H24*$K24*py*Index!CL23*Index!CL164/unit)</f>
        <v>0</v>
      </c>
      <c r="CN24" s="75">
        <f>IF(Index!CM70=1,0,$H24*$K24*py*Index!CM23*Index!CM164/unit)</f>
        <v>0</v>
      </c>
      <c r="CO24" s="75">
        <f>IF(Index!CN70=1,0,$H24*$K24*py*Index!CN23*Index!CN164/unit)</f>
        <v>0</v>
      </c>
      <c r="CP24" s="75">
        <f>IF(Index!CO70=1,0,$H24*$K24*py*Index!CO23*Index!CO164/unit)</f>
        <v>0</v>
      </c>
      <c r="CQ24" s="75">
        <f>IF(Index!CP70=1,0,$H24*$K24*py*Index!CP23*Index!CP164/unit)</f>
        <v>0</v>
      </c>
      <c r="CR24" s="75">
        <f>IF(Index!CQ70=1,0,$H24*$K24*py*Index!CQ23*Index!CQ164/unit)</f>
        <v>0</v>
      </c>
      <c r="CS24" s="75">
        <f>IF(Index!CR70=1,0,$H24*$K24*py*Index!CR23*Index!CR164/unit)</f>
        <v>0</v>
      </c>
      <c r="CT24" s="75">
        <f>IF(Index!CS70=1,0,$H24*$K24*py*Index!CS23*Index!CS164/unit)</f>
        <v>0</v>
      </c>
      <c r="CU24" s="75">
        <f>IF(Index!CT70=1,0,$H24*$K24*py*Index!CT23*Index!CT164/unit)</f>
        <v>0</v>
      </c>
      <c r="CV24" s="75">
        <f>IF(Index!CU70=1,0,$H24*$K24*py*Index!CU23*Index!CU164/unit)</f>
        <v>0</v>
      </c>
      <c r="CW24" s="75">
        <f>IF(Index!CV70=1,0,$H24*$K24*py*Index!CV23*Index!CV164/unit)</f>
        <v>0</v>
      </c>
      <c r="CX24" s="75">
        <f>IF(Index!CW70=1,0,$H24*$K24*py*Index!CW23*Index!CW164/unit)</f>
        <v>0</v>
      </c>
      <c r="CY24" s="75">
        <f>IF(Index!CX70=1,0,$H24*$K24*py*Index!CX23*Index!CX164/unit)</f>
        <v>0</v>
      </c>
      <c r="CZ24" s="75">
        <f>IF(Index!CY70=1,0,$H24*$K24*py*Index!CY23*Index!CY164/unit)</f>
        <v>0</v>
      </c>
      <c r="DA24" s="75">
        <f>IF(Index!CZ70=1,0,$H24*$K24*py*Index!CZ23*Index!CZ164/unit)</f>
        <v>0</v>
      </c>
      <c r="DB24" s="75">
        <f>IF(Index!DA70=1,0,$H24*$K24*py*Index!DA23*Index!DA164/unit)</f>
        <v>0</v>
      </c>
      <c r="DC24" s="75">
        <f>IF(Index!DB70=1,0,$H24*$K24*py*Index!DB23*Index!DB164/unit)</f>
        <v>0</v>
      </c>
      <c r="DD24" s="75">
        <f>IF(Index!DC70=1,0,$H24*$K24*py*Index!DC23*Index!DC164/unit)</f>
        <v>0</v>
      </c>
      <c r="DE24" s="75">
        <f>IF(Index!DD70=1,0,$H24*$K24*py*Index!DD23*Index!DD164/unit)</f>
        <v>0</v>
      </c>
      <c r="DF24" s="75">
        <f>IF(Index!DE70=1,0,$H24*$K24*py*Index!DE23*Index!DE164/unit)</f>
        <v>0</v>
      </c>
      <c r="DG24" s="75">
        <f>IF(Index!DF70=1,0,$H24*$K24*py*Index!DF23*Index!DF164/unit)</f>
        <v>0</v>
      </c>
      <c r="DH24" s="75">
        <f>IF(Index!DG70=1,0,$H24*$K24*py*Index!DG23*Index!DG164/unit)</f>
        <v>0</v>
      </c>
      <c r="DI24" s="75">
        <f>IF(Index!DH70=1,0,$H24*$K24*py*Index!DH23*Index!DH164/unit)</f>
        <v>0</v>
      </c>
      <c r="DJ24" s="75">
        <f>IF(Index!DI70=1,0,$H24*$K24*py*Index!DI23*Index!DI164/unit)</f>
        <v>0</v>
      </c>
      <c r="DK24" s="75">
        <f>IF(Index!DJ70=1,0,$H24*$K24*py*Index!DJ23*Index!DJ164/unit)</f>
        <v>0</v>
      </c>
      <c r="DL24" s="75">
        <f>IF(Index!DK70=1,0,$H24*$K24*py*Index!DK23*Index!DK164/unit)</f>
        <v>0</v>
      </c>
      <c r="DM24" s="75">
        <f>IF(Index!DL70=1,0,$H24*$K24*py*Index!DL23*Index!DL164/unit)</f>
        <v>0</v>
      </c>
    </row>
    <row r="25" spans="2:117">
      <c r="B25" s="27">
        <f>Rentroll!$C$16</f>
        <v>12</v>
      </c>
      <c r="C25" s="69" t="str">
        <f>VLOOKUP($B25,Rentroll!$C$11:$X$29,3,FALSE)</f>
        <v>모빌리티 테크놀로지</v>
      </c>
      <c r="D25" s="80">
        <f>VLOOKUP($B25,Rentroll!$C$11:$X$29,9,FALSE)</f>
        <v>44043</v>
      </c>
      <c r="E25" s="80">
        <f>VLOOKUP($B25,Rentroll!$C$11:$X$29,10,FALSE)</f>
        <v>45868</v>
      </c>
      <c r="F25" s="81">
        <f>VLOOKUP($B25,Rentroll!$C$11:$X$29,11,FALSE)</f>
        <v>60</v>
      </c>
      <c r="G25" s="69">
        <f>VLOOKUP($B25,Rentroll!$C$11:$X$29,13,FALSE)</f>
        <v>90041</v>
      </c>
      <c r="H25" s="69">
        <f>VLOOKUP($B25,Rentroll!$C$11:$X$29,14,FALSE)</f>
        <v>67530.75</v>
      </c>
      <c r="I25" s="69">
        <f>VLOOKUP($B25,Rentroll!$C$11:$X$29,15,FALSE)</f>
        <v>45020</v>
      </c>
      <c r="J25" s="82">
        <f>VLOOKUP($B25,Rentroll!$C$11:$X$29,19,FALSE)</f>
        <v>0.03</v>
      </c>
      <c r="K25" s="83">
        <f>VLOOKUP($B25,Rentroll!$C$11:$X$29,4,FALSE)</f>
        <v>1385.09</v>
      </c>
      <c r="L25" s="81">
        <f>VLOOKUP($B25,Rentroll!$C$11:$X$29,17,FALSE)</f>
        <v>0</v>
      </c>
      <c r="M25" s="84">
        <f>VLOOKUP($B25,Rentroll!$C$11:$X$29,18,FALSE)</f>
        <v>3</v>
      </c>
      <c r="O25" s="74">
        <f t="shared" si="12"/>
        <v>12</v>
      </c>
      <c r="P25" s="75"/>
      <c r="Q25" s="75">
        <f t="shared" si="13"/>
        <v>169.76814222926254</v>
      </c>
      <c r="R25" s="75"/>
      <c r="S25" s="75">
        <f>IF(Index!R71=1,0,$H25*$K25*py*Index!R24*Index!R165/unit)</f>
        <v>0</v>
      </c>
      <c r="T25" s="75">
        <f>IF(Index!S71=1,0,$H25*$K25*py*Index!S24*Index!S165/unit)</f>
        <v>28.294690371543751</v>
      </c>
      <c r="U25" s="75">
        <f>IF(Index!T71=1,0,$H25*$K25*py*Index!T24*Index!T165/unit)</f>
        <v>28.294690371543751</v>
      </c>
      <c r="V25" s="75">
        <f>IF(Index!U71=1,0,$H25*$K25*py*Index!U24*Index!U165/unit)</f>
        <v>28.294690371543751</v>
      </c>
      <c r="W25" s="75">
        <f>IF(Index!V71=1,0,$H25*$K25*py*Index!V24*Index!V165/unit)</f>
        <v>28.294690371543751</v>
      </c>
      <c r="X25" s="75">
        <f>IF(Index!W71=1,0,$H25*$K25*py*Index!W24*Index!W165/unit)</f>
        <v>28.294690371543751</v>
      </c>
      <c r="Y25" s="75">
        <f>IF(Index!X71=1,0,$H25*$K25*py*Index!X24*Index!X165/unit)</f>
        <v>28.294690371543751</v>
      </c>
      <c r="Z25" s="75">
        <f>IF(Index!Y71=1,0,$H25*$K25*py*Index!Y24*Index!Y165/unit)</f>
        <v>0</v>
      </c>
      <c r="AA25" s="75">
        <f>IF(Index!Z71=1,0,$H25*$K25*py*Index!Z24*Index!Z165/unit)</f>
        <v>0</v>
      </c>
      <c r="AB25" s="75">
        <f>IF(Index!AA71=1,0,$H25*$K25*py*Index!AA24*Index!AA165/unit)</f>
        <v>0</v>
      </c>
      <c r="AC25" s="75">
        <f>IF(Index!AB71=1,0,$H25*$K25*py*Index!AB24*Index!AB165/unit)</f>
        <v>0</v>
      </c>
      <c r="AD25" s="75">
        <f>IF(Index!AC71=1,0,$H25*$K25*py*Index!AC24*Index!AC165/unit)</f>
        <v>0</v>
      </c>
      <c r="AE25" s="75">
        <f>IF(Index!AD71=1,0,$H25*$K25*py*Index!AD24*Index!AD165/unit)</f>
        <v>0</v>
      </c>
      <c r="AF25" s="75">
        <f>IF(Index!AE71=1,0,$H25*$K25*py*Index!AE24*Index!AE165/unit)</f>
        <v>0</v>
      </c>
      <c r="AG25" s="75">
        <f>IF(Index!AF71=1,0,$H25*$K25*py*Index!AF24*Index!AF165/unit)</f>
        <v>0</v>
      </c>
      <c r="AH25" s="75">
        <f>IF(Index!AG71=1,0,$H25*$K25*py*Index!AG24*Index!AG165/unit)</f>
        <v>0</v>
      </c>
      <c r="AI25" s="75">
        <f>IF(Index!AH71=1,0,$H25*$K25*py*Index!AH24*Index!AH165/unit)</f>
        <v>0</v>
      </c>
      <c r="AJ25" s="75">
        <f>IF(Index!AI71=1,0,$H25*$K25*py*Index!AI24*Index!AI165/unit)</f>
        <v>0</v>
      </c>
      <c r="AK25" s="75">
        <f>IF(Index!AJ71=1,0,$H25*$K25*py*Index!AJ24*Index!AJ165/unit)</f>
        <v>0</v>
      </c>
      <c r="AL25" s="75">
        <f>IF(Index!AK71=1,0,$H25*$K25*py*Index!AK24*Index!AK165/unit)</f>
        <v>0</v>
      </c>
      <c r="AM25" s="75">
        <f>IF(Index!AL71=1,0,$H25*$K25*py*Index!AL24*Index!AL165/unit)</f>
        <v>0</v>
      </c>
      <c r="AN25" s="75">
        <f>IF(Index!AM71=1,0,$H25*$K25*py*Index!AM24*Index!AM165/unit)</f>
        <v>0</v>
      </c>
      <c r="AO25" s="75">
        <f>IF(Index!AN71=1,0,$H25*$K25*py*Index!AN24*Index!AN165/unit)</f>
        <v>0</v>
      </c>
      <c r="AP25" s="75">
        <f>IF(Index!AO71=1,0,$H25*$K25*py*Index!AO24*Index!AO165/unit)</f>
        <v>0</v>
      </c>
      <c r="AQ25" s="75">
        <f>IF(Index!AP71=1,0,$H25*$K25*py*Index!AP24*Index!AP165/unit)</f>
        <v>0</v>
      </c>
      <c r="AR25" s="75">
        <f>IF(Index!AQ71=1,0,$H25*$K25*py*Index!AQ24*Index!AQ165/unit)</f>
        <v>0</v>
      </c>
      <c r="AS25" s="75">
        <f>IF(Index!AR71=1,0,$H25*$K25*py*Index!AR24*Index!AR165/unit)</f>
        <v>0</v>
      </c>
      <c r="AT25" s="75">
        <f>IF(Index!AS71=1,0,$H25*$K25*py*Index!AS24*Index!AS165/unit)</f>
        <v>0</v>
      </c>
      <c r="AU25" s="75">
        <f>IF(Index!AT71=1,0,$H25*$K25*py*Index!AT24*Index!AT165/unit)</f>
        <v>0</v>
      </c>
      <c r="AV25" s="75">
        <f>IF(Index!AU71=1,0,$H25*$K25*py*Index!AU24*Index!AU165/unit)</f>
        <v>0</v>
      </c>
      <c r="AW25" s="75">
        <f>IF(Index!AV71=1,0,$H25*$K25*py*Index!AV24*Index!AV165/unit)</f>
        <v>0</v>
      </c>
      <c r="AX25" s="75">
        <f>IF(Index!AW71=1,0,$H25*$K25*py*Index!AW24*Index!AW165/unit)</f>
        <v>0</v>
      </c>
      <c r="AY25" s="75">
        <f>IF(Index!AX71=1,0,$H25*$K25*py*Index!AX24*Index!AX165/unit)</f>
        <v>0</v>
      </c>
      <c r="AZ25" s="75">
        <f>IF(Index!AY71=1,0,$H25*$K25*py*Index!AY24*Index!AY165/unit)</f>
        <v>0</v>
      </c>
      <c r="BA25" s="75">
        <f>IF(Index!AZ71=1,0,$H25*$K25*py*Index!AZ24*Index!AZ165/unit)</f>
        <v>0</v>
      </c>
      <c r="BB25" s="75">
        <f>IF(Index!BA71=1,0,$H25*$K25*py*Index!BA24*Index!BA165/unit)</f>
        <v>0</v>
      </c>
      <c r="BC25" s="75">
        <f>IF(Index!BB71=1,0,$H25*$K25*py*Index!BB24*Index!BB165/unit)</f>
        <v>0</v>
      </c>
      <c r="BD25" s="75">
        <f>IF(Index!BC71=1,0,$H25*$K25*py*Index!BC24*Index!BC165/unit)</f>
        <v>0</v>
      </c>
      <c r="BE25" s="75">
        <f>IF(Index!BD71=1,0,$H25*$K25*py*Index!BD24*Index!BD165/unit)</f>
        <v>0</v>
      </c>
      <c r="BF25" s="75">
        <f>IF(Index!BE71=1,0,$H25*$K25*py*Index!BE24*Index!BE165/unit)</f>
        <v>0</v>
      </c>
      <c r="BG25" s="75">
        <f>IF(Index!BF71=1,0,$H25*$K25*py*Index!BF24*Index!BF165/unit)</f>
        <v>0</v>
      </c>
      <c r="BH25" s="75">
        <f>IF(Index!BG71=1,0,$H25*$K25*py*Index!BG24*Index!BG165/unit)</f>
        <v>0</v>
      </c>
      <c r="BI25" s="75">
        <f>IF(Index!BH71=1,0,$H25*$K25*py*Index!BH24*Index!BH165/unit)</f>
        <v>0</v>
      </c>
      <c r="BJ25" s="75">
        <f>IF(Index!BI71=1,0,$H25*$K25*py*Index!BI24*Index!BI165/unit)</f>
        <v>0</v>
      </c>
      <c r="BK25" s="75">
        <f>IF(Index!BJ71=1,0,$H25*$K25*py*Index!BJ24*Index!BJ165/unit)</f>
        <v>0</v>
      </c>
      <c r="BL25" s="75">
        <f>IF(Index!BK71=1,0,$H25*$K25*py*Index!BK24*Index!BK165/unit)</f>
        <v>0</v>
      </c>
      <c r="BM25" s="75">
        <f>IF(Index!BL71=1,0,$H25*$K25*py*Index!BL24*Index!BL165/unit)</f>
        <v>0</v>
      </c>
      <c r="BN25" s="75">
        <f>IF(Index!BM71=1,0,$H25*$K25*py*Index!BM24*Index!BM165/unit)</f>
        <v>0</v>
      </c>
      <c r="BO25" s="75">
        <f>IF(Index!BN71=1,0,$H25*$K25*py*Index!BN24*Index!BN165/unit)</f>
        <v>0</v>
      </c>
      <c r="BP25" s="75">
        <f>IF(Index!BO71=1,0,$H25*$K25*py*Index!BO24*Index!BO165/unit)</f>
        <v>0</v>
      </c>
      <c r="BQ25" s="75">
        <f>IF(Index!BP71=1,0,$H25*$K25*py*Index!BP24*Index!BP165/unit)</f>
        <v>0</v>
      </c>
      <c r="BR25" s="75">
        <f>IF(Index!BQ71=1,0,$H25*$K25*py*Index!BQ24*Index!BQ165/unit)</f>
        <v>0</v>
      </c>
      <c r="BS25" s="75">
        <f>IF(Index!BR71=1,0,$H25*$K25*py*Index!BR24*Index!BR165/unit)</f>
        <v>0</v>
      </c>
      <c r="BT25" s="75">
        <f>IF(Index!BS71=1,0,$H25*$K25*py*Index!BS24*Index!BS165/unit)</f>
        <v>0</v>
      </c>
      <c r="BU25" s="75">
        <f>IF(Index!BT71=1,0,$H25*$K25*py*Index!BT24*Index!BT165/unit)</f>
        <v>0</v>
      </c>
      <c r="BV25" s="75">
        <f>IF(Index!BU71=1,0,$H25*$K25*py*Index!BU24*Index!BU165/unit)</f>
        <v>0</v>
      </c>
      <c r="BW25" s="75">
        <f>IF(Index!BV71=1,0,$H25*$K25*py*Index!BV24*Index!BV165/unit)</f>
        <v>0</v>
      </c>
      <c r="BX25" s="75">
        <f>IF(Index!BW71=1,0,$H25*$K25*py*Index!BW24*Index!BW165/unit)</f>
        <v>0</v>
      </c>
      <c r="BY25" s="75">
        <f>IF(Index!BX71=1,0,$H25*$K25*py*Index!BX24*Index!BX165/unit)</f>
        <v>0</v>
      </c>
      <c r="BZ25" s="75">
        <f>IF(Index!BY71=1,0,$H25*$K25*py*Index!BY24*Index!BY165/unit)</f>
        <v>0</v>
      </c>
      <c r="CA25" s="75">
        <f>IF(Index!BZ71=1,0,$H25*$K25*py*Index!BZ24*Index!BZ165/unit)</f>
        <v>0</v>
      </c>
      <c r="CB25" s="75">
        <f>IF(Index!CA71=1,0,$H25*$K25*py*Index!CA24*Index!CA165/unit)</f>
        <v>0</v>
      </c>
      <c r="CC25" s="75">
        <f>IF(Index!CB71=1,0,$H25*$K25*py*Index!CB24*Index!CB165/unit)</f>
        <v>0</v>
      </c>
      <c r="CD25" s="75">
        <f>IF(Index!CC71=1,0,$H25*$K25*py*Index!CC24*Index!CC165/unit)</f>
        <v>0</v>
      </c>
      <c r="CE25" s="75">
        <f>IF(Index!CD71=1,0,$H25*$K25*py*Index!CD24*Index!CD165/unit)</f>
        <v>0</v>
      </c>
      <c r="CF25" s="75">
        <f>IF(Index!CE71=1,0,$H25*$K25*py*Index!CE24*Index!CE165/unit)</f>
        <v>0</v>
      </c>
      <c r="CG25" s="75">
        <f>IF(Index!CF71=1,0,$H25*$K25*py*Index!CF24*Index!CF165/unit)</f>
        <v>0</v>
      </c>
      <c r="CH25" s="75">
        <f>IF(Index!CG71=1,0,$H25*$K25*py*Index!CG24*Index!CG165/unit)</f>
        <v>0</v>
      </c>
      <c r="CI25" s="75">
        <f>IF(Index!CH71=1,0,$H25*$K25*py*Index!CH24*Index!CH165/unit)</f>
        <v>0</v>
      </c>
      <c r="CJ25" s="75">
        <f>IF(Index!CI71=1,0,$H25*$K25*py*Index!CI24*Index!CI165/unit)</f>
        <v>0</v>
      </c>
      <c r="CK25" s="75">
        <f>IF(Index!CJ71=1,0,$H25*$K25*py*Index!CJ24*Index!CJ165/unit)</f>
        <v>0</v>
      </c>
      <c r="CL25" s="75">
        <f>IF(Index!CK71=1,0,$H25*$K25*py*Index!CK24*Index!CK165/unit)</f>
        <v>0</v>
      </c>
      <c r="CM25" s="75">
        <f>IF(Index!CL71=1,0,$H25*$K25*py*Index!CL24*Index!CL165/unit)</f>
        <v>0</v>
      </c>
      <c r="CN25" s="75">
        <f>IF(Index!CM71=1,0,$H25*$K25*py*Index!CM24*Index!CM165/unit)</f>
        <v>0</v>
      </c>
      <c r="CO25" s="75">
        <f>IF(Index!CN71=1,0,$H25*$K25*py*Index!CN24*Index!CN165/unit)</f>
        <v>0</v>
      </c>
      <c r="CP25" s="75">
        <f>IF(Index!CO71=1,0,$H25*$K25*py*Index!CO24*Index!CO165/unit)</f>
        <v>0</v>
      </c>
      <c r="CQ25" s="75">
        <f>IF(Index!CP71=1,0,$H25*$K25*py*Index!CP24*Index!CP165/unit)</f>
        <v>0</v>
      </c>
      <c r="CR25" s="75">
        <f>IF(Index!CQ71=1,0,$H25*$K25*py*Index!CQ24*Index!CQ165/unit)</f>
        <v>0</v>
      </c>
      <c r="CS25" s="75">
        <f>IF(Index!CR71=1,0,$H25*$K25*py*Index!CR24*Index!CR165/unit)</f>
        <v>0</v>
      </c>
      <c r="CT25" s="75">
        <f>IF(Index!CS71=1,0,$H25*$K25*py*Index!CS24*Index!CS165/unit)</f>
        <v>0</v>
      </c>
      <c r="CU25" s="75">
        <f>IF(Index!CT71=1,0,$H25*$K25*py*Index!CT24*Index!CT165/unit)</f>
        <v>0</v>
      </c>
      <c r="CV25" s="75">
        <f>IF(Index!CU71=1,0,$H25*$K25*py*Index!CU24*Index!CU165/unit)</f>
        <v>0</v>
      </c>
      <c r="CW25" s="75">
        <f>IF(Index!CV71=1,0,$H25*$K25*py*Index!CV24*Index!CV165/unit)</f>
        <v>0</v>
      </c>
      <c r="CX25" s="75">
        <f>IF(Index!CW71=1,0,$H25*$K25*py*Index!CW24*Index!CW165/unit)</f>
        <v>0</v>
      </c>
      <c r="CY25" s="75">
        <f>IF(Index!CX71=1,0,$H25*$K25*py*Index!CX24*Index!CX165/unit)</f>
        <v>0</v>
      </c>
      <c r="CZ25" s="75">
        <f>IF(Index!CY71=1,0,$H25*$K25*py*Index!CY24*Index!CY165/unit)</f>
        <v>0</v>
      </c>
      <c r="DA25" s="75">
        <f>IF(Index!CZ71=1,0,$H25*$K25*py*Index!CZ24*Index!CZ165/unit)</f>
        <v>0</v>
      </c>
      <c r="DB25" s="75">
        <f>IF(Index!DA71=1,0,$H25*$K25*py*Index!DA24*Index!DA165/unit)</f>
        <v>0</v>
      </c>
      <c r="DC25" s="75">
        <f>IF(Index!DB71=1,0,$H25*$K25*py*Index!DB24*Index!DB165/unit)</f>
        <v>0</v>
      </c>
      <c r="DD25" s="75">
        <f>IF(Index!DC71=1,0,$H25*$K25*py*Index!DC24*Index!DC165/unit)</f>
        <v>0</v>
      </c>
      <c r="DE25" s="75">
        <f>IF(Index!DD71=1,0,$H25*$K25*py*Index!DD24*Index!DD165/unit)</f>
        <v>0</v>
      </c>
      <c r="DF25" s="75">
        <f>IF(Index!DE71=1,0,$H25*$K25*py*Index!DE24*Index!DE165/unit)</f>
        <v>0</v>
      </c>
      <c r="DG25" s="75">
        <f>IF(Index!DF71=1,0,$H25*$K25*py*Index!DF24*Index!DF165/unit)</f>
        <v>0</v>
      </c>
      <c r="DH25" s="75">
        <f>IF(Index!DG71=1,0,$H25*$K25*py*Index!DG24*Index!DG165/unit)</f>
        <v>0</v>
      </c>
      <c r="DI25" s="75">
        <f>IF(Index!DH71=1,0,$H25*$K25*py*Index!DH24*Index!DH165/unit)</f>
        <v>0</v>
      </c>
      <c r="DJ25" s="75">
        <f>IF(Index!DI71=1,0,$H25*$K25*py*Index!DI24*Index!DI165/unit)</f>
        <v>0</v>
      </c>
      <c r="DK25" s="75">
        <f>IF(Index!DJ71=1,0,$H25*$K25*py*Index!DJ24*Index!DJ165/unit)</f>
        <v>0</v>
      </c>
      <c r="DL25" s="75">
        <f>IF(Index!DK71=1,0,$H25*$K25*py*Index!DK24*Index!DK165/unit)</f>
        <v>0</v>
      </c>
      <c r="DM25" s="75">
        <f>IF(Index!DL71=1,0,$H25*$K25*py*Index!DL24*Index!DL165/unit)</f>
        <v>0</v>
      </c>
    </row>
    <row r="26" spans="2:117">
      <c r="B26" s="27">
        <f>Rentroll!$C$17</f>
        <v>11</v>
      </c>
      <c r="C26" s="69" t="str">
        <f>VLOOKUP($B26,Rentroll!$C$11:$X$29,3,FALSE)</f>
        <v>노벰버 건설</v>
      </c>
      <c r="D26" s="80">
        <f>VLOOKUP($B26,Rentroll!$C$11:$X$29,9,FALSE)</f>
        <v>45077</v>
      </c>
      <c r="E26" s="80">
        <f>VLOOKUP($B26,Rentroll!$C$11:$X$29,10,FALSE)</f>
        <v>46903</v>
      </c>
      <c r="F26" s="81">
        <f>VLOOKUP($B26,Rentroll!$C$11:$X$29,11,FALSE)</f>
        <v>60</v>
      </c>
      <c r="G26" s="69">
        <f>VLOOKUP($B26,Rentroll!$C$11:$X$29,13,FALSE)</f>
        <v>103000</v>
      </c>
      <c r="H26" s="69">
        <f>VLOOKUP($B26,Rentroll!$C$11:$X$29,14,FALSE)</f>
        <v>85833.333333333328</v>
      </c>
      <c r="I26" s="69">
        <f>VLOOKUP($B26,Rentroll!$C$11:$X$29,15,FALSE)</f>
        <v>46350</v>
      </c>
      <c r="J26" s="82">
        <f>VLOOKUP($B26,Rentroll!$C$11:$X$29,19,FALSE)</f>
        <v>0.03</v>
      </c>
      <c r="K26" s="83">
        <f>VLOOKUP($B26,Rentroll!$C$11:$X$29,4,FALSE)</f>
        <v>1385.09</v>
      </c>
      <c r="L26" s="81">
        <f>VLOOKUP($B26,Rentroll!$C$11:$X$29,17,FALSE)</f>
        <v>0</v>
      </c>
      <c r="M26" s="84">
        <f>VLOOKUP($B26,Rentroll!$C$11:$X$29,18,FALSE)</f>
        <v>2</v>
      </c>
      <c r="O26" s="74">
        <f t="shared" si="12"/>
        <v>11</v>
      </c>
      <c r="P26" s="75"/>
      <c r="Q26" s="75">
        <f t="shared" si="13"/>
        <v>1517.7773501862196</v>
      </c>
      <c r="R26" s="75"/>
      <c r="S26" s="75">
        <f>IF(Index!R72=1,0,$H26*$K26*py*Index!R25*Index!R166/unit)</f>
        <v>0</v>
      </c>
      <c r="T26" s="75">
        <f>IF(Index!S72=1,0,$H26*$K26*py*Index!S25*Index!S166/unit)</f>
        <v>35.963284729166666</v>
      </c>
      <c r="U26" s="75">
        <f>IF(Index!T72=1,0,$H26*$K26*py*Index!T25*Index!T166/unit)</f>
        <v>35.963284729166666</v>
      </c>
      <c r="V26" s="75">
        <f>IF(Index!U72=1,0,$H26*$K26*py*Index!U25*Index!U166/unit)</f>
        <v>35.963284729166666</v>
      </c>
      <c r="W26" s="75">
        <f>IF(Index!V72=1,0,$H26*$K26*py*Index!V25*Index!V166/unit)</f>
        <v>35.963284729166666</v>
      </c>
      <c r="X26" s="75">
        <f>IF(Index!W72=1,0,$H26*$K26*py*Index!W25*Index!W166/unit)</f>
        <v>37.042183271041658</v>
      </c>
      <c r="Y26" s="75">
        <f>IF(Index!X72=1,0,$H26*$K26*py*Index!X25*Index!X166/unit)</f>
        <v>37.042183271041658</v>
      </c>
      <c r="Z26" s="75">
        <f>IF(Index!Y72=1,0,$H26*$K26*py*Index!Y25*Index!Y166/unit)</f>
        <v>37.042183271041658</v>
      </c>
      <c r="AA26" s="75">
        <f>IF(Index!Z72=1,0,$H26*$K26*py*Index!Z25*Index!Z166/unit)</f>
        <v>37.042183271041658</v>
      </c>
      <c r="AB26" s="75">
        <f>IF(Index!AA72=1,0,$H26*$K26*py*Index!AA25*Index!AA166/unit)</f>
        <v>37.042183271041658</v>
      </c>
      <c r="AC26" s="75">
        <f>IF(Index!AB72=1,0,$H26*$K26*py*Index!AB25*Index!AB166/unit)</f>
        <v>37.042183271041658</v>
      </c>
      <c r="AD26" s="75">
        <f>IF(Index!AC72=1,0,$H26*$K26*py*Index!AC25*Index!AC166/unit)</f>
        <v>37.042183271041658</v>
      </c>
      <c r="AE26" s="75">
        <f>IF(Index!AD72=1,0,$H26*$K26*py*Index!AD25*Index!AD166/unit)</f>
        <v>37.042183271041658</v>
      </c>
      <c r="AF26" s="75">
        <f>IF(Index!AE72=1,0,$H26*$K26*py*Index!AE25*Index!AE166/unit)</f>
        <v>37.042183271041658</v>
      </c>
      <c r="AG26" s="75">
        <f>IF(Index!AF72=1,0,$H26*$K26*py*Index!AF25*Index!AF166/unit)</f>
        <v>37.042183271041658</v>
      </c>
      <c r="AH26" s="75">
        <f>IF(Index!AG72=1,0,$H26*$K26*py*Index!AG25*Index!AG166/unit)</f>
        <v>37.042183271041658</v>
      </c>
      <c r="AI26" s="75">
        <f>IF(Index!AH72=1,0,$H26*$K26*py*Index!AH25*Index!AH166/unit)</f>
        <v>37.042183271041658</v>
      </c>
      <c r="AJ26" s="75">
        <f>IF(Index!AI72=1,0,$H26*$K26*py*Index!AI25*Index!AI166/unit)</f>
        <v>38.153448769172911</v>
      </c>
      <c r="AK26" s="75">
        <f>IF(Index!AJ72=1,0,$H26*$K26*py*Index!AJ25*Index!AJ166/unit)</f>
        <v>38.153448769172911</v>
      </c>
      <c r="AL26" s="75">
        <f>IF(Index!AK72=1,0,$H26*$K26*py*Index!AK25*Index!AK166/unit)</f>
        <v>38.153448769172911</v>
      </c>
      <c r="AM26" s="75">
        <f>IF(Index!AL72=1,0,$H26*$K26*py*Index!AL25*Index!AL166/unit)</f>
        <v>38.153448769172911</v>
      </c>
      <c r="AN26" s="75">
        <f>IF(Index!AM72=1,0,$H26*$K26*py*Index!AM25*Index!AM166/unit)</f>
        <v>38.153448769172911</v>
      </c>
      <c r="AO26" s="75">
        <f>IF(Index!AN72=1,0,$H26*$K26*py*Index!AN25*Index!AN166/unit)</f>
        <v>38.153448769172911</v>
      </c>
      <c r="AP26" s="75">
        <f>IF(Index!AO72=1,0,$H26*$K26*py*Index!AO25*Index!AO166/unit)</f>
        <v>38.153448769172911</v>
      </c>
      <c r="AQ26" s="75">
        <f>IF(Index!AP72=1,0,$H26*$K26*py*Index!AP25*Index!AP166/unit)</f>
        <v>38.153448769172911</v>
      </c>
      <c r="AR26" s="75">
        <f>IF(Index!AQ72=1,0,$H26*$K26*py*Index!AQ25*Index!AQ166/unit)</f>
        <v>38.153448769172911</v>
      </c>
      <c r="AS26" s="75">
        <f>IF(Index!AR72=1,0,$H26*$K26*py*Index!AR25*Index!AR166/unit)</f>
        <v>38.153448769172911</v>
      </c>
      <c r="AT26" s="75">
        <f>IF(Index!AS72=1,0,$H26*$K26*py*Index!AS25*Index!AS166/unit)</f>
        <v>38.153448769172911</v>
      </c>
      <c r="AU26" s="75">
        <f>IF(Index!AT72=1,0,$H26*$K26*py*Index!AT25*Index!AT166/unit)</f>
        <v>38.153448769172911</v>
      </c>
      <c r="AV26" s="75">
        <f>IF(Index!AU72=1,0,$H26*$K26*py*Index!AU25*Index!AU166/unit)</f>
        <v>39.298052232248104</v>
      </c>
      <c r="AW26" s="75">
        <f>IF(Index!AV72=1,0,$H26*$K26*py*Index!AV25*Index!AV166/unit)</f>
        <v>39.298052232248104</v>
      </c>
      <c r="AX26" s="75">
        <f>IF(Index!AW72=1,0,$H26*$K26*py*Index!AW25*Index!AW166/unit)</f>
        <v>39.298052232248104</v>
      </c>
      <c r="AY26" s="75">
        <f>IF(Index!AX72=1,0,$H26*$K26*py*Index!AX25*Index!AX166/unit)</f>
        <v>39.298052232248104</v>
      </c>
      <c r="AZ26" s="75">
        <f>IF(Index!AY72=1,0,$H26*$K26*py*Index!AY25*Index!AY166/unit)</f>
        <v>39.298052232248104</v>
      </c>
      <c r="BA26" s="75">
        <f>IF(Index!AZ72=1,0,$H26*$K26*py*Index!AZ25*Index!AZ166/unit)</f>
        <v>39.298052232248104</v>
      </c>
      <c r="BB26" s="75">
        <f>IF(Index!BA72=1,0,$H26*$K26*py*Index!BA25*Index!BA166/unit)</f>
        <v>39.298052232248104</v>
      </c>
      <c r="BC26" s="75">
        <f>IF(Index!BB72=1,0,$H26*$K26*py*Index!BB25*Index!BB166/unit)</f>
        <v>39.298052232248104</v>
      </c>
      <c r="BD26" s="75">
        <f>IF(Index!BC72=1,0,$H26*$K26*py*Index!BC25*Index!BC166/unit)</f>
        <v>39.298052232248104</v>
      </c>
      <c r="BE26" s="75">
        <f>IF(Index!BD72=1,0,$H26*$K26*py*Index!BD25*Index!BD166/unit)</f>
        <v>39.298052232248104</v>
      </c>
      <c r="BF26" s="75">
        <f>IF(Index!BE72=1,0,$H26*$K26*py*Index!BE25*Index!BE166/unit)</f>
        <v>39.298052232248104</v>
      </c>
      <c r="BG26" s="75">
        <f>IF(Index!BF72=1,0,$H26*$K26*py*Index!BF25*Index!BF166/unit)</f>
        <v>39.298052232248104</v>
      </c>
      <c r="BH26" s="75">
        <f>IF(Index!BG72=1,0,$H26*$K26*py*Index!BG25*Index!BG166/unit)</f>
        <v>0</v>
      </c>
      <c r="BI26" s="75">
        <f>IF(Index!BH72=1,0,$H26*$K26*py*Index!BH25*Index!BH166/unit)</f>
        <v>0</v>
      </c>
      <c r="BJ26" s="75">
        <f>IF(Index!BI72=1,0,$H26*$K26*py*Index!BI25*Index!BI166/unit)</f>
        <v>0</v>
      </c>
      <c r="BK26" s="75">
        <f>IF(Index!BJ72=1,0,$H26*$K26*py*Index!BJ25*Index!BJ166/unit)</f>
        <v>0</v>
      </c>
      <c r="BL26" s="75">
        <f>IF(Index!BK72=1,0,$H26*$K26*py*Index!BK25*Index!BK166/unit)</f>
        <v>0</v>
      </c>
      <c r="BM26" s="75">
        <f>IF(Index!BL72=1,0,$H26*$K26*py*Index!BL25*Index!BL166/unit)</f>
        <v>0</v>
      </c>
      <c r="BN26" s="75">
        <f>IF(Index!BM72=1,0,$H26*$K26*py*Index!BM25*Index!BM166/unit)</f>
        <v>0</v>
      </c>
      <c r="BO26" s="75">
        <f>IF(Index!BN72=1,0,$H26*$K26*py*Index!BN25*Index!BN166/unit)</f>
        <v>0</v>
      </c>
      <c r="BP26" s="75">
        <f>IF(Index!BO72=1,0,$H26*$K26*py*Index!BO25*Index!BO166/unit)</f>
        <v>0</v>
      </c>
      <c r="BQ26" s="75">
        <f>IF(Index!BP72=1,0,$H26*$K26*py*Index!BP25*Index!BP166/unit)</f>
        <v>0</v>
      </c>
      <c r="BR26" s="75">
        <f>IF(Index!BQ72=1,0,$H26*$K26*py*Index!BQ25*Index!BQ166/unit)</f>
        <v>0</v>
      </c>
      <c r="BS26" s="75">
        <f>IF(Index!BR72=1,0,$H26*$K26*py*Index!BR25*Index!BR166/unit)</f>
        <v>0</v>
      </c>
      <c r="BT26" s="75">
        <f>IF(Index!BS72=1,0,$H26*$K26*py*Index!BS25*Index!BS166/unit)</f>
        <v>0</v>
      </c>
      <c r="BU26" s="75">
        <f>IF(Index!BT72=1,0,$H26*$K26*py*Index!BT25*Index!BT166/unit)</f>
        <v>0</v>
      </c>
      <c r="BV26" s="75">
        <f>IF(Index!BU72=1,0,$H26*$K26*py*Index!BU25*Index!BU166/unit)</f>
        <v>0</v>
      </c>
      <c r="BW26" s="75">
        <f>IF(Index!BV72=1,0,$H26*$K26*py*Index!BV25*Index!BV166/unit)</f>
        <v>0</v>
      </c>
      <c r="BX26" s="75">
        <f>IF(Index!BW72=1,0,$H26*$K26*py*Index!BW25*Index!BW166/unit)</f>
        <v>0</v>
      </c>
      <c r="BY26" s="75">
        <f>IF(Index!BX72=1,0,$H26*$K26*py*Index!BX25*Index!BX166/unit)</f>
        <v>0</v>
      </c>
      <c r="BZ26" s="75">
        <f>IF(Index!BY72=1,0,$H26*$K26*py*Index!BY25*Index!BY166/unit)</f>
        <v>0</v>
      </c>
      <c r="CA26" s="75">
        <f>IF(Index!BZ72=1,0,$H26*$K26*py*Index!BZ25*Index!BZ166/unit)</f>
        <v>0</v>
      </c>
      <c r="CB26" s="75">
        <f>IF(Index!CA72=1,0,$H26*$K26*py*Index!CA25*Index!CA166/unit)</f>
        <v>0</v>
      </c>
      <c r="CC26" s="75">
        <f>IF(Index!CB72=1,0,$H26*$K26*py*Index!CB25*Index!CB166/unit)</f>
        <v>0</v>
      </c>
      <c r="CD26" s="75">
        <f>IF(Index!CC72=1,0,$H26*$K26*py*Index!CC25*Index!CC166/unit)</f>
        <v>0</v>
      </c>
      <c r="CE26" s="75">
        <f>IF(Index!CD72=1,0,$H26*$K26*py*Index!CD25*Index!CD166/unit)</f>
        <v>0</v>
      </c>
      <c r="CF26" s="75">
        <f>IF(Index!CE72=1,0,$H26*$K26*py*Index!CE25*Index!CE166/unit)</f>
        <v>0</v>
      </c>
      <c r="CG26" s="75">
        <f>IF(Index!CF72=1,0,$H26*$K26*py*Index!CF25*Index!CF166/unit)</f>
        <v>0</v>
      </c>
      <c r="CH26" s="75">
        <f>IF(Index!CG72=1,0,$H26*$K26*py*Index!CG25*Index!CG166/unit)</f>
        <v>0</v>
      </c>
      <c r="CI26" s="75">
        <f>IF(Index!CH72=1,0,$H26*$K26*py*Index!CH25*Index!CH166/unit)</f>
        <v>0</v>
      </c>
      <c r="CJ26" s="75">
        <f>IF(Index!CI72=1,0,$H26*$K26*py*Index!CI25*Index!CI166/unit)</f>
        <v>0</v>
      </c>
      <c r="CK26" s="75">
        <f>IF(Index!CJ72=1,0,$H26*$K26*py*Index!CJ25*Index!CJ166/unit)</f>
        <v>0</v>
      </c>
      <c r="CL26" s="75">
        <f>IF(Index!CK72=1,0,$H26*$K26*py*Index!CK25*Index!CK166/unit)</f>
        <v>0</v>
      </c>
      <c r="CM26" s="75">
        <f>IF(Index!CL72=1,0,$H26*$K26*py*Index!CL25*Index!CL166/unit)</f>
        <v>0</v>
      </c>
      <c r="CN26" s="75">
        <f>IF(Index!CM72=1,0,$H26*$K26*py*Index!CM25*Index!CM166/unit)</f>
        <v>0</v>
      </c>
      <c r="CO26" s="75">
        <f>IF(Index!CN72=1,0,$H26*$K26*py*Index!CN25*Index!CN166/unit)</f>
        <v>0</v>
      </c>
      <c r="CP26" s="75">
        <f>IF(Index!CO72=1,0,$H26*$K26*py*Index!CO25*Index!CO166/unit)</f>
        <v>0</v>
      </c>
      <c r="CQ26" s="75">
        <f>IF(Index!CP72=1,0,$H26*$K26*py*Index!CP25*Index!CP166/unit)</f>
        <v>0</v>
      </c>
      <c r="CR26" s="75">
        <f>IF(Index!CQ72=1,0,$H26*$K26*py*Index!CQ25*Index!CQ166/unit)</f>
        <v>0</v>
      </c>
      <c r="CS26" s="75">
        <f>IF(Index!CR72=1,0,$H26*$K26*py*Index!CR25*Index!CR166/unit)</f>
        <v>0</v>
      </c>
      <c r="CT26" s="75">
        <f>IF(Index!CS72=1,0,$H26*$K26*py*Index!CS25*Index!CS166/unit)</f>
        <v>0</v>
      </c>
      <c r="CU26" s="75">
        <f>IF(Index!CT72=1,0,$H26*$K26*py*Index!CT25*Index!CT166/unit)</f>
        <v>0</v>
      </c>
      <c r="CV26" s="75">
        <f>IF(Index!CU72=1,0,$H26*$K26*py*Index!CU25*Index!CU166/unit)</f>
        <v>0</v>
      </c>
      <c r="CW26" s="75">
        <f>IF(Index!CV72=1,0,$H26*$K26*py*Index!CV25*Index!CV166/unit)</f>
        <v>0</v>
      </c>
      <c r="CX26" s="75">
        <f>IF(Index!CW72=1,0,$H26*$K26*py*Index!CW25*Index!CW166/unit)</f>
        <v>0</v>
      </c>
      <c r="CY26" s="75">
        <f>IF(Index!CX72=1,0,$H26*$K26*py*Index!CX25*Index!CX166/unit)</f>
        <v>0</v>
      </c>
      <c r="CZ26" s="75">
        <f>IF(Index!CY72=1,0,$H26*$K26*py*Index!CY25*Index!CY166/unit)</f>
        <v>0</v>
      </c>
      <c r="DA26" s="75">
        <f>IF(Index!CZ72=1,0,$H26*$K26*py*Index!CZ25*Index!CZ166/unit)</f>
        <v>0</v>
      </c>
      <c r="DB26" s="75">
        <f>IF(Index!DA72=1,0,$H26*$K26*py*Index!DA25*Index!DA166/unit)</f>
        <v>0</v>
      </c>
      <c r="DC26" s="75">
        <f>IF(Index!DB72=1,0,$H26*$K26*py*Index!DB25*Index!DB166/unit)</f>
        <v>0</v>
      </c>
      <c r="DD26" s="75">
        <f>IF(Index!DC72=1,0,$H26*$K26*py*Index!DC25*Index!DC166/unit)</f>
        <v>0</v>
      </c>
      <c r="DE26" s="75">
        <f>IF(Index!DD72=1,0,$H26*$K26*py*Index!DD25*Index!DD166/unit)</f>
        <v>0</v>
      </c>
      <c r="DF26" s="75">
        <f>IF(Index!DE72=1,0,$H26*$K26*py*Index!DE25*Index!DE166/unit)</f>
        <v>0</v>
      </c>
      <c r="DG26" s="75">
        <f>IF(Index!DF72=1,0,$H26*$K26*py*Index!DF25*Index!DF166/unit)</f>
        <v>0</v>
      </c>
      <c r="DH26" s="75">
        <f>IF(Index!DG72=1,0,$H26*$K26*py*Index!DG25*Index!DG166/unit)</f>
        <v>0</v>
      </c>
      <c r="DI26" s="75">
        <f>IF(Index!DH72=1,0,$H26*$K26*py*Index!DH25*Index!DH166/unit)</f>
        <v>0</v>
      </c>
      <c r="DJ26" s="75">
        <f>IF(Index!DI72=1,0,$H26*$K26*py*Index!DI25*Index!DI166/unit)</f>
        <v>0</v>
      </c>
      <c r="DK26" s="75">
        <f>IF(Index!DJ72=1,0,$H26*$K26*py*Index!DJ25*Index!DJ166/unit)</f>
        <v>0</v>
      </c>
      <c r="DL26" s="75">
        <f>IF(Index!DK72=1,0,$H26*$K26*py*Index!DK25*Index!DK166/unit)</f>
        <v>0</v>
      </c>
      <c r="DM26" s="75">
        <f>IF(Index!DL72=1,0,$H26*$K26*py*Index!DL25*Index!DL166/unit)</f>
        <v>0</v>
      </c>
    </row>
    <row r="27" spans="2:117">
      <c r="B27" s="27">
        <f>Rentroll!$C$18</f>
        <v>10</v>
      </c>
      <c r="C27" s="69" t="str">
        <f>VLOOKUP($B27,Rentroll!$C$11:$X$29,3,FALSE)</f>
        <v>노벰버 건설</v>
      </c>
      <c r="D27" s="80">
        <f>VLOOKUP($B27,Rentroll!$C$11:$X$29,9,FALSE)</f>
        <v>45077</v>
      </c>
      <c r="E27" s="80">
        <f>VLOOKUP($B27,Rentroll!$C$11:$X$29,10,FALSE)</f>
        <v>46903</v>
      </c>
      <c r="F27" s="81">
        <f>VLOOKUP($B27,Rentroll!$C$11:$X$29,11,FALSE)</f>
        <v>60</v>
      </c>
      <c r="G27" s="69">
        <f>VLOOKUP($B27,Rentroll!$C$11:$X$29,13,FALSE)</f>
        <v>103000</v>
      </c>
      <c r="H27" s="69">
        <f>VLOOKUP($B27,Rentroll!$C$11:$X$29,14,FALSE)</f>
        <v>85833.333333333328</v>
      </c>
      <c r="I27" s="69">
        <f>VLOOKUP($B27,Rentroll!$C$11:$X$29,15,FALSE)</f>
        <v>46350</v>
      </c>
      <c r="J27" s="82">
        <f>VLOOKUP($B27,Rentroll!$C$11:$X$29,19,FALSE)</f>
        <v>0.03</v>
      </c>
      <c r="K27" s="83">
        <f>VLOOKUP($B27,Rentroll!$C$11:$X$29,4,FALSE)</f>
        <v>1385.09</v>
      </c>
      <c r="L27" s="81">
        <f>VLOOKUP($B27,Rentroll!$C$11:$X$29,17,FALSE)</f>
        <v>0</v>
      </c>
      <c r="M27" s="84">
        <f>VLOOKUP($B27,Rentroll!$C$11:$X$29,18,FALSE)</f>
        <v>2</v>
      </c>
      <c r="O27" s="74">
        <f t="shared" si="12"/>
        <v>10</v>
      </c>
      <c r="P27" s="75"/>
      <c r="Q27" s="75">
        <f t="shared" si="13"/>
        <v>1517.7773501862196</v>
      </c>
      <c r="R27" s="75"/>
      <c r="S27" s="75">
        <f>IF(Index!R73=1,0,$H27*$K27*py*Index!R26*Index!R167/unit)</f>
        <v>0</v>
      </c>
      <c r="T27" s="75">
        <f>IF(Index!S73=1,0,$H27*$K27*py*Index!S26*Index!S167/unit)</f>
        <v>35.963284729166666</v>
      </c>
      <c r="U27" s="75">
        <f>IF(Index!T73=1,0,$H27*$K27*py*Index!T26*Index!T167/unit)</f>
        <v>35.963284729166666</v>
      </c>
      <c r="V27" s="75">
        <f>IF(Index!U73=1,0,$H27*$K27*py*Index!U26*Index!U167/unit)</f>
        <v>35.963284729166666</v>
      </c>
      <c r="W27" s="75">
        <f>IF(Index!V73=1,0,$H27*$K27*py*Index!V26*Index!V167/unit)</f>
        <v>35.963284729166666</v>
      </c>
      <c r="X27" s="75">
        <f>IF(Index!W73=1,0,$H27*$K27*py*Index!W26*Index!W167/unit)</f>
        <v>37.042183271041658</v>
      </c>
      <c r="Y27" s="75">
        <f>IF(Index!X73=1,0,$H27*$K27*py*Index!X26*Index!X167/unit)</f>
        <v>37.042183271041658</v>
      </c>
      <c r="Z27" s="75">
        <f>IF(Index!Y73=1,0,$H27*$K27*py*Index!Y26*Index!Y167/unit)</f>
        <v>37.042183271041658</v>
      </c>
      <c r="AA27" s="75">
        <f>IF(Index!Z73=1,0,$H27*$K27*py*Index!Z26*Index!Z167/unit)</f>
        <v>37.042183271041658</v>
      </c>
      <c r="AB27" s="75">
        <f>IF(Index!AA73=1,0,$H27*$K27*py*Index!AA26*Index!AA167/unit)</f>
        <v>37.042183271041658</v>
      </c>
      <c r="AC27" s="75">
        <f>IF(Index!AB73=1,0,$H27*$K27*py*Index!AB26*Index!AB167/unit)</f>
        <v>37.042183271041658</v>
      </c>
      <c r="AD27" s="75">
        <f>IF(Index!AC73=1,0,$H27*$K27*py*Index!AC26*Index!AC167/unit)</f>
        <v>37.042183271041658</v>
      </c>
      <c r="AE27" s="75">
        <f>IF(Index!AD73=1,0,$H27*$K27*py*Index!AD26*Index!AD167/unit)</f>
        <v>37.042183271041658</v>
      </c>
      <c r="AF27" s="75">
        <f>IF(Index!AE73=1,0,$H27*$K27*py*Index!AE26*Index!AE167/unit)</f>
        <v>37.042183271041658</v>
      </c>
      <c r="AG27" s="75">
        <f>IF(Index!AF73=1,0,$H27*$K27*py*Index!AF26*Index!AF167/unit)</f>
        <v>37.042183271041658</v>
      </c>
      <c r="AH27" s="75">
        <f>IF(Index!AG73=1,0,$H27*$K27*py*Index!AG26*Index!AG167/unit)</f>
        <v>37.042183271041658</v>
      </c>
      <c r="AI27" s="75">
        <f>IF(Index!AH73=1,0,$H27*$K27*py*Index!AH26*Index!AH167/unit)</f>
        <v>37.042183271041658</v>
      </c>
      <c r="AJ27" s="75">
        <f>IF(Index!AI73=1,0,$H27*$K27*py*Index!AI26*Index!AI167/unit)</f>
        <v>38.153448769172911</v>
      </c>
      <c r="AK27" s="75">
        <f>IF(Index!AJ73=1,0,$H27*$K27*py*Index!AJ26*Index!AJ167/unit)</f>
        <v>38.153448769172911</v>
      </c>
      <c r="AL27" s="75">
        <f>IF(Index!AK73=1,0,$H27*$K27*py*Index!AK26*Index!AK167/unit)</f>
        <v>38.153448769172911</v>
      </c>
      <c r="AM27" s="75">
        <f>IF(Index!AL73=1,0,$H27*$K27*py*Index!AL26*Index!AL167/unit)</f>
        <v>38.153448769172911</v>
      </c>
      <c r="AN27" s="75">
        <f>IF(Index!AM73=1,0,$H27*$K27*py*Index!AM26*Index!AM167/unit)</f>
        <v>38.153448769172911</v>
      </c>
      <c r="AO27" s="75">
        <f>IF(Index!AN73=1,0,$H27*$K27*py*Index!AN26*Index!AN167/unit)</f>
        <v>38.153448769172911</v>
      </c>
      <c r="AP27" s="75">
        <f>IF(Index!AO73=1,0,$H27*$K27*py*Index!AO26*Index!AO167/unit)</f>
        <v>38.153448769172911</v>
      </c>
      <c r="AQ27" s="75">
        <f>IF(Index!AP73=1,0,$H27*$K27*py*Index!AP26*Index!AP167/unit)</f>
        <v>38.153448769172911</v>
      </c>
      <c r="AR27" s="75">
        <f>IF(Index!AQ73=1,0,$H27*$K27*py*Index!AQ26*Index!AQ167/unit)</f>
        <v>38.153448769172911</v>
      </c>
      <c r="AS27" s="75">
        <f>IF(Index!AR73=1,0,$H27*$K27*py*Index!AR26*Index!AR167/unit)</f>
        <v>38.153448769172911</v>
      </c>
      <c r="AT27" s="75">
        <f>IF(Index!AS73=1,0,$H27*$K27*py*Index!AS26*Index!AS167/unit)</f>
        <v>38.153448769172911</v>
      </c>
      <c r="AU27" s="75">
        <f>IF(Index!AT73=1,0,$H27*$K27*py*Index!AT26*Index!AT167/unit)</f>
        <v>38.153448769172911</v>
      </c>
      <c r="AV27" s="75">
        <f>IF(Index!AU73=1,0,$H27*$K27*py*Index!AU26*Index!AU167/unit)</f>
        <v>39.298052232248104</v>
      </c>
      <c r="AW27" s="75">
        <f>IF(Index!AV73=1,0,$H27*$K27*py*Index!AV26*Index!AV167/unit)</f>
        <v>39.298052232248104</v>
      </c>
      <c r="AX27" s="75">
        <f>IF(Index!AW73=1,0,$H27*$K27*py*Index!AW26*Index!AW167/unit)</f>
        <v>39.298052232248104</v>
      </c>
      <c r="AY27" s="75">
        <f>IF(Index!AX73=1,0,$H27*$K27*py*Index!AX26*Index!AX167/unit)</f>
        <v>39.298052232248104</v>
      </c>
      <c r="AZ27" s="75">
        <f>IF(Index!AY73=1,0,$H27*$K27*py*Index!AY26*Index!AY167/unit)</f>
        <v>39.298052232248104</v>
      </c>
      <c r="BA27" s="75">
        <f>IF(Index!AZ73=1,0,$H27*$K27*py*Index!AZ26*Index!AZ167/unit)</f>
        <v>39.298052232248104</v>
      </c>
      <c r="BB27" s="75">
        <f>IF(Index!BA73=1,0,$H27*$K27*py*Index!BA26*Index!BA167/unit)</f>
        <v>39.298052232248104</v>
      </c>
      <c r="BC27" s="75">
        <f>IF(Index!BB73=1,0,$H27*$K27*py*Index!BB26*Index!BB167/unit)</f>
        <v>39.298052232248104</v>
      </c>
      <c r="BD27" s="75">
        <f>IF(Index!BC73=1,0,$H27*$K27*py*Index!BC26*Index!BC167/unit)</f>
        <v>39.298052232248104</v>
      </c>
      <c r="BE27" s="75">
        <f>IF(Index!BD73=1,0,$H27*$K27*py*Index!BD26*Index!BD167/unit)</f>
        <v>39.298052232248104</v>
      </c>
      <c r="BF27" s="75">
        <f>IF(Index!BE73=1,0,$H27*$K27*py*Index!BE26*Index!BE167/unit)</f>
        <v>39.298052232248104</v>
      </c>
      <c r="BG27" s="75">
        <f>IF(Index!BF73=1,0,$H27*$K27*py*Index!BF26*Index!BF167/unit)</f>
        <v>39.298052232248104</v>
      </c>
      <c r="BH27" s="75">
        <f>IF(Index!BG73=1,0,$H27*$K27*py*Index!BG26*Index!BG167/unit)</f>
        <v>0</v>
      </c>
      <c r="BI27" s="75">
        <f>IF(Index!BH73=1,0,$H27*$K27*py*Index!BH26*Index!BH167/unit)</f>
        <v>0</v>
      </c>
      <c r="BJ27" s="75">
        <f>IF(Index!BI73=1,0,$H27*$K27*py*Index!BI26*Index!BI167/unit)</f>
        <v>0</v>
      </c>
      <c r="BK27" s="75">
        <f>IF(Index!BJ73=1,0,$H27*$K27*py*Index!BJ26*Index!BJ167/unit)</f>
        <v>0</v>
      </c>
      <c r="BL27" s="75">
        <f>IF(Index!BK73=1,0,$H27*$K27*py*Index!BK26*Index!BK167/unit)</f>
        <v>0</v>
      </c>
      <c r="BM27" s="75">
        <f>IF(Index!BL73=1,0,$H27*$K27*py*Index!BL26*Index!BL167/unit)</f>
        <v>0</v>
      </c>
      <c r="BN27" s="75">
        <f>IF(Index!BM73=1,0,$H27*$K27*py*Index!BM26*Index!BM167/unit)</f>
        <v>0</v>
      </c>
      <c r="BO27" s="75">
        <f>IF(Index!BN73=1,0,$H27*$K27*py*Index!BN26*Index!BN167/unit)</f>
        <v>0</v>
      </c>
      <c r="BP27" s="75">
        <f>IF(Index!BO73=1,0,$H27*$K27*py*Index!BO26*Index!BO167/unit)</f>
        <v>0</v>
      </c>
      <c r="BQ27" s="75">
        <f>IF(Index!BP73=1,0,$H27*$K27*py*Index!BP26*Index!BP167/unit)</f>
        <v>0</v>
      </c>
      <c r="BR27" s="75">
        <f>IF(Index!BQ73=1,0,$H27*$K27*py*Index!BQ26*Index!BQ167/unit)</f>
        <v>0</v>
      </c>
      <c r="BS27" s="75">
        <f>IF(Index!BR73=1,0,$H27*$K27*py*Index!BR26*Index!BR167/unit)</f>
        <v>0</v>
      </c>
      <c r="BT27" s="75">
        <f>IF(Index!BS73=1,0,$H27*$K27*py*Index!BS26*Index!BS167/unit)</f>
        <v>0</v>
      </c>
      <c r="BU27" s="75">
        <f>IF(Index!BT73=1,0,$H27*$K27*py*Index!BT26*Index!BT167/unit)</f>
        <v>0</v>
      </c>
      <c r="BV27" s="75">
        <f>IF(Index!BU73=1,0,$H27*$K27*py*Index!BU26*Index!BU167/unit)</f>
        <v>0</v>
      </c>
      <c r="BW27" s="75">
        <f>IF(Index!BV73=1,0,$H27*$K27*py*Index!BV26*Index!BV167/unit)</f>
        <v>0</v>
      </c>
      <c r="BX27" s="75">
        <f>IF(Index!BW73=1,0,$H27*$K27*py*Index!BW26*Index!BW167/unit)</f>
        <v>0</v>
      </c>
      <c r="BY27" s="75">
        <f>IF(Index!BX73=1,0,$H27*$K27*py*Index!BX26*Index!BX167/unit)</f>
        <v>0</v>
      </c>
      <c r="BZ27" s="75">
        <f>IF(Index!BY73=1,0,$H27*$K27*py*Index!BY26*Index!BY167/unit)</f>
        <v>0</v>
      </c>
      <c r="CA27" s="75">
        <f>IF(Index!BZ73=1,0,$H27*$K27*py*Index!BZ26*Index!BZ167/unit)</f>
        <v>0</v>
      </c>
      <c r="CB27" s="75">
        <f>IF(Index!CA73=1,0,$H27*$K27*py*Index!CA26*Index!CA167/unit)</f>
        <v>0</v>
      </c>
      <c r="CC27" s="75">
        <f>IF(Index!CB73=1,0,$H27*$K27*py*Index!CB26*Index!CB167/unit)</f>
        <v>0</v>
      </c>
      <c r="CD27" s="75">
        <f>IF(Index!CC73=1,0,$H27*$K27*py*Index!CC26*Index!CC167/unit)</f>
        <v>0</v>
      </c>
      <c r="CE27" s="75">
        <f>IF(Index!CD73=1,0,$H27*$K27*py*Index!CD26*Index!CD167/unit)</f>
        <v>0</v>
      </c>
      <c r="CF27" s="75">
        <f>IF(Index!CE73=1,0,$H27*$K27*py*Index!CE26*Index!CE167/unit)</f>
        <v>0</v>
      </c>
      <c r="CG27" s="75">
        <f>IF(Index!CF73=1,0,$H27*$K27*py*Index!CF26*Index!CF167/unit)</f>
        <v>0</v>
      </c>
      <c r="CH27" s="75">
        <f>IF(Index!CG73=1,0,$H27*$K27*py*Index!CG26*Index!CG167/unit)</f>
        <v>0</v>
      </c>
      <c r="CI27" s="75">
        <f>IF(Index!CH73=1,0,$H27*$K27*py*Index!CH26*Index!CH167/unit)</f>
        <v>0</v>
      </c>
      <c r="CJ27" s="75">
        <f>IF(Index!CI73=1,0,$H27*$K27*py*Index!CI26*Index!CI167/unit)</f>
        <v>0</v>
      </c>
      <c r="CK27" s="75">
        <f>IF(Index!CJ73=1,0,$H27*$K27*py*Index!CJ26*Index!CJ167/unit)</f>
        <v>0</v>
      </c>
      <c r="CL27" s="75">
        <f>IF(Index!CK73=1,0,$H27*$K27*py*Index!CK26*Index!CK167/unit)</f>
        <v>0</v>
      </c>
      <c r="CM27" s="75">
        <f>IF(Index!CL73=1,0,$H27*$K27*py*Index!CL26*Index!CL167/unit)</f>
        <v>0</v>
      </c>
      <c r="CN27" s="75">
        <f>IF(Index!CM73=1,0,$H27*$K27*py*Index!CM26*Index!CM167/unit)</f>
        <v>0</v>
      </c>
      <c r="CO27" s="75">
        <f>IF(Index!CN73=1,0,$H27*$K27*py*Index!CN26*Index!CN167/unit)</f>
        <v>0</v>
      </c>
      <c r="CP27" s="75">
        <f>IF(Index!CO73=1,0,$H27*$K27*py*Index!CO26*Index!CO167/unit)</f>
        <v>0</v>
      </c>
      <c r="CQ27" s="75">
        <f>IF(Index!CP73=1,0,$H27*$K27*py*Index!CP26*Index!CP167/unit)</f>
        <v>0</v>
      </c>
      <c r="CR27" s="75">
        <f>IF(Index!CQ73=1,0,$H27*$K27*py*Index!CQ26*Index!CQ167/unit)</f>
        <v>0</v>
      </c>
      <c r="CS27" s="75">
        <f>IF(Index!CR73=1,0,$H27*$K27*py*Index!CR26*Index!CR167/unit)</f>
        <v>0</v>
      </c>
      <c r="CT27" s="75">
        <f>IF(Index!CS73=1,0,$H27*$K27*py*Index!CS26*Index!CS167/unit)</f>
        <v>0</v>
      </c>
      <c r="CU27" s="75">
        <f>IF(Index!CT73=1,0,$H27*$K27*py*Index!CT26*Index!CT167/unit)</f>
        <v>0</v>
      </c>
      <c r="CV27" s="75">
        <f>IF(Index!CU73=1,0,$H27*$K27*py*Index!CU26*Index!CU167/unit)</f>
        <v>0</v>
      </c>
      <c r="CW27" s="75">
        <f>IF(Index!CV73=1,0,$H27*$K27*py*Index!CV26*Index!CV167/unit)</f>
        <v>0</v>
      </c>
      <c r="CX27" s="75">
        <f>IF(Index!CW73=1,0,$H27*$K27*py*Index!CW26*Index!CW167/unit)</f>
        <v>0</v>
      </c>
      <c r="CY27" s="75">
        <f>IF(Index!CX73=1,0,$H27*$K27*py*Index!CX26*Index!CX167/unit)</f>
        <v>0</v>
      </c>
      <c r="CZ27" s="75">
        <f>IF(Index!CY73=1,0,$H27*$K27*py*Index!CY26*Index!CY167/unit)</f>
        <v>0</v>
      </c>
      <c r="DA27" s="75">
        <f>IF(Index!CZ73=1,0,$H27*$K27*py*Index!CZ26*Index!CZ167/unit)</f>
        <v>0</v>
      </c>
      <c r="DB27" s="75">
        <f>IF(Index!DA73=1,0,$H27*$K27*py*Index!DA26*Index!DA167/unit)</f>
        <v>0</v>
      </c>
      <c r="DC27" s="75">
        <f>IF(Index!DB73=1,0,$H27*$K27*py*Index!DB26*Index!DB167/unit)</f>
        <v>0</v>
      </c>
      <c r="DD27" s="75">
        <f>IF(Index!DC73=1,0,$H27*$K27*py*Index!DC26*Index!DC167/unit)</f>
        <v>0</v>
      </c>
      <c r="DE27" s="75">
        <f>IF(Index!DD73=1,0,$H27*$K27*py*Index!DD26*Index!DD167/unit)</f>
        <v>0</v>
      </c>
      <c r="DF27" s="75">
        <f>IF(Index!DE73=1,0,$H27*$K27*py*Index!DE26*Index!DE167/unit)</f>
        <v>0</v>
      </c>
      <c r="DG27" s="75">
        <f>IF(Index!DF73=1,0,$H27*$K27*py*Index!DF26*Index!DF167/unit)</f>
        <v>0</v>
      </c>
      <c r="DH27" s="75">
        <f>IF(Index!DG73=1,0,$H27*$K27*py*Index!DG26*Index!DG167/unit)</f>
        <v>0</v>
      </c>
      <c r="DI27" s="75">
        <f>IF(Index!DH73=1,0,$H27*$K27*py*Index!DH26*Index!DH167/unit)</f>
        <v>0</v>
      </c>
      <c r="DJ27" s="75">
        <f>IF(Index!DI73=1,0,$H27*$K27*py*Index!DI26*Index!DI167/unit)</f>
        <v>0</v>
      </c>
      <c r="DK27" s="75">
        <f>IF(Index!DJ73=1,0,$H27*$K27*py*Index!DJ26*Index!DJ167/unit)</f>
        <v>0</v>
      </c>
      <c r="DL27" s="75">
        <f>IF(Index!DK73=1,0,$H27*$K27*py*Index!DK26*Index!DK167/unit)</f>
        <v>0</v>
      </c>
      <c r="DM27" s="75">
        <f>IF(Index!DL73=1,0,$H27*$K27*py*Index!DL26*Index!DL167/unit)</f>
        <v>0</v>
      </c>
    </row>
    <row r="28" spans="2:117">
      <c r="B28" s="27">
        <f>Rentroll!$C$19</f>
        <v>9</v>
      </c>
      <c r="C28" s="69" t="str">
        <f>VLOOKUP($B28,Rentroll!$C$11:$X$29,3,FALSE)</f>
        <v>노벰버 건설</v>
      </c>
      <c r="D28" s="80">
        <f>VLOOKUP($B28,Rentroll!$C$11:$X$29,9,FALSE)</f>
        <v>45077</v>
      </c>
      <c r="E28" s="80">
        <f>VLOOKUP($B28,Rentroll!$C$11:$X$29,10,FALSE)</f>
        <v>46903</v>
      </c>
      <c r="F28" s="81">
        <f>VLOOKUP($B28,Rentroll!$C$11:$X$29,11,FALSE)</f>
        <v>60</v>
      </c>
      <c r="G28" s="69">
        <f>VLOOKUP($B28,Rentroll!$C$11:$X$29,13,FALSE)</f>
        <v>103000</v>
      </c>
      <c r="H28" s="69">
        <f>VLOOKUP($B28,Rentroll!$C$11:$X$29,14,FALSE)</f>
        <v>85833.333333333328</v>
      </c>
      <c r="I28" s="69">
        <f>VLOOKUP($B28,Rentroll!$C$11:$X$29,15,FALSE)</f>
        <v>46350</v>
      </c>
      <c r="J28" s="82">
        <f>VLOOKUP($B28,Rentroll!$C$11:$X$29,19,FALSE)</f>
        <v>0.03</v>
      </c>
      <c r="K28" s="83">
        <f>VLOOKUP($B28,Rentroll!$C$11:$X$29,4,FALSE)</f>
        <v>1385.09</v>
      </c>
      <c r="L28" s="81">
        <f>VLOOKUP($B28,Rentroll!$C$11:$X$29,17,FALSE)</f>
        <v>0</v>
      </c>
      <c r="M28" s="84">
        <f>VLOOKUP($B28,Rentroll!$C$11:$X$29,18,FALSE)</f>
        <v>2</v>
      </c>
      <c r="O28" s="74">
        <f t="shared" si="12"/>
        <v>9</v>
      </c>
      <c r="P28" s="75"/>
      <c r="Q28" s="75">
        <f t="shared" si="13"/>
        <v>1517.7773501862196</v>
      </c>
      <c r="R28" s="75"/>
      <c r="S28" s="75">
        <f>IF(Index!R74=1,0,$H28*$K28*py*Index!R27*Index!R168/unit)</f>
        <v>0</v>
      </c>
      <c r="T28" s="75">
        <f>IF(Index!S74=1,0,$H28*$K28*py*Index!S27*Index!S168/unit)</f>
        <v>35.963284729166666</v>
      </c>
      <c r="U28" s="75">
        <f>IF(Index!T74=1,0,$H28*$K28*py*Index!T27*Index!T168/unit)</f>
        <v>35.963284729166666</v>
      </c>
      <c r="V28" s="75">
        <f>IF(Index!U74=1,0,$H28*$K28*py*Index!U27*Index!U168/unit)</f>
        <v>35.963284729166666</v>
      </c>
      <c r="W28" s="75">
        <f>IF(Index!V74=1,0,$H28*$K28*py*Index!V27*Index!V168/unit)</f>
        <v>35.963284729166666</v>
      </c>
      <c r="X28" s="75">
        <f>IF(Index!W74=1,0,$H28*$K28*py*Index!W27*Index!W168/unit)</f>
        <v>37.042183271041658</v>
      </c>
      <c r="Y28" s="75">
        <f>IF(Index!X74=1,0,$H28*$K28*py*Index!X27*Index!X168/unit)</f>
        <v>37.042183271041658</v>
      </c>
      <c r="Z28" s="75">
        <f>IF(Index!Y74=1,0,$H28*$K28*py*Index!Y27*Index!Y168/unit)</f>
        <v>37.042183271041658</v>
      </c>
      <c r="AA28" s="75">
        <f>IF(Index!Z74=1,0,$H28*$K28*py*Index!Z27*Index!Z168/unit)</f>
        <v>37.042183271041658</v>
      </c>
      <c r="AB28" s="75">
        <f>IF(Index!AA74=1,0,$H28*$K28*py*Index!AA27*Index!AA168/unit)</f>
        <v>37.042183271041658</v>
      </c>
      <c r="AC28" s="75">
        <f>IF(Index!AB74=1,0,$H28*$K28*py*Index!AB27*Index!AB168/unit)</f>
        <v>37.042183271041658</v>
      </c>
      <c r="AD28" s="75">
        <f>IF(Index!AC74=1,0,$H28*$K28*py*Index!AC27*Index!AC168/unit)</f>
        <v>37.042183271041658</v>
      </c>
      <c r="AE28" s="75">
        <f>IF(Index!AD74=1,0,$H28*$K28*py*Index!AD27*Index!AD168/unit)</f>
        <v>37.042183271041658</v>
      </c>
      <c r="AF28" s="75">
        <f>IF(Index!AE74=1,0,$H28*$K28*py*Index!AE27*Index!AE168/unit)</f>
        <v>37.042183271041658</v>
      </c>
      <c r="AG28" s="75">
        <f>IF(Index!AF74=1,0,$H28*$K28*py*Index!AF27*Index!AF168/unit)</f>
        <v>37.042183271041658</v>
      </c>
      <c r="AH28" s="75">
        <f>IF(Index!AG74=1,0,$H28*$K28*py*Index!AG27*Index!AG168/unit)</f>
        <v>37.042183271041658</v>
      </c>
      <c r="AI28" s="75">
        <f>IF(Index!AH74=1,0,$H28*$K28*py*Index!AH27*Index!AH168/unit)</f>
        <v>37.042183271041658</v>
      </c>
      <c r="AJ28" s="75">
        <f>IF(Index!AI74=1,0,$H28*$K28*py*Index!AI27*Index!AI168/unit)</f>
        <v>38.153448769172911</v>
      </c>
      <c r="AK28" s="75">
        <f>IF(Index!AJ74=1,0,$H28*$K28*py*Index!AJ27*Index!AJ168/unit)</f>
        <v>38.153448769172911</v>
      </c>
      <c r="AL28" s="75">
        <f>IF(Index!AK74=1,0,$H28*$K28*py*Index!AK27*Index!AK168/unit)</f>
        <v>38.153448769172911</v>
      </c>
      <c r="AM28" s="75">
        <f>IF(Index!AL74=1,0,$H28*$K28*py*Index!AL27*Index!AL168/unit)</f>
        <v>38.153448769172911</v>
      </c>
      <c r="AN28" s="75">
        <f>IF(Index!AM74=1,0,$H28*$K28*py*Index!AM27*Index!AM168/unit)</f>
        <v>38.153448769172911</v>
      </c>
      <c r="AO28" s="75">
        <f>IF(Index!AN74=1,0,$H28*$K28*py*Index!AN27*Index!AN168/unit)</f>
        <v>38.153448769172911</v>
      </c>
      <c r="AP28" s="75">
        <f>IF(Index!AO74=1,0,$H28*$K28*py*Index!AO27*Index!AO168/unit)</f>
        <v>38.153448769172911</v>
      </c>
      <c r="AQ28" s="75">
        <f>IF(Index!AP74=1,0,$H28*$K28*py*Index!AP27*Index!AP168/unit)</f>
        <v>38.153448769172911</v>
      </c>
      <c r="AR28" s="75">
        <f>IF(Index!AQ74=1,0,$H28*$K28*py*Index!AQ27*Index!AQ168/unit)</f>
        <v>38.153448769172911</v>
      </c>
      <c r="AS28" s="75">
        <f>IF(Index!AR74=1,0,$H28*$K28*py*Index!AR27*Index!AR168/unit)</f>
        <v>38.153448769172911</v>
      </c>
      <c r="AT28" s="75">
        <f>IF(Index!AS74=1,0,$H28*$K28*py*Index!AS27*Index!AS168/unit)</f>
        <v>38.153448769172911</v>
      </c>
      <c r="AU28" s="75">
        <f>IF(Index!AT74=1,0,$H28*$K28*py*Index!AT27*Index!AT168/unit)</f>
        <v>38.153448769172911</v>
      </c>
      <c r="AV28" s="75">
        <f>IF(Index!AU74=1,0,$H28*$K28*py*Index!AU27*Index!AU168/unit)</f>
        <v>39.298052232248104</v>
      </c>
      <c r="AW28" s="75">
        <f>IF(Index!AV74=1,0,$H28*$K28*py*Index!AV27*Index!AV168/unit)</f>
        <v>39.298052232248104</v>
      </c>
      <c r="AX28" s="75">
        <f>IF(Index!AW74=1,0,$H28*$K28*py*Index!AW27*Index!AW168/unit)</f>
        <v>39.298052232248104</v>
      </c>
      <c r="AY28" s="75">
        <f>IF(Index!AX74=1,0,$H28*$K28*py*Index!AX27*Index!AX168/unit)</f>
        <v>39.298052232248104</v>
      </c>
      <c r="AZ28" s="75">
        <f>IF(Index!AY74=1,0,$H28*$K28*py*Index!AY27*Index!AY168/unit)</f>
        <v>39.298052232248104</v>
      </c>
      <c r="BA28" s="75">
        <f>IF(Index!AZ74=1,0,$H28*$K28*py*Index!AZ27*Index!AZ168/unit)</f>
        <v>39.298052232248104</v>
      </c>
      <c r="BB28" s="75">
        <f>IF(Index!BA74=1,0,$H28*$K28*py*Index!BA27*Index!BA168/unit)</f>
        <v>39.298052232248104</v>
      </c>
      <c r="BC28" s="75">
        <f>IF(Index!BB74=1,0,$H28*$K28*py*Index!BB27*Index!BB168/unit)</f>
        <v>39.298052232248104</v>
      </c>
      <c r="BD28" s="75">
        <f>IF(Index!BC74=1,0,$H28*$K28*py*Index!BC27*Index!BC168/unit)</f>
        <v>39.298052232248104</v>
      </c>
      <c r="BE28" s="75">
        <f>IF(Index!BD74=1,0,$H28*$K28*py*Index!BD27*Index!BD168/unit)</f>
        <v>39.298052232248104</v>
      </c>
      <c r="BF28" s="75">
        <f>IF(Index!BE74=1,0,$H28*$K28*py*Index!BE27*Index!BE168/unit)</f>
        <v>39.298052232248104</v>
      </c>
      <c r="BG28" s="75">
        <f>IF(Index!BF74=1,0,$H28*$K28*py*Index!BF27*Index!BF168/unit)</f>
        <v>39.298052232248104</v>
      </c>
      <c r="BH28" s="75">
        <f>IF(Index!BG74=1,0,$H28*$K28*py*Index!BG27*Index!BG168/unit)</f>
        <v>0</v>
      </c>
      <c r="BI28" s="75">
        <f>IF(Index!BH74=1,0,$H28*$K28*py*Index!BH27*Index!BH168/unit)</f>
        <v>0</v>
      </c>
      <c r="BJ28" s="75">
        <f>IF(Index!BI74=1,0,$H28*$K28*py*Index!BI27*Index!BI168/unit)</f>
        <v>0</v>
      </c>
      <c r="BK28" s="75">
        <f>IF(Index!BJ74=1,0,$H28*$K28*py*Index!BJ27*Index!BJ168/unit)</f>
        <v>0</v>
      </c>
      <c r="BL28" s="75">
        <f>IF(Index!BK74=1,0,$H28*$K28*py*Index!BK27*Index!BK168/unit)</f>
        <v>0</v>
      </c>
      <c r="BM28" s="75">
        <f>IF(Index!BL74=1,0,$H28*$K28*py*Index!BL27*Index!BL168/unit)</f>
        <v>0</v>
      </c>
      <c r="BN28" s="75">
        <f>IF(Index!BM74=1,0,$H28*$K28*py*Index!BM27*Index!BM168/unit)</f>
        <v>0</v>
      </c>
      <c r="BO28" s="75">
        <f>IF(Index!BN74=1,0,$H28*$K28*py*Index!BN27*Index!BN168/unit)</f>
        <v>0</v>
      </c>
      <c r="BP28" s="75">
        <f>IF(Index!BO74=1,0,$H28*$K28*py*Index!BO27*Index!BO168/unit)</f>
        <v>0</v>
      </c>
      <c r="BQ28" s="75">
        <f>IF(Index!BP74=1,0,$H28*$K28*py*Index!BP27*Index!BP168/unit)</f>
        <v>0</v>
      </c>
      <c r="BR28" s="75">
        <f>IF(Index!BQ74=1,0,$H28*$K28*py*Index!BQ27*Index!BQ168/unit)</f>
        <v>0</v>
      </c>
      <c r="BS28" s="75">
        <f>IF(Index!BR74=1,0,$H28*$K28*py*Index!BR27*Index!BR168/unit)</f>
        <v>0</v>
      </c>
      <c r="BT28" s="75">
        <f>IF(Index!BS74=1,0,$H28*$K28*py*Index!BS27*Index!BS168/unit)</f>
        <v>0</v>
      </c>
      <c r="BU28" s="75">
        <f>IF(Index!BT74=1,0,$H28*$K28*py*Index!BT27*Index!BT168/unit)</f>
        <v>0</v>
      </c>
      <c r="BV28" s="75">
        <f>IF(Index!BU74=1,0,$H28*$K28*py*Index!BU27*Index!BU168/unit)</f>
        <v>0</v>
      </c>
      <c r="BW28" s="75">
        <f>IF(Index!BV74=1,0,$H28*$K28*py*Index!BV27*Index!BV168/unit)</f>
        <v>0</v>
      </c>
      <c r="BX28" s="75">
        <f>IF(Index!BW74=1,0,$H28*$K28*py*Index!BW27*Index!BW168/unit)</f>
        <v>0</v>
      </c>
      <c r="BY28" s="75">
        <f>IF(Index!BX74=1,0,$H28*$K28*py*Index!BX27*Index!BX168/unit)</f>
        <v>0</v>
      </c>
      <c r="BZ28" s="75">
        <f>IF(Index!BY74=1,0,$H28*$K28*py*Index!BY27*Index!BY168/unit)</f>
        <v>0</v>
      </c>
      <c r="CA28" s="75">
        <f>IF(Index!BZ74=1,0,$H28*$K28*py*Index!BZ27*Index!BZ168/unit)</f>
        <v>0</v>
      </c>
      <c r="CB28" s="75">
        <f>IF(Index!CA74=1,0,$H28*$K28*py*Index!CA27*Index!CA168/unit)</f>
        <v>0</v>
      </c>
      <c r="CC28" s="75">
        <f>IF(Index!CB74=1,0,$H28*$K28*py*Index!CB27*Index!CB168/unit)</f>
        <v>0</v>
      </c>
      <c r="CD28" s="75">
        <f>IF(Index!CC74=1,0,$H28*$K28*py*Index!CC27*Index!CC168/unit)</f>
        <v>0</v>
      </c>
      <c r="CE28" s="75">
        <f>IF(Index!CD74=1,0,$H28*$K28*py*Index!CD27*Index!CD168/unit)</f>
        <v>0</v>
      </c>
      <c r="CF28" s="75">
        <f>IF(Index!CE74=1,0,$H28*$K28*py*Index!CE27*Index!CE168/unit)</f>
        <v>0</v>
      </c>
      <c r="CG28" s="75">
        <f>IF(Index!CF74=1,0,$H28*$K28*py*Index!CF27*Index!CF168/unit)</f>
        <v>0</v>
      </c>
      <c r="CH28" s="75">
        <f>IF(Index!CG74=1,0,$H28*$K28*py*Index!CG27*Index!CG168/unit)</f>
        <v>0</v>
      </c>
      <c r="CI28" s="75">
        <f>IF(Index!CH74=1,0,$H28*$K28*py*Index!CH27*Index!CH168/unit)</f>
        <v>0</v>
      </c>
      <c r="CJ28" s="75">
        <f>IF(Index!CI74=1,0,$H28*$K28*py*Index!CI27*Index!CI168/unit)</f>
        <v>0</v>
      </c>
      <c r="CK28" s="75">
        <f>IF(Index!CJ74=1,0,$H28*$K28*py*Index!CJ27*Index!CJ168/unit)</f>
        <v>0</v>
      </c>
      <c r="CL28" s="75">
        <f>IF(Index!CK74=1,0,$H28*$K28*py*Index!CK27*Index!CK168/unit)</f>
        <v>0</v>
      </c>
      <c r="CM28" s="75">
        <f>IF(Index!CL74=1,0,$H28*$K28*py*Index!CL27*Index!CL168/unit)</f>
        <v>0</v>
      </c>
      <c r="CN28" s="75">
        <f>IF(Index!CM74=1,0,$H28*$K28*py*Index!CM27*Index!CM168/unit)</f>
        <v>0</v>
      </c>
      <c r="CO28" s="75">
        <f>IF(Index!CN74=1,0,$H28*$K28*py*Index!CN27*Index!CN168/unit)</f>
        <v>0</v>
      </c>
      <c r="CP28" s="75">
        <f>IF(Index!CO74=1,0,$H28*$K28*py*Index!CO27*Index!CO168/unit)</f>
        <v>0</v>
      </c>
      <c r="CQ28" s="75">
        <f>IF(Index!CP74=1,0,$H28*$K28*py*Index!CP27*Index!CP168/unit)</f>
        <v>0</v>
      </c>
      <c r="CR28" s="75">
        <f>IF(Index!CQ74=1,0,$H28*$K28*py*Index!CQ27*Index!CQ168/unit)</f>
        <v>0</v>
      </c>
      <c r="CS28" s="75">
        <f>IF(Index!CR74=1,0,$H28*$K28*py*Index!CR27*Index!CR168/unit)</f>
        <v>0</v>
      </c>
      <c r="CT28" s="75">
        <f>IF(Index!CS74=1,0,$H28*$K28*py*Index!CS27*Index!CS168/unit)</f>
        <v>0</v>
      </c>
      <c r="CU28" s="75">
        <f>IF(Index!CT74=1,0,$H28*$K28*py*Index!CT27*Index!CT168/unit)</f>
        <v>0</v>
      </c>
      <c r="CV28" s="75">
        <f>IF(Index!CU74=1,0,$H28*$K28*py*Index!CU27*Index!CU168/unit)</f>
        <v>0</v>
      </c>
      <c r="CW28" s="75">
        <f>IF(Index!CV74=1,0,$H28*$K28*py*Index!CV27*Index!CV168/unit)</f>
        <v>0</v>
      </c>
      <c r="CX28" s="75">
        <f>IF(Index!CW74=1,0,$H28*$K28*py*Index!CW27*Index!CW168/unit)</f>
        <v>0</v>
      </c>
      <c r="CY28" s="75">
        <f>IF(Index!CX74=1,0,$H28*$K28*py*Index!CX27*Index!CX168/unit)</f>
        <v>0</v>
      </c>
      <c r="CZ28" s="75">
        <f>IF(Index!CY74=1,0,$H28*$K28*py*Index!CY27*Index!CY168/unit)</f>
        <v>0</v>
      </c>
      <c r="DA28" s="75">
        <f>IF(Index!CZ74=1,0,$H28*$K28*py*Index!CZ27*Index!CZ168/unit)</f>
        <v>0</v>
      </c>
      <c r="DB28" s="75">
        <f>IF(Index!DA74=1,0,$H28*$K28*py*Index!DA27*Index!DA168/unit)</f>
        <v>0</v>
      </c>
      <c r="DC28" s="75">
        <f>IF(Index!DB74=1,0,$H28*$K28*py*Index!DB27*Index!DB168/unit)</f>
        <v>0</v>
      </c>
      <c r="DD28" s="75">
        <f>IF(Index!DC74=1,0,$H28*$K28*py*Index!DC27*Index!DC168/unit)</f>
        <v>0</v>
      </c>
      <c r="DE28" s="75">
        <f>IF(Index!DD74=1,0,$H28*$K28*py*Index!DD27*Index!DD168/unit)</f>
        <v>0</v>
      </c>
      <c r="DF28" s="75">
        <f>IF(Index!DE74=1,0,$H28*$K28*py*Index!DE27*Index!DE168/unit)</f>
        <v>0</v>
      </c>
      <c r="DG28" s="75">
        <f>IF(Index!DF74=1,0,$H28*$K28*py*Index!DF27*Index!DF168/unit)</f>
        <v>0</v>
      </c>
      <c r="DH28" s="75">
        <f>IF(Index!DG74=1,0,$H28*$K28*py*Index!DG27*Index!DG168/unit)</f>
        <v>0</v>
      </c>
      <c r="DI28" s="75">
        <f>IF(Index!DH74=1,0,$H28*$K28*py*Index!DH27*Index!DH168/unit)</f>
        <v>0</v>
      </c>
      <c r="DJ28" s="75">
        <f>IF(Index!DI74=1,0,$H28*$K28*py*Index!DI27*Index!DI168/unit)</f>
        <v>0</v>
      </c>
      <c r="DK28" s="75">
        <f>IF(Index!DJ74=1,0,$H28*$K28*py*Index!DJ27*Index!DJ168/unit)</f>
        <v>0</v>
      </c>
      <c r="DL28" s="75">
        <f>IF(Index!DK74=1,0,$H28*$K28*py*Index!DK27*Index!DK168/unit)</f>
        <v>0</v>
      </c>
      <c r="DM28" s="75">
        <f>IF(Index!DL74=1,0,$H28*$K28*py*Index!DL27*Index!DL168/unit)</f>
        <v>0</v>
      </c>
    </row>
    <row r="29" spans="2:117">
      <c r="B29" s="27">
        <f>Rentroll!$C$20</f>
        <v>8</v>
      </c>
      <c r="C29" s="69" t="str">
        <f>VLOOKUP($B29,Rentroll!$C$11:$X$29,3,FALSE)</f>
        <v>오토 커머셜</v>
      </c>
      <c r="D29" s="80">
        <f>VLOOKUP($B29,Rentroll!$C$11:$X$29,9,FALSE)</f>
        <v>44651</v>
      </c>
      <c r="E29" s="80">
        <f>VLOOKUP($B29,Rentroll!$C$11:$X$29,10,FALSE)</f>
        <v>46476</v>
      </c>
      <c r="F29" s="81">
        <f>VLOOKUP($B29,Rentroll!$C$11:$X$29,11,FALSE)</f>
        <v>60</v>
      </c>
      <c r="G29" s="69">
        <f>VLOOKUP($B29,Rentroll!$C$11:$X$29,13,FALSE)</f>
        <v>95481</v>
      </c>
      <c r="H29" s="69">
        <f>VLOOKUP($B29,Rentroll!$C$11:$X$29,14,FALSE)</f>
        <v>87524.25</v>
      </c>
      <c r="I29" s="69">
        <f>VLOOKUP($B29,Rentroll!$C$11:$X$29,15,FALSE)</f>
        <v>42436</v>
      </c>
      <c r="J29" s="82">
        <f>VLOOKUP($B29,Rentroll!$C$11:$X$29,19,FALSE)</f>
        <v>0.03</v>
      </c>
      <c r="K29" s="83">
        <f>VLOOKUP($B29,Rentroll!$C$11:$X$29,4,FALSE)</f>
        <v>1385.09</v>
      </c>
      <c r="L29" s="81">
        <f>VLOOKUP($B29,Rentroll!$C$11:$X$29,17,FALSE)</f>
        <v>0</v>
      </c>
      <c r="M29" s="84">
        <f>VLOOKUP($B29,Rentroll!$C$11:$X$29,18,FALSE)</f>
        <v>1</v>
      </c>
      <c r="O29" s="74">
        <f t="shared" si="12"/>
        <v>8</v>
      </c>
      <c r="P29" s="75"/>
      <c r="Q29" s="75">
        <f t="shared" si="13"/>
        <v>993.4673547735448</v>
      </c>
      <c r="R29" s="75"/>
      <c r="S29" s="75">
        <f>IF(Index!R75=1,0,$H29*$K29*py*Index!R28*Index!R169/unit)</f>
        <v>0</v>
      </c>
      <c r="T29" s="75">
        <f>IF(Index!S75=1,0,$H29*$K29*py*Index!S28*Index!S169/unit)</f>
        <v>36.671761438331245</v>
      </c>
      <c r="U29" s="75">
        <f>IF(Index!T75=1,0,$H29*$K29*py*Index!T28*Index!T169/unit)</f>
        <v>36.671761438331245</v>
      </c>
      <c r="V29" s="75">
        <f>IF(Index!U75=1,0,$H29*$K29*py*Index!U28*Index!U169/unit)</f>
        <v>37.771914281481187</v>
      </c>
      <c r="W29" s="75">
        <f>IF(Index!V75=1,0,$H29*$K29*py*Index!V28*Index!V169/unit)</f>
        <v>37.771914281481187</v>
      </c>
      <c r="X29" s="75">
        <f>IF(Index!W75=1,0,$H29*$K29*py*Index!W28*Index!W169/unit)</f>
        <v>37.771914281481187</v>
      </c>
      <c r="Y29" s="75">
        <f>IF(Index!X75=1,0,$H29*$K29*py*Index!X28*Index!X169/unit)</f>
        <v>37.771914281481187</v>
      </c>
      <c r="Z29" s="75">
        <f>IF(Index!Y75=1,0,$H29*$K29*py*Index!Y28*Index!Y169/unit)</f>
        <v>37.771914281481187</v>
      </c>
      <c r="AA29" s="75">
        <f>IF(Index!Z75=1,0,$H29*$K29*py*Index!Z28*Index!Z169/unit)</f>
        <v>37.771914281481187</v>
      </c>
      <c r="AB29" s="75">
        <f>IF(Index!AA75=1,0,$H29*$K29*py*Index!AA28*Index!AA169/unit)</f>
        <v>37.771914281481187</v>
      </c>
      <c r="AC29" s="75">
        <f>IF(Index!AB75=1,0,$H29*$K29*py*Index!AB28*Index!AB169/unit)</f>
        <v>37.771914281481187</v>
      </c>
      <c r="AD29" s="75">
        <f>IF(Index!AC75=1,0,$H29*$K29*py*Index!AC28*Index!AC169/unit)</f>
        <v>37.771914281481187</v>
      </c>
      <c r="AE29" s="75">
        <f>IF(Index!AD75=1,0,$H29*$K29*py*Index!AD28*Index!AD169/unit)</f>
        <v>37.771914281481187</v>
      </c>
      <c r="AF29" s="75">
        <f>IF(Index!AE75=1,0,$H29*$K29*py*Index!AE28*Index!AE169/unit)</f>
        <v>37.771914281481187</v>
      </c>
      <c r="AG29" s="75">
        <f>IF(Index!AF75=1,0,$H29*$K29*py*Index!AF28*Index!AF169/unit)</f>
        <v>37.771914281481187</v>
      </c>
      <c r="AH29" s="75">
        <f>IF(Index!AG75=1,0,$H29*$K29*py*Index!AG28*Index!AG169/unit)</f>
        <v>38.905071709925615</v>
      </c>
      <c r="AI29" s="75">
        <f>IF(Index!AH75=1,0,$H29*$K29*py*Index!AH28*Index!AH169/unit)</f>
        <v>38.905071709925615</v>
      </c>
      <c r="AJ29" s="75">
        <f>IF(Index!AI75=1,0,$H29*$K29*py*Index!AI28*Index!AI169/unit)</f>
        <v>38.905071709925615</v>
      </c>
      <c r="AK29" s="75">
        <f>IF(Index!AJ75=1,0,$H29*$K29*py*Index!AJ28*Index!AJ169/unit)</f>
        <v>38.905071709925615</v>
      </c>
      <c r="AL29" s="75">
        <f>IF(Index!AK75=1,0,$H29*$K29*py*Index!AK28*Index!AK169/unit)</f>
        <v>38.905071709925615</v>
      </c>
      <c r="AM29" s="75">
        <f>IF(Index!AL75=1,0,$H29*$K29*py*Index!AL28*Index!AL169/unit)</f>
        <v>38.905071709925615</v>
      </c>
      <c r="AN29" s="75">
        <f>IF(Index!AM75=1,0,$H29*$K29*py*Index!AM28*Index!AM169/unit)</f>
        <v>38.905071709925615</v>
      </c>
      <c r="AO29" s="75">
        <f>IF(Index!AN75=1,0,$H29*$K29*py*Index!AN28*Index!AN169/unit)</f>
        <v>38.905071709925615</v>
      </c>
      <c r="AP29" s="75">
        <f>IF(Index!AO75=1,0,$H29*$K29*py*Index!AO28*Index!AO169/unit)</f>
        <v>38.905071709925615</v>
      </c>
      <c r="AQ29" s="75">
        <f>IF(Index!AP75=1,0,$H29*$K29*py*Index!AP28*Index!AP169/unit)</f>
        <v>38.905071709925615</v>
      </c>
      <c r="AR29" s="75">
        <f>IF(Index!AQ75=1,0,$H29*$K29*py*Index!AQ28*Index!AQ169/unit)</f>
        <v>38.905071709925615</v>
      </c>
      <c r="AS29" s="75">
        <f>IF(Index!AR75=1,0,$H29*$K29*py*Index!AR28*Index!AR169/unit)</f>
        <v>38.905071709925615</v>
      </c>
      <c r="AT29" s="75">
        <f>IF(Index!AS75=1,0,$H29*$K29*py*Index!AS28*Index!AS169/unit)</f>
        <v>0</v>
      </c>
      <c r="AU29" s="75">
        <f>IF(Index!AT75=1,0,$H29*$K29*py*Index!AT28*Index!AT169/unit)</f>
        <v>0</v>
      </c>
      <c r="AV29" s="75">
        <f>IF(Index!AU75=1,0,$H29*$K29*py*Index!AU28*Index!AU169/unit)</f>
        <v>0</v>
      </c>
      <c r="AW29" s="75">
        <f>IF(Index!AV75=1,0,$H29*$K29*py*Index!AV28*Index!AV169/unit)</f>
        <v>0</v>
      </c>
      <c r="AX29" s="75">
        <f>IF(Index!AW75=1,0,$H29*$K29*py*Index!AW28*Index!AW169/unit)</f>
        <v>0</v>
      </c>
      <c r="AY29" s="75">
        <f>IF(Index!AX75=1,0,$H29*$K29*py*Index!AX28*Index!AX169/unit)</f>
        <v>0</v>
      </c>
      <c r="AZ29" s="75">
        <f>IF(Index!AY75=1,0,$H29*$K29*py*Index!AY28*Index!AY169/unit)</f>
        <v>0</v>
      </c>
      <c r="BA29" s="75">
        <f>IF(Index!AZ75=1,0,$H29*$K29*py*Index!AZ28*Index!AZ169/unit)</f>
        <v>0</v>
      </c>
      <c r="BB29" s="75">
        <f>IF(Index!BA75=1,0,$H29*$K29*py*Index!BA28*Index!BA169/unit)</f>
        <v>0</v>
      </c>
      <c r="BC29" s="75">
        <f>IF(Index!BB75=1,0,$H29*$K29*py*Index!BB28*Index!BB169/unit)</f>
        <v>0</v>
      </c>
      <c r="BD29" s="75">
        <f>IF(Index!BC75=1,0,$H29*$K29*py*Index!BC28*Index!BC169/unit)</f>
        <v>0</v>
      </c>
      <c r="BE29" s="75">
        <f>IF(Index!BD75=1,0,$H29*$K29*py*Index!BD28*Index!BD169/unit)</f>
        <v>0</v>
      </c>
      <c r="BF29" s="75">
        <f>IF(Index!BE75=1,0,$H29*$K29*py*Index!BE28*Index!BE169/unit)</f>
        <v>0</v>
      </c>
      <c r="BG29" s="75">
        <f>IF(Index!BF75=1,0,$H29*$K29*py*Index!BF28*Index!BF169/unit)</f>
        <v>0</v>
      </c>
      <c r="BH29" s="75">
        <f>IF(Index!BG75=1,0,$H29*$K29*py*Index!BG28*Index!BG169/unit)</f>
        <v>0</v>
      </c>
      <c r="BI29" s="75">
        <f>IF(Index!BH75=1,0,$H29*$K29*py*Index!BH28*Index!BH169/unit)</f>
        <v>0</v>
      </c>
      <c r="BJ29" s="75">
        <f>IF(Index!BI75=1,0,$H29*$K29*py*Index!BI28*Index!BI169/unit)</f>
        <v>0</v>
      </c>
      <c r="BK29" s="75">
        <f>IF(Index!BJ75=1,0,$H29*$K29*py*Index!BJ28*Index!BJ169/unit)</f>
        <v>0</v>
      </c>
      <c r="BL29" s="75">
        <f>IF(Index!BK75=1,0,$H29*$K29*py*Index!BK28*Index!BK169/unit)</f>
        <v>0</v>
      </c>
      <c r="BM29" s="75">
        <f>IF(Index!BL75=1,0,$H29*$K29*py*Index!BL28*Index!BL169/unit)</f>
        <v>0</v>
      </c>
      <c r="BN29" s="75">
        <f>IF(Index!BM75=1,0,$H29*$K29*py*Index!BM28*Index!BM169/unit)</f>
        <v>0</v>
      </c>
      <c r="BO29" s="75">
        <f>IF(Index!BN75=1,0,$H29*$K29*py*Index!BN28*Index!BN169/unit)</f>
        <v>0</v>
      </c>
      <c r="BP29" s="75">
        <f>IF(Index!BO75=1,0,$H29*$K29*py*Index!BO28*Index!BO169/unit)</f>
        <v>0</v>
      </c>
      <c r="BQ29" s="75">
        <f>IF(Index!BP75=1,0,$H29*$K29*py*Index!BP28*Index!BP169/unit)</f>
        <v>0</v>
      </c>
      <c r="BR29" s="75">
        <f>IF(Index!BQ75=1,0,$H29*$K29*py*Index!BQ28*Index!BQ169/unit)</f>
        <v>0</v>
      </c>
      <c r="BS29" s="75">
        <f>IF(Index!BR75=1,0,$H29*$K29*py*Index!BR28*Index!BR169/unit)</f>
        <v>0</v>
      </c>
      <c r="BT29" s="75">
        <f>IF(Index!BS75=1,0,$H29*$K29*py*Index!BS28*Index!BS169/unit)</f>
        <v>0</v>
      </c>
      <c r="BU29" s="75">
        <f>IF(Index!BT75=1,0,$H29*$K29*py*Index!BT28*Index!BT169/unit)</f>
        <v>0</v>
      </c>
      <c r="BV29" s="75">
        <f>IF(Index!BU75=1,0,$H29*$K29*py*Index!BU28*Index!BU169/unit)</f>
        <v>0</v>
      </c>
      <c r="BW29" s="75">
        <f>IF(Index!BV75=1,0,$H29*$K29*py*Index!BV28*Index!BV169/unit)</f>
        <v>0</v>
      </c>
      <c r="BX29" s="75">
        <f>IF(Index!BW75=1,0,$H29*$K29*py*Index!BW28*Index!BW169/unit)</f>
        <v>0</v>
      </c>
      <c r="BY29" s="75">
        <f>IF(Index!BX75=1,0,$H29*$K29*py*Index!BX28*Index!BX169/unit)</f>
        <v>0</v>
      </c>
      <c r="BZ29" s="75">
        <f>IF(Index!BY75=1,0,$H29*$K29*py*Index!BY28*Index!BY169/unit)</f>
        <v>0</v>
      </c>
      <c r="CA29" s="75">
        <f>IF(Index!BZ75=1,0,$H29*$K29*py*Index!BZ28*Index!BZ169/unit)</f>
        <v>0</v>
      </c>
      <c r="CB29" s="75">
        <f>IF(Index!CA75=1,0,$H29*$K29*py*Index!CA28*Index!CA169/unit)</f>
        <v>0</v>
      </c>
      <c r="CC29" s="75">
        <f>IF(Index!CB75=1,0,$H29*$K29*py*Index!CB28*Index!CB169/unit)</f>
        <v>0</v>
      </c>
      <c r="CD29" s="75">
        <f>IF(Index!CC75=1,0,$H29*$K29*py*Index!CC28*Index!CC169/unit)</f>
        <v>0</v>
      </c>
      <c r="CE29" s="75">
        <f>IF(Index!CD75=1,0,$H29*$K29*py*Index!CD28*Index!CD169/unit)</f>
        <v>0</v>
      </c>
      <c r="CF29" s="75">
        <f>IF(Index!CE75=1,0,$H29*$K29*py*Index!CE28*Index!CE169/unit)</f>
        <v>0</v>
      </c>
      <c r="CG29" s="75">
        <f>IF(Index!CF75=1,0,$H29*$K29*py*Index!CF28*Index!CF169/unit)</f>
        <v>0</v>
      </c>
      <c r="CH29" s="75">
        <f>IF(Index!CG75=1,0,$H29*$K29*py*Index!CG28*Index!CG169/unit)</f>
        <v>0</v>
      </c>
      <c r="CI29" s="75">
        <f>IF(Index!CH75=1,0,$H29*$K29*py*Index!CH28*Index!CH169/unit)</f>
        <v>0</v>
      </c>
      <c r="CJ29" s="75">
        <f>IF(Index!CI75=1,0,$H29*$K29*py*Index!CI28*Index!CI169/unit)</f>
        <v>0</v>
      </c>
      <c r="CK29" s="75">
        <f>IF(Index!CJ75=1,0,$H29*$K29*py*Index!CJ28*Index!CJ169/unit)</f>
        <v>0</v>
      </c>
      <c r="CL29" s="75">
        <f>IF(Index!CK75=1,0,$H29*$K29*py*Index!CK28*Index!CK169/unit)</f>
        <v>0</v>
      </c>
      <c r="CM29" s="75">
        <f>IF(Index!CL75=1,0,$H29*$K29*py*Index!CL28*Index!CL169/unit)</f>
        <v>0</v>
      </c>
      <c r="CN29" s="75">
        <f>IF(Index!CM75=1,0,$H29*$K29*py*Index!CM28*Index!CM169/unit)</f>
        <v>0</v>
      </c>
      <c r="CO29" s="75">
        <f>IF(Index!CN75=1,0,$H29*$K29*py*Index!CN28*Index!CN169/unit)</f>
        <v>0</v>
      </c>
      <c r="CP29" s="75">
        <f>IF(Index!CO75=1,0,$H29*$K29*py*Index!CO28*Index!CO169/unit)</f>
        <v>0</v>
      </c>
      <c r="CQ29" s="75">
        <f>IF(Index!CP75=1,0,$H29*$K29*py*Index!CP28*Index!CP169/unit)</f>
        <v>0</v>
      </c>
      <c r="CR29" s="75">
        <f>IF(Index!CQ75=1,0,$H29*$K29*py*Index!CQ28*Index!CQ169/unit)</f>
        <v>0</v>
      </c>
      <c r="CS29" s="75">
        <f>IF(Index!CR75=1,0,$H29*$K29*py*Index!CR28*Index!CR169/unit)</f>
        <v>0</v>
      </c>
      <c r="CT29" s="75">
        <f>IF(Index!CS75=1,0,$H29*$K29*py*Index!CS28*Index!CS169/unit)</f>
        <v>0</v>
      </c>
      <c r="CU29" s="75">
        <f>IF(Index!CT75=1,0,$H29*$K29*py*Index!CT28*Index!CT169/unit)</f>
        <v>0</v>
      </c>
      <c r="CV29" s="75">
        <f>IF(Index!CU75=1,0,$H29*$K29*py*Index!CU28*Index!CU169/unit)</f>
        <v>0</v>
      </c>
      <c r="CW29" s="75">
        <f>IF(Index!CV75=1,0,$H29*$K29*py*Index!CV28*Index!CV169/unit)</f>
        <v>0</v>
      </c>
      <c r="CX29" s="75">
        <f>IF(Index!CW75=1,0,$H29*$K29*py*Index!CW28*Index!CW169/unit)</f>
        <v>0</v>
      </c>
      <c r="CY29" s="75">
        <f>IF(Index!CX75=1,0,$H29*$K29*py*Index!CX28*Index!CX169/unit)</f>
        <v>0</v>
      </c>
      <c r="CZ29" s="75">
        <f>IF(Index!CY75=1,0,$H29*$K29*py*Index!CY28*Index!CY169/unit)</f>
        <v>0</v>
      </c>
      <c r="DA29" s="75">
        <f>IF(Index!CZ75=1,0,$H29*$K29*py*Index!CZ28*Index!CZ169/unit)</f>
        <v>0</v>
      </c>
      <c r="DB29" s="75">
        <f>IF(Index!DA75=1,0,$H29*$K29*py*Index!DA28*Index!DA169/unit)</f>
        <v>0</v>
      </c>
      <c r="DC29" s="75">
        <f>IF(Index!DB75=1,0,$H29*$K29*py*Index!DB28*Index!DB169/unit)</f>
        <v>0</v>
      </c>
      <c r="DD29" s="75">
        <f>IF(Index!DC75=1,0,$H29*$K29*py*Index!DC28*Index!DC169/unit)</f>
        <v>0</v>
      </c>
      <c r="DE29" s="75">
        <f>IF(Index!DD75=1,0,$H29*$K29*py*Index!DD28*Index!DD169/unit)</f>
        <v>0</v>
      </c>
      <c r="DF29" s="75">
        <f>IF(Index!DE75=1,0,$H29*$K29*py*Index!DE28*Index!DE169/unit)</f>
        <v>0</v>
      </c>
      <c r="DG29" s="75">
        <f>IF(Index!DF75=1,0,$H29*$K29*py*Index!DF28*Index!DF169/unit)</f>
        <v>0</v>
      </c>
      <c r="DH29" s="75">
        <f>IF(Index!DG75=1,0,$H29*$K29*py*Index!DG28*Index!DG169/unit)</f>
        <v>0</v>
      </c>
      <c r="DI29" s="75">
        <f>IF(Index!DH75=1,0,$H29*$K29*py*Index!DH28*Index!DH169/unit)</f>
        <v>0</v>
      </c>
      <c r="DJ29" s="75">
        <f>IF(Index!DI75=1,0,$H29*$K29*py*Index!DI28*Index!DI169/unit)</f>
        <v>0</v>
      </c>
      <c r="DK29" s="75">
        <f>IF(Index!DJ75=1,0,$H29*$K29*py*Index!DJ28*Index!DJ169/unit)</f>
        <v>0</v>
      </c>
      <c r="DL29" s="75">
        <f>IF(Index!DK75=1,0,$H29*$K29*py*Index!DK28*Index!DK169/unit)</f>
        <v>0</v>
      </c>
      <c r="DM29" s="75">
        <f>IF(Index!DL75=1,0,$H29*$K29*py*Index!DL28*Index!DL169/unit)</f>
        <v>0</v>
      </c>
    </row>
    <row r="30" spans="2:117">
      <c r="B30" s="27">
        <f>Rentroll!$C$21</f>
        <v>7</v>
      </c>
      <c r="C30" s="69" t="str">
        <f>VLOOKUP($B30,Rentroll!$C$11:$X$29,3,FALSE)</f>
        <v>오토 커머셜</v>
      </c>
      <c r="D30" s="80">
        <f>VLOOKUP($B30,Rentroll!$C$11:$X$29,9,FALSE)</f>
        <v>44651</v>
      </c>
      <c r="E30" s="80">
        <f>VLOOKUP($B30,Rentroll!$C$11:$X$29,10,FALSE)</f>
        <v>46476</v>
      </c>
      <c r="F30" s="81">
        <f>VLOOKUP($B30,Rentroll!$C$11:$X$29,11,FALSE)</f>
        <v>60</v>
      </c>
      <c r="G30" s="69">
        <f>VLOOKUP($B30,Rentroll!$C$11:$X$29,13,FALSE)</f>
        <v>95481</v>
      </c>
      <c r="H30" s="69">
        <f>VLOOKUP($B30,Rentroll!$C$11:$X$29,14,FALSE)</f>
        <v>87524.25</v>
      </c>
      <c r="I30" s="69">
        <f>VLOOKUP($B30,Rentroll!$C$11:$X$29,15,FALSE)</f>
        <v>42436</v>
      </c>
      <c r="J30" s="82">
        <f>VLOOKUP($B30,Rentroll!$C$11:$X$29,19,FALSE)</f>
        <v>0.03</v>
      </c>
      <c r="K30" s="83">
        <f>VLOOKUP($B30,Rentroll!$C$11:$X$29,4,FALSE)</f>
        <v>1385.09</v>
      </c>
      <c r="L30" s="81">
        <f>VLOOKUP($B30,Rentroll!$C$11:$X$29,17,FALSE)</f>
        <v>0</v>
      </c>
      <c r="M30" s="84">
        <f>VLOOKUP($B30,Rentroll!$C$11:$X$29,18,FALSE)</f>
        <v>1</v>
      </c>
      <c r="O30" s="74">
        <f t="shared" si="12"/>
        <v>7</v>
      </c>
      <c r="P30" s="75"/>
      <c r="Q30" s="75">
        <f t="shared" si="13"/>
        <v>993.4673547735448</v>
      </c>
      <c r="R30" s="75"/>
      <c r="S30" s="75">
        <f>IF(Index!R76=1,0,$H30*$K30*py*Index!R29*Index!R170/unit)</f>
        <v>0</v>
      </c>
      <c r="T30" s="75">
        <f>IF(Index!S76=1,0,$H30*$K30*py*Index!S29*Index!S170/unit)</f>
        <v>36.671761438331245</v>
      </c>
      <c r="U30" s="75">
        <f>IF(Index!T76=1,0,$H30*$K30*py*Index!T29*Index!T170/unit)</f>
        <v>36.671761438331245</v>
      </c>
      <c r="V30" s="75">
        <f>IF(Index!U76=1,0,$H30*$K30*py*Index!U29*Index!U170/unit)</f>
        <v>37.771914281481187</v>
      </c>
      <c r="W30" s="75">
        <f>IF(Index!V76=1,0,$H30*$K30*py*Index!V29*Index!V170/unit)</f>
        <v>37.771914281481187</v>
      </c>
      <c r="X30" s="75">
        <f>IF(Index!W76=1,0,$H30*$K30*py*Index!W29*Index!W170/unit)</f>
        <v>37.771914281481187</v>
      </c>
      <c r="Y30" s="75">
        <f>IF(Index!X76=1,0,$H30*$K30*py*Index!X29*Index!X170/unit)</f>
        <v>37.771914281481187</v>
      </c>
      <c r="Z30" s="75">
        <f>IF(Index!Y76=1,0,$H30*$K30*py*Index!Y29*Index!Y170/unit)</f>
        <v>37.771914281481187</v>
      </c>
      <c r="AA30" s="75">
        <f>IF(Index!Z76=1,0,$H30*$K30*py*Index!Z29*Index!Z170/unit)</f>
        <v>37.771914281481187</v>
      </c>
      <c r="AB30" s="75">
        <f>IF(Index!AA76=1,0,$H30*$K30*py*Index!AA29*Index!AA170/unit)</f>
        <v>37.771914281481187</v>
      </c>
      <c r="AC30" s="75">
        <f>IF(Index!AB76=1,0,$H30*$K30*py*Index!AB29*Index!AB170/unit)</f>
        <v>37.771914281481187</v>
      </c>
      <c r="AD30" s="75">
        <f>IF(Index!AC76=1,0,$H30*$K30*py*Index!AC29*Index!AC170/unit)</f>
        <v>37.771914281481187</v>
      </c>
      <c r="AE30" s="75">
        <f>IF(Index!AD76=1,0,$H30*$K30*py*Index!AD29*Index!AD170/unit)</f>
        <v>37.771914281481187</v>
      </c>
      <c r="AF30" s="75">
        <f>IF(Index!AE76=1,0,$H30*$K30*py*Index!AE29*Index!AE170/unit)</f>
        <v>37.771914281481187</v>
      </c>
      <c r="AG30" s="75">
        <f>IF(Index!AF76=1,0,$H30*$K30*py*Index!AF29*Index!AF170/unit)</f>
        <v>37.771914281481187</v>
      </c>
      <c r="AH30" s="75">
        <f>IF(Index!AG76=1,0,$H30*$K30*py*Index!AG29*Index!AG170/unit)</f>
        <v>38.905071709925615</v>
      </c>
      <c r="AI30" s="75">
        <f>IF(Index!AH76=1,0,$H30*$K30*py*Index!AH29*Index!AH170/unit)</f>
        <v>38.905071709925615</v>
      </c>
      <c r="AJ30" s="75">
        <f>IF(Index!AI76=1,0,$H30*$K30*py*Index!AI29*Index!AI170/unit)</f>
        <v>38.905071709925615</v>
      </c>
      <c r="AK30" s="75">
        <f>IF(Index!AJ76=1,0,$H30*$K30*py*Index!AJ29*Index!AJ170/unit)</f>
        <v>38.905071709925615</v>
      </c>
      <c r="AL30" s="75">
        <f>IF(Index!AK76=1,0,$H30*$K30*py*Index!AK29*Index!AK170/unit)</f>
        <v>38.905071709925615</v>
      </c>
      <c r="AM30" s="75">
        <f>IF(Index!AL76=1,0,$H30*$K30*py*Index!AL29*Index!AL170/unit)</f>
        <v>38.905071709925615</v>
      </c>
      <c r="AN30" s="75">
        <f>IF(Index!AM76=1,0,$H30*$K30*py*Index!AM29*Index!AM170/unit)</f>
        <v>38.905071709925615</v>
      </c>
      <c r="AO30" s="75">
        <f>IF(Index!AN76=1,0,$H30*$K30*py*Index!AN29*Index!AN170/unit)</f>
        <v>38.905071709925615</v>
      </c>
      <c r="AP30" s="75">
        <f>IF(Index!AO76=1,0,$H30*$K30*py*Index!AO29*Index!AO170/unit)</f>
        <v>38.905071709925615</v>
      </c>
      <c r="AQ30" s="75">
        <f>IF(Index!AP76=1,0,$H30*$K30*py*Index!AP29*Index!AP170/unit)</f>
        <v>38.905071709925615</v>
      </c>
      <c r="AR30" s="75">
        <f>IF(Index!AQ76=1,0,$H30*$K30*py*Index!AQ29*Index!AQ170/unit)</f>
        <v>38.905071709925615</v>
      </c>
      <c r="AS30" s="75">
        <f>IF(Index!AR76=1,0,$H30*$K30*py*Index!AR29*Index!AR170/unit)</f>
        <v>38.905071709925615</v>
      </c>
      <c r="AT30" s="75">
        <f>IF(Index!AS76=1,0,$H30*$K30*py*Index!AS29*Index!AS170/unit)</f>
        <v>0</v>
      </c>
      <c r="AU30" s="75">
        <f>IF(Index!AT76=1,0,$H30*$K30*py*Index!AT29*Index!AT170/unit)</f>
        <v>0</v>
      </c>
      <c r="AV30" s="75">
        <f>IF(Index!AU76=1,0,$H30*$K30*py*Index!AU29*Index!AU170/unit)</f>
        <v>0</v>
      </c>
      <c r="AW30" s="75">
        <f>IF(Index!AV76=1,0,$H30*$K30*py*Index!AV29*Index!AV170/unit)</f>
        <v>0</v>
      </c>
      <c r="AX30" s="75">
        <f>IF(Index!AW76=1,0,$H30*$K30*py*Index!AW29*Index!AW170/unit)</f>
        <v>0</v>
      </c>
      <c r="AY30" s="75">
        <f>IF(Index!AX76=1,0,$H30*$K30*py*Index!AX29*Index!AX170/unit)</f>
        <v>0</v>
      </c>
      <c r="AZ30" s="75">
        <f>IF(Index!AY76=1,0,$H30*$K30*py*Index!AY29*Index!AY170/unit)</f>
        <v>0</v>
      </c>
      <c r="BA30" s="75">
        <f>IF(Index!AZ76=1,0,$H30*$K30*py*Index!AZ29*Index!AZ170/unit)</f>
        <v>0</v>
      </c>
      <c r="BB30" s="75">
        <f>IF(Index!BA76=1,0,$H30*$K30*py*Index!BA29*Index!BA170/unit)</f>
        <v>0</v>
      </c>
      <c r="BC30" s="75">
        <f>IF(Index!BB76=1,0,$H30*$K30*py*Index!BB29*Index!BB170/unit)</f>
        <v>0</v>
      </c>
      <c r="BD30" s="75">
        <f>IF(Index!BC76=1,0,$H30*$K30*py*Index!BC29*Index!BC170/unit)</f>
        <v>0</v>
      </c>
      <c r="BE30" s="75">
        <f>IF(Index!BD76=1,0,$H30*$K30*py*Index!BD29*Index!BD170/unit)</f>
        <v>0</v>
      </c>
      <c r="BF30" s="75">
        <f>IF(Index!BE76=1,0,$H30*$K30*py*Index!BE29*Index!BE170/unit)</f>
        <v>0</v>
      </c>
      <c r="BG30" s="75">
        <f>IF(Index!BF76=1,0,$H30*$K30*py*Index!BF29*Index!BF170/unit)</f>
        <v>0</v>
      </c>
      <c r="BH30" s="75">
        <f>IF(Index!BG76=1,0,$H30*$K30*py*Index!BG29*Index!BG170/unit)</f>
        <v>0</v>
      </c>
      <c r="BI30" s="75">
        <f>IF(Index!BH76=1,0,$H30*$K30*py*Index!BH29*Index!BH170/unit)</f>
        <v>0</v>
      </c>
      <c r="BJ30" s="75">
        <f>IF(Index!BI76=1,0,$H30*$K30*py*Index!BI29*Index!BI170/unit)</f>
        <v>0</v>
      </c>
      <c r="BK30" s="75">
        <f>IF(Index!BJ76=1,0,$H30*$K30*py*Index!BJ29*Index!BJ170/unit)</f>
        <v>0</v>
      </c>
      <c r="BL30" s="75">
        <f>IF(Index!BK76=1,0,$H30*$K30*py*Index!BK29*Index!BK170/unit)</f>
        <v>0</v>
      </c>
      <c r="BM30" s="75">
        <f>IF(Index!BL76=1,0,$H30*$K30*py*Index!BL29*Index!BL170/unit)</f>
        <v>0</v>
      </c>
      <c r="BN30" s="75">
        <f>IF(Index!BM76=1,0,$H30*$K30*py*Index!BM29*Index!BM170/unit)</f>
        <v>0</v>
      </c>
      <c r="BO30" s="75">
        <f>IF(Index!BN76=1,0,$H30*$K30*py*Index!BN29*Index!BN170/unit)</f>
        <v>0</v>
      </c>
      <c r="BP30" s="75">
        <f>IF(Index!BO76=1,0,$H30*$K30*py*Index!BO29*Index!BO170/unit)</f>
        <v>0</v>
      </c>
      <c r="BQ30" s="75">
        <f>IF(Index!BP76=1,0,$H30*$K30*py*Index!BP29*Index!BP170/unit)</f>
        <v>0</v>
      </c>
      <c r="BR30" s="75">
        <f>IF(Index!BQ76=1,0,$H30*$K30*py*Index!BQ29*Index!BQ170/unit)</f>
        <v>0</v>
      </c>
      <c r="BS30" s="75">
        <f>IF(Index!BR76=1,0,$H30*$K30*py*Index!BR29*Index!BR170/unit)</f>
        <v>0</v>
      </c>
      <c r="BT30" s="75">
        <f>IF(Index!BS76=1,0,$H30*$K30*py*Index!BS29*Index!BS170/unit)</f>
        <v>0</v>
      </c>
      <c r="BU30" s="75">
        <f>IF(Index!BT76=1,0,$H30*$K30*py*Index!BT29*Index!BT170/unit)</f>
        <v>0</v>
      </c>
      <c r="BV30" s="75">
        <f>IF(Index!BU76=1,0,$H30*$K30*py*Index!BU29*Index!BU170/unit)</f>
        <v>0</v>
      </c>
      <c r="BW30" s="75">
        <f>IF(Index!BV76=1,0,$H30*$K30*py*Index!BV29*Index!BV170/unit)</f>
        <v>0</v>
      </c>
      <c r="BX30" s="75">
        <f>IF(Index!BW76=1,0,$H30*$K30*py*Index!BW29*Index!BW170/unit)</f>
        <v>0</v>
      </c>
      <c r="BY30" s="75">
        <f>IF(Index!BX76=1,0,$H30*$K30*py*Index!BX29*Index!BX170/unit)</f>
        <v>0</v>
      </c>
      <c r="BZ30" s="75">
        <f>IF(Index!BY76=1,0,$H30*$K30*py*Index!BY29*Index!BY170/unit)</f>
        <v>0</v>
      </c>
      <c r="CA30" s="75">
        <f>IF(Index!BZ76=1,0,$H30*$K30*py*Index!BZ29*Index!BZ170/unit)</f>
        <v>0</v>
      </c>
      <c r="CB30" s="75">
        <f>IF(Index!CA76=1,0,$H30*$K30*py*Index!CA29*Index!CA170/unit)</f>
        <v>0</v>
      </c>
      <c r="CC30" s="75">
        <f>IF(Index!CB76=1,0,$H30*$K30*py*Index!CB29*Index!CB170/unit)</f>
        <v>0</v>
      </c>
      <c r="CD30" s="75">
        <f>IF(Index!CC76=1,0,$H30*$K30*py*Index!CC29*Index!CC170/unit)</f>
        <v>0</v>
      </c>
      <c r="CE30" s="75">
        <f>IF(Index!CD76=1,0,$H30*$K30*py*Index!CD29*Index!CD170/unit)</f>
        <v>0</v>
      </c>
      <c r="CF30" s="75">
        <f>IF(Index!CE76=1,0,$H30*$K30*py*Index!CE29*Index!CE170/unit)</f>
        <v>0</v>
      </c>
      <c r="CG30" s="75">
        <f>IF(Index!CF76=1,0,$H30*$K30*py*Index!CF29*Index!CF170/unit)</f>
        <v>0</v>
      </c>
      <c r="CH30" s="75">
        <f>IF(Index!CG76=1,0,$H30*$K30*py*Index!CG29*Index!CG170/unit)</f>
        <v>0</v>
      </c>
      <c r="CI30" s="75">
        <f>IF(Index!CH76=1,0,$H30*$K30*py*Index!CH29*Index!CH170/unit)</f>
        <v>0</v>
      </c>
      <c r="CJ30" s="75">
        <f>IF(Index!CI76=1,0,$H30*$K30*py*Index!CI29*Index!CI170/unit)</f>
        <v>0</v>
      </c>
      <c r="CK30" s="75">
        <f>IF(Index!CJ76=1,0,$H30*$K30*py*Index!CJ29*Index!CJ170/unit)</f>
        <v>0</v>
      </c>
      <c r="CL30" s="75">
        <f>IF(Index!CK76=1,0,$H30*$K30*py*Index!CK29*Index!CK170/unit)</f>
        <v>0</v>
      </c>
      <c r="CM30" s="75">
        <f>IF(Index!CL76=1,0,$H30*$K30*py*Index!CL29*Index!CL170/unit)</f>
        <v>0</v>
      </c>
      <c r="CN30" s="75">
        <f>IF(Index!CM76=1,0,$H30*$K30*py*Index!CM29*Index!CM170/unit)</f>
        <v>0</v>
      </c>
      <c r="CO30" s="75">
        <f>IF(Index!CN76=1,0,$H30*$K30*py*Index!CN29*Index!CN170/unit)</f>
        <v>0</v>
      </c>
      <c r="CP30" s="75">
        <f>IF(Index!CO76=1,0,$H30*$K30*py*Index!CO29*Index!CO170/unit)</f>
        <v>0</v>
      </c>
      <c r="CQ30" s="75">
        <f>IF(Index!CP76=1,0,$H30*$K30*py*Index!CP29*Index!CP170/unit)</f>
        <v>0</v>
      </c>
      <c r="CR30" s="75">
        <f>IF(Index!CQ76=1,0,$H30*$K30*py*Index!CQ29*Index!CQ170/unit)</f>
        <v>0</v>
      </c>
      <c r="CS30" s="75">
        <f>IF(Index!CR76=1,0,$H30*$K30*py*Index!CR29*Index!CR170/unit)</f>
        <v>0</v>
      </c>
      <c r="CT30" s="75">
        <f>IF(Index!CS76=1,0,$H30*$K30*py*Index!CS29*Index!CS170/unit)</f>
        <v>0</v>
      </c>
      <c r="CU30" s="75">
        <f>IF(Index!CT76=1,0,$H30*$K30*py*Index!CT29*Index!CT170/unit)</f>
        <v>0</v>
      </c>
      <c r="CV30" s="75">
        <f>IF(Index!CU76=1,0,$H30*$K30*py*Index!CU29*Index!CU170/unit)</f>
        <v>0</v>
      </c>
      <c r="CW30" s="75">
        <f>IF(Index!CV76=1,0,$H30*$K30*py*Index!CV29*Index!CV170/unit)</f>
        <v>0</v>
      </c>
      <c r="CX30" s="75">
        <f>IF(Index!CW76=1,0,$H30*$K30*py*Index!CW29*Index!CW170/unit)</f>
        <v>0</v>
      </c>
      <c r="CY30" s="75">
        <f>IF(Index!CX76=1,0,$H30*$K30*py*Index!CX29*Index!CX170/unit)</f>
        <v>0</v>
      </c>
      <c r="CZ30" s="75">
        <f>IF(Index!CY76=1,0,$H30*$K30*py*Index!CY29*Index!CY170/unit)</f>
        <v>0</v>
      </c>
      <c r="DA30" s="75">
        <f>IF(Index!CZ76=1,0,$H30*$K30*py*Index!CZ29*Index!CZ170/unit)</f>
        <v>0</v>
      </c>
      <c r="DB30" s="75">
        <f>IF(Index!DA76=1,0,$H30*$K30*py*Index!DA29*Index!DA170/unit)</f>
        <v>0</v>
      </c>
      <c r="DC30" s="75">
        <f>IF(Index!DB76=1,0,$H30*$K30*py*Index!DB29*Index!DB170/unit)</f>
        <v>0</v>
      </c>
      <c r="DD30" s="75">
        <f>IF(Index!DC76=1,0,$H30*$K30*py*Index!DC29*Index!DC170/unit)</f>
        <v>0</v>
      </c>
      <c r="DE30" s="75">
        <f>IF(Index!DD76=1,0,$H30*$K30*py*Index!DD29*Index!DD170/unit)</f>
        <v>0</v>
      </c>
      <c r="DF30" s="75">
        <f>IF(Index!DE76=1,0,$H30*$K30*py*Index!DE29*Index!DE170/unit)</f>
        <v>0</v>
      </c>
      <c r="DG30" s="75">
        <f>IF(Index!DF76=1,0,$H30*$K30*py*Index!DF29*Index!DF170/unit)</f>
        <v>0</v>
      </c>
      <c r="DH30" s="75">
        <f>IF(Index!DG76=1,0,$H30*$K30*py*Index!DG29*Index!DG170/unit)</f>
        <v>0</v>
      </c>
      <c r="DI30" s="75">
        <f>IF(Index!DH76=1,0,$H30*$K30*py*Index!DH29*Index!DH170/unit)</f>
        <v>0</v>
      </c>
      <c r="DJ30" s="75">
        <f>IF(Index!DI76=1,0,$H30*$K30*py*Index!DI29*Index!DI170/unit)</f>
        <v>0</v>
      </c>
      <c r="DK30" s="75">
        <f>IF(Index!DJ76=1,0,$H30*$K30*py*Index!DJ29*Index!DJ170/unit)</f>
        <v>0</v>
      </c>
      <c r="DL30" s="75">
        <f>IF(Index!DK76=1,0,$H30*$K30*py*Index!DK29*Index!DK170/unit)</f>
        <v>0</v>
      </c>
      <c r="DM30" s="75">
        <f>IF(Index!DL76=1,0,$H30*$K30*py*Index!DL29*Index!DL170/unit)</f>
        <v>0</v>
      </c>
    </row>
    <row r="31" spans="2:117">
      <c r="B31" s="27">
        <f>Rentroll!$C$22</f>
        <v>6</v>
      </c>
      <c r="C31" s="69" t="str">
        <f>VLOOKUP($B31,Rentroll!$C$11:$X$29,3,FALSE)</f>
        <v>오토 커머셜</v>
      </c>
      <c r="D31" s="80">
        <f>VLOOKUP($B31,Rentroll!$C$11:$X$29,9,FALSE)</f>
        <v>44651</v>
      </c>
      <c r="E31" s="80">
        <f>VLOOKUP($B31,Rentroll!$C$11:$X$29,10,FALSE)</f>
        <v>46476</v>
      </c>
      <c r="F31" s="81">
        <f>VLOOKUP($B31,Rentroll!$C$11:$X$29,11,FALSE)</f>
        <v>60</v>
      </c>
      <c r="G31" s="69">
        <f>VLOOKUP($B31,Rentroll!$C$11:$X$29,13,FALSE)</f>
        <v>95481</v>
      </c>
      <c r="H31" s="69">
        <f>VLOOKUP($B31,Rentroll!$C$11:$X$29,14,FALSE)</f>
        <v>87524.25</v>
      </c>
      <c r="I31" s="69">
        <f>VLOOKUP($B31,Rentroll!$C$11:$X$29,15,FALSE)</f>
        <v>42436</v>
      </c>
      <c r="J31" s="82">
        <f>VLOOKUP($B31,Rentroll!$C$11:$X$29,19,FALSE)</f>
        <v>0.03</v>
      </c>
      <c r="K31" s="83">
        <f>VLOOKUP($B31,Rentroll!$C$11:$X$29,4,FALSE)</f>
        <v>1385.09</v>
      </c>
      <c r="L31" s="81">
        <f>VLOOKUP($B31,Rentroll!$C$11:$X$29,17,FALSE)</f>
        <v>0</v>
      </c>
      <c r="M31" s="84">
        <f>VLOOKUP($B31,Rentroll!$C$11:$X$29,18,FALSE)</f>
        <v>1</v>
      </c>
      <c r="O31" s="74">
        <f t="shared" si="12"/>
        <v>6</v>
      </c>
      <c r="P31" s="75"/>
      <c r="Q31" s="75">
        <f t="shared" si="13"/>
        <v>993.4673547735448</v>
      </c>
      <c r="R31" s="75"/>
      <c r="S31" s="75">
        <f>IF(Index!R77=1,0,$H31*$K31*py*Index!R30*Index!R171/unit)</f>
        <v>0</v>
      </c>
      <c r="T31" s="75">
        <f>IF(Index!S77=1,0,$H31*$K31*py*Index!S30*Index!S171/unit)</f>
        <v>36.671761438331245</v>
      </c>
      <c r="U31" s="75">
        <f>IF(Index!T77=1,0,$H31*$K31*py*Index!T30*Index!T171/unit)</f>
        <v>36.671761438331245</v>
      </c>
      <c r="V31" s="75">
        <f>IF(Index!U77=1,0,$H31*$K31*py*Index!U30*Index!U171/unit)</f>
        <v>37.771914281481187</v>
      </c>
      <c r="W31" s="75">
        <f>IF(Index!V77=1,0,$H31*$K31*py*Index!V30*Index!V171/unit)</f>
        <v>37.771914281481187</v>
      </c>
      <c r="X31" s="75">
        <f>IF(Index!W77=1,0,$H31*$K31*py*Index!W30*Index!W171/unit)</f>
        <v>37.771914281481187</v>
      </c>
      <c r="Y31" s="75">
        <f>IF(Index!X77=1,0,$H31*$K31*py*Index!X30*Index!X171/unit)</f>
        <v>37.771914281481187</v>
      </c>
      <c r="Z31" s="75">
        <f>IF(Index!Y77=1,0,$H31*$K31*py*Index!Y30*Index!Y171/unit)</f>
        <v>37.771914281481187</v>
      </c>
      <c r="AA31" s="75">
        <f>IF(Index!Z77=1,0,$H31*$K31*py*Index!Z30*Index!Z171/unit)</f>
        <v>37.771914281481187</v>
      </c>
      <c r="AB31" s="75">
        <f>IF(Index!AA77=1,0,$H31*$K31*py*Index!AA30*Index!AA171/unit)</f>
        <v>37.771914281481187</v>
      </c>
      <c r="AC31" s="75">
        <f>IF(Index!AB77=1,0,$H31*$K31*py*Index!AB30*Index!AB171/unit)</f>
        <v>37.771914281481187</v>
      </c>
      <c r="AD31" s="75">
        <f>IF(Index!AC77=1,0,$H31*$K31*py*Index!AC30*Index!AC171/unit)</f>
        <v>37.771914281481187</v>
      </c>
      <c r="AE31" s="75">
        <f>IF(Index!AD77=1,0,$H31*$K31*py*Index!AD30*Index!AD171/unit)</f>
        <v>37.771914281481187</v>
      </c>
      <c r="AF31" s="75">
        <f>IF(Index!AE77=1,0,$H31*$K31*py*Index!AE30*Index!AE171/unit)</f>
        <v>37.771914281481187</v>
      </c>
      <c r="AG31" s="75">
        <f>IF(Index!AF77=1,0,$H31*$K31*py*Index!AF30*Index!AF171/unit)</f>
        <v>37.771914281481187</v>
      </c>
      <c r="AH31" s="75">
        <f>IF(Index!AG77=1,0,$H31*$K31*py*Index!AG30*Index!AG171/unit)</f>
        <v>38.905071709925615</v>
      </c>
      <c r="AI31" s="75">
        <f>IF(Index!AH77=1,0,$H31*$K31*py*Index!AH30*Index!AH171/unit)</f>
        <v>38.905071709925615</v>
      </c>
      <c r="AJ31" s="75">
        <f>IF(Index!AI77=1,0,$H31*$K31*py*Index!AI30*Index!AI171/unit)</f>
        <v>38.905071709925615</v>
      </c>
      <c r="AK31" s="75">
        <f>IF(Index!AJ77=1,0,$H31*$K31*py*Index!AJ30*Index!AJ171/unit)</f>
        <v>38.905071709925615</v>
      </c>
      <c r="AL31" s="75">
        <f>IF(Index!AK77=1,0,$H31*$K31*py*Index!AK30*Index!AK171/unit)</f>
        <v>38.905071709925615</v>
      </c>
      <c r="AM31" s="75">
        <f>IF(Index!AL77=1,0,$H31*$K31*py*Index!AL30*Index!AL171/unit)</f>
        <v>38.905071709925615</v>
      </c>
      <c r="AN31" s="75">
        <f>IF(Index!AM77=1,0,$H31*$K31*py*Index!AM30*Index!AM171/unit)</f>
        <v>38.905071709925615</v>
      </c>
      <c r="AO31" s="75">
        <f>IF(Index!AN77=1,0,$H31*$K31*py*Index!AN30*Index!AN171/unit)</f>
        <v>38.905071709925615</v>
      </c>
      <c r="AP31" s="75">
        <f>IF(Index!AO77=1,0,$H31*$K31*py*Index!AO30*Index!AO171/unit)</f>
        <v>38.905071709925615</v>
      </c>
      <c r="AQ31" s="75">
        <f>IF(Index!AP77=1,0,$H31*$K31*py*Index!AP30*Index!AP171/unit)</f>
        <v>38.905071709925615</v>
      </c>
      <c r="AR31" s="75">
        <f>IF(Index!AQ77=1,0,$H31*$K31*py*Index!AQ30*Index!AQ171/unit)</f>
        <v>38.905071709925615</v>
      </c>
      <c r="AS31" s="75">
        <f>IF(Index!AR77=1,0,$H31*$K31*py*Index!AR30*Index!AR171/unit)</f>
        <v>38.905071709925615</v>
      </c>
      <c r="AT31" s="75">
        <f>IF(Index!AS77=1,0,$H31*$K31*py*Index!AS30*Index!AS171/unit)</f>
        <v>0</v>
      </c>
      <c r="AU31" s="75">
        <f>IF(Index!AT77=1,0,$H31*$K31*py*Index!AT30*Index!AT171/unit)</f>
        <v>0</v>
      </c>
      <c r="AV31" s="75">
        <f>IF(Index!AU77=1,0,$H31*$K31*py*Index!AU30*Index!AU171/unit)</f>
        <v>0</v>
      </c>
      <c r="AW31" s="75">
        <f>IF(Index!AV77=1,0,$H31*$K31*py*Index!AV30*Index!AV171/unit)</f>
        <v>0</v>
      </c>
      <c r="AX31" s="75">
        <f>IF(Index!AW77=1,0,$H31*$K31*py*Index!AW30*Index!AW171/unit)</f>
        <v>0</v>
      </c>
      <c r="AY31" s="75">
        <f>IF(Index!AX77=1,0,$H31*$K31*py*Index!AX30*Index!AX171/unit)</f>
        <v>0</v>
      </c>
      <c r="AZ31" s="75">
        <f>IF(Index!AY77=1,0,$H31*$K31*py*Index!AY30*Index!AY171/unit)</f>
        <v>0</v>
      </c>
      <c r="BA31" s="75">
        <f>IF(Index!AZ77=1,0,$H31*$K31*py*Index!AZ30*Index!AZ171/unit)</f>
        <v>0</v>
      </c>
      <c r="BB31" s="75">
        <f>IF(Index!BA77=1,0,$H31*$K31*py*Index!BA30*Index!BA171/unit)</f>
        <v>0</v>
      </c>
      <c r="BC31" s="75">
        <f>IF(Index!BB77=1,0,$H31*$K31*py*Index!BB30*Index!BB171/unit)</f>
        <v>0</v>
      </c>
      <c r="BD31" s="75">
        <f>IF(Index!BC77=1,0,$H31*$K31*py*Index!BC30*Index!BC171/unit)</f>
        <v>0</v>
      </c>
      <c r="BE31" s="75">
        <f>IF(Index!BD77=1,0,$H31*$K31*py*Index!BD30*Index!BD171/unit)</f>
        <v>0</v>
      </c>
      <c r="BF31" s="75">
        <f>IF(Index!BE77=1,0,$H31*$K31*py*Index!BE30*Index!BE171/unit)</f>
        <v>0</v>
      </c>
      <c r="BG31" s="75">
        <f>IF(Index!BF77=1,0,$H31*$K31*py*Index!BF30*Index!BF171/unit)</f>
        <v>0</v>
      </c>
      <c r="BH31" s="75">
        <f>IF(Index!BG77=1,0,$H31*$K31*py*Index!BG30*Index!BG171/unit)</f>
        <v>0</v>
      </c>
      <c r="BI31" s="75">
        <f>IF(Index!BH77=1,0,$H31*$K31*py*Index!BH30*Index!BH171/unit)</f>
        <v>0</v>
      </c>
      <c r="BJ31" s="75">
        <f>IF(Index!BI77=1,0,$H31*$K31*py*Index!BI30*Index!BI171/unit)</f>
        <v>0</v>
      </c>
      <c r="BK31" s="75">
        <f>IF(Index!BJ77=1,0,$H31*$K31*py*Index!BJ30*Index!BJ171/unit)</f>
        <v>0</v>
      </c>
      <c r="BL31" s="75">
        <f>IF(Index!BK77=1,0,$H31*$K31*py*Index!BK30*Index!BK171/unit)</f>
        <v>0</v>
      </c>
      <c r="BM31" s="75">
        <f>IF(Index!BL77=1,0,$H31*$K31*py*Index!BL30*Index!BL171/unit)</f>
        <v>0</v>
      </c>
      <c r="BN31" s="75">
        <f>IF(Index!BM77=1,0,$H31*$K31*py*Index!BM30*Index!BM171/unit)</f>
        <v>0</v>
      </c>
      <c r="BO31" s="75">
        <f>IF(Index!BN77=1,0,$H31*$K31*py*Index!BN30*Index!BN171/unit)</f>
        <v>0</v>
      </c>
      <c r="BP31" s="75">
        <f>IF(Index!BO77=1,0,$H31*$K31*py*Index!BO30*Index!BO171/unit)</f>
        <v>0</v>
      </c>
      <c r="BQ31" s="75">
        <f>IF(Index!BP77=1,0,$H31*$K31*py*Index!BP30*Index!BP171/unit)</f>
        <v>0</v>
      </c>
      <c r="BR31" s="75">
        <f>IF(Index!BQ77=1,0,$H31*$K31*py*Index!BQ30*Index!BQ171/unit)</f>
        <v>0</v>
      </c>
      <c r="BS31" s="75">
        <f>IF(Index!BR77=1,0,$H31*$K31*py*Index!BR30*Index!BR171/unit)</f>
        <v>0</v>
      </c>
      <c r="BT31" s="75">
        <f>IF(Index!BS77=1,0,$H31*$K31*py*Index!BS30*Index!BS171/unit)</f>
        <v>0</v>
      </c>
      <c r="BU31" s="75">
        <f>IF(Index!BT77=1,0,$H31*$K31*py*Index!BT30*Index!BT171/unit)</f>
        <v>0</v>
      </c>
      <c r="BV31" s="75">
        <f>IF(Index!BU77=1,0,$H31*$K31*py*Index!BU30*Index!BU171/unit)</f>
        <v>0</v>
      </c>
      <c r="BW31" s="75">
        <f>IF(Index!BV77=1,0,$H31*$K31*py*Index!BV30*Index!BV171/unit)</f>
        <v>0</v>
      </c>
      <c r="BX31" s="75">
        <f>IF(Index!BW77=1,0,$H31*$K31*py*Index!BW30*Index!BW171/unit)</f>
        <v>0</v>
      </c>
      <c r="BY31" s="75">
        <f>IF(Index!BX77=1,0,$H31*$K31*py*Index!BX30*Index!BX171/unit)</f>
        <v>0</v>
      </c>
      <c r="BZ31" s="75">
        <f>IF(Index!BY77=1,0,$H31*$K31*py*Index!BY30*Index!BY171/unit)</f>
        <v>0</v>
      </c>
      <c r="CA31" s="75">
        <f>IF(Index!BZ77=1,0,$H31*$K31*py*Index!BZ30*Index!BZ171/unit)</f>
        <v>0</v>
      </c>
      <c r="CB31" s="75">
        <f>IF(Index!CA77=1,0,$H31*$K31*py*Index!CA30*Index!CA171/unit)</f>
        <v>0</v>
      </c>
      <c r="CC31" s="75">
        <f>IF(Index!CB77=1,0,$H31*$K31*py*Index!CB30*Index!CB171/unit)</f>
        <v>0</v>
      </c>
      <c r="CD31" s="75">
        <f>IF(Index!CC77=1,0,$H31*$K31*py*Index!CC30*Index!CC171/unit)</f>
        <v>0</v>
      </c>
      <c r="CE31" s="75">
        <f>IF(Index!CD77=1,0,$H31*$K31*py*Index!CD30*Index!CD171/unit)</f>
        <v>0</v>
      </c>
      <c r="CF31" s="75">
        <f>IF(Index!CE77=1,0,$H31*$K31*py*Index!CE30*Index!CE171/unit)</f>
        <v>0</v>
      </c>
      <c r="CG31" s="75">
        <f>IF(Index!CF77=1,0,$H31*$K31*py*Index!CF30*Index!CF171/unit)</f>
        <v>0</v>
      </c>
      <c r="CH31" s="75">
        <f>IF(Index!CG77=1,0,$H31*$K31*py*Index!CG30*Index!CG171/unit)</f>
        <v>0</v>
      </c>
      <c r="CI31" s="75">
        <f>IF(Index!CH77=1,0,$H31*$K31*py*Index!CH30*Index!CH171/unit)</f>
        <v>0</v>
      </c>
      <c r="CJ31" s="75">
        <f>IF(Index!CI77=1,0,$H31*$K31*py*Index!CI30*Index!CI171/unit)</f>
        <v>0</v>
      </c>
      <c r="CK31" s="75">
        <f>IF(Index!CJ77=1,0,$H31*$K31*py*Index!CJ30*Index!CJ171/unit)</f>
        <v>0</v>
      </c>
      <c r="CL31" s="75">
        <f>IF(Index!CK77=1,0,$H31*$K31*py*Index!CK30*Index!CK171/unit)</f>
        <v>0</v>
      </c>
      <c r="CM31" s="75">
        <f>IF(Index!CL77=1,0,$H31*$K31*py*Index!CL30*Index!CL171/unit)</f>
        <v>0</v>
      </c>
      <c r="CN31" s="75">
        <f>IF(Index!CM77=1,0,$H31*$K31*py*Index!CM30*Index!CM171/unit)</f>
        <v>0</v>
      </c>
      <c r="CO31" s="75">
        <f>IF(Index!CN77=1,0,$H31*$K31*py*Index!CN30*Index!CN171/unit)</f>
        <v>0</v>
      </c>
      <c r="CP31" s="75">
        <f>IF(Index!CO77=1,0,$H31*$K31*py*Index!CO30*Index!CO171/unit)</f>
        <v>0</v>
      </c>
      <c r="CQ31" s="75">
        <f>IF(Index!CP77=1,0,$H31*$K31*py*Index!CP30*Index!CP171/unit)</f>
        <v>0</v>
      </c>
      <c r="CR31" s="75">
        <f>IF(Index!CQ77=1,0,$H31*$K31*py*Index!CQ30*Index!CQ171/unit)</f>
        <v>0</v>
      </c>
      <c r="CS31" s="75">
        <f>IF(Index!CR77=1,0,$H31*$K31*py*Index!CR30*Index!CR171/unit)</f>
        <v>0</v>
      </c>
      <c r="CT31" s="75">
        <f>IF(Index!CS77=1,0,$H31*$K31*py*Index!CS30*Index!CS171/unit)</f>
        <v>0</v>
      </c>
      <c r="CU31" s="75">
        <f>IF(Index!CT77=1,0,$H31*$K31*py*Index!CT30*Index!CT171/unit)</f>
        <v>0</v>
      </c>
      <c r="CV31" s="75">
        <f>IF(Index!CU77=1,0,$H31*$K31*py*Index!CU30*Index!CU171/unit)</f>
        <v>0</v>
      </c>
      <c r="CW31" s="75">
        <f>IF(Index!CV77=1,0,$H31*$K31*py*Index!CV30*Index!CV171/unit)</f>
        <v>0</v>
      </c>
      <c r="CX31" s="75">
        <f>IF(Index!CW77=1,0,$H31*$K31*py*Index!CW30*Index!CW171/unit)</f>
        <v>0</v>
      </c>
      <c r="CY31" s="75">
        <f>IF(Index!CX77=1,0,$H31*$K31*py*Index!CX30*Index!CX171/unit)</f>
        <v>0</v>
      </c>
      <c r="CZ31" s="75">
        <f>IF(Index!CY77=1,0,$H31*$K31*py*Index!CY30*Index!CY171/unit)</f>
        <v>0</v>
      </c>
      <c r="DA31" s="75">
        <f>IF(Index!CZ77=1,0,$H31*$K31*py*Index!CZ30*Index!CZ171/unit)</f>
        <v>0</v>
      </c>
      <c r="DB31" s="75">
        <f>IF(Index!DA77=1,0,$H31*$K31*py*Index!DA30*Index!DA171/unit)</f>
        <v>0</v>
      </c>
      <c r="DC31" s="75">
        <f>IF(Index!DB77=1,0,$H31*$K31*py*Index!DB30*Index!DB171/unit)</f>
        <v>0</v>
      </c>
      <c r="DD31" s="75">
        <f>IF(Index!DC77=1,0,$H31*$K31*py*Index!DC30*Index!DC171/unit)</f>
        <v>0</v>
      </c>
      <c r="DE31" s="75">
        <f>IF(Index!DD77=1,0,$H31*$K31*py*Index!DD30*Index!DD171/unit)</f>
        <v>0</v>
      </c>
      <c r="DF31" s="75">
        <f>IF(Index!DE77=1,0,$H31*$K31*py*Index!DE30*Index!DE171/unit)</f>
        <v>0</v>
      </c>
      <c r="DG31" s="75">
        <f>IF(Index!DF77=1,0,$H31*$K31*py*Index!DF30*Index!DF171/unit)</f>
        <v>0</v>
      </c>
      <c r="DH31" s="75">
        <f>IF(Index!DG77=1,0,$H31*$K31*py*Index!DG30*Index!DG171/unit)</f>
        <v>0</v>
      </c>
      <c r="DI31" s="75">
        <f>IF(Index!DH77=1,0,$H31*$K31*py*Index!DH30*Index!DH171/unit)</f>
        <v>0</v>
      </c>
      <c r="DJ31" s="75">
        <f>IF(Index!DI77=1,0,$H31*$K31*py*Index!DI30*Index!DI171/unit)</f>
        <v>0</v>
      </c>
      <c r="DK31" s="75">
        <f>IF(Index!DJ77=1,0,$H31*$K31*py*Index!DJ30*Index!DJ171/unit)</f>
        <v>0</v>
      </c>
      <c r="DL31" s="75">
        <f>IF(Index!DK77=1,0,$H31*$K31*py*Index!DK30*Index!DK171/unit)</f>
        <v>0</v>
      </c>
      <c r="DM31" s="75">
        <f>IF(Index!DL77=1,0,$H31*$K31*py*Index!DL30*Index!DL171/unit)</f>
        <v>0</v>
      </c>
    </row>
    <row r="32" spans="2:117">
      <c r="B32" s="27">
        <f>Rentroll!$C$23</f>
        <v>5</v>
      </c>
      <c r="C32" s="69" t="str">
        <f>VLOOKUP($B32,Rentroll!$C$11:$X$29,3,FALSE)</f>
        <v>공실</v>
      </c>
      <c r="D32" s="80"/>
      <c r="E32" s="80"/>
      <c r="F32" s="81">
        <f>VLOOKUP($B32,Rentroll!$C$11:$X$29,11,FALSE)</f>
        <v>0</v>
      </c>
      <c r="G32" s="69">
        <f>VLOOKUP($B32,Rentroll!$C$11:$X$29,13,FALSE)</f>
        <v>0</v>
      </c>
      <c r="H32" s="69">
        <f>VLOOKUP($B32,Rentroll!$C$11:$X$29,14,FALSE)</f>
        <v>0</v>
      </c>
      <c r="I32" s="69">
        <f>VLOOKUP($B32,Rentroll!$C$11:$X$29,15,FALSE)</f>
        <v>0</v>
      </c>
      <c r="J32" s="82">
        <f>VLOOKUP($B32,Rentroll!$C$11:$X$29,19,FALSE)</f>
        <v>0</v>
      </c>
      <c r="K32" s="83">
        <f>VLOOKUP($B32,Rentroll!$C$11:$X$29,4,FALSE)</f>
        <v>1385.09</v>
      </c>
      <c r="L32" s="81">
        <f>VLOOKUP($B32,Rentroll!$C$11:$X$29,17,FALSE)</f>
        <v>0</v>
      </c>
      <c r="M32" s="84">
        <f>VLOOKUP($B32,Rentroll!$C$11:$X$29,18,FALSE)</f>
        <v>0</v>
      </c>
      <c r="O32" s="74">
        <f t="shared" si="12"/>
        <v>5</v>
      </c>
      <c r="P32" s="75"/>
      <c r="Q32" s="75">
        <f t="shared" si="13"/>
        <v>0</v>
      </c>
      <c r="R32" s="75"/>
      <c r="S32" s="75">
        <f>IF(Index!R78=1,0,$H32*$K32*py*Index!R31*Index!R172/unit)</f>
        <v>0</v>
      </c>
      <c r="T32" s="75">
        <f>IF(Index!S78=1,0,$H32*$K32*py*Index!S31*Index!S172/unit)</f>
        <v>0</v>
      </c>
      <c r="U32" s="75">
        <f>IF(Index!T78=1,0,$H32*$K32*py*Index!T31*Index!T172/unit)</f>
        <v>0</v>
      </c>
      <c r="V32" s="75">
        <f>IF(Index!U78=1,0,$H32*$K32*py*Index!U31*Index!U172/unit)</f>
        <v>0</v>
      </c>
      <c r="W32" s="75">
        <f>IF(Index!V78=1,0,$H32*$K32*py*Index!V31*Index!V172/unit)</f>
        <v>0</v>
      </c>
      <c r="X32" s="75">
        <f>IF(Index!W78=1,0,$H32*$K32*py*Index!W31*Index!W172/unit)</f>
        <v>0</v>
      </c>
      <c r="Y32" s="75">
        <f>IF(Index!X78=1,0,$H32*$K32*py*Index!X31*Index!X172/unit)</f>
        <v>0</v>
      </c>
      <c r="Z32" s="75">
        <f>IF(Index!Y78=1,0,$H32*$K32*py*Index!Y31*Index!Y172/unit)</f>
        <v>0</v>
      </c>
      <c r="AA32" s="75">
        <f>IF(Index!Z78=1,0,$H32*$K32*py*Index!Z31*Index!Z172/unit)</f>
        <v>0</v>
      </c>
      <c r="AB32" s="75">
        <f>IF(Index!AA78=1,0,$H32*$K32*py*Index!AA31*Index!AA172/unit)</f>
        <v>0</v>
      </c>
      <c r="AC32" s="75">
        <f>IF(Index!AB78=1,0,$H32*$K32*py*Index!AB31*Index!AB172/unit)</f>
        <v>0</v>
      </c>
      <c r="AD32" s="75">
        <f>IF(Index!AC78=1,0,$H32*$K32*py*Index!AC31*Index!AC172/unit)</f>
        <v>0</v>
      </c>
      <c r="AE32" s="75">
        <f>IF(Index!AD78=1,0,$H32*$K32*py*Index!AD31*Index!AD172/unit)</f>
        <v>0</v>
      </c>
      <c r="AF32" s="75">
        <f>IF(Index!AE78=1,0,$H32*$K32*py*Index!AE31*Index!AE172/unit)</f>
        <v>0</v>
      </c>
      <c r="AG32" s="75">
        <f>IF(Index!AF78=1,0,$H32*$K32*py*Index!AF31*Index!AF172/unit)</f>
        <v>0</v>
      </c>
      <c r="AH32" s="75">
        <f>IF(Index!AG78=1,0,$H32*$K32*py*Index!AG31*Index!AG172/unit)</f>
        <v>0</v>
      </c>
      <c r="AI32" s="75">
        <f>IF(Index!AH78=1,0,$H32*$K32*py*Index!AH31*Index!AH172/unit)</f>
        <v>0</v>
      </c>
      <c r="AJ32" s="75">
        <f>IF(Index!AI78=1,0,$H32*$K32*py*Index!AI31*Index!AI172/unit)</f>
        <v>0</v>
      </c>
      <c r="AK32" s="75">
        <f>IF(Index!AJ78=1,0,$H32*$K32*py*Index!AJ31*Index!AJ172/unit)</f>
        <v>0</v>
      </c>
      <c r="AL32" s="75">
        <f>IF(Index!AK78=1,0,$H32*$K32*py*Index!AK31*Index!AK172/unit)</f>
        <v>0</v>
      </c>
      <c r="AM32" s="75">
        <f>IF(Index!AL78=1,0,$H32*$K32*py*Index!AL31*Index!AL172/unit)</f>
        <v>0</v>
      </c>
      <c r="AN32" s="75">
        <f>IF(Index!AM78=1,0,$H32*$K32*py*Index!AM31*Index!AM172/unit)</f>
        <v>0</v>
      </c>
      <c r="AO32" s="75">
        <f>IF(Index!AN78=1,0,$H32*$K32*py*Index!AN31*Index!AN172/unit)</f>
        <v>0</v>
      </c>
      <c r="AP32" s="75">
        <f>IF(Index!AO78=1,0,$H32*$K32*py*Index!AO31*Index!AO172/unit)</f>
        <v>0</v>
      </c>
      <c r="AQ32" s="75">
        <f>IF(Index!AP78=1,0,$H32*$K32*py*Index!AP31*Index!AP172/unit)</f>
        <v>0</v>
      </c>
      <c r="AR32" s="75">
        <f>IF(Index!AQ78=1,0,$H32*$K32*py*Index!AQ31*Index!AQ172/unit)</f>
        <v>0</v>
      </c>
      <c r="AS32" s="75">
        <f>IF(Index!AR78=1,0,$H32*$K32*py*Index!AR31*Index!AR172/unit)</f>
        <v>0</v>
      </c>
      <c r="AT32" s="75">
        <f>IF(Index!AS78=1,0,$H32*$K32*py*Index!AS31*Index!AS172/unit)</f>
        <v>0</v>
      </c>
      <c r="AU32" s="75">
        <f>IF(Index!AT78=1,0,$H32*$K32*py*Index!AT31*Index!AT172/unit)</f>
        <v>0</v>
      </c>
      <c r="AV32" s="75">
        <f>IF(Index!AU78=1,0,$H32*$K32*py*Index!AU31*Index!AU172/unit)</f>
        <v>0</v>
      </c>
      <c r="AW32" s="75">
        <f>IF(Index!AV78=1,0,$H32*$K32*py*Index!AV31*Index!AV172/unit)</f>
        <v>0</v>
      </c>
      <c r="AX32" s="75">
        <f>IF(Index!AW78=1,0,$H32*$K32*py*Index!AW31*Index!AW172/unit)</f>
        <v>0</v>
      </c>
      <c r="AY32" s="75">
        <f>IF(Index!AX78=1,0,$H32*$K32*py*Index!AX31*Index!AX172/unit)</f>
        <v>0</v>
      </c>
      <c r="AZ32" s="75">
        <f>IF(Index!AY78=1,0,$H32*$K32*py*Index!AY31*Index!AY172/unit)</f>
        <v>0</v>
      </c>
      <c r="BA32" s="75">
        <f>IF(Index!AZ78=1,0,$H32*$K32*py*Index!AZ31*Index!AZ172/unit)</f>
        <v>0</v>
      </c>
      <c r="BB32" s="75">
        <f>IF(Index!BA78=1,0,$H32*$K32*py*Index!BA31*Index!BA172/unit)</f>
        <v>0</v>
      </c>
      <c r="BC32" s="75">
        <f>IF(Index!BB78=1,0,$H32*$K32*py*Index!BB31*Index!BB172/unit)</f>
        <v>0</v>
      </c>
      <c r="BD32" s="75">
        <f>IF(Index!BC78=1,0,$H32*$K32*py*Index!BC31*Index!BC172/unit)</f>
        <v>0</v>
      </c>
      <c r="BE32" s="75">
        <f>IF(Index!BD78=1,0,$H32*$K32*py*Index!BD31*Index!BD172/unit)</f>
        <v>0</v>
      </c>
      <c r="BF32" s="75">
        <f>IF(Index!BE78=1,0,$H32*$K32*py*Index!BE31*Index!BE172/unit)</f>
        <v>0</v>
      </c>
      <c r="BG32" s="75">
        <f>IF(Index!BF78=1,0,$H32*$K32*py*Index!BF31*Index!BF172/unit)</f>
        <v>0</v>
      </c>
      <c r="BH32" s="75">
        <f>IF(Index!BG78=1,0,$H32*$K32*py*Index!BG31*Index!BG172/unit)</f>
        <v>0</v>
      </c>
      <c r="BI32" s="75">
        <f>IF(Index!BH78=1,0,$H32*$K32*py*Index!BH31*Index!BH172/unit)</f>
        <v>0</v>
      </c>
      <c r="BJ32" s="75">
        <f>IF(Index!BI78=1,0,$H32*$K32*py*Index!BI31*Index!BI172/unit)</f>
        <v>0</v>
      </c>
      <c r="BK32" s="75">
        <f>IF(Index!BJ78=1,0,$H32*$K32*py*Index!BJ31*Index!BJ172/unit)</f>
        <v>0</v>
      </c>
      <c r="BL32" s="75">
        <f>IF(Index!BK78=1,0,$H32*$K32*py*Index!BK31*Index!BK172/unit)</f>
        <v>0</v>
      </c>
      <c r="BM32" s="75">
        <f>IF(Index!BL78=1,0,$H32*$K32*py*Index!BL31*Index!BL172/unit)</f>
        <v>0</v>
      </c>
      <c r="BN32" s="75">
        <f>IF(Index!BM78=1,0,$H32*$K32*py*Index!BM31*Index!BM172/unit)</f>
        <v>0</v>
      </c>
      <c r="BO32" s="75">
        <f>IF(Index!BN78=1,0,$H32*$K32*py*Index!BN31*Index!BN172/unit)</f>
        <v>0</v>
      </c>
      <c r="BP32" s="75">
        <f>IF(Index!BO78=1,0,$H32*$K32*py*Index!BO31*Index!BO172/unit)</f>
        <v>0</v>
      </c>
      <c r="BQ32" s="75">
        <f>IF(Index!BP78=1,0,$H32*$K32*py*Index!BP31*Index!BP172/unit)</f>
        <v>0</v>
      </c>
      <c r="BR32" s="75">
        <f>IF(Index!BQ78=1,0,$H32*$K32*py*Index!BQ31*Index!BQ172/unit)</f>
        <v>0</v>
      </c>
      <c r="BS32" s="75">
        <f>IF(Index!BR78=1,0,$H32*$K32*py*Index!BR31*Index!BR172/unit)</f>
        <v>0</v>
      </c>
      <c r="BT32" s="75">
        <f>IF(Index!BS78=1,0,$H32*$K32*py*Index!BS31*Index!BS172/unit)</f>
        <v>0</v>
      </c>
      <c r="BU32" s="75">
        <f>IF(Index!BT78=1,0,$H32*$K32*py*Index!BT31*Index!BT172/unit)</f>
        <v>0</v>
      </c>
      <c r="BV32" s="75">
        <f>IF(Index!BU78=1,0,$H32*$K32*py*Index!BU31*Index!BU172/unit)</f>
        <v>0</v>
      </c>
      <c r="BW32" s="75">
        <f>IF(Index!BV78=1,0,$H32*$K32*py*Index!BV31*Index!BV172/unit)</f>
        <v>0</v>
      </c>
      <c r="BX32" s="75">
        <f>IF(Index!BW78=1,0,$H32*$K32*py*Index!BW31*Index!BW172/unit)</f>
        <v>0</v>
      </c>
      <c r="BY32" s="75">
        <f>IF(Index!BX78=1,0,$H32*$K32*py*Index!BX31*Index!BX172/unit)</f>
        <v>0</v>
      </c>
      <c r="BZ32" s="75">
        <f>IF(Index!BY78=1,0,$H32*$K32*py*Index!BY31*Index!BY172/unit)</f>
        <v>0</v>
      </c>
      <c r="CA32" s="75">
        <f>IF(Index!BZ78=1,0,$H32*$K32*py*Index!BZ31*Index!BZ172/unit)</f>
        <v>0</v>
      </c>
      <c r="CB32" s="75">
        <f>IF(Index!CA78=1,0,$H32*$K32*py*Index!CA31*Index!CA172/unit)</f>
        <v>0</v>
      </c>
      <c r="CC32" s="75">
        <f>IF(Index!CB78=1,0,$H32*$K32*py*Index!CB31*Index!CB172/unit)</f>
        <v>0</v>
      </c>
      <c r="CD32" s="75">
        <f>IF(Index!CC78=1,0,$H32*$K32*py*Index!CC31*Index!CC172/unit)</f>
        <v>0</v>
      </c>
      <c r="CE32" s="75">
        <f>IF(Index!CD78=1,0,$H32*$K32*py*Index!CD31*Index!CD172/unit)</f>
        <v>0</v>
      </c>
      <c r="CF32" s="75">
        <f>IF(Index!CE78=1,0,$H32*$K32*py*Index!CE31*Index!CE172/unit)</f>
        <v>0</v>
      </c>
      <c r="CG32" s="75">
        <f>IF(Index!CF78=1,0,$H32*$K32*py*Index!CF31*Index!CF172/unit)</f>
        <v>0</v>
      </c>
      <c r="CH32" s="75">
        <f>IF(Index!CG78=1,0,$H32*$K32*py*Index!CG31*Index!CG172/unit)</f>
        <v>0</v>
      </c>
      <c r="CI32" s="75">
        <f>IF(Index!CH78=1,0,$H32*$K32*py*Index!CH31*Index!CH172/unit)</f>
        <v>0</v>
      </c>
      <c r="CJ32" s="75">
        <f>IF(Index!CI78=1,0,$H32*$K32*py*Index!CI31*Index!CI172/unit)</f>
        <v>0</v>
      </c>
      <c r="CK32" s="75">
        <f>IF(Index!CJ78=1,0,$H32*$K32*py*Index!CJ31*Index!CJ172/unit)</f>
        <v>0</v>
      </c>
      <c r="CL32" s="75">
        <f>IF(Index!CK78=1,0,$H32*$K32*py*Index!CK31*Index!CK172/unit)</f>
        <v>0</v>
      </c>
      <c r="CM32" s="75">
        <f>IF(Index!CL78=1,0,$H32*$K32*py*Index!CL31*Index!CL172/unit)</f>
        <v>0</v>
      </c>
      <c r="CN32" s="75">
        <f>IF(Index!CM78=1,0,$H32*$K32*py*Index!CM31*Index!CM172/unit)</f>
        <v>0</v>
      </c>
      <c r="CO32" s="75">
        <f>IF(Index!CN78=1,0,$H32*$K32*py*Index!CN31*Index!CN172/unit)</f>
        <v>0</v>
      </c>
      <c r="CP32" s="75">
        <f>IF(Index!CO78=1,0,$H32*$K32*py*Index!CO31*Index!CO172/unit)</f>
        <v>0</v>
      </c>
      <c r="CQ32" s="75">
        <f>IF(Index!CP78=1,0,$H32*$K32*py*Index!CP31*Index!CP172/unit)</f>
        <v>0</v>
      </c>
      <c r="CR32" s="75">
        <f>IF(Index!CQ78=1,0,$H32*$K32*py*Index!CQ31*Index!CQ172/unit)</f>
        <v>0</v>
      </c>
      <c r="CS32" s="75">
        <f>IF(Index!CR78=1,0,$H32*$K32*py*Index!CR31*Index!CR172/unit)</f>
        <v>0</v>
      </c>
      <c r="CT32" s="75">
        <f>IF(Index!CS78=1,0,$H32*$K32*py*Index!CS31*Index!CS172/unit)</f>
        <v>0</v>
      </c>
      <c r="CU32" s="75">
        <f>IF(Index!CT78=1,0,$H32*$K32*py*Index!CT31*Index!CT172/unit)</f>
        <v>0</v>
      </c>
      <c r="CV32" s="75">
        <f>IF(Index!CU78=1,0,$H32*$K32*py*Index!CU31*Index!CU172/unit)</f>
        <v>0</v>
      </c>
      <c r="CW32" s="75">
        <f>IF(Index!CV78=1,0,$H32*$K32*py*Index!CV31*Index!CV172/unit)</f>
        <v>0</v>
      </c>
      <c r="CX32" s="75">
        <f>IF(Index!CW78=1,0,$H32*$K32*py*Index!CW31*Index!CW172/unit)</f>
        <v>0</v>
      </c>
      <c r="CY32" s="75">
        <f>IF(Index!CX78=1,0,$H32*$K32*py*Index!CX31*Index!CX172/unit)</f>
        <v>0</v>
      </c>
      <c r="CZ32" s="75">
        <f>IF(Index!CY78=1,0,$H32*$K32*py*Index!CY31*Index!CY172/unit)</f>
        <v>0</v>
      </c>
      <c r="DA32" s="75">
        <f>IF(Index!CZ78=1,0,$H32*$K32*py*Index!CZ31*Index!CZ172/unit)</f>
        <v>0</v>
      </c>
      <c r="DB32" s="75">
        <f>IF(Index!DA78=1,0,$H32*$K32*py*Index!DA31*Index!DA172/unit)</f>
        <v>0</v>
      </c>
      <c r="DC32" s="75">
        <f>IF(Index!DB78=1,0,$H32*$K32*py*Index!DB31*Index!DB172/unit)</f>
        <v>0</v>
      </c>
      <c r="DD32" s="75">
        <f>IF(Index!DC78=1,0,$H32*$K32*py*Index!DC31*Index!DC172/unit)</f>
        <v>0</v>
      </c>
      <c r="DE32" s="75">
        <f>IF(Index!DD78=1,0,$H32*$K32*py*Index!DD31*Index!DD172/unit)</f>
        <v>0</v>
      </c>
      <c r="DF32" s="75">
        <f>IF(Index!DE78=1,0,$H32*$K32*py*Index!DE31*Index!DE172/unit)</f>
        <v>0</v>
      </c>
      <c r="DG32" s="75">
        <f>IF(Index!DF78=1,0,$H32*$K32*py*Index!DF31*Index!DF172/unit)</f>
        <v>0</v>
      </c>
      <c r="DH32" s="75">
        <f>IF(Index!DG78=1,0,$H32*$K32*py*Index!DG31*Index!DG172/unit)</f>
        <v>0</v>
      </c>
      <c r="DI32" s="75">
        <f>IF(Index!DH78=1,0,$H32*$K32*py*Index!DH31*Index!DH172/unit)</f>
        <v>0</v>
      </c>
      <c r="DJ32" s="75">
        <f>IF(Index!DI78=1,0,$H32*$K32*py*Index!DI31*Index!DI172/unit)</f>
        <v>0</v>
      </c>
      <c r="DK32" s="75">
        <f>IF(Index!DJ78=1,0,$H32*$K32*py*Index!DJ31*Index!DJ172/unit)</f>
        <v>0</v>
      </c>
      <c r="DL32" s="75">
        <f>IF(Index!DK78=1,0,$H32*$K32*py*Index!DK31*Index!DK172/unit)</f>
        <v>0</v>
      </c>
      <c r="DM32" s="75">
        <f>IF(Index!DL78=1,0,$H32*$K32*py*Index!DL31*Index!DL172/unit)</f>
        <v>0</v>
      </c>
    </row>
    <row r="33" spans="2:117">
      <c r="B33" s="27">
        <f>Rentroll!$C$24</f>
        <v>4</v>
      </c>
      <c r="C33" s="69" t="str">
        <f>VLOOKUP($B33,Rentroll!$C$11:$X$29,3,FALSE)</f>
        <v>공실</v>
      </c>
      <c r="D33" s="80"/>
      <c r="E33" s="80"/>
      <c r="F33" s="81">
        <f>VLOOKUP($B33,Rentroll!$C$11:$X$29,11,FALSE)</f>
        <v>0</v>
      </c>
      <c r="G33" s="69">
        <f>VLOOKUP($B33,Rentroll!$C$11:$X$29,13,FALSE)</f>
        <v>0</v>
      </c>
      <c r="H33" s="69">
        <f>VLOOKUP($B33,Rentroll!$C$11:$X$29,14,FALSE)</f>
        <v>0</v>
      </c>
      <c r="I33" s="69">
        <f>VLOOKUP($B33,Rentroll!$C$11:$X$29,15,FALSE)</f>
        <v>0</v>
      </c>
      <c r="J33" s="82">
        <f>VLOOKUP($B33,Rentroll!$C$11:$X$29,19,FALSE)</f>
        <v>0</v>
      </c>
      <c r="K33" s="83">
        <f>VLOOKUP($B33,Rentroll!$C$11:$X$29,4,FALSE)</f>
        <v>1385.09</v>
      </c>
      <c r="L33" s="81">
        <f>VLOOKUP($B33,Rentroll!$C$11:$X$29,17,FALSE)</f>
        <v>0</v>
      </c>
      <c r="M33" s="84">
        <f>VLOOKUP($B33,Rentroll!$C$11:$X$29,18,FALSE)</f>
        <v>0</v>
      </c>
      <c r="O33" s="74">
        <f t="shared" si="12"/>
        <v>4</v>
      </c>
      <c r="P33" s="75"/>
      <c r="Q33" s="75">
        <f t="shared" si="13"/>
        <v>0</v>
      </c>
      <c r="R33" s="75"/>
      <c r="S33" s="75">
        <f>IF(Index!R79=1,0,$H33*$K33*py*Index!R32*Index!R173/unit)</f>
        <v>0</v>
      </c>
      <c r="T33" s="75">
        <f>IF(Index!S79=1,0,$H33*$K33*py*Index!S32*Index!S173/unit)</f>
        <v>0</v>
      </c>
      <c r="U33" s="75">
        <f>IF(Index!T79=1,0,$H33*$K33*py*Index!T32*Index!T173/unit)</f>
        <v>0</v>
      </c>
      <c r="V33" s="75">
        <f>IF(Index!U79=1,0,$H33*$K33*py*Index!U32*Index!U173/unit)</f>
        <v>0</v>
      </c>
      <c r="W33" s="75">
        <f>IF(Index!V79=1,0,$H33*$K33*py*Index!V32*Index!V173/unit)</f>
        <v>0</v>
      </c>
      <c r="X33" s="75">
        <f>IF(Index!W79=1,0,$H33*$K33*py*Index!W32*Index!W173/unit)</f>
        <v>0</v>
      </c>
      <c r="Y33" s="75">
        <f>IF(Index!X79=1,0,$H33*$K33*py*Index!X32*Index!X173/unit)</f>
        <v>0</v>
      </c>
      <c r="Z33" s="75">
        <f>IF(Index!Y79=1,0,$H33*$K33*py*Index!Y32*Index!Y173/unit)</f>
        <v>0</v>
      </c>
      <c r="AA33" s="75">
        <f>IF(Index!Z79=1,0,$H33*$K33*py*Index!Z32*Index!Z173/unit)</f>
        <v>0</v>
      </c>
      <c r="AB33" s="75">
        <f>IF(Index!AA79=1,0,$H33*$K33*py*Index!AA32*Index!AA173/unit)</f>
        <v>0</v>
      </c>
      <c r="AC33" s="75">
        <f>IF(Index!AB79=1,0,$H33*$K33*py*Index!AB32*Index!AB173/unit)</f>
        <v>0</v>
      </c>
      <c r="AD33" s="75">
        <f>IF(Index!AC79=1,0,$H33*$K33*py*Index!AC32*Index!AC173/unit)</f>
        <v>0</v>
      </c>
      <c r="AE33" s="75">
        <f>IF(Index!AD79=1,0,$H33*$K33*py*Index!AD32*Index!AD173/unit)</f>
        <v>0</v>
      </c>
      <c r="AF33" s="75">
        <f>IF(Index!AE79=1,0,$H33*$K33*py*Index!AE32*Index!AE173/unit)</f>
        <v>0</v>
      </c>
      <c r="AG33" s="75">
        <f>IF(Index!AF79=1,0,$H33*$K33*py*Index!AF32*Index!AF173/unit)</f>
        <v>0</v>
      </c>
      <c r="AH33" s="75">
        <f>IF(Index!AG79=1,0,$H33*$K33*py*Index!AG32*Index!AG173/unit)</f>
        <v>0</v>
      </c>
      <c r="AI33" s="75">
        <f>IF(Index!AH79=1,0,$H33*$K33*py*Index!AH32*Index!AH173/unit)</f>
        <v>0</v>
      </c>
      <c r="AJ33" s="75">
        <f>IF(Index!AI79=1,0,$H33*$K33*py*Index!AI32*Index!AI173/unit)</f>
        <v>0</v>
      </c>
      <c r="AK33" s="75">
        <f>IF(Index!AJ79=1,0,$H33*$K33*py*Index!AJ32*Index!AJ173/unit)</f>
        <v>0</v>
      </c>
      <c r="AL33" s="75">
        <f>IF(Index!AK79=1,0,$H33*$K33*py*Index!AK32*Index!AK173/unit)</f>
        <v>0</v>
      </c>
      <c r="AM33" s="75">
        <f>IF(Index!AL79=1,0,$H33*$K33*py*Index!AL32*Index!AL173/unit)</f>
        <v>0</v>
      </c>
      <c r="AN33" s="75">
        <f>IF(Index!AM79=1,0,$H33*$K33*py*Index!AM32*Index!AM173/unit)</f>
        <v>0</v>
      </c>
      <c r="AO33" s="75">
        <f>IF(Index!AN79=1,0,$H33*$K33*py*Index!AN32*Index!AN173/unit)</f>
        <v>0</v>
      </c>
      <c r="AP33" s="75">
        <f>IF(Index!AO79=1,0,$H33*$K33*py*Index!AO32*Index!AO173/unit)</f>
        <v>0</v>
      </c>
      <c r="AQ33" s="75">
        <f>IF(Index!AP79=1,0,$H33*$K33*py*Index!AP32*Index!AP173/unit)</f>
        <v>0</v>
      </c>
      <c r="AR33" s="75">
        <f>IF(Index!AQ79=1,0,$H33*$K33*py*Index!AQ32*Index!AQ173/unit)</f>
        <v>0</v>
      </c>
      <c r="AS33" s="75">
        <f>IF(Index!AR79=1,0,$H33*$K33*py*Index!AR32*Index!AR173/unit)</f>
        <v>0</v>
      </c>
      <c r="AT33" s="75">
        <f>IF(Index!AS79=1,0,$H33*$K33*py*Index!AS32*Index!AS173/unit)</f>
        <v>0</v>
      </c>
      <c r="AU33" s="75">
        <f>IF(Index!AT79=1,0,$H33*$K33*py*Index!AT32*Index!AT173/unit)</f>
        <v>0</v>
      </c>
      <c r="AV33" s="75">
        <f>IF(Index!AU79=1,0,$H33*$K33*py*Index!AU32*Index!AU173/unit)</f>
        <v>0</v>
      </c>
      <c r="AW33" s="75">
        <f>IF(Index!AV79=1,0,$H33*$K33*py*Index!AV32*Index!AV173/unit)</f>
        <v>0</v>
      </c>
      <c r="AX33" s="75">
        <f>IF(Index!AW79=1,0,$H33*$K33*py*Index!AW32*Index!AW173/unit)</f>
        <v>0</v>
      </c>
      <c r="AY33" s="75">
        <f>IF(Index!AX79=1,0,$H33*$K33*py*Index!AX32*Index!AX173/unit)</f>
        <v>0</v>
      </c>
      <c r="AZ33" s="75">
        <f>IF(Index!AY79=1,0,$H33*$K33*py*Index!AY32*Index!AY173/unit)</f>
        <v>0</v>
      </c>
      <c r="BA33" s="75">
        <f>IF(Index!AZ79=1,0,$H33*$K33*py*Index!AZ32*Index!AZ173/unit)</f>
        <v>0</v>
      </c>
      <c r="BB33" s="75">
        <f>IF(Index!BA79=1,0,$H33*$K33*py*Index!BA32*Index!BA173/unit)</f>
        <v>0</v>
      </c>
      <c r="BC33" s="75">
        <f>IF(Index!BB79=1,0,$H33*$K33*py*Index!BB32*Index!BB173/unit)</f>
        <v>0</v>
      </c>
      <c r="BD33" s="75">
        <f>IF(Index!BC79=1,0,$H33*$K33*py*Index!BC32*Index!BC173/unit)</f>
        <v>0</v>
      </c>
      <c r="BE33" s="75">
        <f>IF(Index!BD79=1,0,$H33*$K33*py*Index!BD32*Index!BD173/unit)</f>
        <v>0</v>
      </c>
      <c r="BF33" s="75">
        <f>IF(Index!BE79=1,0,$H33*$K33*py*Index!BE32*Index!BE173/unit)</f>
        <v>0</v>
      </c>
      <c r="BG33" s="75">
        <f>IF(Index!BF79=1,0,$H33*$K33*py*Index!BF32*Index!BF173/unit)</f>
        <v>0</v>
      </c>
      <c r="BH33" s="75">
        <f>IF(Index!BG79=1,0,$H33*$K33*py*Index!BG32*Index!BG173/unit)</f>
        <v>0</v>
      </c>
      <c r="BI33" s="75">
        <f>IF(Index!BH79=1,0,$H33*$K33*py*Index!BH32*Index!BH173/unit)</f>
        <v>0</v>
      </c>
      <c r="BJ33" s="75">
        <f>IF(Index!BI79=1,0,$H33*$K33*py*Index!BI32*Index!BI173/unit)</f>
        <v>0</v>
      </c>
      <c r="BK33" s="75">
        <f>IF(Index!BJ79=1,0,$H33*$K33*py*Index!BJ32*Index!BJ173/unit)</f>
        <v>0</v>
      </c>
      <c r="BL33" s="75">
        <f>IF(Index!BK79=1,0,$H33*$K33*py*Index!BK32*Index!BK173/unit)</f>
        <v>0</v>
      </c>
      <c r="BM33" s="75">
        <f>IF(Index!BL79=1,0,$H33*$K33*py*Index!BL32*Index!BL173/unit)</f>
        <v>0</v>
      </c>
      <c r="BN33" s="75">
        <f>IF(Index!BM79=1,0,$H33*$K33*py*Index!BM32*Index!BM173/unit)</f>
        <v>0</v>
      </c>
      <c r="BO33" s="75">
        <f>IF(Index!BN79=1,0,$H33*$K33*py*Index!BN32*Index!BN173/unit)</f>
        <v>0</v>
      </c>
      <c r="BP33" s="75">
        <f>IF(Index!BO79=1,0,$H33*$K33*py*Index!BO32*Index!BO173/unit)</f>
        <v>0</v>
      </c>
      <c r="BQ33" s="75">
        <f>IF(Index!BP79=1,0,$H33*$K33*py*Index!BP32*Index!BP173/unit)</f>
        <v>0</v>
      </c>
      <c r="BR33" s="75">
        <f>IF(Index!BQ79=1,0,$H33*$K33*py*Index!BQ32*Index!BQ173/unit)</f>
        <v>0</v>
      </c>
      <c r="BS33" s="75">
        <f>IF(Index!BR79=1,0,$H33*$K33*py*Index!BR32*Index!BR173/unit)</f>
        <v>0</v>
      </c>
      <c r="BT33" s="75">
        <f>IF(Index!BS79=1,0,$H33*$K33*py*Index!BS32*Index!BS173/unit)</f>
        <v>0</v>
      </c>
      <c r="BU33" s="75">
        <f>IF(Index!BT79=1,0,$H33*$K33*py*Index!BT32*Index!BT173/unit)</f>
        <v>0</v>
      </c>
      <c r="BV33" s="75">
        <f>IF(Index!BU79=1,0,$H33*$K33*py*Index!BU32*Index!BU173/unit)</f>
        <v>0</v>
      </c>
      <c r="BW33" s="75">
        <f>IF(Index!BV79=1,0,$H33*$K33*py*Index!BV32*Index!BV173/unit)</f>
        <v>0</v>
      </c>
      <c r="BX33" s="75">
        <f>IF(Index!BW79=1,0,$H33*$K33*py*Index!BW32*Index!BW173/unit)</f>
        <v>0</v>
      </c>
      <c r="BY33" s="75">
        <f>IF(Index!BX79=1,0,$H33*$K33*py*Index!BX32*Index!BX173/unit)</f>
        <v>0</v>
      </c>
      <c r="BZ33" s="75">
        <f>IF(Index!BY79=1,0,$H33*$K33*py*Index!BY32*Index!BY173/unit)</f>
        <v>0</v>
      </c>
      <c r="CA33" s="75">
        <f>IF(Index!BZ79=1,0,$H33*$K33*py*Index!BZ32*Index!BZ173/unit)</f>
        <v>0</v>
      </c>
      <c r="CB33" s="75">
        <f>IF(Index!CA79=1,0,$H33*$K33*py*Index!CA32*Index!CA173/unit)</f>
        <v>0</v>
      </c>
      <c r="CC33" s="75">
        <f>IF(Index!CB79=1,0,$H33*$K33*py*Index!CB32*Index!CB173/unit)</f>
        <v>0</v>
      </c>
      <c r="CD33" s="75">
        <f>IF(Index!CC79=1,0,$H33*$K33*py*Index!CC32*Index!CC173/unit)</f>
        <v>0</v>
      </c>
      <c r="CE33" s="75">
        <f>IF(Index!CD79=1,0,$H33*$K33*py*Index!CD32*Index!CD173/unit)</f>
        <v>0</v>
      </c>
      <c r="CF33" s="75">
        <f>IF(Index!CE79=1,0,$H33*$K33*py*Index!CE32*Index!CE173/unit)</f>
        <v>0</v>
      </c>
      <c r="CG33" s="75">
        <f>IF(Index!CF79=1,0,$H33*$K33*py*Index!CF32*Index!CF173/unit)</f>
        <v>0</v>
      </c>
      <c r="CH33" s="75">
        <f>IF(Index!CG79=1,0,$H33*$K33*py*Index!CG32*Index!CG173/unit)</f>
        <v>0</v>
      </c>
      <c r="CI33" s="75">
        <f>IF(Index!CH79=1,0,$H33*$K33*py*Index!CH32*Index!CH173/unit)</f>
        <v>0</v>
      </c>
      <c r="CJ33" s="75">
        <f>IF(Index!CI79=1,0,$H33*$K33*py*Index!CI32*Index!CI173/unit)</f>
        <v>0</v>
      </c>
      <c r="CK33" s="75">
        <f>IF(Index!CJ79=1,0,$H33*$K33*py*Index!CJ32*Index!CJ173/unit)</f>
        <v>0</v>
      </c>
      <c r="CL33" s="75">
        <f>IF(Index!CK79=1,0,$H33*$K33*py*Index!CK32*Index!CK173/unit)</f>
        <v>0</v>
      </c>
      <c r="CM33" s="75">
        <f>IF(Index!CL79=1,0,$H33*$K33*py*Index!CL32*Index!CL173/unit)</f>
        <v>0</v>
      </c>
      <c r="CN33" s="75">
        <f>IF(Index!CM79=1,0,$H33*$K33*py*Index!CM32*Index!CM173/unit)</f>
        <v>0</v>
      </c>
      <c r="CO33" s="75">
        <f>IF(Index!CN79=1,0,$H33*$K33*py*Index!CN32*Index!CN173/unit)</f>
        <v>0</v>
      </c>
      <c r="CP33" s="75">
        <f>IF(Index!CO79=1,0,$H33*$K33*py*Index!CO32*Index!CO173/unit)</f>
        <v>0</v>
      </c>
      <c r="CQ33" s="75">
        <f>IF(Index!CP79=1,0,$H33*$K33*py*Index!CP32*Index!CP173/unit)</f>
        <v>0</v>
      </c>
      <c r="CR33" s="75">
        <f>IF(Index!CQ79=1,0,$H33*$K33*py*Index!CQ32*Index!CQ173/unit)</f>
        <v>0</v>
      </c>
      <c r="CS33" s="75">
        <f>IF(Index!CR79=1,0,$H33*$K33*py*Index!CR32*Index!CR173/unit)</f>
        <v>0</v>
      </c>
      <c r="CT33" s="75">
        <f>IF(Index!CS79=1,0,$H33*$K33*py*Index!CS32*Index!CS173/unit)</f>
        <v>0</v>
      </c>
      <c r="CU33" s="75">
        <f>IF(Index!CT79=1,0,$H33*$K33*py*Index!CT32*Index!CT173/unit)</f>
        <v>0</v>
      </c>
      <c r="CV33" s="75">
        <f>IF(Index!CU79=1,0,$H33*$K33*py*Index!CU32*Index!CU173/unit)</f>
        <v>0</v>
      </c>
      <c r="CW33" s="75">
        <f>IF(Index!CV79=1,0,$H33*$K33*py*Index!CV32*Index!CV173/unit)</f>
        <v>0</v>
      </c>
      <c r="CX33" s="75">
        <f>IF(Index!CW79=1,0,$H33*$K33*py*Index!CW32*Index!CW173/unit)</f>
        <v>0</v>
      </c>
      <c r="CY33" s="75">
        <f>IF(Index!CX79=1,0,$H33*$K33*py*Index!CX32*Index!CX173/unit)</f>
        <v>0</v>
      </c>
      <c r="CZ33" s="75">
        <f>IF(Index!CY79=1,0,$H33*$K33*py*Index!CY32*Index!CY173/unit)</f>
        <v>0</v>
      </c>
      <c r="DA33" s="75">
        <f>IF(Index!CZ79=1,0,$H33*$K33*py*Index!CZ32*Index!CZ173/unit)</f>
        <v>0</v>
      </c>
      <c r="DB33" s="75">
        <f>IF(Index!DA79=1,0,$H33*$K33*py*Index!DA32*Index!DA173/unit)</f>
        <v>0</v>
      </c>
      <c r="DC33" s="75">
        <f>IF(Index!DB79=1,0,$H33*$K33*py*Index!DB32*Index!DB173/unit)</f>
        <v>0</v>
      </c>
      <c r="DD33" s="75">
        <f>IF(Index!DC79=1,0,$H33*$K33*py*Index!DC32*Index!DC173/unit)</f>
        <v>0</v>
      </c>
      <c r="DE33" s="75">
        <f>IF(Index!DD79=1,0,$H33*$K33*py*Index!DD32*Index!DD173/unit)</f>
        <v>0</v>
      </c>
      <c r="DF33" s="75">
        <f>IF(Index!DE79=1,0,$H33*$K33*py*Index!DE32*Index!DE173/unit)</f>
        <v>0</v>
      </c>
      <c r="DG33" s="75">
        <f>IF(Index!DF79=1,0,$H33*$K33*py*Index!DF32*Index!DF173/unit)</f>
        <v>0</v>
      </c>
      <c r="DH33" s="75">
        <f>IF(Index!DG79=1,0,$H33*$K33*py*Index!DG32*Index!DG173/unit)</f>
        <v>0</v>
      </c>
      <c r="DI33" s="75">
        <f>IF(Index!DH79=1,0,$H33*$K33*py*Index!DH32*Index!DH173/unit)</f>
        <v>0</v>
      </c>
      <c r="DJ33" s="75">
        <f>IF(Index!DI79=1,0,$H33*$K33*py*Index!DI32*Index!DI173/unit)</f>
        <v>0</v>
      </c>
      <c r="DK33" s="75">
        <f>IF(Index!DJ79=1,0,$H33*$K33*py*Index!DJ32*Index!DJ173/unit)</f>
        <v>0</v>
      </c>
      <c r="DL33" s="75">
        <f>IF(Index!DK79=1,0,$H33*$K33*py*Index!DK32*Index!DK173/unit)</f>
        <v>0</v>
      </c>
      <c r="DM33" s="75">
        <f>IF(Index!DL79=1,0,$H33*$K33*py*Index!DL32*Index!DL173/unit)</f>
        <v>0</v>
      </c>
    </row>
    <row r="34" spans="2:117">
      <c r="B34" s="27">
        <f>Rentroll!$C$25</f>
        <v>3</v>
      </c>
      <c r="C34" s="69" t="str">
        <f>VLOOKUP($B34,Rentroll!$C$11:$X$29,3,FALSE)</f>
        <v>공실</v>
      </c>
      <c r="D34" s="80"/>
      <c r="E34" s="80"/>
      <c r="F34" s="81">
        <f>VLOOKUP($B34,Rentroll!$C$11:$X$29,11,FALSE)</f>
        <v>0</v>
      </c>
      <c r="G34" s="69">
        <f>VLOOKUP($B34,Rentroll!$C$11:$X$29,13,FALSE)</f>
        <v>0</v>
      </c>
      <c r="H34" s="69">
        <f>VLOOKUP($B34,Rentroll!$C$11:$X$29,14,FALSE)</f>
        <v>0</v>
      </c>
      <c r="I34" s="69">
        <f>VLOOKUP($B34,Rentroll!$C$11:$X$29,15,FALSE)</f>
        <v>0</v>
      </c>
      <c r="J34" s="82">
        <f>VLOOKUP($B34,Rentroll!$C$11:$X$29,19,FALSE)</f>
        <v>0</v>
      </c>
      <c r="K34" s="83">
        <f>VLOOKUP($B34,Rentroll!$C$11:$X$29,4,FALSE)</f>
        <v>1385.09</v>
      </c>
      <c r="L34" s="81">
        <f>VLOOKUP($B34,Rentroll!$C$11:$X$29,17,FALSE)</f>
        <v>0</v>
      </c>
      <c r="M34" s="84">
        <f>VLOOKUP($B34,Rentroll!$C$11:$X$29,18,FALSE)</f>
        <v>0</v>
      </c>
      <c r="O34" s="74">
        <f t="shared" si="12"/>
        <v>3</v>
      </c>
      <c r="P34" s="75"/>
      <c r="Q34" s="75">
        <f t="shared" si="13"/>
        <v>0</v>
      </c>
      <c r="R34" s="75"/>
      <c r="S34" s="75">
        <f>IF(Index!R80=1,0,$H34*$K34*py*Index!R33*Index!R174/unit)</f>
        <v>0</v>
      </c>
      <c r="T34" s="75">
        <f>IF(Index!S80=1,0,$H34*$K34*py*Index!S33*Index!S174/unit)</f>
        <v>0</v>
      </c>
      <c r="U34" s="75">
        <f>IF(Index!T80=1,0,$H34*$K34*py*Index!T33*Index!T174/unit)</f>
        <v>0</v>
      </c>
      <c r="V34" s="75">
        <f>IF(Index!U80=1,0,$H34*$K34*py*Index!U33*Index!U174/unit)</f>
        <v>0</v>
      </c>
      <c r="W34" s="75">
        <f>IF(Index!V80=1,0,$H34*$K34*py*Index!V33*Index!V174/unit)</f>
        <v>0</v>
      </c>
      <c r="X34" s="75">
        <f>IF(Index!W80=1,0,$H34*$K34*py*Index!W33*Index!W174/unit)</f>
        <v>0</v>
      </c>
      <c r="Y34" s="75">
        <f>IF(Index!X80=1,0,$H34*$K34*py*Index!X33*Index!X174/unit)</f>
        <v>0</v>
      </c>
      <c r="Z34" s="75">
        <f>IF(Index!Y80=1,0,$H34*$K34*py*Index!Y33*Index!Y174/unit)</f>
        <v>0</v>
      </c>
      <c r="AA34" s="75">
        <f>IF(Index!Z80=1,0,$H34*$K34*py*Index!Z33*Index!Z174/unit)</f>
        <v>0</v>
      </c>
      <c r="AB34" s="75">
        <f>IF(Index!AA80=1,0,$H34*$K34*py*Index!AA33*Index!AA174/unit)</f>
        <v>0</v>
      </c>
      <c r="AC34" s="75">
        <f>IF(Index!AB80=1,0,$H34*$K34*py*Index!AB33*Index!AB174/unit)</f>
        <v>0</v>
      </c>
      <c r="AD34" s="75">
        <f>IF(Index!AC80=1,0,$H34*$K34*py*Index!AC33*Index!AC174/unit)</f>
        <v>0</v>
      </c>
      <c r="AE34" s="75">
        <f>IF(Index!AD80=1,0,$H34*$K34*py*Index!AD33*Index!AD174/unit)</f>
        <v>0</v>
      </c>
      <c r="AF34" s="75">
        <f>IF(Index!AE80=1,0,$H34*$K34*py*Index!AE33*Index!AE174/unit)</f>
        <v>0</v>
      </c>
      <c r="AG34" s="75">
        <f>IF(Index!AF80=1,0,$H34*$K34*py*Index!AF33*Index!AF174/unit)</f>
        <v>0</v>
      </c>
      <c r="AH34" s="75">
        <f>IF(Index!AG80=1,0,$H34*$K34*py*Index!AG33*Index!AG174/unit)</f>
        <v>0</v>
      </c>
      <c r="AI34" s="75">
        <f>IF(Index!AH80=1,0,$H34*$K34*py*Index!AH33*Index!AH174/unit)</f>
        <v>0</v>
      </c>
      <c r="AJ34" s="75">
        <f>IF(Index!AI80=1,0,$H34*$K34*py*Index!AI33*Index!AI174/unit)</f>
        <v>0</v>
      </c>
      <c r="AK34" s="75">
        <f>IF(Index!AJ80=1,0,$H34*$K34*py*Index!AJ33*Index!AJ174/unit)</f>
        <v>0</v>
      </c>
      <c r="AL34" s="75">
        <f>IF(Index!AK80=1,0,$H34*$K34*py*Index!AK33*Index!AK174/unit)</f>
        <v>0</v>
      </c>
      <c r="AM34" s="75">
        <f>IF(Index!AL80=1,0,$H34*$K34*py*Index!AL33*Index!AL174/unit)</f>
        <v>0</v>
      </c>
      <c r="AN34" s="75">
        <f>IF(Index!AM80=1,0,$H34*$K34*py*Index!AM33*Index!AM174/unit)</f>
        <v>0</v>
      </c>
      <c r="AO34" s="75">
        <f>IF(Index!AN80=1,0,$H34*$K34*py*Index!AN33*Index!AN174/unit)</f>
        <v>0</v>
      </c>
      <c r="AP34" s="75">
        <f>IF(Index!AO80=1,0,$H34*$K34*py*Index!AO33*Index!AO174/unit)</f>
        <v>0</v>
      </c>
      <c r="AQ34" s="75">
        <f>IF(Index!AP80=1,0,$H34*$K34*py*Index!AP33*Index!AP174/unit)</f>
        <v>0</v>
      </c>
      <c r="AR34" s="75">
        <f>IF(Index!AQ80=1,0,$H34*$K34*py*Index!AQ33*Index!AQ174/unit)</f>
        <v>0</v>
      </c>
      <c r="AS34" s="75">
        <f>IF(Index!AR80=1,0,$H34*$K34*py*Index!AR33*Index!AR174/unit)</f>
        <v>0</v>
      </c>
      <c r="AT34" s="75">
        <f>IF(Index!AS80=1,0,$H34*$K34*py*Index!AS33*Index!AS174/unit)</f>
        <v>0</v>
      </c>
      <c r="AU34" s="75">
        <f>IF(Index!AT80=1,0,$H34*$K34*py*Index!AT33*Index!AT174/unit)</f>
        <v>0</v>
      </c>
      <c r="AV34" s="75">
        <f>IF(Index!AU80=1,0,$H34*$K34*py*Index!AU33*Index!AU174/unit)</f>
        <v>0</v>
      </c>
      <c r="AW34" s="75">
        <f>IF(Index!AV80=1,0,$H34*$K34*py*Index!AV33*Index!AV174/unit)</f>
        <v>0</v>
      </c>
      <c r="AX34" s="75">
        <f>IF(Index!AW80=1,0,$H34*$K34*py*Index!AW33*Index!AW174/unit)</f>
        <v>0</v>
      </c>
      <c r="AY34" s="75">
        <f>IF(Index!AX80=1,0,$H34*$K34*py*Index!AX33*Index!AX174/unit)</f>
        <v>0</v>
      </c>
      <c r="AZ34" s="75">
        <f>IF(Index!AY80=1,0,$H34*$K34*py*Index!AY33*Index!AY174/unit)</f>
        <v>0</v>
      </c>
      <c r="BA34" s="75">
        <f>IF(Index!AZ80=1,0,$H34*$K34*py*Index!AZ33*Index!AZ174/unit)</f>
        <v>0</v>
      </c>
      <c r="BB34" s="75">
        <f>IF(Index!BA80=1,0,$H34*$K34*py*Index!BA33*Index!BA174/unit)</f>
        <v>0</v>
      </c>
      <c r="BC34" s="75">
        <f>IF(Index!BB80=1,0,$H34*$K34*py*Index!BB33*Index!BB174/unit)</f>
        <v>0</v>
      </c>
      <c r="BD34" s="75">
        <f>IF(Index!BC80=1,0,$H34*$K34*py*Index!BC33*Index!BC174/unit)</f>
        <v>0</v>
      </c>
      <c r="BE34" s="75">
        <f>IF(Index!BD80=1,0,$H34*$K34*py*Index!BD33*Index!BD174/unit)</f>
        <v>0</v>
      </c>
      <c r="BF34" s="75">
        <f>IF(Index!BE80=1,0,$H34*$K34*py*Index!BE33*Index!BE174/unit)</f>
        <v>0</v>
      </c>
      <c r="BG34" s="75">
        <f>IF(Index!BF80=1,0,$H34*$K34*py*Index!BF33*Index!BF174/unit)</f>
        <v>0</v>
      </c>
      <c r="BH34" s="75">
        <f>IF(Index!BG80=1,0,$H34*$K34*py*Index!BG33*Index!BG174/unit)</f>
        <v>0</v>
      </c>
      <c r="BI34" s="75">
        <f>IF(Index!BH80=1,0,$H34*$K34*py*Index!BH33*Index!BH174/unit)</f>
        <v>0</v>
      </c>
      <c r="BJ34" s="75">
        <f>IF(Index!BI80=1,0,$H34*$K34*py*Index!BI33*Index!BI174/unit)</f>
        <v>0</v>
      </c>
      <c r="BK34" s="75">
        <f>IF(Index!BJ80=1,0,$H34*$K34*py*Index!BJ33*Index!BJ174/unit)</f>
        <v>0</v>
      </c>
      <c r="BL34" s="75">
        <f>IF(Index!BK80=1,0,$H34*$K34*py*Index!BK33*Index!BK174/unit)</f>
        <v>0</v>
      </c>
      <c r="BM34" s="75">
        <f>IF(Index!BL80=1,0,$H34*$K34*py*Index!BL33*Index!BL174/unit)</f>
        <v>0</v>
      </c>
      <c r="BN34" s="75">
        <f>IF(Index!BM80=1,0,$H34*$K34*py*Index!BM33*Index!BM174/unit)</f>
        <v>0</v>
      </c>
      <c r="BO34" s="75">
        <f>IF(Index!BN80=1,0,$H34*$K34*py*Index!BN33*Index!BN174/unit)</f>
        <v>0</v>
      </c>
      <c r="BP34" s="75">
        <f>IF(Index!BO80=1,0,$H34*$K34*py*Index!BO33*Index!BO174/unit)</f>
        <v>0</v>
      </c>
      <c r="BQ34" s="75">
        <f>IF(Index!BP80=1,0,$H34*$K34*py*Index!BP33*Index!BP174/unit)</f>
        <v>0</v>
      </c>
      <c r="BR34" s="75">
        <f>IF(Index!BQ80=1,0,$H34*$K34*py*Index!BQ33*Index!BQ174/unit)</f>
        <v>0</v>
      </c>
      <c r="BS34" s="75">
        <f>IF(Index!BR80=1,0,$H34*$K34*py*Index!BR33*Index!BR174/unit)</f>
        <v>0</v>
      </c>
      <c r="BT34" s="75">
        <f>IF(Index!BS80=1,0,$H34*$K34*py*Index!BS33*Index!BS174/unit)</f>
        <v>0</v>
      </c>
      <c r="BU34" s="75">
        <f>IF(Index!BT80=1,0,$H34*$K34*py*Index!BT33*Index!BT174/unit)</f>
        <v>0</v>
      </c>
      <c r="BV34" s="75">
        <f>IF(Index!BU80=1,0,$H34*$K34*py*Index!BU33*Index!BU174/unit)</f>
        <v>0</v>
      </c>
      <c r="BW34" s="75">
        <f>IF(Index!BV80=1,0,$H34*$K34*py*Index!BV33*Index!BV174/unit)</f>
        <v>0</v>
      </c>
      <c r="BX34" s="75">
        <f>IF(Index!BW80=1,0,$H34*$K34*py*Index!BW33*Index!BW174/unit)</f>
        <v>0</v>
      </c>
      <c r="BY34" s="75">
        <f>IF(Index!BX80=1,0,$H34*$K34*py*Index!BX33*Index!BX174/unit)</f>
        <v>0</v>
      </c>
      <c r="BZ34" s="75">
        <f>IF(Index!BY80=1,0,$H34*$K34*py*Index!BY33*Index!BY174/unit)</f>
        <v>0</v>
      </c>
      <c r="CA34" s="75">
        <f>IF(Index!BZ80=1,0,$H34*$K34*py*Index!BZ33*Index!BZ174/unit)</f>
        <v>0</v>
      </c>
      <c r="CB34" s="75">
        <f>IF(Index!CA80=1,0,$H34*$K34*py*Index!CA33*Index!CA174/unit)</f>
        <v>0</v>
      </c>
      <c r="CC34" s="75">
        <f>IF(Index!CB80=1,0,$H34*$K34*py*Index!CB33*Index!CB174/unit)</f>
        <v>0</v>
      </c>
      <c r="CD34" s="75">
        <f>IF(Index!CC80=1,0,$H34*$K34*py*Index!CC33*Index!CC174/unit)</f>
        <v>0</v>
      </c>
      <c r="CE34" s="75">
        <f>IF(Index!CD80=1,0,$H34*$K34*py*Index!CD33*Index!CD174/unit)</f>
        <v>0</v>
      </c>
      <c r="CF34" s="75">
        <f>IF(Index!CE80=1,0,$H34*$K34*py*Index!CE33*Index!CE174/unit)</f>
        <v>0</v>
      </c>
      <c r="CG34" s="75">
        <f>IF(Index!CF80=1,0,$H34*$K34*py*Index!CF33*Index!CF174/unit)</f>
        <v>0</v>
      </c>
      <c r="CH34" s="75">
        <f>IF(Index!CG80=1,0,$H34*$K34*py*Index!CG33*Index!CG174/unit)</f>
        <v>0</v>
      </c>
      <c r="CI34" s="75">
        <f>IF(Index!CH80=1,0,$H34*$K34*py*Index!CH33*Index!CH174/unit)</f>
        <v>0</v>
      </c>
      <c r="CJ34" s="75">
        <f>IF(Index!CI80=1,0,$H34*$K34*py*Index!CI33*Index!CI174/unit)</f>
        <v>0</v>
      </c>
      <c r="CK34" s="75">
        <f>IF(Index!CJ80=1,0,$H34*$K34*py*Index!CJ33*Index!CJ174/unit)</f>
        <v>0</v>
      </c>
      <c r="CL34" s="75">
        <f>IF(Index!CK80=1,0,$H34*$K34*py*Index!CK33*Index!CK174/unit)</f>
        <v>0</v>
      </c>
      <c r="CM34" s="75">
        <f>IF(Index!CL80=1,0,$H34*$K34*py*Index!CL33*Index!CL174/unit)</f>
        <v>0</v>
      </c>
      <c r="CN34" s="75">
        <f>IF(Index!CM80=1,0,$H34*$K34*py*Index!CM33*Index!CM174/unit)</f>
        <v>0</v>
      </c>
      <c r="CO34" s="75">
        <f>IF(Index!CN80=1,0,$H34*$K34*py*Index!CN33*Index!CN174/unit)</f>
        <v>0</v>
      </c>
      <c r="CP34" s="75">
        <f>IF(Index!CO80=1,0,$H34*$K34*py*Index!CO33*Index!CO174/unit)</f>
        <v>0</v>
      </c>
      <c r="CQ34" s="75">
        <f>IF(Index!CP80=1,0,$H34*$K34*py*Index!CP33*Index!CP174/unit)</f>
        <v>0</v>
      </c>
      <c r="CR34" s="75">
        <f>IF(Index!CQ80=1,0,$H34*$K34*py*Index!CQ33*Index!CQ174/unit)</f>
        <v>0</v>
      </c>
      <c r="CS34" s="75">
        <f>IF(Index!CR80=1,0,$H34*$K34*py*Index!CR33*Index!CR174/unit)</f>
        <v>0</v>
      </c>
      <c r="CT34" s="75">
        <f>IF(Index!CS80=1,0,$H34*$K34*py*Index!CS33*Index!CS174/unit)</f>
        <v>0</v>
      </c>
      <c r="CU34" s="75">
        <f>IF(Index!CT80=1,0,$H34*$K34*py*Index!CT33*Index!CT174/unit)</f>
        <v>0</v>
      </c>
      <c r="CV34" s="75">
        <f>IF(Index!CU80=1,0,$H34*$K34*py*Index!CU33*Index!CU174/unit)</f>
        <v>0</v>
      </c>
      <c r="CW34" s="75">
        <f>IF(Index!CV80=1,0,$H34*$K34*py*Index!CV33*Index!CV174/unit)</f>
        <v>0</v>
      </c>
      <c r="CX34" s="75">
        <f>IF(Index!CW80=1,0,$H34*$K34*py*Index!CW33*Index!CW174/unit)</f>
        <v>0</v>
      </c>
      <c r="CY34" s="75">
        <f>IF(Index!CX80=1,0,$H34*$K34*py*Index!CX33*Index!CX174/unit)</f>
        <v>0</v>
      </c>
      <c r="CZ34" s="75">
        <f>IF(Index!CY80=1,0,$H34*$K34*py*Index!CY33*Index!CY174/unit)</f>
        <v>0</v>
      </c>
      <c r="DA34" s="75">
        <f>IF(Index!CZ80=1,0,$H34*$K34*py*Index!CZ33*Index!CZ174/unit)</f>
        <v>0</v>
      </c>
      <c r="DB34" s="75">
        <f>IF(Index!DA80=1,0,$H34*$K34*py*Index!DA33*Index!DA174/unit)</f>
        <v>0</v>
      </c>
      <c r="DC34" s="75">
        <f>IF(Index!DB80=1,0,$H34*$K34*py*Index!DB33*Index!DB174/unit)</f>
        <v>0</v>
      </c>
      <c r="DD34" s="75">
        <f>IF(Index!DC80=1,0,$H34*$K34*py*Index!DC33*Index!DC174/unit)</f>
        <v>0</v>
      </c>
      <c r="DE34" s="75">
        <f>IF(Index!DD80=1,0,$H34*$K34*py*Index!DD33*Index!DD174/unit)</f>
        <v>0</v>
      </c>
      <c r="DF34" s="75">
        <f>IF(Index!DE80=1,0,$H34*$K34*py*Index!DE33*Index!DE174/unit)</f>
        <v>0</v>
      </c>
      <c r="DG34" s="75">
        <f>IF(Index!DF80=1,0,$H34*$K34*py*Index!DF33*Index!DF174/unit)</f>
        <v>0</v>
      </c>
      <c r="DH34" s="75">
        <f>IF(Index!DG80=1,0,$H34*$K34*py*Index!DG33*Index!DG174/unit)</f>
        <v>0</v>
      </c>
      <c r="DI34" s="75">
        <f>IF(Index!DH80=1,0,$H34*$K34*py*Index!DH33*Index!DH174/unit)</f>
        <v>0</v>
      </c>
      <c r="DJ34" s="75">
        <f>IF(Index!DI80=1,0,$H34*$K34*py*Index!DI33*Index!DI174/unit)</f>
        <v>0</v>
      </c>
      <c r="DK34" s="75">
        <f>IF(Index!DJ80=1,0,$H34*$K34*py*Index!DJ33*Index!DJ174/unit)</f>
        <v>0</v>
      </c>
      <c r="DL34" s="75">
        <f>IF(Index!DK80=1,0,$H34*$K34*py*Index!DK33*Index!DK174/unit)</f>
        <v>0</v>
      </c>
      <c r="DM34" s="75">
        <f>IF(Index!DL80=1,0,$H34*$K34*py*Index!DL33*Index!DL174/unit)</f>
        <v>0</v>
      </c>
    </row>
    <row r="35" spans="2:117">
      <c r="B35" s="27">
        <f>Rentroll!$C$26</f>
        <v>2</v>
      </c>
      <c r="C35" s="69" t="str">
        <f>VLOOKUP($B35,Rentroll!$C$11:$X$29,3,FALSE)</f>
        <v>공실</v>
      </c>
      <c r="D35" s="80"/>
      <c r="E35" s="80"/>
      <c r="F35" s="81">
        <f>VLOOKUP($B35,Rentroll!$C$11:$X$29,11,FALSE)</f>
        <v>0</v>
      </c>
      <c r="G35" s="69">
        <f>VLOOKUP($B35,Rentroll!$C$11:$X$29,13,FALSE)</f>
        <v>0</v>
      </c>
      <c r="H35" s="69">
        <f>VLOOKUP($B35,Rentroll!$C$11:$X$29,14,FALSE)</f>
        <v>0</v>
      </c>
      <c r="I35" s="69">
        <f>VLOOKUP($B35,Rentroll!$C$11:$X$29,15,FALSE)</f>
        <v>0</v>
      </c>
      <c r="J35" s="82">
        <f>VLOOKUP($B35,Rentroll!$C$11:$X$29,19,FALSE)</f>
        <v>0</v>
      </c>
      <c r="K35" s="83">
        <f>VLOOKUP($B35,Rentroll!$C$11:$X$29,4,FALSE)</f>
        <v>1385.09</v>
      </c>
      <c r="L35" s="81">
        <f>VLOOKUP($B35,Rentroll!$C$11:$X$29,17,FALSE)</f>
        <v>0</v>
      </c>
      <c r="M35" s="84">
        <f>VLOOKUP($B35,Rentroll!$C$11:$X$29,18,FALSE)</f>
        <v>0</v>
      </c>
      <c r="O35" s="74">
        <f t="shared" si="12"/>
        <v>2</v>
      </c>
      <c r="P35" s="75"/>
      <c r="Q35" s="75">
        <f t="shared" si="13"/>
        <v>0</v>
      </c>
      <c r="R35" s="75"/>
      <c r="S35" s="75">
        <f>IF(Index!R81=1,0,$H35*$K35*py*Index!R34*Index!R175/unit)</f>
        <v>0</v>
      </c>
      <c r="T35" s="75">
        <f>IF(Index!S81=1,0,$H35*$K35*py*Index!S34*Index!S175/unit)</f>
        <v>0</v>
      </c>
      <c r="U35" s="75">
        <f>IF(Index!T81=1,0,$H35*$K35*py*Index!T34*Index!T175/unit)</f>
        <v>0</v>
      </c>
      <c r="V35" s="75">
        <f>IF(Index!U81=1,0,$H35*$K35*py*Index!U34*Index!U175/unit)</f>
        <v>0</v>
      </c>
      <c r="W35" s="75">
        <f>IF(Index!V81=1,0,$H35*$K35*py*Index!V34*Index!V175/unit)</f>
        <v>0</v>
      </c>
      <c r="X35" s="75">
        <f>IF(Index!W81=1,0,$H35*$K35*py*Index!W34*Index!W175/unit)</f>
        <v>0</v>
      </c>
      <c r="Y35" s="75">
        <f>IF(Index!X81=1,0,$H35*$K35*py*Index!X34*Index!X175/unit)</f>
        <v>0</v>
      </c>
      <c r="Z35" s="75">
        <f>IF(Index!Y81=1,0,$H35*$K35*py*Index!Y34*Index!Y175/unit)</f>
        <v>0</v>
      </c>
      <c r="AA35" s="75">
        <f>IF(Index!Z81=1,0,$H35*$K35*py*Index!Z34*Index!Z175/unit)</f>
        <v>0</v>
      </c>
      <c r="AB35" s="75">
        <f>IF(Index!AA81=1,0,$H35*$K35*py*Index!AA34*Index!AA175/unit)</f>
        <v>0</v>
      </c>
      <c r="AC35" s="75">
        <f>IF(Index!AB81=1,0,$H35*$K35*py*Index!AB34*Index!AB175/unit)</f>
        <v>0</v>
      </c>
      <c r="AD35" s="75">
        <f>IF(Index!AC81=1,0,$H35*$K35*py*Index!AC34*Index!AC175/unit)</f>
        <v>0</v>
      </c>
      <c r="AE35" s="75">
        <f>IF(Index!AD81=1,0,$H35*$K35*py*Index!AD34*Index!AD175/unit)</f>
        <v>0</v>
      </c>
      <c r="AF35" s="75">
        <f>IF(Index!AE81=1,0,$H35*$K35*py*Index!AE34*Index!AE175/unit)</f>
        <v>0</v>
      </c>
      <c r="AG35" s="75">
        <f>IF(Index!AF81=1,0,$H35*$K35*py*Index!AF34*Index!AF175/unit)</f>
        <v>0</v>
      </c>
      <c r="AH35" s="75">
        <f>IF(Index!AG81=1,0,$H35*$K35*py*Index!AG34*Index!AG175/unit)</f>
        <v>0</v>
      </c>
      <c r="AI35" s="75">
        <f>IF(Index!AH81=1,0,$H35*$K35*py*Index!AH34*Index!AH175/unit)</f>
        <v>0</v>
      </c>
      <c r="AJ35" s="75">
        <f>IF(Index!AI81=1,0,$H35*$K35*py*Index!AI34*Index!AI175/unit)</f>
        <v>0</v>
      </c>
      <c r="AK35" s="75">
        <f>IF(Index!AJ81=1,0,$H35*$K35*py*Index!AJ34*Index!AJ175/unit)</f>
        <v>0</v>
      </c>
      <c r="AL35" s="75">
        <f>IF(Index!AK81=1,0,$H35*$K35*py*Index!AK34*Index!AK175/unit)</f>
        <v>0</v>
      </c>
      <c r="AM35" s="75">
        <f>IF(Index!AL81=1,0,$H35*$K35*py*Index!AL34*Index!AL175/unit)</f>
        <v>0</v>
      </c>
      <c r="AN35" s="75">
        <f>IF(Index!AM81=1,0,$H35*$K35*py*Index!AM34*Index!AM175/unit)</f>
        <v>0</v>
      </c>
      <c r="AO35" s="75">
        <f>IF(Index!AN81=1,0,$H35*$K35*py*Index!AN34*Index!AN175/unit)</f>
        <v>0</v>
      </c>
      <c r="AP35" s="75">
        <f>IF(Index!AO81=1,0,$H35*$K35*py*Index!AO34*Index!AO175/unit)</f>
        <v>0</v>
      </c>
      <c r="AQ35" s="75">
        <f>IF(Index!AP81=1,0,$H35*$K35*py*Index!AP34*Index!AP175/unit)</f>
        <v>0</v>
      </c>
      <c r="AR35" s="75">
        <f>IF(Index!AQ81=1,0,$H35*$K35*py*Index!AQ34*Index!AQ175/unit)</f>
        <v>0</v>
      </c>
      <c r="AS35" s="75">
        <f>IF(Index!AR81=1,0,$H35*$K35*py*Index!AR34*Index!AR175/unit)</f>
        <v>0</v>
      </c>
      <c r="AT35" s="75">
        <f>IF(Index!AS81=1,0,$H35*$K35*py*Index!AS34*Index!AS175/unit)</f>
        <v>0</v>
      </c>
      <c r="AU35" s="75">
        <f>IF(Index!AT81=1,0,$H35*$K35*py*Index!AT34*Index!AT175/unit)</f>
        <v>0</v>
      </c>
      <c r="AV35" s="75">
        <f>IF(Index!AU81=1,0,$H35*$K35*py*Index!AU34*Index!AU175/unit)</f>
        <v>0</v>
      </c>
      <c r="AW35" s="75">
        <f>IF(Index!AV81=1,0,$H35*$K35*py*Index!AV34*Index!AV175/unit)</f>
        <v>0</v>
      </c>
      <c r="AX35" s="75">
        <f>IF(Index!AW81=1,0,$H35*$K35*py*Index!AW34*Index!AW175/unit)</f>
        <v>0</v>
      </c>
      <c r="AY35" s="75">
        <f>IF(Index!AX81=1,0,$H35*$K35*py*Index!AX34*Index!AX175/unit)</f>
        <v>0</v>
      </c>
      <c r="AZ35" s="75">
        <f>IF(Index!AY81=1,0,$H35*$K35*py*Index!AY34*Index!AY175/unit)</f>
        <v>0</v>
      </c>
      <c r="BA35" s="75">
        <f>IF(Index!AZ81=1,0,$H35*$K35*py*Index!AZ34*Index!AZ175/unit)</f>
        <v>0</v>
      </c>
      <c r="BB35" s="75">
        <f>IF(Index!BA81=1,0,$H35*$K35*py*Index!BA34*Index!BA175/unit)</f>
        <v>0</v>
      </c>
      <c r="BC35" s="75">
        <f>IF(Index!BB81=1,0,$H35*$K35*py*Index!BB34*Index!BB175/unit)</f>
        <v>0</v>
      </c>
      <c r="BD35" s="75">
        <f>IF(Index!BC81=1,0,$H35*$K35*py*Index!BC34*Index!BC175/unit)</f>
        <v>0</v>
      </c>
      <c r="BE35" s="75">
        <f>IF(Index!BD81=1,0,$H35*$K35*py*Index!BD34*Index!BD175/unit)</f>
        <v>0</v>
      </c>
      <c r="BF35" s="75">
        <f>IF(Index!BE81=1,0,$H35*$K35*py*Index!BE34*Index!BE175/unit)</f>
        <v>0</v>
      </c>
      <c r="BG35" s="75">
        <f>IF(Index!BF81=1,0,$H35*$K35*py*Index!BF34*Index!BF175/unit)</f>
        <v>0</v>
      </c>
      <c r="BH35" s="75">
        <f>IF(Index!BG81=1,0,$H35*$K35*py*Index!BG34*Index!BG175/unit)</f>
        <v>0</v>
      </c>
      <c r="BI35" s="75">
        <f>IF(Index!BH81=1,0,$H35*$K35*py*Index!BH34*Index!BH175/unit)</f>
        <v>0</v>
      </c>
      <c r="BJ35" s="75">
        <f>IF(Index!BI81=1,0,$H35*$K35*py*Index!BI34*Index!BI175/unit)</f>
        <v>0</v>
      </c>
      <c r="BK35" s="75">
        <f>IF(Index!BJ81=1,0,$H35*$K35*py*Index!BJ34*Index!BJ175/unit)</f>
        <v>0</v>
      </c>
      <c r="BL35" s="75">
        <f>IF(Index!BK81=1,0,$H35*$K35*py*Index!BK34*Index!BK175/unit)</f>
        <v>0</v>
      </c>
      <c r="BM35" s="75">
        <f>IF(Index!BL81=1,0,$H35*$K35*py*Index!BL34*Index!BL175/unit)</f>
        <v>0</v>
      </c>
      <c r="BN35" s="75">
        <f>IF(Index!BM81=1,0,$H35*$K35*py*Index!BM34*Index!BM175/unit)</f>
        <v>0</v>
      </c>
      <c r="BO35" s="75">
        <f>IF(Index!BN81=1,0,$H35*$K35*py*Index!BN34*Index!BN175/unit)</f>
        <v>0</v>
      </c>
      <c r="BP35" s="75">
        <f>IF(Index!BO81=1,0,$H35*$K35*py*Index!BO34*Index!BO175/unit)</f>
        <v>0</v>
      </c>
      <c r="BQ35" s="75">
        <f>IF(Index!BP81=1,0,$H35*$K35*py*Index!BP34*Index!BP175/unit)</f>
        <v>0</v>
      </c>
      <c r="BR35" s="75">
        <f>IF(Index!BQ81=1,0,$H35*$K35*py*Index!BQ34*Index!BQ175/unit)</f>
        <v>0</v>
      </c>
      <c r="BS35" s="75">
        <f>IF(Index!BR81=1,0,$H35*$K35*py*Index!BR34*Index!BR175/unit)</f>
        <v>0</v>
      </c>
      <c r="BT35" s="75">
        <f>IF(Index!BS81=1,0,$H35*$K35*py*Index!BS34*Index!BS175/unit)</f>
        <v>0</v>
      </c>
      <c r="BU35" s="75">
        <f>IF(Index!BT81=1,0,$H35*$K35*py*Index!BT34*Index!BT175/unit)</f>
        <v>0</v>
      </c>
      <c r="BV35" s="75">
        <f>IF(Index!BU81=1,0,$H35*$K35*py*Index!BU34*Index!BU175/unit)</f>
        <v>0</v>
      </c>
      <c r="BW35" s="75">
        <f>IF(Index!BV81=1,0,$H35*$K35*py*Index!BV34*Index!BV175/unit)</f>
        <v>0</v>
      </c>
      <c r="BX35" s="75">
        <f>IF(Index!BW81=1,0,$H35*$K35*py*Index!BW34*Index!BW175/unit)</f>
        <v>0</v>
      </c>
      <c r="BY35" s="75">
        <f>IF(Index!BX81=1,0,$H35*$K35*py*Index!BX34*Index!BX175/unit)</f>
        <v>0</v>
      </c>
      <c r="BZ35" s="75">
        <f>IF(Index!BY81=1,0,$H35*$K35*py*Index!BY34*Index!BY175/unit)</f>
        <v>0</v>
      </c>
      <c r="CA35" s="75">
        <f>IF(Index!BZ81=1,0,$H35*$K35*py*Index!BZ34*Index!BZ175/unit)</f>
        <v>0</v>
      </c>
      <c r="CB35" s="75">
        <f>IF(Index!CA81=1,0,$H35*$K35*py*Index!CA34*Index!CA175/unit)</f>
        <v>0</v>
      </c>
      <c r="CC35" s="75">
        <f>IF(Index!CB81=1,0,$H35*$K35*py*Index!CB34*Index!CB175/unit)</f>
        <v>0</v>
      </c>
      <c r="CD35" s="75">
        <f>IF(Index!CC81=1,0,$H35*$K35*py*Index!CC34*Index!CC175/unit)</f>
        <v>0</v>
      </c>
      <c r="CE35" s="75">
        <f>IF(Index!CD81=1,0,$H35*$K35*py*Index!CD34*Index!CD175/unit)</f>
        <v>0</v>
      </c>
      <c r="CF35" s="75">
        <f>IF(Index!CE81=1,0,$H35*$K35*py*Index!CE34*Index!CE175/unit)</f>
        <v>0</v>
      </c>
      <c r="CG35" s="75">
        <f>IF(Index!CF81=1,0,$H35*$K35*py*Index!CF34*Index!CF175/unit)</f>
        <v>0</v>
      </c>
      <c r="CH35" s="75">
        <f>IF(Index!CG81=1,0,$H35*$K35*py*Index!CG34*Index!CG175/unit)</f>
        <v>0</v>
      </c>
      <c r="CI35" s="75">
        <f>IF(Index!CH81=1,0,$H35*$K35*py*Index!CH34*Index!CH175/unit)</f>
        <v>0</v>
      </c>
      <c r="CJ35" s="75">
        <f>IF(Index!CI81=1,0,$H35*$K35*py*Index!CI34*Index!CI175/unit)</f>
        <v>0</v>
      </c>
      <c r="CK35" s="75">
        <f>IF(Index!CJ81=1,0,$H35*$K35*py*Index!CJ34*Index!CJ175/unit)</f>
        <v>0</v>
      </c>
      <c r="CL35" s="75">
        <f>IF(Index!CK81=1,0,$H35*$K35*py*Index!CK34*Index!CK175/unit)</f>
        <v>0</v>
      </c>
      <c r="CM35" s="75">
        <f>IF(Index!CL81=1,0,$H35*$K35*py*Index!CL34*Index!CL175/unit)</f>
        <v>0</v>
      </c>
      <c r="CN35" s="75">
        <f>IF(Index!CM81=1,0,$H35*$K35*py*Index!CM34*Index!CM175/unit)</f>
        <v>0</v>
      </c>
      <c r="CO35" s="75">
        <f>IF(Index!CN81=1,0,$H35*$K35*py*Index!CN34*Index!CN175/unit)</f>
        <v>0</v>
      </c>
      <c r="CP35" s="75">
        <f>IF(Index!CO81=1,0,$H35*$K35*py*Index!CO34*Index!CO175/unit)</f>
        <v>0</v>
      </c>
      <c r="CQ35" s="75">
        <f>IF(Index!CP81=1,0,$H35*$K35*py*Index!CP34*Index!CP175/unit)</f>
        <v>0</v>
      </c>
      <c r="CR35" s="75">
        <f>IF(Index!CQ81=1,0,$H35*$K35*py*Index!CQ34*Index!CQ175/unit)</f>
        <v>0</v>
      </c>
      <c r="CS35" s="75">
        <f>IF(Index!CR81=1,0,$H35*$K35*py*Index!CR34*Index!CR175/unit)</f>
        <v>0</v>
      </c>
      <c r="CT35" s="75">
        <f>IF(Index!CS81=1,0,$H35*$K35*py*Index!CS34*Index!CS175/unit)</f>
        <v>0</v>
      </c>
      <c r="CU35" s="75">
        <f>IF(Index!CT81=1,0,$H35*$K35*py*Index!CT34*Index!CT175/unit)</f>
        <v>0</v>
      </c>
      <c r="CV35" s="75">
        <f>IF(Index!CU81=1,0,$H35*$K35*py*Index!CU34*Index!CU175/unit)</f>
        <v>0</v>
      </c>
      <c r="CW35" s="75">
        <f>IF(Index!CV81=1,0,$H35*$K35*py*Index!CV34*Index!CV175/unit)</f>
        <v>0</v>
      </c>
      <c r="CX35" s="75">
        <f>IF(Index!CW81=1,0,$H35*$K35*py*Index!CW34*Index!CW175/unit)</f>
        <v>0</v>
      </c>
      <c r="CY35" s="75">
        <f>IF(Index!CX81=1,0,$H35*$K35*py*Index!CX34*Index!CX175/unit)</f>
        <v>0</v>
      </c>
      <c r="CZ35" s="75">
        <f>IF(Index!CY81=1,0,$H35*$K35*py*Index!CY34*Index!CY175/unit)</f>
        <v>0</v>
      </c>
      <c r="DA35" s="75">
        <f>IF(Index!CZ81=1,0,$H35*$K35*py*Index!CZ34*Index!CZ175/unit)</f>
        <v>0</v>
      </c>
      <c r="DB35" s="75">
        <f>IF(Index!DA81=1,0,$H35*$K35*py*Index!DA34*Index!DA175/unit)</f>
        <v>0</v>
      </c>
      <c r="DC35" s="75">
        <f>IF(Index!DB81=1,0,$H35*$K35*py*Index!DB34*Index!DB175/unit)</f>
        <v>0</v>
      </c>
      <c r="DD35" s="75">
        <f>IF(Index!DC81=1,0,$H35*$K35*py*Index!DC34*Index!DC175/unit)</f>
        <v>0</v>
      </c>
      <c r="DE35" s="75">
        <f>IF(Index!DD81=1,0,$H35*$K35*py*Index!DD34*Index!DD175/unit)</f>
        <v>0</v>
      </c>
      <c r="DF35" s="75">
        <f>IF(Index!DE81=1,0,$H35*$K35*py*Index!DE34*Index!DE175/unit)</f>
        <v>0</v>
      </c>
      <c r="DG35" s="75">
        <f>IF(Index!DF81=1,0,$H35*$K35*py*Index!DF34*Index!DF175/unit)</f>
        <v>0</v>
      </c>
      <c r="DH35" s="75">
        <f>IF(Index!DG81=1,0,$H35*$K35*py*Index!DG34*Index!DG175/unit)</f>
        <v>0</v>
      </c>
      <c r="DI35" s="75">
        <f>IF(Index!DH81=1,0,$H35*$K35*py*Index!DH34*Index!DH175/unit)</f>
        <v>0</v>
      </c>
      <c r="DJ35" s="75">
        <f>IF(Index!DI81=1,0,$H35*$K35*py*Index!DI34*Index!DI175/unit)</f>
        <v>0</v>
      </c>
      <c r="DK35" s="75">
        <f>IF(Index!DJ81=1,0,$H35*$K35*py*Index!DJ34*Index!DJ175/unit)</f>
        <v>0</v>
      </c>
      <c r="DL35" s="75">
        <f>IF(Index!DK81=1,0,$H35*$K35*py*Index!DK34*Index!DK175/unit)</f>
        <v>0</v>
      </c>
      <c r="DM35" s="75">
        <f>IF(Index!DL81=1,0,$H35*$K35*py*Index!DL34*Index!DL175/unit)</f>
        <v>0</v>
      </c>
    </row>
    <row r="36" spans="2:117">
      <c r="B36" s="27">
        <f>Rentroll!$C$27</f>
        <v>1</v>
      </c>
      <c r="C36" s="69" t="str">
        <f>VLOOKUP($B36,Rentroll!$C$11:$X$29,3,FALSE)</f>
        <v>파파 커피앤도넛</v>
      </c>
      <c r="D36" s="80">
        <f>VLOOKUP($B36,Rentroll!$C$11:$X$29,9,FALSE)</f>
        <v>42064</v>
      </c>
      <c r="E36" s="80">
        <f>VLOOKUP($B36,Rentroll!$C$11:$X$29,10,FALSE)</f>
        <v>45716</v>
      </c>
      <c r="F36" s="81">
        <f>VLOOKUP($B36,Rentroll!$C$11:$X$29,11,FALSE)</f>
        <v>120</v>
      </c>
      <c r="G36" s="69">
        <f>VLOOKUP($B36,Rentroll!$C$11:$X$29,13,FALSE)</f>
        <v>91334</v>
      </c>
      <c r="H36" s="69">
        <f>VLOOKUP($B36,Rentroll!$C$11:$X$29,14,FALSE)</f>
        <v>83722.833333333328</v>
      </c>
      <c r="I36" s="69">
        <f>VLOOKUP($B36,Rentroll!$C$11:$X$29,15,FALSE)</f>
        <v>39143</v>
      </c>
      <c r="J36" s="82">
        <f>VLOOKUP($B36,Rentroll!$C$11:$X$29,19,FALSE)</f>
        <v>0.03</v>
      </c>
      <c r="K36" s="83">
        <f>VLOOKUP($B36,Rentroll!$C$11:$X$29,4,FALSE)</f>
        <v>969.56</v>
      </c>
      <c r="L36" s="81">
        <f>VLOOKUP($B36,Rentroll!$C$11:$X$29,17,FALSE)</f>
        <v>0</v>
      </c>
      <c r="M36" s="84">
        <f>VLOOKUP($B36,Rentroll!$C$11:$X$29,18,FALSE)</f>
        <v>1</v>
      </c>
      <c r="O36" s="74">
        <f t="shared" si="12"/>
        <v>1</v>
      </c>
      <c r="P36" s="75"/>
      <c r="Q36" s="75">
        <f t="shared" si="13"/>
        <v>24.555228861716664</v>
      </c>
      <c r="R36" s="75"/>
      <c r="S36" s="75">
        <f>IF(Index!R82=1,0,$H36*$K36*py*Index!R35*Index!R176/unit)</f>
        <v>0</v>
      </c>
      <c r="T36" s="75">
        <f>IF(Index!S82=1,0,$H36*$K36*py*Index!S35*Index!S176/unit)</f>
        <v>24.555228861716664</v>
      </c>
      <c r="U36" s="75">
        <f>IF(Index!T82=1,0,$H36*$K36*py*Index!T35*Index!T176/unit)</f>
        <v>0</v>
      </c>
      <c r="V36" s="75">
        <f>IF(Index!U82=1,0,$H36*$K36*py*Index!U35*Index!U176/unit)</f>
        <v>0</v>
      </c>
      <c r="W36" s="75">
        <f>IF(Index!V82=1,0,$H36*$K36*py*Index!V35*Index!V176/unit)</f>
        <v>0</v>
      </c>
      <c r="X36" s="75">
        <f>IF(Index!W82=1,0,$H36*$K36*py*Index!W35*Index!W176/unit)</f>
        <v>0</v>
      </c>
      <c r="Y36" s="75">
        <f>IF(Index!X82=1,0,$H36*$K36*py*Index!X35*Index!X176/unit)</f>
        <v>0</v>
      </c>
      <c r="Z36" s="75">
        <f>IF(Index!Y82=1,0,$H36*$K36*py*Index!Y35*Index!Y176/unit)</f>
        <v>0</v>
      </c>
      <c r="AA36" s="75">
        <f>IF(Index!Z82=1,0,$H36*$K36*py*Index!Z35*Index!Z176/unit)</f>
        <v>0</v>
      </c>
      <c r="AB36" s="75">
        <f>IF(Index!AA82=1,0,$H36*$K36*py*Index!AA35*Index!AA176/unit)</f>
        <v>0</v>
      </c>
      <c r="AC36" s="75">
        <f>IF(Index!AB82=1,0,$H36*$K36*py*Index!AB35*Index!AB176/unit)</f>
        <v>0</v>
      </c>
      <c r="AD36" s="75">
        <f>IF(Index!AC82=1,0,$H36*$K36*py*Index!AC35*Index!AC176/unit)</f>
        <v>0</v>
      </c>
      <c r="AE36" s="75">
        <f>IF(Index!AD82=1,0,$H36*$K36*py*Index!AD35*Index!AD176/unit)</f>
        <v>0</v>
      </c>
      <c r="AF36" s="75">
        <f>IF(Index!AE82=1,0,$H36*$K36*py*Index!AE35*Index!AE176/unit)</f>
        <v>0</v>
      </c>
      <c r="AG36" s="75">
        <f>IF(Index!AF82=1,0,$H36*$K36*py*Index!AF35*Index!AF176/unit)</f>
        <v>0</v>
      </c>
      <c r="AH36" s="75">
        <f>IF(Index!AG82=1,0,$H36*$K36*py*Index!AG35*Index!AG176/unit)</f>
        <v>0</v>
      </c>
      <c r="AI36" s="75">
        <f>IF(Index!AH82=1,0,$H36*$K36*py*Index!AH35*Index!AH176/unit)</f>
        <v>0</v>
      </c>
      <c r="AJ36" s="75">
        <f>IF(Index!AI82=1,0,$H36*$K36*py*Index!AI35*Index!AI176/unit)</f>
        <v>0</v>
      </c>
      <c r="AK36" s="75">
        <f>IF(Index!AJ82=1,0,$H36*$K36*py*Index!AJ35*Index!AJ176/unit)</f>
        <v>0</v>
      </c>
      <c r="AL36" s="75">
        <f>IF(Index!AK82=1,0,$H36*$K36*py*Index!AK35*Index!AK176/unit)</f>
        <v>0</v>
      </c>
      <c r="AM36" s="75">
        <f>IF(Index!AL82=1,0,$H36*$K36*py*Index!AL35*Index!AL176/unit)</f>
        <v>0</v>
      </c>
      <c r="AN36" s="75">
        <f>IF(Index!AM82=1,0,$H36*$K36*py*Index!AM35*Index!AM176/unit)</f>
        <v>0</v>
      </c>
      <c r="AO36" s="75">
        <f>IF(Index!AN82=1,0,$H36*$K36*py*Index!AN35*Index!AN176/unit)</f>
        <v>0</v>
      </c>
      <c r="AP36" s="75">
        <f>IF(Index!AO82=1,0,$H36*$K36*py*Index!AO35*Index!AO176/unit)</f>
        <v>0</v>
      </c>
      <c r="AQ36" s="75">
        <f>IF(Index!AP82=1,0,$H36*$K36*py*Index!AP35*Index!AP176/unit)</f>
        <v>0</v>
      </c>
      <c r="AR36" s="75">
        <f>IF(Index!AQ82=1,0,$H36*$K36*py*Index!AQ35*Index!AQ176/unit)</f>
        <v>0</v>
      </c>
      <c r="AS36" s="75">
        <f>IF(Index!AR82=1,0,$H36*$K36*py*Index!AR35*Index!AR176/unit)</f>
        <v>0</v>
      </c>
      <c r="AT36" s="75">
        <f>IF(Index!AS82=1,0,$H36*$K36*py*Index!AS35*Index!AS176/unit)</f>
        <v>0</v>
      </c>
      <c r="AU36" s="75">
        <f>IF(Index!AT82=1,0,$H36*$K36*py*Index!AT35*Index!AT176/unit)</f>
        <v>0</v>
      </c>
      <c r="AV36" s="75">
        <f>IF(Index!AU82=1,0,$H36*$K36*py*Index!AU35*Index!AU176/unit)</f>
        <v>0</v>
      </c>
      <c r="AW36" s="75">
        <f>IF(Index!AV82=1,0,$H36*$K36*py*Index!AV35*Index!AV176/unit)</f>
        <v>0</v>
      </c>
      <c r="AX36" s="75">
        <f>IF(Index!AW82=1,0,$H36*$K36*py*Index!AW35*Index!AW176/unit)</f>
        <v>0</v>
      </c>
      <c r="AY36" s="75">
        <f>IF(Index!AX82=1,0,$H36*$K36*py*Index!AX35*Index!AX176/unit)</f>
        <v>0</v>
      </c>
      <c r="AZ36" s="75">
        <f>IF(Index!AY82=1,0,$H36*$K36*py*Index!AY35*Index!AY176/unit)</f>
        <v>0</v>
      </c>
      <c r="BA36" s="75">
        <f>IF(Index!AZ82=1,0,$H36*$K36*py*Index!AZ35*Index!AZ176/unit)</f>
        <v>0</v>
      </c>
      <c r="BB36" s="75">
        <f>IF(Index!BA82=1,0,$H36*$K36*py*Index!BA35*Index!BA176/unit)</f>
        <v>0</v>
      </c>
      <c r="BC36" s="75">
        <f>IF(Index!BB82=1,0,$H36*$K36*py*Index!BB35*Index!BB176/unit)</f>
        <v>0</v>
      </c>
      <c r="BD36" s="75">
        <f>IF(Index!BC82=1,0,$H36*$K36*py*Index!BC35*Index!BC176/unit)</f>
        <v>0</v>
      </c>
      <c r="BE36" s="75">
        <f>IF(Index!BD82=1,0,$H36*$K36*py*Index!BD35*Index!BD176/unit)</f>
        <v>0</v>
      </c>
      <c r="BF36" s="75">
        <f>IF(Index!BE82=1,0,$H36*$K36*py*Index!BE35*Index!BE176/unit)</f>
        <v>0</v>
      </c>
      <c r="BG36" s="75">
        <f>IF(Index!BF82=1,0,$H36*$K36*py*Index!BF35*Index!BF176/unit)</f>
        <v>0</v>
      </c>
      <c r="BH36" s="75">
        <f>IF(Index!BG82=1,0,$H36*$K36*py*Index!BG35*Index!BG176/unit)</f>
        <v>0</v>
      </c>
      <c r="BI36" s="75">
        <f>IF(Index!BH82=1,0,$H36*$K36*py*Index!BH35*Index!BH176/unit)</f>
        <v>0</v>
      </c>
      <c r="BJ36" s="75">
        <f>IF(Index!BI82=1,0,$H36*$K36*py*Index!BI35*Index!BI176/unit)</f>
        <v>0</v>
      </c>
      <c r="BK36" s="75">
        <f>IF(Index!BJ82=1,0,$H36*$K36*py*Index!BJ35*Index!BJ176/unit)</f>
        <v>0</v>
      </c>
      <c r="BL36" s="75">
        <f>IF(Index!BK82=1,0,$H36*$K36*py*Index!BK35*Index!BK176/unit)</f>
        <v>0</v>
      </c>
      <c r="BM36" s="75">
        <f>IF(Index!BL82=1,0,$H36*$K36*py*Index!BL35*Index!BL176/unit)</f>
        <v>0</v>
      </c>
      <c r="BN36" s="75">
        <f>IF(Index!BM82=1,0,$H36*$K36*py*Index!BM35*Index!BM176/unit)</f>
        <v>0</v>
      </c>
      <c r="BO36" s="75">
        <f>IF(Index!BN82=1,0,$H36*$K36*py*Index!BN35*Index!BN176/unit)</f>
        <v>0</v>
      </c>
      <c r="BP36" s="75">
        <f>IF(Index!BO82=1,0,$H36*$K36*py*Index!BO35*Index!BO176/unit)</f>
        <v>0</v>
      </c>
      <c r="BQ36" s="75">
        <f>IF(Index!BP82=1,0,$H36*$K36*py*Index!BP35*Index!BP176/unit)</f>
        <v>0</v>
      </c>
      <c r="BR36" s="75">
        <f>IF(Index!BQ82=1,0,$H36*$K36*py*Index!BQ35*Index!BQ176/unit)</f>
        <v>0</v>
      </c>
      <c r="BS36" s="75">
        <f>IF(Index!BR82=1,0,$H36*$K36*py*Index!BR35*Index!BR176/unit)</f>
        <v>0</v>
      </c>
      <c r="BT36" s="75">
        <f>IF(Index!BS82=1,0,$H36*$K36*py*Index!BS35*Index!BS176/unit)</f>
        <v>0</v>
      </c>
      <c r="BU36" s="75">
        <f>IF(Index!BT82=1,0,$H36*$K36*py*Index!BT35*Index!BT176/unit)</f>
        <v>0</v>
      </c>
      <c r="BV36" s="75">
        <f>IF(Index!BU82=1,0,$H36*$K36*py*Index!BU35*Index!BU176/unit)</f>
        <v>0</v>
      </c>
      <c r="BW36" s="75">
        <f>IF(Index!BV82=1,0,$H36*$K36*py*Index!BV35*Index!BV176/unit)</f>
        <v>0</v>
      </c>
      <c r="BX36" s="75">
        <f>IF(Index!BW82=1,0,$H36*$K36*py*Index!BW35*Index!BW176/unit)</f>
        <v>0</v>
      </c>
      <c r="BY36" s="75">
        <f>IF(Index!BX82=1,0,$H36*$K36*py*Index!BX35*Index!BX176/unit)</f>
        <v>0</v>
      </c>
      <c r="BZ36" s="75">
        <f>IF(Index!BY82=1,0,$H36*$K36*py*Index!BY35*Index!BY176/unit)</f>
        <v>0</v>
      </c>
      <c r="CA36" s="75">
        <f>IF(Index!BZ82=1,0,$H36*$K36*py*Index!BZ35*Index!BZ176/unit)</f>
        <v>0</v>
      </c>
      <c r="CB36" s="75">
        <f>IF(Index!CA82=1,0,$H36*$K36*py*Index!CA35*Index!CA176/unit)</f>
        <v>0</v>
      </c>
      <c r="CC36" s="75">
        <f>IF(Index!CB82=1,0,$H36*$K36*py*Index!CB35*Index!CB176/unit)</f>
        <v>0</v>
      </c>
      <c r="CD36" s="75">
        <f>IF(Index!CC82=1,0,$H36*$K36*py*Index!CC35*Index!CC176/unit)</f>
        <v>0</v>
      </c>
      <c r="CE36" s="75">
        <f>IF(Index!CD82=1,0,$H36*$K36*py*Index!CD35*Index!CD176/unit)</f>
        <v>0</v>
      </c>
      <c r="CF36" s="75">
        <f>IF(Index!CE82=1,0,$H36*$K36*py*Index!CE35*Index!CE176/unit)</f>
        <v>0</v>
      </c>
      <c r="CG36" s="75">
        <f>IF(Index!CF82=1,0,$H36*$K36*py*Index!CF35*Index!CF176/unit)</f>
        <v>0</v>
      </c>
      <c r="CH36" s="75">
        <f>IF(Index!CG82=1,0,$H36*$K36*py*Index!CG35*Index!CG176/unit)</f>
        <v>0</v>
      </c>
      <c r="CI36" s="75">
        <f>IF(Index!CH82=1,0,$H36*$K36*py*Index!CH35*Index!CH176/unit)</f>
        <v>0</v>
      </c>
      <c r="CJ36" s="75">
        <f>IF(Index!CI82=1,0,$H36*$K36*py*Index!CI35*Index!CI176/unit)</f>
        <v>0</v>
      </c>
      <c r="CK36" s="75">
        <f>IF(Index!CJ82=1,0,$H36*$K36*py*Index!CJ35*Index!CJ176/unit)</f>
        <v>0</v>
      </c>
      <c r="CL36" s="75">
        <f>IF(Index!CK82=1,0,$H36*$K36*py*Index!CK35*Index!CK176/unit)</f>
        <v>0</v>
      </c>
      <c r="CM36" s="75">
        <f>IF(Index!CL82=1,0,$H36*$K36*py*Index!CL35*Index!CL176/unit)</f>
        <v>0</v>
      </c>
      <c r="CN36" s="75">
        <f>IF(Index!CM82=1,0,$H36*$K36*py*Index!CM35*Index!CM176/unit)</f>
        <v>0</v>
      </c>
      <c r="CO36" s="75">
        <f>IF(Index!CN82=1,0,$H36*$K36*py*Index!CN35*Index!CN176/unit)</f>
        <v>0</v>
      </c>
      <c r="CP36" s="75">
        <f>IF(Index!CO82=1,0,$H36*$K36*py*Index!CO35*Index!CO176/unit)</f>
        <v>0</v>
      </c>
      <c r="CQ36" s="75">
        <f>IF(Index!CP82=1,0,$H36*$K36*py*Index!CP35*Index!CP176/unit)</f>
        <v>0</v>
      </c>
      <c r="CR36" s="75">
        <f>IF(Index!CQ82=1,0,$H36*$K36*py*Index!CQ35*Index!CQ176/unit)</f>
        <v>0</v>
      </c>
      <c r="CS36" s="75">
        <f>IF(Index!CR82=1,0,$H36*$K36*py*Index!CR35*Index!CR176/unit)</f>
        <v>0</v>
      </c>
      <c r="CT36" s="75">
        <f>IF(Index!CS82=1,0,$H36*$K36*py*Index!CS35*Index!CS176/unit)</f>
        <v>0</v>
      </c>
      <c r="CU36" s="75">
        <f>IF(Index!CT82=1,0,$H36*$K36*py*Index!CT35*Index!CT176/unit)</f>
        <v>0</v>
      </c>
      <c r="CV36" s="75">
        <f>IF(Index!CU82=1,0,$H36*$K36*py*Index!CU35*Index!CU176/unit)</f>
        <v>0</v>
      </c>
      <c r="CW36" s="75">
        <f>IF(Index!CV82=1,0,$H36*$K36*py*Index!CV35*Index!CV176/unit)</f>
        <v>0</v>
      </c>
      <c r="CX36" s="75">
        <f>IF(Index!CW82=1,0,$H36*$K36*py*Index!CW35*Index!CW176/unit)</f>
        <v>0</v>
      </c>
      <c r="CY36" s="75">
        <f>IF(Index!CX82=1,0,$H36*$K36*py*Index!CX35*Index!CX176/unit)</f>
        <v>0</v>
      </c>
      <c r="CZ36" s="75">
        <f>IF(Index!CY82=1,0,$H36*$K36*py*Index!CY35*Index!CY176/unit)</f>
        <v>0</v>
      </c>
      <c r="DA36" s="75">
        <f>IF(Index!CZ82=1,0,$H36*$K36*py*Index!CZ35*Index!CZ176/unit)</f>
        <v>0</v>
      </c>
      <c r="DB36" s="75">
        <f>IF(Index!DA82=1,0,$H36*$K36*py*Index!DA35*Index!DA176/unit)</f>
        <v>0</v>
      </c>
      <c r="DC36" s="75">
        <f>IF(Index!DB82=1,0,$H36*$K36*py*Index!DB35*Index!DB176/unit)</f>
        <v>0</v>
      </c>
      <c r="DD36" s="75">
        <f>IF(Index!DC82=1,0,$H36*$K36*py*Index!DC35*Index!DC176/unit)</f>
        <v>0</v>
      </c>
      <c r="DE36" s="75">
        <f>IF(Index!DD82=1,0,$H36*$K36*py*Index!DD35*Index!DD176/unit)</f>
        <v>0</v>
      </c>
      <c r="DF36" s="75">
        <f>IF(Index!DE82=1,0,$H36*$K36*py*Index!DE35*Index!DE176/unit)</f>
        <v>0</v>
      </c>
      <c r="DG36" s="75">
        <f>IF(Index!DF82=1,0,$H36*$K36*py*Index!DF35*Index!DF176/unit)</f>
        <v>0</v>
      </c>
      <c r="DH36" s="75">
        <f>IF(Index!DG82=1,0,$H36*$K36*py*Index!DG35*Index!DG176/unit)</f>
        <v>0</v>
      </c>
      <c r="DI36" s="75">
        <f>IF(Index!DH82=1,0,$H36*$K36*py*Index!DH35*Index!DH176/unit)</f>
        <v>0</v>
      </c>
      <c r="DJ36" s="75">
        <f>IF(Index!DI82=1,0,$H36*$K36*py*Index!DI35*Index!DI176/unit)</f>
        <v>0</v>
      </c>
      <c r="DK36" s="75">
        <f>IF(Index!DJ82=1,0,$H36*$K36*py*Index!DJ35*Index!DJ176/unit)</f>
        <v>0</v>
      </c>
      <c r="DL36" s="75">
        <f>IF(Index!DK82=1,0,$H36*$K36*py*Index!DK35*Index!DK176/unit)</f>
        <v>0</v>
      </c>
      <c r="DM36" s="75">
        <f>IF(Index!DL82=1,0,$H36*$K36*py*Index!DL35*Index!DL176/unit)</f>
        <v>0</v>
      </c>
    </row>
    <row r="37" spans="2:117">
      <c r="B37" s="27" t="str">
        <f>Rentroll!$C$28</f>
        <v>B101호</v>
      </c>
      <c r="C37" s="69" t="str">
        <f>VLOOKUP($B37,Rentroll!$C$11:$X$29,3,FALSE)</f>
        <v>퀸즈 샌드위치</v>
      </c>
      <c r="D37" s="80">
        <f>VLOOKUP($B37,Rentroll!$C$11:$X$29,9,FALSE)</f>
        <v>44926</v>
      </c>
      <c r="E37" s="80">
        <f>VLOOKUP($B37,Rentroll!$C$11:$X$29,10,FALSE)</f>
        <v>46751</v>
      </c>
      <c r="F37" s="81">
        <f>VLOOKUP($B37,Rentroll!$C$11:$X$29,11,FALSE)</f>
        <v>60</v>
      </c>
      <c r="G37" s="69">
        <f>VLOOKUP($B37,Rentroll!$C$11:$X$29,13,FALSE)</f>
        <v>21218</v>
      </c>
      <c r="H37" s="69">
        <f>VLOOKUP($B37,Rentroll!$C$11:$X$29,14,FALSE)</f>
        <v>17681.666666666668</v>
      </c>
      <c r="I37" s="69">
        <f>VLOOKUP($B37,Rentroll!$C$11:$X$29,15,FALSE)</f>
        <v>31827</v>
      </c>
      <c r="J37" s="82">
        <f>VLOOKUP($B37,Rentroll!$C$11:$X$29,19,FALSE)</f>
        <v>0.03</v>
      </c>
      <c r="K37" s="83">
        <f>VLOOKUP($B37,Rentroll!$C$11:$X$29,4,FALSE)</f>
        <v>969.56</v>
      </c>
      <c r="L37" s="81">
        <f>VLOOKUP($B37,Rentroll!$C$11:$X$29,17,FALSE)</f>
        <v>0</v>
      </c>
      <c r="M37" s="84">
        <f>VLOOKUP($B37,Rentroll!$C$11:$X$29,18,FALSE)</f>
        <v>2</v>
      </c>
      <c r="O37" s="74" t="str">
        <f t="shared" si="12"/>
        <v>B101호</v>
      </c>
      <c r="P37" s="75"/>
      <c r="Q37" s="75">
        <f t="shared" si="13"/>
        <v>187.16290480275453</v>
      </c>
      <c r="R37" s="75"/>
      <c r="S37" s="75">
        <f>IF(Index!R83=1,0,$H37*$K37*py*Index!R36*Index!R177/unit)</f>
        <v>0</v>
      </c>
      <c r="T37" s="75">
        <f>IF(Index!S83=1,0,$H37*$K37*py*Index!S36*Index!S177/unit)</f>
        <v>5.1858896118333329</v>
      </c>
      <c r="U37" s="75">
        <f>IF(Index!T83=1,0,$H37*$K37*py*Index!T36*Index!T177/unit)</f>
        <v>5.1858896118333329</v>
      </c>
      <c r="V37" s="75">
        <f>IF(Index!U83=1,0,$H37*$K37*py*Index!U36*Index!U177/unit)</f>
        <v>5.1858896118333329</v>
      </c>
      <c r="W37" s="75">
        <f>IF(Index!V83=1,0,$H37*$K37*py*Index!V36*Index!V177/unit)</f>
        <v>5.1858896118333329</v>
      </c>
      <c r="X37" s="75">
        <f>IF(Index!W83=1,0,$H37*$K37*py*Index!W36*Index!W177/unit)</f>
        <v>5.1858896118333329</v>
      </c>
      <c r="Y37" s="75">
        <f>IF(Index!X83=1,0,$H37*$K37*py*Index!X36*Index!X177/unit)</f>
        <v>5.1858896118333329</v>
      </c>
      <c r="Z37" s="75">
        <f>IF(Index!Y83=1,0,$H37*$K37*py*Index!Y36*Index!Y177/unit)</f>
        <v>5.1858896118333329</v>
      </c>
      <c r="AA37" s="75">
        <f>IF(Index!Z83=1,0,$H37*$K37*py*Index!Z36*Index!Z177/unit)</f>
        <v>5.1858896118333329</v>
      </c>
      <c r="AB37" s="75">
        <f>IF(Index!AA83=1,0,$H37*$K37*py*Index!AA36*Index!AA177/unit)</f>
        <v>5.1858896118333329</v>
      </c>
      <c r="AC37" s="75">
        <f>IF(Index!AB83=1,0,$H37*$K37*py*Index!AB36*Index!AB177/unit)</f>
        <v>5.1858896118333329</v>
      </c>
      <c r="AD37" s="75">
        <f>IF(Index!AC83=1,0,$H37*$K37*py*Index!AC36*Index!AC177/unit)</f>
        <v>5.1858896118333329</v>
      </c>
      <c r="AE37" s="75">
        <f>IF(Index!AD83=1,0,$H37*$K37*py*Index!AD36*Index!AD177/unit)</f>
        <v>5.3414663001883325</v>
      </c>
      <c r="AF37" s="75">
        <f>IF(Index!AE83=1,0,$H37*$K37*py*Index!AE36*Index!AE177/unit)</f>
        <v>5.3414663001883325</v>
      </c>
      <c r="AG37" s="75">
        <f>IF(Index!AF83=1,0,$H37*$K37*py*Index!AF36*Index!AF177/unit)</f>
        <v>5.3414663001883325</v>
      </c>
      <c r="AH37" s="75">
        <f>IF(Index!AG83=1,0,$H37*$K37*py*Index!AG36*Index!AG177/unit)</f>
        <v>5.3414663001883325</v>
      </c>
      <c r="AI37" s="75">
        <f>IF(Index!AH83=1,0,$H37*$K37*py*Index!AH36*Index!AH177/unit)</f>
        <v>5.3414663001883325</v>
      </c>
      <c r="AJ37" s="75">
        <f>IF(Index!AI83=1,0,$H37*$K37*py*Index!AI36*Index!AI177/unit)</f>
        <v>5.3414663001883325</v>
      </c>
      <c r="AK37" s="75">
        <f>IF(Index!AJ83=1,0,$H37*$K37*py*Index!AJ36*Index!AJ177/unit)</f>
        <v>5.3414663001883325</v>
      </c>
      <c r="AL37" s="75">
        <f>IF(Index!AK83=1,0,$H37*$K37*py*Index!AK36*Index!AK177/unit)</f>
        <v>5.3414663001883325</v>
      </c>
      <c r="AM37" s="75">
        <f>IF(Index!AL83=1,0,$H37*$K37*py*Index!AL36*Index!AL177/unit)</f>
        <v>5.3414663001883325</v>
      </c>
      <c r="AN37" s="75">
        <f>IF(Index!AM83=1,0,$H37*$K37*py*Index!AM36*Index!AM177/unit)</f>
        <v>5.3414663001883325</v>
      </c>
      <c r="AO37" s="75">
        <f>IF(Index!AN83=1,0,$H37*$K37*py*Index!AN36*Index!AN177/unit)</f>
        <v>5.3414663001883325</v>
      </c>
      <c r="AP37" s="75">
        <f>IF(Index!AO83=1,0,$H37*$K37*py*Index!AO36*Index!AO177/unit)</f>
        <v>5.3414663001883325</v>
      </c>
      <c r="AQ37" s="75">
        <f>IF(Index!AP83=1,0,$H37*$K37*py*Index!AP36*Index!AP177/unit)</f>
        <v>5.5017102891939835</v>
      </c>
      <c r="AR37" s="75">
        <f>IF(Index!AQ83=1,0,$H37*$K37*py*Index!AQ36*Index!AQ177/unit)</f>
        <v>5.5017102891939835</v>
      </c>
      <c r="AS37" s="75">
        <f>IF(Index!AR83=1,0,$H37*$K37*py*Index!AR36*Index!AR177/unit)</f>
        <v>5.5017102891939835</v>
      </c>
      <c r="AT37" s="75">
        <f>IF(Index!AS83=1,0,$H37*$K37*py*Index!AS36*Index!AS177/unit)</f>
        <v>5.5017102891939835</v>
      </c>
      <c r="AU37" s="75">
        <f>IF(Index!AT83=1,0,$H37*$K37*py*Index!AT36*Index!AT177/unit)</f>
        <v>5.5017102891939835</v>
      </c>
      <c r="AV37" s="75">
        <f>IF(Index!AU83=1,0,$H37*$K37*py*Index!AU36*Index!AU177/unit)</f>
        <v>5.5017102891939835</v>
      </c>
      <c r="AW37" s="75">
        <f>IF(Index!AV83=1,0,$H37*$K37*py*Index!AV36*Index!AV177/unit)</f>
        <v>5.5017102891939835</v>
      </c>
      <c r="AX37" s="75">
        <f>IF(Index!AW83=1,0,$H37*$K37*py*Index!AW36*Index!AW177/unit)</f>
        <v>5.5017102891939835</v>
      </c>
      <c r="AY37" s="75">
        <f>IF(Index!AX83=1,0,$H37*$K37*py*Index!AX36*Index!AX177/unit)</f>
        <v>5.5017102891939835</v>
      </c>
      <c r="AZ37" s="75">
        <f>IF(Index!AY83=1,0,$H37*$K37*py*Index!AY36*Index!AY177/unit)</f>
        <v>5.5017102891939835</v>
      </c>
      <c r="BA37" s="75">
        <f>IF(Index!AZ83=1,0,$H37*$K37*py*Index!AZ36*Index!AZ177/unit)</f>
        <v>5.5017102891939835</v>
      </c>
      <c r="BB37" s="75">
        <f>IF(Index!BA83=1,0,$H37*$K37*py*Index!BA36*Index!BA177/unit)</f>
        <v>5.5017102891939835</v>
      </c>
      <c r="BC37" s="75">
        <f>IF(Index!BB83=1,0,$H37*$K37*py*Index!BB36*Index!BB177/unit)</f>
        <v>0</v>
      </c>
      <c r="BD37" s="75">
        <f>IF(Index!BC83=1,0,$H37*$K37*py*Index!BC36*Index!BC177/unit)</f>
        <v>0</v>
      </c>
      <c r="BE37" s="75">
        <f>IF(Index!BD83=1,0,$H37*$K37*py*Index!BD36*Index!BD177/unit)</f>
        <v>0</v>
      </c>
      <c r="BF37" s="75">
        <f>IF(Index!BE83=1,0,$H37*$K37*py*Index!BE36*Index!BE177/unit)</f>
        <v>0</v>
      </c>
      <c r="BG37" s="75">
        <f>IF(Index!BF83=1,0,$H37*$K37*py*Index!BF36*Index!BF177/unit)</f>
        <v>0</v>
      </c>
      <c r="BH37" s="75">
        <f>IF(Index!BG83=1,0,$H37*$K37*py*Index!BG36*Index!BG177/unit)</f>
        <v>0</v>
      </c>
      <c r="BI37" s="75">
        <f>IF(Index!BH83=1,0,$H37*$K37*py*Index!BH36*Index!BH177/unit)</f>
        <v>0</v>
      </c>
      <c r="BJ37" s="75">
        <f>IF(Index!BI83=1,0,$H37*$K37*py*Index!BI36*Index!BI177/unit)</f>
        <v>0</v>
      </c>
      <c r="BK37" s="75">
        <f>IF(Index!BJ83=1,0,$H37*$K37*py*Index!BJ36*Index!BJ177/unit)</f>
        <v>0</v>
      </c>
      <c r="BL37" s="75">
        <f>IF(Index!BK83=1,0,$H37*$K37*py*Index!BK36*Index!BK177/unit)</f>
        <v>0</v>
      </c>
      <c r="BM37" s="75">
        <f>IF(Index!BL83=1,0,$H37*$K37*py*Index!BL36*Index!BL177/unit)</f>
        <v>0</v>
      </c>
      <c r="BN37" s="75">
        <f>IF(Index!BM83=1,0,$H37*$K37*py*Index!BM36*Index!BM177/unit)</f>
        <v>0</v>
      </c>
      <c r="BO37" s="75">
        <f>IF(Index!BN83=1,0,$H37*$K37*py*Index!BN36*Index!BN177/unit)</f>
        <v>0</v>
      </c>
      <c r="BP37" s="75">
        <f>IF(Index!BO83=1,0,$H37*$K37*py*Index!BO36*Index!BO177/unit)</f>
        <v>0</v>
      </c>
      <c r="BQ37" s="75">
        <f>IF(Index!BP83=1,0,$H37*$K37*py*Index!BP36*Index!BP177/unit)</f>
        <v>0</v>
      </c>
      <c r="BR37" s="75">
        <f>IF(Index!BQ83=1,0,$H37*$K37*py*Index!BQ36*Index!BQ177/unit)</f>
        <v>0</v>
      </c>
      <c r="BS37" s="75">
        <f>IF(Index!BR83=1,0,$H37*$K37*py*Index!BR36*Index!BR177/unit)</f>
        <v>0</v>
      </c>
      <c r="BT37" s="75">
        <f>IF(Index!BS83=1,0,$H37*$K37*py*Index!BS36*Index!BS177/unit)</f>
        <v>0</v>
      </c>
      <c r="BU37" s="75">
        <f>IF(Index!BT83=1,0,$H37*$K37*py*Index!BT36*Index!BT177/unit)</f>
        <v>0</v>
      </c>
      <c r="BV37" s="75">
        <f>IF(Index!BU83=1,0,$H37*$K37*py*Index!BU36*Index!BU177/unit)</f>
        <v>0</v>
      </c>
      <c r="BW37" s="75">
        <f>IF(Index!BV83=1,0,$H37*$K37*py*Index!BV36*Index!BV177/unit)</f>
        <v>0</v>
      </c>
      <c r="BX37" s="75">
        <f>IF(Index!BW83=1,0,$H37*$K37*py*Index!BW36*Index!BW177/unit)</f>
        <v>0</v>
      </c>
      <c r="BY37" s="75">
        <f>IF(Index!BX83=1,0,$H37*$K37*py*Index!BX36*Index!BX177/unit)</f>
        <v>0</v>
      </c>
      <c r="BZ37" s="75">
        <f>IF(Index!BY83=1,0,$H37*$K37*py*Index!BY36*Index!BY177/unit)</f>
        <v>0</v>
      </c>
      <c r="CA37" s="75">
        <f>IF(Index!BZ83=1,0,$H37*$K37*py*Index!BZ36*Index!BZ177/unit)</f>
        <v>0</v>
      </c>
      <c r="CB37" s="75">
        <f>IF(Index!CA83=1,0,$H37*$K37*py*Index!CA36*Index!CA177/unit)</f>
        <v>0</v>
      </c>
      <c r="CC37" s="75">
        <f>IF(Index!CB83=1,0,$H37*$K37*py*Index!CB36*Index!CB177/unit)</f>
        <v>0</v>
      </c>
      <c r="CD37" s="75">
        <f>IF(Index!CC83=1,0,$H37*$K37*py*Index!CC36*Index!CC177/unit)</f>
        <v>0</v>
      </c>
      <c r="CE37" s="75">
        <f>IF(Index!CD83=1,0,$H37*$K37*py*Index!CD36*Index!CD177/unit)</f>
        <v>0</v>
      </c>
      <c r="CF37" s="75">
        <f>IF(Index!CE83=1,0,$H37*$K37*py*Index!CE36*Index!CE177/unit)</f>
        <v>0</v>
      </c>
      <c r="CG37" s="75">
        <f>IF(Index!CF83=1,0,$H37*$K37*py*Index!CF36*Index!CF177/unit)</f>
        <v>0</v>
      </c>
      <c r="CH37" s="75">
        <f>IF(Index!CG83=1,0,$H37*$K37*py*Index!CG36*Index!CG177/unit)</f>
        <v>0</v>
      </c>
      <c r="CI37" s="75">
        <f>IF(Index!CH83=1,0,$H37*$K37*py*Index!CH36*Index!CH177/unit)</f>
        <v>0</v>
      </c>
      <c r="CJ37" s="75">
        <f>IF(Index!CI83=1,0,$H37*$K37*py*Index!CI36*Index!CI177/unit)</f>
        <v>0</v>
      </c>
      <c r="CK37" s="75">
        <f>IF(Index!CJ83=1,0,$H37*$K37*py*Index!CJ36*Index!CJ177/unit)</f>
        <v>0</v>
      </c>
      <c r="CL37" s="75">
        <f>IF(Index!CK83=1,0,$H37*$K37*py*Index!CK36*Index!CK177/unit)</f>
        <v>0</v>
      </c>
      <c r="CM37" s="75">
        <f>IF(Index!CL83=1,0,$H37*$K37*py*Index!CL36*Index!CL177/unit)</f>
        <v>0</v>
      </c>
      <c r="CN37" s="75">
        <f>IF(Index!CM83=1,0,$H37*$K37*py*Index!CM36*Index!CM177/unit)</f>
        <v>0</v>
      </c>
      <c r="CO37" s="75">
        <f>IF(Index!CN83=1,0,$H37*$K37*py*Index!CN36*Index!CN177/unit)</f>
        <v>0</v>
      </c>
      <c r="CP37" s="75">
        <f>IF(Index!CO83=1,0,$H37*$K37*py*Index!CO36*Index!CO177/unit)</f>
        <v>0</v>
      </c>
      <c r="CQ37" s="75">
        <f>IF(Index!CP83=1,0,$H37*$K37*py*Index!CP36*Index!CP177/unit)</f>
        <v>0</v>
      </c>
      <c r="CR37" s="75">
        <f>IF(Index!CQ83=1,0,$H37*$K37*py*Index!CQ36*Index!CQ177/unit)</f>
        <v>0</v>
      </c>
      <c r="CS37" s="75">
        <f>IF(Index!CR83=1,0,$H37*$K37*py*Index!CR36*Index!CR177/unit)</f>
        <v>0</v>
      </c>
      <c r="CT37" s="75">
        <f>IF(Index!CS83=1,0,$H37*$K37*py*Index!CS36*Index!CS177/unit)</f>
        <v>0</v>
      </c>
      <c r="CU37" s="75">
        <f>IF(Index!CT83=1,0,$H37*$K37*py*Index!CT36*Index!CT177/unit)</f>
        <v>0</v>
      </c>
      <c r="CV37" s="75">
        <f>IF(Index!CU83=1,0,$H37*$K37*py*Index!CU36*Index!CU177/unit)</f>
        <v>0</v>
      </c>
      <c r="CW37" s="75">
        <f>IF(Index!CV83=1,0,$H37*$K37*py*Index!CV36*Index!CV177/unit)</f>
        <v>0</v>
      </c>
      <c r="CX37" s="75">
        <f>IF(Index!CW83=1,0,$H37*$K37*py*Index!CW36*Index!CW177/unit)</f>
        <v>0</v>
      </c>
      <c r="CY37" s="75">
        <f>IF(Index!CX83=1,0,$H37*$K37*py*Index!CX36*Index!CX177/unit)</f>
        <v>0</v>
      </c>
      <c r="CZ37" s="75">
        <f>IF(Index!CY83=1,0,$H37*$K37*py*Index!CY36*Index!CY177/unit)</f>
        <v>0</v>
      </c>
      <c r="DA37" s="75">
        <f>IF(Index!CZ83=1,0,$H37*$K37*py*Index!CZ36*Index!CZ177/unit)</f>
        <v>0</v>
      </c>
      <c r="DB37" s="75">
        <f>IF(Index!DA83=1,0,$H37*$K37*py*Index!DA36*Index!DA177/unit)</f>
        <v>0</v>
      </c>
      <c r="DC37" s="75">
        <f>IF(Index!DB83=1,0,$H37*$K37*py*Index!DB36*Index!DB177/unit)</f>
        <v>0</v>
      </c>
      <c r="DD37" s="75">
        <f>IF(Index!DC83=1,0,$H37*$K37*py*Index!DC36*Index!DC177/unit)</f>
        <v>0</v>
      </c>
      <c r="DE37" s="75">
        <f>IF(Index!DD83=1,0,$H37*$K37*py*Index!DD36*Index!DD177/unit)</f>
        <v>0</v>
      </c>
      <c r="DF37" s="75">
        <f>IF(Index!DE83=1,0,$H37*$K37*py*Index!DE36*Index!DE177/unit)</f>
        <v>0</v>
      </c>
      <c r="DG37" s="75">
        <f>IF(Index!DF83=1,0,$H37*$K37*py*Index!DF36*Index!DF177/unit)</f>
        <v>0</v>
      </c>
      <c r="DH37" s="75">
        <f>IF(Index!DG83=1,0,$H37*$K37*py*Index!DG36*Index!DG177/unit)</f>
        <v>0</v>
      </c>
      <c r="DI37" s="75">
        <f>IF(Index!DH83=1,0,$H37*$K37*py*Index!DH36*Index!DH177/unit)</f>
        <v>0</v>
      </c>
      <c r="DJ37" s="75">
        <f>IF(Index!DI83=1,0,$H37*$K37*py*Index!DI36*Index!DI177/unit)</f>
        <v>0</v>
      </c>
      <c r="DK37" s="75">
        <f>IF(Index!DJ83=1,0,$H37*$K37*py*Index!DJ36*Index!DJ177/unit)</f>
        <v>0</v>
      </c>
      <c r="DL37" s="75">
        <f>IF(Index!DK83=1,0,$H37*$K37*py*Index!DK36*Index!DK177/unit)</f>
        <v>0</v>
      </c>
      <c r="DM37" s="75">
        <f>IF(Index!DL83=1,0,$H37*$K37*py*Index!DL36*Index!DL177/unit)</f>
        <v>0</v>
      </c>
    </row>
    <row r="38" spans="2:117">
      <c r="B38" s="27" t="str">
        <f>Rentroll!$C$29</f>
        <v>B102호</v>
      </c>
      <c r="C38" s="69" t="str">
        <f>VLOOKUP($B38,Rentroll!$C$11:$X$29,3,FALSE)</f>
        <v>로미오 문구점</v>
      </c>
      <c r="D38" s="80">
        <f>VLOOKUP($B38,Rentroll!$C$11:$X$29,9,FALSE)</f>
        <v>44592</v>
      </c>
      <c r="E38" s="80">
        <f>VLOOKUP($B38,Rentroll!$C$11:$X$29,10,FALSE)</f>
        <v>46417</v>
      </c>
      <c r="F38" s="81">
        <f>VLOOKUP($B38,Rentroll!$C$11:$X$29,11,FALSE)</f>
        <v>60</v>
      </c>
      <c r="G38" s="69">
        <f>VLOOKUP($B38,Rentroll!$C$11:$X$29,13,FALSE)</f>
        <v>31827</v>
      </c>
      <c r="H38" s="69">
        <f>VLOOKUP($B38,Rentroll!$C$11:$X$29,14,FALSE)</f>
        <v>23870.25</v>
      </c>
      <c r="I38" s="69">
        <f>VLOOKUP($B38,Rentroll!$C$11:$X$29,15,FALSE)</f>
        <v>31827</v>
      </c>
      <c r="J38" s="82">
        <f>VLOOKUP($B38,Rentroll!$C$11:$X$29,19,FALSE)</f>
        <v>0.03</v>
      </c>
      <c r="K38" s="83">
        <f>VLOOKUP($B38,Rentroll!$C$11:$X$29,4,FALSE)</f>
        <v>969.56</v>
      </c>
      <c r="L38" s="81">
        <f>VLOOKUP($B38,Rentroll!$C$11:$X$29,17,FALSE)</f>
        <v>0</v>
      </c>
      <c r="M38" s="84">
        <f>VLOOKUP($B38,Rentroll!$C$11:$X$29,18,FALSE)</f>
        <v>3</v>
      </c>
      <c r="O38" s="26" t="str">
        <f t="shared" si="12"/>
        <v>B102호</v>
      </c>
      <c r="P38" s="76"/>
      <c r="Q38" s="76">
        <f t="shared" si="13"/>
        <v>170.54316577475095</v>
      </c>
      <c r="R38" s="76"/>
      <c r="S38" s="76">
        <f>IF(Index!R84=1,0,$H38*$K38*py*Index!R37*Index!R178/unit)</f>
        <v>0</v>
      </c>
      <c r="T38" s="76">
        <f>IF(Index!S84=1,0,$H38*$K38*py*Index!S37*Index!S178/unit)</f>
        <v>7.000950975974999</v>
      </c>
      <c r="U38" s="76">
        <f>IF(Index!T84=1,0,$H38*$K38*py*Index!T37*Index!T178/unit)</f>
        <v>7.000950975974999</v>
      </c>
      <c r="V38" s="76">
        <f>IF(Index!U84=1,0,$H38*$K38*py*Index!U37*Index!U178/unit)</f>
        <v>7.000950975974999</v>
      </c>
      <c r="W38" s="76">
        <f>IF(Index!V84=1,0,$H38*$K38*py*Index!V37*Index!V178/unit)</f>
        <v>7.000950975974999</v>
      </c>
      <c r="X38" s="76">
        <f>IF(Index!W84=1,0,$H38*$K38*py*Index!W37*Index!W178/unit)</f>
        <v>7.000950975974999</v>
      </c>
      <c r="Y38" s="76">
        <f>IF(Index!X84=1,0,$H38*$K38*py*Index!X37*Index!X178/unit)</f>
        <v>7.000950975974999</v>
      </c>
      <c r="Z38" s="76">
        <f>IF(Index!Y84=1,0,$H38*$K38*py*Index!Y37*Index!Y178/unit)</f>
        <v>7.000950975974999</v>
      </c>
      <c r="AA38" s="76">
        <f>IF(Index!Z84=1,0,$H38*$K38*py*Index!Z37*Index!Z178/unit)</f>
        <v>7.000950975974999</v>
      </c>
      <c r="AB38" s="76">
        <f>IF(Index!AA84=1,0,$H38*$K38*py*Index!AA37*Index!AA178/unit)</f>
        <v>7.000950975974999</v>
      </c>
      <c r="AC38" s="76">
        <f>IF(Index!AB84=1,0,$H38*$K38*py*Index!AB37*Index!AB178/unit)</f>
        <v>7.000950975974999</v>
      </c>
      <c r="AD38" s="76">
        <f>IF(Index!AC84=1,0,$H38*$K38*py*Index!AC37*Index!AC178/unit)</f>
        <v>7.000950975974999</v>
      </c>
      <c r="AE38" s="76">
        <f>IF(Index!AD84=1,0,$H38*$K38*py*Index!AD37*Index!AD178/unit)</f>
        <v>7.000950975974999</v>
      </c>
      <c r="AF38" s="76">
        <f>IF(Index!AE84=1,0,$H38*$K38*py*Index!AE37*Index!AE178/unit)</f>
        <v>7.2109795052542491</v>
      </c>
      <c r="AG38" s="76">
        <f>IF(Index!AF84=1,0,$H38*$K38*py*Index!AF37*Index!AF178/unit)</f>
        <v>7.2109795052542491</v>
      </c>
      <c r="AH38" s="76">
        <f>IF(Index!AG84=1,0,$H38*$K38*py*Index!AG37*Index!AG178/unit)</f>
        <v>7.2109795052542491</v>
      </c>
      <c r="AI38" s="76">
        <f>IF(Index!AH84=1,0,$H38*$K38*py*Index!AH37*Index!AH178/unit)</f>
        <v>7.2109795052542491</v>
      </c>
      <c r="AJ38" s="76">
        <f>IF(Index!AI84=1,0,$H38*$K38*py*Index!AI37*Index!AI178/unit)</f>
        <v>7.2109795052542491</v>
      </c>
      <c r="AK38" s="76">
        <f>IF(Index!AJ84=1,0,$H38*$K38*py*Index!AJ37*Index!AJ178/unit)</f>
        <v>7.2109795052542491</v>
      </c>
      <c r="AL38" s="76">
        <f>IF(Index!AK84=1,0,$H38*$K38*py*Index!AK37*Index!AK178/unit)</f>
        <v>7.2109795052542491</v>
      </c>
      <c r="AM38" s="76">
        <f>IF(Index!AL84=1,0,$H38*$K38*py*Index!AL37*Index!AL178/unit)</f>
        <v>7.2109795052542491</v>
      </c>
      <c r="AN38" s="76">
        <f>IF(Index!AM84=1,0,$H38*$K38*py*Index!AM37*Index!AM178/unit)</f>
        <v>7.2109795052542491</v>
      </c>
      <c r="AO38" s="76">
        <f>IF(Index!AN84=1,0,$H38*$K38*py*Index!AN37*Index!AN178/unit)</f>
        <v>7.2109795052542491</v>
      </c>
      <c r="AP38" s="76">
        <f>IF(Index!AO84=1,0,$H38*$K38*py*Index!AO37*Index!AO178/unit)</f>
        <v>7.2109795052542491</v>
      </c>
      <c r="AQ38" s="76">
        <f>IF(Index!AP84=1,0,$H38*$K38*py*Index!AP37*Index!AP178/unit)</f>
        <v>7.2109795052542491</v>
      </c>
      <c r="AR38" s="76">
        <f>IF(Index!AQ84=1,0,$H38*$K38*py*Index!AQ37*Index!AQ178/unit)</f>
        <v>0</v>
      </c>
      <c r="AS38" s="76">
        <f>IF(Index!AR84=1,0,$H38*$K38*py*Index!AR37*Index!AR178/unit)</f>
        <v>0</v>
      </c>
      <c r="AT38" s="76">
        <f>IF(Index!AS84=1,0,$H38*$K38*py*Index!AS37*Index!AS178/unit)</f>
        <v>0</v>
      </c>
      <c r="AU38" s="76">
        <f>IF(Index!AT84=1,0,$H38*$K38*py*Index!AT37*Index!AT178/unit)</f>
        <v>0</v>
      </c>
      <c r="AV38" s="76">
        <f>IF(Index!AU84=1,0,$H38*$K38*py*Index!AU37*Index!AU178/unit)</f>
        <v>0</v>
      </c>
      <c r="AW38" s="76">
        <f>IF(Index!AV84=1,0,$H38*$K38*py*Index!AV37*Index!AV178/unit)</f>
        <v>0</v>
      </c>
      <c r="AX38" s="76">
        <f>IF(Index!AW84=1,0,$H38*$K38*py*Index!AW37*Index!AW178/unit)</f>
        <v>0</v>
      </c>
      <c r="AY38" s="76">
        <f>IF(Index!AX84=1,0,$H38*$K38*py*Index!AX37*Index!AX178/unit)</f>
        <v>0</v>
      </c>
      <c r="AZ38" s="76">
        <f>IF(Index!AY84=1,0,$H38*$K38*py*Index!AY37*Index!AY178/unit)</f>
        <v>0</v>
      </c>
      <c r="BA38" s="76">
        <f>IF(Index!AZ84=1,0,$H38*$K38*py*Index!AZ37*Index!AZ178/unit)</f>
        <v>0</v>
      </c>
      <c r="BB38" s="76">
        <f>IF(Index!BA84=1,0,$H38*$K38*py*Index!BA37*Index!BA178/unit)</f>
        <v>0</v>
      </c>
      <c r="BC38" s="76">
        <f>IF(Index!BB84=1,0,$H38*$K38*py*Index!BB37*Index!BB178/unit)</f>
        <v>0</v>
      </c>
      <c r="BD38" s="76">
        <f>IF(Index!BC84=1,0,$H38*$K38*py*Index!BC37*Index!BC178/unit)</f>
        <v>0</v>
      </c>
      <c r="BE38" s="76">
        <f>IF(Index!BD84=1,0,$H38*$K38*py*Index!BD37*Index!BD178/unit)</f>
        <v>0</v>
      </c>
      <c r="BF38" s="76">
        <f>IF(Index!BE84=1,0,$H38*$K38*py*Index!BE37*Index!BE178/unit)</f>
        <v>0</v>
      </c>
      <c r="BG38" s="76">
        <f>IF(Index!BF84=1,0,$H38*$K38*py*Index!BF37*Index!BF178/unit)</f>
        <v>0</v>
      </c>
      <c r="BH38" s="76">
        <f>IF(Index!BG84=1,0,$H38*$K38*py*Index!BG37*Index!BG178/unit)</f>
        <v>0</v>
      </c>
      <c r="BI38" s="76">
        <f>IF(Index!BH84=1,0,$H38*$K38*py*Index!BH37*Index!BH178/unit)</f>
        <v>0</v>
      </c>
      <c r="BJ38" s="76">
        <f>IF(Index!BI84=1,0,$H38*$K38*py*Index!BI37*Index!BI178/unit)</f>
        <v>0</v>
      </c>
      <c r="BK38" s="76">
        <f>IF(Index!BJ84=1,0,$H38*$K38*py*Index!BJ37*Index!BJ178/unit)</f>
        <v>0</v>
      </c>
      <c r="BL38" s="76">
        <f>IF(Index!BK84=1,0,$H38*$K38*py*Index!BK37*Index!BK178/unit)</f>
        <v>0</v>
      </c>
      <c r="BM38" s="76">
        <f>IF(Index!BL84=1,0,$H38*$K38*py*Index!BL37*Index!BL178/unit)</f>
        <v>0</v>
      </c>
      <c r="BN38" s="76">
        <f>IF(Index!BM84=1,0,$H38*$K38*py*Index!BM37*Index!BM178/unit)</f>
        <v>0</v>
      </c>
      <c r="BO38" s="76">
        <f>IF(Index!BN84=1,0,$H38*$K38*py*Index!BN37*Index!BN178/unit)</f>
        <v>0</v>
      </c>
      <c r="BP38" s="76">
        <f>IF(Index!BO84=1,0,$H38*$K38*py*Index!BO37*Index!BO178/unit)</f>
        <v>0</v>
      </c>
      <c r="BQ38" s="76">
        <f>IF(Index!BP84=1,0,$H38*$K38*py*Index!BP37*Index!BP178/unit)</f>
        <v>0</v>
      </c>
      <c r="BR38" s="76">
        <f>IF(Index!BQ84=1,0,$H38*$K38*py*Index!BQ37*Index!BQ178/unit)</f>
        <v>0</v>
      </c>
      <c r="BS38" s="76">
        <f>IF(Index!BR84=1,0,$H38*$K38*py*Index!BR37*Index!BR178/unit)</f>
        <v>0</v>
      </c>
      <c r="BT38" s="76">
        <f>IF(Index!BS84=1,0,$H38*$K38*py*Index!BS37*Index!BS178/unit)</f>
        <v>0</v>
      </c>
      <c r="BU38" s="76">
        <f>IF(Index!BT84=1,0,$H38*$K38*py*Index!BT37*Index!BT178/unit)</f>
        <v>0</v>
      </c>
      <c r="BV38" s="76">
        <f>IF(Index!BU84=1,0,$H38*$K38*py*Index!BU37*Index!BU178/unit)</f>
        <v>0</v>
      </c>
      <c r="BW38" s="76">
        <f>IF(Index!BV84=1,0,$H38*$K38*py*Index!BV37*Index!BV178/unit)</f>
        <v>0</v>
      </c>
      <c r="BX38" s="76">
        <f>IF(Index!BW84=1,0,$H38*$K38*py*Index!BW37*Index!BW178/unit)</f>
        <v>0</v>
      </c>
      <c r="BY38" s="76">
        <f>IF(Index!BX84=1,0,$H38*$K38*py*Index!BX37*Index!BX178/unit)</f>
        <v>0</v>
      </c>
      <c r="BZ38" s="76">
        <f>IF(Index!BY84=1,0,$H38*$K38*py*Index!BY37*Index!BY178/unit)</f>
        <v>0</v>
      </c>
      <c r="CA38" s="76">
        <f>IF(Index!BZ84=1,0,$H38*$K38*py*Index!BZ37*Index!BZ178/unit)</f>
        <v>0</v>
      </c>
      <c r="CB38" s="76">
        <f>IF(Index!CA84=1,0,$H38*$K38*py*Index!CA37*Index!CA178/unit)</f>
        <v>0</v>
      </c>
      <c r="CC38" s="76">
        <f>IF(Index!CB84=1,0,$H38*$K38*py*Index!CB37*Index!CB178/unit)</f>
        <v>0</v>
      </c>
      <c r="CD38" s="76">
        <f>IF(Index!CC84=1,0,$H38*$K38*py*Index!CC37*Index!CC178/unit)</f>
        <v>0</v>
      </c>
      <c r="CE38" s="76">
        <f>IF(Index!CD84=1,0,$H38*$K38*py*Index!CD37*Index!CD178/unit)</f>
        <v>0</v>
      </c>
      <c r="CF38" s="76">
        <f>IF(Index!CE84=1,0,$H38*$K38*py*Index!CE37*Index!CE178/unit)</f>
        <v>0</v>
      </c>
      <c r="CG38" s="76">
        <f>IF(Index!CF84=1,0,$H38*$K38*py*Index!CF37*Index!CF178/unit)</f>
        <v>0</v>
      </c>
      <c r="CH38" s="76">
        <f>IF(Index!CG84=1,0,$H38*$K38*py*Index!CG37*Index!CG178/unit)</f>
        <v>0</v>
      </c>
      <c r="CI38" s="76">
        <f>IF(Index!CH84=1,0,$H38*$K38*py*Index!CH37*Index!CH178/unit)</f>
        <v>0</v>
      </c>
      <c r="CJ38" s="76">
        <f>IF(Index!CI84=1,0,$H38*$K38*py*Index!CI37*Index!CI178/unit)</f>
        <v>0</v>
      </c>
      <c r="CK38" s="76">
        <f>IF(Index!CJ84=1,0,$H38*$K38*py*Index!CJ37*Index!CJ178/unit)</f>
        <v>0</v>
      </c>
      <c r="CL38" s="76">
        <f>IF(Index!CK84=1,0,$H38*$K38*py*Index!CK37*Index!CK178/unit)</f>
        <v>0</v>
      </c>
      <c r="CM38" s="76">
        <f>IF(Index!CL84=1,0,$H38*$K38*py*Index!CL37*Index!CL178/unit)</f>
        <v>0</v>
      </c>
      <c r="CN38" s="76">
        <f>IF(Index!CM84=1,0,$H38*$K38*py*Index!CM37*Index!CM178/unit)</f>
        <v>0</v>
      </c>
      <c r="CO38" s="76">
        <f>IF(Index!CN84=1,0,$H38*$K38*py*Index!CN37*Index!CN178/unit)</f>
        <v>0</v>
      </c>
      <c r="CP38" s="76">
        <f>IF(Index!CO84=1,0,$H38*$K38*py*Index!CO37*Index!CO178/unit)</f>
        <v>0</v>
      </c>
      <c r="CQ38" s="76">
        <f>IF(Index!CP84=1,0,$H38*$K38*py*Index!CP37*Index!CP178/unit)</f>
        <v>0</v>
      </c>
      <c r="CR38" s="76">
        <f>IF(Index!CQ84=1,0,$H38*$K38*py*Index!CQ37*Index!CQ178/unit)</f>
        <v>0</v>
      </c>
      <c r="CS38" s="76">
        <f>IF(Index!CR84=1,0,$H38*$K38*py*Index!CR37*Index!CR178/unit)</f>
        <v>0</v>
      </c>
      <c r="CT38" s="76">
        <f>IF(Index!CS84=1,0,$H38*$K38*py*Index!CS37*Index!CS178/unit)</f>
        <v>0</v>
      </c>
      <c r="CU38" s="76">
        <f>IF(Index!CT84=1,0,$H38*$K38*py*Index!CT37*Index!CT178/unit)</f>
        <v>0</v>
      </c>
      <c r="CV38" s="76">
        <f>IF(Index!CU84=1,0,$H38*$K38*py*Index!CU37*Index!CU178/unit)</f>
        <v>0</v>
      </c>
      <c r="CW38" s="76">
        <f>IF(Index!CV84=1,0,$H38*$K38*py*Index!CV37*Index!CV178/unit)</f>
        <v>0</v>
      </c>
      <c r="CX38" s="76">
        <f>IF(Index!CW84=1,0,$H38*$K38*py*Index!CW37*Index!CW178/unit)</f>
        <v>0</v>
      </c>
      <c r="CY38" s="76">
        <f>IF(Index!CX84=1,0,$H38*$K38*py*Index!CX37*Index!CX178/unit)</f>
        <v>0</v>
      </c>
      <c r="CZ38" s="76">
        <f>IF(Index!CY84=1,0,$H38*$K38*py*Index!CY37*Index!CY178/unit)</f>
        <v>0</v>
      </c>
      <c r="DA38" s="76">
        <f>IF(Index!CZ84=1,0,$H38*$K38*py*Index!CZ37*Index!CZ178/unit)</f>
        <v>0</v>
      </c>
      <c r="DB38" s="76">
        <f>IF(Index!DA84=1,0,$H38*$K38*py*Index!DA37*Index!DA178/unit)</f>
        <v>0</v>
      </c>
      <c r="DC38" s="76">
        <f>IF(Index!DB84=1,0,$H38*$K38*py*Index!DB37*Index!DB178/unit)</f>
        <v>0</v>
      </c>
      <c r="DD38" s="76">
        <f>IF(Index!DC84=1,0,$H38*$K38*py*Index!DC37*Index!DC178/unit)</f>
        <v>0</v>
      </c>
      <c r="DE38" s="76">
        <f>IF(Index!DD84=1,0,$H38*$K38*py*Index!DD37*Index!DD178/unit)</f>
        <v>0</v>
      </c>
      <c r="DF38" s="76">
        <f>IF(Index!DE84=1,0,$H38*$K38*py*Index!DE37*Index!DE178/unit)</f>
        <v>0</v>
      </c>
      <c r="DG38" s="76">
        <f>IF(Index!DF84=1,0,$H38*$K38*py*Index!DF37*Index!DF178/unit)</f>
        <v>0</v>
      </c>
      <c r="DH38" s="76">
        <f>IF(Index!DG84=1,0,$H38*$K38*py*Index!DG37*Index!DG178/unit)</f>
        <v>0</v>
      </c>
      <c r="DI38" s="76">
        <f>IF(Index!DH84=1,0,$H38*$K38*py*Index!DH37*Index!DH178/unit)</f>
        <v>0</v>
      </c>
      <c r="DJ38" s="76">
        <f>IF(Index!DI84=1,0,$H38*$K38*py*Index!DI37*Index!DI178/unit)</f>
        <v>0</v>
      </c>
      <c r="DK38" s="76">
        <f>IF(Index!DJ84=1,0,$H38*$K38*py*Index!DJ37*Index!DJ178/unit)</f>
        <v>0</v>
      </c>
      <c r="DL38" s="76">
        <f>IF(Index!DK84=1,0,$H38*$K38*py*Index!DK37*Index!DK178/unit)</f>
        <v>0</v>
      </c>
      <c r="DM38" s="76">
        <f>IF(Index!DL84=1,0,$H38*$K38*py*Index!DL37*Index!DL178/unit)</f>
        <v>0</v>
      </c>
    </row>
    <row r="39" spans="2:117">
      <c r="B39" s="70" t="s">
        <v>47</v>
      </c>
      <c r="C39" s="71" t="s">
        <v>49</v>
      </c>
      <c r="D39" s="71" t="s">
        <v>97</v>
      </c>
      <c r="E39" s="71" t="s">
        <v>98</v>
      </c>
      <c r="F39" s="71" t="s">
        <v>84</v>
      </c>
      <c r="G39" s="71" t="s">
        <v>104</v>
      </c>
      <c r="H39" s="71" t="s">
        <v>105</v>
      </c>
      <c r="I39" s="71" t="s">
        <v>103</v>
      </c>
      <c r="J39" s="71" t="s">
        <v>99</v>
      </c>
      <c r="K39" s="71" t="s">
        <v>102</v>
      </c>
      <c r="L39" s="71" t="s">
        <v>100</v>
      </c>
      <c r="M39" s="72" t="s">
        <v>101</v>
      </c>
      <c r="O39" s="123" t="s">
        <v>108</v>
      </c>
      <c r="P39" s="123"/>
      <c r="Q39" s="123">
        <f>SUM(S39:DM39)</f>
        <v>30617.255060426556</v>
      </c>
      <c r="R39" s="123"/>
      <c r="S39" s="123">
        <f>SUM(S40:S63)</f>
        <v>0</v>
      </c>
      <c r="T39" s="123">
        <f>SUM(T40:T63)</f>
        <v>0</v>
      </c>
      <c r="U39" s="123">
        <f t="shared" ref="U39:CE39" si="14">SUM(U40:U63)</f>
        <v>113.28434689687498</v>
      </c>
      <c r="V39" s="123">
        <f t="shared" si="14"/>
        <v>113.28434689687498</v>
      </c>
      <c r="W39" s="123">
        <f t="shared" si="14"/>
        <v>126.90151295937498</v>
      </c>
      <c r="X39" s="123">
        <f t="shared" si="14"/>
        <v>167.75301114687497</v>
      </c>
      <c r="Y39" s="123">
        <f t="shared" si="14"/>
        <v>167.75301114687497</v>
      </c>
      <c r="Z39" s="123">
        <f t="shared" si="14"/>
        <v>211.74679614687497</v>
      </c>
      <c r="AA39" s="123">
        <f>SUM(AA40:AA63)</f>
        <v>369.98524895520836</v>
      </c>
      <c r="AB39" s="123">
        <f t="shared" si="14"/>
        <v>369.98524895520836</v>
      </c>
      <c r="AC39" s="123">
        <f t="shared" si="14"/>
        <v>369.98524895520836</v>
      </c>
      <c r="AD39" s="123">
        <f t="shared" si="14"/>
        <v>369.98524895520836</v>
      </c>
      <c r="AE39" s="123">
        <f t="shared" si="14"/>
        <v>369.98524895520836</v>
      </c>
      <c r="AF39" s="123">
        <f t="shared" si="14"/>
        <v>373.38377936211464</v>
      </c>
      <c r="AG39" s="123">
        <f t="shared" si="14"/>
        <v>373.38377936211464</v>
      </c>
      <c r="AH39" s="123">
        <f t="shared" si="14"/>
        <v>375.01783928961459</v>
      </c>
      <c r="AI39" s="123">
        <f t="shared" si="14"/>
        <v>375.01783928961459</v>
      </c>
      <c r="AJ39" s="123">
        <f t="shared" si="14"/>
        <v>375.01783928961459</v>
      </c>
      <c r="AK39" s="123">
        <f t="shared" si="14"/>
        <v>376.33765283961463</v>
      </c>
      <c r="AL39" s="123">
        <f t="shared" si="14"/>
        <v>381.08480642386468</v>
      </c>
      <c r="AM39" s="123">
        <f t="shared" si="14"/>
        <v>381.08480642386468</v>
      </c>
      <c r="AN39" s="123">
        <f t="shared" si="14"/>
        <v>381.08480642386468</v>
      </c>
      <c r="AO39" s="123">
        <f t="shared" si="14"/>
        <v>381.08480642386468</v>
      </c>
      <c r="AP39" s="123">
        <f t="shared" si="14"/>
        <v>381.08480642386468</v>
      </c>
      <c r="AQ39" s="123">
        <f t="shared" si="14"/>
        <v>381.08480642386468</v>
      </c>
      <c r="AR39" s="123">
        <f t="shared" si="14"/>
        <v>384.58529274297814</v>
      </c>
      <c r="AS39" s="123">
        <f t="shared" si="14"/>
        <v>399.87070237385689</v>
      </c>
      <c r="AT39" s="123">
        <f t="shared" si="14"/>
        <v>401.55378409918177</v>
      </c>
      <c r="AU39" s="123">
        <f t="shared" si="14"/>
        <v>527.46016503745227</v>
      </c>
      <c r="AV39" s="123">
        <f t="shared" si="14"/>
        <v>527.46016503745227</v>
      </c>
      <c r="AW39" s="123">
        <f t="shared" si="14"/>
        <v>528.81957299395231</v>
      </c>
      <c r="AX39" s="123">
        <f t="shared" si="14"/>
        <v>533.70914118572978</v>
      </c>
      <c r="AY39" s="123">
        <f t="shared" si="14"/>
        <v>533.70914118572978</v>
      </c>
      <c r="AZ39" s="123">
        <f t="shared" si="14"/>
        <v>533.70914118572978</v>
      </c>
      <c r="BA39" s="123">
        <f t="shared" si="14"/>
        <v>533.70914118572978</v>
      </c>
      <c r="BB39" s="123">
        <f t="shared" si="14"/>
        <v>533.70914118572978</v>
      </c>
      <c r="BC39" s="123">
        <f t="shared" si="14"/>
        <v>533.70914118572978</v>
      </c>
      <c r="BD39" s="123">
        <f t="shared" si="14"/>
        <v>553.05861401422158</v>
      </c>
      <c r="BE39" s="123">
        <f t="shared" si="14"/>
        <v>553.05861401422158</v>
      </c>
      <c r="BF39" s="123">
        <f t="shared" si="14"/>
        <v>558.56937961945459</v>
      </c>
      <c r="BG39" s="123">
        <f t="shared" si="14"/>
        <v>558.56937961945459</v>
      </c>
      <c r="BH39" s="123">
        <f t="shared" si="14"/>
        <v>688.25295198587355</v>
      </c>
      <c r="BI39" s="123">
        <f t="shared" si="14"/>
        <v>689.65314218106846</v>
      </c>
      <c r="BJ39" s="123">
        <f t="shared" si="14"/>
        <v>694.68939741859913</v>
      </c>
      <c r="BK39" s="123">
        <f t="shared" si="14"/>
        <v>694.68939741859913</v>
      </c>
      <c r="BL39" s="123">
        <f t="shared" si="14"/>
        <v>694.68939741859913</v>
      </c>
      <c r="BM39" s="123">
        <f t="shared" si="14"/>
        <v>694.68939741859913</v>
      </c>
      <c r="BN39" s="123">
        <f t="shared" si="14"/>
        <v>694.68939741859913</v>
      </c>
      <c r="BO39" s="123">
        <f t="shared" si="14"/>
        <v>695.1479597075255</v>
      </c>
      <c r="BP39" s="123">
        <f t="shared" si="14"/>
        <v>788.38333115934142</v>
      </c>
      <c r="BQ39" s="123">
        <f t="shared" si="14"/>
        <v>788.38333115934142</v>
      </c>
      <c r="BR39" s="123">
        <f t="shared" si="14"/>
        <v>794.05941973273139</v>
      </c>
      <c r="BS39" s="123">
        <f t="shared" si="14"/>
        <v>794.05941973273139</v>
      </c>
      <c r="BT39" s="123">
        <f t="shared" si="14"/>
        <v>797.94992690372374</v>
      </c>
      <c r="BU39" s="123">
        <f t="shared" si="14"/>
        <v>799.39212280477454</v>
      </c>
      <c r="BV39" s="123">
        <f t="shared" si="14"/>
        <v>804.57946569943147</v>
      </c>
      <c r="BW39" s="123">
        <f t="shared" si="14"/>
        <v>804.57946569943147</v>
      </c>
      <c r="BX39" s="123">
        <f t="shared" si="14"/>
        <v>804.57946569943147</v>
      </c>
      <c r="BY39" s="123">
        <f t="shared" si="14"/>
        <v>804.57946569943147</v>
      </c>
      <c r="BZ39" s="123">
        <f t="shared" si="14"/>
        <v>804.57946569943147</v>
      </c>
      <c r="CA39" s="123">
        <f t="shared" si="14"/>
        <v>805.05178485702572</v>
      </c>
      <c r="CB39" s="123">
        <f t="shared" si="14"/>
        <v>0</v>
      </c>
      <c r="CC39" s="123">
        <f t="shared" si="14"/>
        <v>0</v>
      </c>
      <c r="CD39" s="123">
        <f t="shared" si="14"/>
        <v>0</v>
      </c>
      <c r="CE39" s="123">
        <f t="shared" si="14"/>
        <v>0</v>
      </c>
      <c r="CF39" s="123">
        <f t="shared" ref="CF39:DM39" si="15">SUM(CF40:CF63)</f>
        <v>0</v>
      </c>
      <c r="CG39" s="123">
        <f t="shared" si="15"/>
        <v>0</v>
      </c>
      <c r="CH39" s="123">
        <f t="shared" si="15"/>
        <v>0</v>
      </c>
      <c r="CI39" s="123">
        <f t="shared" si="15"/>
        <v>0</v>
      </c>
      <c r="CJ39" s="123">
        <f t="shared" si="15"/>
        <v>0</v>
      </c>
      <c r="CK39" s="123">
        <f t="shared" si="15"/>
        <v>0</v>
      </c>
      <c r="CL39" s="123">
        <f t="shared" si="15"/>
        <v>0</v>
      </c>
      <c r="CM39" s="123">
        <f t="shared" si="15"/>
        <v>0</v>
      </c>
      <c r="CN39" s="123">
        <f t="shared" si="15"/>
        <v>0</v>
      </c>
      <c r="CO39" s="123">
        <f t="shared" si="15"/>
        <v>0</v>
      </c>
      <c r="CP39" s="123">
        <f t="shared" si="15"/>
        <v>0</v>
      </c>
      <c r="CQ39" s="123">
        <f t="shared" si="15"/>
        <v>0</v>
      </c>
      <c r="CR39" s="123">
        <f t="shared" si="15"/>
        <v>0</v>
      </c>
      <c r="CS39" s="123">
        <f t="shared" si="15"/>
        <v>0</v>
      </c>
      <c r="CT39" s="123">
        <f t="shared" si="15"/>
        <v>0</v>
      </c>
      <c r="CU39" s="123">
        <f t="shared" si="15"/>
        <v>0</v>
      </c>
      <c r="CV39" s="123">
        <f t="shared" si="15"/>
        <v>0</v>
      </c>
      <c r="CW39" s="123">
        <f t="shared" si="15"/>
        <v>0</v>
      </c>
      <c r="CX39" s="123">
        <f t="shared" si="15"/>
        <v>0</v>
      </c>
      <c r="CY39" s="123">
        <f t="shared" si="15"/>
        <v>0</v>
      </c>
      <c r="CZ39" s="123">
        <f t="shared" si="15"/>
        <v>0</v>
      </c>
      <c r="DA39" s="123">
        <f t="shared" si="15"/>
        <v>0</v>
      </c>
      <c r="DB39" s="123">
        <f t="shared" si="15"/>
        <v>0</v>
      </c>
      <c r="DC39" s="123">
        <f t="shared" si="15"/>
        <v>0</v>
      </c>
      <c r="DD39" s="123">
        <f t="shared" si="15"/>
        <v>0</v>
      </c>
      <c r="DE39" s="123">
        <f t="shared" si="15"/>
        <v>0</v>
      </c>
      <c r="DF39" s="123">
        <f t="shared" si="15"/>
        <v>0</v>
      </c>
      <c r="DG39" s="123">
        <f t="shared" si="15"/>
        <v>0</v>
      </c>
      <c r="DH39" s="123">
        <f t="shared" si="15"/>
        <v>0</v>
      </c>
      <c r="DI39" s="123">
        <f t="shared" si="15"/>
        <v>0</v>
      </c>
      <c r="DJ39" s="123">
        <f t="shared" si="15"/>
        <v>0</v>
      </c>
      <c r="DK39" s="123">
        <f t="shared" si="15"/>
        <v>0</v>
      </c>
      <c r="DL39" s="123">
        <f t="shared" si="15"/>
        <v>0</v>
      </c>
      <c r="DM39" s="123">
        <f t="shared" si="15"/>
        <v>0</v>
      </c>
    </row>
    <row r="40" spans="2:117">
      <c r="B40" s="27">
        <f>Rentroll!$C$37</f>
        <v>17</v>
      </c>
      <c r="C40" s="69" t="str">
        <f>VLOOKUP($B40,Rentroll!$C$37:$Z$60,3,FALSE)</f>
        <v>리마 상사</v>
      </c>
      <c r="D40" s="80">
        <f>VLOOKUP($B40,Rentroll!$C$37:$Z$60,9,FALSE)</f>
        <v>47149</v>
      </c>
      <c r="E40" s="80">
        <f>VLOOKUP($B40,Rentroll!$C$37:$Z$60,10,FALSE)</f>
        <v>48975</v>
      </c>
      <c r="F40" s="81">
        <f>VLOOKUP($B40,Rentroll!$C$37:$Z$60,11,FALSE)</f>
        <v>60</v>
      </c>
      <c r="G40" s="69">
        <f>VLOOKUP($B40,Rentroll!$C$37:$Z$60,13,FALSE)</f>
        <v>115927.40742999999</v>
      </c>
      <c r="H40" s="69">
        <f>VLOOKUP($B40,Rentroll!$C$37:$Z$60,14,FALSE)</f>
        <v>106266.79014416666</v>
      </c>
      <c r="I40" s="69">
        <f>VLOOKUP($B40,Rentroll!$C$37:$Z$60,15,FALSE)</f>
        <v>50647.896449999993</v>
      </c>
      <c r="J40" s="82">
        <f>VLOOKUP($B40,Rentroll!$C$37:$Z$60,19,FALSE)</f>
        <v>0.03</v>
      </c>
      <c r="K40" s="83">
        <f>VLOOKUP($B40,Rentroll!$C$37:$Z$60,4,FALSE)</f>
        <v>1385.09</v>
      </c>
      <c r="L40" s="81">
        <f>VLOOKUP($B40,Rentroll!$C$37:$Z$60,17,FALSE)</f>
        <v>0</v>
      </c>
      <c r="M40" s="84">
        <f>VLOOKUP($B40,Rentroll!$C$37:$Z$60,18,FALSE)</f>
        <v>1</v>
      </c>
      <c r="O40" s="46">
        <f>B40</f>
        <v>17</v>
      </c>
      <c r="P40" s="73"/>
      <c r="Q40" s="73">
        <f t="shared" si="13"/>
        <v>534.29631814964512</v>
      </c>
      <c r="R40" s="73"/>
      <c r="S40" s="73">
        <f>IF(Index!R86=1,0,$H40*$K40*py*Index!R39*Index!R180/unit)</f>
        <v>0</v>
      </c>
      <c r="T40" s="73">
        <f>IF(Index!S86=1,0,$H40*$K40*py*Index!S39*Index!S180/unit)</f>
        <v>0</v>
      </c>
      <c r="U40" s="73">
        <f>IF(Index!T86=1,0,$H40*$K40*py*Index!T39*Index!T180/unit)</f>
        <v>0</v>
      </c>
      <c r="V40" s="73">
        <f>IF(Index!U86=1,0,$H40*$K40*py*Index!U39*Index!U180/unit)</f>
        <v>0</v>
      </c>
      <c r="W40" s="73">
        <f>IF(Index!V86=1,0,$H40*$K40*py*Index!V39*Index!V180/unit)</f>
        <v>0</v>
      </c>
      <c r="X40" s="73">
        <f>IF(Index!W86=1,0,$H40*$K40*py*Index!W39*Index!W180/unit)</f>
        <v>0</v>
      </c>
      <c r="Y40" s="73">
        <f>IF(Index!X86=1,0,$H40*$K40*py*Index!X39*Index!X180/unit)</f>
        <v>0</v>
      </c>
      <c r="Z40" s="73">
        <f>IF(Index!Y86=1,0,$H40*$K40*py*Index!Y39*Index!Y180/unit)</f>
        <v>0</v>
      </c>
      <c r="AA40" s="73">
        <f>IF(Index!Z86=1,0,$H40*$K40*py*Index!Z39*Index!Z180/unit)</f>
        <v>0</v>
      </c>
      <c r="AB40" s="73">
        <f>IF(Index!AA86=1,0,$H40*$K40*py*Index!AA39*Index!AA180/unit)</f>
        <v>0</v>
      </c>
      <c r="AC40" s="73">
        <f>IF(Index!AB86=1,0,$H40*$K40*py*Index!AB39*Index!AB180/unit)</f>
        <v>0</v>
      </c>
      <c r="AD40" s="73">
        <f>IF(Index!AC86=1,0,$H40*$K40*py*Index!AC39*Index!AC180/unit)</f>
        <v>0</v>
      </c>
      <c r="AE40" s="73">
        <f>IF(Index!AD86=1,0,$H40*$K40*py*Index!AD39*Index!AD180/unit)</f>
        <v>0</v>
      </c>
      <c r="AF40" s="73">
        <f>IF(Index!AE86=1,0,$H40*$K40*py*Index!AE39*Index!AE180/unit)</f>
        <v>0</v>
      </c>
      <c r="AG40" s="73">
        <f>IF(Index!AF86=1,0,$H40*$K40*py*Index!AF39*Index!AF180/unit)</f>
        <v>0</v>
      </c>
      <c r="AH40" s="73">
        <f>IF(Index!AG86=1,0,$H40*$K40*py*Index!AG39*Index!AG180/unit)</f>
        <v>0</v>
      </c>
      <c r="AI40" s="73">
        <f>IF(Index!AH86=1,0,$H40*$K40*py*Index!AH39*Index!AH180/unit)</f>
        <v>0</v>
      </c>
      <c r="AJ40" s="73">
        <f>IF(Index!AI86=1,0,$H40*$K40*py*Index!AI39*Index!AI180/unit)</f>
        <v>0</v>
      </c>
      <c r="AK40" s="73">
        <f>IF(Index!AJ86=1,0,$H40*$K40*py*Index!AJ39*Index!AJ180/unit)</f>
        <v>0</v>
      </c>
      <c r="AL40" s="73">
        <f>IF(Index!AK86=1,0,$H40*$K40*py*Index!AK39*Index!AK180/unit)</f>
        <v>0</v>
      </c>
      <c r="AM40" s="73">
        <f>IF(Index!AL86=1,0,$H40*$K40*py*Index!AL39*Index!AL180/unit)</f>
        <v>0</v>
      </c>
      <c r="AN40" s="73">
        <f>IF(Index!AM86=1,0,$H40*$K40*py*Index!AM39*Index!AM180/unit)</f>
        <v>0</v>
      </c>
      <c r="AO40" s="73">
        <f>IF(Index!AN86=1,0,$H40*$K40*py*Index!AN39*Index!AN180/unit)</f>
        <v>0</v>
      </c>
      <c r="AP40" s="73">
        <f>IF(Index!AO86=1,0,$H40*$K40*py*Index!AO39*Index!AO180/unit)</f>
        <v>0</v>
      </c>
      <c r="AQ40" s="73">
        <f>IF(Index!AP86=1,0,$H40*$K40*py*Index!AP39*Index!AP180/unit)</f>
        <v>0</v>
      </c>
      <c r="AR40" s="73">
        <f>IF(Index!AQ86=1,0,$H40*$K40*py*Index!AQ39*Index!AQ180/unit)</f>
        <v>0</v>
      </c>
      <c r="AS40" s="73">
        <f>IF(Index!AR86=1,0,$H40*$K40*py*Index!AR39*Index!AR180/unit)</f>
        <v>0</v>
      </c>
      <c r="AT40" s="73">
        <f>IF(Index!AS86=1,0,$H40*$K40*py*Index!AS39*Index!AS180/unit)</f>
        <v>0</v>
      </c>
      <c r="AU40" s="73">
        <f>IF(Index!AT86=1,0,$H40*$K40*py*Index!AT39*Index!AT180/unit)</f>
        <v>0</v>
      </c>
      <c r="AV40" s="73">
        <f>IF(Index!AU86=1,0,$H40*$K40*py*Index!AU39*Index!AU180/unit)</f>
        <v>0</v>
      </c>
      <c r="AW40" s="73">
        <f>IF(Index!AV86=1,0,$H40*$K40*py*Index!AV39*Index!AV180/unit)</f>
        <v>0</v>
      </c>
      <c r="AX40" s="73">
        <f>IF(Index!AW86=1,0,$H40*$K40*py*Index!AW39*Index!AW180/unit)</f>
        <v>0</v>
      </c>
      <c r="AY40" s="73">
        <f>IF(Index!AX86=1,0,$H40*$K40*py*Index!AX39*Index!AX180/unit)</f>
        <v>0</v>
      </c>
      <c r="AZ40" s="73">
        <f>IF(Index!AY86=1,0,$H40*$K40*py*Index!AY39*Index!AY180/unit)</f>
        <v>0</v>
      </c>
      <c r="BA40" s="73">
        <f>IF(Index!AZ86=1,0,$H40*$K40*py*Index!AZ39*Index!AZ180/unit)</f>
        <v>0</v>
      </c>
      <c r="BB40" s="73">
        <f>IF(Index!BA86=1,0,$H40*$K40*py*Index!BA39*Index!BA180/unit)</f>
        <v>0</v>
      </c>
      <c r="BC40" s="73">
        <f>IF(Index!BB86=1,0,$H40*$K40*py*Index!BB39*Index!BB180/unit)</f>
        <v>0</v>
      </c>
      <c r="BD40" s="73">
        <f>IF(Index!BC86=1,0,$H40*$K40*py*Index!BC39*Index!BC180/unit)</f>
        <v>0</v>
      </c>
      <c r="BE40" s="73">
        <f>IF(Index!BD86=1,0,$H40*$K40*py*Index!BD39*Index!BD180/unit)</f>
        <v>0</v>
      </c>
      <c r="BF40" s="73">
        <f>IF(Index!BE86=1,0,$H40*$K40*py*Index!BE39*Index!BE180/unit)</f>
        <v>0</v>
      </c>
      <c r="BG40" s="73">
        <f>IF(Index!BF86=1,0,$H40*$K40*py*Index!BF39*Index!BF180/unit)</f>
        <v>0</v>
      </c>
      <c r="BH40" s="73">
        <f>IF(Index!BG86=1,0,$H40*$K40*py*Index!BG39*Index!BG180/unit)</f>
        <v>0</v>
      </c>
      <c r="BI40" s="73">
        <f>IF(Index!BH86=1,0,$H40*$K40*py*Index!BH39*Index!BH180/unit)</f>
        <v>0</v>
      </c>
      <c r="BJ40" s="73">
        <f>IF(Index!BI86=1,0,$H40*$K40*py*Index!BI39*Index!BI180/unit)</f>
        <v>0</v>
      </c>
      <c r="BK40" s="73">
        <f>IF(Index!BJ86=1,0,$H40*$K40*py*Index!BJ39*Index!BJ180/unit)</f>
        <v>0</v>
      </c>
      <c r="BL40" s="73">
        <f>IF(Index!BK86=1,0,$H40*$K40*py*Index!BK39*Index!BK180/unit)</f>
        <v>0</v>
      </c>
      <c r="BM40" s="73">
        <f>IF(Index!BL86=1,0,$H40*$K40*py*Index!BL39*Index!BL180/unit)</f>
        <v>0</v>
      </c>
      <c r="BN40" s="73">
        <f>IF(Index!BM86=1,0,$H40*$K40*py*Index!BM39*Index!BM180/unit)</f>
        <v>0</v>
      </c>
      <c r="BO40" s="73">
        <f>IF(Index!BN86=1,0,$H40*$K40*py*Index!BN39*Index!BN180/unit)</f>
        <v>0</v>
      </c>
      <c r="BP40" s="73">
        <f>IF(Index!BO86=1,0,$H40*$K40*py*Index!BO39*Index!BO180/unit)</f>
        <v>44.524693179137095</v>
      </c>
      <c r="BQ40" s="73">
        <f>IF(Index!BP86=1,0,$H40*$K40*py*Index!BP39*Index!BP180/unit)</f>
        <v>44.524693179137095</v>
      </c>
      <c r="BR40" s="73">
        <f>IF(Index!BQ86=1,0,$H40*$K40*py*Index!BQ39*Index!BQ180/unit)</f>
        <v>44.524693179137095</v>
      </c>
      <c r="BS40" s="73">
        <f>IF(Index!BR86=1,0,$H40*$K40*py*Index!BR39*Index!BR180/unit)</f>
        <v>44.524693179137095</v>
      </c>
      <c r="BT40" s="73">
        <f>IF(Index!BS86=1,0,$H40*$K40*py*Index!BS39*Index!BS180/unit)</f>
        <v>44.524693179137095</v>
      </c>
      <c r="BU40" s="73">
        <f>IF(Index!BT86=1,0,$H40*$K40*py*Index!BT39*Index!BT180/unit)</f>
        <v>44.524693179137095</v>
      </c>
      <c r="BV40" s="73">
        <f>IF(Index!BU86=1,0,$H40*$K40*py*Index!BU39*Index!BU180/unit)</f>
        <v>44.524693179137095</v>
      </c>
      <c r="BW40" s="73">
        <f>IF(Index!BV86=1,0,$H40*$K40*py*Index!BV39*Index!BV180/unit)</f>
        <v>44.524693179137095</v>
      </c>
      <c r="BX40" s="73">
        <f>IF(Index!BW86=1,0,$H40*$K40*py*Index!BW39*Index!BW180/unit)</f>
        <v>44.524693179137095</v>
      </c>
      <c r="BY40" s="73">
        <f>IF(Index!BX86=1,0,$H40*$K40*py*Index!BX39*Index!BX180/unit)</f>
        <v>44.524693179137095</v>
      </c>
      <c r="BZ40" s="73">
        <f>IF(Index!BY86=1,0,$H40*$K40*py*Index!BY39*Index!BY180/unit)</f>
        <v>44.524693179137095</v>
      </c>
      <c r="CA40" s="73">
        <f>IF(Index!BZ86=1,0,$H40*$K40*py*Index!BZ39*Index!BZ180/unit)</f>
        <v>44.524693179137095</v>
      </c>
      <c r="CB40" s="73">
        <f>IF(Index!CA86=1,0,$H40*$K40*py*Index!CA39*Index!CA180/unit)</f>
        <v>0</v>
      </c>
      <c r="CC40" s="73">
        <f>IF(Index!CB86=1,0,$H40*$K40*py*Index!CB39*Index!CB180/unit)</f>
        <v>0</v>
      </c>
      <c r="CD40" s="73">
        <f>IF(Index!CC86=1,0,$H40*$K40*py*Index!CC39*Index!CC180/unit)</f>
        <v>0</v>
      </c>
      <c r="CE40" s="73">
        <f>IF(Index!CD86=1,0,$H40*$K40*py*Index!CD39*Index!CD180/unit)</f>
        <v>0</v>
      </c>
      <c r="CF40" s="73">
        <f>IF(Index!CE86=1,0,$H40*$K40*py*Index!CE39*Index!CE180/unit)</f>
        <v>0</v>
      </c>
      <c r="CG40" s="73">
        <f>IF(Index!CF86=1,0,$H40*$K40*py*Index!CF39*Index!CF180/unit)</f>
        <v>0</v>
      </c>
      <c r="CH40" s="73">
        <f>IF(Index!CG86=1,0,$H40*$K40*py*Index!CG39*Index!CG180/unit)</f>
        <v>0</v>
      </c>
      <c r="CI40" s="73">
        <f>IF(Index!CH86=1,0,$H40*$K40*py*Index!CH39*Index!CH180/unit)</f>
        <v>0</v>
      </c>
      <c r="CJ40" s="73">
        <f>IF(Index!CI86=1,0,$H40*$K40*py*Index!CI39*Index!CI180/unit)</f>
        <v>0</v>
      </c>
      <c r="CK40" s="73">
        <f>IF(Index!CJ86=1,0,$H40*$K40*py*Index!CJ39*Index!CJ180/unit)</f>
        <v>0</v>
      </c>
      <c r="CL40" s="73">
        <f>IF(Index!CK86=1,0,$H40*$K40*py*Index!CK39*Index!CK180/unit)</f>
        <v>0</v>
      </c>
      <c r="CM40" s="73">
        <f>IF(Index!CL86=1,0,$H40*$K40*py*Index!CL39*Index!CL180/unit)</f>
        <v>0</v>
      </c>
      <c r="CN40" s="73">
        <f>IF(Index!CM86=1,0,$H40*$K40*py*Index!CM39*Index!CM180/unit)</f>
        <v>0</v>
      </c>
      <c r="CO40" s="73">
        <f>IF(Index!CN86=1,0,$H40*$K40*py*Index!CN39*Index!CN180/unit)</f>
        <v>0</v>
      </c>
      <c r="CP40" s="73">
        <f>IF(Index!CO86=1,0,$H40*$K40*py*Index!CO39*Index!CO180/unit)</f>
        <v>0</v>
      </c>
      <c r="CQ40" s="73">
        <f>IF(Index!CP86=1,0,$H40*$K40*py*Index!CP39*Index!CP180/unit)</f>
        <v>0</v>
      </c>
      <c r="CR40" s="73">
        <f>IF(Index!CQ86=1,0,$H40*$K40*py*Index!CQ39*Index!CQ180/unit)</f>
        <v>0</v>
      </c>
      <c r="CS40" s="73">
        <f>IF(Index!CR86=1,0,$H40*$K40*py*Index!CR39*Index!CR180/unit)</f>
        <v>0</v>
      </c>
      <c r="CT40" s="73">
        <f>IF(Index!CS86=1,0,$H40*$K40*py*Index!CS39*Index!CS180/unit)</f>
        <v>0</v>
      </c>
      <c r="CU40" s="73">
        <f>IF(Index!CT86=1,0,$H40*$K40*py*Index!CT39*Index!CT180/unit)</f>
        <v>0</v>
      </c>
      <c r="CV40" s="73">
        <f>IF(Index!CU86=1,0,$H40*$K40*py*Index!CU39*Index!CU180/unit)</f>
        <v>0</v>
      </c>
      <c r="CW40" s="73">
        <f>IF(Index!CV86=1,0,$H40*$K40*py*Index!CV39*Index!CV180/unit)</f>
        <v>0</v>
      </c>
      <c r="CX40" s="73">
        <f>IF(Index!CW86=1,0,$H40*$K40*py*Index!CW39*Index!CW180/unit)</f>
        <v>0</v>
      </c>
      <c r="CY40" s="73">
        <f>IF(Index!CX86=1,0,$H40*$K40*py*Index!CX39*Index!CX180/unit)</f>
        <v>0</v>
      </c>
      <c r="CZ40" s="73">
        <f>IF(Index!CY86=1,0,$H40*$K40*py*Index!CY39*Index!CY180/unit)</f>
        <v>0</v>
      </c>
      <c r="DA40" s="73">
        <f>IF(Index!CZ86=1,0,$H40*$K40*py*Index!CZ39*Index!CZ180/unit)</f>
        <v>0</v>
      </c>
      <c r="DB40" s="73">
        <f>IF(Index!DA86=1,0,$H40*$K40*py*Index!DA39*Index!DA180/unit)</f>
        <v>0</v>
      </c>
      <c r="DC40" s="73">
        <f>IF(Index!DB86=1,0,$H40*$K40*py*Index!DB39*Index!DB180/unit)</f>
        <v>0</v>
      </c>
      <c r="DD40" s="73">
        <f>IF(Index!DC86=1,0,$H40*$K40*py*Index!DC39*Index!DC180/unit)</f>
        <v>0</v>
      </c>
      <c r="DE40" s="73">
        <f>IF(Index!DD86=1,0,$H40*$K40*py*Index!DD39*Index!DD180/unit)</f>
        <v>0</v>
      </c>
      <c r="DF40" s="73">
        <f>IF(Index!DE86=1,0,$H40*$K40*py*Index!DE39*Index!DE180/unit)</f>
        <v>0</v>
      </c>
      <c r="DG40" s="73">
        <f>IF(Index!DF86=1,0,$H40*$K40*py*Index!DF39*Index!DF180/unit)</f>
        <v>0</v>
      </c>
      <c r="DH40" s="73">
        <f>IF(Index!DG86=1,0,$H40*$K40*py*Index!DG39*Index!DG180/unit)</f>
        <v>0</v>
      </c>
      <c r="DI40" s="73">
        <f>IF(Index!DH86=1,0,$H40*$K40*py*Index!DH39*Index!DH180/unit)</f>
        <v>0</v>
      </c>
      <c r="DJ40" s="73">
        <f>IF(Index!DI86=1,0,$H40*$K40*py*Index!DI39*Index!DI180/unit)</f>
        <v>0</v>
      </c>
      <c r="DK40" s="73">
        <f>IF(Index!DJ86=1,0,$H40*$K40*py*Index!DJ39*Index!DJ180/unit)</f>
        <v>0</v>
      </c>
      <c r="DL40" s="73">
        <f>IF(Index!DK86=1,0,$H40*$K40*py*Index!DK39*Index!DK180/unit)</f>
        <v>0</v>
      </c>
      <c r="DM40" s="73">
        <f>IF(Index!DL86=1,0,$H40*$K40*py*Index!DL39*Index!DL180/unit)</f>
        <v>0</v>
      </c>
    </row>
    <row r="41" spans="2:117">
      <c r="B41" s="27">
        <f>Rentroll!$C$38</f>
        <v>16</v>
      </c>
      <c r="C41" s="69" t="str">
        <f>VLOOKUP($B41,Rentroll!$C$37:$Z$60,3,FALSE)</f>
        <v>리마 상사</v>
      </c>
      <c r="D41" s="80">
        <f>VLOOKUP($B41,Rentroll!$C$37:$Z$60,9,FALSE)</f>
        <v>47149</v>
      </c>
      <c r="E41" s="80">
        <f>VLOOKUP($B41,Rentroll!$C$37:$Z$60,10,FALSE)</f>
        <v>48975</v>
      </c>
      <c r="F41" s="81">
        <f>VLOOKUP($B41,Rentroll!$C$37:$Z$60,11,FALSE)</f>
        <v>60</v>
      </c>
      <c r="G41" s="69">
        <f>VLOOKUP($B41,Rentroll!$C$37:$Z$60,13,FALSE)</f>
        <v>115927.40742999999</v>
      </c>
      <c r="H41" s="69">
        <f>VLOOKUP($B41,Rentroll!$C$37:$Z$60,14,FALSE)</f>
        <v>106266.79014416666</v>
      </c>
      <c r="I41" s="69">
        <f>VLOOKUP($B41,Rentroll!$C$37:$Z$60,15,FALSE)</f>
        <v>50647.896449999993</v>
      </c>
      <c r="J41" s="82">
        <f>VLOOKUP($B41,Rentroll!$C$37:$Z$60,19,FALSE)</f>
        <v>0.03</v>
      </c>
      <c r="K41" s="83">
        <f>VLOOKUP($B41,Rentroll!$C$37:$Z$60,4,FALSE)</f>
        <v>1385.09</v>
      </c>
      <c r="L41" s="81">
        <f>VLOOKUP($B41,Rentroll!$C$37:$Z$60,17,FALSE)</f>
        <v>0</v>
      </c>
      <c r="M41" s="84">
        <f>VLOOKUP($B41,Rentroll!$C$37:$Z$60,18,FALSE)</f>
        <v>1</v>
      </c>
      <c r="O41" s="74">
        <f t="shared" ref="O41:O58" si="16">B41</f>
        <v>16</v>
      </c>
      <c r="P41" s="75"/>
      <c r="Q41" s="75">
        <f t="shared" si="13"/>
        <v>534.29631814964512</v>
      </c>
      <c r="R41" s="75"/>
      <c r="S41" s="75">
        <f>IF(Index!R87=1,0,$H41*$K41*py*Index!R40*Index!R181/unit)</f>
        <v>0</v>
      </c>
      <c r="T41" s="75">
        <f>IF(Index!S87=1,0,$H41*$K41*py*Index!S40*Index!S181/unit)</f>
        <v>0</v>
      </c>
      <c r="U41" s="75">
        <f>IF(Index!T87=1,0,$H41*$K41*py*Index!T40*Index!T181/unit)</f>
        <v>0</v>
      </c>
      <c r="V41" s="75">
        <f>IF(Index!U87=1,0,$H41*$K41*py*Index!U40*Index!U181/unit)</f>
        <v>0</v>
      </c>
      <c r="W41" s="75">
        <f>IF(Index!V87=1,0,$H41*$K41*py*Index!V40*Index!V181/unit)</f>
        <v>0</v>
      </c>
      <c r="X41" s="75">
        <f>IF(Index!W87=1,0,$H41*$K41*py*Index!W40*Index!W181/unit)</f>
        <v>0</v>
      </c>
      <c r="Y41" s="75">
        <f>IF(Index!X87=1,0,$H41*$K41*py*Index!X40*Index!X181/unit)</f>
        <v>0</v>
      </c>
      <c r="Z41" s="75">
        <f>IF(Index!Y87=1,0,$H41*$K41*py*Index!Y40*Index!Y181/unit)</f>
        <v>0</v>
      </c>
      <c r="AA41" s="75">
        <f>IF(Index!Z87=1,0,$H41*$K41*py*Index!Z40*Index!Z181/unit)</f>
        <v>0</v>
      </c>
      <c r="AB41" s="75">
        <f>IF(Index!AA87=1,0,$H41*$K41*py*Index!AA40*Index!AA181/unit)</f>
        <v>0</v>
      </c>
      <c r="AC41" s="75">
        <f>IF(Index!AB87=1,0,$H41*$K41*py*Index!AB40*Index!AB181/unit)</f>
        <v>0</v>
      </c>
      <c r="AD41" s="75">
        <f>IF(Index!AC87=1,0,$H41*$K41*py*Index!AC40*Index!AC181/unit)</f>
        <v>0</v>
      </c>
      <c r="AE41" s="75">
        <f>IF(Index!AD87=1,0,$H41*$K41*py*Index!AD40*Index!AD181/unit)</f>
        <v>0</v>
      </c>
      <c r="AF41" s="75">
        <f>IF(Index!AE87=1,0,$H41*$K41*py*Index!AE40*Index!AE181/unit)</f>
        <v>0</v>
      </c>
      <c r="AG41" s="75">
        <f>IF(Index!AF87=1,0,$H41*$K41*py*Index!AF40*Index!AF181/unit)</f>
        <v>0</v>
      </c>
      <c r="AH41" s="75">
        <f>IF(Index!AG87=1,0,$H41*$K41*py*Index!AG40*Index!AG181/unit)</f>
        <v>0</v>
      </c>
      <c r="AI41" s="75">
        <f>IF(Index!AH87=1,0,$H41*$K41*py*Index!AH40*Index!AH181/unit)</f>
        <v>0</v>
      </c>
      <c r="AJ41" s="75">
        <f>IF(Index!AI87=1,0,$H41*$K41*py*Index!AI40*Index!AI181/unit)</f>
        <v>0</v>
      </c>
      <c r="AK41" s="75">
        <f>IF(Index!AJ87=1,0,$H41*$K41*py*Index!AJ40*Index!AJ181/unit)</f>
        <v>0</v>
      </c>
      <c r="AL41" s="75">
        <f>IF(Index!AK87=1,0,$H41*$K41*py*Index!AK40*Index!AK181/unit)</f>
        <v>0</v>
      </c>
      <c r="AM41" s="75">
        <f>IF(Index!AL87=1,0,$H41*$K41*py*Index!AL40*Index!AL181/unit)</f>
        <v>0</v>
      </c>
      <c r="AN41" s="75">
        <f>IF(Index!AM87=1,0,$H41*$K41*py*Index!AM40*Index!AM181/unit)</f>
        <v>0</v>
      </c>
      <c r="AO41" s="75">
        <f>IF(Index!AN87=1,0,$H41*$K41*py*Index!AN40*Index!AN181/unit)</f>
        <v>0</v>
      </c>
      <c r="AP41" s="75">
        <f>IF(Index!AO87=1,0,$H41*$K41*py*Index!AO40*Index!AO181/unit)</f>
        <v>0</v>
      </c>
      <c r="AQ41" s="75">
        <f>IF(Index!AP87=1,0,$H41*$K41*py*Index!AP40*Index!AP181/unit)</f>
        <v>0</v>
      </c>
      <c r="AR41" s="75">
        <f>IF(Index!AQ87=1,0,$H41*$K41*py*Index!AQ40*Index!AQ181/unit)</f>
        <v>0</v>
      </c>
      <c r="AS41" s="75">
        <f>IF(Index!AR87=1,0,$H41*$K41*py*Index!AR40*Index!AR181/unit)</f>
        <v>0</v>
      </c>
      <c r="AT41" s="75">
        <f>IF(Index!AS87=1,0,$H41*$K41*py*Index!AS40*Index!AS181/unit)</f>
        <v>0</v>
      </c>
      <c r="AU41" s="75">
        <f>IF(Index!AT87=1,0,$H41*$K41*py*Index!AT40*Index!AT181/unit)</f>
        <v>0</v>
      </c>
      <c r="AV41" s="75">
        <f>IF(Index!AU87=1,0,$H41*$K41*py*Index!AU40*Index!AU181/unit)</f>
        <v>0</v>
      </c>
      <c r="AW41" s="75">
        <f>IF(Index!AV87=1,0,$H41*$K41*py*Index!AV40*Index!AV181/unit)</f>
        <v>0</v>
      </c>
      <c r="AX41" s="75">
        <f>IF(Index!AW87=1,0,$H41*$K41*py*Index!AW40*Index!AW181/unit)</f>
        <v>0</v>
      </c>
      <c r="AY41" s="75">
        <f>IF(Index!AX87=1,0,$H41*$K41*py*Index!AX40*Index!AX181/unit)</f>
        <v>0</v>
      </c>
      <c r="AZ41" s="75">
        <f>IF(Index!AY87=1,0,$H41*$K41*py*Index!AY40*Index!AY181/unit)</f>
        <v>0</v>
      </c>
      <c r="BA41" s="75">
        <f>IF(Index!AZ87=1,0,$H41*$K41*py*Index!AZ40*Index!AZ181/unit)</f>
        <v>0</v>
      </c>
      <c r="BB41" s="75">
        <f>IF(Index!BA87=1,0,$H41*$K41*py*Index!BA40*Index!BA181/unit)</f>
        <v>0</v>
      </c>
      <c r="BC41" s="75">
        <f>IF(Index!BB87=1,0,$H41*$K41*py*Index!BB40*Index!BB181/unit)</f>
        <v>0</v>
      </c>
      <c r="BD41" s="75">
        <f>IF(Index!BC87=1,0,$H41*$K41*py*Index!BC40*Index!BC181/unit)</f>
        <v>0</v>
      </c>
      <c r="BE41" s="75">
        <f>IF(Index!BD87=1,0,$H41*$K41*py*Index!BD40*Index!BD181/unit)</f>
        <v>0</v>
      </c>
      <c r="BF41" s="75">
        <f>IF(Index!BE87=1,0,$H41*$K41*py*Index!BE40*Index!BE181/unit)</f>
        <v>0</v>
      </c>
      <c r="BG41" s="75">
        <f>IF(Index!BF87=1,0,$H41*$K41*py*Index!BF40*Index!BF181/unit)</f>
        <v>0</v>
      </c>
      <c r="BH41" s="75">
        <f>IF(Index!BG87=1,0,$H41*$K41*py*Index!BG40*Index!BG181/unit)</f>
        <v>0</v>
      </c>
      <c r="BI41" s="75">
        <f>IF(Index!BH87=1,0,$H41*$K41*py*Index!BH40*Index!BH181/unit)</f>
        <v>0</v>
      </c>
      <c r="BJ41" s="75">
        <f>IF(Index!BI87=1,0,$H41*$K41*py*Index!BI40*Index!BI181/unit)</f>
        <v>0</v>
      </c>
      <c r="BK41" s="75">
        <f>IF(Index!BJ87=1,0,$H41*$K41*py*Index!BJ40*Index!BJ181/unit)</f>
        <v>0</v>
      </c>
      <c r="BL41" s="75">
        <f>IF(Index!BK87=1,0,$H41*$K41*py*Index!BK40*Index!BK181/unit)</f>
        <v>0</v>
      </c>
      <c r="BM41" s="75">
        <f>IF(Index!BL87=1,0,$H41*$K41*py*Index!BL40*Index!BL181/unit)</f>
        <v>0</v>
      </c>
      <c r="BN41" s="75">
        <f>IF(Index!BM87=1,0,$H41*$K41*py*Index!BM40*Index!BM181/unit)</f>
        <v>0</v>
      </c>
      <c r="BO41" s="75">
        <f>IF(Index!BN87=1,0,$H41*$K41*py*Index!BN40*Index!BN181/unit)</f>
        <v>0</v>
      </c>
      <c r="BP41" s="75">
        <f>IF(Index!BO87=1,0,$H41*$K41*py*Index!BO40*Index!BO181/unit)</f>
        <v>44.524693179137095</v>
      </c>
      <c r="BQ41" s="75">
        <f>IF(Index!BP87=1,0,$H41*$K41*py*Index!BP40*Index!BP181/unit)</f>
        <v>44.524693179137095</v>
      </c>
      <c r="BR41" s="75">
        <f>IF(Index!BQ87=1,0,$H41*$K41*py*Index!BQ40*Index!BQ181/unit)</f>
        <v>44.524693179137095</v>
      </c>
      <c r="BS41" s="75">
        <f>IF(Index!BR87=1,0,$H41*$K41*py*Index!BR40*Index!BR181/unit)</f>
        <v>44.524693179137095</v>
      </c>
      <c r="BT41" s="75">
        <f>IF(Index!BS87=1,0,$H41*$K41*py*Index!BS40*Index!BS181/unit)</f>
        <v>44.524693179137095</v>
      </c>
      <c r="BU41" s="75">
        <f>IF(Index!BT87=1,0,$H41*$K41*py*Index!BT40*Index!BT181/unit)</f>
        <v>44.524693179137095</v>
      </c>
      <c r="BV41" s="75">
        <f>IF(Index!BU87=1,0,$H41*$K41*py*Index!BU40*Index!BU181/unit)</f>
        <v>44.524693179137095</v>
      </c>
      <c r="BW41" s="75">
        <f>IF(Index!BV87=1,0,$H41*$K41*py*Index!BV40*Index!BV181/unit)</f>
        <v>44.524693179137095</v>
      </c>
      <c r="BX41" s="75">
        <f>IF(Index!BW87=1,0,$H41*$K41*py*Index!BW40*Index!BW181/unit)</f>
        <v>44.524693179137095</v>
      </c>
      <c r="BY41" s="75">
        <f>IF(Index!BX87=1,0,$H41*$K41*py*Index!BX40*Index!BX181/unit)</f>
        <v>44.524693179137095</v>
      </c>
      <c r="BZ41" s="75">
        <f>IF(Index!BY87=1,0,$H41*$K41*py*Index!BY40*Index!BY181/unit)</f>
        <v>44.524693179137095</v>
      </c>
      <c r="CA41" s="75">
        <f>IF(Index!BZ87=1,0,$H41*$K41*py*Index!BZ40*Index!BZ181/unit)</f>
        <v>44.524693179137095</v>
      </c>
      <c r="CB41" s="75">
        <f>IF(Index!CA87=1,0,$H41*$K41*py*Index!CA40*Index!CA181/unit)</f>
        <v>0</v>
      </c>
      <c r="CC41" s="75">
        <f>IF(Index!CB87=1,0,$H41*$K41*py*Index!CB40*Index!CB181/unit)</f>
        <v>0</v>
      </c>
      <c r="CD41" s="75">
        <f>IF(Index!CC87=1,0,$H41*$K41*py*Index!CC40*Index!CC181/unit)</f>
        <v>0</v>
      </c>
      <c r="CE41" s="75">
        <f>IF(Index!CD87=1,0,$H41*$K41*py*Index!CD40*Index!CD181/unit)</f>
        <v>0</v>
      </c>
      <c r="CF41" s="75">
        <f>IF(Index!CE87=1,0,$H41*$K41*py*Index!CE40*Index!CE181/unit)</f>
        <v>0</v>
      </c>
      <c r="CG41" s="75">
        <f>IF(Index!CF87=1,0,$H41*$K41*py*Index!CF40*Index!CF181/unit)</f>
        <v>0</v>
      </c>
      <c r="CH41" s="75">
        <f>IF(Index!CG87=1,0,$H41*$K41*py*Index!CG40*Index!CG181/unit)</f>
        <v>0</v>
      </c>
      <c r="CI41" s="75">
        <f>IF(Index!CH87=1,0,$H41*$K41*py*Index!CH40*Index!CH181/unit)</f>
        <v>0</v>
      </c>
      <c r="CJ41" s="75">
        <f>IF(Index!CI87=1,0,$H41*$K41*py*Index!CI40*Index!CI181/unit)</f>
        <v>0</v>
      </c>
      <c r="CK41" s="75">
        <f>IF(Index!CJ87=1,0,$H41*$K41*py*Index!CJ40*Index!CJ181/unit)</f>
        <v>0</v>
      </c>
      <c r="CL41" s="75">
        <f>IF(Index!CK87=1,0,$H41*$K41*py*Index!CK40*Index!CK181/unit)</f>
        <v>0</v>
      </c>
      <c r="CM41" s="75">
        <f>IF(Index!CL87=1,0,$H41*$K41*py*Index!CL40*Index!CL181/unit)</f>
        <v>0</v>
      </c>
      <c r="CN41" s="75">
        <f>IF(Index!CM87=1,0,$H41*$K41*py*Index!CM40*Index!CM181/unit)</f>
        <v>0</v>
      </c>
      <c r="CO41" s="75">
        <f>IF(Index!CN87=1,0,$H41*$K41*py*Index!CN40*Index!CN181/unit)</f>
        <v>0</v>
      </c>
      <c r="CP41" s="75">
        <f>IF(Index!CO87=1,0,$H41*$K41*py*Index!CO40*Index!CO181/unit)</f>
        <v>0</v>
      </c>
      <c r="CQ41" s="75">
        <f>IF(Index!CP87=1,0,$H41*$K41*py*Index!CP40*Index!CP181/unit)</f>
        <v>0</v>
      </c>
      <c r="CR41" s="75">
        <f>IF(Index!CQ87=1,0,$H41*$K41*py*Index!CQ40*Index!CQ181/unit)</f>
        <v>0</v>
      </c>
      <c r="CS41" s="75">
        <f>IF(Index!CR87=1,0,$H41*$K41*py*Index!CR40*Index!CR181/unit)</f>
        <v>0</v>
      </c>
      <c r="CT41" s="75">
        <f>IF(Index!CS87=1,0,$H41*$K41*py*Index!CS40*Index!CS181/unit)</f>
        <v>0</v>
      </c>
      <c r="CU41" s="75">
        <f>IF(Index!CT87=1,0,$H41*$K41*py*Index!CT40*Index!CT181/unit)</f>
        <v>0</v>
      </c>
      <c r="CV41" s="75">
        <f>IF(Index!CU87=1,0,$H41*$K41*py*Index!CU40*Index!CU181/unit)</f>
        <v>0</v>
      </c>
      <c r="CW41" s="75">
        <f>IF(Index!CV87=1,0,$H41*$K41*py*Index!CV40*Index!CV181/unit)</f>
        <v>0</v>
      </c>
      <c r="CX41" s="75">
        <f>IF(Index!CW87=1,0,$H41*$K41*py*Index!CW40*Index!CW181/unit)</f>
        <v>0</v>
      </c>
      <c r="CY41" s="75">
        <f>IF(Index!CX87=1,0,$H41*$K41*py*Index!CX40*Index!CX181/unit)</f>
        <v>0</v>
      </c>
      <c r="CZ41" s="75">
        <f>IF(Index!CY87=1,0,$H41*$K41*py*Index!CY40*Index!CY181/unit)</f>
        <v>0</v>
      </c>
      <c r="DA41" s="75">
        <f>IF(Index!CZ87=1,0,$H41*$K41*py*Index!CZ40*Index!CZ181/unit)</f>
        <v>0</v>
      </c>
      <c r="DB41" s="75">
        <f>IF(Index!DA87=1,0,$H41*$K41*py*Index!DA40*Index!DA181/unit)</f>
        <v>0</v>
      </c>
      <c r="DC41" s="75">
        <f>IF(Index!DB87=1,0,$H41*$K41*py*Index!DB40*Index!DB181/unit)</f>
        <v>0</v>
      </c>
      <c r="DD41" s="75">
        <f>IF(Index!DC87=1,0,$H41*$K41*py*Index!DC40*Index!DC181/unit)</f>
        <v>0</v>
      </c>
      <c r="DE41" s="75">
        <f>IF(Index!DD87=1,0,$H41*$K41*py*Index!DD40*Index!DD181/unit)</f>
        <v>0</v>
      </c>
      <c r="DF41" s="75">
        <f>IF(Index!DE87=1,0,$H41*$K41*py*Index!DE40*Index!DE181/unit)</f>
        <v>0</v>
      </c>
      <c r="DG41" s="75">
        <f>IF(Index!DF87=1,0,$H41*$K41*py*Index!DF40*Index!DF181/unit)</f>
        <v>0</v>
      </c>
      <c r="DH41" s="75">
        <f>IF(Index!DG87=1,0,$H41*$K41*py*Index!DG40*Index!DG181/unit)</f>
        <v>0</v>
      </c>
      <c r="DI41" s="75">
        <f>IF(Index!DH87=1,0,$H41*$K41*py*Index!DH40*Index!DH181/unit)</f>
        <v>0</v>
      </c>
      <c r="DJ41" s="75">
        <f>IF(Index!DI87=1,0,$H41*$K41*py*Index!DI40*Index!DI181/unit)</f>
        <v>0</v>
      </c>
      <c r="DK41" s="75">
        <f>IF(Index!DJ87=1,0,$H41*$K41*py*Index!DJ40*Index!DJ181/unit)</f>
        <v>0</v>
      </c>
      <c r="DL41" s="75">
        <f>IF(Index!DK87=1,0,$H41*$K41*py*Index!DK40*Index!DK181/unit)</f>
        <v>0</v>
      </c>
      <c r="DM41" s="75">
        <f>IF(Index!DL87=1,0,$H41*$K41*py*Index!DL40*Index!DL181/unit)</f>
        <v>0</v>
      </c>
    </row>
    <row r="42" spans="2:117">
      <c r="B42" s="27">
        <f>Rentroll!$C$39</f>
        <v>15</v>
      </c>
      <c r="C42" s="69" t="str">
        <f>VLOOKUP($B42,Rentroll!$C$37:$Z$60,3,FALSE)</f>
        <v>111퍼센트</v>
      </c>
      <c r="D42" s="80">
        <f>VLOOKUP($B42,Rentroll!$C$37:$Z$60,9,FALSE)</f>
        <v>45869</v>
      </c>
      <c r="E42" s="80">
        <f>VLOOKUP($B42,Rentroll!$C$37:$Z$60,10,FALSE)</f>
        <v>47695</v>
      </c>
      <c r="F42" s="81">
        <f>VLOOKUP($B42,Rentroll!$C$37:$Z$60,11,FALSE)</f>
        <v>60</v>
      </c>
      <c r="G42" s="69">
        <f>VLOOKUP($B42,Rentroll!$C$37:$Z$60,13,FALSE)</f>
        <v>103000</v>
      </c>
      <c r="H42" s="69">
        <f>VLOOKUP($B42,Rentroll!$C$37:$Z$60,14,FALSE)</f>
        <v>94416.666666666672</v>
      </c>
      <c r="I42" s="69">
        <f>VLOOKUP($B42,Rentroll!$C$37:$Z$60,15,FALSE)</f>
        <v>45000</v>
      </c>
      <c r="J42" s="82">
        <f>VLOOKUP($B42,Rentroll!$C$37:$Z$60,19,FALSE)</f>
        <v>0.03</v>
      </c>
      <c r="K42" s="83">
        <f>VLOOKUP($B42,Rentroll!$C$37:$Z$60,4,FALSE)</f>
        <v>1385.09</v>
      </c>
      <c r="L42" s="81">
        <f>VLOOKUP($B42,Rentroll!$C$37:$Z$60,17,FALSE)</f>
        <v>1</v>
      </c>
      <c r="M42" s="84">
        <f>VLOOKUP($B42,Rentroll!$C$37:$Z$60,18,FALSE)</f>
        <v>1</v>
      </c>
      <c r="O42" s="74">
        <f t="shared" si="16"/>
        <v>15</v>
      </c>
      <c r="P42" s="75"/>
      <c r="Q42" s="75">
        <f t="shared" si="13"/>
        <v>2213.6205366942486</v>
      </c>
      <c r="R42" s="75"/>
      <c r="S42" s="75">
        <f>IF(Index!R88=1,0,$H42*$K42*py*Index!R41*Index!R182/unit)</f>
        <v>0</v>
      </c>
      <c r="T42" s="75">
        <f>IF(Index!S88=1,0,$H42*$K42*py*Index!S41*Index!S182/unit)</f>
        <v>0</v>
      </c>
      <c r="U42" s="75">
        <f>IF(Index!T88=1,0,$H42*$K42*py*Index!T41*Index!T182/unit)</f>
        <v>0</v>
      </c>
      <c r="V42" s="75">
        <f>IF(Index!U88=1,0,$H42*$K42*py*Index!U41*Index!U182/unit)</f>
        <v>0</v>
      </c>
      <c r="W42" s="75">
        <f>IF(Index!V88=1,0,$H42*$K42*py*Index!V41*Index!V182/unit)</f>
        <v>0</v>
      </c>
      <c r="X42" s="75">
        <f>IF(Index!W88=1,0,$H42*$K42*py*Index!W41*Index!W182/unit)</f>
        <v>0</v>
      </c>
      <c r="Y42" s="75">
        <f>IF(Index!X88=1,0,$H42*$K42*py*Index!X41*Index!X182/unit)</f>
        <v>0</v>
      </c>
      <c r="Z42" s="75">
        <f>IF(Index!Y88=1,0,$H42*$K42*py*Index!Y41*Index!Y182/unit)</f>
        <v>0</v>
      </c>
      <c r="AA42" s="75">
        <f>IF(Index!Z88=1,0,$H42*$K42*py*Index!Z41*Index!Z182/unit)</f>
        <v>39.559613202083334</v>
      </c>
      <c r="AB42" s="75">
        <f>IF(Index!AA88=1,0,$H42*$K42*py*Index!AA41*Index!AA182/unit)</f>
        <v>39.559613202083334</v>
      </c>
      <c r="AC42" s="75">
        <f>IF(Index!AB88=1,0,$H42*$K42*py*Index!AB41*Index!AB182/unit)</f>
        <v>39.559613202083334</v>
      </c>
      <c r="AD42" s="75">
        <f>IF(Index!AC88=1,0,$H42*$K42*py*Index!AC41*Index!AC182/unit)</f>
        <v>39.559613202083334</v>
      </c>
      <c r="AE42" s="75">
        <f>IF(Index!AD88=1,0,$H42*$K42*py*Index!AD41*Index!AD182/unit)</f>
        <v>39.559613202083334</v>
      </c>
      <c r="AF42" s="75">
        <f>IF(Index!AE88=1,0,$H42*$K42*py*Index!AE41*Index!AE182/unit)</f>
        <v>39.559613202083334</v>
      </c>
      <c r="AG42" s="75">
        <f>IF(Index!AF88=1,0,$H42*$K42*py*Index!AF41*Index!AF182/unit)</f>
        <v>39.559613202083334</v>
      </c>
      <c r="AH42" s="75">
        <f>IF(Index!AG88=1,0,$H42*$K42*py*Index!AG41*Index!AG182/unit)</f>
        <v>39.559613202083334</v>
      </c>
      <c r="AI42" s="75">
        <f>IF(Index!AH88=1,0,$H42*$K42*py*Index!AH41*Index!AH182/unit)</f>
        <v>39.559613202083334</v>
      </c>
      <c r="AJ42" s="75">
        <f>IF(Index!AI88=1,0,$H42*$K42*py*Index!AI41*Index!AI182/unit)</f>
        <v>39.559613202083334</v>
      </c>
      <c r="AK42" s="75">
        <f>IF(Index!AJ88=1,0,$H42*$K42*py*Index!AJ41*Index!AJ182/unit)</f>
        <v>39.559613202083334</v>
      </c>
      <c r="AL42" s="75">
        <f>IF(Index!AK88=1,0,$H42*$K42*py*Index!AK41*Index!AK182/unit)</f>
        <v>40.746401598145837</v>
      </c>
      <c r="AM42" s="75">
        <f>IF(Index!AL88=1,0,$H42*$K42*py*Index!AL41*Index!AL182/unit)</f>
        <v>40.746401598145837</v>
      </c>
      <c r="AN42" s="75">
        <f>IF(Index!AM88=1,0,$H42*$K42*py*Index!AM41*Index!AM182/unit)</f>
        <v>40.746401598145837</v>
      </c>
      <c r="AO42" s="75">
        <f>IF(Index!AN88=1,0,$H42*$K42*py*Index!AN41*Index!AN182/unit)</f>
        <v>40.746401598145837</v>
      </c>
      <c r="AP42" s="75">
        <f>IF(Index!AO88=1,0,$H42*$K42*py*Index!AO41*Index!AO182/unit)</f>
        <v>40.746401598145837</v>
      </c>
      <c r="AQ42" s="75">
        <f>IF(Index!AP88=1,0,$H42*$K42*py*Index!AP41*Index!AP182/unit)</f>
        <v>40.746401598145837</v>
      </c>
      <c r="AR42" s="75">
        <f>IF(Index!AQ88=1,0,$H42*$K42*py*Index!AQ41*Index!AQ182/unit)</f>
        <v>40.746401598145837</v>
      </c>
      <c r="AS42" s="75">
        <f>IF(Index!AR88=1,0,$H42*$K42*py*Index!AR41*Index!AR182/unit)</f>
        <v>40.746401598145837</v>
      </c>
      <c r="AT42" s="75">
        <f>IF(Index!AS88=1,0,$H42*$K42*py*Index!AS41*Index!AS182/unit)</f>
        <v>40.746401598145837</v>
      </c>
      <c r="AU42" s="75">
        <f>IF(Index!AT88=1,0,$H42*$K42*py*Index!AT41*Index!AT182/unit)</f>
        <v>40.746401598145837</v>
      </c>
      <c r="AV42" s="75">
        <f>IF(Index!AU88=1,0,$H42*$K42*py*Index!AU41*Index!AU182/unit)</f>
        <v>40.746401598145837</v>
      </c>
      <c r="AW42" s="75">
        <f>IF(Index!AV88=1,0,$H42*$K42*py*Index!AV41*Index!AV182/unit)</f>
        <v>40.746401598145837</v>
      </c>
      <c r="AX42" s="75">
        <f>IF(Index!AW88=1,0,$H42*$K42*py*Index!AW41*Index!AW182/unit)</f>
        <v>41.968793646090212</v>
      </c>
      <c r="AY42" s="75">
        <f>IF(Index!AX88=1,0,$H42*$K42*py*Index!AX41*Index!AX182/unit)</f>
        <v>41.968793646090212</v>
      </c>
      <c r="AZ42" s="75">
        <f>IF(Index!AY88=1,0,$H42*$K42*py*Index!AY41*Index!AY182/unit)</f>
        <v>41.968793646090212</v>
      </c>
      <c r="BA42" s="75">
        <f>IF(Index!AZ88=1,0,$H42*$K42*py*Index!AZ41*Index!AZ182/unit)</f>
        <v>41.968793646090212</v>
      </c>
      <c r="BB42" s="75">
        <f>IF(Index!BA88=1,0,$H42*$K42*py*Index!BA41*Index!BA182/unit)</f>
        <v>41.968793646090212</v>
      </c>
      <c r="BC42" s="75">
        <f>IF(Index!BB88=1,0,$H42*$K42*py*Index!BB41*Index!BB182/unit)</f>
        <v>41.968793646090212</v>
      </c>
      <c r="BD42" s="75">
        <f>IF(Index!BC88=1,0,$H42*$K42*py*Index!BC41*Index!BC182/unit)</f>
        <v>41.968793646090212</v>
      </c>
      <c r="BE42" s="75">
        <f>IF(Index!BD88=1,0,$H42*$K42*py*Index!BD41*Index!BD182/unit)</f>
        <v>41.968793646090212</v>
      </c>
      <c r="BF42" s="75">
        <f>IF(Index!BE88=1,0,$H42*$K42*py*Index!BE41*Index!BE182/unit)</f>
        <v>41.968793646090212</v>
      </c>
      <c r="BG42" s="75">
        <f>IF(Index!BF88=1,0,$H42*$K42*py*Index!BF41*Index!BF182/unit)</f>
        <v>41.968793646090212</v>
      </c>
      <c r="BH42" s="75">
        <f>IF(Index!BG88=1,0,$H42*$K42*py*Index!BG41*Index!BG182/unit)</f>
        <v>41.968793646090212</v>
      </c>
      <c r="BI42" s="75">
        <f>IF(Index!BH88=1,0,$H42*$K42*py*Index!BH41*Index!BH182/unit)</f>
        <v>41.968793646090212</v>
      </c>
      <c r="BJ42" s="75">
        <f>IF(Index!BI88=1,0,$H42*$K42*py*Index!BI41*Index!BI182/unit)</f>
        <v>43.227857455472915</v>
      </c>
      <c r="BK42" s="75">
        <f>IF(Index!BJ88=1,0,$H42*$K42*py*Index!BJ41*Index!BJ182/unit)</f>
        <v>43.227857455472915</v>
      </c>
      <c r="BL42" s="75">
        <f>IF(Index!BK88=1,0,$H42*$K42*py*Index!BK41*Index!BK182/unit)</f>
        <v>43.227857455472915</v>
      </c>
      <c r="BM42" s="75">
        <f>IF(Index!BL88=1,0,$H42*$K42*py*Index!BL41*Index!BL182/unit)</f>
        <v>43.227857455472915</v>
      </c>
      <c r="BN42" s="75">
        <f>IF(Index!BM88=1,0,$H42*$K42*py*Index!BM41*Index!BM182/unit)</f>
        <v>43.227857455472915</v>
      </c>
      <c r="BO42" s="75">
        <f>IF(Index!BN88=1,0,$H42*$K42*py*Index!BN41*Index!BN182/unit)</f>
        <v>43.227857455472915</v>
      </c>
      <c r="BP42" s="75">
        <f>IF(Index!BO88=1,0,$H42*$K42*py*Index!BO41*Index!BO182/unit)</f>
        <v>43.227857455472915</v>
      </c>
      <c r="BQ42" s="75">
        <f>IF(Index!BP88=1,0,$H42*$K42*py*Index!BP41*Index!BP182/unit)</f>
        <v>43.227857455472915</v>
      </c>
      <c r="BR42" s="75">
        <f>IF(Index!BQ88=1,0,$H42*$K42*py*Index!BQ41*Index!BQ182/unit)</f>
        <v>43.227857455472915</v>
      </c>
      <c r="BS42" s="75">
        <f>IF(Index!BR88=1,0,$H42*$K42*py*Index!BR41*Index!BR182/unit)</f>
        <v>43.227857455472915</v>
      </c>
      <c r="BT42" s="75">
        <f>IF(Index!BS88=1,0,$H42*$K42*py*Index!BS41*Index!BS182/unit)</f>
        <v>43.227857455472915</v>
      </c>
      <c r="BU42" s="75">
        <f>IF(Index!BT88=1,0,$H42*$K42*py*Index!BT41*Index!BT182/unit)</f>
        <v>43.227857455472915</v>
      </c>
      <c r="BV42" s="75">
        <f>IF(Index!BU88=1,0,$H42*$K42*py*Index!BU41*Index!BU182/unit)</f>
        <v>44.524693179137103</v>
      </c>
      <c r="BW42" s="75">
        <f>IF(Index!BV88=1,0,$H42*$K42*py*Index!BV41*Index!BV182/unit)</f>
        <v>44.524693179137103</v>
      </c>
      <c r="BX42" s="75">
        <f>IF(Index!BW88=1,0,$H42*$K42*py*Index!BW41*Index!BW182/unit)</f>
        <v>44.524693179137103</v>
      </c>
      <c r="BY42" s="75">
        <f>IF(Index!BX88=1,0,$H42*$K42*py*Index!BX41*Index!BX182/unit)</f>
        <v>44.524693179137103</v>
      </c>
      <c r="BZ42" s="75">
        <f>IF(Index!BY88=1,0,$H42*$K42*py*Index!BY41*Index!BY182/unit)</f>
        <v>44.524693179137103</v>
      </c>
      <c r="CA42" s="75">
        <f>IF(Index!BZ88=1,0,$H42*$K42*py*Index!BZ41*Index!BZ182/unit)</f>
        <v>44.524693179137103</v>
      </c>
      <c r="CB42" s="75">
        <f>IF(Index!CA88=1,0,$H42*$K42*py*Index!CA41*Index!CA182/unit)</f>
        <v>0</v>
      </c>
      <c r="CC42" s="75">
        <f>IF(Index!CB88=1,0,$H42*$K42*py*Index!CB41*Index!CB182/unit)</f>
        <v>0</v>
      </c>
      <c r="CD42" s="75">
        <f>IF(Index!CC88=1,0,$H42*$K42*py*Index!CC41*Index!CC182/unit)</f>
        <v>0</v>
      </c>
      <c r="CE42" s="75">
        <f>IF(Index!CD88=1,0,$H42*$K42*py*Index!CD41*Index!CD182/unit)</f>
        <v>0</v>
      </c>
      <c r="CF42" s="75">
        <f>IF(Index!CE88=1,0,$H42*$K42*py*Index!CE41*Index!CE182/unit)</f>
        <v>0</v>
      </c>
      <c r="CG42" s="75">
        <f>IF(Index!CF88=1,0,$H42*$K42*py*Index!CF41*Index!CF182/unit)</f>
        <v>0</v>
      </c>
      <c r="CH42" s="75">
        <f>IF(Index!CG88=1,0,$H42*$K42*py*Index!CG41*Index!CG182/unit)</f>
        <v>0</v>
      </c>
      <c r="CI42" s="75">
        <f>IF(Index!CH88=1,0,$H42*$K42*py*Index!CH41*Index!CH182/unit)</f>
        <v>0</v>
      </c>
      <c r="CJ42" s="75">
        <f>IF(Index!CI88=1,0,$H42*$K42*py*Index!CI41*Index!CI182/unit)</f>
        <v>0</v>
      </c>
      <c r="CK42" s="75">
        <f>IF(Index!CJ88=1,0,$H42*$K42*py*Index!CJ41*Index!CJ182/unit)</f>
        <v>0</v>
      </c>
      <c r="CL42" s="75">
        <f>IF(Index!CK88=1,0,$H42*$K42*py*Index!CK41*Index!CK182/unit)</f>
        <v>0</v>
      </c>
      <c r="CM42" s="75">
        <f>IF(Index!CL88=1,0,$H42*$K42*py*Index!CL41*Index!CL182/unit)</f>
        <v>0</v>
      </c>
      <c r="CN42" s="75">
        <f>IF(Index!CM88=1,0,$H42*$K42*py*Index!CM41*Index!CM182/unit)</f>
        <v>0</v>
      </c>
      <c r="CO42" s="75">
        <f>IF(Index!CN88=1,0,$H42*$K42*py*Index!CN41*Index!CN182/unit)</f>
        <v>0</v>
      </c>
      <c r="CP42" s="75">
        <f>IF(Index!CO88=1,0,$H42*$K42*py*Index!CO41*Index!CO182/unit)</f>
        <v>0</v>
      </c>
      <c r="CQ42" s="75">
        <f>IF(Index!CP88=1,0,$H42*$K42*py*Index!CP41*Index!CP182/unit)</f>
        <v>0</v>
      </c>
      <c r="CR42" s="75">
        <f>IF(Index!CQ88=1,0,$H42*$K42*py*Index!CQ41*Index!CQ182/unit)</f>
        <v>0</v>
      </c>
      <c r="CS42" s="75">
        <f>IF(Index!CR88=1,0,$H42*$K42*py*Index!CR41*Index!CR182/unit)</f>
        <v>0</v>
      </c>
      <c r="CT42" s="75">
        <f>IF(Index!CS88=1,0,$H42*$K42*py*Index!CS41*Index!CS182/unit)</f>
        <v>0</v>
      </c>
      <c r="CU42" s="75">
        <f>IF(Index!CT88=1,0,$H42*$K42*py*Index!CT41*Index!CT182/unit)</f>
        <v>0</v>
      </c>
      <c r="CV42" s="75">
        <f>IF(Index!CU88=1,0,$H42*$K42*py*Index!CU41*Index!CU182/unit)</f>
        <v>0</v>
      </c>
      <c r="CW42" s="75">
        <f>IF(Index!CV88=1,0,$H42*$K42*py*Index!CV41*Index!CV182/unit)</f>
        <v>0</v>
      </c>
      <c r="CX42" s="75">
        <f>IF(Index!CW88=1,0,$H42*$K42*py*Index!CW41*Index!CW182/unit)</f>
        <v>0</v>
      </c>
      <c r="CY42" s="75">
        <f>IF(Index!CX88=1,0,$H42*$K42*py*Index!CX41*Index!CX182/unit)</f>
        <v>0</v>
      </c>
      <c r="CZ42" s="75">
        <f>IF(Index!CY88=1,0,$H42*$K42*py*Index!CY41*Index!CY182/unit)</f>
        <v>0</v>
      </c>
      <c r="DA42" s="75">
        <f>IF(Index!CZ88=1,0,$H42*$K42*py*Index!CZ41*Index!CZ182/unit)</f>
        <v>0</v>
      </c>
      <c r="DB42" s="75">
        <f>IF(Index!DA88=1,0,$H42*$K42*py*Index!DA41*Index!DA182/unit)</f>
        <v>0</v>
      </c>
      <c r="DC42" s="75">
        <f>IF(Index!DB88=1,0,$H42*$K42*py*Index!DB41*Index!DB182/unit)</f>
        <v>0</v>
      </c>
      <c r="DD42" s="75">
        <f>IF(Index!DC88=1,0,$H42*$K42*py*Index!DC41*Index!DC182/unit)</f>
        <v>0</v>
      </c>
      <c r="DE42" s="75">
        <f>IF(Index!DD88=1,0,$H42*$K42*py*Index!DD41*Index!DD182/unit)</f>
        <v>0</v>
      </c>
      <c r="DF42" s="75">
        <f>IF(Index!DE88=1,0,$H42*$K42*py*Index!DE41*Index!DE182/unit)</f>
        <v>0</v>
      </c>
      <c r="DG42" s="75">
        <f>IF(Index!DF88=1,0,$H42*$K42*py*Index!DF41*Index!DF182/unit)</f>
        <v>0</v>
      </c>
      <c r="DH42" s="75">
        <f>IF(Index!DG88=1,0,$H42*$K42*py*Index!DG41*Index!DG182/unit)</f>
        <v>0</v>
      </c>
      <c r="DI42" s="75">
        <f>IF(Index!DH88=1,0,$H42*$K42*py*Index!DH41*Index!DH182/unit)</f>
        <v>0</v>
      </c>
      <c r="DJ42" s="75">
        <f>IF(Index!DI88=1,0,$H42*$K42*py*Index!DI41*Index!DI182/unit)</f>
        <v>0</v>
      </c>
      <c r="DK42" s="75">
        <f>IF(Index!DJ88=1,0,$H42*$K42*py*Index!DJ41*Index!DJ182/unit)</f>
        <v>0</v>
      </c>
      <c r="DL42" s="75">
        <f>IF(Index!DK88=1,0,$H42*$K42*py*Index!DK41*Index!DK182/unit)</f>
        <v>0</v>
      </c>
      <c r="DM42" s="75">
        <f>IF(Index!DL88=1,0,$H42*$K42*py*Index!DL41*Index!DL182/unit)</f>
        <v>0</v>
      </c>
    </row>
    <row r="43" spans="2:117">
      <c r="B43" s="27">
        <f>Rentroll!$C$40</f>
        <v>14</v>
      </c>
      <c r="C43" s="69" t="str">
        <f>VLOOKUP($B43,Rentroll!$C$37:$Z$60,3,FALSE)</f>
        <v>111퍼센트</v>
      </c>
      <c r="D43" s="80">
        <f>VLOOKUP($B43,Rentroll!$C$37:$Z$60,9,FALSE)</f>
        <v>45869</v>
      </c>
      <c r="E43" s="80">
        <f>VLOOKUP($B43,Rentroll!$C$37:$Z$60,10,FALSE)</f>
        <v>47695</v>
      </c>
      <c r="F43" s="81">
        <f>VLOOKUP($B43,Rentroll!$C$37:$Z$60,11,FALSE)</f>
        <v>60</v>
      </c>
      <c r="G43" s="69">
        <f>VLOOKUP($B43,Rentroll!$C$37:$Z$60,13,FALSE)</f>
        <v>103000</v>
      </c>
      <c r="H43" s="69">
        <f>VLOOKUP($B43,Rentroll!$C$37:$Z$60,14,FALSE)</f>
        <v>94416.666666666672</v>
      </c>
      <c r="I43" s="69">
        <f>VLOOKUP($B43,Rentroll!$C$37:$Z$60,15,FALSE)</f>
        <v>45000</v>
      </c>
      <c r="J43" s="82">
        <f>VLOOKUP($B43,Rentroll!$C$37:$Z$60,19,FALSE)</f>
        <v>0.03</v>
      </c>
      <c r="K43" s="83">
        <f>VLOOKUP($B43,Rentroll!$C$37:$Z$60,4,FALSE)</f>
        <v>1385.09</v>
      </c>
      <c r="L43" s="81">
        <f>VLOOKUP($B43,Rentroll!$C$37:$Z$60,17,FALSE)</f>
        <v>1</v>
      </c>
      <c r="M43" s="84">
        <f>VLOOKUP($B43,Rentroll!$C$37:$Z$60,18,FALSE)</f>
        <v>1</v>
      </c>
      <c r="O43" s="74">
        <f t="shared" si="16"/>
        <v>14</v>
      </c>
      <c r="P43" s="75"/>
      <c r="Q43" s="75">
        <f t="shared" si="13"/>
        <v>2213.6205366942486</v>
      </c>
      <c r="R43" s="75"/>
      <c r="S43" s="75">
        <f>IF(Index!R89=1,0,$H43*$K43*py*Index!R42*Index!R183/unit)</f>
        <v>0</v>
      </c>
      <c r="T43" s="75">
        <f>IF(Index!S89=1,0,$H43*$K43*py*Index!S42*Index!S183/unit)</f>
        <v>0</v>
      </c>
      <c r="U43" s="75">
        <f>IF(Index!T89=1,0,$H43*$K43*py*Index!T42*Index!T183/unit)</f>
        <v>0</v>
      </c>
      <c r="V43" s="75">
        <f>IF(Index!U89=1,0,$H43*$K43*py*Index!U42*Index!U183/unit)</f>
        <v>0</v>
      </c>
      <c r="W43" s="75">
        <f>IF(Index!V89=1,0,$H43*$K43*py*Index!V42*Index!V183/unit)</f>
        <v>0</v>
      </c>
      <c r="X43" s="75">
        <f>IF(Index!W89=1,0,$H43*$K43*py*Index!W42*Index!W183/unit)</f>
        <v>0</v>
      </c>
      <c r="Y43" s="75">
        <f>IF(Index!X89=1,0,$H43*$K43*py*Index!X42*Index!X183/unit)</f>
        <v>0</v>
      </c>
      <c r="Z43" s="75">
        <f>IF(Index!Y89=1,0,$H43*$K43*py*Index!Y42*Index!Y183/unit)</f>
        <v>0</v>
      </c>
      <c r="AA43" s="75">
        <f>IF(Index!Z89=1,0,$H43*$K43*py*Index!Z42*Index!Z183/unit)</f>
        <v>39.559613202083334</v>
      </c>
      <c r="AB43" s="75">
        <f>IF(Index!AA89=1,0,$H43*$K43*py*Index!AA42*Index!AA183/unit)</f>
        <v>39.559613202083334</v>
      </c>
      <c r="AC43" s="75">
        <f>IF(Index!AB89=1,0,$H43*$K43*py*Index!AB42*Index!AB183/unit)</f>
        <v>39.559613202083334</v>
      </c>
      <c r="AD43" s="75">
        <f>IF(Index!AC89=1,0,$H43*$K43*py*Index!AC42*Index!AC183/unit)</f>
        <v>39.559613202083334</v>
      </c>
      <c r="AE43" s="75">
        <f>IF(Index!AD89=1,0,$H43*$K43*py*Index!AD42*Index!AD183/unit)</f>
        <v>39.559613202083334</v>
      </c>
      <c r="AF43" s="75">
        <f>IF(Index!AE89=1,0,$H43*$K43*py*Index!AE42*Index!AE183/unit)</f>
        <v>39.559613202083334</v>
      </c>
      <c r="AG43" s="75">
        <f>IF(Index!AF89=1,0,$H43*$K43*py*Index!AF42*Index!AF183/unit)</f>
        <v>39.559613202083334</v>
      </c>
      <c r="AH43" s="75">
        <f>IF(Index!AG89=1,0,$H43*$K43*py*Index!AG42*Index!AG183/unit)</f>
        <v>39.559613202083334</v>
      </c>
      <c r="AI43" s="75">
        <f>IF(Index!AH89=1,0,$H43*$K43*py*Index!AH42*Index!AH183/unit)</f>
        <v>39.559613202083334</v>
      </c>
      <c r="AJ43" s="75">
        <f>IF(Index!AI89=1,0,$H43*$K43*py*Index!AI42*Index!AI183/unit)</f>
        <v>39.559613202083334</v>
      </c>
      <c r="AK43" s="75">
        <f>IF(Index!AJ89=1,0,$H43*$K43*py*Index!AJ42*Index!AJ183/unit)</f>
        <v>39.559613202083334</v>
      </c>
      <c r="AL43" s="75">
        <f>IF(Index!AK89=1,0,$H43*$K43*py*Index!AK42*Index!AK183/unit)</f>
        <v>40.746401598145837</v>
      </c>
      <c r="AM43" s="75">
        <f>IF(Index!AL89=1,0,$H43*$K43*py*Index!AL42*Index!AL183/unit)</f>
        <v>40.746401598145837</v>
      </c>
      <c r="AN43" s="75">
        <f>IF(Index!AM89=1,0,$H43*$K43*py*Index!AM42*Index!AM183/unit)</f>
        <v>40.746401598145837</v>
      </c>
      <c r="AO43" s="75">
        <f>IF(Index!AN89=1,0,$H43*$K43*py*Index!AN42*Index!AN183/unit)</f>
        <v>40.746401598145837</v>
      </c>
      <c r="AP43" s="75">
        <f>IF(Index!AO89=1,0,$H43*$K43*py*Index!AO42*Index!AO183/unit)</f>
        <v>40.746401598145837</v>
      </c>
      <c r="AQ43" s="75">
        <f>IF(Index!AP89=1,0,$H43*$K43*py*Index!AP42*Index!AP183/unit)</f>
        <v>40.746401598145837</v>
      </c>
      <c r="AR43" s="75">
        <f>IF(Index!AQ89=1,0,$H43*$K43*py*Index!AQ42*Index!AQ183/unit)</f>
        <v>40.746401598145837</v>
      </c>
      <c r="AS43" s="75">
        <f>IF(Index!AR89=1,0,$H43*$K43*py*Index!AR42*Index!AR183/unit)</f>
        <v>40.746401598145837</v>
      </c>
      <c r="AT43" s="75">
        <f>IF(Index!AS89=1,0,$H43*$K43*py*Index!AS42*Index!AS183/unit)</f>
        <v>40.746401598145837</v>
      </c>
      <c r="AU43" s="75">
        <f>IF(Index!AT89=1,0,$H43*$K43*py*Index!AT42*Index!AT183/unit)</f>
        <v>40.746401598145837</v>
      </c>
      <c r="AV43" s="75">
        <f>IF(Index!AU89=1,0,$H43*$K43*py*Index!AU42*Index!AU183/unit)</f>
        <v>40.746401598145837</v>
      </c>
      <c r="AW43" s="75">
        <f>IF(Index!AV89=1,0,$H43*$K43*py*Index!AV42*Index!AV183/unit)</f>
        <v>40.746401598145837</v>
      </c>
      <c r="AX43" s="75">
        <f>IF(Index!AW89=1,0,$H43*$K43*py*Index!AW42*Index!AW183/unit)</f>
        <v>41.968793646090212</v>
      </c>
      <c r="AY43" s="75">
        <f>IF(Index!AX89=1,0,$H43*$K43*py*Index!AX42*Index!AX183/unit)</f>
        <v>41.968793646090212</v>
      </c>
      <c r="AZ43" s="75">
        <f>IF(Index!AY89=1,0,$H43*$K43*py*Index!AY42*Index!AY183/unit)</f>
        <v>41.968793646090212</v>
      </c>
      <c r="BA43" s="75">
        <f>IF(Index!AZ89=1,0,$H43*$K43*py*Index!AZ42*Index!AZ183/unit)</f>
        <v>41.968793646090212</v>
      </c>
      <c r="BB43" s="75">
        <f>IF(Index!BA89=1,0,$H43*$K43*py*Index!BA42*Index!BA183/unit)</f>
        <v>41.968793646090212</v>
      </c>
      <c r="BC43" s="75">
        <f>IF(Index!BB89=1,0,$H43*$K43*py*Index!BB42*Index!BB183/unit)</f>
        <v>41.968793646090212</v>
      </c>
      <c r="BD43" s="75">
        <f>IF(Index!BC89=1,0,$H43*$K43*py*Index!BC42*Index!BC183/unit)</f>
        <v>41.968793646090212</v>
      </c>
      <c r="BE43" s="75">
        <f>IF(Index!BD89=1,0,$H43*$K43*py*Index!BD42*Index!BD183/unit)</f>
        <v>41.968793646090212</v>
      </c>
      <c r="BF43" s="75">
        <f>IF(Index!BE89=1,0,$H43*$K43*py*Index!BE42*Index!BE183/unit)</f>
        <v>41.968793646090212</v>
      </c>
      <c r="BG43" s="75">
        <f>IF(Index!BF89=1,0,$H43*$K43*py*Index!BF42*Index!BF183/unit)</f>
        <v>41.968793646090212</v>
      </c>
      <c r="BH43" s="75">
        <f>IF(Index!BG89=1,0,$H43*$K43*py*Index!BG42*Index!BG183/unit)</f>
        <v>41.968793646090212</v>
      </c>
      <c r="BI43" s="75">
        <f>IF(Index!BH89=1,0,$H43*$K43*py*Index!BH42*Index!BH183/unit)</f>
        <v>41.968793646090212</v>
      </c>
      <c r="BJ43" s="75">
        <f>IF(Index!BI89=1,0,$H43*$K43*py*Index!BI42*Index!BI183/unit)</f>
        <v>43.227857455472915</v>
      </c>
      <c r="BK43" s="75">
        <f>IF(Index!BJ89=1,0,$H43*$K43*py*Index!BJ42*Index!BJ183/unit)</f>
        <v>43.227857455472915</v>
      </c>
      <c r="BL43" s="75">
        <f>IF(Index!BK89=1,0,$H43*$K43*py*Index!BK42*Index!BK183/unit)</f>
        <v>43.227857455472915</v>
      </c>
      <c r="BM43" s="75">
        <f>IF(Index!BL89=1,0,$H43*$K43*py*Index!BL42*Index!BL183/unit)</f>
        <v>43.227857455472915</v>
      </c>
      <c r="BN43" s="75">
        <f>IF(Index!BM89=1,0,$H43*$K43*py*Index!BM42*Index!BM183/unit)</f>
        <v>43.227857455472915</v>
      </c>
      <c r="BO43" s="75">
        <f>IF(Index!BN89=1,0,$H43*$K43*py*Index!BN42*Index!BN183/unit)</f>
        <v>43.227857455472915</v>
      </c>
      <c r="BP43" s="75">
        <f>IF(Index!BO89=1,0,$H43*$K43*py*Index!BO42*Index!BO183/unit)</f>
        <v>43.227857455472915</v>
      </c>
      <c r="BQ43" s="75">
        <f>IF(Index!BP89=1,0,$H43*$K43*py*Index!BP42*Index!BP183/unit)</f>
        <v>43.227857455472915</v>
      </c>
      <c r="BR43" s="75">
        <f>IF(Index!BQ89=1,0,$H43*$K43*py*Index!BQ42*Index!BQ183/unit)</f>
        <v>43.227857455472915</v>
      </c>
      <c r="BS43" s="75">
        <f>IF(Index!BR89=1,0,$H43*$K43*py*Index!BR42*Index!BR183/unit)</f>
        <v>43.227857455472915</v>
      </c>
      <c r="BT43" s="75">
        <f>IF(Index!BS89=1,0,$H43*$K43*py*Index!BS42*Index!BS183/unit)</f>
        <v>43.227857455472915</v>
      </c>
      <c r="BU43" s="75">
        <f>IF(Index!BT89=1,0,$H43*$K43*py*Index!BT42*Index!BT183/unit)</f>
        <v>43.227857455472915</v>
      </c>
      <c r="BV43" s="75">
        <f>IF(Index!BU89=1,0,$H43*$K43*py*Index!BU42*Index!BU183/unit)</f>
        <v>44.524693179137103</v>
      </c>
      <c r="BW43" s="75">
        <f>IF(Index!BV89=1,0,$H43*$K43*py*Index!BV42*Index!BV183/unit)</f>
        <v>44.524693179137103</v>
      </c>
      <c r="BX43" s="75">
        <f>IF(Index!BW89=1,0,$H43*$K43*py*Index!BW42*Index!BW183/unit)</f>
        <v>44.524693179137103</v>
      </c>
      <c r="BY43" s="75">
        <f>IF(Index!BX89=1,0,$H43*$K43*py*Index!BX42*Index!BX183/unit)</f>
        <v>44.524693179137103</v>
      </c>
      <c r="BZ43" s="75">
        <f>IF(Index!BY89=1,0,$H43*$K43*py*Index!BY42*Index!BY183/unit)</f>
        <v>44.524693179137103</v>
      </c>
      <c r="CA43" s="75">
        <f>IF(Index!BZ89=1,0,$H43*$K43*py*Index!BZ42*Index!BZ183/unit)</f>
        <v>44.524693179137103</v>
      </c>
      <c r="CB43" s="75">
        <f>IF(Index!CA89=1,0,$H43*$K43*py*Index!CA42*Index!CA183/unit)</f>
        <v>0</v>
      </c>
      <c r="CC43" s="75">
        <f>IF(Index!CB89=1,0,$H43*$K43*py*Index!CB42*Index!CB183/unit)</f>
        <v>0</v>
      </c>
      <c r="CD43" s="75">
        <f>IF(Index!CC89=1,0,$H43*$K43*py*Index!CC42*Index!CC183/unit)</f>
        <v>0</v>
      </c>
      <c r="CE43" s="75">
        <f>IF(Index!CD89=1,0,$H43*$K43*py*Index!CD42*Index!CD183/unit)</f>
        <v>0</v>
      </c>
      <c r="CF43" s="75">
        <f>IF(Index!CE89=1,0,$H43*$K43*py*Index!CE42*Index!CE183/unit)</f>
        <v>0</v>
      </c>
      <c r="CG43" s="75">
        <f>IF(Index!CF89=1,0,$H43*$K43*py*Index!CF42*Index!CF183/unit)</f>
        <v>0</v>
      </c>
      <c r="CH43" s="75">
        <f>IF(Index!CG89=1,0,$H43*$K43*py*Index!CG42*Index!CG183/unit)</f>
        <v>0</v>
      </c>
      <c r="CI43" s="75">
        <f>IF(Index!CH89=1,0,$H43*$K43*py*Index!CH42*Index!CH183/unit)</f>
        <v>0</v>
      </c>
      <c r="CJ43" s="75">
        <f>IF(Index!CI89=1,0,$H43*$K43*py*Index!CI42*Index!CI183/unit)</f>
        <v>0</v>
      </c>
      <c r="CK43" s="75">
        <f>IF(Index!CJ89=1,0,$H43*$K43*py*Index!CJ42*Index!CJ183/unit)</f>
        <v>0</v>
      </c>
      <c r="CL43" s="75">
        <f>IF(Index!CK89=1,0,$H43*$K43*py*Index!CK42*Index!CK183/unit)</f>
        <v>0</v>
      </c>
      <c r="CM43" s="75">
        <f>IF(Index!CL89=1,0,$H43*$K43*py*Index!CL42*Index!CL183/unit)</f>
        <v>0</v>
      </c>
      <c r="CN43" s="75">
        <f>IF(Index!CM89=1,0,$H43*$K43*py*Index!CM42*Index!CM183/unit)</f>
        <v>0</v>
      </c>
      <c r="CO43" s="75">
        <f>IF(Index!CN89=1,0,$H43*$K43*py*Index!CN42*Index!CN183/unit)</f>
        <v>0</v>
      </c>
      <c r="CP43" s="75">
        <f>IF(Index!CO89=1,0,$H43*$K43*py*Index!CO42*Index!CO183/unit)</f>
        <v>0</v>
      </c>
      <c r="CQ43" s="75">
        <f>IF(Index!CP89=1,0,$H43*$K43*py*Index!CP42*Index!CP183/unit)</f>
        <v>0</v>
      </c>
      <c r="CR43" s="75">
        <f>IF(Index!CQ89=1,0,$H43*$K43*py*Index!CQ42*Index!CQ183/unit)</f>
        <v>0</v>
      </c>
      <c r="CS43" s="75">
        <f>IF(Index!CR89=1,0,$H43*$K43*py*Index!CR42*Index!CR183/unit)</f>
        <v>0</v>
      </c>
      <c r="CT43" s="75">
        <f>IF(Index!CS89=1,0,$H43*$K43*py*Index!CS42*Index!CS183/unit)</f>
        <v>0</v>
      </c>
      <c r="CU43" s="75">
        <f>IF(Index!CT89=1,0,$H43*$K43*py*Index!CT42*Index!CT183/unit)</f>
        <v>0</v>
      </c>
      <c r="CV43" s="75">
        <f>IF(Index!CU89=1,0,$H43*$K43*py*Index!CU42*Index!CU183/unit)</f>
        <v>0</v>
      </c>
      <c r="CW43" s="75">
        <f>IF(Index!CV89=1,0,$H43*$K43*py*Index!CV42*Index!CV183/unit)</f>
        <v>0</v>
      </c>
      <c r="CX43" s="75">
        <f>IF(Index!CW89=1,0,$H43*$K43*py*Index!CW42*Index!CW183/unit)</f>
        <v>0</v>
      </c>
      <c r="CY43" s="75">
        <f>IF(Index!CX89=1,0,$H43*$K43*py*Index!CX42*Index!CX183/unit)</f>
        <v>0</v>
      </c>
      <c r="CZ43" s="75">
        <f>IF(Index!CY89=1,0,$H43*$K43*py*Index!CY42*Index!CY183/unit)</f>
        <v>0</v>
      </c>
      <c r="DA43" s="75">
        <f>IF(Index!CZ89=1,0,$H43*$K43*py*Index!CZ42*Index!CZ183/unit)</f>
        <v>0</v>
      </c>
      <c r="DB43" s="75">
        <f>IF(Index!DA89=1,0,$H43*$K43*py*Index!DA42*Index!DA183/unit)</f>
        <v>0</v>
      </c>
      <c r="DC43" s="75">
        <f>IF(Index!DB89=1,0,$H43*$K43*py*Index!DB42*Index!DB183/unit)</f>
        <v>0</v>
      </c>
      <c r="DD43" s="75">
        <f>IF(Index!DC89=1,0,$H43*$K43*py*Index!DC42*Index!DC183/unit)</f>
        <v>0</v>
      </c>
      <c r="DE43" s="75">
        <f>IF(Index!DD89=1,0,$H43*$K43*py*Index!DD42*Index!DD183/unit)</f>
        <v>0</v>
      </c>
      <c r="DF43" s="75">
        <f>IF(Index!DE89=1,0,$H43*$K43*py*Index!DE42*Index!DE183/unit)</f>
        <v>0</v>
      </c>
      <c r="DG43" s="75">
        <f>IF(Index!DF89=1,0,$H43*$K43*py*Index!DF42*Index!DF183/unit)</f>
        <v>0</v>
      </c>
      <c r="DH43" s="75">
        <f>IF(Index!DG89=1,0,$H43*$K43*py*Index!DG42*Index!DG183/unit)</f>
        <v>0</v>
      </c>
      <c r="DI43" s="75">
        <f>IF(Index!DH89=1,0,$H43*$K43*py*Index!DH42*Index!DH183/unit)</f>
        <v>0</v>
      </c>
      <c r="DJ43" s="75">
        <f>IF(Index!DI89=1,0,$H43*$K43*py*Index!DI42*Index!DI183/unit)</f>
        <v>0</v>
      </c>
      <c r="DK43" s="75">
        <f>IF(Index!DJ89=1,0,$H43*$K43*py*Index!DJ42*Index!DJ183/unit)</f>
        <v>0</v>
      </c>
      <c r="DL43" s="75">
        <f>IF(Index!DK89=1,0,$H43*$K43*py*Index!DK42*Index!DK183/unit)</f>
        <v>0</v>
      </c>
      <c r="DM43" s="75">
        <f>IF(Index!DL89=1,0,$H43*$K43*py*Index!DL42*Index!DL183/unit)</f>
        <v>0</v>
      </c>
    </row>
    <row r="44" spans="2:117">
      <c r="B44" s="27">
        <f>Rentroll!$C$41</f>
        <v>13</v>
      </c>
      <c r="C44" s="69" t="str">
        <f>VLOOKUP($B44,Rentroll!$C$37:$Z$60,3,FALSE)</f>
        <v>111퍼센트</v>
      </c>
      <c r="D44" s="80">
        <f>VLOOKUP($B44,Rentroll!$C$37:$Z$60,9,FALSE)</f>
        <v>45869</v>
      </c>
      <c r="E44" s="80">
        <f>VLOOKUP($B44,Rentroll!$C$37:$Z$60,10,FALSE)</f>
        <v>47695</v>
      </c>
      <c r="F44" s="81">
        <f>VLOOKUP($B44,Rentroll!$C$37:$Z$60,11,FALSE)</f>
        <v>60</v>
      </c>
      <c r="G44" s="69">
        <f>VLOOKUP($B44,Rentroll!$C$37:$Z$60,13,FALSE)</f>
        <v>103000</v>
      </c>
      <c r="H44" s="69">
        <f>VLOOKUP($B44,Rentroll!$C$37:$Z$60,14,FALSE)</f>
        <v>94416.666666666672</v>
      </c>
      <c r="I44" s="69">
        <f>VLOOKUP($B44,Rentroll!$C$37:$Z$60,15,FALSE)</f>
        <v>45000</v>
      </c>
      <c r="J44" s="82">
        <f>VLOOKUP($B44,Rentroll!$C$37:$Z$60,19,FALSE)</f>
        <v>0.03</v>
      </c>
      <c r="K44" s="83">
        <f>VLOOKUP($B44,Rentroll!$C$37:$Z$60,4,FALSE)</f>
        <v>1385.09</v>
      </c>
      <c r="L44" s="81">
        <f>VLOOKUP($B44,Rentroll!$C$37:$Z$60,17,FALSE)</f>
        <v>1</v>
      </c>
      <c r="M44" s="84">
        <f>VLOOKUP($B44,Rentroll!$C$37:$Z$60,18,FALSE)</f>
        <v>1</v>
      </c>
      <c r="O44" s="74">
        <f t="shared" si="16"/>
        <v>13</v>
      </c>
      <c r="P44" s="75"/>
      <c r="Q44" s="75">
        <f t="shared" si="13"/>
        <v>2213.6205366942486</v>
      </c>
      <c r="R44" s="75"/>
      <c r="S44" s="75">
        <f>IF(Index!R90=1,0,$H44*$K44*py*Index!R43*Index!R184/unit)</f>
        <v>0</v>
      </c>
      <c r="T44" s="75">
        <f>IF(Index!S90=1,0,$H44*$K44*py*Index!S43*Index!S184/unit)</f>
        <v>0</v>
      </c>
      <c r="U44" s="75">
        <f>IF(Index!T90=1,0,$H44*$K44*py*Index!T43*Index!T184/unit)</f>
        <v>0</v>
      </c>
      <c r="V44" s="75">
        <f>IF(Index!U90=1,0,$H44*$K44*py*Index!U43*Index!U184/unit)</f>
        <v>0</v>
      </c>
      <c r="W44" s="75">
        <f>IF(Index!V90=1,0,$H44*$K44*py*Index!V43*Index!V184/unit)</f>
        <v>0</v>
      </c>
      <c r="X44" s="75">
        <f>IF(Index!W90=1,0,$H44*$K44*py*Index!W43*Index!W184/unit)</f>
        <v>0</v>
      </c>
      <c r="Y44" s="75">
        <f>IF(Index!X90=1,0,$H44*$K44*py*Index!X43*Index!X184/unit)</f>
        <v>0</v>
      </c>
      <c r="Z44" s="75">
        <f>IF(Index!Y90=1,0,$H44*$K44*py*Index!Y43*Index!Y184/unit)</f>
        <v>0</v>
      </c>
      <c r="AA44" s="75">
        <f>IF(Index!Z90=1,0,$H44*$K44*py*Index!Z43*Index!Z184/unit)</f>
        <v>39.559613202083334</v>
      </c>
      <c r="AB44" s="75">
        <f>IF(Index!AA90=1,0,$H44*$K44*py*Index!AA43*Index!AA184/unit)</f>
        <v>39.559613202083334</v>
      </c>
      <c r="AC44" s="75">
        <f>IF(Index!AB90=1,0,$H44*$K44*py*Index!AB43*Index!AB184/unit)</f>
        <v>39.559613202083334</v>
      </c>
      <c r="AD44" s="75">
        <f>IF(Index!AC90=1,0,$H44*$K44*py*Index!AC43*Index!AC184/unit)</f>
        <v>39.559613202083334</v>
      </c>
      <c r="AE44" s="75">
        <f>IF(Index!AD90=1,0,$H44*$K44*py*Index!AD43*Index!AD184/unit)</f>
        <v>39.559613202083334</v>
      </c>
      <c r="AF44" s="75">
        <f>IF(Index!AE90=1,0,$H44*$K44*py*Index!AE43*Index!AE184/unit)</f>
        <v>39.559613202083334</v>
      </c>
      <c r="AG44" s="75">
        <f>IF(Index!AF90=1,0,$H44*$K44*py*Index!AF43*Index!AF184/unit)</f>
        <v>39.559613202083334</v>
      </c>
      <c r="AH44" s="75">
        <f>IF(Index!AG90=1,0,$H44*$K44*py*Index!AG43*Index!AG184/unit)</f>
        <v>39.559613202083334</v>
      </c>
      <c r="AI44" s="75">
        <f>IF(Index!AH90=1,0,$H44*$K44*py*Index!AH43*Index!AH184/unit)</f>
        <v>39.559613202083334</v>
      </c>
      <c r="AJ44" s="75">
        <f>IF(Index!AI90=1,0,$H44*$K44*py*Index!AI43*Index!AI184/unit)</f>
        <v>39.559613202083334</v>
      </c>
      <c r="AK44" s="75">
        <f>IF(Index!AJ90=1,0,$H44*$K44*py*Index!AJ43*Index!AJ184/unit)</f>
        <v>39.559613202083334</v>
      </c>
      <c r="AL44" s="75">
        <f>IF(Index!AK90=1,0,$H44*$K44*py*Index!AK43*Index!AK184/unit)</f>
        <v>40.746401598145837</v>
      </c>
      <c r="AM44" s="75">
        <f>IF(Index!AL90=1,0,$H44*$K44*py*Index!AL43*Index!AL184/unit)</f>
        <v>40.746401598145837</v>
      </c>
      <c r="AN44" s="75">
        <f>IF(Index!AM90=1,0,$H44*$K44*py*Index!AM43*Index!AM184/unit)</f>
        <v>40.746401598145837</v>
      </c>
      <c r="AO44" s="75">
        <f>IF(Index!AN90=1,0,$H44*$K44*py*Index!AN43*Index!AN184/unit)</f>
        <v>40.746401598145837</v>
      </c>
      <c r="AP44" s="75">
        <f>IF(Index!AO90=1,0,$H44*$K44*py*Index!AO43*Index!AO184/unit)</f>
        <v>40.746401598145837</v>
      </c>
      <c r="AQ44" s="75">
        <f>IF(Index!AP90=1,0,$H44*$K44*py*Index!AP43*Index!AP184/unit)</f>
        <v>40.746401598145837</v>
      </c>
      <c r="AR44" s="75">
        <f>IF(Index!AQ90=1,0,$H44*$K44*py*Index!AQ43*Index!AQ184/unit)</f>
        <v>40.746401598145837</v>
      </c>
      <c r="AS44" s="75">
        <f>IF(Index!AR90=1,0,$H44*$K44*py*Index!AR43*Index!AR184/unit)</f>
        <v>40.746401598145837</v>
      </c>
      <c r="AT44" s="75">
        <f>IF(Index!AS90=1,0,$H44*$K44*py*Index!AS43*Index!AS184/unit)</f>
        <v>40.746401598145837</v>
      </c>
      <c r="AU44" s="75">
        <f>IF(Index!AT90=1,0,$H44*$K44*py*Index!AT43*Index!AT184/unit)</f>
        <v>40.746401598145837</v>
      </c>
      <c r="AV44" s="75">
        <f>IF(Index!AU90=1,0,$H44*$K44*py*Index!AU43*Index!AU184/unit)</f>
        <v>40.746401598145837</v>
      </c>
      <c r="AW44" s="75">
        <f>IF(Index!AV90=1,0,$H44*$K44*py*Index!AV43*Index!AV184/unit)</f>
        <v>40.746401598145837</v>
      </c>
      <c r="AX44" s="75">
        <f>IF(Index!AW90=1,0,$H44*$K44*py*Index!AW43*Index!AW184/unit)</f>
        <v>41.968793646090212</v>
      </c>
      <c r="AY44" s="75">
        <f>IF(Index!AX90=1,0,$H44*$K44*py*Index!AX43*Index!AX184/unit)</f>
        <v>41.968793646090212</v>
      </c>
      <c r="AZ44" s="75">
        <f>IF(Index!AY90=1,0,$H44*$K44*py*Index!AY43*Index!AY184/unit)</f>
        <v>41.968793646090212</v>
      </c>
      <c r="BA44" s="75">
        <f>IF(Index!AZ90=1,0,$H44*$K44*py*Index!AZ43*Index!AZ184/unit)</f>
        <v>41.968793646090212</v>
      </c>
      <c r="BB44" s="75">
        <f>IF(Index!BA90=1,0,$H44*$K44*py*Index!BA43*Index!BA184/unit)</f>
        <v>41.968793646090212</v>
      </c>
      <c r="BC44" s="75">
        <f>IF(Index!BB90=1,0,$H44*$K44*py*Index!BB43*Index!BB184/unit)</f>
        <v>41.968793646090212</v>
      </c>
      <c r="BD44" s="75">
        <f>IF(Index!BC90=1,0,$H44*$K44*py*Index!BC43*Index!BC184/unit)</f>
        <v>41.968793646090212</v>
      </c>
      <c r="BE44" s="75">
        <f>IF(Index!BD90=1,0,$H44*$K44*py*Index!BD43*Index!BD184/unit)</f>
        <v>41.968793646090212</v>
      </c>
      <c r="BF44" s="75">
        <f>IF(Index!BE90=1,0,$H44*$K44*py*Index!BE43*Index!BE184/unit)</f>
        <v>41.968793646090212</v>
      </c>
      <c r="BG44" s="75">
        <f>IF(Index!BF90=1,0,$H44*$K44*py*Index!BF43*Index!BF184/unit)</f>
        <v>41.968793646090212</v>
      </c>
      <c r="BH44" s="75">
        <f>IF(Index!BG90=1,0,$H44*$K44*py*Index!BG43*Index!BG184/unit)</f>
        <v>41.968793646090212</v>
      </c>
      <c r="BI44" s="75">
        <f>IF(Index!BH90=1,0,$H44*$K44*py*Index!BH43*Index!BH184/unit)</f>
        <v>41.968793646090212</v>
      </c>
      <c r="BJ44" s="75">
        <f>IF(Index!BI90=1,0,$H44*$K44*py*Index!BI43*Index!BI184/unit)</f>
        <v>43.227857455472915</v>
      </c>
      <c r="BK44" s="75">
        <f>IF(Index!BJ90=1,0,$H44*$K44*py*Index!BJ43*Index!BJ184/unit)</f>
        <v>43.227857455472915</v>
      </c>
      <c r="BL44" s="75">
        <f>IF(Index!BK90=1,0,$H44*$K44*py*Index!BK43*Index!BK184/unit)</f>
        <v>43.227857455472915</v>
      </c>
      <c r="BM44" s="75">
        <f>IF(Index!BL90=1,0,$H44*$K44*py*Index!BL43*Index!BL184/unit)</f>
        <v>43.227857455472915</v>
      </c>
      <c r="BN44" s="75">
        <f>IF(Index!BM90=1,0,$H44*$K44*py*Index!BM43*Index!BM184/unit)</f>
        <v>43.227857455472915</v>
      </c>
      <c r="BO44" s="75">
        <f>IF(Index!BN90=1,0,$H44*$K44*py*Index!BN43*Index!BN184/unit)</f>
        <v>43.227857455472915</v>
      </c>
      <c r="BP44" s="75">
        <f>IF(Index!BO90=1,0,$H44*$K44*py*Index!BO43*Index!BO184/unit)</f>
        <v>43.227857455472915</v>
      </c>
      <c r="BQ44" s="75">
        <f>IF(Index!BP90=1,0,$H44*$K44*py*Index!BP43*Index!BP184/unit)</f>
        <v>43.227857455472915</v>
      </c>
      <c r="BR44" s="75">
        <f>IF(Index!BQ90=1,0,$H44*$K44*py*Index!BQ43*Index!BQ184/unit)</f>
        <v>43.227857455472915</v>
      </c>
      <c r="BS44" s="75">
        <f>IF(Index!BR90=1,0,$H44*$K44*py*Index!BR43*Index!BR184/unit)</f>
        <v>43.227857455472915</v>
      </c>
      <c r="BT44" s="75">
        <f>IF(Index!BS90=1,0,$H44*$K44*py*Index!BS43*Index!BS184/unit)</f>
        <v>43.227857455472915</v>
      </c>
      <c r="BU44" s="75">
        <f>IF(Index!BT90=1,0,$H44*$K44*py*Index!BT43*Index!BT184/unit)</f>
        <v>43.227857455472915</v>
      </c>
      <c r="BV44" s="75">
        <f>IF(Index!BU90=1,0,$H44*$K44*py*Index!BU43*Index!BU184/unit)</f>
        <v>44.524693179137103</v>
      </c>
      <c r="BW44" s="75">
        <f>IF(Index!BV90=1,0,$H44*$K44*py*Index!BV43*Index!BV184/unit)</f>
        <v>44.524693179137103</v>
      </c>
      <c r="BX44" s="75">
        <f>IF(Index!BW90=1,0,$H44*$K44*py*Index!BW43*Index!BW184/unit)</f>
        <v>44.524693179137103</v>
      </c>
      <c r="BY44" s="75">
        <f>IF(Index!BX90=1,0,$H44*$K44*py*Index!BX43*Index!BX184/unit)</f>
        <v>44.524693179137103</v>
      </c>
      <c r="BZ44" s="75">
        <f>IF(Index!BY90=1,0,$H44*$K44*py*Index!BY43*Index!BY184/unit)</f>
        <v>44.524693179137103</v>
      </c>
      <c r="CA44" s="75">
        <f>IF(Index!BZ90=1,0,$H44*$K44*py*Index!BZ43*Index!BZ184/unit)</f>
        <v>44.524693179137103</v>
      </c>
      <c r="CB44" s="75">
        <f>IF(Index!CA90=1,0,$H44*$K44*py*Index!CA43*Index!CA184/unit)</f>
        <v>0</v>
      </c>
      <c r="CC44" s="75">
        <f>IF(Index!CB90=1,0,$H44*$K44*py*Index!CB43*Index!CB184/unit)</f>
        <v>0</v>
      </c>
      <c r="CD44" s="75">
        <f>IF(Index!CC90=1,0,$H44*$K44*py*Index!CC43*Index!CC184/unit)</f>
        <v>0</v>
      </c>
      <c r="CE44" s="75">
        <f>IF(Index!CD90=1,0,$H44*$K44*py*Index!CD43*Index!CD184/unit)</f>
        <v>0</v>
      </c>
      <c r="CF44" s="75">
        <f>IF(Index!CE90=1,0,$H44*$K44*py*Index!CE43*Index!CE184/unit)</f>
        <v>0</v>
      </c>
      <c r="CG44" s="75">
        <f>IF(Index!CF90=1,0,$H44*$K44*py*Index!CF43*Index!CF184/unit)</f>
        <v>0</v>
      </c>
      <c r="CH44" s="75">
        <f>IF(Index!CG90=1,0,$H44*$K44*py*Index!CG43*Index!CG184/unit)</f>
        <v>0</v>
      </c>
      <c r="CI44" s="75">
        <f>IF(Index!CH90=1,0,$H44*$K44*py*Index!CH43*Index!CH184/unit)</f>
        <v>0</v>
      </c>
      <c r="CJ44" s="75">
        <f>IF(Index!CI90=1,0,$H44*$K44*py*Index!CI43*Index!CI184/unit)</f>
        <v>0</v>
      </c>
      <c r="CK44" s="75">
        <f>IF(Index!CJ90=1,0,$H44*$K44*py*Index!CJ43*Index!CJ184/unit)</f>
        <v>0</v>
      </c>
      <c r="CL44" s="75">
        <f>IF(Index!CK90=1,0,$H44*$K44*py*Index!CK43*Index!CK184/unit)</f>
        <v>0</v>
      </c>
      <c r="CM44" s="75">
        <f>IF(Index!CL90=1,0,$H44*$K44*py*Index!CL43*Index!CL184/unit)</f>
        <v>0</v>
      </c>
      <c r="CN44" s="75">
        <f>IF(Index!CM90=1,0,$H44*$K44*py*Index!CM43*Index!CM184/unit)</f>
        <v>0</v>
      </c>
      <c r="CO44" s="75">
        <f>IF(Index!CN90=1,0,$H44*$K44*py*Index!CN43*Index!CN184/unit)</f>
        <v>0</v>
      </c>
      <c r="CP44" s="75">
        <f>IF(Index!CO90=1,0,$H44*$K44*py*Index!CO43*Index!CO184/unit)</f>
        <v>0</v>
      </c>
      <c r="CQ44" s="75">
        <f>IF(Index!CP90=1,0,$H44*$K44*py*Index!CP43*Index!CP184/unit)</f>
        <v>0</v>
      </c>
      <c r="CR44" s="75">
        <f>IF(Index!CQ90=1,0,$H44*$K44*py*Index!CQ43*Index!CQ184/unit)</f>
        <v>0</v>
      </c>
      <c r="CS44" s="75">
        <f>IF(Index!CR90=1,0,$H44*$K44*py*Index!CR43*Index!CR184/unit)</f>
        <v>0</v>
      </c>
      <c r="CT44" s="75">
        <f>IF(Index!CS90=1,0,$H44*$K44*py*Index!CS43*Index!CS184/unit)</f>
        <v>0</v>
      </c>
      <c r="CU44" s="75">
        <f>IF(Index!CT90=1,0,$H44*$K44*py*Index!CT43*Index!CT184/unit)</f>
        <v>0</v>
      </c>
      <c r="CV44" s="75">
        <f>IF(Index!CU90=1,0,$H44*$K44*py*Index!CU43*Index!CU184/unit)</f>
        <v>0</v>
      </c>
      <c r="CW44" s="75">
        <f>IF(Index!CV90=1,0,$H44*$K44*py*Index!CV43*Index!CV184/unit)</f>
        <v>0</v>
      </c>
      <c r="CX44" s="75">
        <f>IF(Index!CW90=1,0,$H44*$K44*py*Index!CW43*Index!CW184/unit)</f>
        <v>0</v>
      </c>
      <c r="CY44" s="75">
        <f>IF(Index!CX90=1,0,$H44*$K44*py*Index!CX43*Index!CX184/unit)</f>
        <v>0</v>
      </c>
      <c r="CZ44" s="75">
        <f>IF(Index!CY90=1,0,$H44*$K44*py*Index!CY43*Index!CY184/unit)</f>
        <v>0</v>
      </c>
      <c r="DA44" s="75">
        <f>IF(Index!CZ90=1,0,$H44*$K44*py*Index!CZ43*Index!CZ184/unit)</f>
        <v>0</v>
      </c>
      <c r="DB44" s="75">
        <f>IF(Index!DA90=1,0,$H44*$K44*py*Index!DA43*Index!DA184/unit)</f>
        <v>0</v>
      </c>
      <c r="DC44" s="75">
        <f>IF(Index!DB90=1,0,$H44*$K44*py*Index!DB43*Index!DB184/unit)</f>
        <v>0</v>
      </c>
      <c r="DD44" s="75">
        <f>IF(Index!DC90=1,0,$H44*$K44*py*Index!DC43*Index!DC184/unit)</f>
        <v>0</v>
      </c>
      <c r="DE44" s="75">
        <f>IF(Index!DD90=1,0,$H44*$K44*py*Index!DD43*Index!DD184/unit)</f>
        <v>0</v>
      </c>
      <c r="DF44" s="75">
        <f>IF(Index!DE90=1,0,$H44*$K44*py*Index!DE43*Index!DE184/unit)</f>
        <v>0</v>
      </c>
      <c r="DG44" s="75">
        <f>IF(Index!DF90=1,0,$H44*$K44*py*Index!DF43*Index!DF184/unit)</f>
        <v>0</v>
      </c>
      <c r="DH44" s="75">
        <f>IF(Index!DG90=1,0,$H44*$K44*py*Index!DG43*Index!DG184/unit)</f>
        <v>0</v>
      </c>
      <c r="DI44" s="75">
        <f>IF(Index!DH90=1,0,$H44*$K44*py*Index!DH43*Index!DH184/unit)</f>
        <v>0</v>
      </c>
      <c r="DJ44" s="75">
        <f>IF(Index!DI90=1,0,$H44*$K44*py*Index!DI43*Index!DI184/unit)</f>
        <v>0</v>
      </c>
      <c r="DK44" s="75">
        <f>IF(Index!DJ90=1,0,$H44*$K44*py*Index!DJ43*Index!DJ184/unit)</f>
        <v>0</v>
      </c>
      <c r="DL44" s="75">
        <f>IF(Index!DK90=1,0,$H44*$K44*py*Index!DK43*Index!DK184/unit)</f>
        <v>0</v>
      </c>
      <c r="DM44" s="75">
        <f>IF(Index!DL90=1,0,$H44*$K44*py*Index!DL43*Index!DL184/unit)</f>
        <v>0</v>
      </c>
    </row>
    <row r="45" spans="2:117">
      <c r="B45" s="27">
        <f>Rentroll!$C$42</f>
        <v>12</v>
      </c>
      <c r="C45" s="69" t="str">
        <f>VLOOKUP($B45,Rentroll!$C$37:$Z$60,3,FALSE)</f>
        <v>신라젠</v>
      </c>
      <c r="D45" s="80">
        <f>VLOOKUP($B45,Rentroll!$C$37:$Z$60,9,FALSE)</f>
        <v>45869</v>
      </c>
      <c r="E45" s="80">
        <f>VLOOKUP($B45,Rentroll!$C$37:$Z$60,10,FALSE)</f>
        <v>47695</v>
      </c>
      <c r="F45" s="81">
        <f>VLOOKUP($B45,Rentroll!$C$37:$Z$60,11,FALSE)</f>
        <v>60</v>
      </c>
      <c r="G45" s="69">
        <f>VLOOKUP($B45,Rentroll!$C$37:$Z$60,13,FALSE)</f>
        <v>103000</v>
      </c>
      <c r="H45" s="69">
        <f>VLOOKUP($B45,Rentroll!$C$37:$Z$60,14,FALSE)</f>
        <v>94416.666666666672</v>
      </c>
      <c r="I45" s="69">
        <f>VLOOKUP($B45,Rentroll!$C$37:$Z$60,15,FALSE)</f>
        <v>45000</v>
      </c>
      <c r="J45" s="82">
        <f>VLOOKUP($B45,Rentroll!$C$37:$Z$60,19,FALSE)</f>
        <v>0.03</v>
      </c>
      <c r="K45" s="83">
        <f>VLOOKUP($B45,Rentroll!$C$37:$Z$60,4,FALSE)</f>
        <v>1385.09</v>
      </c>
      <c r="L45" s="81">
        <f>VLOOKUP($B45,Rentroll!$C$37:$Z$60,17,FALSE)</f>
        <v>1</v>
      </c>
      <c r="M45" s="84">
        <f>VLOOKUP($B45,Rentroll!$C$37:$Z$60,18,FALSE)</f>
        <v>1</v>
      </c>
      <c r="O45" s="74">
        <f t="shared" si="16"/>
        <v>12</v>
      </c>
      <c r="P45" s="75"/>
      <c r="Q45" s="75">
        <f t="shared" si="13"/>
        <v>2213.6205366942486</v>
      </c>
      <c r="R45" s="75"/>
      <c r="S45" s="75">
        <f>IF(Index!R91=1,0,$H45*$K45*py*Index!R44*Index!R185/unit)</f>
        <v>0</v>
      </c>
      <c r="T45" s="75">
        <f>IF(Index!S91=1,0,$H45*$K45*py*Index!S44*Index!S185/unit)</f>
        <v>0</v>
      </c>
      <c r="U45" s="75">
        <f>IF(Index!T91=1,0,$H45*$K45*py*Index!T44*Index!T185/unit)</f>
        <v>0</v>
      </c>
      <c r="V45" s="75">
        <f>IF(Index!U91=1,0,$H45*$K45*py*Index!U44*Index!U185/unit)</f>
        <v>0</v>
      </c>
      <c r="W45" s="75">
        <f>IF(Index!V91=1,0,$H45*$K45*py*Index!V44*Index!V185/unit)</f>
        <v>0</v>
      </c>
      <c r="X45" s="75">
        <f>IF(Index!W91=1,0,$H45*$K45*py*Index!W44*Index!W185/unit)</f>
        <v>0</v>
      </c>
      <c r="Y45" s="75">
        <f>IF(Index!X91=1,0,$H45*$K45*py*Index!X44*Index!X185/unit)</f>
        <v>0</v>
      </c>
      <c r="Z45" s="75">
        <f>IF(Index!Y91=1,0,$H45*$K45*py*Index!Y44*Index!Y185/unit)</f>
        <v>0</v>
      </c>
      <c r="AA45" s="75">
        <f>IF(Index!Z91=1,0,$H45*$K45*py*Index!Z44*Index!Z185/unit)</f>
        <v>39.559613202083334</v>
      </c>
      <c r="AB45" s="75">
        <f>IF(Index!AA91=1,0,$H45*$K45*py*Index!AA44*Index!AA185/unit)</f>
        <v>39.559613202083334</v>
      </c>
      <c r="AC45" s="75">
        <f>IF(Index!AB91=1,0,$H45*$K45*py*Index!AB44*Index!AB185/unit)</f>
        <v>39.559613202083334</v>
      </c>
      <c r="AD45" s="75">
        <f>IF(Index!AC91=1,0,$H45*$K45*py*Index!AC44*Index!AC185/unit)</f>
        <v>39.559613202083334</v>
      </c>
      <c r="AE45" s="75">
        <f>IF(Index!AD91=1,0,$H45*$K45*py*Index!AD44*Index!AD185/unit)</f>
        <v>39.559613202083334</v>
      </c>
      <c r="AF45" s="75">
        <f>IF(Index!AE91=1,0,$H45*$K45*py*Index!AE44*Index!AE185/unit)</f>
        <v>39.559613202083334</v>
      </c>
      <c r="AG45" s="75">
        <f>IF(Index!AF91=1,0,$H45*$K45*py*Index!AF44*Index!AF185/unit)</f>
        <v>39.559613202083334</v>
      </c>
      <c r="AH45" s="75">
        <f>IF(Index!AG91=1,0,$H45*$K45*py*Index!AG44*Index!AG185/unit)</f>
        <v>39.559613202083334</v>
      </c>
      <c r="AI45" s="75">
        <f>IF(Index!AH91=1,0,$H45*$K45*py*Index!AH44*Index!AH185/unit)</f>
        <v>39.559613202083334</v>
      </c>
      <c r="AJ45" s="75">
        <f>IF(Index!AI91=1,0,$H45*$K45*py*Index!AI44*Index!AI185/unit)</f>
        <v>39.559613202083334</v>
      </c>
      <c r="AK45" s="75">
        <f>IF(Index!AJ91=1,0,$H45*$K45*py*Index!AJ44*Index!AJ185/unit)</f>
        <v>39.559613202083334</v>
      </c>
      <c r="AL45" s="75">
        <f>IF(Index!AK91=1,0,$H45*$K45*py*Index!AK44*Index!AK185/unit)</f>
        <v>40.746401598145837</v>
      </c>
      <c r="AM45" s="75">
        <f>IF(Index!AL91=1,0,$H45*$K45*py*Index!AL44*Index!AL185/unit)</f>
        <v>40.746401598145837</v>
      </c>
      <c r="AN45" s="75">
        <f>IF(Index!AM91=1,0,$H45*$K45*py*Index!AM44*Index!AM185/unit)</f>
        <v>40.746401598145837</v>
      </c>
      <c r="AO45" s="75">
        <f>IF(Index!AN91=1,0,$H45*$K45*py*Index!AN44*Index!AN185/unit)</f>
        <v>40.746401598145837</v>
      </c>
      <c r="AP45" s="75">
        <f>IF(Index!AO91=1,0,$H45*$K45*py*Index!AO44*Index!AO185/unit)</f>
        <v>40.746401598145837</v>
      </c>
      <c r="AQ45" s="75">
        <f>IF(Index!AP91=1,0,$H45*$K45*py*Index!AP44*Index!AP185/unit)</f>
        <v>40.746401598145837</v>
      </c>
      <c r="AR45" s="75">
        <f>IF(Index!AQ91=1,0,$H45*$K45*py*Index!AQ44*Index!AQ185/unit)</f>
        <v>40.746401598145837</v>
      </c>
      <c r="AS45" s="75">
        <f>IF(Index!AR91=1,0,$H45*$K45*py*Index!AR44*Index!AR185/unit)</f>
        <v>40.746401598145837</v>
      </c>
      <c r="AT45" s="75">
        <f>IF(Index!AS91=1,0,$H45*$K45*py*Index!AS44*Index!AS185/unit)</f>
        <v>40.746401598145837</v>
      </c>
      <c r="AU45" s="75">
        <f>IF(Index!AT91=1,0,$H45*$K45*py*Index!AT44*Index!AT185/unit)</f>
        <v>40.746401598145837</v>
      </c>
      <c r="AV45" s="75">
        <f>IF(Index!AU91=1,0,$H45*$K45*py*Index!AU44*Index!AU185/unit)</f>
        <v>40.746401598145837</v>
      </c>
      <c r="AW45" s="75">
        <f>IF(Index!AV91=1,0,$H45*$K45*py*Index!AV44*Index!AV185/unit)</f>
        <v>40.746401598145837</v>
      </c>
      <c r="AX45" s="75">
        <f>IF(Index!AW91=1,0,$H45*$K45*py*Index!AW44*Index!AW185/unit)</f>
        <v>41.968793646090212</v>
      </c>
      <c r="AY45" s="75">
        <f>IF(Index!AX91=1,0,$H45*$K45*py*Index!AX44*Index!AX185/unit)</f>
        <v>41.968793646090212</v>
      </c>
      <c r="AZ45" s="75">
        <f>IF(Index!AY91=1,0,$H45*$K45*py*Index!AY44*Index!AY185/unit)</f>
        <v>41.968793646090212</v>
      </c>
      <c r="BA45" s="75">
        <f>IF(Index!AZ91=1,0,$H45*$K45*py*Index!AZ44*Index!AZ185/unit)</f>
        <v>41.968793646090212</v>
      </c>
      <c r="BB45" s="75">
        <f>IF(Index!BA91=1,0,$H45*$K45*py*Index!BA44*Index!BA185/unit)</f>
        <v>41.968793646090212</v>
      </c>
      <c r="BC45" s="75">
        <f>IF(Index!BB91=1,0,$H45*$K45*py*Index!BB44*Index!BB185/unit)</f>
        <v>41.968793646090212</v>
      </c>
      <c r="BD45" s="75">
        <f>IF(Index!BC91=1,0,$H45*$K45*py*Index!BC44*Index!BC185/unit)</f>
        <v>41.968793646090212</v>
      </c>
      <c r="BE45" s="75">
        <f>IF(Index!BD91=1,0,$H45*$K45*py*Index!BD44*Index!BD185/unit)</f>
        <v>41.968793646090212</v>
      </c>
      <c r="BF45" s="75">
        <f>IF(Index!BE91=1,0,$H45*$K45*py*Index!BE44*Index!BE185/unit)</f>
        <v>41.968793646090212</v>
      </c>
      <c r="BG45" s="75">
        <f>IF(Index!BF91=1,0,$H45*$K45*py*Index!BF44*Index!BF185/unit)</f>
        <v>41.968793646090212</v>
      </c>
      <c r="BH45" s="75">
        <f>IF(Index!BG91=1,0,$H45*$K45*py*Index!BG44*Index!BG185/unit)</f>
        <v>41.968793646090212</v>
      </c>
      <c r="BI45" s="75">
        <f>IF(Index!BH91=1,0,$H45*$K45*py*Index!BH44*Index!BH185/unit)</f>
        <v>41.968793646090212</v>
      </c>
      <c r="BJ45" s="75">
        <f>IF(Index!BI91=1,0,$H45*$K45*py*Index!BI44*Index!BI185/unit)</f>
        <v>43.227857455472915</v>
      </c>
      <c r="BK45" s="75">
        <f>IF(Index!BJ91=1,0,$H45*$K45*py*Index!BJ44*Index!BJ185/unit)</f>
        <v>43.227857455472915</v>
      </c>
      <c r="BL45" s="75">
        <f>IF(Index!BK91=1,0,$H45*$K45*py*Index!BK44*Index!BK185/unit)</f>
        <v>43.227857455472915</v>
      </c>
      <c r="BM45" s="75">
        <f>IF(Index!BL91=1,0,$H45*$K45*py*Index!BL44*Index!BL185/unit)</f>
        <v>43.227857455472915</v>
      </c>
      <c r="BN45" s="75">
        <f>IF(Index!BM91=1,0,$H45*$K45*py*Index!BM44*Index!BM185/unit)</f>
        <v>43.227857455472915</v>
      </c>
      <c r="BO45" s="75">
        <f>IF(Index!BN91=1,0,$H45*$K45*py*Index!BN44*Index!BN185/unit)</f>
        <v>43.227857455472915</v>
      </c>
      <c r="BP45" s="75">
        <f>IF(Index!BO91=1,0,$H45*$K45*py*Index!BO44*Index!BO185/unit)</f>
        <v>43.227857455472915</v>
      </c>
      <c r="BQ45" s="75">
        <f>IF(Index!BP91=1,0,$H45*$K45*py*Index!BP44*Index!BP185/unit)</f>
        <v>43.227857455472915</v>
      </c>
      <c r="BR45" s="75">
        <f>IF(Index!BQ91=1,0,$H45*$K45*py*Index!BQ44*Index!BQ185/unit)</f>
        <v>43.227857455472915</v>
      </c>
      <c r="BS45" s="75">
        <f>IF(Index!BR91=1,0,$H45*$K45*py*Index!BR44*Index!BR185/unit)</f>
        <v>43.227857455472915</v>
      </c>
      <c r="BT45" s="75">
        <f>IF(Index!BS91=1,0,$H45*$K45*py*Index!BS44*Index!BS185/unit)</f>
        <v>43.227857455472915</v>
      </c>
      <c r="BU45" s="75">
        <f>IF(Index!BT91=1,0,$H45*$K45*py*Index!BT44*Index!BT185/unit)</f>
        <v>43.227857455472915</v>
      </c>
      <c r="BV45" s="75">
        <f>IF(Index!BU91=1,0,$H45*$K45*py*Index!BU44*Index!BU185/unit)</f>
        <v>44.524693179137103</v>
      </c>
      <c r="BW45" s="75">
        <f>IF(Index!BV91=1,0,$H45*$K45*py*Index!BV44*Index!BV185/unit)</f>
        <v>44.524693179137103</v>
      </c>
      <c r="BX45" s="75">
        <f>IF(Index!BW91=1,0,$H45*$K45*py*Index!BW44*Index!BW185/unit)</f>
        <v>44.524693179137103</v>
      </c>
      <c r="BY45" s="75">
        <f>IF(Index!BX91=1,0,$H45*$K45*py*Index!BX44*Index!BX185/unit)</f>
        <v>44.524693179137103</v>
      </c>
      <c r="BZ45" s="75">
        <f>IF(Index!BY91=1,0,$H45*$K45*py*Index!BY44*Index!BY185/unit)</f>
        <v>44.524693179137103</v>
      </c>
      <c r="CA45" s="75">
        <f>IF(Index!BZ91=1,0,$H45*$K45*py*Index!BZ44*Index!BZ185/unit)</f>
        <v>44.524693179137103</v>
      </c>
      <c r="CB45" s="75">
        <f>IF(Index!CA91=1,0,$H45*$K45*py*Index!CA44*Index!CA185/unit)</f>
        <v>0</v>
      </c>
      <c r="CC45" s="75">
        <f>IF(Index!CB91=1,0,$H45*$K45*py*Index!CB44*Index!CB185/unit)</f>
        <v>0</v>
      </c>
      <c r="CD45" s="75">
        <f>IF(Index!CC91=1,0,$H45*$K45*py*Index!CC44*Index!CC185/unit)</f>
        <v>0</v>
      </c>
      <c r="CE45" s="75">
        <f>IF(Index!CD91=1,0,$H45*$K45*py*Index!CD44*Index!CD185/unit)</f>
        <v>0</v>
      </c>
      <c r="CF45" s="75">
        <f>IF(Index!CE91=1,0,$H45*$K45*py*Index!CE44*Index!CE185/unit)</f>
        <v>0</v>
      </c>
      <c r="CG45" s="75">
        <f>IF(Index!CF91=1,0,$H45*$K45*py*Index!CF44*Index!CF185/unit)</f>
        <v>0</v>
      </c>
      <c r="CH45" s="75">
        <f>IF(Index!CG91=1,0,$H45*$K45*py*Index!CG44*Index!CG185/unit)</f>
        <v>0</v>
      </c>
      <c r="CI45" s="75">
        <f>IF(Index!CH91=1,0,$H45*$K45*py*Index!CH44*Index!CH185/unit)</f>
        <v>0</v>
      </c>
      <c r="CJ45" s="75">
        <f>IF(Index!CI91=1,0,$H45*$K45*py*Index!CI44*Index!CI185/unit)</f>
        <v>0</v>
      </c>
      <c r="CK45" s="75">
        <f>IF(Index!CJ91=1,0,$H45*$K45*py*Index!CJ44*Index!CJ185/unit)</f>
        <v>0</v>
      </c>
      <c r="CL45" s="75">
        <f>IF(Index!CK91=1,0,$H45*$K45*py*Index!CK44*Index!CK185/unit)</f>
        <v>0</v>
      </c>
      <c r="CM45" s="75">
        <f>IF(Index!CL91=1,0,$H45*$K45*py*Index!CL44*Index!CL185/unit)</f>
        <v>0</v>
      </c>
      <c r="CN45" s="75">
        <f>IF(Index!CM91=1,0,$H45*$K45*py*Index!CM44*Index!CM185/unit)</f>
        <v>0</v>
      </c>
      <c r="CO45" s="75">
        <f>IF(Index!CN91=1,0,$H45*$K45*py*Index!CN44*Index!CN185/unit)</f>
        <v>0</v>
      </c>
      <c r="CP45" s="75">
        <f>IF(Index!CO91=1,0,$H45*$K45*py*Index!CO44*Index!CO185/unit)</f>
        <v>0</v>
      </c>
      <c r="CQ45" s="75">
        <f>IF(Index!CP91=1,0,$H45*$K45*py*Index!CP44*Index!CP185/unit)</f>
        <v>0</v>
      </c>
      <c r="CR45" s="75">
        <f>IF(Index!CQ91=1,0,$H45*$K45*py*Index!CQ44*Index!CQ185/unit)</f>
        <v>0</v>
      </c>
      <c r="CS45" s="75">
        <f>IF(Index!CR91=1,0,$H45*$K45*py*Index!CR44*Index!CR185/unit)</f>
        <v>0</v>
      </c>
      <c r="CT45" s="75">
        <f>IF(Index!CS91=1,0,$H45*$K45*py*Index!CS44*Index!CS185/unit)</f>
        <v>0</v>
      </c>
      <c r="CU45" s="75">
        <f>IF(Index!CT91=1,0,$H45*$K45*py*Index!CT44*Index!CT185/unit)</f>
        <v>0</v>
      </c>
      <c r="CV45" s="75">
        <f>IF(Index!CU91=1,0,$H45*$K45*py*Index!CU44*Index!CU185/unit)</f>
        <v>0</v>
      </c>
      <c r="CW45" s="75">
        <f>IF(Index!CV91=1,0,$H45*$K45*py*Index!CV44*Index!CV185/unit)</f>
        <v>0</v>
      </c>
      <c r="CX45" s="75">
        <f>IF(Index!CW91=1,0,$H45*$K45*py*Index!CW44*Index!CW185/unit)</f>
        <v>0</v>
      </c>
      <c r="CY45" s="75">
        <f>IF(Index!CX91=1,0,$H45*$K45*py*Index!CX44*Index!CX185/unit)</f>
        <v>0</v>
      </c>
      <c r="CZ45" s="75">
        <f>IF(Index!CY91=1,0,$H45*$K45*py*Index!CY44*Index!CY185/unit)</f>
        <v>0</v>
      </c>
      <c r="DA45" s="75">
        <f>IF(Index!CZ91=1,0,$H45*$K45*py*Index!CZ44*Index!CZ185/unit)</f>
        <v>0</v>
      </c>
      <c r="DB45" s="75">
        <f>IF(Index!DA91=1,0,$H45*$K45*py*Index!DA44*Index!DA185/unit)</f>
        <v>0</v>
      </c>
      <c r="DC45" s="75">
        <f>IF(Index!DB91=1,0,$H45*$K45*py*Index!DB44*Index!DB185/unit)</f>
        <v>0</v>
      </c>
      <c r="DD45" s="75">
        <f>IF(Index!DC91=1,0,$H45*$K45*py*Index!DC44*Index!DC185/unit)</f>
        <v>0</v>
      </c>
      <c r="DE45" s="75">
        <f>IF(Index!DD91=1,0,$H45*$K45*py*Index!DD44*Index!DD185/unit)</f>
        <v>0</v>
      </c>
      <c r="DF45" s="75">
        <f>IF(Index!DE91=1,0,$H45*$K45*py*Index!DE44*Index!DE185/unit)</f>
        <v>0</v>
      </c>
      <c r="DG45" s="75">
        <f>IF(Index!DF91=1,0,$H45*$K45*py*Index!DF44*Index!DF185/unit)</f>
        <v>0</v>
      </c>
      <c r="DH45" s="75">
        <f>IF(Index!DG91=1,0,$H45*$K45*py*Index!DG44*Index!DG185/unit)</f>
        <v>0</v>
      </c>
      <c r="DI45" s="75">
        <f>IF(Index!DH91=1,0,$H45*$K45*py*Index!DH44*Index!DH185/unit)</f>
        <v>0</v>
      </c>
      <c r="DJ45" s="75">
        <f>IF(Index!DI91=1,0,$H45*$K45*py*Index!DI44*Index!DI185/unit)</f>
        <v>0</v>
      </c>
      <c r="DK45" s="75">
        <f>IF(Index!DJ91=1,0,$H45*$K45*py*Index!DJ44*Index!DJ185/unit)</f>
        <v>0</v>
      </c>
      <c r="DL45" s="75">
        <f>IF(Index!DK91=1,0,$H45*$K45*py*Index!DK44*Index!DK185/unit)</f>
        <v>0</v>
      </c>
      <c r="DM45" s="75">
        <f>IF(Index!DL91=1,0,$H45*$K45*py*Index!DL44*Index!DL185/unit)</f>
        <v>0</v>
      </c>
    </row>
    <row r="46" spans="2:117">
      <c r="B46" s="27">
        <f>Rentroll!$C$43</f>
        <v>11</v>
      </c>
      <c r="C46" s="69" t="str">
        <f>VLOOKUP($B46,Rentroll!$C$37:$Z$60,3,FALSE)</f>
        <v>노벰버 건설</v>
      </c>
      <c r="D46" s="80">
        <f>VLOOKUP($B46,Rentroll!$C$37:$Z$60,9,FALSE)</f>
        <v>46904</v>
      </c>
      <c r="E46" s="80">
        <f>VLOOKUP($B46,Rentroll!$C$37:$Z$60,10,FALSE)</f>
        <v>48730</v>
      </c>
      <c r="F46" s="81">
        <f>VLOOKUP($B46,Rentroll!$C$37:$Z$60,11,FALSE)</f>
        <v>60</v>
      </c>
      <c r="G46" s="69">
        <f>VLOOKUP($B46,Rentroll!$C$37:$Z$60,13,FALSE)</f>
        <v>112550.88099999999</v>
      </c>
      <c r="H46" s="69">
        <f>VLOOKUP($B46,Rentroll!$C$37:$Z$60,14,FALSE)</f>
        <v>103171.64091666666</v>
      </c>
      <c r="I46" s="69">
        <f>VLOOKUP($B46,Rentroll!$C$37:$Z$60,15,FALSE)</f>
        <v>49172.715000000004</v>
      </c>
      <c r="J46" s="82">
        <f>VLOOKUP($B46,Rentroll!$C$37:$Z$60,19,FALSE)</f>
        <v>0.03</v>
      </c>
      <c r="K46" s="83">
        <f>VLOOKUP($B46,Rentroll!$C$37:$Z$60,4,FALSE)</f>
        <v>1385.09</v>
      </c>
      <c r="L46" s="81">
        <f>VLOOKUP($B46,Rentroll!$C$37:$Z$60,17,FALSE)</f>
        <v>0</v>
      </c>
      <c r="M46" s="84">
        <f>VLOOKUP($B46,Rentroll!$C$37:$Z$60,18,FALSE)</f>
        <v>1</v>
      </c>
      <c r="O46" s="74">
        <f t="shared" si="16"/>
        <v>11</v>
      </c>
      <c r="P46" s="75"/>
      <c r="Q46" s="75">
        <f t="shared" si="13"/>
        <v>874.93183489877185</v>
      </c>
      <c r="R46" s="75"/>
      <c r="S46" s="75">
        <f>IF(Index!R92=1,0,$H46*$K46*py*Index!R45*Index!R186/unit)</f>
        <v>0</v>
      </c>
      <c r="T46" s="75">
        <f>IF(Index!S92=1,0,$H46*$K46*py*Index!S45*Index!S186/unit)</f>
        <v>0</v>
      </c>
      <c r="U46" s="75">
        <f>IF(Index!T92=1,0,$H46*$K46*py*Index!T45*Index!T186/unit)</f>
        <v>0</v>
      </c>
      <c r="V46" s="75">
        <f>IF(Index!U92=1,0,$H46*$K46*py*Index!U45*Index!U186/unit)</f>
        <v>0</v>
      </c>
      <c r="W46" s="75">
        <f>IF(Index!V92=1,0,$H46*$K46*py*Index!V45*Index!V186/unit)</f>
        <v>0</v>
      </c>
      <c r="X46" s="75">
        <f>IF(Index!W92=1,0,$H46*$K46*py*Index!W45*Index!W186/unit)</f>
        <v>0</v>
      </c>
      <c r="Y46" s="75">
        <f>IF(Index!X92=1,0,$H46*$K46*py*Index!X45*Index!X186/unit)</f>
        <v>0</v>
      </c>
      <c r="Z46" s="75">
        <f>IF(Index!Y92=1,0,$H46*$K46*py*Index!Y45*Index!Y186/unit)</f>
        <v>0</v>
      </c>
      <c r="AA46" s="75">
        <f>IF(Index!Z92=1,0,$H46*$K46*py*Index!Z45*Index!Z186/unit)</f>
        <v>0</v>
      </c>
      <c r="AB46" s="75">
        <f>IF(Index!AA92=1,0,$H46*$K46*py*Index!AA45*Index!AA186/unit)</f>
        <v>0</v>
      </c>
      <c r="AC46" s="75">
        <f>IF(Index!AB92=1,0,$H46*$K46*py*Index!AB45*Index!AB186/unit)</f>
        <v>0</v>
      </c>
      <c r="AD46" s="75">
        <f>IF(Index!AC92=1,0,$H46*$K46*py*Index!AC45*Index!AC186/unit)</f>
        <v>0</v>
      </c>
      <c r="AE46" s="75">
        <f>IF(Index!AD92=1,0,$H46*$K46*py*Index!AD45*Index!AD186/unit)</f>
        <v>0</v>
      </c>
      <c r="AF46" s="75">
        <f>IF(Index!AE92=1,0,$H46*$K46*py*Index!AE45*Index!AE186/unit)</f>
        <v>0</v>
      </c>
      <c r="AG46" s="75">
        <f>IF(Index!AF92=1,0,$H46*$K46*py*Index!AF45*Index!AF186/unit)</f>
        <v>0</v>
      </c>
      <c r="AH46" s="75">
        <f>IF(Index!AG92=1,0,$H46*$K46*py*Index!AG45*Index!AG186/unit)</f>
        <v>0</v>
      </c>
      <c r="AI46" s="75">
        <f>IF(Index!AH92=1,0,$H46*$K46*py*Index!AH45*Index!AH186/unit)</f>
        <v>0</v>
      </c>
      <c r="AJ46" s="75">
        <f>IF(Index!AI92=1,0,$H46*$K46*py*Index!AI45*Index!AI186/unit)</f>
        <v>0</v>
      </c>
      <c r="AK46" s="75">
        <f>IF(Index!AJ92=1,0,$H46*$K46*py*Index!AJ45*Index!AJ186/unit)</f>
        <v>0</v>
      </c>
      <c r="AL46" s="75">
        <f>IF(Index!AK92=1,0,$H46*$K46*py*Index!AK45*Index!AK186/unit)</f>
        <v>0</v>
      </c>
      <c r="AM46" s="75">
        <f>IF(Index!AL92=1,0,$H46*$K46*py*Index!AL45*Index!AL186/unit)</f>
        <v>0</v>
      </c>
      <c r="AN46" s="75">
        <f>IF(Index!AM92=1,0,$H46*$K46*py*Index!AM45*Index!AM186/unit)</f>
        <v>0</v>
      </c>
      <c r="AO46" s="75">
        <f>IF(Index!AN92=1,0,$H46*$K46*py*Index!AN45*Index!AN186/unit)</f>
        <v>0</v>
      </c>
      <c r="AP46" s="75">
        <f>IF(Index!AO92=1,0,$H46*$K46*py*Index!AO45*Index!AO186/unit)</f>
        <v>0</v>
      </c>
      <c r="AQ46" s="75">
        <f>IF(Index!AP92=1,0,$H46*$K46*py*Index!AP45*Index!AP186/unit)</f>
        <v>0</v>
      </c>
      <c r="AR46" s="75">
        <f>IF(Index!AQ92=1,0,$H46*$K46*py*Index!AQ45*Index!AQ186/unit)</f>
        <v>0</v>
      </c>
      <c r="AS46" s="75">
        <f>IF(Index!AR92=1,0,$H46*$K46*py*Index!AR45*Index!AR186/unit)</f>
        <v>0</v>
      </c>
      <c r="AT46" s="75">
        <f>IF(Index!AS92=1,0,$H46*$K46*py*Index!AS45*Index!AS186/unit)</f>
        <v>0</v>
      </c>
      <c r="AU46" s="75">
        <f>IF(Index!AT92=1,0,$H46*$K46*py*Index!AT45*Index!AT186/unit)</f>
        <v>0</v>
      </c>
      <c r="AV46" s="75">
        <f>IF(Index!AU92=1,0,$H46*$K46*py*Index!AU45*Index!AU186/unit)</f>
        <v>0</v>
      </c>
      <c r="AW46" s="75">
        <f>IF(Index!AV92=1,0,$H46*$K46*py*Index!AV45*Index!AV186/unit)</f>
        <v>0</v>
      </c>
      <c r="AX46" s="75">
        <f>IF(Index!AW92=1,0,$H46*$K46*py*Index!AW45*Index!AW186/unit)</f>
        <v>0</v>
      </c>
      <c r="AY46" s="75">
        <f>IF(Index!AX92=1,0,$H46*$K46*py*Index!AX45*Index!AX186/unit)</f>
        <v>0</v>
      </c>
      <c r="AZ46" s="75">
        <f>IF(Index!AY92=1,0,$H46*$K46*py*Index!AY45*Index!AY186/unit)</f>
        <v>0</v>
      </c>
      <c r="BA46" s="75">
        <f>IF(Index!AZ92=1,0,$H46*$K46*py*Index!AZ45*Index!AZ186/unit)</f>
        <v>0</v>
      </c>
      <c r="BB46" s="75">
        <f>IF(Index!BA92=1,0,$H46*$K46*py*Index!BA45*Index!BA186/unit)</f>
        <v>0</v>
      </c>
      <c r="BC46" s="75">
        <f>IF(Index!BB92=1,0,$H46*$K46*py*Index!BB45*Index!BB186/unit)</f>
        <v>0</v>
      </c>
      <c r="BD46" s="75">
        <f>IF(Index!BC92=1,0,$H46*$K46*py*Index!BC45*Index!BC186/unit)</f>
        <v>0</v>
      </c>
      <c r="BE46" s="75">
        <f>IF(Index!BD92=1,0,$H46*$K46*py*Index!BD45*Index!BD186/unit)</f>
        <v>0</v>
      </c>
      <c r="BF46" s="75">
        <f>IF(Index!BE92=1,0,$H46*$K46*py*Index!BE45*Index!BE186/unit)</f>
        <v>0</v>
      </c>
      <c r="BG46" s="75">
        <f>IF(Index!BF92=1,0,$H46*$K46*py*Index!BF45*Index!BF186/unit)</f>
        <v>0</v>
      </c>
      <c r="BH46" s="75">
        <f>IF(Index!BG92=1,0,$H46*$K46*py*Index!BG45*Index!BG186/unit)</f>
        <v>43.227857455472908</v>
      </c>
      <c r="BI46" s="75">
        <f>IF(Index!BH92=1,0,$H46*$K46*py*Index!BH45*Index!BH186/unit)</f>
        <v>43.227857455472908</v>
      </c>
      <c r="BJ46" s="75">
        <f>IF(Index!BI92=1,0,$H46*$K46*py*Index!BI45*Index!BI186/unit)</f>
        <v>43.227857455472908</v>
      </c>
      <c r="BK46" s="75">
        <f>IF(Index!BJ92=1,0,$H46*$K46*py*Index!BJ45*Index!BJ186/unit)</f>
        <v>43.227857455472908</v>
      </c>
      <c r="BL46" s="75">
        <f>IF(Index!BK92=1,0,$H46*$K46*py*Index!BK45*Index!BK186/unit)</f>
        <v>43.227857455472908</v>
      </c>
      <c r="BM46" s="75">
        <f>IF(Index!BL92=1,0,$H46*$K46*py*Index!BL45*Index!BL186/unit)</f>
        <v>43.227857455472908</v>
      </c>
      <c r="BN46" s="75">
        <f>IF(Index!BM92=1,0,$H46*$K46*py*Index!BM45*Index!BM186/unit)</f>
        <v>43.227857455472908</v>
      </c>
      <c r="BO46" s="75">
        <f>IF(Index!BN92=1,0,$H46*$K46*py*Index!BN45*Index!BN186/unit)</f>
        <v>43.227857455472908</v>
      </c>
      <c r="BP46" s="75">
        <f>IF(Index!BO92=1,0,$H46*$K46*py*Index!BO45*Index!BO186/unit)</f>
        <v>43.227857455472908</v>
      </c>
      <c r="BQ46" s="75">
        <f>IF(Index!BP92=1,0,$H46*$K46*py*Index!BP45*Index!BP186/unit)</f>
        <v>43.227857455472908</v>
      </c>
      <c r="BR46" s="75">
        <f>IF(Index!BQ92=1,0,$H46*$K46*py*Index!BQ45*Index!BQ186/unit)</f>
        <v>43.227857455472908</v>
      </c>
      <c r="BS46" s="75">
        <f>IF(Index!BR92=1,0,$H46*$K46*py*Index!BR45*Index!BR186/unit)</f>
        <v>43.227857455472908</v>
      </c>
      <c r="BT46" s="75">
        <f>IF(Index!BS92=1,0,$H46*$K46*py*Index!BS45*Index!BS186/unit)</f>
        <v>44.524693179137095</v>
      </c>
      <c r="BU46" s="75">
        <f>IF(Index!BT92=1,0,$H46*$K46*py*Index!BT45*Index!BT186/unit)</f>
        <v>44.524693179137095</v>
      </c>
      <c r="BV46" s="75">
        <f>IF(Index!BU92=1,0,$H46*$K46*py*Index!BU45*Index!BU186/unit)</f>
        <v>44.524693179137095</v>
      </c>
      <c r="BW46" s="75">
        <f>IF(Index!BV92=1,0,$H46*$K46*py*Index!BV45*Index!BV186/unit)</f>
        <v>44.524693179137095</v>
      </c>
      <c r="BX46" s="75">
        <f>IF(Index!BW92=1,0,$H46*$K46*py*Index!BW45*Index!BW186/unit)</f>
        <v>44.524693179137095</v>
      </c>
      <c r="BY46" s="75">
        <f>IF(Index!BX92=1,0,$H46*$K46*py*Index!BX45*Index!BX186/unit)</f>
        <v>44.524693179137095</v>
      </c>
      <c r="BZ46" s="75">
        <f>IF(Index!BY92=1,0,$H46*$K46*py*Index!BY45*Index!BY186/unit)</f>
        <v>44.524693179137095</v>
      </c>
      <c r="CA46" s="75">
        <f>IF(Index!BZ92=1,0,$H46*$K46*py*Index!BZ45*Index!BZ186/unit)</f>
        <v>44.524693179137095</v>
      </c>
      <c r="CB46" s="75">
        <f>IF(Index!CA92=1,0,$H46*$K46*py*Index!CA45*Index!CA186/unit)</f>
        <v>0</v>
      </c>
      <c r="CC46" s="75">
        <f>IF(Index!CB92=1,0,$H46*$K46*py*Index!CB45*Index!CB186/unit)</f>
        <v>0</v>
      </c>
      <c r="CD46" s="75">
        <f>IF(Index!CC92=1,0,$H46*$K46*py*Index!CC45*Index!CC186/unit)</f>
        <v>0</v>
      </c>
      <c r="CE46" s="75">
        <f>IF(Index!CD92=1,0,$H46*$K46*py*Index!CD45*Index!CD186/unit)</f>
        <v>0</v>
      </c>
      <c r="CF46" s="75">
        <f>IF(Index!CE92=1,0,$H46*$K46*py*Index!CE45*Index!CE186/unit)</f>
        <v>0</v>
      </c>
      <c r="CG46" s="75">
        <f>IF(Index!CF92=1,0,$H46*$K46*py*Index!CF45*Index!CF186/unit)</f>
        <v>0</v>
      </c>
      <c r="CH46" s="75">
        <f>IF(Index!CG92=1,0,$H46*$K46*py*Index!CG45*Index!CG186/unit)</f>
        <v>0</v>
      </c>
      <c r="CI46" s="75">
        <f>IF(Index!CH92=1,0,$H46*$K46*py*Index!CH45*Index!CH186/unit)</f>
        <v>0</v>
      </c>
      <c r="CJ46" s="75">
        <f>IF(Index!CI92=1,0,$H46*$K46*py*Index!CI45*Index!CI186/unit)</f>
        <v>0</v>
      </c>
      <c r="CK46" s="75">
        <f>IF(Index!CJ92=1,0,$H46*$K46*py*Index!CJ45*Index!CJ186/unit)</f>
        <v>0</v>
      </c>
      <c r="CL46" s="75">
        <f>IF(Index!CK92=1,0,$H46*$K46*py*Index!CK45*Index!CK186/unit)</f>
        <v>0</v>
      </c>
      <c r="CM46" s="75">
        <f>IF(Index!CL92=1,0,$H46*$K46*py*Index!CL45*Index!CL186/unit)</f>
        <v>0</v>
      </c>
      <c r="CN46" s="75">
        <f>IF(Index!CM92=1,0,$H46*$K46*py*Index!CM45*Index!CM186/unit)</f>
        <v>0</v>
      </c>
      <c r="CO46" s="75">
        <f>IF(Index!CN92=1,0,$H46*$K46*py*Index!CN45*Index!CN186/unit)</f>
        <v>0</v>
      </c>
      <c r="CP46" s="75">
        <f>IF(Index!CO92=1,0,$H46*$K46*py*Index!CO45*Index!CO186/unit)</f>
        <v>0</v>
      </c>
      <c r="CQ46" s="75">
        <f>IF(Index!CP92=1,0,$H46*$K46*py*Index!CP45*Index!CP186/unit)</f>
        <v>0</v>
      </c>
      <c r="CR46" s="75">
        <f>IF(Index!CQ92=1,0,$H46*$K46*py*Index!CQ45*Index!CQ186/unit)</f>
        <v>0</v>
      </c>
      <c r="CS46" s="75">
        <f>IF(Index!CR92=1,0,$H46*$K46*py*Index!CR45*Index!CR186/unit)</f>
        <v>0</v>
      </c>
      <c r="CT46" s="75">
        <f>IF(Index!CS92=1,0,$H46*$K46*py*Index!CS45*Index!CS186/unit)</f>
        <v>0</v>
      </c>
      <c r="CU46" s="75">
        <f>IF(Index!CT92=1,0,$H46*$K46*py*Index!CT45*Index!CT186/unit)</f>
        <v>0</v>
      </c>
      <c r="CV46" s="75">
        <f>IF(Index!CU92=1,0,$H46*$K46*py*Index!CU45*Index!CU186/unit)</f>
        <v>0</v>
      </c>
      <c r="CW46" s="75">
        <f>IF(Index!CV92=1,0,$H46*$K46*py*Index!CV45*Index!CV186/unit)</f>
        <v>0</v>
      </c>
      <c r="CX46" s="75">
        <f>IF(Index!CW92=1,0,$H46*$K46*py*Index!CW45*Index!CW186/unit)</f>
        <v>0</v>
      </c>
      <c r="CY46" s="75">
        <f>IF(Index!CX92=1,0,$H46*$K46*py*Index!CX45*Index!CX186/unit)</f>
        <v>0</v>
      </c>
      <c r="CZ46" s="75">
        <f>IF(Index!CY92=1,0,$H46*$K46*py*Index!CY45*Index!CY186/unit)</f>
        <v>0</v>
      </c>
      <c r="DA46" s="75">
        <f>IF(Index!CZ92=1,0,$H46*$K46*py*Index!CZ45*Index!CZ186/unit)</f>
        <v>0</v>
      </c>
      <c r="DB46" s="75">
        <f>IF(Index!DA92=1,0,$H46*$K46*py*Index!DA45*Index!DA186/unit)</f>
        <v>0</v>
      </c>
      <c r="DC46" s="75">
        <f>IF(Index!DB92=1,0,$H46*$K46*py*Index!DB45*Index!DB186/unit)</f>
        <v>0</v>
      </c>
      <c r="DD46" s="75">
        <f>IF(Index!DC92=1,0,$H46*$K46*py*Index!DC45*Index!DC186/unit)</f>
        <v>0</v>
      </c>
      <c r="DE46" s="75">
        <f>IF(Index!DD92=1,0,$H46*$K46*py*Index!DD45*Index!DD186/unit)</f>
        <v>0</v>
      </c>
      <c r="DF46" s="75">
        <f>IF(Index!DE92=1,0,$H46*$K46*py*Index!DE45*Index!DE186/unit)</f>
        <v>0</v>
      </c>
      <c r="DG46" s="75">
        <f>IF(Index!DF92=1,0,$H46*$K46*py*Index!DF45*Index!DF186/unit)</f>
        <v>0</v>
      </c>
      <c r="DH46" s="75">
        <f>IF(Index!DG92=1,0,$H46*$K46*py*Index!DG45*Index!DG186/unit)</f>
        <v>0</v>
      </c>
      <c r="DI46" s="75">
        <f>IF(Index!DH92=1,0,$H46*$K46*py*Index!DH45*Index!DH186/unit)</f>
        <v>0</v>
      </c>
      <c r="DJ46" s="75">
        <f>IF(Index!DI92=1,0,$H46*$K46*py*Index!DI45*Index!DI186/unit)</f>
        <v>0</v>
      </c>
      <c r="DK46" s="75">
        <f>IF(Index!DJ92=1,0,$H46*$K46*py*Index!DJ45*Index!DJ186/unit)</f>
        <v>0</v>
      </c>
      <c r="DL46" s="75">
        <f>IF(Index!DK92=1,0,$H46*$K46*py*Index!DK45*Index!DK186/unit)</f>
        <v>0</v>
      </c>
      <c r="DM46" s="75">
        <f>IF(Index!DL92=1,0,$H46*$K46*py*Index!DL45*Index!DL186/unit)</f>
        <v>0</v>
      </c>
    </row>
    <row r="47" spans="2:117">
      <c r="B47" s="27">
        <f>Rentroll!$C$44</f>
        <v>10</v>
      </c>
      <c r="C47" s="69" t="str">
        <f>VLOOKUP($B47,Rentroll!$C$37:$Z$60,3,FALSE)</f>
        <v>노벰버 건설</v>
      </c>
      <c r="D47" s="80">
        <f>VLOOKUP($B47,Rentroll!$C$37:$Z$60,9,FALSE)</f>
        <v>46904</v>
      </c>
      <c r="E47" s="80">
        <f>VLOOKUP($B47,Rentroll!$C$37:$Z$60,10,FALSE)</f>
        <v>48730</v>
      </c>
      <c r="F47" s="81">
        <f>VLOOKUP($B47,Rentroll!$C$37:$Z$60,11,FALSE)</f>
        <v>60</v>
      </c>
      <c r="G47" s="69">
        <f>VLOOKUP($B47,Rentroll!$C$37:$Z$60,13,FALSE)</f>
        <v>112550.88099999999</v>
      </c>
      <c r="H47" s="69">
        <f>VLOOKUP($B47,Rentroll!$C$37:$Z$60,14,FALSE)</f>
        <v>103171.64091666666</v>
      </c>
      <c r="I47" s="69">
        <f>VLOOKUP($B47,Rentroll!$C$37:$Z$60,15,FALSE)</f>
        <v>49172.715000000004</v>
      </c>
      <c r="J47" s="82">
        <f>VLOOKUP($B47,Rentroll!$C$37:$Z$60,19,FALSE)</f>
        <v>0.03</v>
      </c>
      <c r="K47" s="83">
        <f>VLOOKUP($B47,Rentroll!$C$37:$Z$60,4,FALSE)</f>
        <v>1385.09</v>
      </c>
      <c r="L47" s="81">
        <f>VLOOKUP($B47,Rentroll!$C$37:$Z$60,17,FALSE)</f>
        <v>0</v>
      </c>
      <c r="M47" s="84">
        <f>VLOOKUP($B47,Rentroll!$C$37:$Z$60,18,FALSE)</f>
        <v>1</v>
      </c>
      <c r="O47" s="74">
        <f t="shared" si="16"/>
        <v>10</v>
      </c>
      <c r="P47" s="75"/>
      <c r="Q47" s="75">
        <f t="shared" si="13"/>
        <v>874.93183489877185</v>
      </c>
      <c r="R47" s="75"/>
      <c r="S47" s="75">
        <f>IF(Index!R93=1,0,$H47*$K47*py*Index!R46*Index!R187/unit)</f>
        <v>0</v>
      </c>
      <c r="T47" s="75">
        <f>IF(Index!S93=1,0,$H47*$K47*py*Index!S46*Index!S187/unit)</f>
        <v>0</v>
      </c>
      <c r="U47" s="75">
        <f>IF(Index!T93=1,0,$H47*$K47*py*Index!T46*Index!T187/unit)</f>
        <v>0</v>
      </c>
      <c r="V47" s="75">
        <f>IF(Index!U93=1,0,$H47*$K47*py*Index!U46*Index!U187/unit)</f>
        <v>0</v>
      </c>
      <c r="W47" s="75">
        <f>IF(Index!V93=1,0,$H47*$K47*py*Index!V46*Index!V187/unit)</f>
        <v>0</v>
      </c>
      <c r="X47" s="75">
        <f>IF(Index!W93=1,0,$H47*$K47*py*Index!W46*Index!W187/unit)</f>
        <v>0</v>
      </c>
      <c r="Y47" s="75">
        <f>IF(Index!X93=1,0,$H47*$K47*py*Index!X46*Index!X187/unit)</f>
        <v>0</v>
      </c>
      <c r="Z47" s="75">
        <f>IF(Index!Y93=1,0,$H47*$K47*py*Index!Y46*Index!Y187/unit)</f>
        <v>0</v>
      </c>
      <c r="AA47" s="75">
        <f>IF(Index!Z93=1,0,$H47*$K47*py*Index!Z46*Index!Z187/unit)</f>
        <v>0</v>
      </c>
      <c r="AB47" s="75">
        <f>IF(Index!AA93=1,0,$H47*$K47*py*Index!AA46*Index!AA187/unit)</f>
        <v>0</v>
      </c>
      <c r="AC47" s="75">
        <f>IF(Index!AB93=1,0,$H47*$K47*py*Index!AB46*Index!AB187/unit)</f>
        <v>0</v>
      </c>
      <c r="AD47" s="75">
        <f>IF(Index!AC93=1,0,$H47*$K47*py*Index!AC46*Index!AC187/unit)</f>
        <v>0</v>
      </c>
      <c r="AE47" s="75">
        <f>IF(Index!AD93=1,0,$H47*$K47*py*Index!AD46*Index!AD187/unit)</f>
        <v>0</v>
      </c>
      <c r="AF47" s="75">
        <f>IF(Index!AE93=1,0,$H47*$K47*py*Index!AE46*Index!AE187/unit)</f>
        <v>0</v>
      </c>
      <c r="AG47" s="75">
        <f>IF(Index!AF93=1,0,$H47*$K47*py*Index!AF46*Index!AF187/unit)</f>
        <v>0</v>
      </c>
      <c r="AH47" s="75">
        <f>IF(Index!AG93=1,0,$H47*$K47*py*Index!AG46*Index!AG187/unit)</f>
        <v>0</v>
      </c>
      <c r="AI47" s="75">
        <f>IF(Index!AH93=1,0,$H47*$K47*py*Index!AH46*Index!AH187/unit)</f>
        <v>0</v>
      </c>
      <c r="AJ47" s="75">
        <f>IF(Index!AI93=1,0,$H47*$K47*py*Index!AI46*Index!AI187/unit)</f>
        <v>0</v>
      </c>
      <c r="AK47" s="75">
        <f>IF(Index!AJ93=1,0,$H47*$K47*py*Index!AJ46*Index!AJ187/unit)</f>
        <v>0</v>
      </c>
      <c r="AL47" s="75">
        <f>IF(Index!AK93=1,0,$H47*$K47*py*Index!AK46*Index!AK187/unit)</f>
        <v>0</v>
      </c>
      <c r="AM47" s="75">
        <f>IF(Index!AL93=1,0,$H47*$K47*py*Index!AL46*Index!AL187/unit)</f>
        <v>0</v>
      </c>
      <c r="AN47" s="75">
        <f>IF(Index!AM93=1,0,$H47*$K47*py*Index!AM46*Index!AM187/unit)</f>
        <v>0</v>
      </c>
      <c r="AO47" s="75">
        <f>IF(Index!AN93=1,0,$H47*$K47*py*Index!AN46*Index!AN187/unit)</f>
        <v>0</v>
      </c>
      <c r="AP47" s="75">
        <f>IF(Index!AO93=1,0,$H47*$K47*py*Index!AO46*Index!AO187/unit)</f>
        <v>0</v>
      </c>
      <c r="AQ47" s="75">
        <f>IF(Index!AP93=1,0,$H47*$K47*py*Index!AP46*Index!AP187/unit)</f>
        <v>0</v>
      </c>
      <c r="AR47" s="75">
        <f>IF(Index!AQ93=1,0,$H47*$K47*py*Index!AQ46*Index!AQ187/unit)</f>
        <v>0</v>
      </c>
      <c r="AS47" s="75">
        <f>IF(Index!AR93=1,0,$H47*$K47*py*Index!AR46*Index!AR187/unit)</f>
        <v>0</v>
      </c>
      <c r="AT47" s="75">
        <f>IF(Index!AS93=1,0,$H47*$K47*py*Index!AS46*Index!AS187/unit)</f>
        <v>0</v>
      </c>
      <c r="AU47" s="75">
        <f>IF(Index!AT93=1,0,$H47*$K47*py*Index!AT46*Index!AT187/unit)</f>
        <v>0</v>
      </c>
      <c r="AV47" s="75">
        <f>IF(Index!AU93=1,0,$H47*$K47*py*Index!AU46*Index!AU187/unit)</f>
        <v>0</v>
      </c>
      <c r="AW47" s="75">
        <f>IF(Index!AV93=1,0,$H47*$K47*py*Index!AV46*Index!AV187/unit)</f>
        <v>0</v>
      </c>
      <c r="AX47" s="75">
        <f>IF(Index!AW93=1,0,$H47*$K47*py*Index!AW46*Index!AW187/unit)</f>
        <v>0</v>
      </c>
      <c r="AY47" s="75">
        <f>IF(Index!AX93=1,0,$H47*$K47*py*Index!AX46*Index!AX187/unit)</f>
        <v>0</v>
      </c>
      <c r="AZ47" s="75">
        <f>IF(Index!AY93=1,0,$H47*$K47*py*Index!AY46*Index!AY187/unit)</f>
        <v>0</v>
      </c>
      <c r="BA47" s="75">
        <f>IF(Index!AZ93=1,0,$H47*$K47*py*Index!AZ46*Index!AZ187/unit)</f>
        <v>0</v>
      </c>
      <c r="BB47" s="75">
        <f>IF(Index!BA93=1,0,$H47*$K47*py*Index!BA46*Index!BA187/unit)</f>
        <v>0</v>
      </c>
      <c r="BC47" s="75">
        <f>IF(Index!BB93=1,0,$H47*$K47*py*Index!BB46*Index!BB187/unit)</f>
        <v>0</v>
      </c>
      <c r="BD47" s="75">
        <f>IF(Index!BC93=1,0,$H47*$K47*py*Index!BC46*Index!BC187/unit)</f>
        <v>0</v>
      </c>
      <c r="BE47" s="75">
        <f>IF(Index!BD93=1,0,$H47*$K47*py*Index!BD46*Index!BD187/unit)</f>
        <v>0</v>
      </c>
      <c r="BF47" s="75">
        <f>IF(Index!BE93=1,0,$H47*$K47*py*Index!BE46*Index!BE187/unit)</f>
        <v>0</v>
      </c>
      <c r="BG47" s="75">
        <f>IF(Index!BF93=1,0,$H47*$K47*py*Index!BF46*Index!BF187/unit)</f>
        <v>0</v>
      </c>
      <c r="BH47" s="75">
        <f>IF(Index!BG93=1,0,$H47*$K47*py*Index!BG46*Index!BG187/unit)</f>
        <v>43.227857455472908</v>
      </c>
      <c r="BI47" s="75">
        <f>IF(Index!BH93=1,0,$H47*$K47*py*Index!BH46*Index!BH187/unit)</f>
        <v>43.227857455472908</v>
      </c>
      <c r="BJ47" s="75">
        <f>IF(Index!BI93=1,0,$H47*$K47*py*Index!BI46*Index!BI187/unit)</f>
        <v>43.227857455472908</v>
      </c>
      <c r="BK47" s="75">
        <f>IF(Index!BJ93=1,0,$H47*$K47*py*Index!BJ46*Index!BJ187/unit)</f>
        <v>43.227857455472908</v>
      </c>
      <c r="BL47" s="75">
        <f>IF(Index!BK93=1,0,$H47*$K47*py*Index!BK46*Index!BK187/unit)</f>
        <v>43.227857455472908</v>
      </c>
      <c r="BM47" s="75">
        <f>IF(Index!BL93=1,0,$H47*$K47*py*Index!BL46*Index!BL187/unit)</f>
        <v>43.227857455472908</v>
      </c>
      <c r="BN47" s="75">
        <f>IF(Index!BM93=1,0,$H47*$K47*py*Index!BM46*Index!BM187/unit)</f>
        <v>43.227857455472908</v>
      </c>
      <c r="BO47" s="75">
        <f>IF(Index!BN93=1,0,$H47*$K47*py*Index!BN46*Index!BN187/unit)</f>
        <v>43.227857455472908</v>
      </c>
      <c r="BP47" s="75">
        <f>IF(Index!BO93=1,0,$H47*$K47*py*Index!BO46*Index!BO187/unit)</f>
        <v>43.227857455472908</v>
      </c>
      <c r="BQ47" s="75">
        <f>IF(Index!BP93=1,0,$H47*$K47*py*Index!BP46*Index!BP187/unit)</f>
        <v>43.227857455472908</v>
      </c>
      <c r="BR47" s="75">
        <f>IF(Index!BQ93=1,0,$H47*$K47*py*Index!BQ46*Index!BQ187/unit)</f>
        <v>43.227857455472908</v>
      </c>
      <c r="BS47" s="75">
        <f>IF(Index!BR93=1,0,$H47*$K47*py*Index!BR46*Index!BR187/unit)</f>
        <v>43.227857455472908</v>
      </c>
      <c r="BT47" s="75">
        <f>IF(Index!BS93=1,0,$H47*$K47*py*Index!BS46*Index!BS187/unit)</f>
        <v>44.524693179137095</v>
      </c>
      <c r="BU47" s="75">
        <f>IF(Index!BT93=1,0,$H47*$K47*py*Index!BT46*Index!BT187/unit)</f>
        <v>44.524693179137095</v>
      </c>
      <c r="BV47" s="75">
        <f>IF(Index!BU93=1,0,$H47*$K47*py*Index!BU46*Index!BU187/unit)</f>
        <v>44.524693179137095</v>
      </c>
      <c r="BW47" s="75">
        <f>IF(Index!BV93=1,0,$H47*$K47*py*Index!BV46*Index!BV187/unit)</f>
        <v>44.524693179137095</v>
      </c>
      <c r="BX47" s="75">
        <f>IF(Index!BW93=1,0,$H47*$K47*py*Index!BW46*Index!BW187/unit)</f>
        <v>44.524693179137095</v>
      </c>
      <c r="BY47" s="75">
        <f>IF(Index!BX93=1,0,$H47*$K47*py*Index!BX46*Index!BX187/unit)</f>
        <v>44.524693179137095</v>
      </c>
      <c r="BZ47" s="75">
        <f>IF(Index!BY93=1,0,$H47*$K47*py*Index!BY46*Index!BY187/unit)</f>
        <v>44.524693179137095</v>
      </c>
      <c r="CA47" s="75">
        <f>IF(Index!BZ93=1,0,$H47*$K47*py*Index!BZ46*Index!BZ187/unit)</f>
        <v>44.524693179137095</v>
      </c>
      <c r="CB47" s="75">
        <f>IF(Index!CA93=1,0,$H47*$K47*py*Index!CA46*Index!CA187/unit)</f>
        <v>0</v>
      </c>
      <c r="CC47" s="75">
        <f>IF(Index!CB93=1,0,$H47*$K47*py*Index!CB46*Index!CB187/unit)</f>
        <v>0</v>
      </c>
      <c r="CD47" s="75">
        <f>IF(Index!CC93=1,0,$H47*$K47*py*Index!CC46*Index!CC187/unit)</f>
        <v>0</v>
      </c>
      <c r="CE47" s="75">
        <f>IF(Index!CD93=1,0,$H47*$K47*py*Index!CD46*Index!CD187/unit)</f>
        <v>0</v>
      </c>
      <c r="CF47" s="75">
        <f>IF(Index!CE93=1,0,$H47*$K47*py*Index!CE46*Index!CE187/unit)</f>
        <v>0</v>
      </c>
      <c r="CG47" s="75">
        <f>IF(Index!CF93=1,0,$H47*$K47*py*Index!CF46*Index!CF187/unit)</f>
        <v>0</v>
      </c>
      <c r="CH47" s="75">
        <f>IF(Index!CG93=1,0,$H47*$K47*py*Index!CG46*Index!CG187/unit)</f>
        <v>0</v>
      </c>
      <c r="CI47" s="75">
        <f>IF(Index!CH93=1,0,$H47*$K47*py*Index!CH46*Index!CH187/unit)</f>
        <v>0</v>
      </c>
      <c r="CJ47" s="75">
        <f>IF(Index!CI93=1,0,$H47*$K47*py*Index!CI46*Index!CI187/unit)</f>
        <v>0</v>
      </c>
      <c r="CK47" s="75">
        <f>IF(Index!CJ93=1,0,$H47*$K47*py*Index!CJ46*Index!CJ187/unit)</f>
        <v>0</v>
      </c>
      <c r="CL47" s="75">
        <f>IF(Index!CK93=1,0,$H47*$K47*py*Index!CK46*Index!CK187/unit)</f>
        <v>0</v>
      </c>
      <c r="CM47" s="75">
        <f>IF(Index!CL93=1,0,$H47*$K47*py*Index!CL46*Index!CL187/unit)</f>
        <v>0</v>
      </c>
      <c r="CN47" s="75">
        <f>IF(Index!CM93=1,0,$H47*$K47*py*Index!CM46*Index!CM187/unit)</f>
        <v>0</v>
      </c>
      <c r="CO47" s="75">
        <f>IF(Index!CN93=1,0,$H47*$K47*py*Index!CN46*Index!CN187/unit)</f>
        <v>0</v>
      </c>
      <c r="CP47" s="75">
        <f>IF(Index!CO93=1,0,$H47*$K47*py*Index!CO46*Index!CO187/unit)</f>
        <v>0</v>
      </c>
      <c r="CQ47" s="75">
        <f>IF(Index!CP93=1,0,$H47*$K47*py*Index!CP46*Index!CP187/unit)</f>
        <v>0</v>
      </c>
      <c r="CR47" s="75">
        <f>IF(Index!CQ93=1,0,$H47*$K47*py*Index!CQ46*Index!CQ187/unit)</f>
        <v>0</v>
      </c>
      <c r="CS47" s="75">
        <f>IF(Index!CR93=1,0,$H47*$K47*py*Index!CR46*Index!CR187/unit)</f>
        <v>0</v>
      </c>
      <c r="CT47" s="75">
        <f>IF(Index!CS93=1,0,$H47*$K47*py*Index!CS46*Index!CS187/unit)</f>
        <v>0</v>
      </c>
      <c r="CU47" s="75">
        <f>IF(Index!CT93=1,0,$H47*$K47*py*Index!CT46*Index!CT187/unit)</f>
        <v>0</v>
      </c>
      <c r="CV47" s="75">
        <f>IF(Index!CU93=1,0,$H47*$K47*py*Index!CU46*Index!CU187/unit)</f>
        <v>0</v>
      </c>
      <c r="CW47" s="75">
        <f>IF(Index!CV93=1,0,$H47*$K47*py*Index!CV46*Index!CV187/unit)</f>
        <v>0</v>
      </c>
      <c r="CX47" s="75">
        <f>IF(Index!CW93=1,0,$H47*$K47*py*Index!CW46*Index!CW187/unit)</f>
        <v>0</v>
      </c>
      <c r="CY47" s="75">
        <f>IF(Index!CX93=1,0,$H47*$K47*py*Index!CX46*Index!CX187/unit)</f>
        <v>0</v>
      </c>
      <c r="CZ47" s="75">
        <f>IF(Index!CY93=1,0,$H47*$K47*py*Index!CY46*Index!CY187/unit)</f>
        <v>0</v>
      </c>
      <c r="DA47" s="75">
        <f>IF(Index!CZ93=1,0,$H47*$K47*py*Index!CZ46*Index!CZ187/unit)</f>
        <v>0</v>
      </c>
      <c r="DB47" s="75">
        <f>IF(Index!DA93=1,0,$H47*$K47*py*Index!DA46*Index!DA187/unit)</f>
        <v>0</v>
      </c>
      <c r="DC47" s="75">
        <f>IF(Index!DB93=1,0,$H47*$K47*py*Index!DB46*Index!DB187/unit)</f>
        <v>0</v>
      </c>
      <c r="DD47" s="75">
        <f>IF(Index!DC93=1,0,$H47*$K47*py*Index!DC46*Index!DC187/unit)</f>
        <v>0</v>
      </c>
      <c r="DE47" s="75">
        <f>IF(Index!DD93=1,0,$H47*$K47*py*Index!DD46*Index!DD187/unit)</f>
        <v>0</v>
      </c>
      <c r="DF47" s="75">
        <f>IF(Index!DE93=1,0,$H47*$K47*py*Index!DE46*Index!DE187/unit)</f>
        <v>0</v>
      </c>
      <c r="DG47" s="75">
        <f>IF(Index!DF93=1,0,$H47*$K47*py*Index!DF46*Index!DF187/unit)</f>
        <v>0</v>
      </c>
      <c r="DH47" s="75">
        <f>IF(Index!DG93=1,0,$H47*$K47*py*Index!DG46*Index!DG187/unit)</f>
        <v>0</v>
      </c>
      <c r="DI47" s="75">
        <f>IF(Index!DH93=1,0,$H47*$K47*py*Index!DH46*Index!DH187/unit)</f>
        <v>0</v>
      </c>
      <c r="DJ47" s="75">
        <f>IF(Index!DI93=1,0,$H47*$K47*py*Index!DI46*Index!DI187/unit)</f>
        <v>0</v>
      </c>
      <c r="DK47" s="75">
        <f>IF(Index!DJ93=1,0,$H47*$K47*py*Index!DJ46*Index!DJ187/unit)</f>
        <v>0</v>
      </c>
      <c r="DL47" s="75">
        <f>IF(Index!DK93=1,0,$H47*$K47*py*Index!DK46*Index!DK187/unit)</f>
        <v>0</v>
      </c>
      <c r="DM47" s="75">
        <f>IF(Index!DL93=1,0,$H47*$K47*py*Index!DL46*Index!DL187/unit)</f>
        <v>0</v>
      </c>
    </row>
    <row r="48" spans="2:117">
      <c r="B48" s="27">
        <f>Rentroll!$C$45</f>
        <v>9</v>
      </c>
      <c r="C48" s="69" t="str">
        <f>VLOOKUP($B48,Rentroll!$C$37:$Z$60,3,FALSE)</f>
        <v>노벰버 건설</v>
      </c>
      <c r="D48" s="80">
        <f>VLOOKUP($B48,Rentroll!$C$37:$Z$60,9,FALSE)</f>
        <v>46904</v>
      </c>
      <c r="E48" s="80">
        <f>VLOOKUP($B48,Rentroll!$C$37:$Z$60,10,FALSE)</f>
        <v>48730</v>
      </c>
      <c r="F48" s="81">
        <f>VLOOKUP($B48,Rentroll!$C$37:$Z$60,11,FALSE)</f>
        <v>60</v>
      </c>
      <c r="G48" s="69">
        <f>VLOOKUP($B48,Rentroll!$C$37:$Z$60,13,FALSE)</f>
        <v>112550.88099999999</v>
      </c>
      <c r="H48" s="69">
        <f>VLOOKUP($B48,Rentroll!$C$37:$Z$60,14,FALSE)</f>
        <v>103171.64091666666</v>
      </c>
      <c r="I48" s="69">
        <f>VLOOKUP($B48,Rentroll!$C$37:$Z$60,15,FALSE)</f>
        <v>49172.715000000004</v>
      </c>
      <c r="J48" s="82">
        <f>VLOOKUP($B48,Rentroll!$C$37:$Z$60,19,FALSE)</f>
        <v>0.03</v>
      </c>
      <c r="K48" s="83">
        <f>VLOOKUP($B48,Rentroll!$C$37:$Z$60,4,FALSE)</f>
        <v>1385.09</v>
      </c>
      <c r="L48" s="81">
        <f>VLOOKUP($B48,Rentroll!$C$37:$Z$60,17,FALSE)</f>
        <v>0</v>
      </c>
      <c r="M48" s="84">
        <f>VLOOKUP($B48,Rentroll!$C$37:$Z$60,18,FALSE)</f>
        <v>1</v>
      </c>
      <c r="O48" s="74">
        <f t="shared" si="16"/>
        <v>9</v>
      </c>
      <c r="P48" s="75"/>
      <c r="Q48" s="75">
        <f t="shared" si="13"/>
        <v>874.93183489877185</v>
      </c>
      <c r="R48" s="75"/>
      <c r="S48" s="75">
        <f>IF(Index!R94=1,0,$H48*$K48*py*Index!R47*Index!R188/unit)</f>
        <v>0</v>
      </c>
      <c r="T48" s="75">
        <f>IF(Index!S94=1,0,$H48*$K48*py*Index!S47*Index!S188/unit)</f>
        <v>0</v>
      </c>
      <c r="U48" s="75">
        <f>IF(Index!T94=1,0,$H48*$K48*py*Index!T47*Index!T188/unit)</f>
        <v>0</v>
      </c>
      <c r="V48" s="75">
        <f>IF(Index!U94=1,0,$H48*$K48*py*Index!U47*Index!U188/unit)</f>
        <v>0</v>
      </c>
      <c r="W48" s="75">
        <f>IF(Index!V94=1,0,$H48*$K48*py*Index!V47*Index!V188/unit)</f>
        <v>0</v>
      </c>
      <c r="X48" s="75">
        <f>IF(Index!W94=1,0,$H48*$K48*py*Index!W47*Index!W188/unit)</f>
        <v>0</v>
      </c>
      <c r="Y48" s="75">
        <f>IF(Index!X94=1,0,$H48*$K48*py*Index!X47*Index!X188/unit)</f>
        <v>0</v>
      </c>
      <c r="Z48" s="75">
        <f>IF(Index!Y94=1,0,$H48*$K48*py*Index!Y47*Index!Y188/unit)</f>
        <v>0</v>
      </c>
      <c r="AA48" s="75">
        <f>IF(Index!Z94=1,0,$H48*$K48*py*Index!Z47*Index!Z188/unit)</f>
        <v>0</v>
      </c>
      <c r="AB48" s="75">
        <f>IF(Index!AA94=1,0,$H48*$K48*py*Index!AA47*Index!AA188/unit)</f>
        <v>0</v>
      </c>
      <c r="AC48" s="75">
        <f>IF(Index!AB94=1,0,$H48*$K48*py*Index!AB47*Index!AB188/unit)</f>
        <v>0</v>
      </c>
      <c r="AD48" s="75">
        <f>IF(Index!AC94=1,0,$H48*$K48*py*Index!AC47*Index!AC188/unit)</f>
        <v>0</v>
      </c>
      <c r="AE48" s="75">
        <f>IF(Index!AD94=1,0,$H48*$K48*py*Index!AD47*Index!AD188/unit)</f>
        <v>0</v>
      </c>
      <c r="AF48" s="75">
        <f>IF(Index!AE94=1,0,$H48*$K48*py*Index!AE47*Index!AE188/unit)</f>
        <v>0</v>
      </c>
      <c r="AG48" s="75">
        <f>IF(Index!AF94=1,0,$H48*$K48*py*Index!AF47*Index!AF188/unit)</f>
        <v>0</v>
      </c>
      <c r="AH48" s="75">
        <f>IF(Index!AG94=1,0,$H48*$K48*py*Index!AG47*Index!AG188/unit)</f>
        <v>0</v>
      </c>
      <c r="AI48" s="75">
        <f>IF(Index!AH94=1,0,$H48*$K48*py*Index!AH47*Index!AH188/unit)</f>
        <v>0</v>
      </c>
      <c r="AJ48" s="75">
        <f>IF(Index!AI94=1,0,$H48*$K48*py*Index!AI47*Index!AI188/unit)</f>
        <v>0</v>
      </c>
      <c r="AK48" s="75">
        <f>IF(Index!AJ94=1,0,$H48*$K48*py*Index!AJ47*Index!AJ188/unit)</f>
        <v>0</v>
      </c>
      <c r="AL48" s="75">
        <f>IF(Index!AK94=1,0,$H48*$K48*py*Index!AK47*Index!AK188/unit)</f>
        <v>0</v>
      </c>
      <c r="AM48" s="75">
        <f>IF(Index!AL94=1,0,$H48*$K48*py*Index!AL47*Index!AL188/unit)</f>
        <v>0</v>
      </c>
      <c r="AN48" s="75">
        <f>IF(Index!AM94=1,0,$H48*$K48*py*Index!AM47*Index!AM188/unit)</f>
        <v>0</v>
      </c>
      <c r="AO48" s="75">
        <f>IF(Index!AN94=1,0,$H48*$K48*py*Index!AN47*Index!AN188/unit)</f>
        <v>0</v>
      </c>
      <c r="AP48" s="75">
        <f>IF(Index!AO94=1,0,$H48*$K48*py*Index!AO47*Index!AO188/unit)</f>
        <v>0</v>
      </c>
      <c r="AQ48" s="75">
        <f>IF(Index!AP94=1,0,$H48*$K48*py*Index!AP47*Index!AP188/unit)</f>
        <v>0</v>
      </c>
      <c r="AR48" s="75">
        <f>IF(Index!AQ94=1,0,$H48*$K48*py*Index!AQ47*Index!AQ188/unit)</f>
        <v>0</v>
      </c>
      <c r="AS48" s="75">
        <f>IF(Index!AR94=1,0,$H48*$K48*py*Index!AR47*Index!AR188/unit)</f>
        <v>0</v>
      </c>
      <c r="AT48" s="75">
        <f>IF(Index!AS94=1,0,$H48*$K48*py*Index!AS47*Index!AS188/unit)</f>
        <v>0</v>
      </c>
      <c r="AU48" s="75">
        <f>IF(Index!AT94=1,0,$H48*$K48*py*Index!AT47*Index!AT188/unit)</f>
        <v>0</v>
      </c>
      <c r="AV48" s="75">
        <f>IF(Index!AU94=1,0,$H48*$K48*py*Index!AU47*Index!AU188/unit)</f>
        <v>0</v>
      </c>
      <c r="AW48" s="75">
        <f>IF(Index!AV94=1,0,$H48*$K48*py*Index!AV47*Index!AV188/unit)</f>
        <v>0</v>
      </c>
      <c r="AX48" s="75">
        <f>IF(Index!AW94=1,0,$H48*$K48*py*Index!AW47*Index!AW188/unit)</f>
        <v>0</v>
      </c>
      <c r="AY48" s="75">
        <f>IF(Index!AX94=1,0,$H48*$K48*py*Index!AX47*Index!AX188/unit)</f>
        <v>0</v>
      </c>
      <c r="AZ48" s="75">
        <f>IF(Index!AY94=1,0,$H48*$K48*py*Index!AY47*Index!AY188/unit)</f>
        <v>0</v>
      </c>
      <c r="BA48" s="75">
        <f>IF(Index!AZ94=1,0,$H48*$K48*py*Index!AZ47*Index!AZ188/unit)</f>
        <v>0</v>
      </c>
      <c r="BB48" s="75">
        <f>IF(Index!BA94=1,0,$H48*$K48*py*Index!BA47*Index!BA188/unit)</f>
        <v>0</v>
      </c>
      <c r="BC48" s="75">
        <f>IF(Index!BB94=1,0,$H48*$K48*py*Index!BB47*Index!BB188/unit)</f>
        <v>0</v>
      </c>
      <c r="BD48" s="75">
        <f>IF(Index!BC94=1,0,$H48*$K48*py*Index!BC47*Index!BC188/unit)</f>
        <v>0</v>
      </c>
      <c r="BE48" s="75">
        <f>IF(Index!BD94=1,0,$H48*$K48*py*Index!BD47*Index!BD188/unit)</f>
        <v>0</v>
      </c>
      <c r="BF48" s="75">
        <f>IF(Index!BE94=1,0,$H48*$K48*py*Index!BE47*Index!BE188/unit)</f>
        <v>0</v>
      </c>
      <c r="BG48" s="75">
        <f>IF(Index!BF94=1,0,$H48*$K48*py*Index!BF47*Index!BF188/unit)</f>
        <v>0</v>
      </c>
      <c r="BH48" s="75">
        <f>IF(Index!BG94=1,0,$H48*$K48*py*Index!BG47*Index!BG188/unit)</f>
        <v>43.227857455472908</v>
      </c>
      <c r="BI48" s="75">
        <f>IF(Index!BH94=1,0,$H48*$K48*py*Index!BH47*Index!BH188/unit)</f>
        <v>43.227857455472908</v>
      </c>
      <c r="BJ48" s="75">
        <f>IF(Index!BI94=1,0,$H48*$K48*py*Index!BI47*Index!BI188/unit)</f>
        <v>43.227857455472908</v>
      </c>
      <c r="BK48" s="75">
        <f>IF(Index!BJ94=1,0,$H48*$K48*py*Index!BJ47*Index!BJ188/unit)</f>
        <v>43.227857455472908</v>
      </c>
      <c r="BL48" s="75">
        <f>IF(Index!BK94=1,0,$H48*$K48*py*Index!BK47*Index!BK188/unit)</f>
        <v>43.227857455472908</v>
      </c>
      <c r="BM48" s="75">
        <f>IF(Index!BL94=1,0,$H48*$K48*py*Index!BL47*Index!BL188/unit)</f>
        <v>43.227857455472908</v>
      </c>
      <c r="BN48" s="75">
        <f>IF(Index!BM94=1,0,$H48*$K48*py*Index!BM47*Index!BM188/unit)</f>
        <v>43.227857455472908</v>
      </c>
      <c r="BO48" s="75">
        <f>IF(Index!BN94=1,0,$H48*$K48*py*Index!BN47*Index!BN188/unit)</f>
        <v>43.227857455472908</v>
      </c>
      <c r="BP48" s="75">
        <f>IF(Index!BO94=1,0,$H48*$K48*py*Index!BO47*Index!BO188/unit)</f>
        <v>43.227857455472908</v>
      </c>
      <c r="BQ48" s="75">
        <f>IF(Index!BP94=1,0,$H48*$K48*py*Index!BP47*Index!BP188/unit)</f>
        <v>43.227857455472908</v>
      </c>
      <c r="BR48" s="75">
        <f>IF(Index!BQ94=1,0,$H48*$K48*py*Index!BQ47*Index!BQ188/unit)</f>
        <v>43.227857455472908</v>
      </c>
      <c r="BS48" s="75">
        <f>IF(Index!BR94=1,0,$H48*$K48*py*Index!BR47*Index!BR188/unit)</f>
        <v>43.227857455472908</v>
      </c>
      <c r="BT48" s="75">
        <f>IF(Index!BS94=1,0,$H48*$K48*py*Index!BS47*Index!BS188/unit)</f>
        <v>44.524693179137095</v>
      </c>
      <c r="BU48" s="75">
        <f>IF(Index!BT94=1,0,$H48*$K48*py*Index!BT47*Index!BT188/unit)</f>
        <v>44.524693179137095</v>
      </c>
      <c r="BV48" s="75">
        <f>IF(Index!BU94=1,0,$H48*$K48*py*Index!BU47*Index!BU188/unit)</f>
        <v>44.524693179137095</v>
      </c>
      <c r="BW48" s="75">
        <f>IF(Index!BV94=1,0,$H48*$K48*py*Index!BV47*Index!BV188/unit)</f>
        <v>44.524693179137095</v>
      </c>
      <c r="BX48" s="75">
        <f>IF(Index!BW94=1,0,$H48*$K48*py*Index!BW47*Index!BW188/unit)</f>
        <v>44.524693179137095</v>
      </c>
      <c r="BY48" s="75">
        <f>IF(Index!BX94=1,0,$H48*$K48*py*Index!BX47*Index!BX188/unit)</f>
        <v>44.524693179137095</v>
      </c>
      <c r="BZ48" s="75">
        <f>IF(Index!BY94=1,0,$H48*$K48*py*Index!BY47*Index!BY188/unit)</f>
        <v>44.524693179137095</v>
      </c>
      <c r="CA48" s="75">
        <f>IF(Index!BZ94=1,0,$H48*$K48*py*Index!BZ47*Index!BZ188/unit)</f>
        <v>44.524693179137095</v>
      </c>
      <c r="CB48" s="75">
        <f>IF(Index!CA94=1,0,$H48*$K48*py*Index!CA47*Index!CA188/unit)</f>
        <v>0</v>
      </c>
      <c r="CC48" s="75">
        <f>IF(Index!CB94=1,0,$H48*$K48*py*Index!CB47*Index!CB188/unit)</f>
        <v>0</v>
      </c>
      <c r="CD48" s="75">
        <f>IF(Index!CC94=1,0,$H48*$K48*py*Index!CC47*Index!CC188/unit)</f>
        <v>0</v>
      </c>
      <c r="CE48" s="75">
        <f>IF(Index!CD94=1,0,$H48*$K48*py*Index!CD47*Index!CD188/unit)</f>
        <v>0</v>
      </c>
      <c r="CF48" s="75">
        <f>IF(Index!CE94=1,0,$H48*$K48*py*Index!CE47*Index!CE188/unit)</f>
        <v>0</v>
      </c>
      <c r="CG48" s="75">
        <f>IF(Index!CF94=1,0,$H48*$K48*py*Index!CF47*Index!CF188/unit)</f>
        <v>0</v>
      </c>
      <c r="CH48" s="75">
        <f>IF(Index!CG94=1,0,$H48*$K48*py*Index!CG47*Index!CG188/unit)</f>
        <v>0</v>
      </c>
      <c r="CI48" s="75">
        <f>IF(Index!CH94=1,0,$H48*$K48*py*Index!CH47*Index!CH188/unit)</f>
        <v>0</v>
      </c>
      <c r="CJ48" s="75">
        <f>IF(Index!CI94=1,0,$H48*$K48*py*Index!CI47*Index!CI188/unit)</f>
        <v>0</v>
      </c>
      <c r="CK48" s="75">
        <f>IF(Index!CJ94=1,0,$H48*$K48*py*Index!CJ47*Index!CJ188/unit)</f>
        <v>0</v>
      </c>
      <c r="CL48" s="75">
        <f>IF(Index!CK94=1,0,$H48*$K48*py*Index!CK47*Index!CK188/unit)</f>
        <v>0</v>
      </c>
      <c r="CM48" s="75">
        <f>IF(Index!CL94=1,0,$H48*$K48*py*Index!CL47*Index!CL188/unit)</f>
        <v>0</v>
      </c>
      <c r="CN48" s="75">
        <f>IF(Index!CM94=1,0,$H48*$K48*py*Index!CM47*Index!CM188/unit)</f>
        <v>0</v>
      </c>
      <c r="CO48" s="75">
        <f>IF(Index!CN94=1,0,$H48*$K48*py*Index!CN47*Index!CN188/unit)</f>
        <v>0</v>
      </c>
      <c r="CP48" s="75">
        <f>IF(Index!CO94=1,0,$H48*$K48*py*Index!CO47*Index!CO188/unit)</f>
        <v>0</v>
      </c>
      <c r="CQ48" s="75">
        <f>IF(Index!CP94=1,0,$H48*$K48*py*Index!CP47*Index!CP188/unit)</f>
        <v>0</v>
      </c>
      <c r="CR48" s="75">
        <f>IF(Index!CQ94=1,0,$H48*$K48*py*Index!CQ47*Index!CQ188/unit)</f>
        <v>0</v>
      </c>
      <c r="CS48" s="75">
        <f>IF(Index!CR94=1,0,$H48*$K48*py*Index!CR47*Index!CR188/unit)</f>
        <v>0</v>
      </c>
      <c r="CT48" s="75">
        <f>IF(Index!CS94=1,0,$H48*$K48*py*Index!CS47*Index!CS188/unit)</f>
        <v>0</v>
      </c>
      <c r="CU48" s="75">
        <f>IF(Index!CT94=1,0,$H48*$K48*py*Index!CT47*Index!CT188/unit)</f>
        <v>0</v>
      </c>
      <c r="CV48" s="75">
        <f>IF(Index!CU94=1,0,$H48*$K48*py*Index!CU47*Index!CU188/unit)</f>
        <v>0</v>
      </c>
      <c r="CW48" s="75">
        <f>IF(Index!CV94=1,0,$H48*$K48*py*Index!CV47*Index!CV188/unit)</f>
        <v>0</v>
      </c>
      <c r="CX48" s="75">
        <f>IF(Index!CW94=1,0,$H48*$K48*py*Index!CW47*Index!CW188/unit)</f>
        <v>0</v>
      </c>
      <c r="CY48" s="75">
        <f>IF(Index!CX94=1,0,$H48*$K48*py*Index!CX47*Index!CX188/unit)</f>
        <v>0</v>
      </c>
      <c r="CZ48" s="75">
        <f>IF(Index!CY94=1,0,$H48*$K48*py*Index!CY47*Index!CY188/unit)</f>
        <v>0</v>
      </c>
      <c r="DA48" s="75">
        <f>IF(Index!CZ94=1,0,$H48*$K48*py*Index!CZ47*Index!CZ188/unit)</f>
        <v>0</v>
      </c>
      <c r="DB48" s="75">
        <f>IF(Index!DA94=1,0,$H48*$K48*py*Index!DA47*Index!DA188/unit)</f>
        <v>0</v>
      </c>
      <c r="DC48" s="75">
        <f>IF(Index!DB94=1,0,$H48*$K48*py*Index!DB47*Index!DB188/unit)</f>
        <v>0</v>
      </c>
      <c r="DD48" s="75">
        <f>IF(Index!DC94=1,0,$H48*$K48*py*Index!DC47*Index!DC188/unit)</f>
        <v>0</v>
      </c>
      <c r="DE48" s="75">
        <f>IF(Index!DD94=1,0,$H48*$K48*py*Index!DD47*Index!DD188/unit)</f>
        <v>0</v>
      </c>
      <c r="DF48" s="75">
        <f>IF(Index!DE94=1,0,$H48*$K48*py*Index!DE47*Index!DE188/unit)</f>
        <v>0</v>
      </c>
      <c r="DG48" s="75">
        <f>IF(Index!DF94=1,0,$H48*$K48*py*Index!DF47*Index!DF188/unit)</f>
        <v>0</v>
      </c>
      <c r="DH48" s="75">
        <f>IF(Index!DG94=1,0,$H48*$K48*py*Index!DG47*Index!DG188/unit)</f>
        <v>0</v>
      </c>
      <c r="DI48" s="75">
        <f>IF(Index!DH94=1,0,$H48*$K48*py*Index!DH47*Index!DH188/unit)</f>
        <v>0</v>
      </c>
      <c r="DJ48" s="75">
        <f>IF(Index!DI94=1,0,$H48*$K48*py*Index!DI47*Index!DI188/unit)</f>
        <v>0</v>
      </c>
      <c r="DK48" s="75">
        <f>IF(Index!DJ94=1,0,$H48*$K48*py*Index!DJ47*Index!DJ188/unit)</f>
        <v>0</v>
      </c>
      <c r="DL48" s="75">
        <f>IF(Index!DK94=1,0,$H48*$K48*py*Index!DK47*Index!DK188/unit)</f>
        <v>0</v>
      </c>
      <c r="DM48" s="75">
        <f>IF(Index!DL94=1,0,$H48*$K48*py*Index!DL47*Index!DL188/unit)</f>
        <v>0</v>
      </c>
    </row>
    <row r="49" spans="2:117">
      <c r="B49" s="27">
        <f>Rentroll!$C$46</f>
        <v>8</v>
      </c>
      <c r="C49" s="69" t="str">
        <f>VLOOKUP($B49,Rentroll!$C$37:$Z$60,3,FALSE)</f>
        <v>오케스트로</v>
      </c>
      <c r="D49" s="80">
        <f>VLOOKUP($B49,Rentroll!$C$37:$Z$60,9,FALSE)</f>
        <v>46477</v>
      </c>
      <c r="E49" s="80">
        <f>VLOOKUP($B49,Rentroll!$C$37:$Z$60,10,FALSE)</f>
        <v>48304</v>
      </c>
      <c r="F49" s="81">
        <f>VLOOKUP($B49,Rentroll!$C$37:$Z$60,11,FALSE)</f>
        <v>60</v>
      </c>
      <c r="G49" s="69">
        <f>VLOOKUP($B49,Rentroll!$C$37:$Z$60,13,FALSE)</f>
        <v>109272.7</v>
      </c>
      <c r="H49" s="69">
        <f>VLOOKUP($B49,Rentroll!$C$37:$Z$60,14,FALSE)</f>
        <v>100166.64166666666</v>
      </c>
      <c r="I49" s="69">
        <f>VLOOKUP($B49,Rentroll!$C$37:$Z$60,15,FALSE)</f>
        <v>47740.5</v>
      </c>
      <c r="J49" s="82">
        <f>VLOOKUP($B49,Rentroll!$C$37:$Z$60,19,FALSE)</f>
        <v>0.03</v>
      </c>
      <c r="K49" s="83">
        <f>VLOOKUP($B49,Rentroll!$C$37:$Z$60,4,FALSE)</f>
        <v>1385.09</v>
      </c>
      <c r="L49" s="81">
        <f>VLOOKUP($B49,Rentroll!$C$37:$Z$60,17,FALSE)</f>
        <v>1</v>
      </c>
      <c r="M49" s="84">
        <f>VLOOKUP($B49,Rentroll!$C$37:$Z$60,18,FALSE)</f>
        <v>1</v>
      </c>
      <c r="O49" s="74">
        <f t="shared" si="16"/>
        <v>8</v>
      </c>
      <c r="P49" s="75"/>
      <c r="Q49" s="75">
        <f t="shared" si="13"/>
        <v>1425.6379513640377</v>
      </c>
      <c r="R49" s="75"/>
      <c r="S49" s="75">
        <f>IF(Index!R95=1,0,$H49*$K49*py*Index!R48*Index!R189/unit)</f>
        <v>0</v>
      </c>
      <c r="T49" s="75">
        <f>IF(Index!S95=1,0,$H49*$K49*py*Index!S48*Index!S189/unit)</f>
        <v>0</v>
      </c>
      <c r="U49" s="75">
        <f>IF(Index!T95=1,0,$H49*$K49*py*Index!T48*Index!T189/unit)</f>
        <v>0</v>
      </c>
      <c r="V49" s="75">
        <f>IF(Index!U95=1,0,$H49*$K49*py*Index!U48*Index!U189/unit)</f>
        <v>0</v>
      </c>
      <c r="W49" s="75">
        <f>IF(Index!V95=1,0,$H49*$K49*py*Index!V48*Index!V189/unit)</f>
        <v>0</v>
      </c>
      <c r="X49" s="75">
        <f>IF(Index!W95=1,0,$H49*$K49*py*Index!W48*Index!W189/unit)</f>
        <v>0</v>
      </c>
      <c r="Y49" s="75">
        <f>IF(Index!X95=1,0,$H49*$K49*py*Index!X48*Index!X189/unit)</f>
        <v>0</v>
      </c>
      <c r="Z49" s="75">
        <f>IF(Index!Y95=1,0,$H49*$K49*py*Index!Y48*Index!Y189/unit)</f>
        <v>0</v>
      </c>
      <c r="AA49" s="75">
        <f>IF(Index!Z95=1,0,$H49*$K49*py*Index!Z48*Index!Z189/unit)</f>
        <v>0</v>
      </c>
      <c r="AB49" s="75">
        <f>IF(Index!AA95=1,0,$H49*$K49*py*Index!AA48*Index!AA189/unit)</f>
        <v>0</v>
      </c>
      <c r="AC49" s="75">
        <f>IF(Index!AB95=1,0,$H49*$K49*py*Index!AB48*Index!AB189/unit)</f>
        <v>0</v>
      </c>
      <c r="AD49" s="75">
        <f>IF(Index!AC95=1,0,$H49*$K49*py*Index!AC48*Index!AC189/unit)</f>
        <v>0</v>
      </c>
      <c r="AE49" s="75">
        <f>IF(Index!AD95=1,0,$H49*$K49*py*Index!AD48*Index!AD189/unit)</f>
        <v>0</v>
      </c>
      <c r="AF49" s="75">
        <f>IF(Index!AE95=1,0,$H49*$K49*py*Index!AE48*Index!AE189/unit)</f>
        <v>0</v>
      </c>
      <c r="AG49" s="75">
        <f>IF(Index!AF95=1,0,$H49*$K49*py*Index!AF48*Index!AF189/unit)</f>
        <v>0</v>
      </c>
      <c r="AH49" s="75">
        <f>IF(Index!AG95=1,0,$H49*$K49*py*Index!AG48*Index!AG189/unit)</f>
        <v>0</v>
      </c>
      <c r="AI49" s="75">
        <f>IF(Index!AH95=1,0,$H49*$K49*py*Index!AH48*Index!AH189/unit)</f>
        <v>0</v>
      </c>
      <c r="AJ49" s="75">
        <f>IF(Index!AI95=1,0,$H49*$K49*py*Index!AI48*Index!AI189/unit)</f>
        <v>0</v>
      </c>
      <c r="AK49" s="75">
        <f>IF(Index!AJ95=1,0,$H49*$K49*py*Index!AJ48*Index!AJ189/unit)</f>
        <v>0</v>
      </c>
      <c r="AL49" s="75">
        <f>IF(Index!AK95=1,0,$H49*$K49*py*Index!AK48*Index!AK189/unit)</f>
        <v>0</v>
      </c>
      <c r="AM49" s="75">
        <f>IF(Index!AL95=1,0,$H49*$K49*py*Index!AL48*Index!AL189/unit)</f>
        <v>0</v>
      </c>
      <c r="AN49" s="75">
        <f>IF(Index!AM95=1,0,$H49*$K49*py*Index!AM48*Index!AM189/unit)</f>
        <v>0</v>
      </c>
      <c r="AO49" s="75">
        <f>IF(Index!AN95=1,0,$H49*$K49*py*Index!AN48*Index!AN189/unit)</f>
        <v>0</v>
      </c>
      <c r="AP49" s="75">
        <f>IF(Index!AO95=1,0,$H49*$K49*py*Index!AO48*Index!AO189/unit)</f>
        <v>0</v>
      </c>
      <c r="AQ49" s="75">
        <f>IF(Index!AP95=1,0,$H49*$K49*py*Index!AP48*Index!AP189/unit)</f>
        <v>0</v>
      </c>
      <c r="AR49" s="75">
        <f>IF(Index!AQ95=1,0,$H49*$K49*py*Index!AQ48*Index!AQ189/unit)</f>
        <v>0</v>
      </c>
      <c r="AS49" s="75">
        <f>IF(Index!AR95=1,0,$H49*$K49*py*Index!AR48*Index!AR189/unit)</f>
        <v>0</v>
      </c>
      <c r="AT49" s="75">
        <f>IF(Index!AS95=1,0,$H49*$K49*py*Index!AS48*Index!AS189/unit)</f>
        <v>0</v>
      </c>
      <c r="AU49" s="75">
        <f>IF(Index!AT95=1,0,$H49*$K49*py*Index!AT48*Index!AT189/unit)</f>
        <v>41.968793646090205</v>
      </c>
      <c r="AV49" s="75">
        <f>IF(Index!AU95=1,0,$H49*$K49*py*Index!AU48*Index!AU189/unit)</f>
        <v>41.968793646090205</v>
      </c>
      <c r="AW49" s="75">
        <f>IF(Index!AV95=1,0,$H49*$K49*py*Index!AV48*Index!AV189/unit)</f>
        <v>41.968793646090205</v>
      </c>
      <c r="AX49" s="75">
        <f>IF(Index!AW95=1,0,$H49*$K49*py*Index!AW48*Index!AW189/unit)</f>
        <v>41.968793646090205</v>
      </c>
      <c r="AY49" s="75">
        <f>IF(Index!AX95=1,0,$H49*$K49*py*Index!AX48*Index!AX189/unit)</f>
        <v>41.968793646090205</v>
      </c>
      <c r="AZ49" s="75">
        <f>IF(Index!AY95=1,0,$H49*$K49*py*Index!AY48*Index!AY189/unit)</f>
        <v>41.968793646090205</v>
      </c>
      <c r="BA49" s="75">
        <f>IF(Index!AZ95=1,0,$H49*$K49*py*Index!AZ48*Index!AZ189/unit)</f>
        <v>41.968793646090205</v>
      </c>
      <c r="BB49" s="75">
        <f>IF(Index!BA95=1,0,$H49*$K49*py*Index!BA48*Index!BA189/unit)</f>
        <v>41.968793646090205</v>
      </c>
      <c r="BC49" s="75">
        <f>IF(Index!BB95=1,0,$H49*$K49*py*Index!BB48*Index!BB189/unit)</f>
        <v>41.968793646090205</v>
      </c>
      <c r="BD49" s="75">
        <f>IF(Index!BC95=1,0,$H49*$K49*py*Index!BC48*Index!BC189/unit)</f>
        <v>41.968793646090205</v>
      </c>
      <c r="BE49" s="75">
        <f>IF(Index!BD95=1,0,$H49*$K49*py*Index!BD48*Index!BD189/unit)</f>
        <v>41.968793646090205</v>
      </c>
      <c r="BF49" s="75">
        <f>IF(Index!BE95=1,0,$H49*$K49*py*Index!BE48*Index!BE189/unit)</f>
        <v>43.227857455472908</v>
      </c>
      <c r="BG49" s="75">
        <f>IF(Index!BF95=1,0,$H49*$K49*py*Index!BF48*Index!BF189/unit)</f>
        <v>43.227857455472908</v>
      </c>
      <c r="BH49" s="75">
        <f>IF(Index!BG95=1,0,$H49*$K49*py*Index!BG48*Index!BG189/unit)</f>
        <v>43.227857455472908</v>
      </c>
      <c r="BI49" s="75">
        <f>IF(Index!BH95=1,0,$H49*$K49*py*Index!BH48*Index!BH189/unit)</f>
        <v>43.227857455472908</v>
      </c>
      <c r="BJ49" s="75">
        <f>IF(Index!BI95=1,0,$H49*$K49*py*Index!BI48*Index!BI189/unit)</f>
        <v>43.227857455472908</v>
      </c>
      <c r="BK49" s="75">
        <f>IF(Index!BJ95=1,0,$H49*$K49*py*Index!BJ48*Index!BJ189/unit)</f>
        <v>43.227857455472908</v>
      </c>
      <c r="BL49" s="75">
        <f>IF(Index!BK95=1,0,$H49*$K49*py*Index!BK48*Index!BK189/unit)</f>
        <v>43.227857455472908</v>
      </c>
      <c r="BM49" s="75">
        <f>IF(Index!BL95=1,0,$H49*$K49*py*Index!BL48*Index!BL189/unit)</f>
        <v>43.227857455472908</v>
      </c>
      <c r="BN49" s="75">
        <f>IF(Index!BM95=1,0,$H49*$K49*py*Index!BM48*Index!BM189/unit)</f>
        <v>43.227857455472908</v>
      </c>
      <c r="BO49" s="75">
        <f>IF(Index!BN95=1,0,$H49*$K49*py*Index!BN48*Index!BN189/unit)</f>
        <v>43.227857455472908</v>
      </c>
      <c r="BP49" s="75">
        <f>IF(Index!BO95=1,0,$H49*$K49*py*Index!BO48*Index!BO189/unit)</f>
        <v>43.227857455472908</v>
      </c>
      <c r="BQ49" s="75">
        <f>IF(Index!BP95=1,0,$H49*$K49*py*Index!BP48*Index!BP189/unit)</f>
        <v>43.227857455472908</v>
      </c>
      <c r="BR49" s="75">
        <f>IF(Index!BQ95=1,0,$H49*$K49*py*Index!BQ48*Index!BQ189/unit)</f>
        <v>44.524693179137095</v>
      </c>
      <c r="BS49" s="75">
        <f>IF(Index!BR95=1,0,$H49*$K49*py*Index!BR48*Index!BR189/unit)</f>
        <v>44.524693179137095</v>
      </c>
      <c r="BT49" s="75">
        <f>IF(Index!BS95=1,0,$H49*$K49*py*Index!BS48*Index!BS189/unit)</f>
        <v>44.524693179137095</v>
      </c>
      <c r="BU49" s="75">
        <f>IF(Index!BT95=1,0,$H49*$K49*py*Index!BT48*Index!BT189/unit)</f>
        <v>44.524693179137095</v>
      </c>
      <c r="BV49" s="75">
        <f>IF(Index!BU95=1,0,$H49*$K49*py*Index!BU48*Index!BU189/unit)</f>
        <v>44.524693179137095</v>
      </c>
      <c r="BW49" s="75">
        <f>IF(Index!BV95=1,0,$H49*$K49*py*Index!BV48*Index!BV189/unit)</f>
        <v>44.524693179137095</v>
      </c>
      <c r="BX49" s="75">
        <f>IF(Index!BW95=1,0,$H49*$K49*py*Index!BW48*Index!BW189/unit)</f>
        <v>44.524693179137095</v>
      </c>
      <c r="BY49" s="75">
        <f>IF(Index!BX95=1,0,$H49*$K49*py*Index!BX48*Index!BX189/unit)</f>
        <v>44.524693179137095</v>
      </c>
      <c r="BZ49" s="75">
        <f>IF(Index!BY95=1,0,$H49*$K49*py*Index!BY48*Index!BY189/unit)</f>
        <v>44.524693179137095</v>
      </c>
      <c r="CA49" s="75">
        <f>IF(Index!BZ95=1,0,$H49*$K49*py*Index!BZ48*Index!BZ189/unit)</f>
        <v>44.524693179137095</v>
      </c>
      <c r="CB49" s="75">
        <f>IF(Index!CA95=1,0,$H49*$K49*py*Index!CA48*Index!CA189/unit)</f>
        <v>0</v>
      </c>
      <c r="CC49" s="75">
        <f>IF(Index!CB95=1,0,$H49*$K49*py*Index!CB48*Index!CB189/unit)</f>
        <v>0</v>
      </c>
      <c r="CD49" s="75">
        <f>IF(Index!CC95=1,0,$H49*$K49*py*Index!CC48*Index!CC189/unit)</f>
        <v>0</v>
      </c>
      <c r="CE49" s="75">
        <f>IF(Index!CD95=1,0,$H49*$K49*py*Index!CD48*Index!CD189/unit)</f>
        <v>0</v>
      </c>
      <c r="CF49" s="75">
        <f>IF(Index!CE95=1,0,$H49*$K49*py*Index!CE48*Index!CE189/unit)</f>
        <v>0</v>
      </c>
      <c r="CG49" s="75">
        <f>IF(Index!CF95=1,0,$H49*$K49*py*Index!CF48*Index!CF189/unit)</f>
        <v>0</v>
      </c>
      <c r="CH49" s="75">
        <f>IF(Index!CG95=1,0,$H49*$K49*py*Index!CG48*Index!CG189/unit)</f>
        <v>0</v>
      </c>
      <c r="CI49" s="75">
        <f>IF(Index!CH95=1,0,$H49*$K49*py*Index!CH48*Index!CH189/unit)</f>
        <v>0</v>
      </c>
      <c r="CJ49" s="75">
        <f>IF(Index!CI95=1,0,$H49*$K49*py*Index!CI48*Index!CI189/unit)</f>
        <v>0</v>
      </c>
      <c r="CK49" s="75">
        <f>IF(Index!CJ95=1,0,$H49*$K49*py*Index!CJ48*Index!CJ189/unit)</f>
        <v>0</v>
      </c>
      <c r="CL49" s="75">
        <f>IF(Index!CK95=1,0,$H49*$K49*py*Index!CK48*Index!CK189/unit)</f>
        <v>0</v>
      </c>
      <c r="CM49" s="75">
        <f>IF(Index!CL95=1,0,$H49*$K49*py*Index!CL48*Index!CL189/unit)</f>
        <v>0</v>
      </c>
      <c r="CN49" s="75">
        <f>IF(Index!CM95=1,0,$H49*$K49*py*Index!CM48*Index!CM189/unit)</f>
        <v>0</v>
      </c>
      <c r="CO49" s="75">
        <f>IF(Index!CN95=1,0,$H49*$K49*py*Index!CN48*Index!CN189/unit)</f>
        <v>0</v>
      </c>
      <c r="CP49" s="75">
        <f>IF(Index!CO95=1,0,$H49*$K49*py*Index!CO48*Index!CO189/unit)</f>
        <v>0</v>
      </c>
      <c r="CQ49" s="75">
        <f>IF(Index!CP95=1,0,$H49*$K49*py*Index!CP48*Index!CP189/unit)</f>
        <v>0</v>
      </c>
      <c r="CR49" s="75">
        <f>IF(Index!CQ95=1,0,$H49*$K49*py*Index!CQ48*Index!CQ189/unit)</f>
        <v>0</v>
      </c>
      <c r="CS49" s="75">
        <f>IF(Index!CR95=1,0,$H49*$K49*py*Index!CR48*Index!CR189/unit)</f>
        <v>0</v>
      </c>
      <c r="CT49" s="75">
        <f>IF(Index!CS95=1,0,$H49*$K49*py*Index!CS48*Index!CS189/unit)</f>
        <v>0</v>
      </c>
      <c r="CU49" s="75">
        <f>IF(Index!CT95=1,0,$H49*$K49*py*Index!CT48*Index!CT189/unit)</f>
        <v>0</v>
      </c>
      <c r="CV49" s="75">
        <f>IF(Index!CU95=1,0,$H49*$K49*py*Index!CU48*Index!CU189/unit)</f>
        <v>0</v>
      </c>
      <c r="CW49" s="75">
        <f>IF(Index!CV95=1,0,$H49*$K49*py*Index!CV48*Index!CV189/unit)</f>
        <v>0</v>
      </c>
      <c r="CX49" s="75">
        <f>IF(Index!CW95=1,0,$H49*$K49*py*Index!CW48*Index!CW189/unit)</f>
        <v>0</v>
      </c>
      <c r="CY49" s="75">
        <f>IF(Index!CX95=1,0,$H49*$K49*py*Index!CX48*Index!CX189/unit)</f>
        <v>0</v>
      </c>
      <c r="CZ49" s="75">
        <f>IF(Index!CY95=1,0,$H49*$K49*py*Index!CY48*Index!CY189/unit)</f>
        <v>0</v>
      </c>
      <c r="DA49" s="75">
        <f>IF(Index!CZ95=1,0,$H49*$K49*py*Index!CZ48*Index!CZ189/unit)</f>
        <v>0</v>
      </c>
      <c r="DB49" s="75">
        <f>IF(Index!DA95=1,0,$H49*$K49*py*Index!DA48*Index!DA189/unit)</f>
        <v>0</v>
      </c>
      <c r="DC49" s="75">
        <f>IF(Index!DB95=1,0,$H49*$K49*py*Index!DB48*Index!DB189/unit)</f>
        <v>0</v>
      </c>
      <c r="DD49" s="75">
        <f>IF(Index!DC95=1,0,$H49*$K49*py*Index!DC48*Index!DC189/unit)</f>
        <v>0</v>
      </c>
      <c r="DE49" s="75">
        <f>IF(Index!DD95=1,0,$H49*$K49*py*Index!DD48*Index!DD189/unit)</f>
        <v>0</v>
      </c>
      <c r="DF49" s="75">
        <f>IF(Index!DE95=1,0,$H49*$K49*py*Index!DE48*Index!DE189/unit)</f>
        <v>0</v>
      </c>
      <c r="DG49" s="75">
        <f>IF(Index!DF95=1,0,$H49*$K49*py*Index!DF48*Index!DF189/unit)</f>
        <v>0</v>
      </c>
      <c r="DH49" s="75">
        <f>IF(Index!DG95=1,0,$H49*$K49*py*Index!DG48*Index!DG189/unit)</f>
        <v>0</v>
      </c>
      <c r="DI49" s="75">
        <f>IF(Index!DH95=1,0,$H49*$K49*py*Index!DH48*Index!DH189/unit)</f>
        <v>0</v>
      </c>
      <c r="DJ49" s="75">
        <f>IF(Index!DI95=1,0,$H49*$K49*py*Index!DI48*Index!DI189/unit)</f>
        <v>0</v>
      </c>
      <c r="DK49" s="75">
        <f>IF(Index!DJ95=1,0,$H49*$K49*py*Index!DJ48*Index!DJ189/unit)</f>
        <v>0</v>
      </c>
      <c r="DL49" s="75">
        <f>IF(Index!DK95=1,0,$H49*$K49*py*Index!DK48*Index!DK189/unit)</f>
        <v>0</v>
      </c>
      <c r="DM49" s="75">
        <f>IF(Index!DL95=1,0,$H49*$K49*py*Index!DL48*Index!DL189/unit)</f>
        <v>0</v>
      </c>
    </row>
    <row r="50" spans="2:117">
      <c r="B50" s="27">
        <f>Rentroll!$C$47</f>
        <v>7</v>
      </c>
      <c r="C50" s="69" t="str">
        <f>VLOOKUP($B50,Rentroll!$C$37:$Z$60,3,FALSE)</f>
        <v>오케스트로</v>
      </c>
      <c r="D50" s="80">
        <f>VLOOKUP($B50,Rentroll!$C$37:$Z$60,9,FALSE)</f>
        <v>46477</v>
      </c>
      <c r="E50" s="80">
        <f>VLOOKUP($B50,Rentroll!$C$37:$Z$60,10,FALSE)</f>
        <v>48304</v>
      </c>
      <c r="F50" s="81">
        <f>VLOOKUP($B50,Rentroll!$C$37:$Z$60,11,FALSE)</f>
        <v>60</v>
      </c>
      <c r="G50" s="69">
        <f>VLOOKUP($B50,Rentroll!$C$37:$Z$60,13,FALSE)</f>
        <v>109272.7</v>
      </c>
      <c r="H50" s="69">
        <f>VLOOKUP($B50,Rentroll!$C$37:$Z$60,14,FALSE)</f>
        <v>100166.64166666666</v>
      </c>
      <c r="I50" s="69">
        <f>VLOOKUP($B50,Rentroll!$C$37:$Z$60,15,FALSE)</f>
        <v>47740.5</v>
      </c>
      <c r="J50" s="82">
        <f>VLOOKUP($B50,Rentroll!$C$37:$Z$60,19,FALSE)</f>
        <v>0.03</v>
      </c>
      <c r="K50" s="83">
        <f>VLOOKUP($B50,Rentroll!$C$37:$Z$60,4,FALSE)</f>
        <v>1385.09</v>
      </c>
      <c r="L50" s="81">
        <f>VLOOKUP($B50,Rentroll!$C$37:$Z$60,17,FALSE)</f>
        <v>1</v>
      </c>
      <c r="M50" s="84">
        <f>VLOOKUP($B50,Rentroll!$C$37:$Z$60,18,FALSE)</f>
        <v>1</v>
      </c>
      <c r="O50" s="74">
        <f t="shared" si="16"/>
        <v>7</v>
      </c>
      <c r="P50" s="75"/>
      <c r="Q50" s="75">
        <f t="shared" si="13"/>
        <v>1425.6379513640377</v>
      </c>
      <c r="R50" s="75"/>
      <c r="S50" s="75">
        <f>IF(Index!R96=1,0,$H50*$K50*py*Index!R49*Index!R190/unit)</f>
        <v>0</v>
      </c>
      <c r="T50" s="75">
        <f>IF(Index!S96=1,0,$H50*$K50*py*Index!S49*Index!S190/unit)</f>
        <v>0</v>
      </c>
      <c r="U50" s="75">
        <f>IF(Index!T96=1,0,$H50*$K50*py*Index!T49*Index!T190/unit)</f>
        <v>0</v>
      </c>
      <c r="V50" s="75">
        <f>IF(Index!U96=1,0,$H50*$K50*py*Index!U49*Index!U190/unit)</f>
        <v>0</v>
      </c>
      <c r="W50" s="75">
        <f>IF(Index!V96=1,0,$H50*$K50*py*Index!V49*Index!V190/unit)</f>
        <v>0</v>
      </c>
      <c r="X50" s="75">
        <f>IF(Index!W96=1,0,$H50*$K50*py*Index!W49*Index!W190/unit)</f>
        <v>0</v>
      </c>
      <c r="Y50" s="75">
        <f>IF(Index!X96=1,0,$H50*$K50*py*Index!X49*Index!X190/unit)</f>
        <v>0</v>
      </c>
      <c r="Z50" s="75">
        <f>IF(Index!Y96=1,0,$H50*$K50*py*Index!Y49*Index!Y190/unit)</f>
        <v>0</v>
      </c>
      <c r="AA50" s="75">
        <f>IF(Index!Z96=1,0,$H50*$K50*py*Index!Z49*Index!Z190/unit)</f>
        <v>0</v>
      </c>
      <c r="AB50" s="75">
        <f>IF(Index!AA96=1,0,$H50*$K50*py*Index!AA49*Index!AA190/unit)</f>
        <v>0</v>
      </c>
      <c r="AC50" s="75">
        <f>IF(Index!AB96=1,0,$H50*$K50*py*Index!AB49*Index!AB190/unit)</f>
        <v>0</v>
      </c>
      <c r="AD50" s="75">
        <f>IF(Index!AC96=1,0,$H50*$K50*py*Index!AC49*Index!AC190/unit)</f>
        <v>0</v>
      </c>
      <c r="AE50" s="75">
        <f>IF(Index!AD96=1,0,$H50*$K50*py*Index!AD49*Index!AD190/unit)</f>
        <v>0</v>
      </c>
      <c r="AF50" s="75">
        <f>IF(Index!AE96=1,0,$H50*$K50*py*Index!AE49*Index!AE190/unit)</f>
        <v>0</v>
      </c>
      <c r="AG50" s="75">
        <f>IF(Index!AF96=1,0,$H50*$K50*py*Index!AF49*Index!AF190/unit)</f>
        <v>0</v>
      </c>
      <c r="AH50" s="75">
        <f>IF(Index!AG96=1,0,$H50*$K50*py*Index!AG49*Index!AG190/unit)</f>
        <v>0</v>
      </c>
      <c r="AI50" s="75">
        <f>IF(Index!AH96=1,0,$H50*$K50*py*Index!AH49*Index!AH190/unit)</f>
        <v>0</v>
      </c>
      <c r="AJ50" s="75">
        <f>IF(Index!AI96=1,0,$H50*$K50*py*Index!AI49*Index!AI190/unit)</f>
        <v>0</v>
      </c>
      <c r="AK50" s="75">
        <f>IF(Index!AJ96=1,0,$H50*$K50*py*Index!AJ49*Index!AJ190/unit)</f>
        <v>0</v>
      </c>
      <c r="AL50" s="75">
        <f>IF(Index!AK96=1,0,$H50*$K50*py*Index!AK49*Index!AK190/unit)</f>
        <v>0</v>
      </c>
      <c r="AM50" s="75">
        <f>IF(Index!AL96=1,0,$H50*$K50*py*Index!AL49*Index!AL190/unit)</f>
        <v>0</v>
      </c>
      <c r="AN50" s="75">
        <f>IF(Index!AM96=1,0,$H50*$K50*py*Index!AM49*Index!AM190/unit)</f>
        <v>0</v>
      </c>
      <c r="AO50" s="75">
        <f>IF(Index!AN96=1,0,$H50*$K50*py*Index!AN49*Index!AN190/unit)</f>
        <v>0</v>
      </c>
      <c r="AP50" s="75">
        <f>IF(Index!AO96=1,0,$H50*$K50*py*Index!AO49*Index!AO190/unit)</f>
        <v>0</v>
      </c>
      <c r="AQ50" s="75">
        <f>IF(Index!AP96=1,0,$H50*$K50*py*Index!AP49*Index!AP190/unit)</f>
        <v>0</v>
      </c>
      <c r="AR50" s="75">
        <f>IF(Index!AQ96=1,0,$H50*$K50*py*Index!AQ49*Index!AQ190/unit)</f>
        <v>0</v>
      </c>
      <c r="AS50" s="75">
        <f>IF(Index!AR96=1,0,$H50*$K50*py*Index!AR49*Index!AR190/unit)</f>
        <v>0</v>
      </c>
      <c r="AT50" s="75">
        <f>IF(Index!AS96=1,0,$H50*$K50*py*Index!AS49*Index!AS190/unit)</f>
        <v>0</v>
      </c>
      <c r="AU50" s="75">
        <f>IF(Index!AT96=1,0,$H50*$K50*py*Index!AT49*Index!AT190/unit)</f>
        <v>41.968793646090205</v>
      </c>
      <c r="AV50" s="75">
        <f>IF(Index!AU96=1,0,$H50*$K50*py*Index!AU49*Index!AU190/unit)</f>
        <v>41.968793646090205</v>
      </c>
      <c r="AW50" s="75">
        <f>IF(Index!AV96=1,0,$H50*$K50*py*Index!AV49*Index!AV190/unit)</f>
        <v>41.968793646090205</v>
      </c>
      <c r="AX50" s="75">
        <f>IF(Index!AW96=1,0,$H50*$K50*py*Index!AW49*Index!AW190/unit)</f>
        <v>41.968793646090205</v>
      </c>
      <c r="AY50" s="75">
        <f>IF(Index!AX96=1,0,$H50*$K50*py*Index!AX49*Index!AX190/unit)</f>
        <v>41.968793646090205</v>
      </c>
      <c r="AZ50" s="75">
        <f>IF(Index!AY96=1,0,$H50*$K50*py*Index!AY49*Index!AY190/unit)</f>
        <v>41.968793646090205</v>
      </c>
      <c r="BA50" s="75">
        <f>IF(Index!AZ96=1,0,$H50*$K50*py*Index!AZ49*Index!AZ190/unit)</f>
        <v>41.968793646090205</v>
      </c>
      <c r="BB50" s="75">
        <f>IF(Index!BA96=1,0,$H50*$K50*py*Index!BA49*Index!BA190/unit)</f>
        <v>41.968793646090205</v>
      </c>
      <c r="BC50" s="75">
        <f>IF(Index!BB96=1,0,$H50*$K50*py*Index!BB49*Index!BB190/unit)</f>
        <v>41.968793646090205</v>
      </c>
      <c r="BD50" s="75">
        <f>IF(Index!BC96=1,0,$H50*$K50*py*Index!BC49*Index!BC190/unit)</f>
        <v>41.968793646090205</v>
      </c>
      <c r="BE50" s="75">
        <f>IF(Index!BD96=1,0,$H50*$K50*py*Index!BD49*Index!BD190/unit)</f>
        <v>41.968793646090205</v>
      </c>
      <c r="BF50" s="75">
        <f>IF(Index!BE96=1,0,$H50*$K50*py*Index!BE49*Index!BE190/unit)</f>
        <v>43.227857455472908</v>
      </c>
      <c r="BG50" s="75">
        <f>IF(Index!BF96=1,0,$H50*$K50*py*Index!BF49*Index!BF190/unit)</f>
        <v>43.227857455472908</v>
      </c>
      <c r="BH50" s="75">
        <f>IF(Index!BG96=1,0,$H50*$K50*py*Index!BG49*Index!BG190/unit)</f>
        <v>43.227857455472908</v>
      </c>
      <c r="BI50" s="75">
        <f>IF(Index!BH96=1,0,$H50*$K50*py*Index!BH49*Index!BH190/unit)</f>
        <v>43.227857455472908</v>
      </c>
      <c r="BJ50" s="75">
        <f>IF(Index!BI96=1,0,$H50*$K50*py*Index!BI49*Index!BI190/unit)</f>
        <v>43.227857455472908</v>
      </c>
      <c r="BK50" s="75">
        <f>IF(Index!BJ96=1,0,$H50*$K50*py*Index!BJ49*Index!BJ190/unit)</f>
        <v>43.227857455472908</v>
      </c>
      <c r="BL50" s="75">
        <f>IF(Index!BK96=1,0,$H50*$K50*py*Index!BK49*Index!BK190/unit)</f>
        <v>43.227857455472908</v>
      </c>
      <c r="BM50" s="75">
        <f>IF(Index!BL96=1,0,$H50*$K50*py*Index!BL49*Index!BL190/unit)</f>
        <v>43.227857455472908</v>
      </c>
      <c r="BN50" s="75">
        <f>IF(Index!BM96=1,0,$H50*$K50*py*Index!BM49*Index!BM190/unit)</f>
        <v>43.227857455472908</v>
      </c>
      <c r="BO50" s="75">
        <f>IF(Index!BN96=1,0,$H50*$K50*py*Index!BN49*Index!BN190/unit)</f>
        <v>43.227857455472908</v>
      </c>
      <c r="BP50" s="75">
        <f>IF(Index!BO96=1,0,$H50*$K50*py*Index!BO49*Index!BO190/unit)</f>
        <v>43.227857455472908</v>
      </c>
      <c r="BQ50" s="75">
        <f>IF(Index!BP96=1,0,$H50*$K50*py*Index!BP49*Index!BP190/unit)</f>
        <v>43.227857455472908</v>
      </c>
      <c r="BR50" s="75">
        <f>IF(Index!BQ96=1,0,$H50*$K50*py*Index!BQ49*Index!BQ190/unit)</f>
        <v>44.524693179137095</v>
      </c>
      <c r="BS50" s="75">
        <f>IF(Index!BR96=1,0,$H50*$K50*py*Index!BR49*Index!BR190/unit)</f>
        <v>44.524693179137095</v>
      </c>
      <c r="BT50" s="75">
        <f>IF(Index!BS96=1,0,$H50*$K50*py*Index!BS49*Index!BS190/unit)</f>
        <v>44.524693179137095</v>
      </c>
      <c r="BU50" s="75">
        <f>IF(Index!BT96=1,0,$H50*$K50*py*Index!BT49*Index!BT190/unit)</f>
        <v>44.524693179137095</v>
      </c>
      <c r="BV50" s="75">
        <f>IF(Index!BU96=1,0,$H50*$K50*py*Index!BU49*Index!BU190/unit)</f>
        <v>44.524693179137095</v>
      </c>
      <c r="BW50" s="75">
        <f>IF(Index!BV96=1,0,$H50*$K50*py*Index!BV49*Index!BV190/unit)</f>
        <v>44.524693179137095</v>
      </c>
      <c r="BX50" s="75">
        <f>IF(Index!BW96=1,0,$H50*$K50*py*Index!BW49*Index!BW190/unit)</f>
        <v>44.524693179137095</v>
      </c>
      <c r="BY50" s="75">
        <f>IF(Index!BX96=1,0,$H50*$K50*py*Index!BX49*Index!BX190/unit)</f>
        <v>44.524693179137095</v>
      </c>
      <c r="BZ50" s="75">
        <f>IF(Index!BY96=1,0,$H50*$K50*py*Index!BY49*Index!BY190/unit)</f>
        <v>44.524693179137095</v>
      </c>
      <c r="CA50" s="75">
        <f>IF(Index!BZ96=1,0,$H50*$K50*py*Index!BZ49*Index!BZ190/unit)</f>
        <v>44.524693179137095</v>
      </c>
      <c r="CB50" s="75">
        <f>IF(Index!CA96=1,0,$H50*$K50*py*Index!CA49*Index!CA190/unit)</f>
        <v>0</v>
      </c>
      <c r="CC50" s="75">
        <f>IF(Index!CB96=1,0,$H50*$K50*py*Index!CB49*Index!CB190/unit)</f>
        <v>0</v>
      </c>
      <c r="CD50" s="75">
        <f>IF(Index!CC96=1,0,$H50*$K50*py*Index!CC49*Index!CC190/unit)</f>
        <v>0</v>
      </c>
      <c r="CE50" s="75">
        <f>IF(Index!CD96=1,0,$H50*$K50*py*Index!CD49*Index!CD190/unit)</f>
        <v>0</v>
      </c>
      <c r="CF50" s="75">
        <f>IF(Index!CE96=1,0,$H50*$K50*py*Index!CE49*Index!CE190/unit)</f>
        <v>0</v>
      </c>
      <c r="CG50" s="75">
        <f>IF(Index!CF96=1,0,$H50*$K50*py*Index!CF49*Index!CF190/unit)</f>
        <v>0</v>
      </c>
      <c r="CH50" s="75">
        <f>IF(Index!CG96=1,0,$H50*$K50*py*Index!CG49*Index!CG190/unit)</f>
        <v>0</v>
      </c>
      <c r="CI50" s="75">
        <f>IF(Index!CH96=1,0,$H50*$K50*py*Index!CH49*Index!CH190/unit)</f>
        <v>0</v>
      </c>
      <c r="CJ50" s="75">
        <f>IF(Index!CI96=1,0,$H50*$K50*py*Index!CI49*Index!CI190/unit)</f>
        <v>0</v>
      </c>
      <c r="CK50" s="75">
        <f>IF(Index!CJ96=1,0,$H50*$K50*py*Index!CJ49*Index!CJ190/unit)</f>
        <v>0</v>
      </c>
      <c r="CL50" s="75">
        <f>IF(Index!CK96=1,0,$H50*$K50*py*Index!CK49*Index!CK190/unit)</f>
        <v>0</v>
      </c>
      <c r="CM50" s="75">
        <f>IF(Index!CL96=1,0,$H50*$K50*py*Index!CL49*Index!CL190/unit)</f>
        <v>0</v>
      </c>
      <c r="CN50" s="75">
        <f>IF(Index!CM96=1,0,$H50*$K50*py*Index!CM49*Index!CM190/unit)</f>
        <v>0</v>
      </c>
      <c r="CO50" s="75">
        <f>IF(Index!CN96=1,0,$H50*$K50*py*Index!CN49*Index!CN190/unit)</f>
        <v>0</v>
      </c>
      <c r="CP50" s="75">
        <f>IF(Index!CO96=1,0,$H50*$K50*py*Index!CO49*Index!CO190/unit)</f>
        <v>0</v>
      </c>
      <c r="CQ50" s="75">
        <f>IF(Index!CP96=1,0,$H50*$K50*py*Index!CP49*Index!CP190/unit)</f>
        <v>0</v>
      </c>
      <c r="CR50" s="75">
        <f>IF(Index!CQ96=1,0,$H50*$K50*py*Index!CQ49*Index!CQ190/unit)</f>
        <v>0</v>
      </c>
      <c r="CS50" s="75">
        <f>IF(Index!CR96=1,0,$H50*$K50*py*Index!CR49*Index!CR190/unit)</f>
        <v>0</v>
      </c>
      <c r="CT50" s="75">
        <f>IF(Index!CS96=1,0,$H50*$K50*py*Index!CS49*Index!CS190/unit)</f>
        <v>0</v>
      </c>
      <c r="CU50" s="75">
        <f>IF(Index!CT96=1,0,$H50*$K50*py*Index!CT49*Index!CT190/unit)</f>
        <v>0</v>
      </c>
      <c r="CV50" s="75">
        <f>IF(Index!CU96=1,0,$H50*$K50*py*Index!CU49*Index!CU190/unit)</f>
        <v>0</v>
      </c>
      <c r="CW50" s="75">
        <f>IF(Index!CV96=1,0,$H50*$K50*py*Index!CV49*Index!CV190/unit)</f>
        <v>0</v>
      </c>
      <c r="CX50" s="75">
        <f>IF(Index!CW96=1,0,$H50*$K50*py*Index!CW49*Index!CW190/unit)</f>
        <v>0</v>
      </c>
      <c r="CY50" s="75">
        <f>IF(Index!CX96=1,0,$H50*$K50*py*Index!CX49*Index!CX190/unit)</f>
        <v>0</v>
      </c>
      <c r="CZ50" s="75">
        <f>IF(Index!CY96=1,0,$H50*$K50*py*Index!CY49*Index!CY190/unit)</f>
        <v>0</v>
      </c>
      <c r="DA50" s="75">
        <f>IF(Index!CZ96=1,0,$H50*$K50*py*Index!CZ49*Index!CZ190/unit)</f>
        <v>0</v>
      </c>
      <c r="DB50" s="75">
        <f>IF(Index!DA96=1,0,$H50*$K50*py*Index!DA49*Index!DA190/unit)</f>
        <v>0</v>
      </c>
      <c r="DC50" s="75">
        <f>IF(Index!DB96=1,0,$H50*$K50*py*Index!DB49*Index!DB190/unit)</f>
        <v>0</v>
      </c>
      <c r="DD50" s="75">
        <f>IF(Index!DC96=1,0,$H50*$K50*py*Index!DC49*Index!DC190/unit)</f>
        <v>0</v>
      </c>
      <c r="DE50" s="75">
        <f>IF(Index!DD96=1,0,$H50*$K50*py*Index!DD49*Index!DD190/unit)</f>
        <v>0</v>
      </c>
      <c r="DF50" s="75">
        <f>IF(Index!DE96=1,0,$H50*$K50*py*Index!DE49*Index!DE190/unit)</f>
        <v>0</v>
      </c>
      <c r="DG50" s="75">
        <f>IF(Index!DF96=1,0,$H50*$K50*py*Index!DF49*Index!DF190/unit)</f>
        <v>0</v>
      </c>
      <c r="DH50" s="75">
        <f>IF(Index!DG96=1,0,$H50*$K50*py*Index!DG49*Index!DG190/unit)</f>
        <v>0</v>
      </c>
      <c r="DI50" s="75">
        <f>IF(Index!DH96=1,0,$H50*$K50*py*Index!DH49*Index!DH190/unit)</f>
        <v>0</v>
      </c>
      <c r="DJ50" s="75">
        <f>IF(Index!DI96=1,0,$H50*$K50*py*Index!DI49*Index!DI190/unit)</f>
        <v>0</v>
      </c>
      <c r="DK50" s="75">
        <f>IF(Index!DJ96=1,0,$H50*$K50*py*Index!DJ49*Index!DJ190/unit)</f>
        <v>0</v>
      </c>
      <c r="DL50" s="75">
        <f>IF(Index!DK96=1,0,$H50*$K50*py*Index!DK49*Index!DK190/unit)</f>
        <v>0</v>
      </c>
      <c r="DM50" s="75">
        <f>IF(Index!DL96=1,0,$H50*$K50*py*Index!DL49*Index!DL190/unit)</f>
        <v>0</v>
      </c>
    </row>
    <row r="51" spans="2:117">
      <c r="B51" s="27">
        <f>Rentroll!$C$48</f>
        <v>6</v>
      </c>
      <c r="C51" s="69" t="str">
        <f>VLOOKUP($B51,Rentroll!$C$37:$Z$60,3,FALSE)</f>
        <v>오케스트로</v>
      </c>
      <c r="D51" s="80">
        <f>VLOOKUP($B51,Rentroll!$C$37:$Z$60,9,FALSE)</f>
        <v>46477</v>
      </c>
      <c r="E51" s="80">
        <f>VLOOKUP($B51,Rentroll!$C$37:$Z$60,10,FALSE)</f>
        <v>48304</v>
      </c>
      <c r="F51" s="81">
        <f>VLOOKUP($B51,Rentroll!$C$37:$Z$60,11,FALSE)</f>
        <v>60</v>
      </c>
      <c r="G51" s="69">
        <f>VLOOKUP($B51,Rentroll!$C$37:$Z$60,13,FALSE)</f>
        <v>109272.7</v>
      </c>
      <c r="H51" s="69">
        <f>VLOOKUP($B51,Rentroll!$C$37:$Z$60,14,FALSE)</f>
        <v>100166.64166666666</v>
      </c>
      <c r="I51" s="69">
        <f>VLOOKUP($B51,Rentroll!$C$37:$Z$60,15,FALSE)</f>
        <v>47740.5</v>
      </c>
      <c r="J51" s="82">
        <f>VLOOKUP($B51,Rentroll!$C$37:$Z$60,19,FALSE)</f>
        <v>0.03</v>
      </c>
      <c r="K51" s="83">
        <f>VLOOKUP($B51,Rentroll!$C$37:$Z$60,4,FALSE)</f>
        <v>1385.09</v>
      </c>
      <c r="L51" s="81">
        <f>VLOOKUP($B51,Rentroll!$C$37:$Z$60,17,FALSE)</f>
        <v>1</v>
      </c>
      <c r="M51" s="84">
        <f>VLOOKUP($B51,Rentroll!$C$37:$Z$60,18,FALSE)</f>
        <v>1</v>
      </c>
      <c r="O51" s="74">
        <f t="shared" si="16"/>
        <v>6</v>
      </c>
      <c r="P51" s="75"/>
      <c r="Q51" s="75">
        <f t="shared" si="13"/>
        <v>1425.6379513640377</v>
      </c>
      <c r="R51" s="75"/>
      <c r="S51" s="75">
        <f>IF(Index!R97=1,0,$H51*$K51*py*Index!R50*Index!R191/unit)</f>
        <v>0</v>
      </c>
      <c r="T51" s="75">
        <f>IF(Index!S97=1,0,$H51*$K51*py*Index!S50*Index!S191/unit)</f>
        <v>0</v>
      </c>
      <c r="U51" s="75">
        <f>IF(Index!T97=1,0,$H51*$K51*py*Index!T50*Index!T191/unit)</f>
        <v>0</v>
      </c>
      <c r="V51" s="75">
        <f>IF(Index!U97=1,0,$H51*$K51*py*Index!U50*Index!U191/unit)</f>
        <v>0</v>
      </c>
      <c r="W51" s="75">
        <f>IF(Index!V97=1,0,$H51*$K51*py*Index!V50*Index!V191/unit)</f>
        <v>0</v>
      </c>
      <c r="X51" s="75">
        <f>IF(Index!W97=1,0,$H51*$K51*py*Index!W50*Index!W191/unit)</f>
        <v>0</v>
      </c>
      <c r="Y51" s="75">
        <f>IF(Index!X97=1,0,$H51*$K51*py*Index!X50*Index!X191/unit)</f>
        <v>0</v>
      </c>
      <c r="Z51" s="75">
        <f>IF(Index!Y97=1,0,$H51*$K51*py*Index!Y50*Index!Y191/unit)</f>
        <v>0</v>
      </c>
      <c r="AA51" s="75">
        <f>IF(Index!Z97=1,0,$H51*$K51*py*Index!Z50*Index!Z191/unit)</f>
        <v>0</v>
      </c>
      <c r="AB51" s="75">
        <f>IF(Index!AA97=1,0,$H51*$K51*py*Index!AA50*Index!AA191/unit)</f>
        <v>0</v>
      </c>
      <c r="AC51" s="75">
        <f>IF(Index!AB97=1,0,$H51*$K51*py*Index!AB50*Index!AB191/unit)</f>
        <v>0</v>
      </c>
      <c r="AD51" s="75">
        <f>IF(Index!AC97=1,0,$H51*$K51*py*Index!AC50*Index!AC191/unit)</f>
        <v>0</v>
      </c>
      <c r="AE51" s="75">
        <f>IF(Index!AD97=1,0,$H51*$K51*py*Index!AD50*Index!AD191/unit)</f>
        <v>0</v>
      </c>
      <c r="AF51" s="75">
        <f>IF(Index!AE97=1,0,$H51*$K51*py*Index!AE50*Index!AE191/unit)</f>
        <v>0</v>
      </c>
      <c r="AG51" s="75">
        <f>IF(Index!AF97=1,0,$H51*$K51*py*Index!AF50*Index!AF191/unit)</f>
        <v>0</v>
      </c>
      <c r="AH51" s="75">
        <f>IF(Index!AG97=1,0,$H51*$K51*py*Index!AG50*Index!AG191/unit)</f>
        <v>0</v>
      </c>
      <c r="AI51" s="75">
        <f>IF(Index!AH97=1,0,$H51*$K51*py*Index!AH50*Index!AH191/unit)</f>
        <v>0</v>
      </c>
      <c r="AJ51" s="75">
        <f>IF(Index!AI97=1,0,$H51*$K51*py*Index!AI50*Index!AI191/unit)</f>
        <v>0</v>
      </c>
      <c r="AK51" s="75">
        <f>IF(Index!AJ97=1,0,$H51*$K51*py*Index!AJ50*Index!AJ191/unit)</f>
        <v>0</v>
      </c>
      <c r="AL51" s="75">
        <f>IF(Index!AK97=1,0,$H51*$K51*py*Index!AK50*Index!AK191/unit)</f>
        <v>0</v>
      </c>
      <c r="AM51" s="75">
        <f>IF(Index!AL97=1,0,$H51*$K51*py*Index!AL50*Index!AL191/unit)</f>
        <v>0</v>
      </c>
      <c r="AN51" s="75">
        <f>IF(Index!AM97=1,0,$H51*$K51*py*Index!AM50*Index!AM191/unit)</f>
        <v>0</v>
      </c>
      <c r="AO51" s="75">
        <f>IF(Index!AN97=1,0,$H51*$K51*py*Index!AN50*Index!AN191/unit)</f>
        <v>0</v>
      </c>
      <c r="AP51" s="75">
        <f>IF(Index!AO97=1,0,$H51*$K51*py*Index!AO50*Index!AO191/unit)</f>
        <v>0</v>
      </c>
      <c r="AQ51" s="75">
        <f>IF(Index!AP97=1,0,$H51*$K51*py*Index!AP50*Index!AP191/unit)</f>
        <v>0</v>
      </c>
      <c r="AR51" s="75">
        <f>IF(Index!AQ97=1,0,$H51*$K51*py*Index!AQ50*Index!AQ191/unit)</f>
        <v>0</v>
      </c>
      <c r="AS51" s="75">
        <f>IF(Index!AR97=1,0,$H51*$K51*py*Index!AR50*Index!AR191/unit)</f>
        <v>0</v>
      </c>
      <c r="AT51" s="75">
        <f>IF(Index!AS97=1,0,$H51*$K51*py*Index!AS50*Index!AS191/unit)</f>
        <v>0</v>
      </c>
      <c r="AU51" s="75">
        <f>IF(Index!AT97=1,0,$H51*$K51*py*Index!AT50*Index!AT191/unit)</f>
        <v>41.968793646090205</v>
      </c>
      <c r="AV51" s="75">
        <f>IF(Index!AU97=1,0,$H51*$K51*py*Index!AU50*Index!AU191/unit)</f>
        <v>41.968793646090205</v>
      </c>
      <c r="AW51" s="75">
        <f>IF(Index!AV97=1,0,$H51*$K51*py*Index!AV50*Index!AV191/unit)</f>
        <v>41.968793646090205</v>
      </c>
      <c r="AX51" s="75">
        <f>IF(Index!AW97=1,0,$H51*$K51*py*Index!AW50*Index!AW191/unit)</f>
        <v>41.968793646090205</v>
      </c>
      <c r="AY51" s="75">
        <f>IF(Index!AX97=1,0,$H51*$K51*py*Index!AX50*Index!AX191/unit)</f>
        <v>41.968793646090205</v>
      </c>
      <c r="AZ51" s="75">
        <f>IF(Index!AY97=1,0,$H51*$K51*py*Index!AY50*Index!AY191/unit)</f>
        <v>41.968793646090205</v>
      </c>
      <c r="BA51" s="75">
        <f>IF(Index!AZ97=1,0,$H51*$K51*py*Index!AZ50*Index!AZ191/unit)</f>
        <v>41.968793646090205</v>
      </c>
      <c r="BB51" s="75">
        <f>IF(Index!BA97=1,0,$H51*$K51*py*Index!BA50*Index!BA191/unit)</f>
        <v>41.968793646090205</v>
      </c>
      <c r="BC51" s="75">
        <f>IF(Index!BB97=1,0,$H51*$K51*py*Index!BB50*Index!BB191/unit)</f>
        <v>41.968793646090205</v>
      </c>
      <c r="BD51" s="75">
        <f>IF(Index!BC97=1,0,$H51*$K51*py*Index!BC50*Index!BC191/unit)</f>
        <v>41.968793646090205</v>
      </c>
      <c r="BE51" s="75">
        <f>IF(Index!BD97=1,0,$H51*$K51*py*Index!BD50*Index!BD191/unit)</f>
        <v>41.968793646090205</v>
      </c>
      <c r="BF51" s="75">
        <f>IF(Index!BE97=1,0,$H51*$K51*py*Index!BE50*Index!BE191/unit)</f>
        <v>43.227857455472908</v>
      </c>
      <c r="BG51" s="75">
        <f>IF(Index!BF97=1,0,$H51*$K51*py*Index!BF50*Index!BF191/unit)</f>
        <v>43.227857455472908</v>
      </c>
      <c r="BH51" s="75">
        <f>IF(Index!BG97=1,0,$H51*$K51*py*Index!BG50*Index!BG191/unit)</f>
        <v>43.227857455472908</v>
      </c>
      <c r="BI51" s="75">
        <f>IF(Index!BH97=1,0,$H51*$K51*py*Index!BH50*Index!BH191/unit)</f>
        <v>43.227857455472908</v>
      </c>
      <c r="BJ51" s="75">
        <f>IF(Index!BI97=1,0,$H51*$K51*py*Index!BI50*Index!BI191/unit)</f>
        <v>43.227857455472908</v>
      </c>
      <c r="BK51" s="75">
        <f>IF(Index!BJ97=1,0,$H51*$K51*py*Index!BJ50*Index!BJ191/unit)</f>
        <v>43.227857455472908</v>
      </c>
      <c r="BL51" s="75">
        <f>IF(Index!BK97=1,0,$H51*$K51*py*Index!BK50*Index!BK191/unit)</f>
        <v>43.227857455472908</v>
      </c>
      <c r="BM51" s="75">
        <f>IF(Index!BL97=1,0,$H51*$K51*py*Index!BL50*Index!BL191/unit)</f>
        <v>43.227857455472908</v>
      </c>
      <c r="BN51" s="75">
        <f>IF(Index!BM97=1,0,$H51*$K51*py*Index!BM50*Index!BM191/unit)</f>
        <v>43.227857455472908</v>
      </c>
      <c r="BO51" s="75">
        <f>IF(Index!BN97=1,0,$H51*$K51*py*Index!BN50*Index!BN191/unit)</f>
        <v>43.227857455472908</v>
      </c>
      <c r="BP51" s="75">
        <f>IF(Index!BO97=1,0,$H51*$K51*py*Index!BO50*Index!BO191/unit)</f>
        <v>43.227857455472908</v>
      </c>
      <c r="BQ51" s="75">
        <f>IF(Index!BP97=1,0,$H51*$K51*py*Index!BP50*Index!BP191/unit)</f>
        <v>43.227857455472908</v>
      </c>
      <c r="BR51" s="75">
        <f>IF(Index!BQ97=1,0,$H51*$K51*py*Index!BQ50*Index!BQ191/unit)</f>
        <v>44.524693179137095</v>
      </c>
      <c r="BS51" s="75">
        <f>IF(Index!BR97=1,0,$H51*$K51*py*Index!BR50*Index!BR191/unit)</f>
        <v>44.524693179137095</v>
      </c>
      <c r="BT51" s="75">
        <f>IF(Index!BS97=1,0,$H51*$K51*py*Index!BS50*Index!BS191/unit)</f>
        <v>44.524693179137095</v>
      </c>
      <c r="BU51" s="75">
        <f>IF(Index!BT97=1,0,$H51*$K51*py*Index!BT50*Index!BT191/unit)</f>
        <v>44.524693179137095</v>
      </c>
      <c r="BV51" s="75">
        <f>IF(Index!BU97=1,0,$H51*$K51*py*Index!BU50*Index!BU191/unit)</f>
        <v>44.524693179137095</v>
      </c>
      <c r="BW51" s="75">
        <f>IF(Index!BV97=1,0,$H51*$K51*py*Index!BV50*Index!BV191/unit)</f>
        <v>44.524693179137095</v>
      </c>
      <c r="BX51" s="75">
        <f>IF(Index!BW97=1,0,$H51*$K51*py*Index!BW50*Index!BW191/unit)</f>
        <v>44.524693179137095</v>
      </c>
      <c r="BY51" s="75">
        <f>IF(Index!BX97=1,0,$H51*$K51*py*Index!BX50*Index!BX191/unit)</f>
        <v>44.524693179137095</v>
      </c>
      <c r="BZ51" s="75">
        <f>IF(Index!BY97=1,0,$H51*$K51*py*Index!BY50*Index!BY191/unit)</f>
        <v>44.524693179137095</v>
      </c>
      <c r="CA51" s="75">
        <f>IF(Index!BZ97=1,0,$H51*$K51*py*Index!BZ50*Index!BZ191/unit)</f>
        <v>44.524693179137095</v>
      </c>
      <c r="CB51" s="75">
        <f>IF(Index!CA97=1,0,$H51*$K51*py*Index!CA50*Index!CA191/unit)</f>
        <v>0</v>
      </c>
      <c r="CC51" s="75">
        <f>IF(Index!CB97=1,0,$H51*$K51*py*Index!CB50*Index!CB191/unit)</f>
        <v>0</v>
      </c>
      <c r="CD51" s="75">
        <f>IF(Index!CC97=1,0,$H51*$K51*py*Index!CC50*Index!CC191/unit)</f>
        <v>0</v>
      </c>
      <c r="CE51" s="75">
        <f>IF(Index!CD97=1,0,$H51*$K51*py*Index!CD50*Index!CD191/unit)</f>
        <v>0</v>
      </c>
      <c r="CF51" s="75">
        <f>IF(Index!CE97=1,0,$H51*$K51*py*Index!CE50*Index!CE191/unit)</f>
        <v>0</v>
      </c>
      <c r="CG51" s="75">
        <f>IF(Index!CF97=1,0,$H51*$K51*py*Index!CF50*Index!CF191/unit)</f>
        <v>0</v>
      </c>
      <c r="CH51" s="75">
        <f>IF(Index!CG97=1,0,$H51*$K51*py*Index!CG50*Index!CG191/unit)</f>
        <v>0</v>
      </c>
      <c r="CI51" s="75">
        <f>IF(Index!CH97=1,0,$H51*$K51*py*Index!CH50*Index!CH191/unit)</f>
        <v>0</v>
      </c>
      <c r="CJ51" s="75">
        <f>IF(Index!CI97=1,0,$H51*$K51*py*Index!CI50*Index!CI191/unit)</f>
        <v>0</v>
      </c>
      <c r="CK51" s="75">
        <f>IF(Index!CJ97=1,0,$H51*$K51*py*Index!CJ50*Index!CJ191/unit)</f>
        <v>0</v>
      </c>
      <c r="CL51" s="75">
        <f>IF(Index!CK97=1,0,$H51*$K51*py*Index!CK50*Index!CK191/unit)</f>
        <v>0</v>
      </c>
      <c r="CM51" s="75">
        <f>IF(Index!CL97=1,0,$H51*$K51*py*Index!CL50*Index!CL191/unit)</f>
        <v>0</v>
      </c>
      <c r="CN51" s="75">
        <f>IF(Index!CM97=1,0,$H51*$K51*py*Index!CM50*Index!CM191/unit)</f>
        <v>0</v>
      </c>
      <c r="CO51" s="75">
        <f>IF(Index!CN97=1,0,$H51*$K51*py*Index!CN50*Index!CN191/unit)</f>
        <v>0</v>
      </c>
      <c r="CP51" s="75">
        <f>IF(Index!CO97=1,0,$H51*$K51*py*Index!CO50*Index!CO191/unit)</f>
        <v>0</v>
      </c>
      <c r="CQ51" s="75">
        <f>IF(Index!CP97=1,0,$H51*$K51*py*Index!CP50*Index!CP191/unit)</f>
        <v>0</v>
      </c>
      <c r="CR51" s="75">
        <f>IF(Index!CQ97=1,0,$H51*$K51*py*Index!CQ50*Index!CQ191/unit)</f>
        <v>0</v>
      </c>
      <c r="CS51" s="75">
        <f>IF(Index!CR97=1,0,$H51*$K51*py*Index!CR50*Index!CR191/unit)</f>
        <v>0</v>
      </c>
      <c r="CT51" s="75">
        <f>IF(Index!CS97=1,0,$H51*$K51*py*Index!CS50*Index!CS191/unit)</f>
        <v>0</v>
      </c>
      <c r="CU51" s="75">
        <f>IF(Index!CT97=1,0,$H51*$K51*py*Index!CT50*Index!CT191/unit)</f>
        <v>0</v>
      </c>
      <c r="CV51" s="75">
        <f>IF(Index!CU97=1,0,$H51*$K51*py*Index!CU50*Index!CU191/unit)</f>
        <v>0</v>
      </c>
      <c r="CW51" s="75">
        <f>IF(Index!CV97=1,0,$H51*$K51*py*Index!CV50*Index!CV191/unit)</f>
        <v>0</v>
      </c>
      <c r="CX51" s="75">
        <f>IF(Index!CW97=1,0,$H51*$K51*py*Index!CW50*Index!CW191/unit)</f>
        <v>0</v>
      </c>
      <c r="CY51" s="75">
        <f>IF(Index!CX97=1,0,$H51*$K51*py*Index!CX50*Index!CX191/unit)</f>
        <v>0</v>
      </c>
      <c r="CZ51" s="75">
        <f>IF(Index!CY97=1,0,$H51*$K51*py*Index!CY50*Index!CY191/unit)</f>
        <v>0</v>
      </c>
      <c r="DA51" s="75">
        <f>IF(Index!CZ97=1,0,$H51*$K51*py*Index!CZ50*Index!CZ191/unit)</f>
        <v>0</v>
      </c>
      <c r="DB51" s="75">
        <f>IF(Index!DA97=1,0,$H51*$K51*py*Index!DA50*Index!DA191/unit)</f>
        <v>0</v>
      </c>
      <c r="DC51" s="75">
        <f>IF(Index!DB97=1,0,$H51*$K51*py*Index!DB50*Index!DB191/unit)</f>
        <v>0</v>
      </c>
      <c r="DD51" s="75">
        <f>IF(Index!DC97=1,0,$H51*$K51*py*Index!DC50*Index!DC191/unit)</f>
        <v>0</v>
      </c>
      <c r="DE51" s="75">
        <f>IF(Index!DD97=1,0,$H51*$K51*py*Index!DD50*Index!DD191/unit)</f>
        <v>0</v>
      </c>
      <c r="DF51" s="75">
        <f>IF(Index!DE97=1,0,$H51*$K51*py*Index!DE50*Index!DE191/unit)</f>
        <v>0</v>
      </c>
      <c r="DG51" s="75">
        <f>IF(Index!DF97=1,0,$H51*$K51*py*Index!DF50*Index!DF191/unit)</f>
        <v>0</v>
      </c>
      <c r="DH51" s="75">
        <f>IF(Index!DG97=1,0,$H51*$K51*py*Index!DG50*Index!DG191/unit)</f>
        <v>0</v>
      </c>
      <c r="DI51" s="75">
        <f>IF(Index!DH97=1,0,$H51*$K51*py*Index!DH50*Index!DH191/unit)</f>
        <v>0</v>
      </c>
      <c r="DJ51" s="75">
        <f>IF(Index!DI97=1,0,$H51*$K51*py*Index!DI50*Index!DI191/unit)</f>
        <v>0</v>
      </c>
      <c r="DK51" s="75">
        <f>IF(Index!DJ97=1,0,$H51*$K51*py*Index!DJ50*Index!DJ191/unit)</f>
        <v>0</v>
      </c>
      <c r="DL51" s="75">
        <f>IF(Index!DK97=1,0,$H51*$K51*py*Index!DK50*Index!DK191/unit)</f>
        <v>0</v>
      </c>
      <c r="DM51" s="75">
        <f>IF(Index!DL97=1,0,$H51*$K51*py*Index!DL50*Index!DL191/unit)</f>
        <v>0</v>
      </c>
    </row>
    <row r="52" spans="2:117">
      <c r="B52" s="27">
        <f>Rentroll!$C$49</f>
        <v>5</v>
      </c>
      <c r="C52" s="69" t="str">
        <f>VLOOKUP($B52,Rentroll!$C$37:$Z$60,3,FALSE)</f>
        <v>타이거로켓</v>
      </c>
      <c r="D52" s="80">
        <f>VLOOKUP($B52,Rentroll!$C$37:$Z$60,9,FALSE)</f>
        <v>45688</v>
      </c>
      <c r="E52" s="80">
        <f>VLOOKUP($B52,Rentroll!$C$37:$Z$60,10,FALSE)</f>
        <v>47514</v>
      </c>
      <c r="F52" s="81">
        <f>VLOOKUP($B52,Rentroll!$C$37:$Z$60,11,FALSE)</f>
        <v>60</v>
      </c>
      <c r="G52" s="69">
        <f>VLOOKUP($B52,Rentroll!$C$37:$Z$60,13,FALSE)</f>
        <v>103000</v>
      </c>
      <c r="H52" s="69">
        <f>VLOOKUP($B52,Rentroll!$C$37:$Z$60,14,FALSE)</f>
        <v>90125</v>
      </c>
      <c r="I52" s="69">
        <f>VLOOKUP($B52,Rentroll!$C$37:$Z$60,15,FALSE)</f>
        <v>45000</v>
      </c>
      <c r="J52" s="82">
        <f>VLOOKUP($B52,Rentroll!$C$37:$Z$60,19,FALSE)</f>
        <v>0.03</v>
      </c>
      <c r="K52" s="83">
        <f>VLOOKUP($B52,Rentroll!$C$37:$Z$60,4,FALSE)</f>
        <v>1385.09</v>
      </c>
      <c r="L52" s="81">
        <f>VLOOKUP($B52,Rentroll!$C$37:$Z$60,17,FALSE)</f>
        <v>1</v>
      </c>
      <c r="M52" s="84">
        <f>VLOOKUP($B52,Rentroll!$C$37:$Z$60,18,FALSE)</f>
        <v>1.5</v>
      </c>
      <c r="O52" s="74">
        <f t="shared" si="16"/>
        <v>5</v>
      </c>
      <c r="P52" s="75"/>
      <c r="Q52" s="75">
        <f t="shared" si="13"/>
        <v>2368.0064823250218</v>
      </c>
      <c r="R52" s="75"/>
      <c r="S52" s="75">
        <f>IF(Index!R98=1,0,$H52*$K52*py*Index!R51*Index!R192/unit)</f>
        <v>0</v>
      </c>
      <c r="T52" s="75">
        <f>IF(Index!S98=1,0,$H52*$K52*py*Index!S51*Index!S192/unit)</f>
        <v>0</v>
      </c>
      <c r="U52" s="75">
        <f>IF(Index!T98=1,0,$H52*$K52*py*Index!T51*Index!T192/unit)</f>
        <v>37.761448965624993</v>
      </c>
      <c r="V52" s="75">
        <f>IF(Index!U98=1,0,$H52*$K52*py*Index!U51*Index!U192/unit)</f>
        <v>37.761448965624993</v>
      </c>
      <c r="W52" s="75">
        <f>IF(Index!V98=1,0,$H52*$K52*py*Index!V51*Index!V192/unit)</f>
        <v>37.761448965624993</v>
      </c>
      <c r="X52" s="75">
        <f>IF(Index!W98=1,0,$H52*$K52*py*Index!W51*Index!W192/unit)</f>
        <v>37.761448965624993</v>
      </c>
      <c r="Y52" s="75">
        <f>IF(Index!X98=1,0,$H52*$K52*py*Index!X51*Index!X192/unit)</f>
        <v>37.761448965624993</v>
      </c>
      <c r="Z52" s="75">
        <f>IF(Index!Y98=1,0,$H52*$K52*py*Index!Y51*Index!Y192/unit)</f>
        <v>37.761448965624993</v>
      </c>
      <c r="AA52" s="75">
        <f>IF(Index!Z98=1,0,$H52*$K52*py*Index!Z51*Index!Z192/unit)</f>
        <v>37.761448965624993</v>
      </c>
      <c r="AB52" s="75">
        <f>IF(Index!AA98=1,0,$H52*$K52*py*Index!AA51*Index!AA192/unit)</f>
        <v>37.761448965624993</v>
      </c>
      <c r="AC52" s="75">
        <f>IF(Index!AB98=1,0,$H52*$K52*py*Index!AB51*Index!AB192/unit)</f>
        <v>37.761448965624993</v>
      </c>
      <c r="AD52" s="75">
        <f>IF(Index!AC98=1,0,$H52*$K52*py*Index!AC51*Index!AC192/unit)</f>
        <v>37.761448965624993</v>
      </c>
      <c r="AE52" s="75">
        <f>IF(Index!AD98=1,0,$H52*$K52*py*Index!AD51*Index!AD192/unit)</f>
        <v>37.761448965624993</v>
      </c>
      <c r="AF52" s="75">
        <f>IF(Index!AE98=1,0,$H52*$K52*py*Index!AE51*Index!AE192/unit)</f>
        <v>38.894292434593744</v>
      </c>
      <c r="AG52" s="75">
        <f>IF(Index!AF98=1,0,$H52*$K52*py*Index!AF51*Index!AF192/unit)</f>
        <v>38.894292434593744</v>
      </c>
      <c r="AH52" s="75">
        <f>IF(Index!AG98=1,0,$H52*$K52*py*Index!AG51*Index!AG192/unit)</f>
        <v>38.894292434593744</v>
      </c>
      <c r="AI52" s="75">
        <f>IF(Index!AH98=1,0,$H52*$K52*py*Index!AH51*Index!AH192/unit)</f>
        <v>38.894292434593744</v>
      </c>
      <c r="AJ52" s="75">
        <f>IF(Index!AI98=1,0,$H52*$K52*py*Index!AI51*Index!AI192/unit)</f>
        <v>38.894292434593744</v>
      </c>
      <c r="AK52" s="75">
        <f>IF(Index!AJ98=1,0,$H52*$K52*py*Index!AJ51*Index!AJ192/unit)</f>
        <v>38.894292434593744</v>
      </c>
      <c r="AL52" s="75">
        <f>IF(Index!AK98=1,0,$H52*$K52*py*Index!AK51*Index!AK192/unit)</f>
        <v>38.894292434593744</v>
      </c>
      <c r="AM52" s="75">
        <f>IF(Index!AL98=1,0,$H52*$K52*py*Index!AL51*Index!AL192/unit)</f>
        <v>38.894292434593744</v>
      </c>
      <c r="AN52" s="75">
        <f>IF(Index!AM98=1,0,$H52*$K52*py*Index!AM51*Index!AM192/unit)</f>
        <v>38.894292434593744</v>
      </c>
      <c r="AO52" s="75">
        <f>IF(Index!AN98=1,0,$H52*$K52*py*Index!AN51*Index!AN192/unit)</f>
        <v>38.894292434593744</v>
      </c>
      <c r="AP52" s="75">
        <f>IF(Index!AO98=1,0,$H52*$K52*py*Index!AO51*Index!AO192/unit)</f>
        <v>38.894292434593744</v>
      </c>
      <c r="AQ52" s="75">
        <f>IF(Index!AP98=1,0,$H52*$K52*py*Index!AP51*Index!AP192/unit)</f>
        <v>38.894292434593744</v>
      </c>
      <c r="AR52" s="75">
        <f>IF(Index!AQ98=1,0,$H52*$K52*py*Index!AQ51*Index!AQ192/unit)</f>
        <v>40.061121207631558</v>
      </c>
      <c r="AS52" s="75">
        <f>IF(Index!AR98=1,0,$H52*$K52*py*Index!AR51*Index!AR192/unit)</f>
        <v>40.061121207631558</v>
      </c>
      <c r="AT52" s="75">
        <f>IF(Index!AS98=1,0,$H52*$K52*py*Index!AS51*Index!AS192/unit)</f>
        <v>40.061121207631558</v>
      </c>
      <c r="AU52" s="75">
        <f>IF(Index!AT98=1,0,$H52*$K52*py*Index!AT51*Index!AT192/unit)</f>
        <v>40.061121207631558</v>
      </c>
      <c r="AV52" s="75">
        <f>IF(Index!AU98=1,0,$H52*$K52*py*Index!AU51*Index!AU192/unit)</f>
        <v>40.061121207631558</v>
      </c>
      <c r="AW52" s="75">
        <f>IF(Index!AV98=1,0,$H52*$K52*py*Index!AV51*Index!AV192/unit)</f>
        <v>40.061121207631558</v>
      </c>
      <c r="AX52" s="75">
        <f>IF(Index!AW98=1,0,$H52*$K52*py*Index!AW51*Index!AW192/unit)</f>
        <v>40.061121207631558</v>
      </c>
      <c r="AY52" s="75">
        <f>IF(Index!AX98=1,0,$H52*$K52*py*Index!AX51*Index!AX192/unit)</f>
        <v>40.061121207631558</v>
      </c>
      <c r="AZ52" s="75">
        <f>IF(Index!AY98=1,0,$H52*$K52*py*Index!AY51*Index!AY192/unit)</f>
        <v>40.061121207631558</v>
      </c>
      <c r="BA52" s="75">
        <f>IF(Index!AZ98=1,0,$H52*$K52*py*Index!AZ51*Index!AZ192/unit)</f>
        <v>40.061121207631558</v>
      </c>
      <c r="BB52" s="75">
        <f>IF(Index!BA98=1,0,$H52*$K52*py*Index!BA51*Index!BA192/unit)</f>
        <v>40.061121207631558</v>
      </c>
      <c r="BC52" s="75">
        <f>IF(Index!BB98=1,0,$H52*$K52*py*Index!BB51*Index!BB192/unit)</f>
        <v>40.061121207631558</v>
      </c>
      <c r="BD52" s="75">
        <f>IF(Index!BC98=1,0,$H52*$K52*py*Index!BC51*Index!BC192/unit)</f>
        <v>41.262954843860506</v>
      </c>
      <c r="BE52" s="75">
        <f>IF(Index!BD98=1,0,$H52*$K52*py*Index!BD51*Index!BD192/unit)</f>
        <v>41.262954843860506</v>
      </c>
      <c r="BF52" s="75">
        <f>IF(Index!BE98=1,0,$H52*$K52*py*Index!BE51*Index!BE192/unit)</f>
        <v>41.262954843860506</v>
      </c>
      <c r="BG52" s="75">
        <f>IF(Index!BF98=1,0,$H52*$K52*py*Index!BF51*Index!BF192/unit)</f>
        <v>41.262954843860506</v>
      </c>
      <c r="BH52" s="75">
        <f>IF(Index!BG98=1,0,$H52*$K52*py*Index!BG51*Index!BG192/unit)</f>
        <v>41.262954843860506</v>
      </c>
      <c r="BI52" s="75">
        <f>IF(Index!BH98=1,0,$H52*$K52*py*Index!BH51*Index!BH192/unit)</f>
        <v>41.262954843860506</v>
      </c>
      <c r="BJ52" s="75">
        <f>IF(Index!BI98=1,0,$H52*$K52*py*Index!BI51*Index!BI192/unit)</f>
        <v>41.262954843860506</v>
      </c>
      <c r="BK52" s="75">
        <f>IF(Index!BJ98=1,0,$H52*$K52*py*Index!BJ51*Index!BJ192/unit)</f>
        <v>41.262954843860506</v>
      </c>
      <c r="BL52" s="75">
        <f>IF(Index!BK98=1,0,$H52*$K52*py*Index!BK51*Index!BK192/unit)</f>
        <v>41.262954843860506</v>
      </c>
      <c r="BM52" s="75">
        <f>IF(Index!BL98=1,0,$H52*$K52*py*Index!BL51*Index!BL192/unit)</f>
        <v>41.262954843860506</v>
      </c>
      <c r="BN52" s="75">
        <f>IF(Index!BM98=1,0,$H52*$K52*py*Index!BM51*Index!BM192/unit)</f>
        <v>41.262954843860506</v>
      </c>
      <c r="BO52" s="75">
        <f>IF(Index!BN98=1,0,$H52*$K52*py*Index!BN51*Index!BN192/unit)</f>
        <v>41.262954843860506</v>
      </c>
      <c r="BP52" s="75">
        <f>IF(Index!BO98=1,0,$H52*$K52*py*Index!BO51*Index!BO192/unit)</f>
        <v>42.500843489176319</v>
      </c>
      <c r="BQ52" s="75">
        <f>IF(Index!BP98=1,0,$H52*$K52*py*Index!BP51*Index!BP192/unit)</f>
        <v>42.500843489176319</v>
      </c>
      <c r="BR52" s="75">
        <f>IF(Index!BQ98=1,0,$H52*$K52*py*Index!BQ51*Index!BQ192/unit)</f>
        <v>42.500843489176319</v>
      </c>
      <c r="BS52" s="75">
        <f>IF(Index!BR98=1,0,$H52*$K52*py*Index!BR51*Index!BR192/unit)</f>
        <v>42.500843489176319</v>
      </c>
      <c r="BT52" s="75">
        <f>IF(Index!BS98=1,0,$H52*$K52*py*Index!BS51*Index!BS192/unit)</f>
        <v>42.500843489176319</v>
      </c>
      <c r="BU52" s="75">
        <f>IF(Index!BT98=1,0,$H52*$K52*py*Index!BT51*Index!BT192/unit)</f>
        <v>42.500843489176319</v>
      </c>
      <c r="BV52" s="75">
        <f>IF(Index!BU98=1,0,$H52*$K52*py*Index!BU51*Index!BU192/unit)</f>
        <v>42.500843489176319</v>
      </c>
      <c r="BW52" s="75">
        <f>IF(Index!BV98=1,0,$H52*$K52*py*Index!BV51*Index!BV192/unit)</f>
        <v>42.500843489176319</v>
      </c>
      <c r="BX52" s="75">
        <f>IF(Index!BW98=1,0,$H52*$K52*py*Index!BW51*Index!BW192/unit)</f>
        <v>42.500843489176319</v>
      </c>
      <c r="BY52" s="75">
        <f>IF(Index!BX98=1,0,$H52*$K52*py*Index!BX51*Index!BX192/unit)</f>
        <v>42.500843489176319</v>
      </c>
      <c r="BZ52" s="75">
        <f>IF(Index!BY98=1,0,$H52*$K52*py*Index!BY51*Index!BY192/unit)</f>
        <v>42.500843489176319</v>
      </c>
      <c r="CA52" s="75">
        <f>IF(Index!BZ98=1,0,$H52*$K52*py*Index!BZ51*Index!BZ192/unit)</f>
        <v>42.500843489176319</v>
      </c>
      <c r="CB52" s="75">
        <f>IF(Index!CA98=1,0,$H52*$K52*py*Index!CA51*Index!CA192/unit)</f>
        <v>0</v>
      </c>
      <c r="CC52" s="75">
        <f>IF(Index!CB98=1,0,$H52*$K52*py*Index!CB51*Index!CB192/unit)</f>
        <v>0</v>
      </c>
      <c r="CD52" s="75">
        <f>IF(Index!CC98=1,0,$H52*$K52*py*Index!CC51*Index!CC192/unit)</f>
        <v>0</v>
      </c>
      <c r="CE52" s="75">
        <f>IF(Index!CD98=1,0,$H52*$K52*py*Index!CD51*Index!CD192/unit)</f>
        <v>0</v>
      </c>
      <c r="CF52" s="75">
        <f>IF(Index!CE98=1,0,$H52*$K52*py*Index!CE51*Index!CE192/unit)</f>
        <v>0</v>
      </c>
      <c r="CG52" s="75">
        <f>IF(Index!CF98=1,0,$H52*$K52*py*Index!CF51*Index!CF192/unit)</f>
        <v>0</v>
      </c>
      <c r="CH52" s="75">
        <f>IF(Index!CG98=1,0,$H52*$K52*py*Index!CG51*Index!CG192/unit)</f>
        <v>0</v>
      </c>
      <c r="CI52" s="75">
        <f>IF(Index!CH98=1,0,$H52*$K52*py*Index!CH51*Index!CH192/unit)</f>
        <v>0</v>
      </c>
      <c r="CJ52" s="75">
        <f>IF(Index!CI98=1,0,$H52*$K52*py*Index!CI51*Index!CI192/unit)</f>
        <v>0</v>
      </c>
      <c r="CK52" s="75">
        <f>IF(Index!CJ98=1,0,$H52*$K52*py*Index!CJ51*Index!CJ192/unit)</f>
        <v>0</v>
      </c>
      <c r="CL52" s="75">
        <f>IF(Index!CK98=1,0,$H52*$K52*py*Index!CK51*Index!CK192/unit)</f>
        <v>0</v>
      </c>
      <c r="CM52" s="75">
        <f>IF(Index!CL98=1,0,$H52*$K52*py*Index!CL51*Index!CL192/unit)</f>
        <v>0</v>
      </c>
      <c r="CN52" s="75">
        <f>IF(Index!CM98=1,0,$H52*$K52*py*Index!CM51*Index!CM192/unit)</f>
        <v>0</v>
      </c>
      <c r="CO52" s="75">
        <f>IF(Index!CN98=1,0,$H52*$K52*py*Index!CN51*Index!CN192/unit)</f>
        <v>0</v>
      </c>
      <c r="CP52" s="75">
        <f>IF(Index!CO98=1,0,$H52*$K52*py*Index!CO51*Index!CO192/unit)</f>
        <v>0</v>
      </c>
      <c r="CQ52" s="75">
        <f>IF(Index!CP98=1,0,$H52*$K52*py*Index!CP51*Index!CP192/unit)</f>
        <v>0</v>
      </c>
      <c r="CR52" s="75">
        <f>IF(Index!CQ98=1,0,$H52*$K52*py*Index!CQ51*Index!CQ192/unit)</f>
        <v>0</v>
      </c>
      <c r="CS52" s="75">
        <f>IF(Index!CR98=1,0,$H52*$K52*py*Index!CR51*Index!CR192/unit)</f>
        <v>0</v>
      </c>
      <c r="CT52" s="75">
        <f>IF(Index!CS98=1,0,$H52*$K52*py*Index!CS51*Index!CS192/unit)</f>
        <v>0</v>
      </c>
      <c r="CU52" s="75">
        <f>IF(Index!CT98=1,0,$H52*$K52*py*Index!CT51*Index!CT192/unit)</f>
        <v>0</v>
      </c>
      <c r="CV52" s="75">
        <f>IF(Index!CU98=1,0,$H52*$K52*py*Index!CU51*Index!CU192/unit)</f>
        <v>0</v>
      </c>
      <c r="CW52" s="75">
        <f>IF(Index!CV98=1,0,$H52*$K52*py*Index!CV51*Index!CV192/unit)</f>
        <v>0</v>
      </c>
      <c r="CX52" s="75">
        <f>IF(Index!CW98=1,0,$H52*$K52*py*Index!CW51*Index!CW192/unit)</f>
        <v>0</v>
      </c>
      <c r="CY52" s="75">
        <f>IF(Index!CX98=1,0,$H52*$K52*py*Index!CX51*Index!CX192/unit)</f>
        <v>0</v>
      </c>
      <c r="CZ52" s="75">
        <f>IF(Index!CY98=1,0,$H52*$K52*py*Index!CY51*Index!CY192/unit)</f>
        <v>0</v>
      </c>
      <c r="DA52" s="75">
        <f>IF(Index!CZ98=1,0,$H52*$K52*py*Index!CZ51*Index!CZ192/unit)</f>
        <v>0</v>
      </c>
      <c r="DB52" s="75">
        <f>IF(Index!DA98=1,0,$H52*$K52*py*Index!DA51*Index!DA192/unit)</f>
        <v>0</v>
      </c>
      <c r="DC52" s="75">
        <f>IF(Index!DB98=1,0,$H52*$K52*py*Index!DB51*Index!DB192/unit)</f>
        <v>0</v>
      </c>
      <c r="DD52" s="75">
        <f>IF(Index!DC98=1,0,$H52*$K52*py*Index!DC51*Index!DC192/unit)</f>
        <v>0</v>
      </c>
      <c r="DE52" s="75">
        <f>IF(Index!DD98=1,0,$H52*$K52*py*Index!DD51*Index!DD192/unit)</f>
        <v>0</v>
      </c>
      <c r="DF52" s="75">
        <f>IF(Index!DE98=1,0,$H52*$K52*py*Index!DE51*Index!DE192/unit)</f>
        <v>0</v>
      </c>
      <c r="DG52" s="75">
        <f>IF(Index!DF98=1,0,$H52*$K52*py*Index!DF51*Index!DF192/unit)</f>
        <v>0</v>
      </c>
      <c r="DH52" s="75">
        <f>IF(Index!DG98=1,0,$H52*$K52*py*Index!DG51*Index!DG192/unit)</f>
        <v>0</v>
      </c>
      <c r="DI52" s="75">
        <f>IF(Index!DH98=1,0,$H52*$K52*py*Index!DH51*Index!DH192/unit)</f>
        <v>0</v>
      </c>
      <c r="DJ52" s="75">
        <f>IF(Index!DI98=1,0,$H52*$K52*py*Index!DI51*Index!DI192/unit)</f>
        <v>0</v>
      </c>
      <c r="DK52" s="75">
        <f>IF(Index!DJ98=1,0,$H52*$K52*py*Index!DJ51*Index!DJ192/unit)</f>
        <v>0</v>
      </c>
      <c r="DL52" s="75">
        <f>IF(Index!DK98=1,0,$H52*$K52*py*Index!DK51*Index!DK192/unit)</f>
        <v>0</v>
      </c>
      <c r="DM52" s="75">
        <f>IF(Index!DL98=1,0,$H52*$K52*py*Index!DL51*Index!DL192/unit)</f>
        <v>0</v>
      </c>
    </row>
    <row r="53" spans="2:117">
      <c r="B53" s="27">
        <f>Rentroll!$C$50</f>
        <v>4</v>
      </c>
      <c r="C53" s="69" t="str">
        <f>VLOOKUP($B53,Rentroll!$C$37:$Z$60,3,FALSE)</f>
        <v>타이거로켓</v>
      </c>
      <c r="D53" s="80">
        <f>VLOOKUP($B53,Rentroll!$C$37:$Z$60,9,FALSE)</f>
        <v>45688</v>
      </c>
      <c r="E53" s="80">
        <f>VLOOKUP($B53,Rentroll!$C$37:$Z$60,10,FALSE)</f>
        <v>47514</v>
      </c>
      <c r="F53" s="81">
        <f>VLOOKUP($B53,Rentroll!$C$37:$Z$60,11,FALSE)</f>
        <v>60</v>
      </c>
      <c r="G53" s="69">
        <f>VLOOKUP($B53,Rentroll!$C$37:$Z$60,13,FALSE)</f>
        <v>103000</v>
      </c>
      <c r="H53" s="69">
        <f>VLOOKUP($B53,Rentroll!$C$37:$Z$60,14,FALSE)</f>
        <v>90125</v>
      </c>
      <c r="I53" s="69">
        <f>VLOOKUP($B53,Rentroll!$C$37:$Z$60,15,FALSE)</f>
        <v>45000</v>
      </c>
      <c r="J53" s="82">
        <f>VLOOKUP($B53,Rentroll!$C$37:$Z$60,19,FALSE)</f>
        <v>0.03</v>
      </c>
      <c r="K53" s="83">
        <f>VLOOKUP($B53,Rentroll!$C$37:$Z$60,4,FALSE)</f>
        <v>1385.09</v>
      </c>
      <c r="L53" s="81">
        <f>VLOOKUP($B53,Rentroll!$C$37:$Z$60,17,FALSE)</f>
        <v>1</v>
      </c>
      <c r="M53" s="84">
        <f>VLOOKUP($B53,Rentroll!$C$37:$Z$60,18,FALSE)</f>
        <v>1.5</v>
      </c>
      <c r="O53" s="74">
        <f t="shared" si="16"/>
        <v>4</v>
      </c>
      <c r="P53" s="75"/>
      <c r="Q53" s="75">
        <f t="shared" si="13"/>
        <v>2368.0064823250218</v>
      </c>
      <c r="R53" s="75"/>
      <c r="S53" s="75">
        <f>IF(Index!R99=1,0,$H53*$K53*py*Index!R52*Index!R193/unit)</f>
        <v>0</v>
      </c>
      <c r="T53" s="75">
        <f>IF(Index!S99=1,0,$H53*$K53*py*Index!S52*Index!S193/unit)</f>
        <v>0</v>
      </c>
      <c r="U53" s="75">
        <f>IF(Index!T99=1,0,$H53*$K53*py*Index!T52*Index!T193/unit)</f>
        <v>37.761448965624993</v>
      </c>
      <c r="V53" s="75">
        <f>IF(Index!U99=1,0,$H53*$K53*py*Index!U52*Index!U193/unit)</f>
        <v>37.761448965624993</v>
      </c>
      <c r="W53" s="75">
        <f>IF(Index!V99=1,0,$H53*$K53*py*Index!V52*Index!V193/unit)</f>
        <v>37.761448965624993</v>
      </c>
      <c r="X53" s="75">
        <f>IF(Index!W99=1,0,$H53*$K53*py*Index!W52*Index!W193/unit)</f>
        <v>37.761448965624993</v>
      </c>
      <c r="Y53" s="75">
        <f>IF(Index!X99=1,0,$H53*$K53*py*Index!X52*Index!X193/unit)</f>
        <v>37.761448965624993</v>
      </c>
      <c r="Z53" s="75">
        <f>IF(Index!Y99=1,0,$H53*$K53*py*Index!Y52*Index!Y193/unit)</f>
        <v>37.761448965624993</v>
      </c>
      <c r="AA53" s="75">
        <f>IF(Index!Z99=1,0,$H53*$K53*py*Index!Z52*Index!Z193/unit)</f>
        <v>37.761448965624993</v>
      </c>
      <c r="AB53" s="75">
        <f>IF(Index!AA99=1,0,$H53*$K53*py*Index!AA52*Index!AA193/unit)</f>
        <v>37.761448965624993</v>
      </c>
      <c r="AC53" s="75">
        <f>IF(Index!AB99=1,0,$H53*$K53*py*Index!AB52*Index!AB193/unit)</f>
        <v>37.761448965624993</v>
      </c>
      <c r="AD53" s="75">
        <f>IF(Index!AC99=1,0,$H53*$K53*py*Index!AC52*Index!AC193/unit)</f>
        <v>37.761448965624993</v>
      </c>
      <c r="AE53" s="75">
        <f>IF(Index!AD99=1,0,$H53*$K53*py*Index!AD52*Index!AD193/unit)</f>
        <v>37.761448965624993</v>
      </c>
      <c r="AF53" s="75">
        <f>IF(Index!AE99=1,0,$H53*$K53*py*Index!AE52*Index!AE193/unit)</f>
        <v>38.894292434593744</v>
      </c>
      <c r="AG53" s="75">
        <f>IF(Index!AF99=1,0,$H53*$K53*py*Index!AF52*Index!AF193/unit)</f>
        <v>38.894292434593744</v>
      </c>
      <c r="AH53" s="75">
        <f>IF(Index!AG99=1,0,$H53*$K53*py*Index!AG52*Index!AG193/unit)</f>
        <v>38.894292434593744</v>
      </c>
      <c r="AI53" s="75">
        <f>IF(Index!AH99=1,0,$H53*$K53*py*Index!AH52*Index!AH193/unit)</f>
        <v>38.894292434593744</v>
      </c>
      <c r="AJ53" s="75">
        <f>IF(Index!AI99=1,0,$H53*$K53*py*Index!AI52*Index!AI193/unit)</f>
        <v>38.894292434593744</v>
      </c>
      <c r="AK53" s="75">
        <f>IF(Index!AJ99=1,0,$H53*$K53*py*Index!AJ52*Index!AJ193/unit)</f>
        <v>38.894292434593744</v>
      </c>
      <c r="AL53" s="75">
        <f>IF(Index!AK99=1,0,$H53*$K53*py*Index!AK52*Index!AK193/unit)</f>
        <v>38.894292434593744</v>
      </c>
      <c r="AM53" s="75">
        <f>IF(Index!AL99=1,0,$H53*$K53*py*Index!AL52*Index!AL193/unit)</f>
        <v>38.894292434593744</v>
      </c>
      <c r="AN53" s="75">
        <f>IF(Index!AM99=1,0,$H53*$K53*py*Index!AM52*Index!AM193/unit)</f>
        <v>38.894292434593744</v>
      </c>
      <c r="AO53" s="75">
        <f>IF(Index!AN99=1,0,$H53*$K53*py*Index!AN52*Index!AN193/unit)</f>
        <v>38.894292434593744</v>
      </c>
      <c r="AP53" s="75">
        <f>IF(Index!AO99=1,0,$H53*$K53*py*Index!AO52*Index!AO193/unit)</f>
        <v>38.894292434593744</v>
      </c>
      <c r="AQ53" s="75">
        <f>IF(Index!AP99=1,0,$H53*$K53*py*Index!AP52*Index!AP193/unit)</f>
        <v>38.894292434593744</v>
      </c>
      <c r="AR53" s="75">
        <f>IF(Index!AQ99=1,0,$H53*$K53*py*Index!AQ52*Index!AQ193/unit)</f>
        <v>40.061121207631558</v>
      </c>
      <c r="AS53" s="75">
        <f>IF(Index!AR99=1,0,$H53*$K53*py*Index!AR52*Index!AR193/unit)</f>
        <v>40.061121207631558</v>
      </c>
      <c r="AT53" s="75">
        <f>IF(Index!AS99=1,0,$H53*$K53*py*Index!AS52*Index!AS193/unit)</f>
        <v>40.061121207631558</v>
      </c>
      <c r="AU53" s="75">
        <f>IF(Index!AT99=1,0,$H53*$K53*py*Index!AT52*Index!AT193/unit)</f>
        <v>40.061121207631558</v>
      </c>
      <c r="AV53" s="75">
        <f>IF(Index!AU99=1,0,$H53*$K53*py*Index!AU52*Index!AU193/unit)</f>
        <v>40.061121207631558</v>
      </c>
      <c r="AW53" s="75">
        <f>IF(Index!AV99=1,0,$H53*$K53*py*Index!AV52*Index!AV193/unit)</f>
        <v>40.061121207631558</v>
      </c>
      <c r="AX53" s="75">
        <f>IF(Index!AW99=1,0,$H53*$K53*py*Index!AW52*Index!AW193/unit)</f>
        <v>40.061121207631558</v>
      </c>
      <c r="AY53" s="75">
        <f>IF(Index!AX99=1,0,$H53*$K53*py*Index!AX52*Index!AX193/unit)</f>
        <v>40.061121207631558</v>
      </c>
      <c r="AZ53" s="75">
        <f>IF(Index!AY99=1,0,$H53*$K53*py*Index!AY52*Index!AY193/unit)</f>
        <v>40.061121207631558</v>
      </c>
      <c r="BA53" s="75">
        <f>IF(Index!AZ99=1,0,$H53*$K53*py*Index!AZ52*Index!AZ193/unit)</f>
        <v>40.061121207631558</v>
      </c>
      <c r="BB53" s="75">
        <f>IF(Index!BA99=1,0,$H53*$K53*py*Index!BA52*Index!BA193/unit)</f>
        <v>40.061121207631558</v>
      </c>
      <c r="BC53" s="75">
        <f>IF(Index!BB99=1,0,$H53*$K53*py*Index!BB52*Index!BB193/unit)</f>
        <v>40.061121207631558</v>
      </c>
      <c r="BD53" s="75">
        <f>IF(Index!BC99=1,0,$H53*$K53*py*Index!BC52*Index!BC193/unit)</f>
        <v>41.262954843860506</v>
      </c>
      <c r="BE53" s="75">
        <f>IF(Index!BD99=1,0,$H53*$K53*py*Index!BD52*Index!BD193/unit)</f>
        <v>41.262954843860506</v>
      </c>
      <c r="BF53" s="75">
        <f>IF(Index!BE99=1,0,$H53*$K53*py*Index!BE52*Index!BE193/unit)</f>
        <v>41.262954843860506</v>
      </c>
      <c r="BG53" s="75">
        <f>IF(Index!BF99=1,0,$H53*$K53*py*Index!BF52*Index!BF193/unit)</f>
        <v>41.262954843860506</v>
      </c>
      <c r="BH53" s="75">
        <f>IF(Index!BG99=1,0,$H53*$K53*py*Index!BG52*Index!BG193/unit)</f>
        <v>41.262954843860506</v>
      </c>
      <c r="BI53" s="75">
        <f>IF(Index!BH99=1,0,$H53*$K53*py*Index!BH52*Index!BH193/unit)</f>
        <v>41.262954843860506</v>
      </c>
      <c r="BJ53" s="75">
        <f>IF(Index!BI99=1,0,$H53*$K53*py*Index!BI52*Index!BI193/unit)</f>
        <v>41.262954843860506</v>
      </c>
      <c r="BK53" s="75">
        <f>IF(Index!BJ99=1,0,$H53*$K53*py*Index!BJ52*Index!BJ193/unit)</f>
        <v>41.262954843860506</v>
      </c>
      <c r="BL53" s="75">
        <f>IF(Index!BK99=1,0,$H53*$K53*py*Index!BK52*Index!BK193/unit)</f>
        <v>41.262954843860506</v>
      </c>
      <c r="BM53" s="75">
        <f>IF(Index!BL99=1,0,$H53*$K53*py*Index!BL52*Index!BL193/unit)</f>
        <v>41.262954843860506</v>
      </c>
      <c r="BN53" s="75">
        <f>IF(Index!BM99=1,0,$H53*$K53*py*Index!BM52*Index!BM193/unit)</f>
        <v>41.262954843860506</v>
      </c>
      <c r="BO53" s="75">
        <f>IF(Index!BN99=1,0,$H53*$K53*py*Index!BN52*Index!BN193/unit)</f>
        <v>41.262954843860506</v>
      </c>
      <c r="BP53" s="75">
        <f>IF(Index!BO99=1,0,$H53*$K53*py*Index!BO52*Index!BO193/unit)</f>
        <v>42.500843489176319</v>
      </c>
      <c r="BQ53" s="75">
        <f>IF(Index!BP99=1,0,$H53*$K53*py*Index!BP52*Index!BP193/unit)</f>
        <v>42.500843489176319</v>
      </c>
      <c r="BR53" s="75">
        <f>IF(Index!BQ99=1,0,$H53*$K53*py*Index!BQ52*Index!BQ193/unit)</f>
        <v>42.500843489176319</v>
      </c>
      <c r="BS53" s="75">
        <f>IF(Index!BR99=1,0,$H53*$K53*py*Index!BR52*Index!BR193/unit)</f>
        <v>42.500843489176319</v>
      </c>
      <c r="BT53" s="75">
        <f>IF(Index!BS99=1,0,$H53*$K53*py*Index!BS52*Index!BS193/unit)</f>
        <v>42.500843489176319</v>
      </c>
      <c r="BU53" s="75">
        <f>IF(Index!BT99=1,0,$H53*$K53*py*Index!BT52*Index!BT193/unit)</f>
        <v>42.500843489176319</v>
      </c>
      <c r="BV53" s="75">
        <f>IF(Index!BU99=1,0,$H53*$K53*py*Index!BU52*Index!BU193/unit)</f>
        <v>42.500843489176319</v>
      </c>
      <c r="BW53" s="75">
        <f>IF(Index!BV99=1,0,$H53*$K53*py*Index!BV52*Index!BV193/unit)</f>
        <v>42.500843489176319</v>
      </c>
      <c r="BX53" s="75">
        <f>IF(Index!BW99=1,0,$H53*$K53*py*Index!BW52*Index!BW193/unit)</f>
        <v>42.500843489176319</v>
      </c>
      <c r="BY53" s="75">
        <f>IF(Index!BX99=1,0,$H53*$K53*py*Index!BX52*Index!BX193/unit)</f>
        <v>42.500843489176319</v>
      </c>
      <c r="BZ53" s="75">
        <f>IF(Index!BY99=1,0,$H53*$K53*py*Index!BY52*Index!BY193/unit)</f>
        <v>42.500843489176319</v>
      </c>
      <c r="CA53" s="75">
        <f>IF(Index!BZ99=1,0,$H53*$K53*py*Index!BZ52*Index!BZ193/unit)</f>
        <v>42.500843489176319</v>
      </c>
      <c r="CB53" s="75">
        <f>IF(Index!CA99=1,0,$H53*$K53*py*Index!CA52*Index!CA193/unit)</f>
        <v>0</v>
      </c>
      <c r="CC53" s="75">
        <f>IF(Index!CB99=1,0,$H53*$K53*py*Index!CB52*Index!CB193/unit)</f>
        <v>0</v>
      </c>
      <c r="CD53" s="75">
        <f>IF(Index!CC99=1,0,$H53*$K53*py*Index!CC52*Index!CC193/unit)</f>
        <v>0</v>
      </c>
      <c r="CE53" s="75">
        <f>IF(Index!CD99=1,0,$H53*$K53*py*Index!CD52*Index!CD193/unit)</f>
        <v>0</v>
      </c>
      <c r="CF53" s="75">
        <f>IF(Index!CE99=1,0,$H53*$K53*py*Index!CE52*Index!CE193/unit)</f>
        <v>0</v>
      </c>
      <c r="CG53" s="75">
        <f>IF(Index!CF99=1,0,$H53*$K53*py*Index!CF52*Index!CF193/unit)</f>
        <v>0</v>
      </c>
      <c r="CH53" s="75">
        <f>IF(Index!CG99=1,0,$H53*$K53*py*Index!CG52*Index!CG193/unit)</f>
        <v>0</v>
      </c>
      <c r="CI53" s="75">
        <f>IF(Index!CH99=1,0,$H53*$K53*py*Index!CH52*Index!CH193/unit)</f>
        <v>0</v>
      </c>
      <c r="CJ53" s="75">
        <f>IF(Index!CI99=1,0,$H53*$K53*py*Index!CI52*Index!CI193/unit)</f>
        <v>0</v>
      </c>
      <c r="CK53" s="75">
        <f>IF(Index!CJ99=1,0,$H53*$K53*py*Index!CJ52*Index!CJ193/unit)</f>
        <v>0</v>
      </c>
      <c r="CL53" s="75">
        <f>IF(Index!CK99=1,0,$H53*$K53*py*Index!CK52*Index!CK193/unit)</f>
        <v>0</v>
      </c>
      <c r="CM53" s="75">
        <f>IF(Index!CL99=1,0,$H53*$K53*py*Index!CL52*Index!CL193/unit)</f>
        <v>0</v>
      </c>
      <c r="CN53" s="75">
        <f>IF(Index!CM99=1,0,$H53*$K53*py*Index!CM52*Index!CM193/unit)</f>
        <v>0</v>
      </c>
      <c r="CO53" s="75">
        <f>IF(Index!CN99=1,0,$H53*$K53*py*Index!CN52*Index!CN193/unit)</f>
        <v>0</v>
      </c>
      <c r="CP53" s="75">
        <f>IF(Index!CO99=1,0,$H53*$K53*py*Index!CO52*Index!CO193/unit)</f>
        <v>0</v>
      </c>
      <c r="CQ53" s="75">
        <f>IF(Index!CP99=1,0,$H53*$K53*py*Index!CP52*Index!CP193/unit)</f>
        <v>0</v>
      </c>
      <c r="CR53" s="75">
        <f>IF(Index!CQ99=1,0,$H53*$K53*py*Index!CQ52*Index!CQ193/unit)</f>
        <v>0</v>
      </c>
      <c r="CS53" s="75">
        <f>IF(Index!CR99=1,0,$H53*$K53*py*Index!CR52*Index!CR193/unit)</f>
        <v>0</v>
      </c>
      <c r="CT53" s="75">
        <f>IF(Index!CS99=1,0,$H53*$K53*py*Index!CS52*Index!CS193/unit)</f>
        <v>0</v>
      </c>
      <c r="CU53" s="75">
        <f>IF(Index!CT99=1,0,$H53*$K53*py*Index!CT52*Index!CT193/unit)</f>
        <v>0</v>
      </c>
      <c r="CV53" s="75">
        <f>IF(Index!CU99=1,0,$H53*$K53*py*Index!CU52*Index!CU193/unit)</f>
        <v>0</v>
      </c>
      <c r="CW53" s="75">
        <f>IF(Index!CV99=1,0,$H53*$K53*py*Index!CV52*Index!CV193/unit)</f>
        <v>0</v>
      </c>
      <c r="CX53" s="75">
        <f>IF(Index!CW99=1,0,$H53*$K53*py*Index!CW52*Index!CW193/unit)</f>
        <v>0</v>
      </c>
      <c r="CY53" s="75">
        <f>IF(Index!CX99=1,0,$H53*$K53*py*Index!CX52*Index!CX193/unit)</f>
        <v>0</v>
      </c>
      <c r="CZ53" s="75">
        <f>IF(Index!CY99=1,0,$H53*$K53*py*Index!CY52*Index!CY193/unit)</f>
        <v>0</v>
      </c>
      <c r="DA53" s="75">
        <f>IF(Index!CZ99=1,0,$H53*$K53*py*Index!CZ52*Index!CZ193/unit)</f>
        <v>0</v>
      </c>
      <c r="DB53" s="75">
        <f>IF(Index!DA99=1,0,$H53*$K53*py*Index!DA52*Index!DA193/unit)</f>
        <v>0</v>
      </c>
      <c r="DC53" s="75">
        <f>IF(Index!DB99=1,0,$H53*$K53*py*Index!DB52*Index!DB193/unit)</f>
        <v>0</v>
      </c>
      <c r="DD53" s="75">
        <f>IF(Index!DC99=1,0,$H53*$K53*py*Index!DC52*Index!DC193/unit)</f>
        <v>0</v>
      </c>
      <c r="DE53" s="75">
        <f>IF(Index!DD99=1,0,$H53*$K53*py*Index!DD52*Index!DD193/unit)</f>
        <v>0</v>
      </c>
      <c r="DF53" s="75">
        <f>IF(Index!DE99=1,0,$H53*$K53*py*Index!DE52*Index!DE193/unit)</f>
        <v>0</v>
      </c>
      <c r="DG53" s="75">
        <f>IF(Index!DF99=1,0,$H53*$K53*py*Index!DF52*Index!DF193/unit)</f>
        <v>0</v>
      </c>
      <c r="DH53" s="75">
        <f>IF(Index!DG99=1,0,$H53*$K53*py*Index!DG52*Index!DG193/unit)</f>
        <v>0</v>
      </c>
      <c r="DI53" s="75">
        <f>IF(Index!DH99=1,0,$H53*$K53*py*Index!DH52*Index!DH193/unit)</f>
        <v>0</v>
      </c>
      <c r="DJ53" s="75">
        <f>IF(Index!DI99=1,0,$H53*$K53*py*Index!DI52*Index!DI193/unit)</f>
        <v>0</v>
      </c>
      <c r="DK53" s="75">
        <f>IF(Index!DJ99=1,0,$H53*$K53*py*Index!DJ52*Index!DJ193/unit)</f>
        <v>0</v>
      </c>
      <c r="DL53" s="75">
        <f>IF(Index!DK99=1,0,$H53*$K53*py*Index!DK52*Index!DK193/unit)</f>
        <v>0</v>
      </c>
      <c r="DM53" s="75">
        <f>IF(Index!DL99=1,0,$H53*$K53*py*Index!DL52*Index!DL193/unit)</f>
        <v>0</v>
      </c>
    </row>
    <row r="54" spans="2:117">
      <c r="B54" s="27">
        <f>Rentroll!$C$51</f>
        <v>3</v>
      </c>
      <c r="C54" s="69" t="str">
        <f>VLOOKUP($B54,Rentroll!$C$37:$Z$60,3,FALSE)</f>
        <v>타이거로켓</v>
      </c>
      <c r="D54" s="80">
        <f>VLOOKUP($B54,Rentroll!$C$37:$Z$60,9,FALSE)</f>
        <v>45688</v>
      </c>
      <c r="E54" s="80">
        <f>VLOOKUP($B54,Rentroll!$C$37:$Z$60,10,FALSE)</f>
        <v>47514</v>
      </c>
      <c r="F54" s="81">
        <f>VLOOKUP($B54,Rentroll!$C$37:$Z$60,11,FALSE)</f>
        <v>60</v>
      </c>
      <c r="G54" s="69">
        <f>VLOOKUP($B54,Rentroll!$C$37:$Z$60,13,FALSE)</f>
        <v>103000</v>
      </c>
      <c r="H54" s="69">
        <f>VLOOKUP($B54,Rentroll!$C$37:$Z$60,14,FALSE)</f>
        <v>90125</v>
      </c>
      <c r="I54" s="69">
        <f>VLOOKUP($B54,Rentroll!$C$37:$Z$60,15,FALSE)</f>
        <v>45000</v>
      </c>
      <c r="J54" s="82">
        <f>VLOOKUP($B54,Rentroll!$C$37:$Z$60,19,FALSE)</f>
        <v>0.03</v>
      </c>
      <c r="K54" s="83">
        <f>VLOOKUP($B54,Rentroll!$C$37:$Z$60,4,FALSE)</f>
        <v>1385.09</v>
      </c>
      <c r="L54" s="81">
        <f>VLOOKUP($B54,Rentroll!$C$37:$Z$60,17,FALSE)</f>
        <v>1</v>
      </c>
      <c r="M54" s="84">
        <f>VLOOKUP($B54,Rentroll!$C$37:$Z$60,18,FALSE)</f>
        <v>1.5</v>
      </c>
      <c r="O54" s="74">
        <f t="shared" si="16"/>
        <v>3</v>
      </c>
      <c r="P54" s="75"/>
      <c r="Q54" s="75">
        <f t="shared" si="13"/>
        <v>2368.0064823250218</v>
      </c>
      <c r="R54" s="75"/>
      <c r="S54" s="75">
        <f>IF(Index!R100=1,0,$H54*$K54*py*Index!R53*Index!R194/unit)</f>
        <v>0</v>
      </c>
      <c r="T54" s="75">
        <f>IF(Index!S100=1,0,$H54*$K54*py*Index!S53*Index!S194/unit)</f>
        <v>0</v>
      </c>
      <c r="U54" s="75">
        <f>IF(Index!T100=1,0,$H54*$K54*py*Index!T53*Index!T194/unit)</f>
        <v>37.761448965624993</v>
      </c>
      <c r="V54" s="75">
        <f>IF(Index!U100=1,0,$H54*$K54*py*Index!U53*Index!U194/unit)</f>
        <v>37.761448965624993</v>
      </c>
      <c r="W54" s="75">
        <f>IF(Index!V100=1,0,$H54*$K54*py*Index!V53*Index!V194/unit)</f>
        <v>37.761448965624993</v>
      </c>
      <c r="X54" s="75">
        <f>IF(Index!W100=1,0,$H54*$K54*py*Index!W53*Index!W194/unit)</f>
        <v>37.761448965624993</v>
      </c>
      <c r="Y54" s="75">
        <f>IF(Index!X100=1,0,$H54*$K54*py*Index!X53*Index!X194/unit)</f>
        <v>37.761448965624993</v>
      </c>
      <c r="Z54" s="75">
        <f>IF(Index!Y100=1,0,$H54*$K54*py*Index!Y53*Index!Y194/unit)</f>
        <v>37.761448965624993</v>
      </c>
      <c r="AA54" s="75">
        <f>IF(Index!Z100=1,0,$H54*$K54*py*Index!Z53*Index!Z194/unit)</f>
        <v>37.761448965624993</v>
      </c>
      <c r="AB54" s="75">
        <f>IF(Index!AA100=1,0,$H54*$K54*py*Index!AA53*Index!AA194/unit)</f>
        <v>37.761448965624993</v>
      </c>
      <c r="AC54" s="75">
        <f>IF(Index!AB100=1,0,$H54*$K54*py*Index!AB53*Index!AB194/unit)</f>
        <v>37.761448965624993</v>
      </c>
      <c r="AD54" s="75">
        <f>IF(Index!AC100=1,0,$H54*$K54*py*Index!AC53*Index!AC194/unit)</f>
        <v>37.761448965624993</v>
      </c>
      <c r="AE54" s="75">
        <f>IF(Index!AD100=1,0,$H54*$K54*py*Index!AD53*Index!AD194/unit)</f>
        <v>37.761448965624993</v>
      </c>
      <c r="AF54" s="75">
        <f>IF(Index!AE100=1,0,$H54*$K54*py*Index!AE53*Index!AE194/unit)</f>
        <v>38.894292434593744</v>
      </c>
      <c r="AG54" s="75">
        <f>IF(Index!AF100=1,0,$H54*$K54*py*Index!AF53*Index!AF194/unit)</f>
        <v>38.894292434593744</v>
      </c>
      <c r="AH54" s="75">
        <f>IF(Index!AG100=1,0,$H54*$K54*py*Index!AG53*Index!AG194/unit)</f>
        <v>38.894292434593744</v>
      </c>
      <c r="AI54" s="75">
        <f>IF(Index!AH100=1,0,$H54*$K54*py*Index!AH53*Index!AH194/unit)</f>
        <v>38.894292434593744</v>
      </c>
      <c r="AJ54" s="75">
        <f>IF(Index!AI100=1,0,$H54*$K54*py*Index!AI53*Index!AI194/unit)</f>
        <v>38.894292434593744</v>
      </c>
      <c r="AK54" s="75">
        <f>IF(Index!AJ100=1,0,$H54*$K54*py*Index!AJ53*Index!AJ194/unit)</f>
        <v>38.894292434593744</v>
      </c>
      <c r="AL54" s="75">
        <f>IF(Index!AK100=1,0,$H54*$K54*py*Index!AK53*Index!AK194/unit)</f>
        <v>38.894292434593744</v>
      </c>
      <c r="AM54" s="75">
        <f>IF(Index!AL100=1,0,$H54*$K54*py*Index!AL53*Index!AL194/unit)</f>
        <v>38.894292434593744</v>
      </c>
      <c r="AN54" s="75">
        <f>IF(Index!AM100=1,0,$H54*$K54*py*Index!AM53*Index!AM194/unit)</f>
        <v>38.894292434593744</v>
      </c>
      <c r="AO54" s="75">
        <f>IF(Index!AN100=1,0,$H54*$K54*py*Index!AN53*Index!AN194/unit)</f>
        <v>38.894292434593744</v>
      </c>
      <c r="AP54" s="75">
        <f>IF(Index!AO100=1,0,$H54*$K54*py*Index!AO53*Index!AO194/unit)</f>
        <v>38.894292434593744</v>
      </c>
      <c r="AQ54" s="75">
        <f>IF(Index!AP100=1,0,$H54*$K54*py*Index!AP53*Index!AP194/unit)</f>
        <v>38.894292434593744</v>
      </c>
      <c r="AR54" s="75">
        <f>IF(Index!AQ100=1,0,$H54*$K54*py*Index!AQ53*Index!AQ194/unit)</f>
        <v>40.061121207631558</v>
      </c>
      <c r="AS54" s="75">
        <f>IF(Index!AR100=1,0,$H54*$K54*py*Index!AR53*Index!AR194/unit)</f>
        <v>40.061121207631558</v>
      </c>
      <c r="AT54" s="75">
        <f>IF(Index!AS100=1,0,$H54*$K54*py*Index!AS53*Index!AS194/unit)</f>
        <v>40.061121207631558</v>
      </c>
      <c r="AU54" s="75">
        <f>IF(Index!AT100=1,0,$H54*$K54*py*Index!AT53*Index!AT194/unit)</f>
        <v>40.061121207631558</v>
      </c>
      <c r="AV54" s="75">
        <f>IF(Index!AU100=1,0,$H54*$K54*py*Index!AU53*Index!AU194/unit)</f>
        <v>40.061121207631558</v>
      </c>
      <c r="AW54" s="75">
        <f>IF(Index!AV100=1,0,$H54*$K54*py*Index!AV53*Index!AV194/unit)</f>
        <v>40.061121207631558</v>
      </c>
      <c r="AX54" s="75">
        <f>IF(Index!AW100=1,0,$H54*$K54*py*Index!AW53*Index!AW194/unit)</f>
        <v>40.061121207631558</v>
      </c>
      <c r="AY54" s="75">
        <f>IF(Index!AX100=1,0,$H54*$K54*py*Index!AX53*Index!AX194/unit)</f>
        <v>40.061121207631558</v>
      </c>
      <c r="AZ54" s="75">
        <f>IF(Index!AY100=1,0,$H54*$K54*py*Index!AY53*Index!AY194/unit)</f>
        <v>40.061121207631558</v>
      </c>
      <c r="BA54" s="75">
        <f>IF(Index!AZ100=1,0,$H54*$K54*py*Index!AZ53*Index!AZ194/unit)</f>
        <v>40.061121207631558</v>
      </c>
      <c r="BB54" s="75">
        <f>IF(Index!BA100=1,0,$H54*$K54*py*Index!BA53*Index!BA194/unit)</f>
        <v>40.061121207631558</v>
      </c>
      <c r="BC54" s="75">
        <f>IF(Index!BB100=1,0,$H54*$K54*py*Index!BB53*Index!BB194/unit)</f>
        <v>40.061121207631558</v>
      </c>
      <c r="BD54" s="75">
        <f>IF(Index!BC100=1,0,$H54*$K54*py*Index!BC53*Index!BC194/unit)</f>
        <v>41.262954843860506</v>
      </c>
      <c r="BE54" s="75">
        <f>IF(Index!BD100=1,0,$H54*$K54*py*Index!BD53*Index!BD194/unit)</f>
        <v>41.262954843860506</v>
      </c>
      <c r="BF54" s="75">
        <f>IF(Index!BE100=1,0,$H54*$K54*py*Index!BE53*Index!BE194/unit)</f>
        <v>41.262954843860506</v>
      </c>
      <c r="BG54" s="75">
        <f>IF(Index!BF100=1,0,$H54*$K54*py*Index!BF53*Index!BF194/unit)</f>
        <v>41.262954843860506</v>
      </c>
      <c r="BH54" s="75">
        <f>IF(Index!BG100=1,0,$H54*$K54*py*Index!BG53*Index!BG194/unit)</f>
        <v>41.262954843860506</v>
      </c>
      <c r="BI54" s="75">
        <f>IF(Index!BH100=1,0,$H54*$K54*py*Index!BH53*Index!BH194/unit)</f>
        <v>41.262954843860506</v>
      </c>
      <c r="BJ54" s="75">
        <f>IF(Index!BI100=1,0,$H54*$K54*py*Index!BI53*Index!BI194/unit)</f>
        <v>41.262954843860506</v>
      </c>
      <c r="BK54" s="75">
        <f>IF(Index!BJ100=1,0,$H54*$K54*py*Index!BJ53*Index!BJ194/unit)</f>
        <v>41.262954843860506</v>
      </c>
      <c r="BL54" s="75">
        <f>IF(Index!BK100=1,0,$H54*$K54*py*Index!BK53*Index!BK194/unit)</f>
        <v>41.262954843860506</v>
      </c>
      <c r="BM54" s="75">
        <f>IF(Index!BL100=1,0,$H54*$K54*py*Index!BL53*Index!BL194/unit)</f>
        <v>41.262954843860506</v>
      </c>
      <c r="BN54" s="75">
        <f>IF(Index!BM100=1,0,$H54*$K54*py*Index!BM53*Index!BM194/unit)</f>
        <v>41.262954843860506</v>
      </c>
      <c r="BO54" s="75">
        <f>IF(Index!BN100=1,0,$H54*$K54*py*Index!BN53*Index!BN194/unit)</f>
        <v>41.262954843860506</v>
      </c>
      <c r="BP54" s="75">
        <f>IF(Index!BO100=1,0,$H54*$K54*py*Index!BO53*Index!BO194/unit)</f>
        <v>42.500843489176319</v>
      </c>
      <c r="BQ54" s="75">
        <f>IF(Index!BP100=1,0,$H54*$K54*py*Index!BP53*Index!BP194/unit)</f>
        <v>42.500843489176319</v>
      </c>
      <c r="BR54" s="75">
        <f>IF(Index!BQ100=1,0,$H54*$K54*py*Index!BQ53*Index!BQ194/unit)</f>
        <v>42.500843489176319</v>
      </c>
      <c r="BS54" s="75">
        <f>IF(Index!BR100=1,0,$H54*$K54*py*Index!BR53*Index!BR194/unit)</f>
        <v>42.500843489176319</v>
      </c>
      <c r="BT54" s="75">
        <f>IF(Index!BS100=1,0,$H54*$K54*py*Index!BS53*Index!BS194/unit)</f>
        <v>42.500843489176319</v>
      </c>
      <c r="BU54" s="75">
        <f>IF(Index!BT100=1,0,$H54*$K54*py*Index!BT53*Index!BT194/unit)</f>
        <v>42.500843489176319</v>
      </c>
      <c r="BV54" s="75">
        <f>IF(Index!BU100=1,0,$H54*$K54*py*Index!BU53*Index!BU194/unit)</f>
        <v>42.500843489176319</v>
      </c>
      <c r="BW54" s="75">
        <f>IF(Index!BV100=1,0,$H54*$K54*py*Index!BV53*Index!BV194/unit)</f>
        <v>42.500843489176319</v>
      </c>
      <c r="BX54" s="75">
        <f>IF(Index!BW100=1,0,$H54*$K54*py*Index!BW53*Index!BW194/unit)</f>
        <v>42.500843489176319</v>
      </c>
      <c r="BY54" s="75">
        <f>IF(Index!BX100=1,0,$H54*$K54*py*Index!BX53*Index!BX194/unit)</f>
        <v>42.500843489176319</v>
      </c>
      <c r="BZ54" s="75">
        <f>IF(Index!BY100=1,0,$H54*$K54*py*Index!BY53*Index!BY194/unit)</f>
        <v>42.500843489176319</v>
      </c>
      <c r="CA54" s="75">
        <f>IF(Index!BZ100=1,0,$H54*$K54*py*Index!BZ53*Index!BZ194/unit)</f>
        <v>42.500843489176319</v>
      </c>
      <c r="CB54" s="75">
        <f>IF(Index!CA100=1,0,$H54*$K54*py*Index!CA53*Index!CA194/unit)</f>
        <v>0</v>
      </c>
      <c r="CC54" s="75">
        <f>IF(Index!CB100=1,0,$H54*$K54*py*Index!CB53*Index!CB194/unit)</f>
        <v>0</v>
      </c>
      <c r="CD54" s="75">
        <f>IF(Index!CC100=1,0,$H54*$K54*py*Index!CC53*Index!CC194/unit)</f>
        <v>0</v>
      </c>
      <c r="CE54" s="75">
        <f>IF(Index!CD100=1,0,$H54*$K54*py*Index!CD53*Index!CD194/unit)</f>
        <v>0</v>
      </c>
      <c r="CF54" s="75">
        <f>IF(Index!CE100=1,0,$H54*$K54*py*Index!CE53*Index!CE194/unit)</f>
        <v>0</v>
      </c>
      <c r="CG54" s="75">
        <f>IF(Index!CF100=1,0,$H54*$K54*py*Index!CF53*Index!CF194/unit)</f>
        <v>0</v>
      </c>
      <c r="CH54" s="75">
        <f>IF(Index!CG100=1,0,$H54*$K54*py*Index!CG53*Index!CG194/unit)</f>
        <v>0</v>
      </c>
      <c r="CI54" s="75">
        <f>IF(Index!CH100=1,0,$H54*$K54*py*Index!CH53*Index!CH194/unit)</f>
        <v>0</v>
      </c>
      <c r="CJ54" s="75">
        <f>IF(Index!CI100=1,0,$H54*$K54*py*Index!CI53*Index!CI194/unit)</f>
        <v>0</v>
      </c>
      <c r="CK54" s="75">
        <f>IF(Index!CJ100=1,0,$H54*$K54*py*Index!CJ53*Index!CJ194/unit)</f>
        <v>0</v>
      </c>
      <c r="CL54" s="75">
        <f>IF(Index!CK100=1,0,$H54*$K54*py*Index!CK53*Index!CK194/unit)</f>
        <v>0</v>
      </c>
      <c r="CM54" s="75">
        <f>IF(Index!CL100=1,0,$H54*$K54*py*Index!CL53*Index!CL194/unit)</f>
        <v>0</v>
      </c>
      <c r="CN54" s="75">
        <f>IF(Index!CM100=1,0,$H54*$K54*py*Index!CM53*Index!CM194/unit)</f>
        <v>0</v>
      </c>
      <c r="CO54" s="75">
        <f>IF(Index!CN100=1,0,$H54*$K54*py*Index!CN53*Index!CN194/unit)</f>
        <v>0</v>
      </c>
      <c r="CP54" s="75">
        <f>IF(Index!CO100=1,0,$H54*$K54*py*Index!CO53*Index!CO194/unit)</f>
        <v>0</v>
      </c>
      <c r="CQ54" s="75">
        <f>IF(Index!CP100=1,0,$H54*$K54*py*Index!CP53*Index!CP194/unit)</f>
        <v>0</v>
      </c>
      <c r="CR54" s="75">
        <f>IF(Index!CQ100=1,0,$H54*$K54*py*Index!CQ53*Index!CQ194/unit)</f>
        <v>0</v>
      </c>
      <c r="CS54" s="75">
        <f>IF(Index!CR100=1,0,$H54*$K54*py*Index!CR53*Index!CR194/unit)</f>
        <v>0</v>
      </c>
      <c r="CT54" s="75">
        <f>IF(Index!CS100=1,0,$H54*$K54*py*Index!CS53*Index!CS194/unit)</f>
        <v>0</v>
      </c>
      <c r="CU54" s="75">
        <f>IF(Index!CT100=1,0,$H54*$K54*py*Index!CT53*Index!CT194/unit)</f>
        <v>0</v>
      </c>
      <c r="CV54" s="75">
        <f>IF(Index!CU100=1,0,$H54*$K54*py*Index!CU53*Index!CU194/unit)</f>
        <v>0</v>
      </c>
      <c r="CW54" s="75">
        <f>IF(Index!CV100=1,0,$H54*$K54*py*Index!CV53*Index!CV194/unit)</f>
        <v>0</v>
      </c>
      <c r="CX54" s="75">
        <f>IF(Index!CW100=1,0,$H54*$K54*py*Index!CW53*Index!CW194/unit)</f>
        <v>0</v>
      </c>
      <c r="CY54" s="75">
        <f>IF(Index!CX100=1,0,$H54*$K54*py*Index!CX53*Index!CX194/unit)</f>
        <v>0</v>
      </c>
      <c r="CZ54" s="75">
        <f>IF(Index!CY100=1,0,$H54*$K54*py*Index!CY53*Index!CY194/unit)</f>
        <v>0</v>
      </c>
      <c r="DA54" s="75">
        <f>IF(Index!CZ100=1,0,$H54*$K54*py*Index!CZ53*Index!CZ194/unit)</f>
        <v>0</v>
      </c>
      <c r="DB54" s="75">
        <f>IF(Index!DA100=1,0,$H54*$K54*py*Index!DA53*Index!DA194/unit)</f>
        <v>0</v>
      </c>
      <c r="DC54" s="75">
        <f>IF(Index!DB100=1,0,$H54*$K54*py*Index!DB53*Index!DB194/unit)</f>
        <v>0</v>
      </c>
      <c r="DD54" s="75">
        <f>IF(Index!DC100=1,0,$H54*$K54*py*Index!DC53*Index!DC194/unit)</f>
        <v>0</v>
      </c>
      <c r="DE54" s="75">
        <f>IF(Index!DD100=1,0,$H54*$K54*py*Index!DD53*Index!DD194/unit)</f>
        <v>0</v>
      </c>
      <c r="DF54" s="75">
        <f>IF(Index!DE100=1,0,$H54*$K54*py*Index!DE53*Index!DE194/unit)</f>
        <v>0</v>
      </c>
      <c r="DG54" s="75">
        <f>IF(Index!DF100=1,0,$H54*$K54*py*Index!DF53*Index!DF194/unit)</f>
        <v>0</v>
      </c>
      <c r="DH54" s="75">
        <f>IF(Index!DG100=1,0,$H54*$K54*py*Index!DG53*Index!DG194/unit)</f>
        <v>0</v>
      </c>
      <c r="DI54" s="75">
        <f>IF(Index!DH100=1,0,$H54*$K54*py*Index!DH53*Index!DH194/unit)</f>
        <v>0</v>
      </c>
      <c r="DJ54" s="75">
        <f>IF(Index!DI100=1,0,$H54*$K54*py*Index!DI53*Index!DI194/unit)</f>
        <v>0</v>
      </c>
      <c r="DK54" s="75">
        <f>IF(Index!DJ100=1,0,$H54*$K54*py*Index!DJ53*Index!DJ194/unit)</f>
        <v>0</v>
      </c>
      <c r="DL54" s="75">
        <f>IF(Index!DK100=1,0,$H54*$K54*py*Index!DK53*Index!DK194/unit)</f>
        <v>0</v>
      </c>
      <c r="DM54" s="75">
        <f>IF(Index!DL100=1,0,$H54*$K54*py*Index!DL53*Index!DL194/unit)</f>
        <v>0</v>
      </c>
    </row>
    <row r="55" spans="2:117">
      <c r="B55" s="27" t="str">
        <f>Rentroll!$C$52</f>
        <v>201호</v>
      </c>
      <c r="C55" s="69" t="str">
        <f>VLOOKUP($B55,Rentroll!$C$37:$Z$60,3,FALSE)</f>
        <v>RMW CARNE</v>
      </c>
      <c r="D55" s="80">
        <f>VLOOKUP($B55,Rentroll!$C$37:$Z$60,9,FALSE)</f>
        <v>45747</v>
      </c>
      <c r="E55" s="80">
        <f>VLOOKUP($B55,Rentroll!$C$37:$Z$60,10,FALSE)</f>
        <v>47573</v>
      </c>
      <c r="F55" s="81">
        <f>VLOOKUP($B55,Rentroll!$C$37:$Z$60,11,FALSE)</f>
        <v>60</v>
      </c>
      <c r="G55" s="69">
        <f>VLOOKUP($B55,Rentroll!$C$37:$Z$60,13,FALSE)</f>
        <v>130000</v>
      </c>
      <c r="H55" s="69">
        <f>VLOOKUP($B55,Rentroll!$C$37:$Z$60,14,FALSE)</f>
        <v>130000</v>
      </c>
      <c r="I55" s="69">
        <f>VLOOKUP($B55,Rentroll!$C$37:$Z$60,15,FALSE)</f>
        <v>45000</v>
      </c>
      <c r="J55" s="82">
        <f>VLOOKUP($B55,Rentroll!$C$37:$Z$60,19,FALSE)</f>
        <v>0.03</v>
      </c>
      <c r="K55" s="83">
        <f>VLOOKUP($B55,Rentroll!$C$37:$Z$60,4,FALSE)</f>
        <v>346.27249999999998</v>
      </c>
      <c r="L55" s="81">
        <f>VLOOKUP($B55,Rentroll!$C$37:$Z$60,17,FALSE)</f>
        <v>2</v>
      </c>
      <c r="M55" s="84">
        <f>VLOOKUP($B55,Rentroll!$C$37:$Z$60,18,FALSE)</f>
        <v>0</v>
      </c>
      <c r="O55" s="74" t="str">
        <f t="shared" si="16"/>
        <v>201호</v>
      </c>
      <c r="P55" s="75"/>
      <c r="Q55" s="75">
        <f t="shared" si="13"/>
        <v>809.65779481147183</v>
      </c>
      <c r="R55" s="75"/>
      <c r="S55" s="75">
        <f>IF(Index!R101=1,0,$H55*$K55*py*Index!R54*Index!R195/unit)</f>
        <v>0</v>
      </c>
      <c r="T55" s="75">
        <f>IF(Index!S101=1,0,$H55*$K55*py*Index!S54*Index!S195/unit)</f>
        <v>0</v>
      </c>
      <c r="U55" s="75">
        <f>IF(Index!T101=1,0,$H55*$K55*py*Index!T54*Index!T195/unit)</f>
        <v>0</v>
      </c>
      <c r="V55" s="75">
        <f>IF(Index!U101=1,0,$H55*$K55*py*Index!U54*Index!U195/unit)</f>
        <v>0</v>
      </c>
      <c r="W55" s="75">
        <f>IF(Index!V101=1,0,$H55*$K55*py*Index!V54*Index!V195/unit)</f>
        <v>0</v>
      </c>
      <c r="X55" s="75">
        <f>IF(Index!W101=1,0,$H55*$K55*py*Index!W54*Index!W195/unit)</f>
        <v>13.617166062500001</v>
      </c>
      <c r="Y55" s="75">
        <f>IF(Index!X101=1,0,$H55*$K55*py*Index!X54*Index!X195/unit)</f>
        <v>13.617166062500001</v>
      </c>
      <c r="Z55" s="75">
        <f>IF(Index!Y101=1,0,$H55*$K55*py*Index!Y54*Index!Y195/unit)</f>
        <v>13.617166062500001</v>
      </c>
      <c r="AA55" s="75">
        <f>IF(Index!Z101=1,0,$H55*$K55*py*Index!Z54*Index!Z195/unit)</f>
        <v>13.617166062500001</v>
      </c>
      <c r="AB55" s="75">
        <f>IF(Index!AA101=1,0,$H55*$K55*py*Index!AA54*Index!AA195/unit)</f>
        <v>13.617166062500001</v>
      </c>
      <c r="AC55" s="75">
        <f>IF(Index!AB101=1,0,$H55*$K55*py*Index!AB54*Index!AB195/unit)</f>
        <v>13.617166062500001</v>
      </c>
      <c r="AD55" s="75">
        <f>IF(Index!AC101=1,0,$H55*$K55*py*Index!AC54*Index!AC195/unit)</f>
        <v>13.617166062500001</v>
      </c>
      <c r="AE55" s="75">
        <f>IF(Index!AD101=1,0,$H55*$K55*py*Index!AD54*Index!AD195/unit)</f>
        <v>13.617166062500001</v>
      </c>
      <c r="AF55" s="75">
        <f>IF(Index!AE101=1,0,$H55*$K55*py*Index!AE54*Index!AE195/unit)</f>
        <v>13.617166062500001</v>
      </c>
      <c r="AG55" s="75">
        <f>IF(Index!AF101=1,0,$H55*$K55*py*Index!AF54*Index!AF195/unit)</f>
        <v>13.617166062500001</v>
      </c>
      <c r="AH55" s="75">
        <f>IF(Index!AG101=1,0,$H55*$K55*py*Index!AG54*Index!AG195/unit)</f>
        <v>14.025681044375</v>
      </c>
      <c r="AI55" s="75">
        <f>IF(Index!AH101=1,0,$H55*$K55*py*Index!AH54*Index!AH195/unit)</f>
        <v>14.025681044375</v>
      </c>
      <c r="AJ55" s="75">
        <f>IF(Index!AI101=1,0,$H55*$K55*py*Index!AI54*Index!AI195/unit)</f>
        <v>14.025681044375</v>
      </c>
      <c r="AK55" s="75">
        <f>IF(Index!AJ101=1,0,$H55*$K55*py*Index!AJ54*Index!AJ195/unit)</f>
        <v>14.025681044375</v>
      </c>
      <c r="AL55" s="75">
        <f>IF(Index!AK101=1,0,$H55*$K55*py*Index!AK54*Index!AK195/unit)</f>
        <v>14.025681044375</v>
      </c>
      <c r="AM55" s="75">
        <f>IF(Index!AL101=1,0,$H55*$K55*py*Index!AL54*Index!AL195/unit)</f>
        <v>14.025681044375</v>
      </c>
      <c r="AN55" s="75">
        <f>IF(Index!AM101=1,0,$H55*$K55*py*Index!AM54*Index!AM195/unit)</f>
        <v>14.025681044375</v>
      </c>
      <c r="AO55" s="75">
        <f>IF(Index!AN101=1,0,$H55*$K55*py*Index!AN54*Index!AN195/unit)</f>
        <v>14.025681044375</v>
      </c>
      <c r="AP55" s="75">
        <f>IF(Index!AO101=1,0,$H55*$K55*py*Index!AO54*Index!AO195/unit)</f>
        <v>14.025681044375</v>
      </c>
      <c r="AQ55" s="75">
        <f>IF(Index!AP101=1,0,$H55*$K55*py*Index!AP54*Index!AP195/unit)</f>
        <v>14.025681044375</v>
      </c>
      <c r="AR55" s="75">
        <f>IF(Index!AQ101=1,0,$H55*$K55*py*Index!AQ54*Index!AQ195/unit)</f>
        <v>14.025681044375</v>
      </c>
      <c r="AS55" s="75">
        <f>IF(Index!AR101=1,0,$H55*$K55*py*Index!AR54*Index!AR195/unit)</f>
        <v>14.025681044375</v>
      </c>
      <c r="AT55" s="75">
        <f>IF(Index!AS101=1,0,$H55*$K55*py*Index!AS54*Index!AS195/unit)</f>
        <v>14.446451475706249</v>
      </c>
      <c r="AU55" s="75">
        <f>IF(Index!AT101=1,0,$H55*$K55*py*Index!AT54*Index!AT195/unit)</f>
        <v>14.446451475706249</v>
      </c>
      <c r="AV55" s="75">
        <f>IF(Index!AU101=1,0,$H55*$K55*py*Index!AU54*Index!AU195/unit)</f>
        <v>14.446451475706249</v>
      </c>
      <c r="AW55" s="75">
        <f>IF(Index!AV101=1,0,$H55*$K55*py*Index!AV54*Index!AV195/unit)</f>
        <v>14.446451475706249</v>
      </c>
      <c r="AX55" s="75">
        <f>IF(Index!AW101=1,0,$H55*$K55*py*Index!AW54*Index!AW195/unit)</f>
        <v>14.446451475706249</v>
      </c>
      <c r="AY55" s="75">
        <f>IF(Index!AX101=1,0,$H55*$K55*py*Index!AX54*Index!AX195/unit)</f>
        <v>14.446451475706249</v>
      </c>
      <c r="AZ55" s="75">
        <f>IF(Index!AY101=1,0,$H55*$K55*py*Index!AY54*Index!AY195/unit)</f>
        <v>14.446451475706249</v>
      </c>
      <c r="BA55" s="75">
        <f>IF(Index!AZ101=1,0,$H55*$K55*py*Index!AZ54*Index!AZ195/unit)</f>
        <v>14.446451475706249</v>
      </c>
      <c r="BB55" s="75">
        <f>IF(Index!BA101=1,0,$H55*$K55*py*Index!BA54*Index!BA195/unit)</f>
        <v>14.446451475706249</v>
      </c>
      <c r="BC55" s="75">
        <f>IF(Index!BB101=1,0,$H55*$K55*py*Index!BB54*Index!BB195/unit)</f>
        <v>14.446451475706249</v>
      </c>
      <c r="BD55" s="75">
        <f>IF(Index!BC101=1,0,$H55*$K55*py*Index!BC54*Index!BC195/unit)</f>
        <v>14.446451475706249</v>
      </c>
      <c r="BE55" s="75">
        <f>IF(Index!BD101=1,0,$H55*$K55*py*Index!BD54*Index!BD195/unit)</f>
        <v>14.446451475706249</v>
      </c>
      <c r="BF55" s="75">
        <f>IF(Index!BE101=1,0,$H55*$K55*py*Index!BE54*Index!BE195/unit)</f>
        <v>14.879845019977438</v>
      </c>
      <c r="BG55" s="75">
        <f>IF(Index!BF101=1,0,$H55*$K55*py*Index!BF54*Index!BF195/unit)</f>
        <v>14.879845019977438</v>
      </c>
      <c r="BH55" s="75">
        <f>IF(Index!BG101=1,0,$H55*$K55*py*Index!BG54*Index!BG195/unit)</f>
        <v>14.879845019977438</v>
      </c>
      <c r="BI55" s="75">
        <f>IF(Index!BH101=1,0,$H55*$K55*py*Index!BH54*Index!BH195/unit)</f>
        <v>14.879845019977438</v>
      </c>
      <c r="BJ55" s="75">
        <f>IF(Index!BI101=1,0,$H55*$K55*py*Index!BI54*Index!BI195/unit)</f>
        <v>14.879845019977438</v>
      </c>
      <c r="BK55" s="75">
        <f>IF(Index!BJ101=1,0,$H55*$K55*py*Index!BJ54*Index!BJ195/unit)</f>
        <v>14.879845019977438</v>
      </c>
      <c r="BL55" s="75">
        <f>IF(Index!BK101=1,0,$H55*$K55*py*Index!BK54*Index!BK195/unit)</f>
        <v>14.879845019977438</v>
      </c>
      <c r="BM55" s="75">
        <f>IF(Index!BL101=1,0,$H55*$K55*py*Index!BL54*Index!BL195/unit)</f>
        <v>14.879845019977438</v>
      </c>
      <c r="BN55" s="75">
        <f>IF(Index!BM101=1,0,$H55*$K55*py*Index!BM54*Index!BM195/unit)</f>
        <v>14.879845019977438</v>
      </c>
      <c r="BO55" s="75">
        <f>IF(Index!BN101=1,0,$H55*$K55*py*Index!BN54*Index!BN195/unit)</f>
        <v>14.879845019977438</v>
      </c>
      <c r="BP55" s="75">
        <f>IF(Index!BO101=1,0,$H55*$K55*py*Index!BO54*Index!BO195/unit)</f>
        <v>14.879845019977438</v>
      </c>
      <c r="BQ55" s="75">
        <f>IF(Index!BP101=1,0,$H55*$K55*py*Index!BP54*Index!BP195/unit)</f>
        <v>14.879845019977438</v>
      </c>
      <c r="BR55" s="75">
        <f>IF(Index!BQ101=1,0,$H55*$K55*py*Index!BQ54*Index!BQ195/unit)</f>
        <v>15.326240370576759</v>
      </c>
      <c r="BS55" s="75">
        <f>IF(Index!BR101=1,0,$H55*$K55*py*Index!BR54*Index!BR195/unit)</f>
        <v>15.326240370576759</v>
      </c>
      <c r="BT55" s="75">
        <f>IF(Index!BS101=1,0,$H55*$K55*py*Index!BS54*Index!BS195/unit)</f>
        <v>15.326240370576759</v>
      </c>
      <c r="BU55" s="75">
        <f>IF(Index!BT101=1,0,$H55*$K55*py*Index!BT54*Index!BT195/unit)</f>
        <v>15.326240370576759</v>
      </c>
      <c r="BV55" s="75">
        <f>IF(Index!BU101=1,0,$H55*$K55*py*Index!BU54*Index!BU195/unit)</f>
        <v>15.326240370576759</v>
      </c>
      <c r="BW55" s="75">
        <f>IF(Index!BV101=1,0,$H55*$K55*py*Index!BV54*Index!BV195/unit)</f>
        <v>15.326240370576759</v>
      </c>
      <c r="BX55" s="75">
        <f>IF(Index!BW101=1,0,$H55*$K55*py*Index!BW54*Index!BW195/unit)</f>
        <v>15.326240370576759</v>
      </c>
      <c r="BY55" s="75">
        <f>IF(Index!BX101=1,0,$H55*$K55*py*Index!BX54*Index!BX195/unit)</f>
        <v>15.326240370576759</v>
      </c>
      <c r="BZ55" s="75">
        <f>IF(Index!BY101=1,0,$H55*$K55*py*Index!BY54*Index!BY195/unit)</f>
        <v>15.326240370576759</v>
      </c>
      <c r="CA55" s="75">
        <f>IF(Index!BZ101=1,0,$H55*$K55*py*Index!BZ54*Index!BZ195/unit)</f>
        <v>15.326240370576759</v>
      </c>
      <c r="CB55" s="75">
        <f>IF(Index!CA101=1,0,$H55*$K55*py*Index!CA54*Index!CA195/unit)</f>
        <v>0</v>
      </c>
      <c r="CC55" s="75">
        <f>IF(Index!CB101=1,0,$H55*$K55*py*Index!CB54*Index!CB195/unit)</f>
        <v>0</v>
      </c>
      <c r="CD55" s="75">
        <f>IF(Index!CC101=1,0,$H55*$K55*py*Index!CC54*Index!CC195/unit)</f>
        <v>0</v>
      </c>
      <c r="CE55" s="75">
        <f>IF(Index!CD101=1,0,$H55*$K55*py*Index!CD54*Index!CD195/unit)</f>
        <v>0</v>
      </c>
      <c r="CF55" s="75">
        <f>IF(Index!CE101=1,0,$H55*$K55*py*Index!CE54*Index!CE195/unit)</f>
        <v>0</v>
      </c>
      <c r="CG55" s="75">
        <f>IF(Index!CF101=1,0,$H55*$K55*py*Index!CF54*Index!CF195/unit)</f>
        <v>0</v>
      </c>
      <c r="CH55" s="75">
        <f>IF(Index!CG101=1,0,$H55*$K55*py*Index!CG54*Index!CG195/unit)</f>
        <v>0</v>
      </c>
      <c r="CI55" s="75">
        <f>IF(Index!CH101=1,0,$H55*$K55*py*Index!CH54*Index!CH195/unit)</f>
        <v>0</v>
      </c>
      <c r="CJ55" s="75">
        <f>IF(Index!CI101=1,0,$H55*$K55*py*Index!CI54*Index!CI195/unit)</f>
        <v>0</v>
      </c>
      <c r="CK55" s="75">
        <f>IF(Index!CJ101=1,0,$H55*$K55*py*Index!CJ54*Index!CJ195/unit)</f>
        <v>0</v>
      </c>
      <c r="CL55" s="75">
        <f>IF(Index!CK101=1,0,$H55*$K55*py*Index!CK54*Index!CK195/unit)</f>
        <v>0</v>
      </c>
      <c r="CM55" s="75">
        <f>IF(Index!CL101=1,0,$H55*$K55*py*Index!CL54*Index!CL195/unit)</f>
        <v>0</v>
      </c>
      <c r="CN55" s="75">
        <f>IF(Index!CM101=1,0,$H55*$K55*py*Index!CM54*Index!CM195/unit)</f>
        <v>0</v>
      </c>
      <c r="CO55" s="75">
        <f>IF(Index!CN101=1,0,$H55*$K55*py*Index!CN54*Index!CN195/unit)</f>
        <v>0</v>
      </c>
      <c r="CP55" s="75">
        <f>IF(Index!CO101=1,0,$H55*$K55*py*Index!CO54*Index!CO195/unit)</f>
        <v>0</v>
      </c>
      <c r="CQ55" s="75">
        <f>IF(Index!CP101=1,0,$H55*$K55*py*Index!CP54*Index!CP195/unit)</f>
        <v>0</v>
      </c>
      <c r="CR55" s="75">
        <f>IF(Index!CQ101=1,0,$H55*$K55*py*Index!CQ54*Index!CQ195/unit)</f>
        <v>0</v>
      </c>
      <c r="CS55" s="75">
        <f>IF(Index!CR101=1,0,$H55*$K55*py*Index!CR54*Index!CR195/unit)</f>
        <v>0</v>
      </c>
      <c r="CT55" s="75">
        <f>IF(Index!CS101=1,0,$H55*$K55*py*Index!CS54*Index!CS195/unit)</f>
        <v>0</v>
      </c>
      <c r="CU55" s="75">
        <f>IF(Index!CT101=1,0,$H55*$K55*py*Index!CT54*Index!CT195/unit)</f>
        <v>0</v>
      </c>
      <c r="CV55" s="75">
        <f>IF(Index!CU101=1,0,$H55*$K55*py*Index!CU54*Index!CU195/unit)</f>
        <v>0</v>
      </c>
      <c r="CW55" s="75">
        <f>IF(Index!CV101=1,0,$H55*$K55*py*Index!CV54*Index!CV195/unit)</f>
        <v>0</v>
      </c>
      <c r="CX55" s="75">
        <f>IF(Index!CW101=1,0,$H55*$K55*py*Index!CW54*Index!CW195/unit)</f>
        <v>0</v>
      </c>
      <c r="CY55" s="75">
        <f>IF(Index!CX101=1,0,$H55*$K55*py*Index!CX54*Index!CX195/unit)</f>
        <v>0</v>
      </c>
      <c r="CZ55" s="75">
        <f>IF(Index!CY101=1,0,$H55*$K55*py*Index!CY54*Index!CY195/unit)</f>
        <v>0</v>
      </c>
      <c r="DA55" s="75">
        <f>IF(Index!CZ101=1,0,$H55*$K55*py*Index!CZ54*Index!CZ195/unit)</f>
        <v>0</v>
      </c>
      <c r="DB55" s="75">
        <f>IF(Index!DA101=1,0,$H55*$K55*py*Index!DA54*Index!DA195/unit)</f>
        <v>0</v>
      </c>
      <c r="DC55" s="75">
        <f>IF(Index!DB101=1,0,$H55*$K55*py*Index!DB54*Index!DB195/unit)</f>
        <v>0</v>
      </c>
      <c r="DD55" s="75">
        <f>IF(Index!DC101=1,0,$H55*$K55*py*Index!DC54*Index!DC195/unit)</f>
        <v>0</v>
      </c>
      <c r="DE55" s="75">
        <f>IF(Index!DD101=1,0,$H55*$K55*py*Index!DD54*Index!DD195/unit)</f>
        <v>0</v>
      </c>
      <c r="DF55" s="75">
        <f>IF(Index!DE101=1,0,$H55*$K55*py*Index!DE54*Index!DE195/unit)</f>
        <v>0</v>
      </c>
      <c r="DG55" s="75">
        <f>IF(Index!DF101=1,0,$H55*$K55*py*Index!DF54*Index!DF195/unit)</f>
        <v>0</v>
      </c>
      <c r="DH55" s="75">
        <f>IF(Index!DG101=1,0,$H55*$K55*py*Index!DG54*Index!DG195/unit)</f>
        <v>0</v>
      </c>
      <c r="DI55" s="75">
        <f>IF(Index!DH101=1,0,$H55*$K55*py*Index!DH54*Index!DH195/unit)</f>
        <v>0</v>
      </c>
      <c r="DJ55" s="75">
        <f>IF(Index!DI101=1,0,$H55*$K55*py*Index!DI54*Index!DI195/unit)</f>
        <v>0</v>
      </c>
      <c r="DK55" s="75">
        <f>IF(Index!DJ101=1,0,$H55*$K55*py*Index!DJ54*Index!DJ195/unit)</f>
        <v>0</v>
      </c>
      <c r="DL55" s="75">
        <f>IF(Index!DK101=1,0,$H55*$K55*py*Index!DK54*Index!DK195/unit)</f>
        <v>0</v>
      </c>
      <c r="DM55" s="75">
        <f>IF(Index!DL101=1,0,$H55*$K55*py*Index!DL54*Index!DL195/unit)</f>
        <v>0</v>
      </c>
    </row>
    <row r="56" spans="2:117">
      <c r="B56" s="27" t="str">
        <f>Rentroll!$C$53</f>
        <v>202호</v>
      </c>
      <c r="C56" s="69" t="str">
        <f>VLOOKUP($B56,Rentroll!$C$37:$Z$60,3,FALSE)</f>
        <v>키이로</v>
      </c>
      <c r="D56" s="80">
        <f>VLOOKUP($B56,Rentroll!$C$37:$Z$60,9,FALSE)</f>
        <v>45747</v>
      </c>
      <c r="E56" s="80">
        <f>VLOOKUP($B56,Rentroll!$C$37:$Z$60,10,FALSE)</f>
        <v>47573</v>
      </c>
      <c r="F56" s="81">
        <f>VLOOKUP($B56,Rentroll!$C$37:$Z$60,11,FALSE)</f>
        <v>60</v>
      </c>
      <c r="G56" s="69">
        <f>VLOOKUP($B56,Rentroll!$C$37:$Z$60,13,FALSE)</f>
        <v>130000</v>
      </c>
      <c r="H56" s="69">
        <f>VLOOKUP($B56,Rentroll!$C$37:$Z$60,14,FALSE)</f>
        <v>130000</v>
      </c>
      <c r="I56" s="69">
        <f>VLOOKUP($B56,Rentroll!$C$37:$Z$60,15,FALSE)</f>
        <v>45000</v>
      </c>
      <c r="J56" s="82">
        <f>VLOOKUP($B56,Rentroll!$C$37:$Z$60,19,FALSE)</f>
        <v>0.03</v>
      </c>
      <c r="K56" s="83">
        <f>VLOOKUP($B56,Rentroll!$C$37:$Z$60,4,FALSE)</f>
        <v>346.27249999999998</v>
      </c>
      <c r="L56" s="81">
        <f>VLOOKUP($B56,Rentroll!$C$37:$Z$60,17,FALSE)</f>
        <v>2</v>
      </c>
      <c r="M56" s="84">
        <f>VLOOKUP($B56,Rentroll!$C$37:$Z$60,18,FALSE)</f>
        <v>0</v>
      </c>
      <c r="O56" s="74" t="str">
        <f t="shared" si="16"/>
        <v>202호</v>
      </c>
      <c r="P56" s="75"/>
      <c r="Q56" s="75">
        <f t="shared" si="13"/>
        <v>809.65779481147183</v>
      </c>
      <c r="R56" s="75"/>
      <c r="S56" s="75">
        <f>IF(Index!R102=1,0,$H56*$K56*py*Index!R55*Index!R196/unit)</f>
        <v>0</v>
      </c>
      <c r="T56" s="75">
        <f>IF(Index!S102=1,0,$H56*$K56*py*Index!S55*Index!S196/unit)</f>
        <v>0</v>
      </c>
      <c r="U56" s="75">
        <f>IF(Index!T102=1,0,$H56*$K56*py*Index!T55*Index!T196/unit)</f>
        <v>0</v>
      </c>
      <c r="V56" s="75">
        <f>IF(Index!U102=1,0,$H56*$K56*py*Index!U55*Index!U196/unit)</f>
        <v>0</v>
      </c>
      <c r="W56" s="75">
        <f>IF(Index!V102=1,0,$H56*$K56*py*Index!V55*Index!V196/unit)</f>
        <v>0</v>
      </c>
      <c r="X56" s="75">
        <f>IF(Index!W102=1,0,$H56*$K56*py*Index!W55*Index!W196/unit)</f>
        <v>13.617166062500001</v>
      </c>
      <c r="Y56" s="75">
        <f>IF(Index!X102=1,0,$H56*$K56*py*Index!X55*Index!X196/unit)</f>
        <v>13.617166062500001</v>
      </c>
      <c r="Z56" s="75">
        <f>IF(Index!Y102=1,0,$H56*$K56*py*Index!Y55*Index!Y196/unit)</f>
        <v>13.617166062500001</v>
      </c>
      <c r="AA56" s="75">
        <f>IF(Index!Z102=1,0,$H56*$K56*py*Index!Z55*Index!Z196/unit)</f>
        <v>13.617166062500001</v>
      </c>
      <c r="AB56" s="75">
        <f>IF(Index!AA102=1,0,$H56*$K56*py*Index!AA55*Index!AA196/unit)</f>
        <v>13.617166062500001</v>
      </c>
      <c r="AC56" s="75">
        <f>IF(Index!AB102=1,0,$H56*$K56*py*Index!AB55*Index!AB196/unit)</f>
        <v>13.617166062500001</v>
      </c>
      <c r="AD56" s="75">
        <f>IF(Index!AC102=1,0,$H56*$K56*py*Index!AC55*Index!AC196/unit)</f>
        <v>13.617166062500001</v>
      </c>
      <c r="AE56" s="75">
        <f>IF(Index!AD102=1,0,$H56*$K56*py*Index!AD55*Index!AD196/unit)</f>
        <v>13.617166062500001</v>
      </c>
      <c r="AF56" s="75">
        <f>IF(Index!AE102=1,0,$H56*$K56*py*Index!AE55*Index!AE196/unit)</f>
        <v>13.617166062500001</v>
      </c>
      <c r="AG56" s="75">
        <f>IF(Index!AF102=1,0,$H56*$K56*py*Index!AF55*Index!AF196/unit)</f>
        <v>13.617166062500001</v>
      </c>
      <c r="AH56" s="75">
        <f>IF(Index!AG102=1,0,$H56*$K56*py*Index!AG55*Index!AG196/unit)</f>
        <v>14.025681044375</v>
      </c>
      <c r="AI56" s="75">
        <f>IF(Index!AH102=1,0,$H56*$K56*py*Index!AH55*Index!AH196/unit)</f>
        <v>14.025681044375</v>
      </c>
      <c r="AJ56" s="75">
        <f>IF(Index!AI102=1,0,$H56*$K56*py*Index!AI55*Index!AI196/unit)</f>
        <v>14.025681044375</v>
      </c>
      <c r="AK56" s="75">
        <f>IF(Index!AJ102=1,0,$H56*$K56*py*Index!AJ55*Index!AJ196/unit)</f>
        <v>14.025681044375</v>
      </c>
      <c r="AL56" s="75">
        <f>IF(Index!AK102=1,0,$H56*$K56*py*Index!AK55*Index!AK196/unit)</f>
        <v>14.025681044375</v>
      </c>
      <c r="AM56" s="75">
        <f>IF(Index!AL102=1,0,$H56*$K56*py*Index!AL55*Index!AL196/unit)</f>
        <v>14.025681044375</v>
      </c>
      <c r="AN56" s="75">
        <f>IF(Index!AM102=1,0,$H56*$K56*py*Index!AM55*Index!AM196/unit)</f>
        <v>14.025681044375</v>
      </c>
      <c r="AO56" s="75">
        <f>IF(Index!AN102=1,0,$H56*$K56*py*Index!AN55*Index!AN196/unit)</f>
        <v>14.025681044375</v>
      </c>
      <c r="AP56" s="75">
        <f>IF(Index!AO102=1,0,$H56*$K56*py*Index!AO55*Index!AO196/unit)</f>
        <v>14.025681044375</v>
      </c>
      <c r="AQ56" s="75">
        <f>IF(Index!AP102=1,0,$H56*$K56*py*Index!AP55*Index!AP196/unit)</f>
        <v>14.025681044375</v>
      </c>
      <c r="AR56" s="75">
        <f>IF(Index!AQ102=1,0,$H56*$K56*py*Index!AQ55*Index!AQ196/unit)</f>
        <v>14.025681044375</v>
      </c>
      <c r="AS56" s="75">
        <f>IF(Index!AR102=1,0,$H56*$K56*py*Index!AR55*Index!AR196/unit)</f>
        <v>14.025681044375</v>
      </c>
      <c r="AT56" s="75">
        <f>IF(Index!AS102=1,0,$H56*$K56*py*Index!AS55*Index!AS196/unit)</f>
        <v>14.446451475706249</v>
      </c>
      <c r="AU56" s="75">
        <f>IF(Index!AT102=1,0,$H56*$K56*py*Index!AT55*Index!AT196/unit)</f>
        <v>14.446451475706249</v>
      </c>
      <c r="AV56" s="75">
        <f>IF(Index!AU102=1,0,$H56*$K56*py*Index!AU55*Index!AU196/unit)</f>
        <v>14.446451475706249</v>
      </c>
      <c r="AW56" s="75">
        <f>IF(Index!AV102=1,0,$H56*$K56*py*Index!AV55*Index!AV196/unit)</f>
        <v>14.446451475706249</v>
      </c>
      <c r="AX56" s="75">
        <f>IF(Index!AW102=1,0,$H56*$K56*py*Index!AW55*Index!AW196/unit)</f>
        <v>14.446451475706249</v>
      </c>
      <c r="AY56" s="75">
        <f>IF(Index!AX102=1,0,$H56*$K56*py*Index!AX55*Index!AX196/unit)</f>
        <v>14.446451475706249</v>
      </c>
      <c r="AZ56" s="75">
        <f>IF(Index!AY102=1,0,$H56*$K56*py*Index!AY55*Index!AY196/unit)</f>
        <v>14.446451475706249</v>
      </c>
      <c r="BA56" s="75">
        <f>IF(Index!AZ102=1,0,$H56*$K56*py*Index!AZ55*Index!AZ196/unit)</f>
        <v>14.446451475706249</v>
      </c>
      <c r="BB56" s="75">
        <f>IF(Index!BA102=1,0,$H56*$K56*py*Index!BA55*Index!BA196/unit)</f>
        <v>14.446451475706249</v>
      </c>
      <c r="BC56" s="75">
        <f>IF(Index!BB102=1,0,$H56*$K56*py*Index!BB55*Index!BB196/unit)</f>
        <v>14.446451475706249</v>
      </c>
      <c r="BD56" s="75">
        <f>IF(Index!BC102=1,0,$H56*$K56*py*Index!BC55*Index!BC196/unit)</f>
        <v>14.446451475706249</v>
      </c>
      <c r="BE56" s="75">
        <f>IF(Index!BD102=1,0,$H56*$K56*py*Index!BD55*Index!BD196/unit)</f>
        <v>14.446451475706249</v>
      </c>
      <c r="BF56" s="75">
        <f>IF(Index!BE102=1,0,$H56*$K56*py*Index!BE55*Index!BE196/unit)</f>
        <v>14.879845019977438</v>
      </c>
      <c r="BG56" s="75">
        <f>IF(Index!BF102=1,0,$H56*$K56*py*Index!BF55*Index!BF196/unit)</f>
        <v>14.879845019977438</v>
      </c>
      <c r="BH56" s="75">
        <f>IF(Index!BG102=1,0,$H56*$K56*py*Index!BG55*Index!BG196/unit)</f>
        <v>14.879845019977438</v>
      </c>
      <c r="BI56" s="75">
        <f>IF(Index!BH102=1,0,$H56*$K56*py*Index!BH55*Index!BH196/unit)</f>
        <v>14.879845019977438</v>
      </c>
      <c r="BJ56" s="75">
        <f>IF(Index!BI102=1,0,$H56*$K56*py*Index!BI55*Index!BI196/unit)</f>
        <v>14.879845019977438</v>
      </c>
      <c r="BK56" s="75">
        <f>IF(Index!BJ102=1,0,$H56*$K56*py*Index!BJ55*Index!BJ196/unit)</f>
        <v>14.879845019977438</v>
      </c>
      <c r="BL56" s="75">
        <f>IF(Index!BK102=1,0,$H56*$K56*py*Index!BK55*Index!BK196/unit)</f>
        <v>14.879845019977438</v>
      </c>
      <c r="BM56" s="75">
        <f>IF(Index!BL102=1,0,$H56*$K56*py*Index!BL55*Index!BL196/unit)</f>
        <v>14.879845019977438</v>
      </c>
      <c r="BN56" s="75">
        <f>IF(Index!BM102=1,0,$H56*$K56*py*Index!BM55*Index!BM196/unit)</f>
        <v>14.879845019977438</v>
      </c>
      <c r="BO56" s="75">
        <f>IF(Index!BN102=1,0,$H56*$K56*py*Index!BN55*Index!BN196/unit)</f>
        <v>14.879845019977438</v>
      </c>
      <c r="BP56" s="75">
        <f>IF(Index!BO102=1,0,$H56*$K56*py*Index!BO55*Index!BO196/unit)</f>
        <v>14.879845019977438</v>
      </c>
      <c r="BQ56" s="75">
        <f>IF(Index!BP102=1,0,$H56*$K56*py*Index!BP55*Index!BP196/unit)</f>
        <v>14.879845019977438</v>
      </c>
      <c r="BR56" s="75">
        <f>IF(Index!BQ102=1,0,$H56*$K56*py*Index!BQ55*Index!BQ196/unit)</f>
        <v>15.326240370576759</v>
      </c>
      <c r="BS56" s="75">
        <f>IF(Index!BR102=1,0,$H56*$K56*py*Index!BR55*Index!BR196/unit)</f>
        <v>15.326240370576759</v>
      </c>
      <c r="BT56" s="75">
        <f>IF(Index!BS102=1,0,$H56*$K56*py*Index!BS55*Index!BS196/unit)</f>
        <v>15.326240370576759</v>
      </c>
      <c r="BU56" s="75">
        <f>IF(Index!BT102=1,0,$H56*$K56*py*Index!BT55*Index!BT196/unit)</f>
        <v>15.326240370576759</v>
      </c>
      <c r="BV56" s="75">
        <f>IF(Index!BU102=1,0,$H56*$K56*py*Index!BU55*Index!BU196/unit)</f>
        <v>15.326240370576759</v>
      </c>
      <c r="BW56" s="75">
        <f>IF(Index!BV102=1,0,$H56*$K56*py*Index!BV55*Index!BV196/unit)</f>
        <v>15.326240370576759</v>
      </c>
      <c r="BX56" s="75">
        <f>IF(Index!BW102=1,0,$H56*$K56*py*Index!BW55*Index!BW196/unit)</f>
        <v>15.326240370576759</v>
      </c>
      <c r="BY56" s="75">
        <f>IF(Index!BX102=1,0,$H56*$K56*py*Index!BX55*Index!BX196/unit)</f>
        <v>15.326240370576759</v>
      </c>
      <c r="BZ56" s="75">
        <f>IF(Index!BY102=1,0,$H56*$K56*py*Index!BY55*Index!BY196/unit)</f>
        <v>15.326240370576759</v>
      </c>
      <c r="CA56" s="75">
        <f>IF(Index!BZ102=1,0,$H56*$K56*py*Index!BZ55*Index!BZ196/unit)</f>
        <v>15.326240370576759</v>
      </c>
      <c r="CB56" s="75">
        <f>IF(Index!CA102=1,0,$H56*$K56*py*Index!CA55*Index!CA196/unit)</f>
        <v>0</v>
      </c>
      <c r="CC56" s="75">
        <f>IF(Index!CB102=1,0,$H56*$K56*py*Index!CB55*Index!CB196/unit)</f>
        <v>0</v>
      </c>
      <c r="CD56" s="75">
        <f>IF(Index!CC102=1,0,$H56*$K56*py*Index!CC55*Index!CC196/unit)</f>
        <v>0</v>
      </c>
      <c r="CE56" s="75">
        <f>IF(Index!CD102=1,0,$H56*$K56*py*Index!CD55*Index!CD196/unit)</f>
        <v>0</v>
      </c>
      <c r="CF56" s="75">
        <f>IF(Index!CE102=1,0,$H56*$K56*py*Index!CE55*Index!CE196/unit)</f>
        <v>0</v>
      </c>
      <c r="CG56" s="75">
        <f>IF(Index!CF102=1,0,$H56*$K56*py*Index!CF55*Index!CF196/unit)</f>
        <v>0</v>
      </c>
      <c r="CH56" s="75">
        <f>IF(Index!CG102=1,0,$H56*$K56*py*Index!CG55*Index!CG196/unit)</f>
        <v>0</v>
      </c>
      <c r="CI56" s="75">
        <f>IF(Index!CH102=1,0,$H56*$K56*py*Index!CH55*Index!CH196/unit)</f>
        <v>0</v>
      </c>
      <c r="CJ56" s="75">
        <f>IF(Index!CI102=1,0,$H56*$K56*py*Index!CI55*Index!CI196/unit)</f>
        <v>0</v>
      </c>
      <c r="CK56" s="75">
        <f>IF(Index!CJ102=1,0,$H56*$K56*py*Index!CJ55*Index!CJ196/unit)</f>
        <v>0</v>
      </c>
      <c r="CL56" s="75">
        <f>IF(Index!CK102=1,0,$H56*$K56*py*Index!CK55*Index!CK196/unit)</f>
        <v>0</v>
      </c>
      <c r="CM56" s="75">
        <f>IF(Index!CL102=1,0,$H56*$K56*py*Index!CL55*Index!CL196/unit)</f>
        <v>0</v>
      </c>
      <c r="CN56" s="75">
        <f>IF(Index!CM102=1,0,$H56*$K56*py*Index!CM55*Index!CM196/unit)</f>
        <v>0</v>
      </c>
      <c r="CO56" s="75">
        <f>IF(Index!CN102=1,0,$H56*$K56*py*Index!CN55*Index!CN196/unit)</f>
        <v>0</v>
      </c>
      <c r="CP56" s="75">
        <f>IF(Index!CO102=1,0,$H56*$K56*py*Index!CO55*Index!CO196/unit)</f>
        <v>0</v>
      </c>
      <c r="CQ56" s="75">
        <f>IF(Index!CP102=1,0,$H56*$K56*py*Index!CP55*Index!CP196/unit)</f>
        <v>0</v>
      </c>
      <c r="CR56" s="75">
        <f>IF(Index!CQ102=1,0,$H56*$K56*py*Index!CQ55*Index!CQ196/unit)</f>
        <v>0</v>
      </c>
      <c r="CS56" s="75">
        <f>IF(Index!CR102=1,0,$H56*$K56*py*Index!CR55*Index!CR196/unit)</f>
        <v>0</v>
      </c>
      <c r="CT56" s="75">
        <f>IF(Index!CS102=1,0,$H56*$K56*py*Index!CS55*Index!CS196/unit)</f>
        <v>0</v>
      </c>
      <c r="CU56" s="75">
        <f>IF(Index!CT102=1,0,$H56*$K56*py*Index!CT55*Index!CT196/unit)</f>
        <v>0</v>
      </c>
      <c r="CV56" s="75">
        <f>IF(Index!CU102=1,0,$H56*$K56*py*Index!CU55*Index!CU196/unit)</f>
        <v>0</v>
      </c>
      <c r="CW56" s="75">
        <f>IF(Index!CV102=1,0,$H56*$K56*py*Index!CV55*Index!CV196/unit)</f>
        <v>0</v>
      </c>
      <c r="CX56" s="75">
        <f>IF(Index!CW102=1,0,$H56*$K56*py*Index!CW55*Index!CW196/unit)</f>
        <v>0</v>
      </c>
      <c r="CY56" s="75">
        <f>IF(Index!CX102=1,0,$H56*$K56*py*Index!CX55*Index!CX196/unit)</f>
        <v>0</v>
      </c>
      <c r="CZ56" s="75">
        <f>IF(Index!CY102=1,0,$H56*$K56*py*Index!CY55*Index!CY196/unit)</f>
        <v>0</v>
      </c>
      <c r="DA56" s="75">
        <f>IF(Index!CZ102=1,0,$H56*$K56*py*Index!CZ55*Index!CZ196/unit)</f>
        <v>0</v>
      </c>
      <c r="DB56" s="75">
        <f>IF(Index!DA102=1,0,$H56*$K56*py*Index!DA55*Index!DA196/unit)</f>
        <v>0</v>
      </c>
      <c r="DC56" s="75">
        <f>IF(Index!DB102=1,0,$H56*$K56*py*Index!DB55*Index!DB196/unit)</f>
        <v>0</v>
      </c>
      <c r="DD56" s="75">
        <f>IF(Index!DC102=1,0,$H56*$K56*py*Index!DC55*Index!DC196/unit)</f>
        <v>0</v>
      </c>
      <c r="DE56" s="75">
        <f>IF(Index!DD102=1,0,$H56*$K56*py*Index!DD55*Index!DD196/unit)</f>
        <v>0</v>
      </c>
      <c r="DF56" s="75">
        <f>IF(Index!DE102=1,0,$H56*$K56*py*Index!DE55*Index!DE196/unit)</f>
        <v>0</v>
      </c>
      <c r="DG56" s="75">
        <f>IF(Index!DF102=1,0,$H56*$K56*py*Index!DF55*Index!DF196/unit)</f>
        <v>0</v>
      </c>
      <c r="DH56" s="75">
        <f>IF(Index!DG102=1,0,$H56*$K56*py*Index!DG55*Index!DG196/unit)</f>
        <v>0</v>
      </c>
      <c r="DI56" s="75">
        <f>IF(Index!DH102=1,0,$H56*$K56*py*Index!DH55*Index!DH196/unit)</f>
        <v>0</v>
      </c>
      <c r="DJ56" s="75">
        <f>IF(Index!DI102=1,0,$H56*$K56*py*Index!DI55*Index!DI196/unit)</f>
        <v>0</v>
      </c>
      <c r="DK56" s="75">
        <f>IF(Index!DJ102=1,0,$H56*$K56*py*Index!DJ55*Index!DJ196/unit)</f>
        <v>0</v>
      </c>
      <c r="DL56" s="75">
        <f>IF(Index!DK102=1,0,$H56*$K56*py*Index!DK55*Index!DK196/unit)</f>
        <v>0</v>
      </c>
      <c r="DM56" s="75">
        <f>IF(Index!DL102=1,0,$H56*$K56*py*Index!DL55*Index!DL196/unit)</f>
        <v>0</v>
      </c>
    </row>
    <row r="57" spans="2:117">
      <c r="B57" s="27" t="str">
        <f>Rentroll!$C$54</f>
        <v>203호</v>
      </c>
      <c r="C57" s="69" t="str">
        <f>VLOOKUP($B57,Rentroll!$C$37:$Z$60,3,FALSE)</f>
        <v>주 052</v>
      </c>
      <c r="D57" s="80">
        <f>VLOOKUP($B57,Rentroll!$C$37:$Z$60,9,FALSE)</f>
        <v>45747</v>
      </c>
      <c r="E57" s="80">
        <f>VLOOKUP($B57,Rentroll!$C$37:$Z$60,10,FALSE)</f>
        <v>47573</v>
      </c>
      <c r="F57" s="81">
        <f>VLOOKUP($B57,Rentroll!$C$37:$Z$60,11,FALSE)</f>
        <v>60</v>
      </c>
      <c r="G57" s="69">
        <f>VLOOKUP($B57,Rentroll!$C$37:$Z$60,13,FALSE)</f>
        <v>130000</v>
      </c>
      <c r="H57" s="69">
        <f>VLOOKUP($B57,Rentroll!$C$37:$Z$60,14,FALSE)</f>
        <v>130000</v>
      </c>
      <c r="I57" s="69">
        <f>VLOOKUP($B57,Rentroll!$C$37:$Z$60,15,FALSE)</f>
        <v>45000</v>
      </c>
      <c r="J57" s="82">
        <f>VLOOKUP($B57,Rentroll!$C$37:$Z$60,19,FALSE)</f>
        <v>0.03</v>
      </c>
      <c r="K57" s="83">
        <f>VLOOKUP($B57,Rentroll!$C$37:$Z$60,4,FALSE)</f>
        <v>346.27249999999998</v>
      </c>
      <c r="L57" s="81">
        <f>VLOOKUP($B57,Rentroll!$C$37:$Z$60,17,FALSE)</f>
        <v>2</v>
      </c>
      <c r="M57" s="84">
        <f>VLOOKUP($B57,Rentroll!$C$37:$Z$60,18,FALSE)</f>
        <v>0</v>
      </c>
      <c r="O57" s="74" t="str">
        <f t="shared" si="16"/>
        <v>203호</v>
      </c>
      <c r="P57" s="75"/>
      <c r="Q57" s="75">
        <f t="shared" si="13"/>
        <v>809.65779481147183</v>
      </c>
      <c r="R57" s="75"/>
      <c r="S57" s="75">
        <f>IF(Index!R103=1,0,$H57*$K57*py*Index!R56*Index!R197/unit)</f>
        <v>0</v>
      </c>
      <c r="T57" s="75">
        <f>IF(Index!S103=1,0,$H57*$K57*py*Index!S56*Index!S197/unit)</f>
        <v>0</v>
      </c>
      <c r="U57" s="75">
        <f>IF(Index!T103=1,0,$H57*$K57*py*Index!T56*Index!T197/unit)</f>
        <v>0</v>
      </c>
      <c r="V57" s="75">
        <f>IF(Index!U103=1,0,$H57*$K57*py*Index!U56*Index!U197/unit)</f>
        <v>0</v>
      </c>
      <c r="W57" s="75">
        <f>IF(Index!V103=1,0,$H57*$K57*py*Index!V56*Index!V197/unit)</f>
        <v>0</v>
      </c>
      <c r="X57" s="75">
        <f>IF(Index!W103=1,0,$H57*$K57*py*Index!W56*Index!W197/unit)</f>
        <v>13.617166062500001</v>
      </c>
      <c r="Y57" s="75">
        <f>IF(Index!X103=1,0,$H57*$K57*py*Index!X56*Index!X197/unit)</f>
        <v>13.617166062500001</v>
      </c>
      <c r="Z57" s="75">
        <f>IF(Index!Y103=1,0,$H57*$K57*py*Index!Y56*Index!Y197/unit)</f>
        <v>13.617166062500001</v>
      </c>
      <c r="AA57" s="75">
        <f>IF(Index!Z103=1,0,$H57*$K57*py*Index!Z56*Index!Z197/unit)</f>
        <v>13.617166062500001</v>
      </c>
      <c r="AB57" s="75">
        <f>IF(Index!AA103=1,0,$H57*$K57*py*Index!AA56*Index!AA197/unit)</f>
        <v>13.617166062500001</v>
      </c>
      <c r="AC57" s="75">
        <f>IF(Index!AB103=1,0,$H57*$K57*py*Index!AB56*Index!AB197/unit)</f>
        <v>13.617166062500001</v>
      </c>
      <c r="AD57" s="75">
        <f>IF(Index!AC103=1,0,$H57*$K57*py*Index!AC56*Index!AC197/unit)</f>
        <v>13.617166062500001</v>
      </c>
      <c r="AE57" s="75">
        <f>IF(Index!AD103=1,0,$H57*$K57*py*Index!AD56*Index!AD197/unit)</f>
        <v>13.617166062500001</v>
      </c>
      <c r="AF57" s="75">
        <f>IF(Index!AE103=1,0,$H57*$K57*py*Index!AE56*Index!AE197/unit)</f>
        <v>13.617166062500001</v>
      </c>
      <c r="AG57" s="75">
        <f>IF(Index!AF103=1,0,$H57*$K57*py*Index!AF56*Index!AF197/unit)</f>
        <v>13.617166062500001</v>
      </c>
      <c r="AH57" s="75">
        <f>IF(Index!AG103=1,0,$H57*$K57*py*Index!AG56*Index!AG197/unit)</f>
        <v>14.025681044375</v>
      </c>
      <c r="AI57" s="75">
        <f>IF(Index!AH103=1,0,$H57*$K57*py*Index!AH56*Index!AH197/unit)</f>
        <v>14.025681044375</v>
      </c>
      <c r="AJ57" s="75">
        <f>IF(Index!AI103=1,0,$H57*$K57*py*Index!AI56*Index!AI197/unit)</f>
        <v>14.025681044375</v>
      </c>
      <c r="AK57" s="75">
        <f>IF(Index!AJ103=1,0,$H57*$K57*py*Index!AJ56*Index!AJ197/unit)</f>
        <v>14.025681044375</v>
      </c>
      <c r="AL57" s="75">
        <f>IF(Index!AK103=1,0,$H57*$K57*py*Index!AK56*Index!AK197/unit)</f>
        <v>14.025681044375</v>
      </c>
      <c r="AM57" s="75">
        <f>IF(Index!AL103=1,0,$H57*$K57*py*Index!AL56*Index!AL197/unit)</f>
        <v>14.025681044375</v>
      </c>
      <c r="AN57" s="75">
        <f>IF(Index!AM103=1,0,$H57*$K57*py*Index!AM56*Index!AM197/unit)</f>
        <v>14.025681044375</v>
      </c>
      <c r="AO57" s="75">
        <f>IF(Index!AN103=1,0,$H57*$K57*py*Index!AN56*Index!AN197/unit)</f>
        <v>14.025681044375</v>
      </c>
      <c r="AP57" s="75">
        <f>IF(Index!AO103=1,0,$H57*$K57*py*Index!AO56*Index!AO197/unit)</f>
        <v>14.025681044375</v>
      </c>
      <c r="AQ57" s="75">
        <f>IF(Index!AP103=1,0,$H57*$K57*py*Index!AP56*Index!AP197/unit)</f>
        <v>14.025681044375</v>
      </c>
      <c r="AR57" s="75">
        <f>IF(Index!AQ103=1,0,$H57*$K57*py*Index!AQ56*Index!AQ197/unit)</f>
        <v>14.025681044375</v>
      </c>
      <c r="AS57" s="75">
        <f>IF(Index!AR103=1,0,$H57*$K57*py*Index!AR56*Index!AR197/unit)</f>
        <v>14.025681044375</v>
      </c>
      <c r="AT57" s="75">
        <f>IF(Index!AS103=1,0,$H57*$K57*py*Index!AS56*Index!AS197/unit)</f>
        <v>14.446451475706249</v>
      </c>
      <c r="AU57" s="75">
        <f>IF(Index!AT103=1,0,$H57*$K57*py*Index!AT56*Index!AT197/unit)</f>
        <v>14.446451475706249</v>
      </c>
      <c r="AV57" s="75">
        <f>IF(Index!AU103=1,0,$H57*$K57*py*Index!AU56*Index!AU197/unit)</f>
        <v>14.446451475706249</v>
      </c>
      <c r="AW57" s="75">
        <f>IF(Index!AV103=1,0,$H57*$K57*py*Index!AV56*Index!AV197/unit)</f>
        <v>14.446451475706249</v>
      </c>
      <c r="AX57" s="75">
        <f>IF(Index!AW103=1,0,$H57*$K57*py*Index!AW56*Index!AW197/unit)</f>
        <v>14.446451475706249</v>
      </c>
      <c r="AY57" s="75">
        <f>IF(Index!AX103=1,0,$H57*$K57*py*Index!AX56*Index!AX197/unit)</f>
        <v>14.446451475706249</v>
      </c>
      <c r="AZ57" s="75">
        <f>IF(Index!AY103=1,0,$H57*$K57*py*Index!AY56*Index!AY197/unit)</f>
        <v>14.446451475706249</v>
      </c>
      <c r="BA57" s="75">
        <f>IF(Index!AZ103=1,0,$H57*$K57*py*Index!AZ56*Index!AZ197/unit)</f>
        <v>14.446451475706249</v>
      </c>
      <c r="BB57" s="75">
        <f>IF(Index!BA103=1,0,$H57*$K57*py*Index!BA56*Index!BA197/unit)</f>
        <v>14.446451475706249</v>
      </c>
      <c r="BC57" s="75">
        <f>IF(Index!BB103=1,0,$H57*$K57*py*Index!BB56*Index!BB197/unit)</f>
        <v>14.446451475706249</v>
      </c>
      <c r="BD57" s="75">
        <f>IF(Index!BC103=1,0,$H57*$K57*py*Index!BC56*Index!BC197/unit)</f>
        <v>14.446451475706249</v>
      </c>
      <c r="BE57" s="75">
        <f>IF(Index!BD103=1,0,$H57*$K57*py*Index!BD56*Index!BD197/unit)</f>
        <v>14.446451475706249</v>
      </c>
      <c r="BF57" s="75">
        <f>IF(Index!BE103=1,0,$H57*$K57*py*Index!BE56*Index!BE197/unit)</f>
        <v>14.879845019977438</v>
      </c>
      <c r="BG57" s="75">
        <f>IF(Index!BF103=1,0,$H57*$K57*py*Index!BF56*Index!BF197/unit)</f>
        <v>14.879845019977438</v>
      </c>
      <c r="BH57" s="75">
        <f>IF(Index!BG103=1,0,$H57*$K57*py*Index!BG56*Index!BG197/unit)</f>
        <v>14.879845019977438</v>
      </c>
      <c r="BI57" s="75">
        <f>IF(Index!BH103=1,0,$H57*$K57*py*Index!BH56*Index!BH197/unit)</f>
        <v>14.879845019977438</v>
      </c>
      <c r="BJ57" s="75">
        <f>IF(Index!BI103=1,0,$H57*$K57*py*Index!BI56*Index!BI197/unit)</f>
        <v>14.879845019977438</v>
      </c>
      <c r="BK57" s="75">
        <f>IF(Index!BJ103=1,0,$H57*$K57*py*Index!BJ56*Index!BJ197/unit)</f>
        <v>14.879845019977438</v>
      </c>
      <c r="BL57" s="75">
        <f>IF(Index!BK103=1,0,$H57*$K57*py*Index!BK56*Index!BK197/unit)</f>
        <v>14.879845019977438</v>
      </c>
      <c r="BM57" s="75">
        <f>IF(Index!BL103=1,0,$H57*$K57*py*Index!BL56*Index!BL197/unit)</f>
        <v>14.879845019977438</v>
      </c>
      <c r="BN57" s="75">
        <f>IF(Index!BM103=1,0,$H57*$K57*py*Index!BM56*Index!BM197/unit)</f>
        <v>14.879845019977438</v>
      </c>
      <c r="BO57" s="75">
        <f>IF(Index!BN103=1,0,$H57*$K57*py*Index!BN56*Index!BN197/unit)</f>
        <v>14.879845019977438</v>
      </c>
      <c r="BP57" s="75">
        <f>IF(Index!BO103=1,0,$H57*$K57*py*Index!BO56*Index!BO197/unit)</f>
        <v>14.879845019977438</v>
      </c>
      <c r="BQ57" s="75">
        <f>IF(Index!BP103=1,0,$H57*$K57*py*Index!BP56*Index!BP197/unit)</f>
        <v>14.879845019977438</v>
      </c>
      <c r="BR57" s="75">
        <f>IF(Index!BQ103=1,0,$H57*$K57*py*Index!BQ56*Index!BQ197/unit)</f>
        <v>15.326240370576759</v>
      </c>
      <c r="BS57" s="75">
        <f>IF(Index!BR103=1,0,$H57*$K57*py*Index!BR56*Index!BR197/unit)</f>
        <v>15.326240370576759</v>
      </c>
      <c r="BT57" s="75">
        <f>IF(Index!BS103=1,0,$H57*$K57*py*Index!BS56*Index!BS197/unit)</f>
        <v>15.326240370576759</v>
      </c>
      <c r="BU57" s="75">
        <f>IF(Index!BT103=1,0,$H57*$K57*py*Index!BT56*Index!BT197/unit)</f>
        <v>15.326240370576759</v>
      </c>
      <c r="BV57" s="75">
        <f>IF(Index!BU103=1,0,$H57*$K57*py*Index!BU56*Index!BU197/unit)</f>
        <v>15.326240370576759</v>
      </c>
      <c r="BW57" s="75">
        <f>IF(Index!BV103=1,0,$H57*$K57*py*Index!BV56*Index!BV197/unit)</f>
        <v>15.326240370576759</v>
      </c>
      <c r="BX57" s="75">
        <f>IF(Index!BW103=1,0,$H57*$K57*py*Index!BW56*Index!BW197/unit)</f>
        <v>15.326240370576759</v>
      </c>
      <c r="BY57" s="75">
        <f>IF(Index!BX103=1,0,$H57*$K57*py*Index!BX56*Index!BX197/unit)</f>
        <v>15.326240370576759</v>
      </c>
      <c r="BZ57" s="75">
        <f>IF(Index!BY103=1,0,$H57*$K57*py*Index!BY56*Index!BY197/unit)</f>
        <v>15.326240370576759</v>
      </c>
      <c r="CA57" s="75">
        <f>IF(Index!BZ103=1,0,$H57*$K57*py*Index!BZ56*Index!BZ197/unit)</f>
        <v>15.326240370576759</v>
      </c>
      <c r="CB57" s="75">
        <f>IF(Index!CA103=1,0,$H57*$K57*py*Index!CA56*Index!CA197/unit)</f>
        <v>0</v>
      </c>
      <c r="CC57" s="75">
        <f>IF(Index!CB103=1,0,$H57*$K57*py*Index!CB56*Index!CB197/unit)</f>
        <v>0</v>
      </c>
      <c r="CD57" s="75">
        <f>IF(Index!CC103=1,0,$H57*$K57*py*Index!CC56*Index!CC197/unit)</f>
        <v>0</v>
      </c>
      <c r="CE57" s="75">
        <f>IF(Index!CD103=1,0,$H57*$K57*py*Index!CD56*Index!CD197/unit)</f>
        <v>0</v>
      </c>
      <c r="CF57" s="75">
        <f>IF(Index!CE103=1,0,$H57*$K57*py*Index!CE56*Index!CE197/unit)</f>
        <v>0</v>
      </c>
      <c r="CG57" s="75">
        <f>IF(Index!CF103=1,0,$H57*$K57*py*Index!CF56*Index!CF197/unit)</f>
        <v>0</v>
      </c>
      <c r="CH57" s="75">
        <f>IF(Index!CG103=1,0,$H57*$K57*py*Index!CG56*Index!CG197/unit)</f>
        <v>0</v>
      </c>
      <c r="CI57" s="75">
        <f>IF(Index!CH103=1,0,$H57*$K57*py*Index!CH56*Index!CH197/unit)</f>
        <v>0</v>
      </c>
      <c r="CJ57" s="75">
        <f>IF(Index!CI103=1,0,$H57*$K57*py*Index!CI56*Index!CI197/unit)</f>
        <v>0</v>
      </c>
      <c r="CK57" s="75">
        <f>IF(Index!CJ103=1,0,$H57*$K57*py*Index!CJ56*Index!CJ197/unit)</f>
        <v>0</v>
      </c>
      <c r="CL57" s="75">
        <f>IF(Index!CK103=1,0,$H57*$K57*py*Index!CK56*Index!CK197/unit)</f>
        <v>0</v>
      </c>
      <c r="CM57" s="75">
        <f>IF(Index!CL103=1,0,$H57*$K57*py*Index!CL56*Index!CL197/unit)</f>
        <v>0</v>
      </c>
      <c r="CN57" s="75">
        <f>IF(Index!CM103=1,0,$H57*$K57*py*Index!CM56*Index!CM197/unit)</f>
        <v>0</v>
      </c>
      <c r="CO57" s="75">
        <f>IF(Index!CN103=1,0,$H57*$K57*py*Index!CN56*Index!CN197/unit)</f>
        <v>0</v>
      </c>
      <c r="CP57" s="75">
        <f>IF(Index!CO103=1,0,$H57*$K57*py*Index!CO56*Index!CO197/unit)</f>
        <v>0</v>
      </c>
      <c r="CQ57" s="75">
        <f>IF(Index!CP103=1,0,$H57*$K57*py*Index!CP56*Index!CP197/unit)</f>
        <v>0</v>
      </c>
      <c r="CR57" s="75">
        <f>IF(Index!CQ103=1,0,$H57*$K57*py*Index!CQ56*Index!CQ197/unit)</f>
        <v>0</v>
      </c>
      <c r="CS57" s="75">
        <f>IF(Index!CR103=1,0,$H57*$K57*py*Index!CR56*Index!CR197/unit)</f>
        <v>0</v>
      </c>
      <c r="CT57" s="75">
        <f>IF(Index!CS103=1,0,$H57*$K57*py*Index!CS56*Index!CS197/unit)</f>
        <v>0</v>
      </c>
      <c r="CU57" s="75">
        <f>IF(Index!CT103=1,0,$H57*$K57*py*Index!CT56*Index!CT197/unit)</f>
        <v>0</v>
      </c>
      <c r="CV57" s="75">
        <f>IF(Index!CU103=1,0,$H57*$K57*py*Index!CU56*Index!CU197/unit)</f>
        <v>0</v>
      </c>
      <c r="CW57" s="75">
        <f>IF(Index!CV103=1,0,$H57*$K57*py*Index!CV56*Index!CV197/unit)</f>
        <v>0</v>
      </c>
      <c r="CX57" s="75">
        <f>IF(Index!CW103=1,0,$H57*$K57*py*Index!CW56*Index!CW197/unit)</f>
        <v>0</v>
      </c>
      <c r="CY57" s="75">
        <f>IF(Index!CX103=1,0,$H57*$K57*py*Index!CX56*Index!CX197/unit)</f>
        <v>0</v>
      </c>
      <c r="CZ57" s="75">
        <f>IF(Index!CY103=1,0,$H57*$K57*py*Index!CY56*Index!CY197/unit)</f>
        <v>0</v>
      </c>
      <c r="DA57" s="75">
        <f>IF(Index!CZ103=1,0,$H57*$K57*py*Index!CZ56*Index!CZ197/unit)</f>
        <v>0</v>
      </c>
      <c r="DB57" s="75">
        <f>IF(Index!DA103=1,0,$H57*$K57*py*Index!DA56*Index!DA197/unit)</f>
        <v>0</v>
      </c>
      <c r="DC57" s="75">
        <f>IF(Index!DB103=1,0,$H57*$K57*py*Index!DB56*Index!DB197/unit)</f>
        <v>0</v>
      </c>
      <c r="DD57" s="75">
        <f>IF(Index!DC103=1,0,$H57*$K57*py*Index!DC56*Index!DC197/unit)</f>
        <v>0</v>
      </c>
      <c r="DE57" s="75">
        <f>IF(Index!DD103=1,0,$H57*$K57*py*Index!DD56*Index!DD197/unit)</f>
        <v>0</v>
      </c>
      <c r="DF57" s="75">
        <f>IF(Index!DE103=1,0,$H57*$K57*py*Index!DE56*Index!DE197/unit)</f>
        <v>0</v>
      </c>
      <c r="DG57" s="75">
        <f>IF(Index!DF103=1,0,$H57*$K57*py*Index!DF56*Index!DF197/unit)</f>
        <v>0</v>
      </c>
      <c r="DH57" s="75">
        <f>IF(Index!DG103=1,0,$H57*$K57*py*Index!DG56*Index!DG197/unit)</f>
        <v>0</v>
      </c>
      <c r="DI57" s="75">
        <f>IF(Index!DH103=1,0,$H57*$K57*py*Index!DH56*Index!DH197/unit)</f>
        <v>0</v>
      </c>
      <c r="DJ57" s="75">
        <f>IF(Index!DI103=1,0,$H57*$K57*py*Index!DI56*Index!DI197/unit)</f>
        <v>0</v>
      </c>
      <c r="DK57" s="75">
        <f>IF(Index!DJ103=1,0,$H57*$K57*py*Index!DJ56*Index!DJ197/unit)</f>
        <v>0</v>
      </c>
      <c r="DL57" s="75">
        <f>IF(Index!DK103=1,0,$H57*$K57*py*Index!DK56*Index!DK197/unit)</f>
        <v>0</v>
      </c>
      <c r="DM57" s="75">
        <f>IF(Index!DL103=1,0,$H57*$K57*py*Index!DL56*Index!DL197/unit)</f>
        <v>0</v>
      </c>
    </row>
    <row r="58" spans="2:117">
      <c r="B58" s="27" t="str">
        <f>Rentroll!$C$55</f>
        <v>204호</v>
      </c>
      <c r="C58" s="69" t="str">
        <f>VLOOKUP($B58,Rentroll!$C$37:$Z$60,3,FALSE)</f>
        <v>바이닐 청계</v>
      </c>
      <c r="D58" s="80">
        <f>VLOOKUP($B58,Rentroll!$C$37:$Z$60,9,FALSE)</f>
        <v>45747</v>
      </c>
      <c r="E58" s="80">
        <f>VLOOKUP($B58,Rentroll!$C$37:$Z$60,10,FALSE)</f>
        <v>47573</v>
      </c>
      <c r="F58" s="81">
        <f>VLOOKUP($B58,Rentroll!$C$37:$Z$60,11,FALSE)</f>
        <v>60</v>
      </c>
      <c r="G58" s="69">
        <f>VLOOKUP($B58,Rentroll!$C$37:$Z$60,13,FALSE)</f>
        <v>130000</v>
      </c>
      <c r="H58" s="69">
        <f>VLOOKUP($B58,Rentroll!$C$37:$Z$60,14,FALSE)</f>
        <v>130000</v>
      </c>
      <c r="I58" s="69">
        <f>VLOOKUP($B58,Rentroll!$C$37:$Z$60,15,FALSE)</f>
        <v>45000</v>
      </c>
      <c r="J58" s="82">
        <f>VLOOKUP($B58,Rentroll!$C$37:$Z$60,19,FALSE)</f>
        <v>0.03</v>
      </c>
      <c r="K58" s="83">
        <f>VLOOKUP($B58,Rentroll!$C$37:$Z$60,4,FALSE)</f>
        <v>346.27249999999998</v>
      </c>
      <c r="L58" s="81">
        <f>VLOOKUP($B58,Rentroll!$C$37:$Z$60,17,FALSE)</f>
        <v>2</v>
      </c>
      <c r="M58" s="84">
        <f>VLOOKUP($B58,Rentroll!$C$37:$Z$60,18,FALSE)</f>
        <v>0</v>
      </c>
      <c r="O58" s="26" t="str">
        <f t="shared" si="16"/>
        <v>204호</v>
      </c>
      <c r="P58" s="76"/>
      <c r="Q58" s="76">
        <f t="shared" si="13"/>
        <v>823.27496087397185</v>
      </c>
      <c r="R58" s="76"/>
      <c r="S58" s="76">
        <f>IF(Index!R104=1,0,$H58*$K58*py*Index!R57*Index!R198/unit)</f>
        <v>0</v>
      </c>
      <c r="T58" s="76">
        <f>IF(Index!S104=1,0,$H58*$K58*py*Index!S57*Index!S198/unit)</f>
        <v>0</v>
      </c>
      <c r="U58" s="76">
        <f>IF(Index!T104=1,0,$H58*$K58*py*Index!T57*Index!T198/unit)</f>
        <v>0</v>
      </c>
      <c r="V58" s="76">
        <f>IF(Index!U104=1,0,$H58*$K58*py*Index!U57*Index!U198/unit)</f>
        <v>0</v>
      </c>
      <c r="W58" s="76">
        <f>IF(Index!V104=1,0,$H58*$K58*py*Index!V57*Index!V198/unit)</f>
        <v>13.617166062500001</v>
      </c>
      <c r="X58" s="76">
        <f>IF(Index!W104=1,0,$H58*$K58*py*Index!W57*Index!W198/unit)</f>
        <v>13.617166062500001</v>
      </c>
      <c r="Y58" s="76">
        <f>IF(Index!X104=1,0,$H58*$K58*py*Index!X57*Index!X198/unit)</f>
        <v>13.617166062500001</v>
      </c>
      <c r="Z58" s="76">
        <f>IF(Index!Y104=1,0,$H58*$K58*py*Index!Y57*Index!Y198/unit)</f>
        <v>13.617166062500001</v>
      </c>
      <c r="AA58" s="76">
        <f>IF(Index!Z104=1,0,$H58*$K58*py*Index!Z57*Index!Z198/unit)</f>
        <v>13.617166062500001</v>
      </c>
      <c r="AB58" s="76">
        <f>IF(Index!AA104=1,0,$H58*$K58*py*Index!AA57*Index!AA198/unit)</f>
        <v>13.617166062500001</v>
      </c>
      <c r="AC58" s="76">
        <f>IF(Index!AB104=1,0,$H58*$K58*py*Index!AB57*Index!AB198/unit)</f>
        <v>13.617166062500001</v>
      </c>
      <c r="AD58" s="76">
        <f>IF(Index!AC104=1,0,$H58*$K58*py*Index!AC57*Index!AC198/unit)</f>
        <v>13.617166062500001</v>
      </c>
      <c r="AE58" s="76">
        <f>IF(Index!AD104=1,0,$H58*$K58*py*Index!AD57*Index!AD198/unit)</f>
        <v>13.617166062500001</v>
      </c>
      <c r="AF58" s="76">
        <f>IF(Index!AE104=1,0,$H58*$K58*py*Index!AE57*Index!AE198/unit)</f>
        <v>13.617166062500001</v>
      </c>
      <c r="AG58" s="76">
        <f>IF(Index!AF104=1,0,$H58*$K58*py*Index!AF57*Index!AF198/unit)</f>
        <v>13.617166062500001</v>
      </c>
      <c r="AH58" s="76">
        <f>IF(Index!AG104=1,0,$H58*$K58*py*Index!AG57*Index!AG198/unit)</f>
        <v>14.025681044375</v>
      </c>
      <c r="AI58" s="76">
        <f>IF(Index!AH104=1,0,$H58*$K58*py*Index!AH57*Index!AH198/unit)</f>
        <v>14.025681044375</v>
      </c>
      <c r="AJ58" s="76">
        <f>IF(Index!AI104=1,0,$H58*$K58*py*Index!AI57*Index!AI198/unit)</f>
        <v>14.025681044375</v>
      </c>
      <c r="AK58" s="76">
        <f>IF(Index!AJ104=1,0,$H58*$K58*py*Index!AJ57*Index!AJ198/unit)</f>
        <v>14.025681044375</v>
      </c>
      <c r="AL58" s="76">
        <f>IF(Index!AK104=1,0,$H58*$K58*py*Index!AK57*Index!AK198/unit)</f>
        <v>14.025681044375</v>
      </c>
      <c r="AM58" s="76">
        <f>IF(Index!AL104=1,0,$H58*$K58*py*Index!AL57*Index!AL198/unit)</f>
        <v>14.025681044375</v>
      </c>
      <c r="AN58" s="76">
        <f>IF(Index!AM104=1,0,$H58*$K58*py*Index!AM57*Index!AM198/unit)</f>
        <v>14.025681044375</v>
      </c>
      <c r="AO58" s="76">
        <f>IF(Index!AN104=1,0,$H58*$K58*py*Index!AN57*Index!AN198/unit)</f>
        <v>14.025681044375</v>
      </c>
      <c r="AP58" s="76">
        <f>IF(Index!AO104=1,0,$H58*$K58*py*Index!AO57*Index!AO198/unit)</f>
        <v>14.025681044375</v>
      </c>
      <c r="AQ58" s="76">
        <f>IF(Index!AP104=1,0,$H58*$K58*py*Index!AP57*Index!AP198/unit)</f>
        <v>14.025681044375</v>
      </c>
      <c r="AR58" s="76">
        <f>IF(Index!AQ104=1,0,$H58*$K58*py*Index!AQ57*Index!AQ198/unit)</f>
        <v>14.025681044375</v>
      </c>
      <c r="AS58" s="76">
        <f>IF(Index!AR104=1,0,$H58*$K58*py*Index!AR57*Index!AR198/unit)</f>
        <v>14.025681044375</v>
      </c>
      <c r="AT58" s="76">
        <f>IF(Index!AS104=1,0,$H58*$K58*py*Index!AS57*Index!AS198/unit)</f>
        <v>14.446451475706249</v>
      </c>
      <c r="AU58" s="76">
        <f>IF(Index!AT104=1,0,$H58*$K58*py*Index!AT57*Index!AT198/unit)</f>
        <v>14.446451475706249</v>
      </c>
      <c r="AV58" s="76">
        <f>IF(Index!AU104=1,0,$H58*$K58*py*Index!AU57*Index!AU198/unit)</f>
        <v>14.446451475706249</v>
      </c>
      <c r="AW58" s="76">
        <f>IF(Index!AV104=1,0,$H58*$K58*py*Index!AV57*Index!AV198/unit)</f>
        <v>14.446451475706249</v>
      </c>
      <c r="AX58" s="76">
        <f>IF(Index!AW104=1,0,$H58*$K58*py*Index!AW57*Index!AW198/unit)</f>
        <v>14.446451475706249</v>
      </c>
      <c r="AY58" s="76">
        <f>IF(Index!AX104=1,0,$H58*$K58*py*Index!AX57*Index!AX198/unit)</f>
        <v>14.446451475706249</v>
      </c>
      <c r="AZ58" s="76">
        <f>IF(Index!AY104=1,0,$H58*$K58*py*Index!AY57*Index!AY198/unit)</f>
        <v>14.446451475706249</v>
      </c>
      <c r="BA58" s="76">
        <f>IF(Index!AZ104=1,0,$H58*$K58*py*Index!AZ57*Index!AZ198/unit)</f>
        <v>14.446451475706249</v>
      </c>
      <c r="BB58" s="76">
        <f>IF(Index!BA104=1,0,$H58*$K58*py*Index!BA57*Index!BA198/unit)</f>
        <v>14.446451475706249</v>
      </c>
      <c r="BC58" s="76">
        <f>IF(Index!BB104=1,0,$H58*$K58*py*Index!BB57*Index!BB198/unit)</f>
        <v>14.446451475706249</v>
      </c>
      <c r="BD58" s="76">
        <f>IF(Index!BC104=1,0,$H58*$K58*py*Index!BC57*Index!BC198/unit)</f>
        <v>14.446451475706249</v>
      </c>
      <c r="BE58" s="76">
        <f>IF(Index!BD104=1,0,$H58*$K58*py*Index!BD57*Index!BD198/unit)</f>
        <v>14.446451475706249</v>
      </c>
      <c r="BF58" s="76">
        <f>IF(Index!BE104=1,0,$H58*$K58*py*Index!BE57*Index!BE198/unit)</f>
        <v>14.879845019977438</v>
      </c>
      <c r="BG58" s="76">
        <f>IF(Index!BF104=1,0,$H58*$K58*py*Index!BF57*Index!BF198/unit)</f>
        <v>14.879845019977438</v>
      </c>
      <c r="BH58" s="76">
        <f>IF(Index!BG104=1,0,$H58*$K58*py*Index!BG57*Index!BG198/unit)</f>
        <v>14.879845019977438</v>
      </c>
      <c r="BI58" s="76">
        <f>IF(Index!BH104=1,0,$H58*$K58*py*Index!BH57*Index!BH198/unit)</f>
        <v>14.879845019977438</v>
      </c>
      <c r="BJ58" s="76">
        <f>IF(Index!BI104=1,0,$H58*$K58*py*Index!BI57*Index!BI198/unit)</f>
        <v>14.879845019977438</v>
      </c>
      <c r="BK58" s="76">
        <f>IF(Index!BJ104=1,0,$H58*$K58*py*Index!BJ57*Index!BJ198/unit)</f>
        <v>14.879845019977438</v>
      </c>
      <c r="BL58" s="76">
        <f>IF(Index!BK104=1,0,$H58*$K58*py*Index!BK57*Index!BK198/unit)</f>
        <v>14.879845019977438</v>
      </c>
      <c r="BM58" s="76">
        <f>IF(Index!BL104=1,0,$H58*$K58*py*Index!BL57*Index!BL198/unit)</f>
        <v>14.879845019977438</v>
      </c>
      <c r="BN58" s="76">
        <f>IF(Index!BM104=1,0,$H58*$K58*py*Index!BM57*Index!BM198/unit)</f>
        <v>14.879845019977438</v>
      </c>
      <c r="BO58" s="76">
        <f>IF(Index!BN104=1,0,$H58*$K58*py*Index!BN57*Index!BN198/unit)</f>
        <v>14.879845019977438</v>
      </c>
      <c r="BP58" s="76">
        <f>IF(Index!BO104=1,0,$H58*$K58*py*Index!BO57*Index!BO198/unit)</f>
        <v>14.879845019977438</v>
      </c>
      <c r="BQ58" s="76">
        <f>IF(Index!BP104=1,0,$H58*$K58*py*Index!BP57*Index!BP198/unit)</f>
        <v>14.879845019977438</v>
      </c>
      <c r="BR58" s="76">
        <f>IF(Index!BQ104=1,0,$H58*$K58*py*Index!BQ57*Index!BQ198/unit)</f>
        <v>15.326240370576759</v>
      </c>
      <c r="BS58" s="76">
        <f>IF(Index!BR104=1,0,$H58*$K58*py*Index!BR57*Index!BR198/unit)</f>
        <v>15.326240370576759</v>
      </c>
      <c r="BT58" s="76">
        <f>IF(Index!BS104=1,0,$H58*$K58*py*Index!BS57*Index!BS198/unit)</f>
        <v>15.326240370576759</v>
      </c>
      <c r="BU58" s="76">
        <f>IF(Index!BT104=1,0,$H58*$K58*py*Index!BT57*Index!BT198/unit)</f>
        <v>15.326240370576759</v>
      </c>
      <c r="BV58" s="76">
        <f>IF(Index!BU104=1,0,$H58*$K58*py*Index!BU57*Index!BU198/unit)</f>
        <v>15.326240370576759</v>
      </c>
      <c r="BW58" s="76">
        <f>IF(Index!BV104=1,0,$H58*$K58*py*Index!BV57*Index!BV198/unit)</f>
        <v>15.326240370576759</v>
      </c>
      <c r="BX58" s="76">
        <f>IF(Index!BW104=1,0,$H58*$K58*py*Index!BW57*Index!BW198/unit)</f>
        <v>15.326240370576759</v>
      </c>
      <c r="BY58" s="76">
        <f>IF(Index!BX104=1,0,$H58*$K58*py*Index!BX57*Index!BX198/unit)</f>
        <v>15.326240370576759</v>
      </c>
      <c r="BZ58" s="76">
        <f>IF(Index!BY104=1,0,$H58*$K58*py*Index!BY57*Index!BY198/unit)</f>
        <v>15.326240370576759</v>
      </c>
      <c r="CA58" s="76">
        <f>IF(Index!BZ104=1,0,$H58*$K58*py*Index!BZ57*Index!BZ198/unit)</f>
        <v>15.326240370576759</v>
      </c>
      <c r="CB58" s="76">
        <f>IF(Index!CA104=1,0,$H58*$K58*py*Index!CA57*Index!CA198/unit)</f>
        <v>0</v>
      </c>
      <c r="CC58" s="76">
        <f>IF(Index!CB104=1,0,$H58*$K58*py*Index!CB57*Index!CB198/unit)</f>
        <v>0</v>
      </c>
      <c r="CD58" s="76">
        <f>IF(Index!CC104=1,0,$H58*$K58*py*Index!CC57*Index!CC198/unit)</f>
        <v>0</v>
      </c>
      <c r="CE58" s="76">
        <f>IF(Index!CD104=1,0,$H58*$K58*py*Index!CD57*Index!CD198/unit)</f>
        <v>0</v>
      </c>
      <c r="CF58" s="76">
        <f>IF(Index!CE104=1,0,$H58*$K58*py*Index!CE57*Index!CE198/unit)</f>
        <v>0</v>
      </c>
      <c r="CG58" s="76">
        <f>IF(Index!CF104=1,0,$H58*$K58*py*Index!CF57*Index!CF198/unit)</f>
        <v>0</v>
      </c>
      <c r="CH58" s="76">
        <f>IF(Index!CG104=1,0,$H58*$K58*py*Index!CG57*Index!CG198/unit)</f>
        <v>0</v>
      </c>
      <c r="CI58" s="76">
        <f>IF(Index!CH104=1,0,$H58*$K58*py*Index!CH57*Index!CH198/unit)</f>
        <v>0</v>
      </c>
      <c r="CJ58" s="76">
        <f>IF(Index!CI104=1,0,$H58*$K58*py*Index!CI57*Index!CI198/unit)</f>
        <v>0</v>
      </c>
      <c r="CK58" s="76">
        <f>IF(Index!CJ104=1,0,$H58*$K58*py*Index!CJ57*Index!CJ198/unit)</f>
        <v>0</v>
      </c>
      <c r="CL58" s="76">
        <f>IF(Index!CK104=1,0,$H58*$K58*py*Index!CK57*Index!CK198/unit)</f>
        <v>0</v>
      </c>
      <c r="CM58" s="76">
        <f>IF(Index!CL104=1,0,$H58*$K58*py*Index!CL57*Index!CL198/unit)</f>
        <v>0</v>
      </c>
      <c r="CN58" s="76">
        <f>IF(Index!CM104=1,0,$H58*$K58*py*Index!CM57*Index!CM198/unit)</f>
        <v>0</v>
      </c>
      <c r="CO58" s="76">
        <f>IF(Index!CN104=1,0,$H58*$K58*py*Index!CN57*Index!CN198/unit)</f>
        <v>0</v>
      </c>
      <c r="CP58" s="76">
        <f>IF(Index!CO104=1,0,$H58*$K58*py*Index!CO57*Index!CO198/unit)</f>
        <v>0</v>
      </c>
      <c r="CQ58" s="76">
        <f>IF(Index!CP104=1,0,$H58*$K58*py*Index!CP57*Index!CP198/unit)</f>
        <v>0</v>
      </c>
      <c r="CR58" s="76">
        <f>IF(Index!CQ104=1,0,$H58*$K58*py*Index!CQ57*Index!CQ198/unit)</f>
        <v>0</v>
      </c>
      <c r="CS58" s="76">
        <f>IF(Index!CR104=1,0,$H58*$K58*py*Index!CR57*Index!CR198/unit)</f>
        <v>0</v>
      </c>
      <c r="CT58" s="76">
        <f>IF(Index!CS104=1,0,$H58*$K58*py*Index!CS57*Index!CS198/unit)</f>
        <v>0</v>
      </c>
      <c r="CU58" s="76">
        <f>IF(Index!CT104=1,0,$H58*$K58*py*Index!CT57*Index!CT198/unit)</f>
        <v>0</v>
      </c>
      <c r="CV58" s="76">
        <f>IF(Index!CU104=1,0,$H58*$K58*py*Index!CU57*Index!CU198/unit)</f>
        <v>0</v>
      </c>
      <c r="CW58" s="76">
        <f>IF(Index!CV104=1,0,$H58*$K58*py*Index!CV57*Index!CV198/unit)</f>
        <v>0</v>
      </c>
      <c r="CX58" s="76">
        <f>IF(Index!CW104=1,0,$H58*$K58*py*Index!CW57*Index!CW198/unit)</f>
        <v>0</v>
      </c>
      <c r="CY58" s="76">
        <f>IF(Index!CX104=1,0,$H58*$K58*py*Index!CX57*Index!CX198/unit)</f>
        <v>0</v>
      </c>
      <c r="CZ58" s="76">
        <f>IF(Index!CY104=1,0,$H58*$K58*py*Index!CY57*Index!CY198/unit)</f>
        <v>0</v>
      </c>
      <c r="DA58" s="76">
        <f>IF(Index!CZ104=1,0,$H58*$K58*py*Index!CZ57*Index!CZ198/unit)</f>
        <v>0</v>
      </c>
      <c r="DB58" s="76">
        <f>IF(Index!DA104=1,0,$H58*$K58*py*Index!DA57*Index!DA198/unit)</f>
        <v>0</v>
      </c>
      <c r="DC58" s="76">
        <f>IF(Index!DB104=1,0,$H58*$K58*py*Index!DB57*Index!DB198/unit)</f>
        <v>0</v>
      </c>
      <c r="DD58" s="76">
        <f>IF(Index!DC104=1,0,$H58*$K58*py*Index!DC57*Index!DC198/unit)</f>
        <v>0</v>
      </c>
      <c r="DE58" s="76">
        <f>IF(Index!DD104=1,0,$H58*$K58*py*Index!DD57*Index!DD198/unit)</f>
        <v>0</v>
      </c>
      <c r="DF58" s="76">
        <f>IF(Index!DE104=1,0,$H58*$K58*py*Index!DE57*Index!DE198/unit)</f>
        <v>0</v>
      </c>
      <c r="DG58" s="76">
        <f>IF(Index!DF104=1,0,$H58*$K58*py*Index!DF57*Index!DF198/unit)</f>
        <v>0</v>
      </c>
      <c r="DH58" s="76">
        <f>IF(Index!DG104=1,0,$H58*$K58*py*Index!DG57*Index!DG198/unit)</f>
        <v>0</v>
      </c>
      <c r="DI58" s="76">
        <f>IF(Index!DH104=1,0,$H58*$K58*py*Index!DH57*Index!DH198/unit)</f>
        <v>0</v>
      </c>
      <c r="DJ58" s="76">
        <f>IF(Index!DI104=1,0,$H58*$K58*py*Index!DI57*Index!DI198/unit)</f>
        <v>0</v>
      </c>
      <c r="DK58" s="76">
        <f>IF(Index!DJ104=1,0,$H58*$K58*py*Index!DJ57*Index!DJ198/unit)</f>
        <v>0</v>
      </c>
      <c r="DL58" s="76">
        <f>IF(Index!DK104=1,0,$H58*$K58*py*Index!DK57*Index!DK198/unit)</f>
        <v>0</v>
      </c>
      <c r="DM58" s="76">
        <f>IF(Index!DL104=1,0,$H58*$K58*py*Index!DL57*Index!DL198/unit)</f>
        <v>0</v>
      </c>
    </row>
    <row r="59" spans="2:117">
      <c r="B59" s="28" t="str">
        <f>Rentroll!$C$56</f>
        <v>101호</v>
      </c>
      <c r="C59" s="69" t="str">
        <f>VLOOKUP($B59,Rentroll!$C$37:$Z$60,3,FALSE)</f>
        <v>카페 1리터</v>
      </c>
      <c r="D59" s="80">
        <f>VLOOKUP($B59,Rentroll!$C$37:$Z$60,9,FALSE)</f>
        <v>45838</v>
      </c>
      <c r="E59" s="80">
        <f>VLOOKUP($B59,Rentroll!$C$37:$Z$60,10,FALSE)</f>
        <v>47634</v>
      </c>
      <c r="F59" s="81">
        <f>VLOOKUP($B59,Rentroll!$C$37:$Z$60,11,FALSE)</f>
        <v>60</v>
      </c>
      <c r="G59" s="69">
        <f>VLOOKUP($B59,Rentroll!$C$37:$Z$60,13,FALSE)</f>
        <v>150000</v>
      </c>
      <c r="H59" s="69">
        <f>VLOOKUP($B59,Rentroll!$C$37:$Z$60,14,FALSE)</f>
        <v>150000</v>
      </c>
      <c r="I59" s="69">
        <f>VLOOKUP($B59,Rentroll!$C$37:$Z$60,15,FALSE)</f>
        <v>45000</v>
      </c>
      <c r="J59" s="82">
        <f>VLOOKUP($B59,Rentroll!$C$37:$Z$60,19,FALSE)</f>
        <v>0.03</v>
      </c>
      <c r="K59" s="83">
        <f>VLOOKUP($B59,Rentroll!$C$37:$Z$60,4,FALSE)</f>
        <v>484.78</v>
      </c>
      <c r="L59" s="81">
        <f>VLOOKUP($B59,Rentroll!$C$37:$Z$60,17,FALSE)</f>
        <v>1</v>
      </c>
      <c r="M59" s="84">
        <f>VLOOKUP($B59,Rentroll!$C$37:$Z$60,18,FALSE)</f>
        <v>0</v>
      </c>
      <c r="O59" s="74" t="str">
        <f t="shared" ref="O59:O63" si="17">B59</f>
        <v>101호</v>
      </c>
      <c r="P59" s="75"/>
      <c r="Q59" s="75">
        <f t="shared" ref="Q59:Q63" si="18">SUM(S59:DM59)</f>
        <v>1255.6285021587819</v>
      </c>
      <c r="R59" s="75"/>
      <c r="S59" s="75">
        <f>IF(Index!R105=1,0,$H59*$K59*py*Index!R58*Index!R199/unit)</f>
        <v>0</v>
      </c>
      <c r="T59" s="75">
        <f>IF(Index!S105=1,0,$H59*$K59*py*Index!S58*Index!S199/unit)</f>
        <v>0</v>
      </c>
      <c r="U59" s="75">
        <f>IF(Index!T105=1,0,$H59*$K59*py*Index!T58*Index!T199/unit)</f>
        <v>0</v>
      </c>
      <c r="V59" s="75">
        <f>IF(Index!U105=1,0,$H59*$K59*py*Index!U58*Index!U199/unit)</f>
        <v>0</v>
      </c>
      <c r="W59" s="75">
        <f>IF(Index!V105=1,0,$H59*$K59*py*Index!V58*Index!V199/unit)</f>
        <v>0</v>
      </c>
      <c r="X59" s="75">
        <f>IF(Index!W105=1,0,$H59*$K59*py*Index!W58*Index!W199/unit)</f>
        <v>0</v>
      </c>
      <c r="Y59" s="75">
        <f>IF(Index!X105=1,0,$H59*$K59*py*Index!X58*Index!X199/unit)</f>
        <v>0</v>
      </c>
      <c r="Z59" s="75">
        <f>IF(Index!Y105=1,0,$H59*$K59*py*Index!Y58*Index!Y199/unit)</f>
        <v>21.996892500000001</v>
      </c>
      <c r="AA59" s="75">
        <f>IF(Index!Z105=1,0,$H59*$K59*py*Index!Z58*Index!Z199/unit)</f>
        <v>21.996892500000001</v>
      </c>
      <c r="AB59" s="75">
        <f>IF(Index!AA105=1,0,$H59*$K59*py*Index!AA58*Index!AA199/unit)</f>
        <v>21.996892500000001</v>
      </c>
      <c r="AC59" s="75">
        <f>IF(Index!AB105=1,0,$H59*$K59*py*Index!AB58*Index!AB199/unit)</f>
        <v>21.996892500000001</v>
      </c>
      <c r="AD59" s="75">
        <f>IF(Index!AC105=1,0,$H59*$K59*py*Index!AC58*Index!AC199/unit)</f>
        <v>21.996892500000001</v>
      </c>
      <c r="AE59" s="75">
        <f>IF(Index!AD105=1,0,$H59*$K59*py*Index!AD58*Index!AD199/unit)</f>
        <v>21.996892500000001</v>
      </c>
      <c r="AF59" s="75">
        <f>IF(Index!AE105=1,0,$H59*$K59*py*Index!AE58*Index!AE199/unit)</f>
        <v>21.996892500000001</v>
      </c>
      <c r="AG59" s="75">
        <f>IF(Index!AF105=1,0,$H59*$K59*py*Index!AF58*Index!AF199/unit)</f>
        <v>21.996892500000001</v>
      </c>
      <c r="AH59" s="75">
        <f>IF(Index!AG105=1,0,$H59*$K59*py*Index!AG58*Index!AG199/unit)</f>
        <v>21.996892500000001</v>
      </c>
      <c r="AI59" s="75">
        <f>IF(Index!AH105=1,0,$H59*$K59*py*Index!AH58*Index!AH199/unit)</f>
        <v>21.996892500000001</v>
      </c>
      <c r="AJ59" s="75">
        <f>IF(Index!AI105=1,0,$H59*$K59*py*Index!AI58*Index!AI199/unit)</f>
        <v>21.996892500000001</v>
      </c>
      <c r="AK59" s="75">
        <f>IF(Index!AJ105=1,0,$H59*$K59*py*Index!AJ58*Index!AJ199/unit)</f>
        <v>22.656799275000001</v>
      </c>
      <c r="AL59" s="75">
        <f>IF(Index!AK105=1,0,$H59*$K59*py*Index!AK58*Index!AK199/unit)</f>
        <v>22.656799275000001</v>
      </c>
      <c r="AM59" s="75">
        <f>IF(Index!AL105=1,0,$H59*$K59*py*Index!AL58*Index!AL199/unit)</f>
        <v>22.656799275000001</v>
      </c>
      <c r="AN59" s="75">
        <f>IF(Index!AM105=1,0,$H59*$K59*py*Index!AM58*Index!AM199/unit)</f>
        <v>22.656799275000001</v>
      </c>
      <c r="AO59" s="75">
        <f>IF(Index!AN105=1,0,$H59*$K59*py*Index!AN58*Index!AN199/unit)</f>
        <v>22.656799275000001</v>
      </c>
      <c r="AP59" s="75">
        <f>IF(Index!AO105=1,0,$H59*$K59*py*Index!AO58*Index!AO199/unit)</f>
        <v>22.656799275000001</v>
      </c>
      <c r="AQ59" s="75">
        <f>IF(Index!AP105=1,0,$H59*$K59*py*Index!AP58*Index!AP199/unit)</f>
        <v>22.656799275000001</v>
      </c>
      <c r="AR59" s="75">
        <f>IF(Index!AQ105=1,0,$H59*$K59*py*Index!AQ58*Index!AQ199/unit)</f>
        <v>22.656799275000001</v>
      </c>
      <c r="AS59" s="75">
        <f>IF(Index!AR105=1,0,$H59*$K59*py*Index!AR58*Index!AR199/unit)</f>
        <v>22.656799275000001</v>
      </c>
      <c r="AT59" s="75">
        <f>IF(Index!AS105=1,0,$H59*$K59*py*Index!AS58*Index!AS199/unit)</f>
        <v>22.656799275000001</v>
      </c>
      <c r="AU59" s="75">
        <f>IF(Index!AT105=1,0,$H59*$K59*py*Index!AT58*Index!AT199/unit)</f>
        <v>22.656799275000001</v>
      </c>
      <c r="AV59" s="75">
        <f>IF(Index!AU105=1,0,$H59*$K59*py*Index!AU58*Index!AU199/unit)</f>
        <v>22.656799275000001</v>
      </c>
      <c r="AW59" s="75">
        <f>IF(Index!AV105=1,0,$H59*$K59*py*Index!AV58*Index!AV199/unit)</f>
        <v>23.336503253249997</v>
      </c>
      <c r="AX59" s="75">
        <f>IF(Index!AW105=1,0,$H59*$K59*py*Index!AW58*Index!AW199/unit)</f>
        <v>23.336503253249997</v>
      </c>
      <c r="AY59" s="75">
        <f>IF(Index!AX105=1,0,$H59*$K59*py*Index!AX58*Index!AX199/unit)</f>
        <v>23.336503253249997</v>
      </c>
      <c r="AZ59" s="75">
        <f>IF(Index!AY105=1,0,$H59*$K59*py*Index!AY58*Index!AY199/unit)</f>
        <v>23.336503253249997</v>
      </c>
      <c r="BA59" s="75">
        <f>IF(Index!AZ105=1,0,$H59*$K59*py*Index!AZ58*Index!AZ199/unit)</f>
        <v>23.336503253249997</v>
      </c>
      <c r="BB59" s="75">
        <f>IF(Index!BA105=1,0,$H59*$K59*py*Index!BA58*Index!BA199/unit)</f>
        <v>23.336503253249997</v>
      </c>
      <c r="BC59" s="75">
        <f>IF(Index!BB105=1,0,$H59*$K59*py*Index!BB58*Index!BB199/unit)</f>
        <v>23.336503253249997</v>
      </c>
      <c r="BD59" s="75">
        <f>IF(Index!BC105=1,0,$H59*$K59*py*Index!BC58*Index!BC199/unit)</f>
        <v>23.336503253249997</v>
      </c>
      <c r="BE59" s="75">
        <f>IF(Index!BD105=1,0,$H59*$K59*py*Index!BD58*Index!BD199/unit)</f>
        <v>23.336503253249997</v>
      </c>
      <c r="BF59" s="75">
        <f>IF(Index!BE105=1,0,$H59*$K59*py*Index!BE58*Index!BE199/unit)</f>
        <v>23.336503253249997</v>
      </c>
      <c r="BG59" s="75">
        <f>IF(Index!BF105=1,0,$H59*$K59*py*Index!BF58*Index!BF199/unit)</f>
        <v>23.336503253249997</v>
      </c>
      <c r="BH59" s="75">
        <f>IF(Index!BG105=1,0,$H59*$K59*py*Index!BG58*Index!BG199/unit)</f>
        <v>23.336503253249997</v>
      </c>
      <c r="BI59" s="75">
        <f>IF(Index!BH105=1,0,$H59*$K59*py*Index!BH58*Index!BH199/unit)</f>
        <v>24.036598350847502</v>
      </c>
      <c r="BJ59" s="75">
        <f>IF(Index!BI105=1,0,$H59*$K59*py*Index!BI58*Index!BI199/unit)</f>
        <v>24.036598350847502</v>
      </c>
      <c r="BK59" s="75">
        <f>IF(Index!BJ105=1,0,$H59*$K59*py*Index!BJ58*Index!BJ199/unit)</f>
        <v>24.036598350847502</v>
      </c>
      <c r="BL59" s="75">
        <f>IF(Index!BK105=1,0,$H59*$K59*py*Index!BK58*Index!BK199/unit)</f>
        <v>24.036598350847502</v>
      </c>
      <c r="BM59" s="75">
        <f>IF(Index!BL105=1,0,$H59*$K59*py*Index!BL58*Index!BL199/unit)</f>
        <v>24.036598350847502</v>
      </c>
      <c r="BN59" s="75">
        <f>IF(Index!BM105=1,0,$H59*$K59*py*Index!BM58*Index!BM199/unit)</f>
        <v>24.036598350847502</v>
      </c>
      <c r="BO59" s="75">
        <f>IF(Index!BN105=1,0,$H59*$K59*py*Index!BN58*Index!BN199/unit)</f>
        <v>24.036598350847502</v>
      </c>
      <c r="BP59" s="75">
        <f>IF(Index!BO105=1,0,$H59*$K59*py*Index!BO58*Index!BO199/unit)</f>
        <v>24.036598350847502</v>
      </c>
      <c r="BQ59" s="75">
        <f>IF(Index!BP105=1,0,$H59*$K59*py*Index!BP58*Index!BP199/unit)</f>
        <v>24.036598350847502</v>
      </c>
      <c r="BR59" s="75">
        <f>IF(Index!BQ105=1,0,$H59*$K59*py*Index!BQ58*Index!BQ199/unit)</f>
        <v>24.036598350847502</v>
      </c>
      <c r="BS59" s="75">
        <f>IF(Index!BR105=1,0,$H59*$K59*py*Index!BR58*Index!BR199/unit)</f>
        <v>24.036598350847502</v>
      </c>
      <c r="BT59" s="75">
        <f>IF(Index!BS105=1,0,$H59*$K59*py*Index!BS58*Index!BS199/unit)</f>
        <v>24.036598350847502</v>
      </c>
      <c r="BU59" s="75">
        <f>IF(Index!BT105=1,0,$H59*$K59*py*Index!BT58*Index!BT199/unit)</f>
        <v>24.757696301372924</v>
      </c>
      <c r="BV59" s="75">
        <f>IF(Index!BU105=1,0,$H59*$K59*py*Index!BU58*Index!BU199/unit)</f>
        <v>24.757696301372924</v>
      </c>
      <c r="BW59" s="75">
        <f>IF(Index!BV105=1,0,$H59*$K59*py*Index!BV58*Index!BV199/unit)</f>
        <v>24.757696301372924</v>
      </c>
      <c r="BX59" s="75">
        <f>IF(Index!BW105=1,0,$H59*$K59*py*Index!BW58*Index!BW199/unit)</f>
        <v>24.757696301372924</v>
      </c>
      <c r="BY59" s="75">
        <f>IF(Index!BX105=1,0,$H59*$K59*py*Index!BX58*Index!BX199/unit)</f>
        <v>24.757696301372924</v>
      </c>
      <c r="BZ59" s="75">
        <f>IF(Index!BY105=1,0,$H59*$K59*py*Index!BY58*Index!BY199/unit)</f>
        <v>24.757696301372924</v>
      </c>
      <c r="CA59" s="75">
        <f>IF(Index!BZ105=1,0,$H59*$K59*py*Index!BZ58*Index!BZ199/unit)</f>
        <v>24.757696301372924</v>
      </c>
      <c r="CB59" s="75">
        <f>IF(Index!CA105=1,0,$H59*$K59*py*Index!CA58*Index!CA199/unit)</f>
        <v>0</v>
      </c>
      <c r="CC59" s="75">
        <f>IF(Index!CB105=1,0,$H59*$K59*py*Index!CB58*Index!CB199/unit)</f>
        <v>0</v>
      </c>
      <c r="CD59" s="75">
        <f>IF(Index!CC105=1,0,$H59*$K59*py*Index!CC58*Index!CC199/unit)</f>
        <v>0</v>
      </c>
      <c r="CE59" s="75">
        <f>IF(Index!CD105=1,0,$H59*$K59*py*Index!CD58*Index!CD199/unit)</f>
        <v>0</v>
      </c>
      <c r="CF59" s="75">
        <f>IF(Index!CE105=1,0,$H59*$K59*py*Index!CE58*Index!CE199/unit)</f>
        <v>0</v>
      </c>
      <c r="CG59" s="75">
        <f>IF(Index!CF105=1,0,$H59*$K59*py*Index!CF58*Index!CF199/unit)</f>
        <v>0</v>
      </c>
      <c r="CH59" s="75">
        <f>IF(Index!CG105=1,0,$H59*$K59*py*Index!CG58*Index!CG199/unit)</f>
        <v>0</v>
      </c>
      <c r="CI59" s="75">
        <f>IF(Index!CH105=1,0,$H59*$K59*py*Index!CH58*Index!CH199/unit)</f>
        <v>0</v>
      </c>
      <c r="CJ59" s="75">
        <f>IF(Index!CI105=1,0,$H59*$K59*py*Index!CI58*Index!CI199/unit)</f>
        <v>0</v>
      </c>
      <c r="CK59" s="75">
        <f>IF(Index!CJ105=1,0,$H59*$K59*py*Index!CJ58*Index!CJ199/unit)</f>
        <v>0</v>
      </c>
      <c r="CL59" s="75">
        <f>IF(Index!CK105=1,0,$H59*$K59*py*Index!CK58*Index!CK199/unit)</f>
        <v>0</v>
      </c>
      <c r="CM59" s="75">
        <f>IF(Index!CL105=1,0,$H59*$K59*py*Index!CL58*Index!CL199/unit)</f>
        <v>0</v>
      </c>
      <c r="CN59" s="75">
        <f>IF(Index!CM105=1,0,$H59*$K59*py*Index!CM58*Index!CM199/unit)</f>
        <v>0</v>
      </c>
      <c r="CO59" s="75">
        <f>IF(Index!CN105=1,0,$H59*$K59*py*Index!CN58*Index!CN199/unit)</f>
        <v>0</v>
      </c>
      <c r="CP59" s="75">
        <f>IF(Index!CO105=1,0,$H59*$K59*py*Index!CO58*Index!CO199/unit)</f>
        <v>0</v>
      </c>
      <c r="CQ59" s="75">
        <f>IF(Index!CP105=1,0,$H59*$K59*py*Index!CP58*Index!CP199/unit)</f>
        <v>0</v>
      </c>
      <c r="CR59" s="75">
        <f>IF(Index!CQ105=1,0,$H59*$K59*py*Index!CQ58*Index!CQ199/unit)</f>
        <v>0</v>
      </c>
      <c r="CS59" s="75">
        <f>IF(Index!CR105=1,0,$H59*$K59*py*Index!CR58*Index!CR199/unit)</f>
        <v>0</v>
      </c>
      <c r="CT59" s="75">
        <f>IF(Index!CS105=1,0,$H59*$K59*py*Index!CS58*Index!CS199/unit)</f>
        <v>0</v>
      </c>
      <c r="CU59" s="75">
        <f>IF(Index!CT105=1,0,$H59*$K59*py*Index!CT58*Index!CT199/unit)</f>
        <v>0</v>
      </c>
      <c r="CV59" s="75">
        <f>IF(Index!CU105=1,0,$H59*$K59*py*Index!CU58*Index!CU199/unit)</f>
        <v>0</v>
      </c>
      <c r="CW59" s="75">
        <f>IF(Index!CV105=1,0,$H59*$K59*py*Index!CV58*Index!CV199/unit)</f>
        <v>0</v>
      </c>
      <c r="CX59" s="75">
        <f>IF(Index!CW105=1,0,$H59*$K59*py*Index!CW58*Index!CW199/unit)</f>
        <v>0</v>
      </c>
      <c r="CY59" s="75">
        <f>IF(Index!CX105=1,0,$H59*$K59*py*Index!CX58*Index!CX199/unit)</f>
        <v>0</v>
      </c>
      <c r="CZ59" s="75">
        <f>IF(Index!CY105=1,0,$H59*$K59*py*Index!CY58*Index!CY199/unit)</f>
        <v>0</v>
      </c>
      <c r="DA59" s="75">
        <f>IF(Index!CZ105=1,0,$H59*$K59*py*Index!CZ58*Index!CZ199/unit)</f>
        <v>0</v>
      </c>
      <c r="DB59" s="75">
        <f>IF(Index!DA105=1,0,$H59*$K59*py*Index!DA58*Index!DA199/unit)</f>
        <v>0</v>
      </c>
      <c r="DC59" s="75">
        <f>IF(Index!DB105=1,0,$H59*$K59*py*Index!DB58*Index!DB199/unit)</f>
        <v>0</v>
      </c>
      <c r="DD59" s="75">
        <f>IF(Index!DC105=1,0,$H59*$K59*py*Index!DC58*Index!DC199/unit)</f>
        <v>0</v>
      </c>
      <c r="DE59" s="75">
        <f>IF(Index!DD105=1,0,$H59*$K59*py*Index!DD58*Index!DD199/unit)</f>
        <v>0</v>
      </c>
      <c r="DF59" s="75">
        <f>IF(Index!DE105=1,0,$H59*$K59*py*Index!DE58*Index!DE199/unit)</f>
        <v>0</v>
      </c>
      <c r="DG59" s="75">
        <f>IF(Index!DF105=1,0,$H59*$K59*py*Index!DF58*Index!DF199/unit)</f>
        <v>0</v>
      </c>
      <c r="DH59" s="75">
        <f>IF(Index!DG105=1,0,$H59*$K59*py*Index!DG58*Index!DG199/unit)</f>
        <v>0</v>
      </c>
      <c r="DI59" s="75">
        <f>IF(Index!DH105=1,0,$H59*$K59*py*Index!DH58*Index!DH199/unit)</f>
        <v>0</v>
      </c>
      <c r="DJ59" s="75">
        <f>IF(Index!DI105=1,0,$H59*$K59*py*Index!DI58*Index!DI199/unit)</f>
        <v>0</v>
      </c>
      <c r="DK59" s="75">
        <f>IF(Index!DJ105=1,0,$H59*$K59*py*Index!DJ58*Index!DJ199/unit)</f>
        <v>0</v>
      </c>
      <c r="DL59" s="75">
        <f>IF(Index!DK105=1,0,$H59*$K59*py*Index!DK58*Index!DK199/unit)</f>
        <v>0</v>
      </c>
      <c r="DM59" s="75">
        <f>IF(Index!DL105=1,0,$H59*$K59*py*Index!DL58*Index!DL199/unit)</f>
        <v>0</v>
      </c>
    </row>
    <row r="60" spans="2:117">
      <c r="B60" s="28" t="str">
        <f>Rentroll!$C$57</f>
        <v>102호</v>
      </c>
      <c r="C60" s="69" t="str">
        <f>VLOOKUP($B60,Rentroll!$C$37:$Z$60,3,FALSE)</f>
        <v>DOTZ</v>
      </c>
      <c r="D60" s="80">
        <f>VLOOKUP($B60,Rentroll!$C$37:$Z$60,9,FALSE)</f>
        <v>45838</v>
      </c>
      <c r="E60" s="80">
        <f>VLOOKUP($B60,Rentroll!$C$37:$Z$60,10,FALSE)</f>
        <v>47634</v>
      </c>
      <c r="F60" s="81">
        <f>VLOOKUP($B60,Rentroll!$C$37:$Z$60,11,FALSE)</f>
        <v>60</v>
      </c>
      <c r="G60" s="69">
        <f>VLOOKUP($B60,Rentroll!$C$37:$Z$60,13,FALSE)</f>
        <v>150000</v>
      </c>
      <c r="H60" s="69">
        <f>VLOOKUP($B60,Rentroll!$C$37:$Z$60,14,FALSE)</f>
        <v>150000</v>
      </c>
      <c r="I60" s="69">
        <f>VLOOKUP($B60,Rentroll!$C$37:$Z$60,15,FALSE)</f>
        <v>45000</v>
      </c>
      <c r="J60" s="82">
        <f>VLOOKUP($B60,Rentroll!$C$37:$Z$60,19,FALSE)</f>
        <v>0.03</v>
      </c>
      <c r="K60" s="83">
        <f>VLOOKUP($B60,Rentroll!$C$37:$Z$60,4,FALSE)</f>
        <v>484.78</v>
      </c>
      <c r="L60" s="81">
        <f>VLOOKUP($B60,Rentroll!$C$37:$Z$60,17,FALSE)</f>
        <v>1</v>
      </c>
      <c r="M60" s="84">
        <f>VLOOKUP($B60,Rentroll!$C$37:$Z$60,18,FALSE)</f>
        <v>0</v>
      </c>
      <c r="O60" s="74" t="str">
        <f t="shared" si="17"/>
        <v>102호</v>
      </c>
      <c r="P60" s="75"/>
      <c r="Q60" s="75">
        <f t="shared" si="18"/>
        <v>1255.6285021587819</v>
      </c>
      <c r="R60" s="75"/>
      <c r="S60" s="75">
        <f>IF(Index!R106=1,0,$H60*$K60*py*Index!R59*Index!R200/unit)</f>
        <v>0</v>
      </c>
      <c r="T60" s="75">
        <f>IF(Index!S106=1,0,$H60*$K60*py*Index!S59*Index!S200/unit)</f>
        <v>0</v>
      </c>
      <c r="U60" s="75">
        <f>IF(Index!T106=1,0,$H60*$K60*py*Index!T59*Index!T200/unit)</f>
        <v>0</v>
      </c>
      <c r="V60" s="75">
        <f>IF(Index!U106=1,0,$H60*$K60*py*Index!U59*Index!U200/unit)</f>
        <v>0</v>
      </c>
      <c r="W60" s="75">
        <f>IF(Index!V106=1,0,$H60*$K60*py*Index!V59*Index!V200/unit)</f>
        <v>0</v>
      </c>
      <c r="X60" s="75">
        <f>IF(Index!W106=1,0,$H60*$K60*py*Index!W59*Index!W200/unit)</f>
        <v>0</v>
      </c>
      <c r="Y60" s="75">
        <f>IF(Index!X106=1,0,$H60*$K60*py*Index!X59*Index!X200/unit)</f>
        <v>0</v>
      </c>
      <c r="Z60" s="75">
        <f>IF(Index!Y106=1,0,$H60*$K60*py*Index!Y59*Index!Y200/unit)</f>
        <v>21.996892500000001</v>
      </c>
      <c r="AA60" s="75">
        <f>IF(Index!Z106=1,0,$H60*$K60*py*Index!Z59*Index!Z200/unit)</f>
        <v>21.996892500000001</v>
      </c>
      <c r="AB60" s="75">
        <f>IF(Index!AA106=1,0,$H60*$K60*py*Index!AA59*Index!AA200/unit)</f>
        <v>21.996892500000001</v>
      </c>
      <c r="AC60" s="75">
        <f>IF(Index!AB106=1,0,$H60*$K60*py*Index!AB59*Index!AB200/unit)</f>
        <v>21.996892500000001</v>
      </c>
      <c r="AD60" s="75">
        <f>IF(Index!AC106=1,0,$H60*$K60*py*Index!AC59*Index!AC200/unit)</f>
        <v>21.996892500000001</v>
      </c>
      <c r="AE60" s="75">
        <f>IF(Index!AD106=1,0,$H60*$K60*py*Index!AD59*Index!AD200/unit)</f>
        <v>21.996892500000001</v>
      </c>
      <c r="AF60" s="75">
        <f>IF(Index!AE106=1,0,$H60*$K60*py*Index!AE59*Index!AE200/unit)</f>
        <v>21.996892500000001</v>
      </c>
      <c r="AG60" s="75">
        <f>IF(Index!AF106=1,0,$H60*$K60*py*Index!AF59*Index!AF200/unit)</f>
        <v>21.996892500000001</v>
      </c>
      <c r="AH60" s="75">
        <f>IF(Index!AG106=1,0,$H60*$K60*py*Index!AG59*Index!AG200/unit)</f>
        <v>21.996892500000001</v>
      </c>
      <c r="AI60" s="75">
        <f>IF(Index!AH106=1,0,$H60*$K60*py*Index!AH59*Index!AH200/unit)</f>
        <v>21.996892500000001</v>
      </c>
      <c r="AJ60" s="75">
        <f>IF(Index!AI106=1,0,$H60*$K60*py*Index!AI59*Index!AI200/unit)</f>
        <v>21.996892500000001</v>
      </c>
      <c r="AK60" s="75">
        <f>IF(Index!AJ106=1,0,$H60*$K60*py*Index!AJ59*Index!AJ200/unit)</f>
        <v>22.656799275000001</v>
      </c>
      <c r="AL60" s="75">
        <f>IF(Index!AK106=1,0,$H60*$K60*py*Index!AK59*Index!AK200/unit)</f>
        <v>22.656799275000001</v>
      </c>
      <c r="AM60" s="75">
        <f>IF(Index!AL106=1,0,$H60*$K60*py*Index!AL59*Index!AL200/unit)</f>
        <v>22.656799275000001</v>
      </c>
      <c r="AN60" s="75">
        <f>IF(Index!AM106=1,0,$H60*$K60*py*Index!AM59*Index!AM200/unit)</f>
        <v>22.656799275000001</v>
      </c>
      <c r="AO60" s="75">
        <f>IF(Index!AN106=1,0,$H60*$K60*py*Index!AN59*Index!AN200/unit)</f>
        <v>22.656799275000001</v>
      </c>
      <c r="AP60" s="75">
        <f>IF(Index!AO106=1,0,$H60*$K60*py*Index!AO59*Index!AO200/unit)</f>
        <v>22.656799275000001</v>
      </c>
      <c r="AQ60" s="75">
        <f>IF(Index!AP106=1,0,$H60*$K60*py*Index!AP59*Index!AP200/unit)</f>
        <v>22.656799275000001</v>
      </c>
      <c r="AR60" s="75">
        <f>IF(Index!AQ106=1,0,$H60*$K60*py*Index!AQ59*Index!AQ200/unit)</f>
        <v>22.656799275000001</v>
      </c>
      <c r="AS60" s="75">
        <f>IF(Index!AR106=1,0,$H60*$K60*py*Index!AR59*Index!AR200/unit)</f>
        <v>22.656799275000001</v>
      </c>
      <c r="AT60" s="75">
        <f>IF(Index!AS106=1,0,$H60*$K60*py*Index!AS59*Index!AS200/unit)</f>
        <v>22.656799275000001</v>
      </c>
      <c r="AU60" s="75">
        <f>IF(Index!AT106=1,0,$H60*$K60*py*Index!AT59*Index!AT200/unit)</f>
        <v>22.656799275000001</v>
      </c>
      <c r="AV60" s="75">
        <f>IF(Index!AU106=1,0,$H60*$K60*py*Index!AU59*Index!AU200/unit)</f>
        <v>22.656799275000001</v>
      </c>
      <c r="AW60" s="75">
        <f>IF(Index!AV106=1,0,$H60*$K60*py*Index!AV59*Index!AV200/unit)</f>
        <v>23.336503253249997</v>
      </c>
      <c r="AX60" s="75">
        <f>IF(Index!AW106=1,0,$H60*$K60*py*Index!AW59*Index!AW200/unit)</f>
        <v>23.336503253249997</v>
      </c>
      <c r="AY60" s="75">
        <f>IF(Index!AX106=1,0,$H60*$K60*py*Index!AX59*Index!AX200/unit)</f>
        <v>23.336503253249997</v>
      </c>
      <c r="AZ60" s="75">
        <f>IF(Index!AY106=1,0,$H60*$K60*py*Index!AY59*Index!AY200/unit)</f>
        <v>23.336503253249997</v>
      </c>
      <c r="BA60" s="75">
        <f>IF(Index!AZ106=1,0,$H60*$K60*py*Index!AZ59*Index!AZ200/unit)</f>
        <v>23.336503253249997</v>
      </c>
      <c r="BB60" s="75">
        <f>IF(Index!BA106=1,0,$H60*$K60*py*Index!BA59*Index!BA200/unit)</f>
        <v>23.336503253249997</v>
      </c>
      <c r="BC60" s="75">
        <f>IF(Index!BB106=1,0,$H60*$K60*py*Index!BB59*Index!BB200/unit)</f>
        <v>23.336503253249997</v>
      </c>
      <c r="BD60" s="75">
        <f>IF(Index!BC106=1,0,$H60*$K60*py*Index!BC59*Index!BC200/unit)</f>
        <v>23.336503253249997</v>
      </c>
      <c r="BE60" s="75">
        <f>IF(Index!BD106=1,0,$H60*$K60*py*Index!BD59*Index!BD200/unit)</f>
        <v>23.336503253249997</v>
      </c>
      <c r="BF60" s="75">
        <f>IF(Index!BE106=1,0,$H60*$K60*py*Index!BE59*Index!BE200/unit)</f>
        <v>23.336503253249997</v>
      </c>
      <c r="BG60" s="75">
        <f>IF(Index!BF106=1,0,$H60*$K60*py*Index!BF59*Index!BF200/unit)</f>
        <v>23.336503253249997</v>
      </c>
      <c r="BH60" s="75">
        <f>IF(Index!BG106=1,0,$H60*$K60*py*Index!BG59*Index!BG200/unit)</f>
        <v>23.336503253249997</v>
      </c>
      <c r="BI60" s="75">
        <f>IF(Index!BH106=1,0,$H60*$K60*py*Index!BH59*Index!BH200/unit)</f>
        <v>24.036598350847502</v>
      </c>
      <c r="BJ60" s="75">
        <f>IF(Index!BI106=1,0,$H60*$K60*py*Index!BI59*Index!BI200/unit)</f>
        <v>24.036598350847502</v>
      </c>
      <c r="BK60" s="75">
        <f>IF(Index!BJ106=1,0,$H60*$K60*py*Index!BJ59*Index!BJ200/unit)</f>
        <v>24.036598350847502</v>
      </c>
      <c r="BL60" s="75">
        <f>IF(Index!BK106=1,0,$H60*$K60*py*Index!BK59*Index!BK200/unit)</f>
        <v>24.036598350847502</v>
      </c>
      <c r="BM60" s="75">
        <f>IF(Index!BL106=1,0,$H60*$K60*py*Index!BL59*Index!BL200/unit)</f>
        <v>24.036598350847502</v>
      </c>
      <c r="BN60" s="75">
        <f>IF(Index!BM106=1,0,$H60*$K60*py*Index!BM59*Index!BM200/unit)</f>
        <v>24.036598350847502</v>
      </c>
      <c r="BO60" s="75">
        <f>IF(Index!BN106=1,0,$H60*$K60*py*Index!BN59*Index!BN200/unit)</f>
        <v>24.036598350847502</v>
      </c>
      <c r="BP60" s="75">
        <f>IF(Index!BO106=1,0,$H60*$K60*py*Index!BO59*Index!BO200/unit)</f>
        <v>24.036598350847502</v>
      </c>
      <c r="BQ60" s="75">
        <f>IF(Index!BP106=1,0,$H60*$K60*py*Index!BP59*Index!BP200/unit)</f>
        <v>24.036598350847502</v>
      </c>
      <c r="BR60" s="75">
        <f>IF(Index!BQ106=1,0,$H60*$K60*py*Index!BQ59*Index!BQ200/unit)</f>
        <v>24.036598350847502</v>
      </c>
      <c r="BS60" s="75">
        <f>IF(Index!BR106=1,0,$H60*$K60*py*Index!BR59*Index!BR200/unit)</f>
        <v>24.036598350847502</v>
      </c>
      <c r="BT60" s="75">
        <f>IF(Index!BS106=1,0,$H60*$K60*py*Index!BS59*Index!BS200/unit)</f>
        <v>24.036598350847502</v>
      </c>
      <c r="BU60" s="75">
        <f>IF(Index!BT106=1,0,$H60*$K60*py*Index!BT59*Index!BT200/unit)</f>
        <v>24.757696301372924</v>
      </c>
      <c r="BV60" s="75">
        <f>IF(Index!BU106=1,0,$H60*$K60*py*Index!BU59*Index!BU200/unit)</f>
        <v>24.757696301372924</v>
      </c>
      <c r="BW60" s="75">
        <f>IF(Index!BV106=1,0,$H60*$K60*py*Index!BV59*Index!BV200/unit)</f>
        <v>24.757696301372924</v>
      </c>
      <c r="BX60" s="75">
        <f>IF(Index!BW106=1,0,$H60*$K60*py*Index!BW59*Index!BW200/unit)</f>
        <v>24.757696301372924</v>
      </c>
      <c r="BY60" s="75">
        <f>IF(Index!BX106=1,0,$H60*$K60*py*Index!BX59*Index!BX200/unit)</f>
        <v>24.757696301372924</v>
      </c>
      <c r="BZ60" s="75">
        <f>IF(Index!BY106=1,0,$H60*$K60*py*Index!BY59*Index!BY200/unit)</f>
        <v>24.757696301372924</v>
      </c>
      <c r="CA60" s="75">
        <f>IF(Index!BZ106=1,0,$H60*$K60*py*Index!BZ59*Index!BZ200/unit)</f>
        <v>24.757696301372924</v>
      </c>
      <c r="CB60" s="75">
        <f>IF(Index!CA106=1,0,$H60*$K60*py*Index!CA59*Index!CA200/unit)</f>
        <v>0</v>
      </c>
      <c r="CC60" s="75">
        <f>IF(Index!CB106=1,0,$H60*$K60*py*Index!CB59*Index!CB200/unit)</f>
        <v>0</v>
      </c>
      <c r="CD60" s="75">
        <f>IF(Index!CC106=1,0,$H60*$K60*py*Index!CC59*Index!CC200/unit)</f>
        <v>0</v>
      </c>
      <c r="CE60" s="75">
        <f>IF(Index!CD106=1,0,$H60*$K60*py*Index!CD59*Index!CD200/unit)</f>
        <v>0</v>
      </c>
      <c r="CF60" s="75">
        <f>IF(Index!CE106=1,0,$H60*$K60*py*Index!CE59*Index!CE200/unit)</f>
        <v>0</v>
      </c>
      <c r="CG60" s="75">
        <f>IF(Index!CF106=1,0,$H60*$K60*py*Index!CF59*Index!CF200/unit)</f>
        <v>0</v>
      </c>
      <c r="CH60" s="75">
        <f>IF(Index!CG106=1,0,$H60*$K60*py*Index!CG59*Index!CG200/unit)</f>
        <v>0</v>
      </c>
      <c r="CI60" s="75">
        <f>IF(Index!CH106=1,0,$H60*$K60*py*Index!CH59*Index!CH200/unit)</f>
        <v>0</v>
      </c>
      <c r="CJ60" s="75">
        <f>IF(Index!CI106=1,0,$H60*$K60*py*Index!CI59*Index!CI200/unit)</f>
        <v>0</v>
      </c>
      <c r="CK60" s="75">
        <f>IF(Index!CJ106=1,0,$H60*$K60*py*Index!CJ59*Index!CJ200/unit)</f>
        <v>0</v>
      </c>
      <c r="CL60" s="75">
        <f>IF(Index!CK106=1,0,$H60*$K60*py*Index!CK59*Index!CK200/unit)</f>
        <v>0</v>
      </c>
      <c r="CM60" s="75">
        <f>IF(Index!CL106=1,0,$H60*$K60*py*Index!CL59*Index!CL200/unit)</f>
        <v>0</v>
      </c>
      <c r="CN60" s="75">
        <f>IF(Index!CM106=1,0,$H60*$K60*py*Index!CM59*Index!CM200/unit)</f>
        <v>0</v>
      </c>
      <c r="CO60" s="75">
        <f>IF(Index!CN106=1,0,$H60*$K60*py*Index!CN59*Index!CN200/unit)</f>
        <v>0</v>
      </c>
      <c r="CP60" s="75">
        <f>IF(Index!CO106=1,0,$H60*$K60*py*Index!CO59*Index!CO200/unit)</f>
        <v>0</v>
      </c>
      <c r="CQ60" s="75">
        <f>IF(Index!CP106=1,0,$H60*$K60*py*Index!CP59*Index!CP200/unit)</f>
        <v>0</v>
      </c>
      <c r="CR60" s="75">
        <f>IF(Index!CQ106=1,0,$H60*$K60*py*Index!CQ59*Index!CQ200/unit)</f>
        <v>0</v>
      </c>
      <c r="CS60" s="75">
        <f>IF(Index!CR106=1,0,$H60*$K60*py*Index!CR59*Index!CR200/unit)</f>
        <v>0</v>
      </c>
      <c r="CT60" s="75">
        <f>IF(Index!CS106=1,0,$H60*$K60*py*Index!CS59*Index!CS200/unit)</f>
        <v>0</v>
      </c>
      <c r="CU60" s="75">
        <f>IF(Index!CT106=1,0,$H60*$K60*py*Index!CT59*Index!CT200/unit)</f>
        <v>0</v>
      </c>
      <c r="CV60" s="75">
        <f>IF(Index!CU106=1,0,$H60*$K60*py*Index!CU59*Index!CU200/unit)</f>
        <v>0</v>
      </c>
      <c r="CW60" s="75">
        <f>IF(Index!CV106=1,0,$H60*$K60*py*Index!CV59*Index!CV200/unit)</f>
        <v>0</v>
      </c>
      <c r="CX60" s="75">
        <f>IF(Index!CW106=1,0,$H60*$K60*py*Index!CW59*Index!CW200/unit)</f>
        <v>0</v>
      </c>
      <c r="CY60" s="75">
        <f>IF(Index!CX106=1,0,$H60*$K60*py*Index!CX59*Index!CX200/unit)</f>
        <v>0</v>
      </c>
      <c r="CZ60" s="75">
        <f>IF(Index!CY106=1,0,$H60*$K60*py*Index!CY59*Index!CY200/unit)</f>
        <v>0</v>
      </c>
      <c r="DA60" s="75">
        <f>IF(Index!CZ106=1,0,$H60*$K60*py*Index!CZ59*Index!CZ200/unit)</f>
        <v>0</v>
      </c>
      <c r="DB60" s="75">
        <f>IF(Index!DA106=1,0,$H60*$K60*py*Index!DA59*Index!DA200/unit)</f>
        <v>0</v>
      </c>
      <c r="DC60" s="75">
        <f>IF(Index!DB106=1,0,$H60*$K60*py*Index!DB59*Index!DB200/unit)</f>
        <v>0</v>
      </c>
      <c r="DD60" s="75">
        <f>IF(Index!DC106=1,0,$H60*$K60*py*Index!DC59*Index!DC200/unit)</f>
        <v>0</v>
      </c>
      <c r="DE60" s="75">
        <f>IF(Index!DD106=1,0,$H60*$K60*py*Index!DD59*Index!DD200/unit)</f>
        <v>0</v>
      </c>
      <c r="DF60" s="75">
        <f>IF(Index!DE106=1,0,$H60*$K60*py*Index!DE59*Index!DE200/unit)</f>
        <v>0</v>
      </c>
      <c r="DG60" s="75">
        <f>IF(Index!DF106=1,0,$H60*$K60*py*Index!DF59*Index!DF200/unit)</f>
        <v>0</v>
      </c>
      <c r="DH60" s="75">
        <f>IF(Index!DG106=1,0,$H60*$K60*py*Index!DG59*Index!DG200/unit)</f>
        <v>0</v>
      </c>
      <c r="DI60" s="75">
        <f>IF(Index!DH106=1,0,$H60*$K60*py*Index!DH59*Index!DH200/unit)</f>
        <v>0</v>
      </c>
      <c r="DJ60" s="75">
        <f>IF(Index!DI106=1,0,$H60*$K60*py*Index!DI59*Index!DI200/unit)</f>
        <v>0</v>
      </c>
      <c r="DK60" s="75">
        <f>IF(Index!DJ106=1,0,$H60*$K60*py*Index!DJ59*Index!DJ200/unit)</f>
        <v>0</v>
      </c>
      <c r="DL60" s="75">
        <f>IF(Index!DK106=1,0,$H60*$K60*py*Index!DK59*Index!DK200/unit)</f>
        <v>0</v>
      </c>
      <c r="DM60" s="75">
        <f>IF(Index!DL106=1,0,$H60*$K60*py*Index!DL59*Index!DL200/unit)</f>
        <v>0</v>
      </c>
    </row>
    <row r="61" spans="2:117">
      <c r="B61" s="28" t="str">
        <f>Rentroll!$C$58</f>
        <v>B101호</v>
      </c>
      <c r="C61" s="69" t="str">
        <f>VLOOKUP($B61,Rentroll!$C$37:$Z$60,3,FALSE)</f>
        <v>편안창고 스토리지</v>
      </c>
      <c r="D61" s="80">
        <f>VLOOKUP($B61,Rentroll!$C$37:$Z$60,9,FALSE)</f>
        <v>46752</v>
      </c>
      <c r="E61" s="80">
        <f>VLOOKUP($B61,Rentroll!$C$37:$Z$60,10,FALSE)</f>
        <v>48579</v>
      </c>
      <c r="F61" s="81">
        <f>VLOOKUP($B61,Rentroll!$C$37:$Z$60,11,FALSE)</f>
        <v>60</v>
      </c>
      <c r="G61" s="69">
        <f>VLOOKUP($B61,Rentroll!$C$37:$Z$60,13,FALSE)</f>
        <v>52116.712499999994</v>
      </c>
      <c r="H61" s="69">
        <f>VLOOKUP($B61,Rentroll!$C$37:$Z$60,14,FALSE)</f>
        <v>52116.712499999994</v>
      </c>
      <c r="I61" s="69">
        <f>VLOOKUP($B61,Rentroll!$C$37:$Z$60,15,FALSE)</f>
        <v>40000</v>
      </c>
      <c r="J61" s="82">
        <f>VLOOKUP($B61,Rentroll!$C$37:$Z$60,19,FALSE)</f>
        <v>0.03</v>
      </c>
      <c r="K61" s="83">
        <f>VLOOKUP($B61,Rentroll!$C$37:$Z$60,4,FALSE)</f>
        <v>969.56</v>
      </c>
      <c r="L61" s="81">
        <f>VLOOKUP($B61,Rentroll!$C$37:$Z$60,17,FALSE)</f>
        <v>1</v>
      </c>
      <c r="M61" s="84">
        <f>VLOOKUP($B61,Rentroll!$C$37:$Z$60,18,FALSE)</f>
        <v>0</v>
      </c>
      <c r="O61" s="74" t="str">
        <f t="shared" ref="O61" si="19">B61</f>
        <v>B101호</v>
      </c>
      <c r="P61" s="75"/>
      <c r="Q61" s="75">
        <f t="shared" ref="Q61" si="20">SUM(S61:DM61)</f>
        <v>373.2834600547269</v>
      </c>
      <c r="R61" s="75"/>
      <c r="S61" s="75">
        <f>IF(Index!R107=1,0,$H61*$K61*py*Index!R60*Index!R201/unit)</f>
        <v>0</v>
      </c>
      <c r="T61" s="75">
        <f>IF(Index!S107=1,0,$H61*$K61*py*Index!S60*Index!S201/unit)</f>
        <v>0</v>
      </c>
      <c r="U61" s="75">
        <f>IF(Index!T107=1,0,$H61*$K61*py*Index!T60*Index!T201/unit)</f>
        <v>0</v>
      </c>
      <c r="V61" s="75">
        <f>IF(Index!U107=1,0,$H61*$K61*py*Index!U60*Index!U201/unit)</f>
        <v>0</v>
      </c>
      <c r="W61" s="75">
        <f>IF(Index!V107=1,0,$H61*$K61*py*Index!V60*Index!V201/unit)</f>
        <v>0</v>
      </c>
      <c r="X61" s="75">
        <f>IF(Index!W107=1,0,$H61*$K61*py*Index!W60*Index!W201/unit)</f>
        <v>0</v>
      </c>
      <c r="Y61" s="75">
        <f>IF(Index!X107=1,0,$H61*$K61*py*Index!X60*Index!X201/unit)</f>
        <v>0</v>
      </c>
      <c r="Z61" s="75">
        <f>IF(Index!Y107=1,0,$H61*$K61*py*Index!Y60*Index!Y201/unit)</f>
        <v>0</v>
      </c>
      <c r="AA61" s="75">
        <f>IF(Index!Z107=1,0,$H61*$K61*py*Index!Z60*Index!Z201/unit)</f>
        <v>0</v>
      </c>
      <c r="AB61" s="75">
        <f>IF(Index!AA107=1,0,$H61*$K61*py*Index!AA60*Index!AA201/unit)</f>
        <v>0</v>
      </c>
      <c r="AC61" s="75">
        <f>IF(Index!AB107=1,0,$H61*$K61*py*Index!AB60*Index!AB201/unit)</f>
        <v>0</v>
      </c>
      <c r="AD61" s="75">
        <f>IF(Index!AC107=1,0,$H61*$K61*py*Index!AC60*Index!AC201/unit)</f>
        <v>0</v>
      </c>
      <c r="AE61" s="75">
        <f>IF(Index!AD107=1,0,$H61*$K61*py*Index!AD60*Index!AD201/unit)</f>
        <v>0</v>
      </c>
      <c r="AF61" s="75">
        <f>IF(Index!AE107=1,0,$H61*$K61*py*Index!AE60*Index!AE201/unit)</f>
        <v>0</v>
      </c>
      <c r="AG61" s="75">
        <f>IF(Index!AF107=1,0,$H61*$K61*py*Index!AF60*Index!AF201/unit)</f>
        <v>0</v>
      </c>
      <c r="AH61" s="75">
        <f>IF(Index!AG107=1,0,$H61*$K61*py*Index!AG60*Index!AG201/unit)</f>
        <v>0</v>
      </c>
      <c r="AI61" s="75">
        <f>IF(Index!AH107=1,0,$H61*$K61*py*Index!AH60*Index!AH201/unit)</f>
        <v>0</v>
      </c>
      <c r="AJ61" s="75">
        <f>IF(Index!AI107=1,0,$H61*$K61*py*Index!AI60*Index!AI201/unit)</f>
        <v>0</v>
      </c>
      <c r="AK61" s="75">
        <f>IF(Index!AJ107=1,0,$H61*$K61*py*Index!AJ60*Index!AJ201/unit)</f>
        <v>0</v>
      </c>
      <c r="AL61" s="75">
        <f>IF(Index!AK107=1,0,$H61*$K61*py*Index!AK60*Index!AK201/unit)</f>
        <v>0</v>
      </c>
      <c r="AM61" s="75">
        <f>IF(Index!AL107=1,0,$H61*$K61*py*Index!AL60*Index!AL201/unit)</f>
        <v>0</v>
      </c>
      <c r="AN61" s="75">
        <f>IF(Index!AM107=1,0,$H61*$K61*py*Index!AM60*Index!AM201/unit)</f>
        <v>0</v>
      </c>
      <c r="AO61" s="75">
        <f>IF(Index!AN107=1,0,$H61*$K61*py*Index!AN60*Index!AN201/unit)</f>
        <v>0</v>
      </c>
      <c r="AP61" s="75">
        <f>IF(Index!AO107=1,0,$H61*$K61*py*Index!AO60*Index!AO201/unit)</f>
        <v>0</v>
      </c>
      <c r="AQ61" s="75">
        <f>IF(Index!AP107=1,0,$H61*$K61*py*Index!AP60*Index!AP201/unit)</f>
        <v>0</v>
      </c>
      <c r="AR61" s="75">
        <f>IF(Index!AQ107=1,0,$H61*$K61*py*Index!AQ60*Index!AQ201/unit)</f>
        <v>0</v>
      </c>
      <c r="AS61" s="75">
        <f>IF(Index!AR107=1,0,$H61*$K61*py*Index!AR60*Index!AR201/unit)</f>
        <v>0</v>
      </c>
      <c r="AT61" s="75">
        <f>IF(Index!AS107=1,0,$H61*$K61*py*Index!AS60*Index!AS201/unit)</f>
        <v>0</v>
      </c>
      <c r="AU61" s="75">
        <f>IF(Index!AT107=1,0,$H61*$K61*py*Index!AT60*Index!AT201/unit)</f>
        <v>0</v>
      </c>
      <c r="AV61" s="75">
        <f>IF(Index!AU107=1,0,$H61*$K61*py*Index!AU60*Index!AU201/unit)</f>
        <v>0</v>
      </c>
      <c r="AW61" s="75">
        <f>IF(Index!AV107=1,0,$H61*$K61*py*Index!AV60*Index!AV201/unit)</f>
        <v>0</v>
      </c>
      <c r="AX61" s="75">
        <f>IF(Index!AW107=1,0,$H61*$K61*py*Index!AW60*Index!AW201/unit)</f>
        <v>0</v>
      </c>
      <c r="AY61" s="75">
        <f>IF(Index!AX107=1,0,$H61*$K61*py*Index!AX60*Index!AX201/unit)</f>
        <v>0</v>
      </c>
      <c r="AZ61" s="75">
        <f>IF(Index!AY107=1,0,$H61*$K61*py*Index!AY60*Index!AY201/unit)</f>
        <v>0</v>
      </c>
      <c r="BA61" s="75">
        <f>IF(Index!AZ107=1,0,$H61*$K61*py*Index!AZ60*Index!AZ201/unit)</f>
        <v>0</v>
      </c>
      <c r="BB61" s="75">
        <f>IF(Index!BA107=1,0,$H61*$K61*py*Index!BA60*Index!BA201/unit)</f>
        <v>0</v>
      </c>
      <c r="BC61" s="75">
        <f>IF(Index!BB107=1,0,$H61*$K61*py*Index!BB60*Index!BB201/unit)</f>
        <v>0</v>
      </c>
      <c r="BD61" s="75">
        <f>IF(Index!BC107=1,0,$H61*$K61*py*Index!BC60*Index!BC201/unit)</f>
        <v>15.285409630878746</v>
      </c>
      <c r="BE61" s="75">
        <f>IF(Index!BD107=1,0,$H61*$K61*py*Index!BD60*Index!BD201/unit)</f>
        <v>15.285409630878746</v>
      </c>
      <c r="BF61" s="75">
        <f>IF(Index!BE107=1,0,$H61*$K61*py*Index!BE60*Index!BE201/unit)</f>
        <v>15.285409630878746</v>
      </c>
      <c r="BG61" s="75">
        <f>IF(Index!BF107=1,0,$H61*$K61*py*Index!BF60*Index!BF201/unit)</f>
        <v>15.285409630878746</v>
      </c>
      <c r="BH61" s="75">
        <f>IF(Index!BG107=1,0,$H61*$K61*py*Index!BG60*Index!BG201/unit)</f>
        <v>15.285409630878746</v>
      </c>
      <c r="BI61" s="75">
        <f>IF(Index!BH107=1,0,$H61*$K61*py*Index!BH60*Index!BH201/unit)</f>
        <v>15.285409630878746</v>
      </c>
      <c r="BJ61" s="75">
        <f>IF(Index!BI107=1,0,$H61*$K61*py*Index!BI60*Index!BI201/unit)</f>
        <v>15.285409630878746</v>
      </c>
      <c r="BK61" s="75">
        <f>IF(Index!BJ107=1,0,$H61*$K61*py*Index!BJ60*Index!BJ201/unit)</f>
        <v>15.285409630878746</v>
      </c>
      <c r="BL61" s="75">
        <f>IF(Index!BK107=1,0,$H61*$K61*py*Index!BK60*Index!BK201/unit)</f>
        <v>15.285409630878746</v>
      </c>
      <c r="BM61" s="75">
        <f>IF(Index!BL107=1,0,$H61*$K61*py*Index!BL60*Index!BL201/unit)</f>
        <v>15.285409630878746</v>
      </c>
      <c r="BN61" s="75">
        <f>IF(Index!BM107=1,0,$H61*$K61*py*Index!BM60*Index!BM201/unit)</f>
        <v>15.285409630878746</v>
      </c>
      <c r="BO61" s="75">
        <f>IF(Index!BN107=1,0,$H61*$K61*py*Index!BN60*Index!BN201/unit)</f>
        <v>15.743971919805109</v>
      </c>
      <c r="BP61" s="75">
        <f>IF(Index!BO107=1,0,$H61*$K61*py*Index!BO60*Index!BO201/unit)</f>
        <v>15.743971919805109</v>
      </c>
      <c r="BQ61" s="75">
        <f>IF(Index!BP107=1,0,$H61*$K61*py*Index!BP60*Index!BP201/unit)</f>
        <v>15.743971919805109</v>
      </c>
      <c r="BR61" s="75">
        <f>IF(Index!BQ107=1,0,$H61*$K61*py*Index!BQ60*Index!BQ201/unit)</f>
        <v>15.743971919805109</v>
      </c>
      <c r="BS61" s="75">
        <f>IF(Index!BR107=1,0,$H61*$K61*py*Index!BR60*Index!BR201/unit)</f>
        <v>15.743971919805109</v>
      </c>
      <c r="BT61" s="75">
        <f>IF(Index!BS107=1,0,$H61*$K61*py*Index!BS60*Index!BS201/unit)</f>
        <v>15.743971919805109</v>
      </c>
      <c r="BU61" s="75">
        <f>IF(Index!BT107=1,0,$H61*$K61*py*Index!BT60*Index!BT201/unit)</f>
        <v>15.743971919805109</v>
      </c>
      <c r="BV61" s="75">
        <f>IF(Index!BU107=1,0,$H61*$K61*py*Index!BU60*Index!BU201/unit)</f>
        <v>15.743971919805109</v>
      </c>
      <c r="BW61" s="75">
        <f>IF(Index!BV107=1,0,$H61*$K61*py*Index!BV60*Index!BV201/unit)</f>
        <v>15.743971919805109</v>
      </c>
      <c r="BX61" s="75">
        <f>IF(Index!BW107=1,0,$H61*$K61*py*Index!BW60*Index!BW201/unit)</f>
        <v>15.743971919805109</v>
      </c>
      <c r="BY61" s="75">
        <f>IF(Index!BX107=1,0,$H61*$K61*py*Index!BX60*Index!BX201/unit)</f>
        <v>15.743971919805109</v>
      </c>
      <c r="BZ61" s="75">
        <f>IF(Index!BY107=1,0,$H61*$K61*py*Index!BY60*Index!BY201/unit)</f>
        <v>15.743971919805109</v>
      </c>
      <c r="CA61" s="75">
        <f>IF(Index!BZ107=1,0,$H61*$K61*py*Index!BZ60*Index!BZ201/unit)</f>
        <v>16.216291077399262</v>
      </c>
      <c r="CB61" s="75">
        <f>IF(Index!CA107=1,0,$H61*$K61*py*Index!CA60*Index!CA201/unit)</f>
        <v>0</v>
      </c>
      <c r="CC61" s="75">
        <f>IF(Index!CB107=1,0,$H61*$K61*py*Index!CB60*Index!CB201/unit)</f>
        <v>0</v>
      </c>
      <c r="CD61" s="75">
        <f>IF(Index!CC107=1,0,$H61*$K61*py*Index!CC60*Index!CC201/unit)</f>
        <v>0</v>
      </c>
      <c r="CE61" s="75">
        <f>IF(Index!CD107=1,0,$H61*$K61*py*Index!CD60*Index!CD201/unit)</f>
        <v>0</v>
      </c>
      <c r="CF61" s="75">
        <f>IF(Index!CE107=1,0,$H61*$K61*py*Index!CE60*Index!CE201/unit)</f>
        <v>0</v>
      </c>
      <c r="CG61" s="75">
        <f>IF(Index!CF107=1,0,$H61*$K61*py*Index!CF60*Index!CF201/unit)</f>
        <v>0</v>
      </c>
      <c r="CH61" s="75">
        <f>IF(Index!CG107=1,0,$H61*$K61*py*Index!CG60*Index!CG201/unit)</f>
        <v>0</v>
      </c>
      <c r="CI61" s="75">
        <f>IF(Index!CH107=1,0,$H61*$K61*py*Index!CH60*Index!CH201/unit)</f>
        <v>0</v>
      </c>
      <c r="CJ61" s="75">
        <f>IF(Index!CI107=1,0,$H61*$K61*py*Index!CI60*Index!CI201/unit)</f>
        <v>0</v>
      </c>
      <c r="CK61" s="75">
        <f>IF(Index!CJ107=1,0,$H61*$K61*py*Index!CJ60*Index!CJ201/unit)</f>
        <v>0</v>
      </c>
      <c r="CL61" s="75">
        <f>IF(Index!CK107=1,0,$H61*$K61*py*Index!CK60*Index!CK201/unit)</f>
        <v>0</v>
      </c>
      <c r="CM61" s="75">
        <f>IF(Index!CL107=1,0,$H61*$K61*py*Index!CL60*Index!CL201/unit)</f>
        <v>0</v>
      </c>
      <c r="CN61" s="75">
        <f>IF(Index!CM107=1,0,$H61*$K61*py*Index!CM60*Index!CM201/unit)</f>
        <v>0</v>
      </c>
      <c r="CO61" s="75">
        <f>IF(Index!CN107=1,0,$H61*$K61*py*Index!CN60*Index!CN201/unit)</f>
        <v>0</v>
      </c>
      <c r="CP61" s="75">
        <f>IF(Index!CO107=1,0,$H61*$K61*py*Index!CO60*Index!CO201/unit)</f>
        <v>0</v>
      </c>
      <c r="CQ61" s="75">
        <f>IF(Index!CP107=1,0,$H61*$K61*py*Index!CP60*Index!CP201/unit)</f>
        <v>0</v>
      </c>
      <c r="CR61" s="75">
        <f>IF(Index!CQ107=1,0,$H61*$K61*py*Index!CQ60*Index!CQ201/unit)</f>
        <v>0</v>
      </c>
      <c r="CS61" s="75">
        <f>IF(Index!CR107=1,0,$H61*$K61*py*Index!CR60*Index!CR201/unit)</f>
        <v>0</v>
      </c>
      <c r="CT61" s="75">
        <f>IF(Index!CS107=1,0,$H61*$K61*py*Index!CS60*Index!CS201/unit)</f>
        <v>0</v>
      </c>
      <c r="CU61" s="75">
        <f>IF(Index!CT107=1,0,$H61*$K61*py*Index!CT60*Index!CT201/unit)</f>
        <v>0</v>
      </c>
      <c r="CV61" s="75">
        <f>IF(Index!CU107=1,0,$H61*$K61*py*Index!CU60*Index!CU201/unit)</f>
        <v>0</v>
      </c>
      <c r="CW61" s="75">
        <f>IF(Index!CV107=1,0,$H61*$K61*py*Index!CV60*Index!CV201/unit)</f>
        <v>0</v>
      </c>
      <c r="CX61" s="75">
        <f>IF(Index!CW107=1,0,$H61*$K61*py*Index!CW60*Index!CW201/unit)</f>
        <v>0</v>
      </c>
      <c r="CY61" s="75">
        <f>IF(Index!CX107=1,0,$H61*$K61*py*Index!CX60*Index!CX201/unit)</f>
        <v>0</v>
      </c>
      <c r="CZ61" s="75">
        <f>IF(Index!CY107=1,0,$H61*$K61*py*Index!CY60*Index!CY201/unit)</f>
        <v>0</v>
      </c>
      <c r="DA61" s="75">
        <f>IF(Index!CZ107=1,0,$H61*$K61*py*Index!CZ60*Index!CZ201/unit)</f>
        <v>0</v>
      </c>
      <c r="DB61" s="75">
        <f>IF(Index!DA107=1,0,$H61*$K61*py*Index!DA60*Index!DA201/unit)</f>
        <v>0</v>
      </c>
      <c r="DC61" s="75">
        <f>IF(Index!DB107=1,0,$H61*$K61*py*Index!DB60*Index!DB201/unit)</f>
        <v>0</v>
      </c>
      <c r="DD61" s="75">
        <f>IF(Index!DC107=1,0,$H61*$K61*py*Index!DC60*Index!DC201/unit)</f>
        <v>0</v>
      </c>
      <c r="DE61" s="75">
        <f>IF(Index!DD107=1,0,$H61*$K61*py*Index!DD60*Index!DD201/unit)</f>
        <v>0</v>
      </c>
      <c r="DF61" s="75">
        <f>IF(Index!DE107=1,0,$H61*$K61*py*Index!DE60*Index!DE201/unit)</f>
        <v>0</v>
      </c>
      <c r="DG61" s="75">
        <f>IF(Index!DF107=1,0,$H61*$K61*py*Index!DF60*Index!DF201/unit)</f>
        <v>0</v>
      </c>
      <c r="DH61" s="75">
        <f>IF(Index!DG107=1,0,$H61*$K61*py*Index!DG60*Index!DG201/unit)</f>
        <v>0</v>
      </c>
      <c r="DI61" s="75">
        <f>IF(Index!DH107=1,0,$H61*$K61*py*Index!DH60*Index!DH201/unit)</f>
        <v>0</v>
      </c>
      <c r="DJ61" s="75">
        <f>IF(Index!DI107=1,0,$H61*$K61*py*Index!DI60*Index!DI201/unit)</f>
        <v>0</v>
      </c>
      <c r="DK61" s="75">
        <f>IF(Index!DJ107=1,0,$H61*$K61*py*Index!DJ60*Index!DJ201/unit)</f>
        <v>0</v>
      </c>
      <c r="DL61" s="75">
        <f>IF(Index!DK107=1,0,$H61*$K61*py*Index!DK60*Index!DK201/unit)</f>
        <v>0</v>
      </c>
      <c r="DM61" s="75">
        <f>IF(Index!DL107=1,0,$H61*$K61*py*Index!DL60*Index!DL201/unit)</f>
        <v>0</v>
      </c>
    </row>
    <row r="62" spans="2:117">
      <c r="B62" s="28" t="str">
        <f>Rentroll!$C$59</f>
        <v>B102호</v>
      </c>
      <c r="C62" s="69" t="str">
        <f>VLOOKUP($B62,Rentroll!$C$37:$Z$60,3,FALSE)</f>
        <v>스크린 퀀텀</v>
      </c>
      <c r="D62" s="80">
        <f>VLOOKUP($B62,Rentroll!$C$37:$Z$60,9,FALSE)</f>
        <v>46418</v>
      </c>
      <c r="E62" s="80">
        <f>VLOOKUP($B62,Rentroll!$C$37:$Z$60,10,FALSE)</f>
        <v>48244</v>
      </c>
      <c r="F62" s="81">
        <f>VLOOKUP($B62,Rentroll!$C$37:$Z$60,11,FALSE)</f>
        <v>60</v>
      </c>
      <c r="G62" s="69">
        <f>VLOOKUP($B62,Rentroll!$C$37:$Z$60,13,FALSE)</f>
        <v>52116.712499999994</v>
      </c>
      <c r="H62" s="69">
        <f>VLOOKUP($B62,Rentroll!$C$37:$Z$60,14,FALSE)</f>
        <v>52116.712499999994</v>
      </c>
      <c r="I62" s="69">
        <f>VLOOKUP($B62,Rentroll!$C$37:$Z$60,15,FALSE)</f>
        <v>40000</v>
      </c>
      <c r="J62" s="82">
        <f>VLOOKUP($B62,Rentroll!$C$37:$Z$60,19,FALSE)</f>
        <v>0.03</v>
      </c>
      <c r="K62" s="83">
        <f>VLOOKUP($B62,Rentroll!$C$37:$Z$60,4,FALSE)</f>
        <v>969.56</v>
      </c>
      <c r="L62" s="81">
        <f>VLOOKUP($B62,Rentroll!$C$37:$Z$60,17,FALSE)</f>
        <v>1</v>
      </c>
      <c r="M62" s="84">
        <f>VLOOKUP($B62,Rentroll!$C$37:$Z$60,18,FALSE)</f>
        <v>0</v>
      </c>
      <c r="O62" s="74" t="str">
        <f t="shared" si="17"/>
        <v>B102호</v>
      </c>
      <c r="P62" s="75"/>
      <c r="Q62" s="75">
        <f t="shared" si="18"/>
        <v>551.66266190611896</v>
      </c>
      <c r="R62" s="75"/>
      <c r="S62" s="75">
        <f>IF(Index!R108=1,0,$H62*$K62*py*Index!R61*Index!R202/unit)</f>
        <v>0</v>
      </c>
      <c r="T62" s="75">
        <f>IF(Index!S108=1,0,$H62*$K62*py*Index!S61*Index!S202/unit)</f>
        <v>0</v>
      </c>
      <c r="U62" s="75">
        <f>IF(Index!T108=1,0,$H62*$K62*py*Index!T61*Index!T202/unit)</f>
        <v>0</v>
      </c>
      <c r="V62" s="75">
        <f>IF(Index!U108=1,0,$H62*$K62*py*Index!U61*Index!U202/unit)</f>
        <v>0</v>
      </c>
      <c r="W62" s="75">
        <f>IF(Index!V108=1,0,$H62*$K62*py*Index!V61*Index!V202/unit)</f>
        <v>0</v>
      </c>
      <c r="X62" s="75">
        <f>IF(Index!W108=1,0,$H62*$K62*py*Index!W61*Index!W202/unit)</f>
        <v>0</v>
      </c>
      <c r="Y62" s="75">
        <f>IF(Index!X108=1,0,$H62*$K62*py*Index!X61*Index!X202/unit)</f>
        <v>0</v>
      </c>
      <c r="Z62" s="75">
        <f>IF(Index!Y108=1,0,$H62*$K62*py*Index!Y61*Index!Y202/unit)</f>
        <v>0</v>
      </c>
      <c r="AA62" s="75">
        <f>IF(Index!Z108=1,0,$H62*$K62*py*Index!Z61*Index!Z202/unit)</f>
        <v>0</v>
      </c>
      <c r="AB62" s="75">
        <f>IF(Index!AA108=1,0,$H62*$K62*py*Index!AA61*Index!AA202/unit)</f>
        <v>0</v>
      </c>
      <c r="AC62" s="75">
        <f>IF(Index!AB108=1,0,$H62*$K62*py*Index!AB61*Index!AB202/unit)</f>
        <v>0</v>
      </c>
      <c r="AD62" s="75">
        <f>IF(Index!AC108=1,0,$H62*$K62*py*Index!AC61*Index!AC202/unit)</f>
        <v>0</v>
      </c>
      <c r="AE62" s="75">
        <f>IF(Index!AD108=1,0,$H62*$K62*py*Index!AD61*Index!AD202/unit)</f>
        <v>0</v>
      </c>
      <c r="AF62" s="75">
        <f>IF(Index!AE108=1,0,$H62*$K62*py*Index!AE61*Index!AE202/unit)</f>
        <v>0</v>
      </c>
      <c r="AG62" s="75">
        <f>IF(Index!AF108=1,0,$H62*$K62*py*Index!AF61*Index!AF202/unit)</f>
        <v>0</v>
      </c>
      <c r="AH62" s="75">
        <f>IF(Index!AG108=1,0,$H62*$K62*py*Index!AG61*Index!AG202/unit)</f>
        <v>0</v>
      </c>
      <c r="AI62" s="75">
        <f>IF(Index!AH108=1,0,$H62*$K62*py*Index!AH61*Index!AH202/unit)</f>
        <v>0</v>
      </c>
      <c r="AJ62" s="75">
        <f>IF(Index!AI108=1,0,$H62*$K62*py*Index!AI61*Index!AI202/unit)</f>
        <v>0</v>
      </c>
      <c r="AK62" s="75">
        <f>IF(Index!AJ108=1,0,$H62*$K62*py*Index!AJ61*Index!AJ202/unit)</f>
        <v>0</v>
      </c>
      <c r="AL62" s="75">
        <f>IF(Index!AK108=1,0,$H62*$K62*py*Index!AK61*Index!AK202/unit)</f>
        <v>0</v>
      </c>
      <c r="AM62" s="75">
        <f>IF(Index!AL108=1,0,$H62*$K62*py*Index!AL61*Index!AL202/unit)</f>
        <v>0</v>
      </c>
      <c r="AN62" s="75">
        <f>IF(Index!AM108=1,0,$H62*$K62*py*Index!AM61*Index!AM202/unit)</f>
        <v>0</v>
      </c>
      <c r="AO62" s="75">
        <f>IF(Index!AN108=1,0,$H62*$K62*py*Index!AN61*Index!AN202/unit)</f>
        <v>0</v>
      </c>
      <c r="AP62" s="75">
        <f>IF(Index!AO108=1,0,$H62*$K62*py*Index!AO61*Index!AO202/unit)</f>
        <v>0</v>
      </c>
      <c r="AQ62" s="75">
        <f>IF(Index!AP108=1,0,$H62*$K62*py*Index!AP61*Index!AP202/unit)</f>
        <v>0</v>
      </c>
      <c r="AR62" s="75">
        <f>IF(Index!AQ108=1,0,$H62*$K62*py*Index!AQ61*Index!AQ202/unit)</f>
        <v>0</v>
      </c>
      <c r="AS62" s="75">
        <f>IF(Index!AR108=1,0,$H62*$K62*py*Index!AR61*Index!AR202/unit)</f>
        <v>15.285409630878746</v>
      </c>
      <c r="AT62" s="75">
        <f>IF(Index!AS108=1,0,$H62*$K62*py*Index!AS61*Index!AS202/unit)</f>
        <v>15.285409630878746</v>
      </c>
      <c r="AU62" s="75">
        <f>IF(Index!AT108=1,0,$H62*$K62*py*Index!AT61*Index!AT202/unit)</f>
        <v>15.285409630878746</v>
      </c>
      <c r="AV62" s="75">
        <f>IF(Index!AU108=1,0,$H62*$K62*py*Index!AU61*Index!AU202/unit)</f>
        <v>15.285409630878746</v>
      </c>
      <c r="AW62" s="75">
        <f>IF(Index!AV108=1,0,$H62*$K62*py*Index!AV61*Index!AV202/unit)</f>
        <v>15.285409630878746</v>
      </c>
      <c r="AX62" s="75">
        <f>IF(Index!AW108=1,0,$H62*$K62*py*Index!AW61*Index!AW202/unit)</f>
        <v>15.285409630878746</v>
      </c>
      <c r="AY62" s="75">
        <f>IF(Index!AX108=1,0,$H62*$K62*py*Index!AX61*Index!AX202/unit)</f>
        <v>15.285409630878746</v>
      </c>
      <c r="AZ62" s="75">
        <f>IF(Index!AY108=1,0,$H62*$K62*py*Index!AY61*Index!AY202/unit)</f>
        <v>15.285409630878746</v>
      </c>
      <c r="BA62" s="75">
        <f>IF(Index!AZ108=1,0,$H62*$K62*py*Index!AZ61*Index!AZ202/unit)</f>
        <v>15.285409630878746</v>
      </c>
      <c r="BB62" s="75">
        <f>IF(Index!BA108=1,0,$H62*$K62*py*Index!BA61*Index!BA202/unit)</f>
        <v>15.285409630878746</v>
      </c>
      <c r="BC62" s="75">
        <f>IF(Index!BB108=1,0,$H62*$K62*py*Index!BB61*Index!BB202/unit)</f>
        <v>15.285409630878746</v>
      </c>
      <c r="BD62" s="75">
        <f>IF(Index!BC108=1,0,$H62*$K62*py*Index!BC61*Index!BC202/unit)</f>
        <v>15.743971919805109</v>
      </c>
      <c r="BE62" s="75">
        <f>IF(Index!BD108=1,0,$H62*$K62*py*Index!BD61*Index!BD202/unit)</f>
        <v>15.743971919805109</v>
      </c>
      <c r="BF62" s="75">
        <f>IF(Index!BE108=1,0,$H62*$K62*py*Index!BE61*Index!BE202/unit)</f>
        <v>15.743971919805109</v>
      </c>
      <c r="BG62" s="75">
        <f>IF(Index!BF108=1,0,$H62*$K62*py*Index!BF61*Index!BF202/unit)</f>
        <v>15.743971919805109</v>
      </c>
      <c r="BH62" s="75">
        <f>IF(Index!BG108=1,0,$H62*$K62*py*Index!BG61*Index!BG202/unit)</f>
        <v>15.743971919805109</v>
      </c>
      <c r="BI62" s="75">
        <f>IF(Index!BH108=1,0,$H62*$K62*py*Index!BH61*Index!BH202/unit)</f>
        <v>15.743971919805109</v>
      </c>
      <c r="BJ62" s="75">
        <f>IF(Index!BI108=1,0,$H62*$K62*py*Index!BI61*Index!BI202/unit)</f>
        <v>15.743971919805109</v>
      </c>
      <c r="BK62" s="75">
        <f>IF(Index!BJ108=1,0,$H62*$K62*py*Index!BJ61*Index!BJ202/unit)</f>
        <v>15.743971919805109</v>
      </c>
      <c r="BL62" s="75">
        <f>IF(Index!BK108=1,0,$H62*$K62*py*Index!BK61*Index!BK202/unit)</f>
        <v>15.743971919805109</v>
      </c>
      <c r="BM62" s="75">
        <f>IF(Index!BL108=1,0,$H62*$K62*py*Index!BL61*Index!BL202/unit)</f>
        <v>15.743971919805109</v>
      </c>
      <c r="BN62" s="75">
        <f>IF(Index!BM108=1,0,$H62*$K62*py*Index!BM61*Index!BM202/unit)</f>
        <v>15.743971919805109</v>
      </c>
      <c r="BO62" s="75">
        <f>IF(Index!BN108=1,0,$H62*$K62*py*Index!BN61*Index!BN202/unit)</f>
        <v>15.743971919805109</v>
      </c>
      <c r="BP62" s="75">
        <f>IF(Index!BO108=1,0,$H62*$K62*py*Index!BO61*Index!BO202/unit)</f>
        <v>16.216291077399262</v>
      </c>
      <c r="BQ62" s="75">
        <f>IF(Index!BP108=1,0,$H62*$K62*py*Index!BP61*Index!BP202/unit)</f>
        <v>16.216291077399262</v>
      </c>
      <c r="BR62" s="75">
        <f>IF(Index!BQ108=1,0,$H62*$K62*py*Index!BQ61*Index!BQ202/unit)</f>
        <v>16.216291077399262</v>
      </c>
      <c r="BS62" s="75">
        <f>IF(Index!BR108=1,0,$H62*$K62*py*Index!BR61*Index!BR202/unit)</f>
        <v>16.216291077399262</v>
      </c>
      <c r="BT62" s="75">
        <f>IF(Index!BS108=1,0,$H62*$K62*py*Index!BS61*Index!BS202/unit)</f>
        <v>16.216291077399262</v>
      </c>
      <c r="BU62" s="75">
        <f>IF(Index!BT108=1,0,$H62*$K62*py*Index!BT61*Index!BT202/unit)</f>
        <v>16.216291077399262</v>
      </c>
      <c r="BV62" s="75">
        <f>IF(Index!BU108=1,0,$H62*$K62*py*Index!BU61*Index!BU202/unit)</f>
        <v>16.216291077399262</v>
      </c>
      <c r="BW62" s="75">
        <f>IF(Index!BV108=1,0,$H62*$K62*py*Index!BV61*Index!BV202/unit)</f>
        <v>16.216291077399262</v>
      </c>
      <c r="BX62" s="75">
        <f>IF(Index!BW108=1,0,$H62*$K62*py*Index!BW61*Index!BW202/unit)</f>
        <v>16.216291077399262</v>
      </c>
      <c r="BY62" s="75">
        <f>IF(Index!BX108=1,0,$H62*$K62*py*Index!BX61*Index!BX202/unit)</f>
        <v>16.216291077399262</v>
      </c>
      <c r="BZ62" s="75">
        <f>IF(Index!BY108=1,0,$H62*$K62*py*Index!BY61*Index!BY202/unit)</f>
        <v>16.216291077399262</v>
      </c>
      <c r="CA62" s="75">
        <f>IF(Index!BZ108=1,0,$H62*$K62*py*Index!BZ61*Index!BZ202/unit)</f>
        <v>16.216291077399262</v>
      </c>
      <c r="CB62" s="75">
        <f>IF(Index!CA108=1,0,$H62*$K62*py*Index!CA61*Index!CA202/unit)</f>
        <v>0</v>
      </c>
      <c r="CC62" s="75">
        <f>IF(Index!CB108=1,0,$H62*$K62*py*Index!CB61*Index!CB202/unit)</f>
        <v>0</v>
      </c>
      <c r="CD62" s="75">
        <f>IF(Index!CC108=1,0,$H62*$K62*py*Index!CC61*Index!CC202/unit)</f>
        <v>0</v>
      </c>
      <c r="CE62" s="75">
        <f>IF(Index!CD108=1,0,$H62*$K62*py*Index!CD61*Index!CD202/unit)</f>
        <v>0</v>
      </c>
      <c r="CF62" s="75">
        <f>IF(Index!CE108=1,0,$H62*$K62*py*Index!CE61*Index!CE202/unit)</f>
        <v>0</v>
      </c>
      <c r="CG62" s="75">
        <f>IF(Index!CF108=1,0,$H62*$K62*py*Index!CF61*Index!CF202/unit)</f>
        <v>0</v>
      </c>
      <c r="CH62" s="75">
        <f>IF(Index!CG108=1,0,$H62*$K62*py*Index!CG61*Index!CG202/unit)</f>
        <v>0</v>
      </c>
      <c r="CI62" s="75">
        <f>IF(Index!CH108=1,0,$H62*$K62*py*Index!CH61*Index!CH202/unit)</f>
        <v>0</v>
      </c>
      <c r="CJ62" s="75">
        <f>IF(Index!CI108=1,0,$H62*$K62*py*Index!CI61*Index!CI202/unit)</f>
        <v>0</v>
      </c>
      <c r="CK62" s="75">
        <f>IF(Index!CJ108=1,0,$H62*$K62*py*Index!CJ61*Index!CJ202/unit)</f>
        <v>0</v>
      </c>
      <c r="CL62" s="75">
        <f>IF(Index!CK108=1,0,$H62*$K62*py*Index!CK61*Index!CK202/unit)</f>
        <v>0</v>
      </c>
      <c r="CM62" s="75">
        <f>IF(Index!CL108=1,0,$H62*$K62*py*Index!CL61*Index!CL202/unit)</f>
        <v>0</v>
      </c>
      <c r="CN62" s="75">
        <f>IF(Index!CM108=1,0,$H62*$K62*py*Index!CM61*Index!CM202/unit)</f>
        <v>0</v>
      </c>
      <c r="CO62" s="75">
        <f>IF(Index!CN108=1,0,$H62*$K62*py*Index!CN61*Index!CN202/unit)</f>
        <v>0</v>
      </c>
      <c r="CP62" s="75">
        <f>IF(Index!CO108=1,0,$H62*$K62*py*Index!CO61*Index!CO202/unit)</f>
        <v>0</v>
      </c>
      <c r="CQ62" s="75">
        <f>IF(Index!CP108=1,0,$H62*$K62*py*Index!CP61*Index!CP202/unit)</f>
        <v>0</v>
      </c>
      <c r="CR62" s="75">
        <f>IF(Index!CQ108=1,0,$H62*$K62*py*Index!CQ61*Index!CQ202/unit)</f>
        <v>0</v>
      </c>
      <c r="CS62" s="75">
        <f>IF(Index!CR108=1,0,$H62*$K62*py*Index!CR61*Index!CR202/unit)</f>
        <v>0</v>
      </c>
      <c r="CT62" s="75">
        <f>IF(Index!CS108=1,0,$H62*$K62*py*Index!CS61*Index!CS202/unit)</f>
        <v>0</v>
      </c>
      <c r="CU62" s="75">
        <f>IF(Index!CT108=1,0,$H62*$K62*py*Index!CT61*Index!CT202/unit)</f>
        <v>0</v>
      </c>
      <c r="CV62" s="75">
        <f>IF(Index!CU108=1,0,$H62*$K62*py*Index!CU61*Index!CU202/unit)</f>
        <v>0</v>
      </c>
      <c r="CW62" s="75">
        <f>IF(Index!CV108=1,0,$H62*$K62*py*Index!CV61*Index!CV202/unit)</f>
        <v>0</v>
      </c>
      <c r="CX62" s="75">
        <f>IF(Index!CW108=1,0,$H62*$K62*py*Index!CW61*Index!CW202/unit)</f>
        <v>0</v>
      </c>
      <c r="CY62" s="75">
        <f>IF(Index!CX108=1,0,$H62*$K62*py*Index!CX61*Index!CX202/unit)</f>
        <v>0</v>
      </c>
      <c r="CZ62" s="75">
        <f>IF(Index!CY108=1,0,$H62*$K62*py*Index!CY61*Index!CY202/unit)</f>
        <v>0</v>
      </c>
      <c r="DA62" s="75">
        <f>IF(Index!CZ108=1,0,$H62*$K62*py*Index!CZ61*Index!CZ202/unit)</f>
        <v>0</v>
      </c>
      <c r="DB62" s="75">
        <f>IF(Index!DA108=1,0,$H62*$K62*py*Index!DA61*Index!DA202/unit)</f>
        <v>0</v>
      </c>
      <c r="DC62" s="75">
        <f>IF(Index!DB108=1,0,$H62*$K62*py*Index!DB61*Index!DB202/unit)</f>
        <v>0</v>
      </c>
      <c r="DD62" s="75">
        <f>IF(Index!DC108=1,0,$H62*$K62*py*Index!DC61*Index!DC202/unit)</f>
        <v>0</v>
      </c>
      <c r="DE62" s="75">
        <f>IF(Index!DD108=1,0,$H62*$K62*py*Index!DD61*Index!DD202/unit)</f>
        <v>0</v>
      </c>
      <c r="DF62" s="75">
        <f>IF(Index!DE108=1,0,$H62*$K62*py*Index!DE61*Index!DE202/unit)</f>
        <v>0</v>
      </c>
      <c r="DG62" s="75">
        <f>IF(Index!DF108=1,0,$H62*$K62*py*Index!DF61*Index!DF202/unit)</f>
        <v>0</v>
      </c>
      <c r="DH62" s="75">
        <f>IF(Index!DG108=1,0,$H62*$K62*py*Index!DG61*Index!DG202/unit)</f>
        <v>0</v>
      </c>
      <c r="DI62" s="75">
        <f>IF(Index!DH108=1,0,$H62*$K62*py*Index!DH61*Index!DH202/unit)</f>
        <v>0</v>
      </c>
      <c r="DJ62" s="75">
        <f>IF(Index!DI108=1,0,$H62*$K62*py*Index!DI61*Index!DI202/unit)</f>
        <v>0</v>
      </c>
      <c r="DK62" s="75">
        <f>IF(Index!DJ108=1,0,$H62*$K62*py*Index!DJ61*Index!DJ202/unit)</f>
        <v>0</v>
      </c>
      <c r="DL62" s="75">
        <f>IF(Index!DK108=1,0,$H62*$K62*py*Index!DK61*Index!DK202/unit)</f>
        <v>0</v>
      </c>
      <c r="DM62" s="75">
        <f>IF(Index!DL108=1,0,$H62*$K62*py*Index!DL61*Index!DL202/unit)</f>
        <v>0</v>
      </c>
    </row>
    <row r="63" spans="2:117">
      <c r="B63" s="28">
        <f>Rentroll!$C$60</f>
        <v>0</v>
      </c>
      <c r="C63" s="69">
        <f>VLOOKUP($B63,Rentroll!$C$37:$Z$60,3,FALSE)</f>
        <v>0</v>
      </c>
      <c r="D63" s="80">
        <f>VLOOKUP($B63,Rentroll!$C$37:$Z$60,9,FALSE)</f>
        <v>0</v>
      </c>
      <c r="E63" s="80">
        <f>VLOOKUP($B63,Rentroll!$C$37:$Z$60,10,FALSE)</f>
        <v>0</v>
      </c>
      <c r="F63" s="81">
        <f>VLOOKUP($B63,Rentroll!$C$37:$Z$60,11,FALSE)</f>
        <v>0</v>
      </c>
      <c r="G63" s="69">
        <f>VLOOKUP($B63,Rentroll!$C$37:$Z$60,13,FALSE)</f>
        <v>0</v>
      </c>
      <c r="H63" s="69">
        <f>VLOOKUP($B63,Rentroll!$C$37:$Z$60,14,FALSE)</f>
        <v>0</v>
      </c>
      <c r="I63" s="69">
        <f>VLOOKUP($B63,Rentroll!$C$37:$Z$60,15,FALSE)</f>
        <v>0</v>
      </c>
      <c r="J63" s="82">
        <f>VLOOKUP($B63,Rentroll!$C$37:$Z$60,19,FALSE)</f>
        <v>0</v>
      </c>
      <c r="K63" s="83">
        <f>VLOOKUP($B63,Rentroll!$C$37:$Z$60,4,FALSE)</f>
        <v>0</v>
      </c>
      <c r="L63" s="81">
        <f>VLOOKUP($B63,Rentroll!$C$37:$Z$60,17,FALSE)</f>
        <v>0</v>
      </c>
      <c r="M63" s="84">
        <f>VLOOKUP($B63,Rentroll!$C$37:$Z$60,18,FALSE)</f>
        <v>0</v>
      </c>
      <c r="O63" s="132">
        <f t="shared" si="17"/>
        <v>0</v>
      </c>
      <c r="P63" s="133"/>
      <c r="Q63" s="133">
        <f t="shared" si="18"/>
        <v>0</v>
      </c>
      <c r="R63" s="133"/>
      <c r="S63" s="133">
        <f>IF(Index!R109=1,0,$H63*$K63*py*Index!R62*Index!R203/unit)</f>
        <v>0</v>
      </c>
      <c r="T63" s="133">
        <f>IF(Index!S109=1,0,$H63*$K63*py*Index!S62*Index!S203/unit)</f>
        <v>0</v>
      </c>
      <c r="U63" s="133">
        <f>IF(Index!T109=1,0,$H63*$K63*py*Index!T62*Index!T203/unit)</f>
        <v>0</v>
      </c>
      <c r="V63" s="133">
        <f>IF(Index!U109=1,0,$H63*$K63*py*Index!U62*Index!U203/unit)</f>
        <v>0</v>
      </c>
      <c r="W63" s="133">
        <f>IF(Index!V109=1,0,$H63*$K63*py*Index!V62*Index!V203/unit)</f>
        <v>0</v>
      </c>
      <c r="X63" s="133">
        <f>IF(Index!W109=1,0,$H63*$K63*py*Index!W62*Index!W203/unit)</f>
        <v>0</v>
      </c>
      <c r="Y63" s="133">
        <f>IF(Index!X109=1,0,$H63*$K63*py*Index!X62*Index!X203/unit)</f>
        <v>0</v>
      </c>
      <c r="Z63" s="133">
        <f>IF(Index!Y109=1,0,$H63*$K63*py*Index!Y62*Index!Y203/unit)</f>
        <v>0</v>
      </c>
      <c r="AA63" s="133">
        <f>IF(Index!Z109=1,0,$H63*$K63*py*Index!Z62*Index!Z203/unit)</f>
        <v>0</v>
      </c>
      <c r="AB63" s="133">
        <f>IF(Index!AA109=1,0,$H63*$K63*py*Index!AA62*Index!AA203/unit)</f>
        <v>0</v>
      </c>
      <c r="AC63" s="133">
        <f>IF(Index!AB109=1,0,$H63*$K63*py*Index!AB62*Index!AB203/unit)</f>
        <v>0</v>
      </c>
      <c r="AD63" s="133">
        <f>IF(Index!AC109=1,0,$H63*$K63*py*Index!AC62*Index!AC203/unit)</f>
        <v>0</v>
      </c>
      <c r="AE63" s="133">
        <f>IF(Index!AD109=1,0,$H63*$K63*py*Index!AD62*Index!AD203/unit)</f>
        <v>0</v>
      </c>
      <c r="AF63" s="133">
        <f>IF(Index!AE109=1,0,$H63*$K63*py*Index!AE62*Index!AE203/unit)</f>
        <v>0</v>
      </c>
      <c r="AG63" s="133">
        <f>IF(Index!AF109=1,0,$H63*$K63*py*Index!AF62*Index!AF203/unit)</f>
        <v>0</v>
      </c>
      <c r="AH63" s="133">
        <f>IF(Index!AG109=1,0,$H63*$K63*py*Index!AG62*Index!AG203/unit)</f>
        <v>0</v>
      </c>
      <c r="AI63" s="133">
        <f>IF(Index!AH109=1,0,$H63*$K63*py*Index!AH62*Index!AH203/unit)</f>
        <v>0</v>
      </c>
      <c r="AJ63" s="133">
        <f>IF(Index!AI109=1,0,$H63*$K63*py*Index!AI62*Index!AI203/unit)</f>
        <v>0</v>
      </c>
      <c r="AK63" s="133">
        <f>IF(Index!AJ109=1,0,$H63*$K63*py*Index!AJ62*Index!AJ203/unit)</f>
        <v>0</v>
      </c>
      <c r="AL63" s="133">
        <f>IF(Index!AK109=1,0,$H63*$K63*py*Index!AK62*Index!AK203/unit)</f>
        <v>0</v>
      </c>
      <c r="AM63" s="133">
        <f>IF(Index!AL109=1,0,$H63*$K63*py*Index!AL62*Index!AL203/unit)</f>
        <v>0</v>
      </c>
      <c r="AN63" s="133">
        <f>IF(Index!AM109=1,0,$H63*$K63*py*Index!AM62*Index!AM203/unit)</f>
        <v>0</v>
      </c>
      <c r="AO63" s="133">
        <f>IF(Index!AN109=1,0,$H63*$K63*py*Index!AN62*Index!AN203/unit)</f>
        <v>0</v>
      </c>
      <c r="AP63" s="133">
        <f>IF(Index!AO109=1,0,$H63*$K63*py*Index!AO62*Index!AO203/unit)</f>
        <v>0</v>
      </c>
      <c r="AQ63" s="133">
        <f>IF(Index!AP109=1,0,$H63*$K63*py*Index!AP62*Index!AP203/unit)</f>
        <v>0</v>
      </c>
      <c r="AR63" s="133">
        <f>IF(Index!AQ109=1,0,$H63*$K63*py*Index!AQ62*Index!AQ203/unit)</f>
        <v>0</v>
      </c>
      <c r="AS63" s="133">
        <f>IF(Index!AR109=1,0,$H63*$K63*py*Index!AR62*Index!AR203/unit)</f>
        <v>0</v>
      </c>
      <c r="AT63" s="133">
        <f>IF(Index!AS109=1,0,$H63*$K63*py*Index!AS62*Index!AS203/unit)</f>
        <v>0</v>
      </c>
      <c r="AU63" s="133">
        <f>IF(Index!AT109=1,0,$H63*$K63*py*Index!AT62*Index!AT203/unit)</f>
        <v>0</v>
      </c>
      <c r="AV63" s="133">
        <f>IF(Index!AU109=1,0,$H63*$K63*py*Index!AU62*Index!AU203/unit)</f>
        <v>0</v>
      </c>
      <c r="AW63" s="133">
        <f>IF(Index!AV109=1,0,$H63*$K63*py*Index!AV62*Index!AV203/unit)</f>
        <v>0</v>
      </c>
      <c r="AX63" s="133">
        <f>IF(Index!AW109=1,0,$H63*$K63*py*Index!AW62*Index!AW203/unit)</f>
        <v>0</v>
      </c>
      <c r="AY63" s="133">
        <f>IF(Index!AX109=1,0,$H63*$K63*py*Index!AX62*Index!AX203/unit)</f>
        <v>0</v>
      </c>
      <c r="AZ63" s="133">
        <f>IF(Index!AY109=1,0,$H63*$K63*py*Index!AY62*Index!AY203/unit)</f>
        <v>0</v>
      </c>
      <c r="BA63" s="133">
        <f>IF(Index!AZ109=1,0,$H63*$K63*py*Index!AZ62*Index!AZ203/unit)</f>
        <v>0</v>
      </c>
      <c r="BB63" s="133">
        <f>IF(Index!BA109=1,0,$H63*$K63*py*Index!BA62*Index!BA203/unit)</f>
        <v>0</v>
      </c>
      <c r="BC63" s="133">
        <f>IF(Index!BB109=1,0,$H63*$K63*py*Index!BB62*Index!BB203/unit)</f>
        <v>0</v>
      </c>
      <c r="BD63" s="133">
        <f>IF(Index!BC109=1,0,$H63*$K63*py*Index!BC62*Index!BC203/unit)</f>
        <v>0</v>
      </c>
      <c r="BE63" s="133">
        <f>IF(Index!BD109=1,0,$H63*$K63*py*Index!BD62*Index!BD203/unit)</f>
        <v>0</v>
      </c>
      <c r="BF63" s="133">
        <f>IF(Index!BE109=1,0,$H63*$K63*py*Index!BE62*Index!BE203/unit)</f>
        <v>0</v>
      </c>
      <c r="BG63" s="133">
        <f>IF(Index!BF109=1,0,$H63*$K63*py*Index!BF62*Index!BF203/unit)</f>
        <v>0</v>
      </c>
      <c r="BH63" s="133">
        <f>IF(Index!BG109=1,0,$H63*$K63*py*Index!BG62*Index!BG203/unit)</f>
        <v>0</v>
      </c>
      <c r="BI63" s="133">
        <f>IF(Index!BH109=1,0,$H63*$K63*py*Index!BH62*Index!BH203/unit)</f>
        <v>0</v>
      </c>
      <c r="BJ63" s="133">
        <f>IF(Index!BI109=1,0,$H63*$K63*py*Index!BI62*Index!BI203/unit)</f>
        <v>0</v>
      </c>
      <c r="BK63" s="133">
        <f>IF(Index!BJ109=1,0,$H63*$K63*py*Index!BJ62*Index!BJ203/unit)</f>
        <v>0</v>
      </c>
      <c r="BL63" s="133">
        <f>IF(Index!BK109=1,0,$H63*$K63*py*Index!BK62*Index!BK203/unit)</f>
        <v>0</v>
      </c>
      <c r="BM63" s="133">
        <f>IF(Index!BL109=1,0,$H63*$K63*py*Index!BL62*Index!BL203/unit)</f>
        <v>0</v>
      </c>
      <c r="BN63" s="133">
        <f>IF(Index!BM109=1,0,$H63*$K63*py*Index!BM62*Index!BM203/unit)</f>
        <v>0</v>
      </c>
      <c r="BO63" s="133">
        <f>IF(Index!BN109=1,0,$H63*$K63*py*Index!BN62*Index!BN203/unit)</f>
        <v>0</v>
      </c>
      <c r="BP63" s="133">
        <f>IF(Index!BO109=1,0,$H63*$K63*py*Index!BO62*Index!BO203/unit)</f>
        <v>0</v>
      </c>
      <c r="BQ63" s="133">
        <f>IF(Index!BP109=1,0,$H63*$K63*py*Index!BP62*Index!BP203/unit)</f>
        <v>0</v>
      </c>
      <c r="BR63" s="133">
        <f>IF(Index!BQ109=1,0,$H63*$K63*py*Index!BQ62*Index!BQ203/unit)</f>
        <v>0</v>
      </c>
      <c r="BS63" s="133">
        <f>IF(Index!BR109=1,0,$H63*$K63*py*Index!BR62*Index!BR203/unit)</f>
        <v>0</v>
      </c>
      <c r="BT63" s="133">
        <f>IF(Index!BS109=1,0,$H63*$K63*py*Index!BS62*Index!BS203/unit)</f>
        <v>0</v>
      </c>
      <c r="BU63" s="133">
        <f>IF(Index!BT109=1,0,$H63*$K63*py*Index!BT62*Index!BT203/unit)</f>
        <v>0</v>
      </c>
      <c r="BV63" s="133">
        <f>IF(Index!BU109=1,0,$H63*$K63*py*Index!BU62*Index!BU203/unit)</f>
        <v>0</v>
      </c>
      <c r="BW63" s="133">
        <f>IF(Index!BV109=1,0,$H63*$K63*py*Index!BV62*Index!BV203/unit)</f>
        <v>0</v>
      </c>
      <c r="BX63" s="133">
        <f>IF(Index!BW109=1,0,$H63*$K63*py*Index!BW62*Index!BW203/unit)</f>
        <v>0</v>
      </c>
      <c r="BY63" s="133">
        <f>IF(Index!BX109=1,0,$H63*$K63*py*Index!BX62*Index!BX203/unit)</f>
        <v>0</v>
      </c>
      <c r="BZ63" s="133">
        <f>IF(Index!BY109=1,0,$H63*$K63*py*Index!BY62*Index!BY203/unit)</f>
        <v>0</v>
      </c>
      <c r="CA63" s="133">
        <f>IF(Index!BZ109=1,0,$H63*$K63*py*Index!BZ62*Index!BZ203/unit)</f>
        <v>0</v>
      </c>
      <c r="CB63" s="133">
        <f>IF(Index!CA109=1,0,$H63*$K63*py*Index!CA62*Index!CA203/unit)</f>
        <v>0</v>
      </c>
      <c r="CC63" s="133">
        <f>IF(Index!CB109=1,0,$H63*$K63*py*Index!CB62*Index!CB203/unit)</f>
        <v>0</v>
      </c>
      <c r="CD63" s="133">
        <f>IF(Index!CC109=1,0,$H63*$K63*py*Index!CC62*Index!CC203/unit)</f>
        <v>0</v>
      </c>
      <c r="CE63" s="133">
        <f>IF(Index!CD109=1,0,$H63*$K63*py*Index!CD62*Index!CD203/unit)</f>
        <v>0</v>
      </c>
      <c r="CF63" s="133">
        <f>IF(Index!CE109=1,0,$H63*$K63*py*Index!CE62*Index!CE203/unit)</f>
        <v>0</v>
      </c>
      <c r="CG63" s="133">
        <f>IF(Index!CF109=1,0,$H63*$K63*py*Index!CF62*Index!CF203/unit)</f>
        <v>0</v>
      </c>
      <c r="CH63" s="133">
        <f>IF(Index!CG109=1,0,$H63*$K63*py*Index!CG62*Index!CG203/unit)</f>
        <v>0</v>
      </c>
      <c r="CI63" s="133">
        <f>IF(Index!CH109=1,0,$H63*$K63*py*Index!CH62*Index!CH203/unit)</f>
        <v>0</v>
      </c>
      <c r="CJ63" s="133">
        <f>IF(Index!CI109=1,0,$H63*$K63*py*Index!CI62*Index!CI203/unit)</f>
        <v>0</v>
      </c>
      <c r="CK63" s="133">
        <f>IF(Index!CJ109=1,0,$H63*$K63*py*Index!CJ62*Index!CJ203/unit)</f>
        <v>0</v>
      </c>
      <c r="CL63" s="133">
        <f>IF(Index!CK109=1,0,$H63*$K63*py*Index!CK62*Index!CK203/unit)</f>
        <v>0</v>
      </c>
      <c r="CM63" s="133">
        <f>IF(Index!CL109=1,0,$H63*$K63*py*Index!CL62*Index!CL203/unit)</f>
        <v>0</v>
      </c>
      <c r="CN63" s="133">
        <f>IF(Index!CM109=1,0,$H63*$K63*py*Index!CM62*Index!CM203/unit)</f>
        <v>0</v>
      </c>
      <c r="CO63" s="133">
        <f>IF(Index!CN109=1,0,$H63*$K63*py*Index!CN62*Index!CN203/unit)</f>
        <v>0</v>
      </c>
      <c r="CP63" s="133">
        <f>IF(Index!CO109=1,0,$H63*$K63*py*Index!CO62*Index!CO203/unit)</f>
        <v>0</v>
      </c>
      <c r="CQ63" s="133">
        <f>IF(Index!CP109=1,0,$H63*$K63*py*Index!CP62*Index!CP203/unit)</f>
        <v>0</v>
      </c>
      <c r="CR63" s="133">
        <f>IF(Index!CQ109=1,0,$H63*$K63*py*Index!CQ62*Index!CQ203/unit)</f>
        <v>0</v>
      </c>
      <c r="CS63" s="133">
        <f>IF(Index!CR109=1,0,$H63*$K63*py*Index!CR62*Index!CR203/unit)</f>
        <v>0</v>
      </c>
      <c r="CT63" s="133">
        <f>IF(Index!CS109=1,0,$H63*$K63*py*Index!CS62*Index!CS203/unit)</f>
        <v>0</v>
      </c>
      <c r="CU63" s="133">
        <f>IF(Index!CT109=1,0,$H63*$K63*py*Index!CT62*Index!CT203/unit)</f>
        <v>0</v>
      </c>
      <c r="CV63" s="133">
        <f>IF(Index!CU109=1,0,$H63*$K63*py*Index!CU62*Index!CU203/unit)</f>
        <v>0</v>
      </c>
      <c r="CW63" s="133">
        <f>IF(Index!CV109=1,0,$H63*$K63*py*Index!CV62*Index!CV203/unit)</f>
        <v>0</v>
      </c>
      <c r="CX63" s="133">
        <f>IF(Index!CW109=1,0,$H63*$K63*py*Index!CW62*Index!CW203/unit)</f>
        <v>0</v>
      </c>
      <c r="CY63" s="133">
        <f>IF(Index!CX109=1,0,$H63*$K63*py*Index!CX62*Index!CX203/unit)</f>
        <v>0</v>
      </c>
      <c r="CZ63" s="133">
        <f>IF(Index!CY109=1,0,$H63*$K63*py*Index!CY62*Index!CY203/unit)</f>
        <v>0</v>
      </c>
      <c r="DA63" s="133">
        <f>IF(Index!CZ109=1,0,$H63*$K63*py*Index!CZ62*Index!CZ203/unit)</f>
        <v>0</v>
      </c>
      <c r="DB63" s="133">
        <f>IF(Index!DA109=1,0,$H63*$K63*py*Index!DA62*Index!DA203/unit)</f>
        <v>0</v>
      </c>
      <c r="DC63" s="133">
        <f>IF(Index!DB109=1,0,$H63*$K63*py*Index!DB62*Index!DB203/unit)</f>
        <v>0</v>
      </c>
      <c r="DD63" s="133">
        <f>IF(Index!DC109=1,0,$H63*$K63*py*Index!DC62*Index!DC203/unit)</f>
        <v>0</v>
      </c>
      <c r="DE63" s="133">
        <f>IF(Index!DD109=1,0,$H63*$K63*py*Index!DD62*Index!DD203/unit)</f>
        <v>0</v>
      </c>
      <c r="DF63" s="133">
        <f>IF(Index!DE109=1,0,$H63*$K63*py*Index!DE62*Index!DE203/unit)</f>
        <v>0</v>
      </c>
      <c r="DG63" s="133">
        <f>IF(Index!DF109=1,0,$H63*$K63*py*Index!DF62*Index!DF203/unit)</f>
        <v>0</v>
      </c>
      <c r="DH63" s="133">
        <f>IF(Index!DG109=1,0,$H63*$K63*py*Index!DG62*Index!DG203/unit)</f>
        <v>0</v>
      </c>
      <c r="DI63" s="133">
        <f>IF(Index!DH109=1,0,$H63*$K63*py*Index!DH62*Index!DH203/unit)</f>
        <v>0</v>
      </c>
      <c r="DJ63" s="133">
        <f>IF(Index!DI109=1,0,$H63*$K63*py*Index!DI62*Index!DI203/unit)</f>
        <v>0</v>
      </c>
      <c r="DK63" s="133">
        <f>IF(Index!DJ109=1,0,$H63*$K63*py*Index!DJ62*Index!DJ203/unit)</f>
        <v>0</v>
      </c>
      <c r="DL63" s="133">
        <f>IF(Index!DK109=1,0,$H63*$K63*py*Index!DK62*Index!DK203/unit)</f>
        <v>0</v>
      </c>
      <c r="DM63" s="133">
        <f>IF(Index!DL109=1,0,$H63*$K63*py*Index!DL62*Index!DL203/unit)</f>
        <v>0</v>
      </c>
    </row>
    <row r="65" spans="2:117">
      <c r="B65" s="22" t="s">
        <v>112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O65" s="122" t="s">
        <v>200</v>
      </c>
      <c r="P65" s="122"/>
      <c r="Q65" s="122">
        <f>SUM(S65:DM65)</f>
        <v>21242.108226077293</v>
      </c>
      <c r="R65" s="122"/>
      <c r="S65" s="122">
        <f>S66+S86</f>
        <v>0</v>
      </c>
      <c r="T65" s="122">
        <f t="shared" ref="T65" si="21">T66+T86</f>
        <v>311.47515041884998</v>
      </c>
      <c r="U65" s="122">
        <f t="shared" ref="U65" si="22">U66+U86</f>
        <v>299.99482557714998</v>
      </c>
      <c r="V65" s="122">
        <f>V66+V86</f>
        <v>320.44958551945894</v>
      </c>
      <c r="W65" s="122">
        <f t="shared" ref="W65" si="23">W66+W86</f>
        <v>320.44958551945894</v>
      </c>
      <c r="X65" s="122">
        <f t="shared" ref="X65" si="24">X66+X86</f>
        <v>322.19740115729644</v>
      </c>
      <c r="Y65" s="122">
        <f t="shared" ref="Y65" si="25">Y66+Y86</f>
        <v>335.39553665729642</v>
      </c>
      <c r="Z65" s="122">
        <f t="shared" ref="Z65" si="26">Z66+Z86</f>
        <v>335.36201747929653</v>
      </c>
      <c r="AA65" s="122">
        <f t="shared" ref="AA65" si="27">AA66+AA86</f>
        <v>335.36201747929653</v>
      </c>
      <c r="AB65" s="122">
        <f t="shared" ref="AB65" si="28">AB66+AB86</f>
        <v>335.36201747929653</v>
      </c>
      <c r="AC65" s="122">
        <f t="shared" ref="AC65" si="29">AC66+AC86</f>
        <v>335.36201747929653</v>
      </c>
      <c r="AD65" s="122">
        <f t="shared" ref="AD65" si="30">AD66+AD86</f>
        <v>335.36201747929653</v>
      </c>
      <c r="AE65" s="122">
        <f t="shared" ref="AE65" si="31">AE66+AE86</f>
        <v>335.6420555183355</v>
      </c>
      <c r="AF65" s="122">
        <f t="shared" ref="AF65" si="32">AF66+AF86</f>
        <v>338.75027420112451</v>
      </c>
      <c r="AG65" s="122">
        <f t="shared" ref="AG65" si="33">AG66+AG86</f>
        <v>338.75027420112451</v>
      </c>
      <c r="AH65" s="122">
        <f t="shared" ref="AH65" si="34">AH66+AH86</f>
        <v>340.9641393167027</v>
      </c>
      <c r="AI65" s="122">
        <f t="shared" ref="AI65" si="35">AI66+AI86</f>
        <v>340.9641393167027</v>
      </c>
      <c r="AJ65" s="122">
        <f t="shared" ref="AJ65" si="36">AJ66+AJ86</f>
        <v>342.76438942367531</v>
      </c>
      <c r="AK65" s="122">
        <f t="shared" ref="AK65" si="37">AK66+AK86</f>
        <v>343.16033348867535</v>
      </c>
      <c r="AL65" s="122">
        <f t="shared" ref="AL65" si="38">AL66+AL86</f>
        <v>345.42287800367535</v>
      </c>
      <c r="AM65" s="122">
        <f t="shared" ref="AM65" si="39">AM66+AM86</f>
        <v>345.42287800367535</v>
      </c>
      <c r="AN65" s="122">
        <f t="shared" ref="AN65" si="40">AN66+AN86</f>
        <v>345.42287800367535</v>
      </c>
      <c r="AO65" s="122">
        <f t="shared" ref="AO65" si="41">AO66+AO86</f>
        <v>345.42287800367535</v>
      </c>
      <c r="AP65" s="122">
        <f t="shared" ref="AP65" si="42">AP66+AP86</f>
        <v>345.42287800367535</v>
      </c>
      <c r="AQ65" s="122">
        <f t="shared" ref="AQ65" si="43">AQ66+AQ86</f>
        <v>345.71131718388551</v>
      </c>
      <c r="AR65" s="122">
        <f t="shared" ref="AR65" si="44">AR66+AR86</f>
        <v>350.74137990660898</v>
      </c>
      <c r="AS65" s="122">
        <f t="shared" ref="AS65" si="45">AS66+AS86</f>
        <v>350.74137990660898</v>
      </c>
      <c r="AT65" s="122">
        <f t="shared" ref="AT65" si="46">AT66+AT86</f>
        <v>354.74312680387175</v>
      </c>
      <c r="AU65" s="122">
        <f t="shared" ref="AU65" si="47">AU66+AU86</f>
        <v>354.74312680387175</v>
      </c>
      <c r="AV65" s="122">
        <f t="shared" ref="AV65" si="48">AV66+AV86</f>
        <v>356.59738441405352</v>
      </c>
      <c r="AW65" s="122">
        <f t="shared" ref="AW65" si="49">AW66+AW86</f>
        <v>357.00520680100351</v>
      </c>
      <c r="AX65" s="122">
        <f t="shared" ref="AX65" si="50">AX66+AX86</f>
        <v>359.33562765145354</v>
      </c>
      <c r="AY65" s="122">
        <f t="shared" ref="AY65" si="51">AY66+AY86</f>
        <v>359.33562765145354</v>
      </c>
      <c r="AZ65" s="122">
        <f t="shared" ref="AZ65" si="52">AZ66+AZ86</f>
        <v>359.33562765145354</v>
      </c>
      <c r="BA65" s="122">
        <f t="shared" ref="BA65" si="53">BA66+BA86</f>
        <v>359.33562765145354</v>
      </c>
      <c r="BB65" s="122">
        <f t="shared" ref="BB65" si="54">BB66+BB86</f>
        <v>359.33562765145354</v>
      </c>
      <c r="BC65" s="122">
        <f t="shared" ref="BC65" si="55">BC66+BC86</f>
        <v>361.16422513090436</v>
      </c>
      <c r="BD65" s="122">
        <f t="shared" ref="BD65" si="56">BD66+BD86</f>
        <v>364.51659225585877</v>
      </c>
      <c r="BE65" s="122">
        <f t="shared" ref="BE65" si="57">BE66+BE86</f>
        <v>364.51659225585877</v>
      </c>
      <c r="BF65" s="122">
        <f t="shared" ref="BF65" si="58">BF66+BF86</f>
        <v>366.91692573182229</v>
      </c>
      <c r="BG65" s="122">
        <f t="shared" ref="BG65" si="59">BG66+BG86</f>
        <v>366.91692573182229</v>
      </c>
      <c r="BH65" s="122">
        <f t="shared" ref="BH65" si="60">BH66+BH86</f>
        <v>365.0626681216404</v>
      </c>
      <c r="BI65" s="122">
        <f t="shared" ref="BI65" si="61">BI66+BI86</f>
        <v>365.48272518019894</v>
      </c>
      <c r="BJ65" s="122">
        <f t="shared" ref="BJ65" si="62">BJ66+BJ86</f>
        <v>367.88305865616246</v>
      </c>
      <c r="BK65" s="122">
        <f t="shared" ref="BK65" si="63">BK66+BK86</f>
        <v>367.88305865616246</v>
      </c>
      <c r="BL65" s="122">
        <f t="shared" ref="BL65" si="64">BL66+BL86</f>
        <v>367.88305865616246</v>
      </c>
      <c r="BM65" s="122">
        <f t="shared" ref="BM65" si="65">BM66+BM86</f>
        <v>367.88305865616246</v>
      </c>
      <c r="BN65" s="122">
        <f t="shared" ref="BN65" si="66">BN66+BN86</f>
        <v>367.88305865616246</v>
      </c>
      <c r="BO65" s="122">
        <f t="shared" ref="BO65" si="67">BO66+BO86</f>
        <v>368.23500893616244</v>
      </c>
      <c r="BP65" s="122">
        <f t="shared" ref="BP65" si="68">BP66+BP86</f>
        <v>371.68794707486546</v>
      </c>
      <c r="BQ65" s="122">
        <f t="shared" ref="BQ65" si="69">BQ66+BQ86</f>
        <v>371.68794707486546</v>
      </c>
      <c r="BR65" s="122">
        <f t="shared" ref="BR65" si="70">BR66+BR86</f>
        <v>374.16029055510791</v>
      </c>
      <c r="BS65" s="122">
        <f t="shared" ref="BS65" si="71">BS66+BS86</f>
        <v>374.16029055510791</v>
      </c>
      <c r="BT65" s="122">
        <f t="shared" ref="BT65" si="72">BT66+BT86</f>
        <v>376.0145481652898</v>
      </c>
      <c r="BU65" s="122">
        <f t="shared" ref="BU65" si="73">BU66+BU86</f>
        <v>376.44720693560504</v>
      </c>
      <c r="BV65" s="122">
        <f t="shared" ref="BV65" si="74">BV66+BV86</f>
        <v>378.91955041584737</v>
      </c>
      <c r="BW65" s="122">
        <f t="shared" ref="BW65" si="75">BW66+BW86</f>
        <v>378.91955041584737</v>
      </c>
      <c r="BX65" s="122">
        <f t="shared" ref="BX65" si="76">BX66+BX86</f>
        <v>378.91955041584737</v>
      </c>
      <c r="BY65" s="122">
        <f t="shared" ref="BY65" si="77">BY66+BY86</f>
        <v>378.91955041584737</v>
      </c>
      <c r="BZ65" s="122">
        <f t="shared" ref="BZ65" si="78">BZ66+BZ86</f>
        <v>378.91955041584737</v>
      </c>
      <c r="CA65" s="122">
        <f t="shared" ref="CA65" si="79">CA66+CA86</f>
        <v>379.28205920424739</v>
      </c>
      <c r="CB65" s="122">
        <f t="shared" ref="CB65" si="80">CB66+CB86</f>
        <v>0</v>
      </c>
      <c r="CC65" s="122">
        <f t="shared" ref="CC65" si="81">CC66+CC86</f>
        <v>0</v>
      </c>
      <c r="CD65" s="122">
        <f t="shared" ref="CD65" si="82">CD66+CD86</f>
        <v>0</v>
      </c>
      <c r="CE65" s="122">
        <f t="shared" ref="CE65" si="83">CE66+CE86</f>
        <v>0</v>
      </c>
      <c r="CF65" s="122">
        <f t="shared" ref="CF65" si="84">CF66+CF86</f>
        <v>0</v>
      </c>
      <c r="CG65" s="122">
        <f t="shared" ref="CG65" si="85">CG66+CG86</f>
        <v>0</v>
      </c>
      <c r="CH65" s="122">
        <f t="shared" ref="CH65" si="86">CH66+CH86</f>
        <v>0</v>
      </c>
      <c r="CI65" s="122">
        <f t="shared" ref="CI65" si="87">CI66+CI86</f>
        <v>0</v>
      </c>
      <c r="CJ65" s="122">
        <f t="shared" ref="CJ65" si="88">CJ66+CJ86</f>
        <v>0</v>
      </c>
      <c r="CK65" s="122">
        <f t="shared" ref="CK65" si="89">CK66+CK86</f>
        <v>0</v>
      </c>
      <c r="CL65" s="122">
        <f t="shared" ref="CL65" si="90">CL66+CL86</f>
        <v>0</v>
      </c>
      <c r="CM65" s="122">
        <f t="shared" ref="CM65" si="91">CM66+CM86</f>
        <v>0</v>
      </c>
      <c r="CN65" s="122">
        <f t="shared" ref="CN65" si="92">CN66+CN86</f>
        <v>0</v>
      </c>
      <c r="CO65" s="122">
        <f t="shared" ref="CO65" si="93">CO66+CO86</f>
        <v>0</v>
      </c>
      <c r="CP65" s="122">
        <f t="shared" ref="CP65" si="94">CP66+CP86</f>
        <v>0</v>
      </c>
      <c r="CQ65" s="122">
        <f t="shared" ref="CQ65" si="95">CQ66+CQ86</f>
        <v>0</v>
      </c>
      <c r="CR65" s="122">
        <f t="shared" ref="CR65" si="96">CR66+CR86</f>
        <v>0</v>
      </c>
      <c r="CS65" s="122">
        <f t="shared" ref="CS65" si="97">CS66+CS86</f>
        <v>0</v>
      </c>
      <c r="CT65" s="122">
        <f t="shared" ref="CT65" si="98">CT66+CT86</f>
        <v>0</v>
      </c>
      <c r="CU65" s="122">
        <f t="shared" ref="CU65" si="99">CU66+CU86</f>
        <v>0</v>
      </c>
      <c r="CV65" s="122">
        <f t="shared" ref="CV65" si="100">CV66+CV86</f>
        <v>0</v>
      </c>
      <c r="CW65" s="122">
        <f t="shared" ref="CW65" si="101">CW66+CW86</f>
        <v>0</v>
      </c>
      <c r="CX65" s="122">
        <f t="shared" ref="CX65" si="102">CX66+CX86</f>
        <v>0</v>
      </c>
      <c r="CY65" s="122">
        <f t="shared" ref="CY65" si="103">CY66+CY86</f>
        <v>0</v>
      </c>
      <c r="CZ65" s="122">
        <f t="shared" ref="CZ65" si="104">CZ66+CZ86</f>
        <v>0</v>
      </c>
      <c r="DA65" s="122">
        <f t="shared" ref="DA65" si="105">DA66+DA86</f>
        <v>0</v>
      </c>
      <c r="DB65" s="122">
        <f t="shared" ref="DB65" si="106">DB66+DB86</f>
        <v>0</v>
      </c>
      <c r="DC65" s="122">
        <f t="shared" ref="DC65" si="107">DC66+DC86</f>
        <v>0</v>
      </c>
      <c r="DD65" s="122">
        <f t="shared" ref="DD65" si="108">DD66+DD86</f>
        <v>0</v>
      </c>
      <c r="DE65" s="122">
        <f t="shared" ref="DE65" si="109">DE66+DE86</f>
        <v>0</v>
      </c>
      <c r="DF65" s="122">
        <f t="shared" ref="DF65" si="110">DF66+DF86</f>
        <v>0</v>
      </c>
      <c r="DG65" s="122">
        <f t="shared" ref="DG65" si="111">DG66+DG86</f>
        <v>0</v>
      </c>
      <c r="DH65" s="122">
        <f t="shared" ref="DH65" si="112">DH66+DH86</f>
        <v>0</v>
      </c>
      <c r="DI65" s="122">
        <f t="shared" ref="DI65" si="113">DI66+DI86</f>
        <v>0</v>
      </c>
      <c r="DJ65" s="122">
        <f t="shared" ref="DJ65" si="114">DJ66+DJ86</f>
        <v>0</v>
      </c>
      <c r="DK65" s="122">
        <f t="shared" ref="DK65" si="115">DK66+DK86</f>
        <v>0</v>
      </c>
      <c r="DL65" s="122">
        <f t="shared" ref="DL65" si="116">DL66+DL86</f>
        <v>0</v>
      </c>
      <c r="DM65" s="122">
        <f t="shared" ref="DM65" si="117">DM66+DM86</f>
        <v>0</v>
      </c>
    </row>
    <row r="66" spans="2:117">
      <c r="B66" s="70" t="s">
        <v>47</v>
      </c>
      <c r="C66" s="71" t="s">
        <v>49</v>
      </c>
      <c r="D66" s="71" t="s">
        <v>97</v>
      </c>
      <c r="E66" s="71" t="s">
        <v>98</v>
      </c>
      <c r="F66" s="71" t="s">
        <v>84</v>
      </c>
      <c r="G66" s="71" t="s">
        <v>104</v>
      </c>
      <c r="H66" s="71" t="s">
        <v>105</v>
      </c>
      <c r="I66" s="71" t="s">
        <v>103</v>
      </c>
      <c r="J66" s="71" t="s">
        <v>99</v>
      </c>
      <c r="K66" s="71" t="s">
        <v>102</v>
      </c>
      <c r="L66" s="71" t="s">
        <v>100</v>
      </c>
      <c r="M66" s="72" t="s">
        <v>101</v>
      </c>
      <c r="N66" s="56"/>
      <c r="O66" s="123" t="s">
        <v>107</v>
      </c>
      <c r="P66" s="123"/>
      <c r="Q66" s="123">
        <f>SUM(S66:DM66)</f>
        <v>6825.4456560123353</v>
      </c>
      <c r="R66" s="123"/>
      <c r="S66" s="123">
        <f>SUM(S67:S85)</f>
        <v>0</v>
      </c>
      <c r="T66" s="123">
        <f>SUM(T67:T85)</f>
        <v>254.91153754384996</v>
      </c>
      <c r="U66" s="123">
        <f t="shared" ref="U66" si="118">SUM(U67:U85)</f>
        <v>243.43121270214996</v>
      </c>
      <c r="V66" s="123">
        <f t="shared" ref="V66" si="119">SUM(V67:V85)</f>
        <v>245.03143501945897</v>
      </c>
      <c r="W66" s="123">
        <f t="shared" ref="W66" si="120">SUM(W67:W85)</f>
        <v>245.03143501945897</v>
      </c>
      <c r="X66" s="123">
        <f t="shared" ref="X66" si="121">SUM(X67:X85)</f>
        <v>246.77925065729644</v>
      </c>
      <c r="Y66" s="123">
        <f t="shared" ref="Y66" si="122">SUM(Y67:Y85)</f>
        <v>246.77925065729644</v>
      </c>
      <c r="Z66" s="123">
        <f t="shared" ref="Z66" si="123">SUM(Z67:Z85)</f>
        <v>171.3275809792965</v>
      </c>
      <c r="AA66" s="123">
        <f t="shared" ref="AA66" si="124">SUM(AA67:AA85)</f>
        <v>171.3275809792965</v>
      </c>
      <c r="AB66" s="123">
        <f t="shared" ref="AB66" si="125">SUM(AB67:AB85)</f>
        <v>171.3275809792965</v>
      </c>
      <c r="AC66" s="123">
        <f t="shared" ref="AC66" si="126">SUM(AC67:AC85)</f>
        <v>171.3275809792965</v>
      </c>
      <c r="AD66" s="123">
        <f t="shared" ref="AD66" si="127">SUM(AD67:AD85)</f>
        <v>171.3275809792965</v>
      </c>
      <c r="AE66" s="123">
        <f t="shared" ref="AE66" si="128">SUM(AE67:AE85)</f>
        <v>171.6076190183355</v>
      </c>
      <c r="AF66" s="123">
        <f t="shared" ref="AF66" si="129">SUM(AF67:AF85)</f>
        <v>173.0189293148745</v>
      </c>
      <c r="AG66" s="123">
        <f t="shared" ref="AG66" si="130">SUM(AG67:AG85)</f>
        <v>173.0189293148745</v>
      </c>
      <c r="AH66" s="123">
        <f t="shared" ref="AH66" si="131">SUM(AH67:AH85)</f>
        <v>174.66715830170278</v>
      </c>
      <c r="AI66" s="123">
        <f t="shared" ref="AI66" si="132">SUM(AI67:AI85)</f>
        <v>174.66715830170278</v>
      </c>
      <c r="AJ66" s="123">
        <f t="shared" ref="AJ66" si="133">SUM(AJ67:AJ85)</f>
        <v>176.4674084086754</v>
      </c>
      <c r="AK66" s="123">
        <f t="shared" ref="AK66" si="134">SUM(AK67:AK85)</f>
        <v>176.4674084086754</v>
      </c>
      <c r="AL66" s="123">
        <f t="shared" ref="AL66" si="135">SUM(AL67:AL85)</f>
        <v>176.4674084086754</v>
      </c>
      <c r="AM66" s="123">
        <f t="shared" ref="AM66" si="136">SUM(AM67:AM85)</f>
        <v>176.4674084086754</v>
      </c>
      <c r="AN66" s="123">
        <f t="shared" ref="AN66" si="137">SUM(AN67:AN85)</f>
        <v>176.4674084086754</v>
      </c>
      <c r="AO66" s="123">
        <f t="shared" ref="AO66" si="138">SUM(AO67:AO85)</f>
        <v>176.4674084086754</v>
      </c>
      <c r="AP66" s="123">
        <f t="shared" ref="AP66" si="139">SUM(AP67:AP85)</f>
        <v>176.4674084086754</v>
      </c>
      <c r="AQ66" s="123">
        <f t="shared" ref="AQ66" si="140">SUM(AQ67:AQ85)</f>
        <v>176.75584758888556</v>
      </c>
      <c r="AR66" s="123">
        <f t="shared" ref="AR66" si="141">SUM(AR67:AR85)</f>
        <v>168.30641867377153</v>
      </c>
      <c r="AS66" s="123">
        <f t="shared" ref="AS66" si="142">SUM(AS67:AS85)</f>
        <v>168.30641867377153</v>
      </c>
      <c r="AT66" s="123">
        <f t="shared" ref="AT66" si="143">SUM(AT67:AT85)</f>
        <v>111.71722345933429</v>
      </c>
      <c r="AU66" s="123">
        <f t="shared" ref="AU66" si="144">SUM(AU67:AU85)</f>
        <v>111.71722345933429</v>
      </c>
      <c r="AV66" s="123">
        <f t="shared" ref="AV66" si="145">SUM(AV67:AV85)</f>
        <v>113.5714810695161</v>
      </c>
      <c r="AW66" s="123">
        <f t="shared" ref="AW66" si="146">SUM(AW67:AW85)</f>
        <v>113.5714810695161</v>
      </c>
      <c r="AX66" s="123">
        <f t="shared" ref="AX66" si="147">SUM(AX67:AX85)</f>
        <v>113.5714810695161</v>
      </c>
      <c r="AY66" s="123">
        <f t="shared" ref="AY66" si="148">SUM(AY67:AY85)</f>
        <v>113.5714810695161</v>
      </c>
      <c r="AZ66" s="123">
        <f t="shared" ref="AZ66" si="149">SUM(AZ67:AZ85)</f>
        <v>113.5714810695161</v>
      </c>
      <c r="BA66" s="123">
        <f t="shared" ref="BA66" si="150">SUM(BA67:BA85)</f>
        <v>113.5714810695161</v>
      </c>
      <c r="BB66" s="123">
        <f t="shared" ref="BB66" si="151">SUM(BB67:BB85)</f>
        <v>113.5714810695161</v>
      </c>
      <c r="BC66" s="123">
        <f t="shared" ref="BC66" si="152">SUM(BC67:BC85)</f>
        <v>103.66840254896692</v>
      </c>
      <c r="BD66" s="123">
        <f t="shared" ref="BD66" si="153">SUM(BD67:BD85)</f>
        <v>104.86856928694867</v>
      </c>
      <c r="BE66" s="123">
        <f t="shared" ref="BE66" si="154">SUM(BE67:BE85)</f>
        <v>104.86856928694867</v>
      </c>
      <c r="BF66" s="123">
        <f t="shared" ref="BF66" si="155">SUM(BF67:BF85)</f>
        <v>104.86856928694867</v>
      </c>
      <c r="BG66" s="123">
        <f t="shared" ref="BG66" si="156">SUM(BG67:BG85)</f>
        <v>104.86856928694867</v>
      </c>
      <c r="BH66" s="123">
        <f t="shared" ref="BH66" si="157">SUM(BH67:BH85)</f>
        <v>41.205724670706751</v>
      </c>
      <c r="BI66" s="123">
        <f t="shared" ref="BI66" si="158">SUM(BI67:BI85)</f>
        <v>41.205724670706751</v>
      </c>
      <c r="BJ66" s="123">
        <f t="shared" ref="BJ66" si="159">SUM(BJ67:BJ85)</f>
        <v>41.205724670706751</v>
      </c>
      <c r="BK66" s="123">
        <f t="shared" ref="BK66" si="160">SUM(BK67:BK85)</f>
        <v>41.205724670706751</v>
      </c>
      <c r="BL66" s="123">
        <f t="shared" ref="BL66" si="161">SUM(BL67:BL85)</f>
        <v>41.205724670706751</v>
      </c>
      <c r="BM66" s="123">
        <f t="shared" ref="BM66" si="162">SUM(BM67:BM85)</f>
        <v>41.205724670706751</v>
      </c>
      <c r="BN66" s="123">
        <f t="shared" ref="BN66" si="163">SUM(BN67:BN85)</f>
        <v>41.205724670706751</v>
      </c>
      <c r="BO66" s="123">
        <f t="shared" ref="BO66" si="164">SUM(BO67:BO85)</f>
        <v>41.205724670706751</v>
      </c>
      <c r="BP66" s="123">
        <f t="shared" ref="BP66" si="165">SUM(BP67:BP85)</f>
        <v>0</v>
      </c>
      <c r="BQ66" s="123">
        <f t="shared" ref="BQ66" si="166">SUM(BQ67:BQ85)</f>
        <v>0</v>
      </c>
      <c r="BR66" s="123">
        <f t="shared" ref="BR66" si="167">SUM(BR67:BR85)</f>
        <v>0</v>
      </c>
      <c r="BS66" s="123">
        <f t="shared" ref="BS66" si="168">SUM(BS67:BS85)</f>
        <v>0</v>
      </c>
      <c r="BT66" s="123">
        <f t="shared" ref="BT66" si="169">SUM(BT67:BT85)</f>
        <v>0</v>
      </c>
      <c r="BU66" s="123">
        <f t="shared" ref="BU66" si="170">SUM(BU67:BU85)</f>
        <v>0</v>
      </c>
      <c r="BV66" s="123">
        <f t="shared" ref="BV66" si="171">SUM(BV67:BV85)</f>
        <v>0</v>
      </c>
      <c r="BW66" s="123">
        <f t="shared" ref="BW66" si="172">SUM(BW67:BW85)</f>
        <v>0</v>
      </c>
      <c r="BX66" s="123">
        <f t="shared" ref="BX66" si="173">SUM(BX67:BX85)</f>
        <v>0</v>
      </c>
      <c r="BY66" s="123">
        <f t="shared" ref="BY66" si="174">SUM(BY67:BY85)</f>
        <v>0</v>
      </c>
      <c r="BZ66" s="123">
        <f t="shared" ref="BZ66" si="175">SUM(BZ67:BZ85)</f>
        <v>0</v>
      </c>
      <c r="CA66" s="123">
        <f t="shared" ref="CA66" si="176">SUM(CA67:CA85)</f>
        <v>0</v>
      </c>
      <c r="CB66" s="123">
        <f t="shared" ref="CB66" si="177">SUM(CB67:CB85)</f>
        <v>0</v>
      </c>
      <c r="CC66" s="123">
        <f t="shared" ref="CC66" si="178">SUM(CC67:CC85)</f>
        <v>0</v>
      </c>
      <c r="CD66" s="123">
        <f t="shared" ref="CD66" si="179">SUM(CD67:CD85)</f>
        <v>0</v>
      </c>
      <c r="CE66" s="123">
        <f t="shared" ref="CE66" si="180">SUM(CE67:CE85)</f>
        <v>0</v>
      </c>
      <c r="CF66" s="123">
        <f t="shared" ref="CF66" si="181">SUM(CF67:CF85)</f>
        <v>0</v>
      </c>
      <c r="CG66" s="123">
        <f t="shared" ref="CG66" si="182">SUM(CG67:CG85)</f>
        <v>0</v>
      </c>
      <c r="CH66" s="123">
        <f t="shared" ref="CH66" si="183">SUM(CH67:CH85)</f>
        <v>0</v>
      </c>
      <c r="CI66" s="123">
        <f t="shared" ref="CI66" si="184">SUM(CI67:CI85)</f>
        <v>0</v>
      </c>
      <c r="CJ66" s="123">
        <f t="shared" ref="CJ66" si="185">SUM(CJ67:CJ85)</f>
        <v>0</v>
      </c>
      <c r="CK66" s="123">
        <f t="shared" ref="CK66" si="186">SUM(CK67:CK85)</f>
        <v>0</v>
      </c>
      <c r="CL66" s="123">
        <f t="shared" ref="CL66" si="187">SUM(CL67:CL85)</f>
        <v>0</v>
      </c>
      <c r="CM66" s="123">
        <f t="shared" ref="CM66" si="188">SUM(CM67:CM85)</f>
        <v>0</v>
      </c>
      <c r="CN66" s="123">
        <f t="shared" ref="CN66" si="189">SUM(CN67:CN85)</f>
        <v>0</v>
      </c>
      <c r="CO66" s="123">
        <f t="shared" ref="CO66" si="190">SUM(CO67:CO85)</f>
        <v>0</v>
      </c>
      <c r="CP66" s="123">
        <f t="shared" ref="CP66" si="191">SUM(CP67:CP85)</f>
        <v>0</v>
      </c>
      <c r="CQ66" s="123">
        <f t="shared" ref="CQ66" si="192">SUM(CQ67:CQ85)</f>
        <v>0</v>
      </c>
      <c r="CR66" s="123">
        <f t="shared" ref="CR66" si="193">SUM(CR67:CR85)</f>
        <v>0</v>
      </c>
      <c r="CS66" s="123">
        <f t="shared" ref="CS66" si="194">SUM(CS67:CS85)</f>
        <v>0</v>
      </c>
      <c r="CT66" s="123">
        <f t="shared" ref="CT66" si="195">SUM(CT67:CT85)</f>
        <v>0</v>
      </c>
      <c r="CU66" s="123">
        <f t="shared" ref="CU66" si="196">SUM(CU67:CU85)</f>
        <v>0</v>
      </c>
      <c r="CV66" s="123">
        <f t="shared" ref="CV66" si="197">SUM(CV67:CV85)</f>
        <v>0</v>
      </c>
      <c r="CW66" s="123">
        <f t="shared" ref="CW66" si="198">SUM(CW67:CW85)</f>
        <v>0</v>
      </c>
      <c r="CX66" s="123">
        <f t="shared" ref="CX66" si="199">SUM(CX67:CX85)</f>
        <v>0</v>
      </c>
      <c r="CY66" s="123">
        <f t="shared" ref="CY66" si="200">SUM(CY67:CY85)</f>
        <v>0</v>
      </c>
      <c r="CZ66" s="123">
        <f t="shared" ref="CZ66" si="201">SUM(CZ67:CZ85)</f>
        <v>0</v>
      </c>
      <c r="DA66" s="123">
        <f t="shared" ref="DA66" si="202">SUM(DA67:DA85)</f>
        <v>0</v>
      </c>
      <c r="DB66" s="123">
        <f t="shared" ref="DB66" si="203">SUM(DB67:DB85)</f>
        <v>0</v>
      </c>
      <c r="DC66" s="123">
        <f t="shared" ref="DC66" si="204">SUM(DC67:DC85)</f>
        <v>0</v>
      </c>
      <c r="DD66" s="123">
        <f t="shared" ref="DD66" si="205">SUM(DD67:DD85)</f>
        <v>0</v>
      </c>
      <c r="DE66" s="123">
        <f t="shared" ref="DE66" si="206">SUM(DE67:DE85)</f>
        <v>0</v>
      </c>
      <c r="DF66" s="123">
        <f t="shared" ref="DF66" si="207">SUM(DF67:DF85)</f>
        <v>0</v>
      </c>
      <c r="DG66" s="123">
        <f t="shared" ref="DG66" si="208">SUM(DG67:DG85)</f>
        <v>0</v>
      </c>
      <c r="DH66" s="123">
        <f t="shared" ref="DH66" si="209">SUM(DH67:DH85)</f>
        <v>0</v>
      </c>
      <c r="DI66" s="123">
        <f t="shared" ref="DI66" si="210">SUM(DI67:DI85)</f>
        <v>0</v>
      </c>
      <c r="DJ66" s="123">
        <f t="shared" ref="DJ66" si="211">SUM(DJ67:DJ85)</f>
        <v>0</v>
      </c>
      <c r="DK66" s="123">
        <f t="shared" ref="DK66" si="212">SUM(DK67:DK85)</f>
        <v>0</v>
      </c>
      <c r="DL66" s="123">
        <f t="shared" ref="DL66" si="213">SUM(DL67:DL85)</f>
        <v>0</v>
      </c>
      <c r="DM66" s="123">
        <f t="shared" ref="DM66" si="214">SUM(DM67:DM85)</f>
        <v>0</v>
      </c>
    </row>
    <row r="67" spans="2:117">
      <c r="B67" s="27">
        <f>Rentroll!$C$11</f>
        <v>17</v>
      </c>
      <c r="C67" s="69" t="str">
        <f>VLOOKUP($B67,Rentroll!$C$11:$X$29,3,FALSE)</f>
        <v>리마 상사</v>
      </c>
      <c r="D67" s="80">
        <f>VLOOKUP($B67,Rentroll!$C$11:$X$29,9,FALSE)</f>
        <v>45322</v>
      </c>
      <c r="E67" s="80">
        <f>VLOOKUP($B67,Rentroll!$C$11:$X$29,10,FALSE)</f>
        <v>47148</v>
      </c>
      <c r="F67" s="81">
        <f>VLOOKUP($B67,Rentroll!$C$11:$X$29,11,FALSE)</f>
        <v>60</v>
      </c>
      <c r="G67" s="69">
        <f>VLOOKUP($B67,Rentroll!$C$11:$X$29,13,FALSE)</f>
        <v>100000</v>
      </c>
      <c r="H67" s="69">
        <f>VLOOKUP($B67,Rentroll!$C$11:$X$29,14,FALSE)</f>
        <v>75000</v>
      </c>
      <c r="I67" s="69">
        <f>VLOOKUP($B67,Rentroll!$C$11:$X$29,15,FALSE)</f>
        <v>45000</v>
      </c>
      <c r="J67" s="82">
        <f>VLOOKUP($B67,Rentroll!$C$11:$X$29,19,FALSE)</f>
        <v>0.03</v>
      </c>
      <c r="K67" s="83">
        <f>VLOOKUP($B67,Rentroll!$C$11:$X$29,4,FALSE)</f>
        <v>1385.09</v>
      </c>
      <c r="L67" s="81">
        <f>VLOOKUP($B67,Rentroll!$C$11:$X$29,17,FALSE)</f>
        <v>0</v>
      </c>
      <c r="M67" s="84">
        <f>VLOOKUP($B67,Rentroll!$C$11:$X$29,18,FALSE)</f>
        <v>3</v>
      </c>
      <c r="O67" s="46">
        <f>B67</f>
        <v>17</v>
      </c>
      <c r="P67" s="73"/>
      <c r="Q67" s="73">
        <f t="shared" ref="Q67:Q105" si="215">SUM(S67:DM67)</f>
        <v>946.56423216559085</v>
      </c>
      <c r="R67" s="73"/>
      <c r="S67" s="73">
        <f>$I67*$K67*py*Index!R19*Index!R160/unit</f>
        <v>0</v>
      </c>
      <c r="T67" s="73">
        <f>$I67*$K67*py*Index!S19*Index!S160/unit</f>
        <v>18.854537624999999</v>
      </c>
      <c r="U67" s="73">
        <f>$I67*$K67*py*Index!T19*Index!T160/unit</f>
        <v>18.854537624999999</v>
      </c>
      <c r="V67" s="73">
        <f>$I67*$K67*py*Index!U19*Index!U160/unit</f>
        <v>18.854537624999999</v>
      </c>
      <c r="W67" s="73">
        <f>$I67*$K67*py*Index!V19*Index!V160/unit</f>
        <v>18.854537624999999</v>
      </c>
      <c r="X67" s="73">
        <f>$I67*$K67*py*Index!W19*Index!W160/unit</f>
        <v>18.854537624999999</v>
      </c>
      <c r="Y67" s="73">
        <f>$I67*$K67*py*Index!X19*Index!X160/unit</f>
        <v>18.854537624999999</v>
      </c>
      <c r="Z67" s="73">
        <f>$I67*$K67*py*Index!Y19*Index!Y160/unit</f>
        <v>18.854537624999999</v>
      </c>
      <c r="AA67" s="73">
        <f>$I67*$K67*py*Index!Z19*Index!Z160/unit</f>
        <v>18.854537624999999</v>
      </c>
      <c r="AB67" s="73">
        <f>$I67*$K67*py*Index!AA19*Index!AA160/unit</f>
        <v>18.854537624999999</v>
      </c>
      <c r="AC67" s="73">
        <f>$I67*$K67*py*Index!AB19*Index!AB160/unit</f>
        <v>18.854537624999999</v>
      </c>
      <c r="AD67" s="73">
        <f>$I67*$K67*py*Index!AC19*Index!AC160/unit</f>
        <v>18.854537624999999</v>
      </c>
      <c r="AE67" s="73">
        <f>$I67*$K67*py*Index!AD19*Index!AD160/unit</f>
        <v>18.854537624999999</v>
      </c>
      <c r="AF67" s="73">
        <f>$I67*$K67*py*Index!AE19*Index!AE160/unit</f>
        <v>19.420173753749999</v>
      </c>
      <c r="AG67" s="73">
        <f>$I67*$K67*py*Index!AF19*Index!AF160/unit</f>
        <v>19.420173753749999</v>
      </c>
      <c r="AH67" s="73">
        <f>$I67*$K67*py*Index!AG19*Index!AG160/unit</f>
        <v>19.420173753749999</v>
      </c>
      <c r="AI67" s="73">
        <f>$I67*$K67*py*Index!AH19*Index!AH160/unit</f>
        <v>19.420173753749999</v>
      </c>
      <c r="AJ67" s="73">
        <f>$I67*$K67*py*Index!AI19*Index!AI160/unit</f>
        <v>19.420173753749999</v>
      </c>
      <c r="AK67" s="73">
        <f>$I67*$K67*py*Index!AJ19*Index!AJ160/unit</f>
        <v>19.420173753749999</v>
      </c>
      <c r="AL67" s="73">
        <f>$I67*$K67*py*Index!AK19*Index!AK160/unit</f>
        <v>19.420173753749999</v>
      </c>
      <c r="AM67" s="73">
        <f>$I67*$K67*py*Index!AL19*Index!AL160/unit</f>
        <v>19.420173753749999</v>
      </c>
      <c r="AN67" s="73">
        <f>$I67*$K67*py*Index!AM19*Index!AM160/unit</f>
        <v>19.420173753749999</v>
      </c>
      <c r="AO67" s="73">
        <f>$I67*$K67*py*Index!AN19*Index!AN160/unit</f>
        <v>19.420173753749999</v>
      </c>
      <c r="AP67" s="73">
        <f>$I67*$K67*py*Index!AO19*Index!AO160/unit</f>
        <v>19.420173753749999</v>
      </c>
      <c r="AQ67" s="73">
        <f>$I67*$K67*py*Index!AP19*Index!AP160/unit</f>
        <v>19.420173753749999</v>
      </c>
      <c r="AR67" s="73">
        <f>$I67*$K67*py*Index!AQ19*Index!AQ160/unit</f>
        <v>20.002778966362499</v>
      </c>
      <c r="AS67" s="73">
        <f>$I67*$K67*py*Index!AR19*Index!AR160/unit</f>
        <v>20.002778966362499</v>
      </c>
      <c r="AT67" s="73">
        <f>$I67*$K67*py*Index!AS19*Index!AS160/unit</f>
        <v>20.002778966362499</v>
      </c>
      <c r="AU67" s="73">
        <f>$I67*$K67*py*Index!AT19*Index!AT160/unit</f>
        <v>20.002778966362499</v>
      </c>
      <c r="AV67" s="73">
        <f>$I67*$K67*py*Index!AU19*Index!AU160/unit</f>
        <v>20.002778966362499</v>
      </c>
      <c r="AW67" s="73">
        <f>$I67*$K67*py*Index!AV19*Index!AV160/unit</f>
        <v>20.002778966362499</v>
      </c>
      <c r="AX67" s="73">
        <f>$I67*$K67*py*Index!AW19*Index!AW160/unit</f>
        <v>20.002778966362499</v>
      </c>
      <c r="AY67" s="73">
        <f>$I67*$K67*py*Index!AX19*Index!AX160/unit</f>
        <v>20.002778966362499</v>
      </c>
      <c r="AZ67" s="73">
        <f>$I67*$K67*py*Index!AY19*Index!AY160/unit</f>
        <v>20.002778966362499</v>
      </c>
      <c r="BA67" s="73">
        <f>$I67*$K67*py*Index!AZ19*Index!AZ160/unit</f>
        <v>20.002778966362499</v>
      </c>
      <c r="BB67" s="73">
        <f>$I67*$K67*py*Index!BA19*Index!BA160/unit</f>
        <v>20.002778966362499</v>
      </c>
      <c r="BC67" s="73">
        <f>$I67*$K67*py*Index!BB19*Index!BB160/unit</f>
        <v>20.002778966362499</v>
      </c>
      <c r="BD67" s="73">
        <f>$I67*$K67*py*Index!BC19*Index!BC160/unit</f>
        <v>20.602862335353375</v>
      </c>
      <c r="BE67" s="73">
        <f>$I67*$K67*py*Index!BD19*Index!BD160/unit</f>
        <v>20.602862335353375</v>
      </c>
      <c r="BF67" s="73">
        <f>$I67*$K67*py*Index!BE19*Index!BE160/unit</f>
        <v>20.602862335353375</v>
      </c>
      <c r="BG67" s="73">
        <f>$I67*$K67*py*Index!BF19*Index!BF160/unit</f>
        <v>20.602862335353375</v>
      </c>
      <c r="BH67" s="73">
        <f>$I67*$K67*py*Index!BG19*Index!BG160/unit</f>
        <v>20.602862335353375</v>
      </c>
      <c r="BI67" s="73">
        <f>$I67*$K67*py*Index!BH19*Index!BH160/unit</f>
        <v>20.602862335353375</v>
      </c>
      <c r="BJ67" s="73">
        <f>$I67*$K67*py*Index!BI19*Index!BI160/unit</f>
        <v>20.602862335353375</v>
      </c>
      <c r="BK67" s="73">
        <f>$I67*$K67*py*Index!BJ19*Index!BJ160/unit</f>
        <v>20.602862335353375</v>
      </c>
      <c r="BL67" s="73">
        <f>$I67*$K67*py*Index!BK19*Index!BK160/unit</f>
        <v>20.602862335353375</v>
      </c>
      <c r="BM67" s="73">
        <f>$I67*$K67*py*Index!BL19*Index!BL160/unit</f>
        <v>20.602862335353375</v>
      </c>
      <c r="BN67" s="73">
        <f>$I67*$K67*py*Index!BM19*Index!BM160/unit</f>
        <v>20.602862335353375</v>
      </c>
      <c r="BO67" s="73">
        <f>$I67*$K67*py*Index!BN19*Index!BN160/unit</f>
        <v>20.602862335353375</v>
      </c>
      <c r="BP67" s="73">
        <f>$I67*$K67*py*Index!BO19*Index!BO160/unit</f>
        <v>0</v>
      </c>
      <c r="BQ67" s="73">
        <f>$I67*$K67*py*Index!BP19*Index!BP160/unit</f>
        <v>0</v>
      </c>
      <c r="BR67" s="73">
        <f>$I67*$K67*py*Index!BQ19*Index!BQ160/unit</f>
        <v>0</v>
      </c>
      <c r="BS67" s="73">
        <f>$I67*$K67*py*Index!BR19*Index!BR160/unit</f>
        <v>0</v>
      </c>
      <c r="BT67" s="73">
        <f>$I67*$K67*py*Index!BS19*Index!BS160/unit</f>
        <v>0</v>
      </c>
      <c r="BU67" s="73">
        <f>$I67*$K67*py*Index!BT19*Index!BT160/unit</f>
        <v>0</v>
      </c>
      <c r="BV67" s="73">
        <f>$I67*$K67*py*Index!BU19*Index!BU160/unit</f>
        <v>0</v>
      </c>
      <c r="BW67" s="73">
        <f>$I67*$K67*py*Index!BV19*Index!BV160/unit</f>
        <v>0</v>
      </c>
      <c r="BX67" s="73">
        <f>$I67*$K67*py*Index!BW19*Index!BW160/unit</f>
        <v>0</v>
      </c>
      <c r="BY67" s="73">
        <f>$I67*$K67*py*Index!BX19*Index!BX160/unit</f>
        <v>0</v>
      </c>
      <c r="BZ67" s="73">
        <f>$I67*$K67*py*Index!BY19*Index!BY160/unit</f>
        <v>0</v>
      </c>
      <c r="CA67" s="73">
        <f>$I67*$K67*py*Index!BZ19*Index!BZ160/unit</f>
        <v>0</v>
      </c>
      <c r="CB67" s="73">
        <f>$I67*$K67*py*Index!CA19*Index!CA160/unit</f>
        <v>0</v>
      </c>
      <c r="CC67" s="73">
        <f>$I67*$K67*py*Index!CB19*Index!CB160/unit</f>
        <v>0</v>
      </c>
      <c r="CD67" s="73">
        <f>$I67*$K67*py*Index!CC19*Index!CC160/unit</f>
        <v>0</v>
      </c>
      <c r="CE67" s="73">
        <f>$I67*$K67*py*Index!CD19*Index!CD160/unit</f>
        <v>0</v>
      </c>
      <c r="CF67" s="73">
        <f>$I67*$K67*py*Index!CE19*Index!CE160/unit</f>
        <v>0</v>
      </c>
      <c r="CG67" s="73">
        <f>$I67*$K67*py*Index!CF19*Index!CF160/unit</f>
        <v>0</v>
      </c>
      <c r="CH67" s="73">
        <f>$I67*$K67*py*Index!CG19*Index!CG160/unit</f>
        <v>0</v>
      </c>
      <c r="CI67" s="73">
        <f>$I67*$K67*py*Index!CH19*Index!CH160/unit</f>
        <v>0</v>
      </c>
      <c r="CJ67" s="73">
        <f>$I67*$K67*py*Index!CI19*Index!CI160/unit</f>
        <v>0</v>
      </c>
      <c r="CK67" s="73">
        <f>$I67*$K67*py*Index!CJ19*Index!CJ160/unit</f>
        <v>0</v>
      </c>
      <c r="CL67" s="73">
        <f>$I67*$K67*py*Index!CK19*Index!CK160/unit</f>
        <v>0</v>
      </c>
      <c r="CM67" s="73">
        <f>$I67*$K67*py*Index!CL19*Index!CL160/unit</f>
        <v>0</v>
      </c>
      <c r="CN67" s="73">
        <f>$I67*$K67*py*Index!CM19*Index!CM160/unit</f>
        <v>0</v>
      </c>
      <c r="CO67" s="73">
        <f>$I67*$K67*py*Index!CN19*Index!CN160/unit</f>
        <v>0</v>
      </c>
      <c r="CP67" s="73">
        <f>$I67*$K67*py*Index!CO19*Index!CO160/unit</f>
        <v>0</v>
      </c>
      <c r="CQ67" s="73">
        <f>$I67*$K67*py*Index!CP19*Index!CP160/unit</f>
        <v>0</v>
      </c>
      <c r="CR67" s="73">
        <f>$I67*$K67*py*Index!CQ19*Index!CQ160/unit</f>
        <v>0</v>
      </c>
      <c r="CS67" s="73">
        <f>$I67*$K67*py*Index!CR19*Index!CR160/unit</f>
        <v>0</v>
      </c>
      <c r="CT67" s="73">
        <f>$I67*$K67*py*Index!CS19*Index!CS160/unit</f>
        <v>0</v>
      </c>
      <c r="CU67" s="73">
        <f>$I67*$K67*py*Index!CT19*Index!CT160/unit</f>
        <v>0</v>
      </c>
      <c r="CV67" s="73">
        <f>$I67*$K67*py*Index!CU19*Index!CU160/unit</f>
        <v>0</v>
      </c>
      <c r="CW67" s="73">
        <f>$I67*$K67*py*Index!CV19*Index!CV160/unit</f>
        <v>0</v>
      </c>
      <c r="CX67" s="73">
        <f>$I67*$K67*py*Index!CW19*Index!CW160/unit</f>
        <v>0</v>
      </c>
      <c r="CY67" s="73">
        <f>$I67*$K67*py*Index!CX19*Index!CX160/unit</f>
        <v>0</v>
      </c>
      <c r="CZ67" s="73">
        <f>$I67*$K67*py*Index!CY19*Index!CY160/unit</f>
        <v>0</v>
      </c>
      <c r="DA67" s="73">
        <f>$I67*$K67*py*Index!CZ19*Index!CZ160/unit</f>
        <v>0</v>
      </c>
      <c r="DB67" s="73">
        <f>$I67*$K67*py*Index!DA19*Index!DA160/unit</f>
        <v>0</v>
      </c>
      <c r="DC67" s="73">
        <f>$I67*$K67*py*Index!DB19*Index!DB160/unit</f>
        <v>0</v>
      </c>
      <c r="DD67" s="73">
        <f>$I67*$K67*py*Index!DC19*Index!DC160/unit</f>
        <v>0</v>
      </c>
      <c r="DE67" s="73">
        <f>$I67*$K67*py*Index!DD19*Index!DD160/unit</f>
        <v>0</v>
      </c>
      <c r="DF67" s="73">
        <f>$I67*$K67*py*Index!DE19*Index!DE160/unit</f>
        <v>0</v>
      </c>
      <c r="DG67" s="73">
        <f>$I67*$K67*py*Index!DF19*Index!DF160/unit</f>
        <v>0</v>
      </c>
      <c r="DH67" s="73">
        <f>$I67*$K67*py*Index!DG19*Index!DG160/unit</f>
        <v>0</v>
      </c>
      <c r="DI67" s="73">
        <f>$I67*$K67*py*Index!DH19*Index!DH160/unit</f>
        <v>0</v>
      </c>
      <c r="DJ67" s="73">
        <f>$I67*$K67*py*Index!DI19*Index!DI160/unit</f>
        <v>0</v>
      </c>
      <c r="DK67" s="73">
        <f>$I67*$K67*py*Index!DJ19*Index!DJ160/unit</f>
        <v>0</v>
      </c>
      <c r="DL67" s="73">
        <f>$I67*$K67*py*Index!DK19*Index!DK160/unit</f>
        <v>0</v>
      </c>
      <c r="DM67" s="73">
        <f>$I67*$K67*py*Index!DL19*Index!DL160/unit</f>
        <v>0</v>
      </c>
    </row>
    <row r="68" spans="2:117" ht="17">
      <c r="B68" s="27">
        <f>Rentroll!$C$12</f>
        <v>16</v>
      </c>
      <c r="C68" s="69" t="str">
        <f>VLOOKUP($B68,Rentroll!$C$11:$X$29,3,FALSE)</f>
        <v>리마 상사</v>
      </c>
      <c r="D68" s="80">
        <f>VLOOKUP($B68,Rentroll!$C$11:$X$29,9,FALSE)</f>
        <v>45322</v>
      </c>
      <c r="E68" s="80">
        <f>VLOOKUP($B68,Rentroll!$C$11:$X$29,10,FALSE)</f>
        <v>47148</v>
      </c>
      <c r="F68" s="81">
        <f>VLOOKUP($B68,Rentroll!$C$11:$X$29,11,FALSE)</f>
        <v>60</v>
      </c>
      <c r="G68" s="69">
        <f>VLOOKUP($B68,Rentroll!$C$11:$X$29,13,FALSE)</f>
        <v>100000</v>
      </c>
      <c r="H68" s="69">
        <f>VLOOKUP($B68,Rentroll!$C$11:$X$29,14,FALSE)</f>
        <v>75000</v>
      </c>
      <c r="I68" s="69">
        <f>VLOOKUP($B68,Rentroll!$C$11:$X$29,15,FALSE)</f>
        <v>45000</v>
      </c>
      <c r="J68" s="82">
        <f>VLOOKUP($B68,Rentroll!$C$11:$X$29,19,FALSE)</f>
        <v>0.03</v>
      </c>
      <c r="K68" s="83">
        <f>VLOOKUP($B68,Rentroll!$C$11:$X$29,4,FALSE)</f>
        <v>1385.09</v>
      </c>
      <c r="L68" s="81">
        <f>VLOOKUP($B68,Rentroll!$C$11:$X$29,17,FALSE)</f>
        <v>0</v>
      </c>
      <c r="M68" s="84">
        <f>VLOOKUP($B68,Rentroll!$C$11:$X$29,18,FALSE)</f>
        <v>3</v>
      </c>
      <c r="N68" s="20"/>
      <c r="O68" s="74">
        <f t="shared" ref="O68:O85" si="216">B68</f>
        <v>16</v>
      </c>
      <c r="P68" s="75"/>
      <c r="Q68" s="13">
        <f t="shared" si="215"/>
        <v>946.56423216559085</v>
      </c>
      <c r="S68" s="75">
        <f>$I68*$K68*py*Index!R20*Index!R161/unit</f>
        <v>0</v>
      </c>
      <c r="T68" s="75">
        <f>$I68*$K68*py*Index!S20*Index!S161/unit</f>
        <v>18.854537624999999</v>
      </c>
      <c r="U68" s="75">
        <f>$I68*$K68*py*Index!T20*Index!T161/unit</f>
        <v>18.854537624999999</v>
      </c>
      <c r="V68" s="75">
        <f>$I68*$K68*py*Index!U20*Index!U161/unit</f>
        <v>18.854537624999999</v>
      </c>
      <c r="W68" s="75">
        <f>$I68*$K68*py*Index!V20*Index!V161/unit</f>
        <v>18.854537624999999</v>
      </c>
      <c r="X68" s="75">
        <f>$I68*$K68*py*Index!W20*Index!W161/unit</f>
        <v>18.854537624999999</v>
      </c>
      <c r="Y68" s="75">
        <f>$I68*$K68*py*Index!X20*Index!X161/unit</f>
        <v>18.854537624999999</v>
      </c>
      <c r="Z68" s="75">
        <f>$I68*$K68*py*Index!Y20*Index!Y161/unit</f>
        <v>18.854537624999999</v>
      </c>
      <c r="AA68" s="75">
        <f>$I68*$K68*py*Index!Z20*Index!Z161/unit</f>
        <v>18.854537624999999</v>
      </c>
      <c r="AB68" s="75">
        <f>$I68*$K68*py*Index!AA20*Index!AA161/unit</f>
        <v>18.854537624999999</v>
      </c>
      <c r="AC68" s="75">
        <f>$I68*$K68*py*Index!AB20*Index!AB161/unit</f>
        <v>18.854537624999999</v>
      </c>
      <c r="AD68" s="75">
        <f>$I68*$K68*py*Index!AC20*Index!AC161/unit</f>
        <v>18.854537624999999</v>
      </c>
      <c r="AE68" s="75">
        <f>$I68*$K68*py*Index!AD20*Index!AD161/unit</f>
        <v>18.854537624999999</v>
      </c>
      <c r="AF68" s="75">
        <f>$I68*$K68*py*Index!AE20*Index!AE161/unit</f>
        <v>19.420173753749999</v>
      </c>
      <c r="AG68" s="75">
        <f>$I68*$K68*py*Index!AF20*Index!AF161/unit</f>
        <v>19.420173753749999</v>
      </c>
      <c r="AH68" s="75">
        <f>$I68*$K68*py*Index!AG20*Index!AG161/unit</f>
        <v>19.420173753749999</v>
      </c>
      <c r="AI68" s="75">
        <f>$I68*$K68*py*Index!AH20*Index!AH161/unit</f>
        <v>19.420173753749999</v>
      </c>
      <c r="AJ68" s="75">
        <f>$I68*$K68*py*Index!AI20*Index!AI161/unit</f>
        <v>19.420173753749999</v>
      </c>
      <c r="AK68" s="75">
        <f>$I68*$K68*py*Index!AJ20*Index!AJ161/unit</f>
        <v>19.420173753749999</v>
      </c>
      <c r="AL68" s="75">
        <f>$I68*$K68*py*Index!AK20*Index!AK161/unit</f>
        <v>19.420173753749999</v>
      </c>
      <c r="AM68" s="75">
        <f>$I68*$K68*py*Index!AL20*Index!AL161/unit</f>
        <v>19.420173753749999</v>
      </c>
      <c r="AN68" s="75">
        <f>$I68*$K68*py*Index!AM20*Index!AM161/unit</f>
        <v>19.420173753749999</v>
      </c>
      <c r="AO68" s="75">
        <f>$I68*$K68*py*Index!AN20*Index!AN161/unit</f>
        <v>19.420173753749999</v>
      </c>
      <c r="AP68" s="75">
        <f>$I68*$K68*py*Index!AO20*Index!AO161/unit</f>
        <v>19.420173753749999</v>
      </c>
      <c r="AQ68" s="75">
        <f>$I68*$K68*py*Index!AP20*Index!AP161/unit</f>
        <v>19.420173753749999</v>
      </c>
      <c r="AR68" s="75">
        <f>$I68*$K68*py*Index!AQ20*Index!AQ161/unit</f>
        <v>20.002778966362499</v>
      </c>
      <c r="AS68" s="75">
        <f>$I68*$K68*py*Index!AR20*Index!AR161/unit</f>
        <v>20.002778966362499</v>
      </c>
      <c r="AT68" s="75">
        <f>$I68*$K68*py*Index!AS20*Index!AS161/unit</f>
        <v>20.002778966362499</v>
      </c>
      <c r="AU68" s="75">
        <f>$I68*$K68*py*Index!AT20*Index!AT161/unit</f>
        <v>20.002778966362499</v>
      </c>
      <c r="AV68" s="75">
        <f>$I68*$K68*py*Index!AU20*Index!AU161/unit</f>
        <v>20.002778966362499</v>
      </c>
      <c r="AW68" s="75">
        <f>$I68*$K68*py*Index!AV20*Index!AV161/unit</f>
        <v>20.002778966362499</v>
      </c>
      <c r="AX68" s="75">
        <f>$I68*$K68*py*Index!AW20*Index!AW161/unit</f>
        <v>20.002778966362499</v>
      </c>
      <c r="AY68" s="75">
        <f>$I68*$K68*py*Index!AX20*Index!AX161/unit</f>
        <v>20.002778966362499</v>
      </c>
      <c r="AZ68" s="75">
        <f>$I68*$K68*py*Index!AY20*Index!AY161/unit</f>
        <v>20.002778966362499</v>
      </c>
      <c r="BA68" s="75">
        <f>$I68*$K68*py*Index!AZ20*Index!AZ161/unit</f>
        <v>20.002778966362499</v>
      </c>
      <c r="BB68" s="75">
        <f>$I68*$K68*py*Index!BA20*Index!BA161/unit</f>
        <v>20.002778966362499</v>
      </c>
      <c r="BC68" s="75">
        <f>$I68*$K68*py*Index!BB20*Index!BB161/unit</f>
        <v>20.002778966362499</v>
      </c>
      <c r="BD68" s="75">
        <f>$I68*$K68*py*Index!BC20*Index!BC161/unit</f>
        <v>20.602862335353375</v>
      </c>
      <c r="BE68" s="75">
        <f>$I68*$K68*py*Index!BD20*Index!BD161/unit</f>
        <v>20.602862335353375</v>
      </c>
      <c r="BF68" s="75">
        <f>$I68*$K68*py*Index!BE20*Index!BE161/unit</f>
        <v>20.602862335353375</v>
      </c>
      <c r="BG68" s="75">
        <f>$I68*$K68*py*Index!BF20*Index!BF161/unit</f>
        <v>20.602862335353375</v>
      </c>
      <c r="BH68" s="75">
        <f>$I68*$K68*py*Index!BG20*Index!BG161/unit</f>
        <v>20.602862335353375</v>
      </c>
      <c r="BI68" s="75">
        <f>$I68*$K68*py*Index!BH20*Index!BH161/unit</f>
        <v>20.602862335353375</v>
      </c>
      <c r="BJ68" s="75">
        <f>$I68*$K68*py*Index!BI20*Index!BI161/unit</f>
        <v>20.602862335353375</v>
      </c>
      <c r="BK68" s="75">
        <f>$I68*$K68*py*Index!BJ20*Index!BJ161/unit</f>
        <v>20.602862335353375</v>
      </c>
      <c r="BL68" s="75">
        <f>$I68*$K68*py*Index!BK20*Index!BK161/unit</f>
        <v>20.602862335353375</v>
      </c>
      <c r="BM68" s="75">
        <f>$I68*$K68*py*Index!BL20*Index!BL161/unit</f>
        <v>20.602862335353375</v>
      </c>
      <c r="BN68" s="75">
        <f>$I68*$K68*py*Index!BM20*Index!BM161/unit</f>
        <v>20.602862335353375</v>
      </c>
      <c r="BO68" s="75">
        <f>$I68*$K68*py*Index!BN20*Index!BN161/unit</f>
        <v>20.602862335353375</v>
      </c>
      <c r="BP68" s="75">
        <f>$I68*$K68*py*Index!BO20*Index!BO161/unit</f>
        <v>0</v>
      </c>
      <c r="BQ68" s="75">
        <f>$I68*$K68*py*Index!BP20*Index!BP161/unit</f>
        <v>0</v>
      </c>
      <c r="BR68" s="75">
        <f>$I68*$K68*py*Index!BQ20*Index!BQ161/unit</f>
        <v>0</v>
      </c>
      <c r="BS68" s="75">
        <f>$I68*$K68*py*Index!BR20*Index!BR161/unit</f>
        <v>0</v>
      </c>
      <c r="BT68" s="75">
        <f>$I68*$K68*py*Index!BS20*Index!BS161/unit</f>
        <v>0</v>
      </c>
      <c r="BU68" s="75">
        <f>$I68*$K68*py*Index!BT20*Index!BT161/unit</f>
        <v>0</v>
      </c>
      <c r="BV68" s="75">
        <f>$I68*$K68*py*Index!BU20*Index!BU161/unit</f>
        <v>0</v>
      </c>
      <c r="BW68" s="75">
        <f>$I68*$K68*py*Index!BV20*Index!BV161/unit</f>
        <v>0</v>
      </c>
      <c r="BX68" s="75">
        <f>$I68*$K68*py*Index!BW20*Index!BW161/unit</f>
        <v>0</v>
      </c>
      <c r="BY68" s="75">
        <f>$I68*$K68*py*Index!BX20*Index!BX161/unit</f>
        <v>0</v>
      </c>
      <c r="BZ68" s="75">
        <f>$I68*$K68*py*Index!BY20*Index!BY161/unit</f>
        <v>0</v>
      </c>
      <c r="CA68" s="75">
        <f>$I68*$K68*py*Index!BZ20*Index!BZ161/unit</f>
        <v>0</v>
      </c>
      <c r="CB68" s="75">
        <f>$I68*$K68*py*Index!CA20*Index!CA161/unit</f>
        <v>0</v>
      </c>
      <c r="CC68" s="75">
        <f>$I68*$K68*py*Index!CB20*Index!CB161/unit</f>
        <v>0</v>
      </c>
      <c r="CD68" s="75">
        <f>$I68*$K68*py*Index!CC20*Index!CC161/unit</f>
        <v>0</v>
      </c>
      <c r="CE68" s="75">
        <f>$I68*$K68*py*Index!CD20*Index!CD161/unit</f>
        <v>0</v>
      </c>
      <c r="CF68" s="75">
        <f>$I68*$K68*py*Index!CE20*Index!CE161/unit</f>
        <v>0</v>
      </c>
      <c r="CG68" s="75">
        <f>$I68*$K68*py*Index!CF20*Index!CF161/unit</f>
        <v>0</v>
      </c>
      <c r="CH68" s="75">
        <f>$I68*$K68*py*Index!CG20*Index!CG161/unit</f>
        <v>0</v>
      </c>
      <c r="CI68" s="75">
        <f>$I68*$K68*py*Index!CH20*Index!CH161/unit</f>
        <v>0</v>
      </c>
      <c r="CJ68" s="75">
        <f>$I68*$K68*py*Index!CI20*Index!CI161/unit</f>
        <v>0</v>
      </c>
      <c r="CK68" s="75">
        <f>$I68*$K68*py*Index!CJ20*Index!CJ161/unit</f>
        <v>0</v>
      </c>
      <c r="CL68" s="75">
        <f>$I68*$K68*py*Index!CK20*Index!CK161/unit</f>
        <v>0</v>
      </c>
      <c r="CM68" s="75">
        <f>$I68*$K68*py*Index!CL20*Index!CL161/unit</f>
        <v>0</v>
      </c>
      <c r="CN68" s="75">
        <f>$I68*$K68*py*Index!CM20*Index!CM161/unit</f>
        <v>0</v>
      </c>
      <c r="CO68" s="75">
        <f>$I68*$K68*py*Index!CN20*Index!CN161/unit</f>
        <v>0</v>
      </c>
      <c r="CP68" s="75">
        <f>$I68*$K68*py*Index!CO20*Index!CO161/unit</f>
        <v>0</v>
      </c>
      <c r="CQ68" s="75">
        <f>$I68*$K68*py*Index!CP20*Index!CP161/unit</f>
        <v>0</v>
      </c>
      <c r="CR68" s="75">
        <f>$I68*$K68*py*Index!CQ20*Index!CQ161/unit</f>
        <v>0</v>
      </c>
      <c r="CS68" s="75">
        <f>$I68*$K68*py*Index!CR20*Index!CR161/unit</f>
        <v>0</v>
      </c>
      <c r="CT68" s="75">
        <f>$I68*$K68*py*Index!CS20*Index!CS161/unit</f>
        <v>0</v>
      </c>
      <c r="CU68" s="75">
        <f>$I68*$K68*py*Index!CT20*Index!CT161/unit</f>
        <v>0</v>
      </c>
      <c r="CV68" s="75">
        <f>$I68*$K68*py*Index!CU20*Index!CU161/unit</f>
        <v>0</v>
      </c>
      <c r="CW68" s="75">
        <f>$I68*$K68*py*Index!CV20*Index!CV161/unit</f>
        <v>0</v>
      </c>
      <c r="CX68" s="75">
        <f>$I68*$K68*py*Index!CW20*Index!CW161/unit</f>
        <v>0</v>
      </c>
      <c r="CY68" s="75">
        <f>$I68*$K68*py*Index!CX20*Index!CX161/unit</f>
        <v>0</v>
      </c>
      <c r="CZ68" s="75">
        <f>$I68*$K68*py*Index!CY20*Index!CY161/unit</f>
        <v>0</v>
      </c>
      <c r="DA68" s="75">
        <f>$I68*$K68*py*Index!CZ20*Index!CZ161/unit</f>
        <v>0</v>
      </c>
      <c r="DB68" s="75">
        <f>$I68*$K68*py*Index!DA20*Index!DA161/unit</f>
        <v>0</v>
      </c>
      <c r="DC68" s="75">
        <f>$I68*$K68*py*Index!DB20*Index!DB161/unit</f>
        <v>0</v>
      </c>
      <c r="DD68" s="75">
        <f>$I68*$K68*py*Index!DC20*Index!DC161/unit</f>
        <v>0</v>
      </c>
      <c r="DE68" s="75">
        <f>$I68*$K68*py*Index!DD20*Index!DD161/unit</f>
        <v>0</v>
      </c>
      <c r="DF68" s="75">
        <f>$I68*$K68*py*Index!DE20*Index!DE161/unit</f>
        <v>0</v>
      </c>
      <c r="DG68" s="75">
        <f>$I68*$K68*py*Index!DF20*Index!DF161/unit</f>
        <v>0</v>
      </c>
      <c r="DH68" s="75">
        <f>$I68*$K68*py*Index!DG20*Index!DG161/unit</f>
        <v>0</v>
      </c>
      <c r="DI68" s="75">
        <f>$I68*$K68*py*Index!DH20*Index!DH161/unit</f>
        <v>0</v>
      </c>
      <c r="DJ68" s="75">
        <f>$I68*$K68*py*Index!DI20*Index!DI161/unit</f>
        <v>0</v>
      </c>
      <c r="DK68" s="75">
        <f>$I68*$K68*py*Index!DJ20*Index!DJ161/unit</f>
        <v>0</v>
      </c>
      <c r="DL68" s="75">
        <f>$I68*$K68*py*Index!DK20*Index!DK161/unit</f>
        <v>0</v>
      </c>
      <c r="DM68" s="75">
        <f>$I68*$K68*py*Index!DL20*Index!DL161/unit</f>
        <v>0</v>
      </c>
    </row>
    <row r="69" spans="2:117">
      <c r="B69" s="27">
        <f>Rentroll!$C$13</f>
        <v>15</v>
      </c>
      <c r="C69" s="69" t="str">
        <f>VLOOKUP($B69,Rentroll!$C$11:$X$29,3,FALSE)</f>
        <v>모빌리티 테크놀로지</v>
      </c>
      <c r="D69" s="80">
        <f>VLOOKUP($B69,Rentroll!$C$11:$X$29,9,FALSE)</f>
        <v>44042</v>
      </c>
      <c r="E69" s="80">
        <f>VLOOKUP($B69,Rentroll!$C$11:$X$29,10,FALSE)</f>
        <v>45869</v>
      </c>
      <c r="F69" s="81">
        <f>VLOOKUP($B69,Rentroll!$C$11:$X$29,11,FALSE)</f>
        <v>60</v>
      </c>
      <c r="G69" s="69">
        <f>VLOOKUP($B69,Rentroll!$C$11:$X$29,13,FALSE)</f>
        <v>90041</v>
      </c>
      <c r="H69" s="69">
        <f>VLOOKUP($B69,Rentroll!$C$11:$X$29,14,FALSE)</f>
        <v>67530.75</v>
      </c>
      <c r="I69" s="69">
        <f>VLOOKUP($B69,Rentroll!$C$11:$X$29,15,FALSE)</f>
        <v>45020</v>
      </c>
      <c r="J69" s="82">
        <f>VLOOKUP($B69,Rentroll!$C$11:$X$29,19,FALSE)</f>
        <v>0.03</v>
      </c>
      <c r="K69" s="83">
        <f>VLOOKUP($B69,Rentroll!$C$11:$X$29,4,FALSE)</f>
        <v>1385.09</v>
      </c>
      <c r="L69" s="81">
        <f>VLOOKUP($B69,Rentroll!$C$11:$X$29,17,FALSE)</f>
        <v>0</v>
      </c>
      <c r="M69" s="84">
        <f>VLOOKUP($B69,Rentroll!$C$11:$X$29,18,FALSE)</f>
        <v>3</v>
      </c>
      <c r="O69" s="74">
        <f t="shared" si="216"/>
        <v>15</v>
      </c>
      <c r="P69" s="75"/>
      <c r="Q69" s="75">
        <f t="shared" si="215"/>
        <v>113.17750451699997</v>
      </c>
      <c r="R69" s="75"/>
      <c r="S69" s="75">
        <f>$I69*$K69*py*Index!R21*Index!R162/unit</f>
        <v>0</v>
      </c>
      <c r="T69" s="75">
        <f>$I69*$K69*py*Index!S21*Index!S162/unit</f>
        <v>18.862917419499997</v>
      </c>
      <c r="U69" s="75">
        <f>$I69*$K69*py*Index!T21*Index!T162/unit</f>
        <v>18.862917419499997</v>
      </c>
      <c r="V69" s="75">
        <f>$I69*$K69*py*Index!U21*Index!U162/unit</f>
        <v>18.862917419499997</v>
      </c>
      <c r="W69" s="75">
        <f>$I69*$K69*py*Index!V21*Index!V162/unit</f>
        <v>18.862917419499997</v>
      </c>
      <c r="X69" s="75">
        <f>$I69*$K69*py*Index!W21*Index!W162/unit</f>
        <v>18.862917419499997</v>
      </c>
      <c r="Y69" s="75">
        <f>$I69*$K69*py*Index!X21*Index!X162/unit</f>
        <v>18.862917419499997</v>
      </c>
      <c r="Z69" s="75">
        <f>$I69*$K69*py*Index!Y21*Index!Y162/unit</f>
        <v>0</v>
      </c>
      <c r="AA69" s="75">
        <f>$I69*$K69*py*Index!Z21*Index!Z162/unit</f>
        <v>0</v>
      </c>
      <c r="AB69" s="75">
        <f>$I69*$K69*py*Index!AA21*Index!AA162/unit</f>
        <v>0</v>
      </c>
      <c r="AC69" s="75">
        <f>$I69*$K69*py*Index!AB21*Index!AB162/unit</f>
        <v>0</v>
      </c>
      <c r="AD69" s="75">
        <f>$I69*$K69*py*Index!AC21*Index!AC162/unit</f>
        <v>0</v>
      </c>
      <c r="AE69" s="75">
        <f>$I69*$K69*py*Index!AD21*Index!AD162/unit</f>
        <v>0</v>
      </c>
      <c r="AF69" s="75">
        <f>$I69*$K69*py*Index!AE21*Index!AE162/unit</f>
        <v>0</v>
      </c>
      <c r="AG69" s="75">
        <f>$I69*$K69*py*Index!AF21*Index!AF162/unit</f>
        <v>0</v>
      </c>
      <c r="AH69" s="75">
        <f>$I69*$K69*py*Index!AG21*Index!AG162/unit</f>
        <v>0</v>
      </c>
      <c r="AI69" s="75">
        <f>$I69*$K69*py*Index!AH21*Index!AH162/unit</f>
        <v>0</v>
      </c>
      <c r="AJ69" s="75">
        <f>$I69*$K69*py*Index!AI21*Index!AI162/unit</f>
        <v>0</v>
      </c>
      <c r="AK69" s="75">
        <f>$I69*$K69*py*Index!AJ21*Index!AJ162/unit</f>
        <v>0</v>
      </c>
      <c r="AL69" s="75">
        <f>$I69*$K69*py*Index!AK21*Index!AK162/unit</f>
        <v>0</v>
      </c>
      <c r="AM69" s="75">
        <f>$I69*$K69*py*Index!AL21*Index!AL162/unit</f>
        <v>0</v>
      </c>
      <c r="AN69" s="75">
        <f>$I69*$K69*py*Index!AM21*Index!AM162/unit</f>
        <v>0</v>
      </c>
      <c r="AO69" s="75">
        <f>$I69*$K69*py*Index!AN21*Index!AN162/unit</f>
        <v>0</v>
      </c>
      <c r="AP69" s="75">
        <f>$I69*$K69*py*Index!AO21*Index!AO162/unit</f>
        <v>0</v>
      </c>
      <c r="AQ69" s="75">
        <f>$I69*$K69*py*Index!AP21*Index!AP162/unit</f>
        <v>0</v>
      </c>
      <c r="AR69" s="75">
        <f>$I69*$K69*py*Index!AQ21*Index!AQ162/unit</f>
        <v>0</v>
      </c>
      <c r="AS69" s="75">
        <f>$I69*$K69*py*Index!AR21*Index!AR162/unit</f>
        <v>0</v>
      </c>
      <c r="AT69" s="75">
        <f>$I69*$K69*py*Index!AS21*Index!AS162/unit</f>
        <v>0</v>
      </c>
      <c r="AU69" s="75">
        <f>$I69*$K69*py*Index!AT21*Index!AT162/unit</f>
        <v>0</v>
      </c>
      <c r="AV69" s="75">
        <f>$I69*$K69*py*Index!AU21*Index!AU162/unit</f>
        <v>0</v>
      </c>
      <c r="AW69" s="75">
        <f>$I69*$K69*py*Index!AV21*Index!AV162/unit</f>
        <v>0</v>
      </c>
      <c r="AX69" s="75">
        <f>$I69*$K69*py*Index!AW21*Index!AW162/unit</f>
        <v>0</v>
      </c>
      <c r="AY69" s="75">
        <f>$I69*$K69*py*Index!AX21*Index!AX162/unit</f>
        <v>0</v>
      </c>
      <c r="AZ69" s="75">
        <f>$I69*$K69*py*Index!AY21*Index!AY162/unit</f>
        <v>0</v>
      </c>
      <c r="BA69" s="75">
        <f>$I69*$K69*py*Index!AZ21*Index!AZ162/unit</f>
        <v>0</v>
      </c>
      <c r="BB69" s="75">
        <f>$I69*$K69*py*Index!BA21*Index!BA162/unit</f>
        <v>0</v>
      </c>
      <c r="BC69" s="75">
        <f>$I69*$K69*py*Index!BB21*Index!BB162/unit</f>
        <v>0</v>
      </c>
      <c r="BD69" s="75">
        <f>$I69*$K69*py*Index!BC21*Index!BC162/unit</f>
        <v>0</v>
      </c>
      <c r="BE69" s="75">
        <f>$I69*$K69*py*Index!BD21*Index!BD162/unit</f>
        <v>0</v>
      </c>
      <c r="BF69" s="75">
        <f>$I69*$K69*py*Index!BE21*Index!BE162/unit</f>
        <v>0</v>
      </c>
      <c r="BG69" s="75">
        <f>$I69*$K69*py*Index!BF21*Index!BF162/unit</f>
        <v>0</v>
      </c>
      <c r="BH69" s="75">
        <f>$I69*$K69*py*Index!BG21*Index!BG162/unit</f>
        <v>0</v>
      </c>
      <c r="BI69" s="75">
        <f>$I69*$K69*py*Index!BH21*Index!BH162/unit</f>
        <v>0</v>
      </c>
      <c r="BJ69" s="75">
        <f>$I69*$K69*py*Index!BI21*Index!BI162/unit</f>
        <v>0</v>
      </c>
      <c r="BK69" s="75">
        <f>$I69*$K69*py*Index!BJ21*Index!BJ162/unit</f>
        <v>0</v>
      </c>
      <c r="BL69" s="75">
        <f>$I69*$K69*py*Index!BK21*Index!BK162/unit</f>
        <v>0</v>
      </c>
      <c r="BM69" s="75">
        <f>$I69*$K69*py*Index!BL21*Index!BL162/unit</f>
        <v>0</v>
      </c>
      <c r="BN69" s="75">
        <f>$I69*$K69*py*Index!BM21*Index!BM162/unit</f>
        <v>0</v>
      </c>
      <c r="BO69" s="75">
        <f>$I69*$K69*py*Index!BN21*Index!BN162/unit</f>
        <v>0</v>
      </c>
      <c r="BP69" s="75">
        <f>$I69*$K69*py*Index!BO21*Index!BO162/unit</f>
        <v>0</v>
      </c>
      <c r="BQ69" s="75">
        <f>$I69*$K69*py*Index!BP21*Index!BP162/unit</f>
        <v>0</v>
      </c>
      <c r="BR69" s="75">
        <f>$I69*$K69*py*Index!BQ21*Index!BQ162/unit</f>
        <v>0</v>
      </c>
      <c r="BS69" s="75">
        <f>$I69*$K69*py*Index!BR21*Index!BR162/unit</f>
        <v>0</v>
      </c>
      <c r="BT69" s="75">
        <f>$I69*$K69*py*Index!BS21*Index!BS162/unit</f>
        <v>0</v>
      </c>
      <c r="BU69" s="75">
        <f>$I69*$K69*py*Index!BT21*Index!BT162/unit</f>
        <v>0</v>
      </c>
      <c r="BV69" s="75">
        <f>$I69*$K69*py*Index!BU21*Index!BU162/unit</f>
        <v>0</v>
      </c>
      <c r="BW69" s="75">
        <f>$I69*$K69*py*Index!BV21*Index!BV162/unit</f>
        <v>0</v>
      </c>
      <c r="BX69" s="75">
        <f>$I69*$K69*py*Index!BW21*Index!BW162/unit</f>
        <v>0</v>
      </c>
      <c r="BY69" s="75">
        <f>$I69*$K69*py*Index!BX21*Index!BX162/unit</f>
        <v>0</v>
      </c>
      <c r="BZ69" s="75">
        <f>$I69*$K69*py*Index!BY21*Index!BY162/unit</f>
        <v>0</v>
      </c>
      <c r="CA69" s="75">
        <f>$I69*$K69*py*Index!BZ21*Index!BZ162/unit</f>
        <v>0</v>
      </c>
      <c r="CB69" s="75">
        <f>$I69*$K69*py*Index!CA21*Index!CA162/unit</f>
        <v>0</v>
      </c>
      <c r="CC69" s="75">
        <f>$I69*$K69*py*Index!CB21*Index!CB162/unit</f>
        <v>0</v>
      </c>
      <c r="CD69" s="75">
        <f>$I69*$K69*py*Index!CC21*Index!CC162/unit</f>
        <v>0</v>
      </c>
      <c r="CE69" s="75">
        <f>$I69*$K69*py*Index!CD21*Index!CD162/unit</f>
        <v>0</v>
      </c>
      <c r="CF69" s="75">
        <f>$I69*$K69*py*Index!CE21*Index!CE162/unit</f>
        <v>0</v>
      </c>
      <c r="CG69" s="75">
        <f>$I69*$K69*py*Index!CF21*Index!CF162/unit</f>
        <v>0</v>
      </c>
      <c r="CH69" s="75">
        <f>$I69*$K69*py*Index!CG21*Index!CG162/unit</f>
        <v>0</v>
      </c>
      <c r="CI69" s="75">
        <f>$I69*$K69*py*Index!CH21*Index!CH162/unit</f>
        <v>0</v>
      </c>
      <c r="CJ69" s="75">
        <f>$I69*$K69*py*Index!CI21*Index!CI162/unit</f>
        <v>0</v>
      </c>
      <c r="CK69" s="75">
        <f>$I69*$K69*py*Index!CJ21*Index!CJ162/unit</f>
        <v>0</v>
      </c>
      <c r="CL69" s="75">
        <f>$I69*$K69*py*Index!CK21*Index!CK162/unit</f>
        <v>0</v>
      </c>
      <c r="CM69" s="75">
        <f>$I69*$K69*py*Index!CL21*Index!CL162/unit</f>
        <v>0</v>
      </c>
      <c r="CN69" s="75">
        <f>$I69*$K69*py*Index!CM21*Index!CM162/unit</f>
        <v>0</v>
      </c>
      <c r="CO69" s="75">
        <f>$I69*$K69*py*Index!CN21*Index!CN162/unit</f>
        <v>0</v>
      </c>
      <c r="CP69" s="75">
        <f>$I69*$K69*py*Index!CO21*Index!CO162/unit</f>
        <v>0</v>
      </c>
      <c r="CQ69" s="75">
        <f>$I69*$K69*py*Index!CP21*Index!CP162/unit</f>
        <v>0</v>
      </c>
      <c r="CR69" s="75">
        <f>$I69*$K69*py*Index!CQ21*Index!CQ162/unit</f>
        <v>0</v>
      </c>
      <c r="CS69" s="75">
        <f>$I69*$K69*py*Index!CR21*Index!CR162/unit</f>
        <v>0</v>
      </c>
      <c r="CT69" s="75">
        <f>$I69*$K69*py*Index!CS21*Index!CS162/unit</f>
        <v>0</v>
      </c>
      <c r="CU69" s="75">
        <f>$I69*$K69*py*Index!CT21*Index!CT162/unit</f>
        <v>0</v>
      </c>
      <c r="CV69" s="75">
        <f>$I69*$K69*py*Index!CU21*Index!CU162/unit</f>
        <v>0</v>
      </c>
      <c r="CW69" s="75">
        <f>$I69*$K69*py*Index!CV21*Index!CV162/unit</f>
        <v>0</v>
      </c>
      <c r="CX69" s="75">
        <f>$I69*$K69*py*Index!CW21*Index!CW162/unit</f>
        <v>0</v>
      </c>
      <c r="CY69" s="75">
        <f>$I69*$K69*py*Index!CX21*Index!CX162/unit</f>
        <v>0</v>
      </c>
      <c r="CZ69" s="75">
        <f>$I69*$K69*py*Index!CY21*Index!CY162/unit</f>
        <v>0</v>
      </c>
      <c r="DA69" s="75">
        <f>$I69*$K69*py*Index!CZ21*Index!CZ162/unit</f>
        <v>0</v>
      </c>
      <c r="DB69" s="75">
        <f>$I69*$K69*py*Index!DA21*Index!DA162/unit</f>
        <v>0</v>
      </c>
      <c r="DC69" s="75">
        <f>$I69*$K69*py*Index!DB21*Index!DB162/unit</f>
        <v>0</v>
      </c>
      <c r="DD69" s="75">
        <f>$I69*$K69*py*Index!DC21*Index!DC162/unit</f>
        <v>0</v>
      </c>
      <c r="DE69" s="75">
        <f>$I69*$K69*py*Index!DD21*Index!DD162/unit</f>
        <v>0</v>
      </c>
      <c r="DF69" s="75">
        <f>$I69*$K69*py*Index!DE21*Index!DE162/unit</f>
        <v>0</v>
      </c>
      <c r="DG69" s="75">
        <f>$I69*$K69*py*Index!DF21*Index!DF162/unit</f>
        <v>0</v>
      </c>
      <c r="DH69" s="75">
        <f>$I69*$K69*py*Index!DG21*Index!DG162/unit</f>
        <v>0</v>
      </c>
      <c r="DI69" s="75">
        <f>$I69*$K69*py*Index!DH21*Index!DH162/unit</f>
        <v>0</v>
      </c>
      <c r="DJ69" s="75">
        <f>$I69*$K69*py*Index!DI21*Index!DI162/unit</f>
        <v>0</v>
      </c>
      <c r="DK69" s="75">
        <f>$I69*$K69*py*Index!DJ21*Index!DJ162/unit</f>
        <v>0</v>
      </c>
      <c r="DL69" s="75">
        <f>$I69*$K69*py*Index!DK21*Index!DK162/unit</f>
        <v>0</v>
      </c>
      <c r="DM69" s="75">
        <f>$I69*$K69*py*Index!DL21*Index!DL162/unit</f>
        <v>0</v>
      </c>
    </row>
    <row r="70" spans="2:117">
      <c r="B70" s="27">
        <f>Rentroll!$C$14</f>
        <v>14</v>
      </c>
      <c r="C70" s="69" t="str">
        <f>VLOOKUP($B70,Rentroll!$C$11:$X$29,3,FALSE)</f>
        <v>모빌리티 테크놀로지</v>
      </c>
      <c r="D70" s="80">
        <f>VLOOKUP($B70,Rentroll!$C$11:$X$29,9,FALSE)</f>
        <v>44043</v>
      </c>
      <c r="E70" s="80">
        <f>VLOOKUP($B70,Rentroll!$C$11:$X$29,10,FALSE)</f>
        <v>45868</v>
      </c>
      <c r="F70" s="81">
        <f>VLOOKUP($B70,Rentroll!$C$11:$X$29,11,FALSE)</f>
        <v>60</v>
      </c>
      <c r="G70" s="69">
        <f>VLOOKUP($B70,Rentroll!$C$11:$X$29,13,FALSE)</f>
        <v>90041</v>
      </c>
      <c r="H70" s="69">
        <f>VLOOKUP($B70,Rentroll!$C$11:$X$29,14,FALSE)</f>
        <v>67530.75</v>
      </c>
      <c r="I70" s="69">
        <f>VLOOKUP($B70,Rentroll!$C$11:$X$29,15,FALSE)</f>
        <v>45020</v>
      </c>
      <c r="J70" s="82">
        <f>VLOOKUP($B70,Rentroll!$C$11:$X$29,19,FALSE)</f>
        <v>0.03</v>
      </c>
      <c r="K70" s="83">
        <f>VLOOKUP($B70,Rentroll!$C$11:$X$29,4,FALSE)</f>
        <v>1385.09</v>
      </c>
      <c r="L70" s="81">
        <f>VLOOKUP($B70,Rentroll!$C$11:$X$29,17,FALSE)</f>
        <v>0</v>
      </c>
      <c r="M70" s="84">
        <f>VLOOKUP($B70,Rentroll!$C$11:$X$29,18,FALSE)</f>
        <v>3</v>
      </c>
      <c r="O70" s="74">
        <f t="shared" si="216"/>
        <v>14</v>
      </c>
      <c r="P70" s="75"/>
      <c r="Q70" s="75">
        <f t="shared" si="215"/>
        <v>113.17750451699997</v>
      </c>
      <c r="R70" s="75"/>
      <c r="S70" s="75">
        <f>$I70*$K70*py*Index!R22*Index!R163/unit</f>
        <v>0</v>
      </c>
      <c r="T70" s="75">
        <f>$I70*$K70*py*Index!S22*Index!S163/unit</f>
        <v>18.862917419499997</v>
      </c>
      <c r="U70" s="75">
        <f>$I70*$K70*py*Index!T22*Index!T163/unit</f>
        <v>18.862917419499997</v>
      </c>
      <c r="V70" s="75">
        <f>$I70*$K70*py*Index!U22*Index!U163/unit</f>
        <v>18.862917419499997</v>
      </c>
      <c r="W70" s="75">
        <f>$I70*$K70*py*Index!V22*Index!V163/unit</f>
        <v>18.862917419499997</v>
      </c>
      <c r="X70" s="75">
        <f>$I70*$K70*py*Index!W22*Index!W163/unit</f>
        <v>18.862917419499997</v>
      </c>
      <c r="Y70" s="75">
        <f>$I70*$K70*py*Index!X22*Index!X163/unit</f>
        <v>18.862917419499997</v>
      </c>
      <c r="Z70" s="75">
        <f>$I70*$K70*py*Index!Y22*Index!Y163/unit</f>
        <v>0</v>
      </c>
      <c r="AA70" s="75">
        <f>$I70*$K70*py*Index!Z22*Index!Z163/unit</f>
        <v>0</v>
      </c>
      <c r="AB70" s="75">
        <f>$I70*$K70*py*Index!AA22*Index!AA163/unit</f>
        <v>0</v>
      </c>
      <c r="AC70" s="75">
        <f>$I70*$K70*py*Index!AB22*Index!AB163/unit</f>
        <v>0</v>
      </c>
      <c r="AD70" s="75">
        <f>$I70*$K70*py*Index!AC22*Index!AC163/unit</f>
        <v>0</v>
      </c>
      <c r="AE70" s="75">
        <f>$I70*$K70*py*Index!AD22*Index!AD163/unit</f>
        <v>0</v>
      </c>
      <c r="AF70" s="75">
        <f>$I70*$K70*py*Index!AE22*Index!AE163/unit</f>
        <v>0</v>
      </c>
      <c r="AG70" s="75">
        <f>$I70*$K70*py*Index!AF22*Index!AF163/unit</f>
        <v>0</v>
      </c>
      <c r="AH70" s="75">
        <f>$I70*$K70*py*Index!AG22*Index!AG163/unit</f>
        <v>0</v>
      </c>
      <c r="AI70" s="75">
        <f>$I70*$K70*py*Index!AH22*Index!AH163/unit</f>
        <v>0</v>
      </c>
      <c r="AJ70" s="75">
        <f>$I70*$K70*py*Index!AI22*Index!AI163/unit</f>
        <v>0</v>
      </c>
      <c r="AK70" s="75">
        <f>$I70*$K70*py*Index!AJ22*Index!AJ163/unit</f>
        <v>0</v>
      </c>
      <c r="AL70" s="75">
        <f>$I70*$K70*py*Index!AK22*Index!AK163/unit</f>
        <v>0</v>
      </c>
      <c r="AM70" s="75">
        <f>$I70*$K70*py*Index!AL22*Index!AL163/unit</f>
        <v>0</v>
      </c>
      <c r="AN70" s="75">
        <f>$I70*$K70*py*Index!AM22*Index!AM163/unit</f>
        <v>0</v>
      </c>
      <c r="AO70" s="75">
        <f>$I70*$K70*py*Index!AN22*Index!AN163/unit</f>
        <v>0</v>
      </c>
      <c r="AP70" s="75">
        <f>$I70*$K70*py*Index!AO22*Index!AO163/unit</f>
        <v>0</v>
      </c>
      <c r="AQ70" s="75">
        <f>$I70*$K70*py*Index!AP22*Index!AP163/unit</f>
        <v>0</v>
      </c>
      <c r="AR70" s="75">
        <f>$I70*$K70*py*Index!AQ22*Index!AQ163/unit</f>
        <v>0</v>
      </c>
      <c r="AS70" s="75">
        <f>$I70*$K70*py*Index!AR22*Index!AR163/unit</f>
        <v>0</v>
      </c>
      <c r="AT70" s="75">
        <f>$I70*$K70*py*Index!AS22*Index!AS163/unit</f>
        <v>0</v>
      </c>
      <c r="AU70" s="75">
        <f>$I70*$K70*py*Index!AT22*Index!AT163/unit</f>
        <v>0</v>
      </c>
      <c r="AV70" s="75">
        <f>$I70*$K70*py*Index!AU22*Index!AU163/unit</f>
        <v>0</v>
      </c>
      <c r="AW70" s="75">
        <f>$I70*$K70*py*Index!AV22*Index!AV163/unit</f>
        <v>0</v>
      </c>
      <c r="AX70" s="75">
        <f>$I70*$K70*py*Index!AW22*Index!AW163/unit</f>
        <v>0</v>
      </c>
      <c r="AY70" s="75">
        <f>$I70*$K70*py*Index!AX22*Index!AX163/unit</f>
        <v>0</v>
      </c>
      <c r="AZ70" s="75">
        <f>$I70*$K70*py*Index!AY22*Index!AY163/unit</f>
        <v>0</v>
      </c>
      <c r="BA70" s="75">
        <f>$I70*$K70*py*Index!AZ22*Index!AZ163/unit</f>
        <v>0</v>
      </c>
      <c r="BB70" s="75">
        <f>$I70*$K70*py*Index!BA22*Index!BA163/unit</f>
        <v>0</v>
      </c>
      <c r="BC70" s="75">
        <f>$I70*$K70*py*Index!BB22*Index!BB163/unit</f>
        <v>0</v>
      </c>
      <c r="BD70" s="75">
        <f>$I70*$K70*py*Index!BC22*Index!BC163/unit</f>
        <v>0</v>
      </c>
      <c r="BE70" s="75">
        <f>$I70*$K70*py*Index!BD22*Index!BD163/unit</f>
        <v>0</v>
      </c>
      <c r="BF70" s="75">
        <f>$I70*$K70*py*Index!BE22*Index!BE163/unit</f>
        <v>0</v>
      </c>
      <c r="BG70" s="75">
        <f>$I70*$K70*py*Index!BF22*Index!BF163/unit</f>
        <v>0</v>
      </c>
      <c r="BH70" s="75">
        <f>$I70*$K70*py*Index!BG22*Index!BG163/unit</f>
        <v>0</v>
      </c>
      <c r="BI70" s="75">
        <f>$I70*$K70*py*Index!BH22*Index!BH163/unit</f>
        <v>0</v>
      </c>
      <c r="BJ70" s="75">
        <f>$I70*$K70*py*Index!BI22*Index!BI163/unit</f>
        <v>0</v>
      </c>
      <c r="BK70" s="75">
        <f>$I70*$K70*py*Index!BJ22*Index!BJ163/unit</f>
        <v>0</v>
      </c>
      <c r="BL70" s="75">
        <f>$I70*$K70*py*Index!BK22*Index!BK163/unit</f>
        <v>0</v>
      </c>
      <c r="BM70" s="75">
        <f>$I70*$K70*py*Index!BL22*Index!BL163/unit</f>
        <v>0</v>
      </c>
      <c r="BN70" s="75">
        <f>$I70*$K70*py*Index!BM22*Index!BM163/unit</f>
        <v>0</v>
      </c>
      <c r="BO70" s="75">
        <f>$I70*$K70*py*Index!BN22*Index!BN163/unit</f>
        <v>0</v>
      </c>
      <c r="BP70" s="75">
        <f>$I70*$K70*py*Index!BO22*Index!BO163/unit</f>
        <v>0</v>
      </c>
      <c r="BQ70" s="75">
        <f>$I70*$K70*py*Index!BP22*Index!BP163/unit</f>
        <v>0</v>
      </c>
      <c r="BR70" s="75">
        <f>$I70*$K70*py*Index!BQ22*Index!BQ163/unit</f>
        <v>0</v>
      </c>
      <c r="BS70" s="75">
        <f>$I70*$K70*py*Index!BR22*Index!BR163/unit</f>
        <v>0</v>
      </c>
      <c r="BT70" s="75">
        <f>$I70*$K70*py*Index!BS22*Index!BS163/unit</f>
        <v>0</v>
      </c>
      <c r="BU70" s="75">
        <f>$I70*$K70*py*Index!BT22*Index!BT163/unit</f>
        <v>0</v>
      </c>
      <c r="BV70" s="75">
        <f>$I70*$K70*py*Index!BU22*Index!BU163/unit</f>
        <v>0</v>
      </c>
      <c r="BW70" s="75">
        <f>$I70*$K70*py*Index!BV22*Index!BV163/unit</f>
        <v>0</v>
      </c>
      <c r="BX70" s="75">
        <f>$I70*$K70*py*Index!BW22*Index!BW163/unit</f>
        <v>0</v>
      </c>
      <c r="BY70" s="75">
        <f>$I70*$K70*py*Index!BX22*Index!BX163/unit</f>
        <v>0</v>
      </c>
      <c r="BZ70" s="75">
        <f>$I70*$K70*py*Index!BY22*Index!BY163/unit</f>
        <v>0</v>
      </c>
      <c r="CA70" s="75">
        <f>$I70*$K70*py*Index!BZ22*Index!BZ163/unit</f>
        <v>0</v>
      </c>
      <c r="CB70" s="75">
        <f>$I70*$K70*py*Index!CA22*Index!CA163/unit</f>
        <v>0</v>
      </c>
      <c r="CC70" s="75">
        <f>$I70*$K70*py*Index!CB22*Index!CB163/unit</f>
        <v>0</v>
      </c>
      <c r="CD70" s="75">
        <f>$I70*$K70*py*Index!CC22*Index!CC163/unit</f>
        <v>0</v>
      </c>
      <c r="CE70" s="75">
        <f>$I70*$K70*py*Index!CD22*Index!CD163/unit</f>
        <v>0</v>
      </c>
      <c r="CF70" s="75">
        <f>$I70*$K70*py*Index!CE22*Index!CE163/unit</f>
        <v>0</v>
      </c>
      <c r="CG70" s="75">
        <f>$I70*$K70*py*Index!CF22*Index!CF163/unit</f>
        <v>0</v>
      </c>
      <c r="CH70" s="75">
        <f>$I70*$K70*py*Index!CG22*Index!CG163/unit</f>
        <v>0</v>
      </c>
      <c r="CI70" s="75">
        <f>$I70*$K70*py*Index!CH22*Index!CH163/unit</f>
        <v>0</v>
      </c>
      <c r="CJ70" s="75">
        <f>$I70*$K70*py*Index!CI22*Index!CI163/unit</f>
        <v>0</v>
      </c>
      <c r="CK70" s="75">
        <f>$I70*$K70*py*Index!CJ22*Index!CJ163/unit</f>
        <v>0</v>
      </c>
      <c r="CL70" s="75">
        <f>$I70*$K70*py*Index!CK22*Index!CK163/unit</f>
        <v>0</v>
      </c>
      <c r="CM70" s="75">
        <f>$I70*$K70*py*Index!CL22*Index!CL163/unit</f>
        <v>0</v>
      </c>
      <c r="CN70" s="75">
        <f>$I70*$K70*py*Index!CM22*Index!CM163/unit</f>
        <v>0</v>
      </c>
      <c r="CO70" s="75">
        <f>$I70*$K70*py*Index!CN22*Index!CN163/unit</f>
        <v>0</v>
      </c>
      <c r="CP70" s="75">
        <f>$I70*$K70*py*Index!CO22*Index!CO163/unit</f>
        <v>0</v>
      </c>
      <c r="CQ70" s="75">
        <f>$I70*$K70*py*Index!CP22*Index!CP163/unit</f>
        <v>0</v>
      </c>
      <c r="CR70" s="75">
        <f>$I70*$K70*py*Index!CQ22*Index!CQ163/unit</f>
        <v>0</v>
      </c>
      <c r="CS70" s="75">
        <f>$I70*$K70*py*Index!CR22*Index!CR163/unit</f>
        <v>0</v>
      </c>
      <c r="CT70" s="75">
        <f>$I70*$K70*py*Index!CS22*Index!CS163/unit</f>
        <v>0</v>
      </c>
      <c r="CU70" s="75">
        <f>$I70*$K70*py*Index!CT22*Index!CT163/unit</f>
        <v>0</v>
      </c>
      <c r="CV70" s="75">
        <f>$I70*$K70*py*Index!CU22*Index!CU163/unit</f>
        <v>0</v>
      </c>
      <c r="CW70" s="75">
        <f>$I70*$K70*py*Index!CV22*Index!CV163/unit</f>
        <v>0</v>
      </c>
      <c r="CX70" s="75">
        <f>$I70*$K70*py*Index!CW22*Index!CW163/unit</f>
        <v>0</v>
      </c>
      <c r="CY70" s="75">
        <f>$I70*$K70*py*Index!CX22*Index!CX163/unit</f>
        <v>0</v>
      </c>
      <c r="CZ70" s="75">
        <f>$I70*$K70*py*Index!CY22*Index!CY163/unit</f>
        <v>0</v>
      </c>
      <c r="DA70" s="75">
        <f>$I70*$K70*py*Index!CZ22*Index!CZ163/unit</f>
        <v>0</v>
      </c>
      <c r="DB70" s="75">
        <f>$I70*$K70*py*Index!DA22*Index!DA163/unit</f>
        <v>0</v>
      </c>
      <c r="DC70" s="75">
        <f>$I70*$K70*py*Index!DB22*Index!DB163/unit</f>
        <v>0</v>
      </c>
      <c r="DD70" s="75">
        <f>$I70*$K70*py*Index!DC22*Index!DC163/unit</f>
        <v>0</v>
      </c>
      <c r="DE70" s="75">
        <f>$I70*$K70*py*Index!DD22*Index!DD163/unit</f>
        <v>0</v>
      </c>
      <c r="DF70" s="75">
        <f>$I70*$K70*py*Index!DE22*Index!DE163/unit</f>
        <v>0</v>
      </c>
      <c r="DG70" s="75">
        <f>$I70*$K70*py*Index!DF22*Index!DF163/unit</f>
        <v>0</v>
      </c>
      <c r="DH70" s="75">
        <f>$I70*$K70*py*Index!DG22*Index!DG163/unit</f>
        <v>0</v>
      </c>
      <c r="DI70" s="75">
        <f>$I70*$K70*py*Index!DH22*Index!DH163/unit</f>
        <v>0</v>
      </c>
      <c r="DJ70" s="75">
        <f>$I70*$K70*py*Index!DI22*Index!DI163/unit</f>
        <v>0</v>
      </c>
      <c r="DK70" s="75">
        <f>$I70*$K70*py*Index!DJ22*Index!DJ163/unit</f>
        <v>0</v>
      </c>
      <c r="DL70" s="75">
        <f>$I70*$K70*py*Index!DK22*Index!DK163/unit</f>
        <v>0</v>
      </c>
      <c r="DM70" s="75">
        <f>$I70*$K70*py*Index!DL22*Index!DL163/unit</f>
        <v>0</v>
      </c>
    </row>
    <row r="71" spans="2:117" ht="17">
      <c r="B71" s="27">
        <f>Rentroll!$C$15</f>
        <v>13</v>
      </c>
      <c r="C71" s="69" t="str">
        <f>VLOOKUP($B71,Rentroll!$C$11:$X$29,3,FALSE)</f>
        <v>모빌리티 테크놀로지</v>
      </c>
      <c r="D71" s="80">
        <f>VLOOKUP($B71,Rentroll!$C$11:$X$29,9,FALSE)</f>
        <v>44043</v>
      </c>
      <c r="E71" s="80">
        <f>VLOOKUP($B71,Rentroll!$C$11:$X$29,10,FALSE)</f>
        <v>45868</v>
      </c>
      <c r="F71" s="85">
        <f>VLOOKUP($B71,Rentroll!$C$11:$X$29,11,FALSE)</f>
        <v>60</v>
      </c>
      <c r="G71" s="86">
        <f>VLOOKUP($B71,Rentroll!$C$11:$X$29,13,FALSE)</f>
        <v>90041</v>
      </c>
      <c r="H71" s="69">
        <f>VLOOKUP($B71,Rentroll!$C$11:$X$29,14,FALSE)</f>
        <v>67530.75</v>
      </c>
      <c r="I71" s="69">
        <f>VLOOKUP($B71,Rentroll!$C$11:$X$29,15,FALSE)</f>
        <v>45020</v>
      </c>
      <c r="J71" s="82">
        <f>VLOOKUP($B71,Rentroll!$C$11:$X$29,19,FALSE)</f>
        <v>0.03</v>
      </c>
      <c r="K71" s="83">
        <f>VLOOKUP($B71,Rentroll!$C$11:$X$29,4,FALSE)</f>
        <v>1385.09</v>
      </c>
      <c r="L71" s="81">
        <f>VLOOKUP($B71,Rentroll!$C$11:$X$29,17,FALSE)</f>
        <v>0</v>
      </c>
      <c r="M71" s="84">
        <f>VLOOKUP($B71,Rentroll!$C$11:$X$29,18,FALSE)</f>
        <v>3</v>
      </c>
      <c r="O71" s="74">
        <f t="shared" si="216"/>
        <v>13</v>
      </c>
      <c r="P71" s="75"/>
      <c r="Q71" s="75">
        <f t="shared" si="215"/>
        <v>113.17750451699997</v>
      </c>
      <c r="R71" s="75"/>
      <c r="S71" s="75">
        <f>$I71*$K71*py*Index!R23*Index!R164/unit</f>
        <v>0</v>
      </c>
      <c r="T71" s="75">
        <f>$I71*$K71*py*Index!S23*Index!S164/unit</f>
        <v>18.862917419499997</v>
      </c>
      <c r="U71" s="75">
        <f>$I71*$K71*py*Index!T23*Index!T164/unit</f>
        <v>18.862917419499997</v>
      </c>
      <c r="V71" s="75">
        <f>$I71*$K71*py*Index!U23*Index!U164/unit</f>
        <v>18.862917419499997</v>
      </c>
      <c r="W71" s="75">
        <f>$I71*$K71*py*Index!V23*Index!V164/unit</f>
        <v>18.862917419499997</v>
      </c>
      <c r="X71" s="75">
        <f>$I71*$K71*py*Index!W23*Index!W164/unit</f>
        <v>18.862917419499997</v>
      </c>
      <c r="Y71" s="75">
        <f>$I71*$K71*py*Index!X23*Index!X164/unit</f>
        <v>18.862917419499997</v>
      </c>
      <c r="Z71" s="75">
        <f>$I71*$K71*py*Index!Y23*Index!Y164/unit</f>
        <v>0</v>
      </c>
      <c r="AA71" s="75">
        <f>$I71*$K71*py*Index!Z23*Index!Z164/unit</f>
        <v>0</v>
      </c>
      <c r="AB71" s="75">
        <f>$I71*$K71*py*Index!AA23*Index!AA164/unit</f>
        <v>0</v>
      </c>
      <c r="AC71" s="75">
        <f>$I71*$K71*py*Index!AB23*Index!AB164/unit</f>
        <v>0</v>
      </c>
      <c r="AD71" s="75">
        <f>$I71*$K71*py*Index!AC23*Index!AC164/unit</f>
        <v>0</v>
      </c>
      <c r="AE71" s="75">
        <f>$I71*$K71*py*Index!AD23*Index!AD164/unit</f>
        <v>0</v>
      </c>
      <c r="AF71" s="75">
        <f>$I71*$K71*py*Index!AE23*Index!AE164/unit</f>
        <v>0</v>
      </c>
      <c r="AG71" s="75">
        <f>$I71*$K71*py*Index!AF23*Index!AF164/unit</f>
        <v>0</v>
      </c>
      <c r="AH71" s="75">
        <f>$I71*$K71*py*Index!AG23*Index!AG164/unit</f>
        <v>0</v>
      </c>
      <c r="AI71" s="75">
        <f>$I71*$K71*py*Index!AH23*Index!AH164/unit</f>
        <v>0</v>
      </c>
      <c r="AJ71" s="75">
        <f>$I71*$K71*py*Index!AI23*Index!AI164/unit</f>
        <v>0</v>
      </c>
      <c r="AK71" s="75">
        <f>$I71*$K71*py*Index!AJ23*Index!AJ164/unit</f>
        <v>0</v>
      </c>
      <c r="AL71" s="75">
        <f>$I71*$K71*py*Index!AK23*Index!AK164/unit</f>
        <v>0</v>
      </c>
      <c r="AM71" s="75">
        <f>$I71*$K71*py*Index!AL23*Index!AL164/unit</f>
        <v>0</v>
      </c>
      <c r="AN71" s="75">
        <f>$I71*$K71*py*Index!AM23*Index!AM164/unit</f>
        <v>0</v>
      </c>
      <c r="AO71" s="75">
        <f>$I71*$K71*py*Index!AN23*Index!AN164/unit</f>
        <v>0</v>
      </c>
      <c r="AP71" s="75">
        <f>$I71*$K71*py*Index!AO23*Index!AO164/unit</f>
        <v>0</v>
      </c>
      <c r="AQ71" s="75">
        <f>$I71*$K71*py*Index!AP23*Index!AP164/unit</f>
        <v>0</v>
      </c>
      <c r="AR71" s="75">
        <f>$I71*$K71*py*Index!AQ23*Index!AQ164/unit</f>
        <v>0</v>
      </c>
      <c r="AS71" s="75">
        <f>$I71*$K71*py*Index!AR23*Index!AR164/unit</f>
        <v>0</v>
      </c>
      <c r="AT71" s="75">
        <f>$I71*$K71*py*Index!AS23*Index!AS164/unit</f>
        <v>0</v>
      </c>
      <c r="AU71" s="75">
        <f>$I71*$K71*py*Index!AT23*Index!AT164/unit</f>
        <v>0</v>
      </c>
      <c r="AV71" s="75">
        <f>$I71*$K71*py*Index!AU23*Index!AU164/unit</f>
        <v>0</v>
      </c>
      <c r="AW71" s="75">
        <f>$I71*$K71*py*Index!AV23*Index!AV164/unit</f>
        <v>0</v>
      </c>
      <c r="AX71" s="75">
        <f>$I71*$K71*py*Index!AW23*Index!AW164/unit</f>
        <v>0</v>
      </c>
      <c r="AY71" s="75">
        <f>$I71*$K71*py*Index!AX23*Index!AX164/unit</f>
        <v>0</v>
      </c>
      <c r="AZ71" s="75">
        <f>$I71*$K71*py*Index!AY23*Index!AY164/unit</f>
        <v>0</v>
      </c>
      <c r="BA71" s="75">
        <f>$I71*$K71*py*Index!AZ23*Index!AZ164/unit</f>
        <v>0</v>
      </c>
      <c r="BB71" s="75">
        <f>$I71*$K71*py*Index!BA23*Index!BA164/unit</f>
        <v>0</v>
      </c>
      <c r="BC71" s="75">
        <f>$I71*$K71*py*Index!BB23*Index!BB164/unit</f>
        <v>0</v>
      </c>
      <c r="BD71" s="75">
        <f>$I71*$K71*py*Index!BC23*Index!BC164/unit</f>
        <v>0</v>
      </c>
      <c r="BE71" s="75">
        <f>$I71*$K71*py*Index!BD23*Index!BD164/unit</f>
        <v>0</v>
      </c>
      <c r="BF71" s="75">
        <f>$I71*$K71*py*Index!BE23*Index!BE164/unit</f>
        <v>0</v>
      </c>
      <c r="BG71" s="75">
        <f>$I71*$K71*py*Index!BF23*Index!BF164/unit</f>
        <v>0</v>
      </c>
      <c r="BH71" s="75">
        <f>$I71*$K71*py*Index!BG23*Index!BG164/unit</f>
        <v>0</v>
      </c>
      <c r="BI71" s="75">
        <f>$I71*$K71*py*Index!BH23*Index!BH164/unit</f>
        <v>0</v>
      </c>
      <c r="BJ71" s="75">
        <f>$I71*$K71*py*Index!BI23*Index!BI164/unit</f>
        <v>0</v>
      </c>
      <c r="BK71" s="75">
        <f>$I71*$K71*py*Index!BJ23*Index!BJ164/unit</f>
        <v>0</v>
      </c>
      <c r="BL71" s="75">
        <f>$I71*$K71*py*Index!BK23*Index!BK164/unit</f>
        <v>0</v>
      </c>
      <c r="BM71" s="75">
        <f>$I71*$K71*py*Index!BL23*Index!BL164/unit</f>
        <v>0</v>
      </c>
      <c r="BN71" s="75">
        <f>$I71*$K71*py*Index!BM23*Index!BM164/unit</f>
        <v>0</v>
      </c>
      <c r="BO71" s="75">
        <f>$I71*$K71*py*Index!BN23*Index!BN164/unit</f>
        <v>0</v>
      </c>
      <c r="BP71" s="75">
        <f>$I71*$K71*py*Index!BO23*Index!BO164/unit</f>
        <v>0</v>
      </c>
      <c r="BQ71" s="75">
        <f>$I71*$K71*py*Index!BP23*Index!BP164/unit</f>
        <v>0</v>
      </c>
      <c r="BR71" s="75">
        <f>$I71*$K71*py*Index!BQ23*Index!BQ164/unit</f>
        <v>0</v>
      </c>
      <c r="BS71" s="75">
        <f>$I71*$K71*py*Index!BR23*Index!BR164/unit</f>
        <v>0</v>
      </c>
      <c r="BT71" s="75">
        <f>$I71*$K71*py*Index!BS23*Index!BS164/unit</f>
        <v>0</v>
      </c>
      <c r="BU71" s="75">
        <f>$I71*$K71*py*Index!BT23*Index!BT164/unit</f>
        <v>0</v>
      </c>
      <c r="BV71" s="75">
        <f>$I71*$K71*py*Index!BU23*Index!BU164/unit</f>
        <v>0</v>
      </c>
      <c r="BW71" s="75">
        <f>$I71*$K71*py*Index!BV23*Index!BV164/unit</f>
        <v>0</v>
      </c>
      <c r="BX71" s="75">
        <f>$I71*$K71*py*Index!BW23*Index!BW164/unit</f>
        <v>0</v>
      </c>
      <c r="BY71" s="75">
        <f>$I71*$K71*py*Index!BX23*Index!BX164/unit</f>
        <v>0</v>
      </c>
      <c r="BZ71" s="75">
        <f>$I71*$K71*py*Index!BY23*Index!BY164/unit</f>
        <v>0</v>
      </c>
      <c r="CA71" s="75">
        <f>$I71*$K71*py*Index!BZ23*Index!BZ164/unit</f>
        <v>0</v>
      </c>
      <c r="CB71" s="75">
        <f>$I71*$K71*py*Index!CA23*Index!CA164/unit</f>
        <v>0</v>
      </c>
      <c r="CC71" s="75">
        <f>$I71*$K71*py*Index!CB23*Index!CB164/unit</f>
        <v>0</v>
      </c>
      <c r="CD71" s="75">
        <f>$I71*$K71*py*Index!CC23*Index!CC164/unit</f>
        <v>0</v>
      </c>
      <c r="CE71" s="75">
        <f>$I71*$K71*py*Index!CD23*Index!CD164/unit</f>
        <v>0</v>
      </c>
      <c r="CF71" s="75">
        <f>$I71*$K71*py*Index!CE23*Index!CE164/unit</f>
        <v>0</v>
      </c>
      <c r="CG71" s="75">
        <f>$I71*$K71*py*Index!CF23*Index!CF164/unit</f>
        <v>0</v>
      </c>
      <c r="CH71" s="75">
        <f>$I71*$K71*py*Index!CG23*Index!CG164/unit</f>
        <v>0</v>
      </c>
      <c r="CI71" s="75">
        <f>$I71*$K71*py*Index!CH23*Index!CH164/unit</f>
        <v>0</v>
      </c>
      <c r="CJ71" s="75">
        <f>$I71*$K71*py*Index!CI23*Index!CI164/unit</f>
        <v>0</v>
      </c>
      <c r="CK71" s="75">
        <f>$I71*$K71*py*Index!CJ23*Index!CJ164/unit</f>
        <v>0</v>
      </c>
      <c r="CL71" s="75">
        <f>$I71*$K71*py*Index!CK23*Index!CK164/unit</f>
        <v>0</v>
      </c>
      <c r="CM71" s="75">
        <f>$I71*$K71*py*Index!CL23*Index!CL164/unit</f>
        <v>0</v>
      </c>
      <c r="CN71" s="75">
        <f>$I71*$K71*py*Index!CM23*Index!CM164/unit</f>
        <v>0</v>
      </c>
      <c r="CO71" s="75">
        <f>$I71*$K71*py*Index!CN23*Index!CN164/unit</f>
        <v>0</v>
      </c>
      <c r="CP71" s="75">
        <f>$I71*$K71*py*Index!CO23*Index!CO164/unit</f>
        <v>0</v>
      </c>
      <c r="CQ71" s="75">
        <f>$I71*$K71*py*Index!CP23*Index!CP164/unit</f>
        <v>0</v>
      </c>
      <c r="CR71" s="75">
        <f>$I71*$K71*py*Index!CQ23*Index!CQ164/unit</f>
        <v>0</v>
      </c>
      <c r="CS71" s="75">
        <f>$I71*$K71*py*Index!CR23*Index!CR164/unit</f>
        <v>0</v>
      </c>
      <c r="CT71" s="75">
        <f>$I71*$K71*py*Index!CS23*Index!CS164/unit</f>
        <v>0</v>
      </c>
      <c r="CU71" s="75">
        <f>$I71*$K71*py*Index!CT23*Index!CT164/unit</f>
        <v>0</v>
      </c>
      <c r="CV71" s="75">
        <f>$I71*$K71*py*Index!CU23*Index!CU164/unit</f>
        <v>0</v>
      </c>
      <c r="CW71" s="75">
        <f>$I71*$K71*py*Index!CV23*Index!CV164/unit</f>
        <v>0</v>
      </c>
      <c r="CX71" s="75">
        <f>$I71*$K71*py*Index!CW23*Index!CW164/unit</f>
        <v>0</v>
      </c>
      <c r="CY71" s="75">
        <f>$I71*$K71*py*Index!CX23*Index!CX164/unit</f>
        <v>0</v>
      </c>
      <c r="CZ71" s="75">
        <f>$I71*$K71*py*Index!CY23*Index!CY164/unit</f>
        <v>0</v>
      </c>
      <c r="DA71" s="75">
        <f>$I71*$K71*py*Index!CZ23*Index!CZ164/unit</f>
        <v>0</v>
      </c>
      <c r="DB71" s="75">
        <f>$I71*$K71*py*Index!DA23*Index!DA164/unit</f>
        <v>0</v>
      </c>
      <c r="DC71" s="75">
        <f>$I71*$K71*py*Index!DB23*Index!DB164/unit</f>
        <v>0</v>
      </c>
      <c r="DD71" s="75">
        <f>$I71*$K71*py*Index!DC23*Index!DC164/unit</f>
        <v>0</v>
      </c>
      <c r="DE71" s="75">
        <f>$I71*$K71*py*Index!DD23*Index!DD164/unit</f>
        <v>0</v>
      </c>
      <c r="DF71" s="75">
        <f>$I71*$K71*py*Index!DE23*Index!DE164/unit</f>
        <v>0</v>
      </c>
      <c r="DG71" s="75">
        <f>$I71*$K71*py*Index!DF23*Index!DF164/unit</f>
        <v>0</v>
      </c>
      <c r="DH71" s="75">
        <f>$I71*$K71*py*Index!DG23*Index!DG164/unit</f>
        <v>0</v>
      </c>
      <c r="DI71" s="75">
        <f>$I71*$K71*py*Index!DH23*Index!DH164/unit</f>
        <v>0</v>
      </c>
      <c r="DJ71" s="75">
        <f>$I71*$K71*py*Index!DI23*Index!DI164/unit</f>
        <v>0</v>
      </c>
      <c r="DK71" s="75">
        <f>$I71*$K71*py*Index!DJ23*Index!DJ164/unit</f>
        <v>0</v>
      </c>
      <c r="DL71" s="75">
        <f>$I71*$K71*py*Index!DK23*Index!DK164/unit</f>
        <v>0</v>
      </c>
      <c r="DM71" s="75">
        <f>$I71*$K71*py*Index!DL23*Index!DL164/unit</f>
        <v>0</v>
      </c>
    </row>
    <row r="72" spans="2:117">
      <c r="B72" s="27">
        <f>Rentroll!$C$16</f>
        <v>12</v>
      </c>
      <c r="C72" s="69" t="str">
        <f>VLOOKUP($B72,Rentroll!$C$11:$X$29,3,FALSE)</f>
        <v>모빌리티 테크놀로지</v>
      </c>
      <c r="D72" s="80">
        <f>VLOOKUP($B72,Rentroll!$C$11:$X$29,9,FALSE)</f>
        <v>44043</v>
      </c>
      <c r="E72" s="80">
        <f>VLOOKUP($B72,Rentroll!$C$11:$X$29,10,FALSE)</f>
        <v>45868</v>
      </c>
      <c r="F72" s="81">
        <f>VLOOKUP($B72,Rentroll!$C$11:$X$29,11,FALSE)</f>
        <v>60</v>
      </c>
      <c r="G72" s="69">
        <f>VLOOKUP($B72,Rentroll!$C$11:$X$29,13,FALSE)</f>
        <v>90041</v>
      </c>
      <c r="H72" s="69">
        <f>VLOOKUP($B72,Rentroll!$C$11:$X$29,14,FALSE)</f>
        <v>67530.75</v>
      </c>
      <c r="I72" s="69">
        <f>VLOOKUP($B72,Rentroll!$C$11:$X$29,15,FALSE)</f>
        <v>45020</v>
      </c>
      <c r="J72" s="82">
        <f>VLOOKUP($B72,Rentroll!$C$11:$X$29,19,FALSE)</f>
        <v>0.03</v>
      </c>
      <c r="K72" s="83">
        <f>VLOOKUP($B72,Rentroll!$C$11:$X$29,4,FALSE)</f>
        <v>1385.09</v>
      </c>
      <c r="L72" s="81">
        <f>VLOOKUP($B72,Rentroll!$C$11:$X$29,17,FALSE)</f>
        <v>0</v>
      </c>
      <c r="M72" s="84">
        <f>VLOOKUP($B72,Rentroll!$C$11:$X$29,18,FALSE)</f>
        <v>3</v>
      </c>
      <c r="O72" s="74">
        <f t="shared" si="216"/>
        <v>12</v>
      </c>
      <c r="P72" s="75"/>
      <c r="Q72" s="75">
        <f t="shared" si="215"/>
        <v>113.17750451699997</v>
      </c>
      <c r="R72" s="75"/>
      <c r="S72" s="75">
        <f>$I72*$K72*py*Index!R24*Index!R165/unit</f>
        <v>0</v>
      </c>
      <c r="T72" s="75">
        <f>$I72*$K72*py*Index!S24*Index!S165/unit</f>
        <v>18.862917419499997</v>
      </c>
      <c r="U72" s="75">
        <f>$I72*$K72*py*Index!T24*Index!T165/unit</f>
        <v>18.862917419499997</v>
      </c>
      <c r="V72" s="75">
        <f>$I72*$K72*py*Index!U24*Index!U165/unit</f>
        <v>18.862917419499997</v>
      </c>
      <c r="W72" s="75">
        <f>$I72*$K72*py*Index!V24*Index!V165/unit</f>
        <v>18.862917419499997</v>
      </c>
      <c r="X72" s="75">
        <f>$I72*$K72*py*Index!W24*Index!W165/unit</f>
        <v>18.862917419499997</v>
      </c>
      <c r="Y72" s="75">
        <f>$I72*$K72*py*Index!X24*Index!X165/unit</f>
        <v>18.862917419499997</v>
      </c>
      <c r="Z72" s="75">
        <f>$I72*$K72*py*Index!Y24*Index!Y165/unit</f>
        <v>0</v>
      </c>
      <c r="AA72" s="75">
        <f>$I72*$K72*py*Index!Z24*Index!Z165/unit</f>
        <v>0</v>
      </c>
      <c r="AB72" s="75">
        <f>$I72*$K72*py*Index!AA24*Index!AA165/unit</f>
        <v>0</v>
      </c>
      <c r="AC72" s="75">
        <f>$I72*$K72*py*Index!AB24*Index!AB165/unit</f>
        <v>0</v>
      </c>
      <c r="AD72" s="75">
        <f>$I72*$K72*py*Index!AC24*Index!AC165/unit</f>
        <v>0</v>
      </c>
      <c r="AE72" s="75">
        <f>$I72*$K72*py*Index!AD24*Index!AD165/unit</f>
        <v>0</v>
      </c>
      <c r="AF72" s="75">
        <f>$I72*$K72*py*Index!AE24*Index!AE165/unit</f>
        <v>0</v>
      </c>
      <c r="AG72" s="75">
        <f>$I72*$K72*py*Index!AF24*Index!AF165/unit</f>
        <v>0</v>
      </c>
      <c r="AH72" s="75">
        <f>$I72*$K72*py*Index!AG24*Index!AG165/unit</f>
        <v>0</v>
      </c>
      <c r="AI72" s="75">
        <f>$I72*$K72*py*Index!AH24*Index!AH165/unit</f>
        <v>0</v>
      </c>
      <c r="AJ72" s="75">
        <f>$I72*$K72*py*Index!AI24*Index!AI165/unit</f>
        <v>0</v>
      </c>
      <c r="AK72" s="75">
        <f>$I72*$K72*py*Index!AJ24*Index!AJ165/unit</f>
        <v>0</v>
      </c>
      <c r="AL72" s="75">
        <f>$I72*$K72*py*Index!AK24*Index!AK165/unit</f>
        <v>0</v>
      </c>
      <c r="AM72" s="75">
        <f>$I72*$K72*py*Index!AL24*Index!AL165/unit</f>
        <v>0</v>
      </c>
      <c r="AN72" s="75">
        <f>$I72*$K72*py*Index!AM24*Index!AM165/unit</f>
        <v>0</v>
      </c>
      <c r="AO72" s="75">
        <f>$I72*$K72*py*Index!AN24*Index!AN165/unit</f>
        <v>0</v>
      </c>
      <c r="AP72" s="75">
        <f>$I72*$K72*py*Index!AO24*Index!AO165/unit</f>
        <v>0</v>
      </c>
      <c r="AQ72" s="75">
        <f>$I72*$K72*py*Index!AP24*Index!AP165/unit</f>
        <v>0</v>
      </c>
      <c r="AR72" s="75">
        <f>$I72*$K72*py*Index!AQ24*Index!AQ165/unit</f>
        <v>0</v>
      </c>
      <c r="AS72" s="75">
        <f>$I72*$K72*py*Index!AR24*Index!AR165/unit</f>
        <v>0</v>
      </c>
      <c r="AT72" s="75">
        <f>$I72*$K72*py*Index!AS24*Index!AS165/unit</f>
        <v>0</v>
      </c>
      <c r="AU72" s="75">
        <f>$I72*$K72*py*Index!AT24*Index!AT165/unit</f>
        <v>0</v>
      </c>
      <c r="AV72" s="75">
        <f>$I72*$K72*py*Index!AU24*Index!AU165/unit</f>
        <v>0</v>
      </c>
      <c r="AW72" s="75">
        <f>$I72*$K72*py*Index!AV24*Index!AV165/unit</f>
        <v>0</v>
      </c>
      <c r="AX72" s="75">
        <f>$I72*$K72*py*Index!AW24*Index!AW165/unit</f>
        <v>0</v>
      </c>
      <c r="AY72" s="75">
        <f>$I72*$K72*py*Index!AX24*Index!AX165/unit</f>
        <v>0</v>
      </c>
      <c r="AZ72" s="75">
        <f>$I72*$K72*py*Index!AY24*Index!AY165/unit</f>
        <v>0</v>
      </c>
      <c r="BA72" s="75">
        <f>$I72*$K72*py*Index!AZ24*Index!AZ165/unit</f>
        <v>0</v>
      </c>
      <c r="BB72" s="75">
        <f>$I72*$K72*py*Index!BA24*Index!BA165/unit</f>
        <v>0</v>
      </c>
      <c r="BC72" s="75">
        <f>$I72*$K72*py*Index!BB24*Index!BB165/unit</f>
        <v>0</v>
      </c>
      <c r="BD72" s="75">
        <f>$I72*$K72*py*Index!BC24*Index!BC165/unit</f>
        <v>0</v>
      </c>
      <c r="BE72" s="75">
        <f>$I72*$K72*py*Index!BD24*Index!BD165/unit</f>
        <v>0</v>
      </c>
      <c r="BF72" s="75">
        <f>$I72*$K72*py*Index!BE24*Index!BE165/unit</f>
        <v>0</v>
      </c>
      <c r="BG72" s="75">
        <f>$I72*$K72*py*Index!BF24*Index!BF165/unit</f>
        <v>0</v>
      </c>
      <c r="BH72" s="75">
        <f>$I72*$K72*py*Index!BG24*Index!BG165/unit</f>
        <v>0</v>
      </c>
      <c r="BI72" s="75">
        <f>$I72*$K72*py*Index!BH24*Index!BH165/unit</f>
        <v>0</v>
      </c>
      <c r="BJ72" s="75">
        <f>$I72*$K72*py*Index!BI24*Index!BI165/unit</f>
        <v>0</v>
      </c>
      <c r="BK72" s="75">
        <f>$I72*$K72*py*Index!BJ24*Index!BJ165/unit</f>
        <v>0</v>
      </c>
      <c r="BL72" s="75">
        <f>$I72*$K72*py*Index!BK24*Index!BK165/unit</f>
        <v>0</v>
      </c>
      <c r="BM72" s="75">
        <f>$I72*$K72*py*Index!BL24*Index!BL165/unit</f>
        <v>0</v>
      </c>
      <c r="BN72" s="75">
        <f>$I72*$K72*py*Index!BM24*Index!BM165/unit</f>
        <v>0</v>
      </c>
      <c r="BO72" s="75">
        <f>$I72*$K72*py*Index!BN24*Index!BN165/unit</f>
        <v>0</v>
      </c>
      <c r="BP72" s="75">
        <f>$I72*$K72*py*Index!BO24*Index!BO165/unit</f>
        <v>0</v>
      </c>
      <c r="BQ72" s="75">
        <f>$I72*$K72*py*Index!BP24*Index!BP165/unit</f>
        <v>0</v>
      </c>
      <c r="BR72" s="75">
        <f>$I72*$K72*py*Index!BQ24*Index!BQ165/unit</f>
        <v>0</v>
      </c>
      <c r="BS72" s="75">
        <f>$I72*$K72*py*Index!BR24*Index!BR165/unit</f>
        <v>0</v>
      </c>
      <c r="BT72" s="75">
        <f>$I72*$K72*py*Index!BS24*Index!BS165/unit</f>
        <v>0</v>
      </c>
      <c r="BU72" s="75">
        <f>$I72*$K72*py*Index!BT24*Index!BT165/unit</f>
        <v>0</v>
      </c>
      <c r="BV72" s="75">
        <f>$I72*$K72*py*Index!BU24*Index!BU165/unit</f>
        <v>0</v>
      </c>
      <c r="BW72" s="75">
        <f>$I72*$K72*py*Index!BV24*Index!BV165/unit</f>
        <v>0</v>
      </c>
      <c r="BX72" s="75">
        <f>$I72*$K72*py*Index!BW24*Index!BW165/unit</f>
        <v>0</v>
      </c>
      <c r="BY72" s="75">
        <f>$I72*$K72*py*Index!BX24*Index!BX165/unit</f>
        <v>0</v>
      </c>
      <c r="BZ72" s="75">
        <f>$I72*$K72*py*Index!BY24*Index!BY165/unit</f>
        <v>0</v>
      </c>
      <c r="CA72" s="75">
        <f>$I72*$K72*py*Index!BZ24*Index!BZ165/unit</f>
        <v>0</v>
      </c>
      <c r="CB72" s="75">
        <f>$I72*$K72*py*Index!CA24*Index!CA165/unit</f>
        <v>0</v>
      </c>
      <c r="CC72" s="75">
        <f>$I72*$K72*py*Index!CB24*Index!CB165/unit</f>
        <v>0</v>
      </c>
      <c r="CD72" s="75">
        <f>$I72*$K72*py*Index!CC24*Index!CC165/unit</f>
        <v>0</v>
      </c>
      <c r="CE72" s="75">
        <f>$I72*$K72*py*Index!CD24*Index!CD165/unit</f>
        <v>0</v>
      </c>
      <c r="CF72" s="75">
        <f>$I72*$K72*py*Index!CE24*Index!CE165/unit</f>
        <v>0</v>
      </c>
      <c r="CG72" s="75">
        <f>$I72*$K72*py*Index!CF24*Index!CF165/unit</f>
        <v>0</v>
      </c>
      <c r="CH72" s="75">
        <f>$I72*$K72*py*Index!CG24*Index!CG165/unit</f>
        <v>0</v>
      </c>
      <c r="CI72" s="75">
        <f>$I72*$K72*py*Index!CH24*Index!CH165/unit</f>
        <v>0</v>
      </c>
      <c r="CJ72" s="75">
        <f>$I72*$K72*py*Index!CI24*Index!CI165/unit</f>
        <v>0</v>
      </c>
      <c r="CK72" s="75">
        <f>$I72*$K72*py*Index!CJ24*Index!CJ165/unit</f>
        <v>0</v>
      </c>
      <c r="CL72" s="75">
        <f>$I72*$K72*py*Index!CK24*Index!CK165/unit</f>
        <v>0</v>
      </c>
      <c r="CM72" s="75">
        <f>$I72*$K72*py*Index!CL24*Index!CL165/unit</f>
        <v>0</v>
      </c>
      <c r="CN72" s="75">
        <f>$I72*$K72*py*Index!CM24*Index!CM165/unit</f>
        <v>0</v>
      </c>
      <c r="CO72" s="75">
        <f>$I72*$K72*py*Index!CN24*Index!CN165/unit</f>
        <v>0</v>
      </c>
      <c r="CP72" s="75">
        <f>$I72*$K72*py*Index!CO24*Index!CO165/unit</f>
        <v>0</v>
      </c>
      <c r="CQ72" s="75">
        <f>$I72*$K72*py*Index!CP24*Index!CP165/unit</f>
        <v>0</v>
      </c>
      <c r="CR72" s="75">
        <f>$I72*$K72*py*Index!CQ24*Index!CQ165/unit</f>
        <v>0</v>
      </c>
      <c r="CS72" s="75">
        <f>$I72*$K72*py*Index!CR24*Index!CR165/unit</f>
        <v>0</v>
      </c>
      <c r="CT72" s="75">
        <f>$I72*$K72*py*Index!CS24*Index!CS165/unit</f>
        <v>0</v>
      </c>
      <c r="CU72" s="75">
        <f>$I72*$K72*py*Index!CT24*Index!CT165/unit</f>
        <v>0</v>
      </c>
      <c r="CV72" s="75">
        <f>$I72*$K72*py*Index!CU24*Index!CU165/unit</f>
        <v>0</v>
      </c>
      <c r="CW72" s="75">
        <f>$I72*$K72*py*Index!CV24*Index!CV165/unit</f>
        <v>0</v>
      </c>
      <c r="CX72" s="75">
        <f>$I72*$K72*py*Index!CW24*Index!CW165/unit</f>
        <v>0</v>
      </c>
      <c r="CY72" s="75">
        <f>$I72*$K72*py*Index!CX24*Index!CX165/unit</f>
        <v>0</v>
      </c>
      <c r="CZ72" s="75">
        <f>$I72*$K72*py*Index!CY24*Index!CY165/unit</f>
        <v>0</v>
      </c>
      <c r="DA72" s="75">
        <f>$I72*$K72*py*Index!CZ24*Index!CZ165/unit</f>
        <v>0</v>
      </c>
      <c r="DB72" s="75">
        <f>$I72*$K72*py*Index!DA24*Index!DA165/unit</f>
        <v>0</v>
      </c>
      <c r="DC72" s="75">
        <f>$I72*$K72*py*Index!DB24*Index!DB165/unit</f>
        <v>0</v>
      </c>
      <c r="DD72" s="75">
        <f>$I72*$K72*py*Index!DC24*Index!DC165/unit</f>
        <v>0</v>
      </c>
      <c r="DE72" s="75">
        <f>$I72*$K72*py*Index!DD24*Index!DD165/unit</f>
        <v>0</v>
      </c>
      <c r="DF72" s="75">
        <f>$I72*$K72*py*Index!DE24*Index!DE165/unit</f>
        <v>0</v>
      </c>
      <c r="DG72" s="75">
        <f>$I72*$K72*py*Index!DF24*Index!DF165/unit</f>
        <v>0</v>
      </c>
      <c r="DH72" s="75">
        <f>$I72*$K72*py*Index!DG24*Index!DG165/unit</f>
        <v>0</v>
      </c>
      <c r="DI72" s="75">
        <f>$I72*$K72*py*Index!DH24*Index!DH165/unit</f>
        <v>0</v>
      </c>
      <c r="DJ72" s="75">
        <f>$I72*$K72*py*Index!DI24*Index!DI165/unit</f>
        <v>0</v>
      </c>
      <c r="DK72" s="75">
        <f>$I72*$K72*py*Index!DJ24*Index!DJ165/unit</f>
        <v>0</v>
      </c>
      <c r="DL72" s="75">
        <f>$I72*$K72*py*Index!DK24*Index!DK165/unit</f>
        <v>0</v>
      </c>
      <c r="DM72" s="75">
        <f>$I72*$K72*py*Index!DL24*Index!DL165/unit</f>
        <v>0</v>
      </c>
    </row>
    <row r="73" spans="2:117">
      <c r="B73" s="27">
        <f>Rentroll!$C$17</f>
        <v>11</v>
      </c>
      <c r="C73" s="69" t="str">
        <f>VLOOKUP($B73,Rentroll!$C$11:$X$29,3,FALSE)</f>
        <v>노벰버 건설</v>
      </c>
      <c r="D73" s="80">
        <f>VLOOKUP($B73,Rentroll!$C$11:$X$29,9,FALSE)</f>
        <v>45077</v>
      </c>
      <c r="E73" s="80">
        <f>VLOOKUP($B73,Rentroll!$C$11:$X$29,10,FALSE)</f>
        <v>46903</v>
      </c>
      <c r="F73" s="81">
        <f>VLOOKUP($B73,Rentroll!$C$11:$X$29,11,FALSE)</f>
        <v>60</v>
      </c>
      <c r="G73" s="69">
        <f>VLOOKUP($B73,Rentroll!$C$11:$X$29,13,FALSE)</f>
        <v>103000</v>
      </c>
      <c r="H73" s="69">
        <f>VLOOKUP($B73,Rentroll!$C$11:$X$29,14,FALSE)</f>
        <v>85833.333333333328</v>
      </c>
      <c r="I73" s="69">
        <f>VLOOKUP($B73,Rentroll!$C$11:$X$29,15,FALSE)</f>
        <v>46350</v>
      </c>
      <c r="J73" s="82">
        <f>VLOOKUP($B73,Rentroll!$C$11:$X$29,19,FALSE)</f>
        <v>0.03</v>
      </c>
      <c r="K73" s="83">
        <f>VLOOKUP($B73,Rentroll!$C$11:$X$29,4,FALSE)</f>
        <v>1385.09</v>
      </c>
      <c r="L73" s="81">
        <f>VLOOKUP($B73,Rentroll!$C$11:$X$29,17,FALSE)</f>
        <v>0</v>
      </c>
      <c r="M73" s="84">
        <f>VLOOKUP($B73,Rentroll!$C$11:$X$29,18,FALSE)</f>
        <v>2</v>
      </c>
      <c r="O73" s="74">
        <f t="shared" si="216"/>
        <v>11</v>
      </c>
      <c r="P73" s="75"/>
      <c r="Q73" s="75">
        <f t="shared" si="215"/>
        <v>819.59976910055786</v>
      </c>
      <c r="R73" s="75"/>
      <c r="S73" s="75">
        <f>$I73*$K73*py*Index!R25*Index!R166/unit</f>
        <v>0</v>
      </c>
      <c r="T73" s="75">
        <f>$I73*$K73*py*Index!S25*Index!S166/unit</f>
        <v>19.420173753749996</v>
      </c>
      <c r="U73" s="75">
        <f>$I73*$K73*py*Index!T25*Index!T166/unit</f>
        <v>19.420173753749996</v>
      </c>
      <c r="V73" s="75">
        <f>$I73*$K73*py*Index!U25*Index!U166/unit</f>
        <v>19.420173753749996</v>
      </c>
      <c r="W73" s="75">
        <f>$I73*$K73*py*Index!V25*Index!V166/unit</f>
        <v>19.420173753749996</v>
      </c>
      <c r="X73" s="75">
        <f>$I73*$K73*py*Index!W25*Index!W166/unit</f>
        <v>20.002778966362495</v>
      </c>
      <c r="Y73" s="75">
        <f>$I73*$K73*py*Index!X25*Index!X166/unit</f>
        <v>20.002778966362495</v>
      </c>
      <c r="Z73" s="75">
        <f>$I73*$K73*py*Index!Y25*Index!Y166/unit</f>
        <v>20.002778966362495</v>
      </c>
      <c r="AA73" s="75">
        <f>$I73*$K73*py*Index!Z25*Index!Z166/unit</f>
        <v>20.002778966362495</v>
      </c>
      <c r="AB73" s="75">
        <f>$I73*$K73*py*Index!AA25*Index!AA166/unit</f>
        <v>20.002778966362495</v>
      </c>
      <c r="AC73" s="75">
        <f>$I73*$K73*py*Index!AB25*Index!AB166/unit</f>
        <v>20.002778966362495</v>
      </c>
      <c r="AD73" s="75">
        <f>$I73*$K73*py*Index!AC25*Index!AC166/unit</f>
        <v>20.002778966362495</v>
      </c>
      <c r="AE73" s="75">
        <f>$I73*$K73*py*Index!AD25*Index!AD166/unit</f>
        <v>20.002778966362495</v>
      </c>
      <c r="AF73" s="75">
        <f>$I73*$K73*py*Index!AE25*Index!AE166/unit</f>
        <v>20.002778966362495</v>
      </c>
      <c r="AG73" s="75">
        <f>$I73*$K73*py*Index!AF25*Index!AF166/unit</f>
        <v>20.002778966362495</v>
      </c>
      <c r="AH73" s="75">
        <f>$I73*$K73*py*Index!AG25*Index!AG166/unit</f>
        <v>20.002778966362495</v>
      </c>
      <c r="AI73" s="75">
        <f>$I73*$K73*py*Index!AH25*Index!AH166/unit</f>
        <v>20.002778966362495</v>
      </c>
      <c r="AJ73" s="75">
        <f>$I73*$K73*py*Index!AI25*Index!AI166/unit</f>
        <v>20.602862335353372</v>
      </c>
      <c r="AK73" s="75">
        <f>$I73*$K73*py*Index!AJ25*Index!AJ166/unit</f>
        <v>20.602862335353372</v>
      </c>
      <c r="AL73" s="75">
        <f>$I73*$K73*py*Index!AK25*Index!AK166/unit</f>
        <v>20.602862335353372</v>
      </c>
      <c r="AM73" s="75">
        <f>$I73*$K73*py*Index!AL25*Index!AL166/unit</f>
        <v>20.602862335353372</v>
      </c>
      <c r="AN73" s="75">
        <f>$I73*$K73*py*Index!AM25*Index!AM166/unit</f>
        <v>20.602862335353372</v>
      </c>
      <c r="AO73" s="75">
        <f>$I73*$K73*py*Index!AN25*Index!AN166/unit</f>
        <v>20.602862335353372</v>
      </c>
      <c r="AP73" s="75">
        <f>$I73*$K73*py*Index!AO25*Index!AO166/unit</f>
        <v>20.602862335353372</v>
      </c>
      <c r="AQ73" s="75">
        <f>$I73*$K73*py*Index!AP25*Index!AP166/unit</f>
        <v>20.602862335353372</v>
      </c>
      <c r="AR73" s="75">
        <f>$I73*$K73*py*Index!AQ25*Index!AQ166/unit</f>
        <v>20.602862335353372</v>
      </c>
      <c r="AS73" s="75">
        <f>$I73*$K73*py*Index!AR25*Index!AR166/unit</f>
        <v>20.602862335353372</v>
      </c>
      <c r="AT73" s="75">
        <f>$I73*$K73*py*Index!AS25*Index!AS166/unit</f>
        <v>20.602862335353372</v>
      </c>
      <c r="AU73" s="75">
        <f>$I73*$K73*py*Index!AT25*Index!AT166/unit</f>
        <v>20.602862335353372</v>
      </c>
      <c r="AV73" s="75">
        <f>$I73*$K73*py*Index!AU25*Index!AU166/unit</f>
        <v>21.220948205413972</v>
      </c>
      <c r="AW73" s="75">
        <f>$I73*$K73*py*Index!AV25*Index!AV166/unit</f>
        <v>21.220948205413972</v>
      </c>
      <c r="AX73" s="75">
        <f>$I73*$K73*py*Index!AW25*Index!AW166/unit</f>
        <v>21.220948205413972</v>
      </c>
      <c r="AY73" s="75">
        <f>$I73*$K73*py*Index!AX25*Index!AX166/unit</f>
        <v>21.220948205413972</v>
      </c>
      <c r="AZ73" s="75">
        <f>$I73*$K73*py*Index!AY25*Index!AY166/unit</f>
        <v>21.220948205413972</v>
      </c>
      <c r="BA73" s="75">
        <f>$I73*$K73*py*Index!AZ25*Index!AZ166/unit</f>
        <v>21.220948205413972</v>
      </c>
      <c r="BB73" s="75">
        <f>$I73*$K73*py*Index!BA25*Index!BA166/unit</f>
        <v>21.220948205413972</v>
      </c>
      <c r="BC73" s="75">
        <f>$I73*$K73*py*Index!BB25*Index!BB166/unit</f>
        <v>21.220948205413972</v>
      </c>
      <c r="BD73" s="75">
        <f>$I73*$K73*py*Index!BC25*Index!BC166/unit</f>
        <v>21.220948205413972</v>
      </c>
      <c r="BE73" s="75">
        <f>$I73*$K73*py*Index!BD25*Index!BD166/unit</f>
        <v>21.220948205413972</v>
      </c>
      <c r="BF73" s="75">
        <f>$I73*$K73*py*Index!BE25*Index!BE166/unit</f>
        <v>21.220948205413972</v>
      </c>
      <c r="BG73" s="75">
        <f>$I73*$K73*py*Index!BF25*Index!BF166/unit</f>
        <v>21.220948205413972</v>
      </c>
      <c r="BH73" s="75">
        <f>$I73*$K73*py*Index!BG25*Index!BG166/unit</f>
        <v>0</v>
      </c>
      <c r="BI73" s="75">
        <f>$I73*$K73*py*Index!BH25*Index!BH166/unit</f>
        <v>0</v>
      </c>
      <c r="BJ73" s="75">
        <f>$I73*$K73*py*Index!BI25*Index!BI166/unit</f>
        <v>0</v>
      </c>
      <c r="BK73" s="75">
        <f>$I73*$K73*py*Index!BJ25*Index!BJ166/unit</f>
        <v>0</v>
      </c>
      <c r="BL73" s="75">
        <f>$I73*$K73*py*Index!BK25*Index!BK166/unit</f>
        <v>0</v>
      </c>
      <c r="BM73" s="75">
        <f>$I73*$K73*py*Index!BL25*Index!BL166/unit</f>
        <v>0</v>
      </c>
      <c r="BN73" s="75">
        <f>$I73*$K73*py*Index!BM25*Index!BM166/unit</f>
        <v>0</v>
      </c>
      <c r="BO73" s="75">
        <f>$I73*$K73*py*Index!BN25*Index!BN166/unit</f>
        <v>0</v>
      </c>
      <c r="BP73" s="75">
        <f>$I73*$K73*py*Index!BO25*Index!BO166/unit</f>
        <v>0</v>
      </c>
      <c r="BQ73" s="75">
        <f>$I73*$K73*py*Index!BP25*Index!BP166/unit</f>
        <v>0</v>
      </c>
      <c r="BR73" s="75">
        <f>$I73*$K73*py*Index!BQ25*Index!BQ166/unit</f>
        <v>0</v>
      </c>
      <c r="BS73" s="75">
        <f>$I73*$K73*py*Index!BR25*Index!BR166/unit</f>
        <v>0</v>
      </c>
      <c r="BT73" s="75">
        <f>$I73*$K73*py*Index!BS25*Index!BS166/unit</f>
        <v>0</v>
      </c>
      <c r="BU73" s="75">
        <f>$I73*$K73*py*Index!BT25*Index!BT166/unit</f>
        <v>0</v>
      </c>
      <c r="BV73" s="75">
        <f>$I73*$K73*py*Index!BU25*Index!BU166/unit</f>
        <v>0</v>
      </c>
      <c r="BW73" s="75">
        <f>$I73*$K73*py*Index!BV25*Index!BV166/unit</f>
        <v>0</v>
      </c>
      <c r="BX73" s="75">
        <f>$I73*$K73*py*Index!BW25*Index!BW166/unit</f>
        <v>0</v>
      </c>
      <c r="BY73" s="75">
        <f>$I73*$K73*py*Index!BX25*Index!BX166/unit</f>
        <v>0</v>
      </c>
      <c r="BZ73" s="75">
        <f>$I73*$K73*py*Index!BY25*Index!BY166/unit</f>
        <v>0</v>
      </c>
      <c r="CA73" s="75">
        <f>$I73*$K73*py*Index!BZ25*Index!BZ166/unit</f>
        <v>0</v>
      </c>
      <c r="CB73" s="75">
        <f>$I73*$K73*py*Index!CA25*Index!CA166/unit</f>
        <v>0</v>
      </c>
      <c r="CC73" s="75">
        <f>$I73*$K73*py*Index!CB25*Index!CB166/unit</f>
        <v>0</v>
      </c>
      <c r="CD73" s="75">
        <f>$I73*$K73*py*Index!CC25*Index!CC166/unit</f>
        <v>0</v>
      </c>
      <c r="CE73" s="75">
        <f>$I73*$K73*py*Index!CD25*Index!CD166/unit</f>
        <v>0</v>
      </c>
      <c r="CF73" s="75">
        <f>$I73*$K73*py*Index!CE25*Index!CE166/unit</f>
        <v>0</v>
      </c>
      <c r="CG73" s="75">
        <f>$I73*$K73*py*Index!CF25*Index!CF166/unit</f>
        <v>0</v>
      </c>
      <c r="CH73" s="75">
        <f>$I73*$K73*py*Index!CG25*Index!CG166/unit</f>
        <v>0</v>
      </c>
      <c r="CI73" s="75">
        <f>$I73*$K73*py*Index!CH25*Index!CH166/unit</f>
        <v>0</v>
      </c>
      <c r="CJ73" s="75">
        <f>$I73*$K73*py*Index!CI25*Index!CI166/unit</f>
        <v>0</v>
      </c>
      <c r="CK73" s="75">
        <f>$I73*$K73*py*Index!CJ25*Index!CJ166/unit</f>
        <v>0</v>
      </c>
      <c r="CL73" s="75">
        <f>$I73*$K73*py*Index!CK25*Index!CK166/unit</f>
        <v>0</v>
      </c>
      <c r="CM73" s="75">
        <f>$I73*$K73*py*Index!CL25*Index!CL166/unit</f>
        <v>0</v>
      </c>
      <c r="CN73" s="75">
        <f>$I73*$K73*py*Index!CM25*Index!CM166/unit</f>
        <v>0</v>
      </c>
      <c r="CO73" s="75">
        <f>$I73*$K73*py*Index!CN25*Index!CN166/unit</f>
        <v>0</v>
      </c>
      <c r="CP73" s="75">
        <f>$I73*$K73*py*Index!CO25*Index!CO166/unit</f>
        <v>0</v>
      </c>
      <c r="CQ73" s="75">
        <f>$I73*$K73*py*Index!CP25*Index!CP166/unit</f>
        <v>0</v>
      </c>
      <c r="CR73" s="75">
        <f>$I73*$K73*py*Index!CQ25*Index!CQ166/unit</f>
        <v>0</v>
      </c>
      <c r="CS73" s="75">
        <f>$I73*$K73*py*Index!CR25*Index!CR166/unit</f>
        <v>0</v>
      </c>
      <c r="CT73" s="75">
        <f>$I73*$K73*py*Index!CS25*Index!CS166/unit</f>
        <v>0</v>
      </c>
      <c r="CU73" s="75">
        <f>$I73*$K73*py*Index!CT25*Index!CT166/unit</f>
        <v>0</v>
      </c>
      <c r="CV73" s="75">
        <f>$I73*$K73*py*Index!CU25*Index!CU166/unit</f>
        <v>0</v>
      </c>
      <c r="CW73" s="75">
        <f>$I73*$K73*py*Index!CV25*Index!CV166/unit</f>
        <v>0</v>
      </c>
      <c r="CX73" s="75">
        <f>$I73*$K73*py*Index!CW25*Index!CW166/unit</f>
        <v>0</v>
      </c>
      <c r="CY73" s="75">
        <f>$I73*$K73*py*Index!CX25*Index!CX166/unit</f>
        <v>0</v>
      </c>
      <c r="CZ73" s="75">
        <f>$I73*$K73*py*Index!CY25*Index!CY166/unit</f>
        <v>0</v>
      </c>
      <c r="DA73" s="75">
        <f>$I73*$K73*py*Index!CZ25*Index!CZ166/unit</f>
        <v>0</v>
      </c>
      <c r="DB73" s="75">
        <f>$I73*$K73*py*Index!DA25*Index!DA166/unit</f>
        <v>0</v>
      </c>
      <c r="DC73" s="75">
        <f>$I73*$K73*py*Index!DB25*Index!DB166/unit</f>
        <v>0</v>
      </c>
      <c r="DD73" s="75">
        <f>$I73*$K73*py*Index!DC25*Index!DC166/unit</f>
        <v>0</v>
      </c>
      <c r="DE73" s="75">
        <f>$I73*$K73*py*Index!DD25*Index!DD166/unit</f>
        <v>0</v>
      </c>
      <c r="DF73" s="75">
        <f>$I73*$K73*py*Index!DE25*Index!DE166/unit</f>
        <v>0</v>
      </c>
      <c r="DG73" s="75">
        <f>$I73*$K73*py*Index!DF25*Index!DF166/unit</f>
        <v>0</v>
      </c>
      <c r="DH73" s="75">
        <f>$I73*$K73*py*Index!DG25*Index!DG166/unit</f>
        <v>0</v>
      </c>
      <c r="DI73" s="75">
        <f>$I73*$K73*py*Index!DH25*Index!DH166/unit</f>
        <v>0</v>
      </c>
      <c r="DJ73" s="75">
        <f>$I73*$K73*py*Index!DI25*Index!DI166/unit</f>
        <v>0</v>
      </c>
      <c r="DK73" s="75">
        <f>$I73*$K73*py*Index!DJ25*Index!DJ166/unit</f>
        <v>0</v>
      </c>
      <c r="DL73" s="75">
        <f>$I73*$K73*py*Index!DK25*Index!DK166/unit</f>
        <v>0</v>
      </c>
      <c r="DM73" s="75">
        <f>$I73*$K73*py*Index!DL25*Index!DL166/unit</f>
        <v>0</v>
      </c>
    </row>
    <row r="74" spans="2:117">
      <c r="B74" s="27">
        <f>Rentroll!$C$18</f>
        <v>10</v>
      </c>
      <c r="C74" s="69" t="str">
        <f>VLOOKUP($B74,Rentroll!$C$11:$X$29,3,FALSE)</f>
        <v>노벰버 건설</v>
      </c>
      <c r="D74" s="80">
        <f>VLOOKUP($B74,Rentroll!$C$11:$X$29,9,FALSE)</f>
        <v>45077</v>
      </c>
      <c r="E74" s="80">
        <f>VLOOKUP($B74,Rentroll!$C$11:$X$29,10,FALSE)</f>
        <v>46903</v>
      </c>
      <c r="F74" s="81">
        <f>VLOOKUP($B74,Rentroll!$C$11:$X$29,11,FALSE)</f>
        <v>60</v>
      </c>
      <c r="G74" s="69">
        <f>VLOOKUP($B74,Rentroll!$C$11:$X$29,13,FALSE)</f>
        <v>103000</v>
      </c>
      <c r="H74" s="69">
        <f>VLOOKUP($B74,Rentroll!$C$11:$X$29,14,FALSE)</f>
        <v>85833.333333333328</v>
      </c>
      <c r="I74" s="69">
        <f>VLOOKUP($B74,Rentroll!$C$11:$X$29,15,FALSE)</f>
        <v>46350</v>
      </c>
      <c r="J74" s="82">
        <f>VLOOKUP($B74,Rentroll!$C$11:$X$29,19,FALSE)</f>
        <v>0.03</v>
      </c>
      <c r="K74" s="83">
        <f>VLOOKUP($B74,Rentroll!$C$11:$X$29,4,FALSE)</f>
        <v>1385.09</v>
      </c>
      <c r="L74" s="81">
        <f>VLOOKUP($B74,Rentroll!$C$11:$X$29,17,FALSE)</f>
        <v>0</v>
      </c>
      <c r="M74" s="84">
        <f>VLOOKUP($B74,Rentroll!$C$11:$X$29,18,FALSE)</f>
        <v>2</v>
      </c>
      <c r="O74" s="74">
        <f t="shared" si="216"/>
        <v>10</v>
      </c>
      <c r="P74" s="75"/>
      <c r="Q74" s="75">
        <f t="shared" si="215"/>
        <v>819.59976910055786</v>
      </c>
      <c r="R74" s="75"/>
      <c r="S74" s="75">
        <f>$I74*$K74*py*Index!R26*Index!R167/unit</f>
        <v>0</v>
      </c>
      <c r="T74" s="75">
        <f>$I74*$K74*py*Index!S26*Index!S167/unit</f>
        <v>19.420173753749996</v>
      </c>
      <c r="U74" s="75">
        <f>$I74*$K74*py*Index!T26*Index!T167/unit</f>
        <v>19.420173753749996</v>
      </c>
      <c r="V74" s="75">
        <f>$I74*$K74*py*Index!U26*Index!U167/unit</f>
        <v>19.420173753749996</v>
      </c>
      <c r="W74" s="75">
        <f>$I74*$K74*py*Index!V26*Index!V167/unit</f>
        <v>19.420173753749996</v>
      </c>
      <c r="X74" s="75">
        <f>$I74*$K74*py*Index!W26*Index!W167/unit</f>
        <v>20.002778966362495</v>
      </c>
      <c r="Y74" s="75">
        <f>$I74*$K74*py*Index!X26*Index!X167/unit</f>
        <v>20.002778966362495</v>
      </c>
      <c r="Z74" s="75">
        <f>$I74*$K74*py*Index!Y26*Index!Y167/unit</f>
        <v>20.002778966362495</v>
      </c>
      <c r="AA74" s="75">
        <f>$I74*$K74*py*Index!Z26*Index!Z167/unit</f>
        <v>20.002778966362495</v>
      </c>
      <c r="AB74" s="75">
        <f>$I74*$K74*py*Index!AA26*Index!AA167/unit</f>
        <v>20.002778966362495</v>
      </c>
      <c r="AC74" s="75">
        <f>$I74*$K74*py*Index!AB26*Index!AB167/unit</f>
        <v>20.002778966362495</v>
      </c>
      <c r="AD74" s="75">
        <f>$I74*$K74*py*Index!AC26*Index!AC167/unit</f>
        <v>20.002778966362495</v>
      </c>
      <c r="AE74" s="75">
        <f>$I74*$K74*py*Index!AD26*Index!AD167/unit</f>
        <v>20.002778966362495</v>
      </c>
      <c r="AF74" s="75">
        <f>$I74*$K74*py*Index!AE26*Index!AE167/unit</f>
        <v>20.002778966362495</v>
      </c>
      <c r="AG74" s="75">
        <f>$I74*$K74*py*Index!AF26*Index!AF167/unit</f>
        <v>20.002778966362495</v>
      </c>
      <c r="AH74" s="75">
        <f>$I74*$K74*py*Index!AG26*Index!AG167/unit</f>
        <v>20.002778966362495</v>
      </c>
      <c r="AI74" s="75">
        <f>$I74*$K74*py*Index!AH26*Index!AH167/unit</f>
        <v>20.002778966362495</v>
      </c>
      <c r="AJ74" s="75">
        <f>$I74*$K74*py*Index!AI26*Index!AI167/unit</f>
        <v>20.602862335353372</v>
      </c>
      <c r="AK74" s="75">
        <f>$I74*$K74*py*Index!AJ26*Index!AJ167/unit</f>
        <v>20.602862335353372</v>
      </c>
      <c r="AL74" s="75">
        <f>$I74*$K74*py*Index!AK26*Index!AK167/unit</f>
        <v>20.602862335353372</v>
      </c>
      <c r="AM74" s="75">
        <f>$I74*$K74*py*Index!AL26*Index!AL167/unit</f>
        <v>20.602862335353372</v>
      </c>
      <c r="AN74" s="75">
        <f>$I74*$K74*py*Index!AM26*Index!AM167/unit</f>
        <v>20.602862335353372</v>
      </c>
      <c r="AO74" s="75">
        <f>$I74*$K74*py*Index!AN26*Index!AN167/unit</f>
        <v>20.602862335353372</v>
      </c>
      <c r="AP74" s="75">
        <f>$I74*$K74*py*Index!AO26*Index!AO167/unit</f>
        <v>20.602862335353372</v>
      </c>
      <c r="AQ74" s="75">
        <f>$I74*$K74*py*Index!AP26*Index!AP167/unit</f>
        <v>20.602862335353372</v>
      </c>
      <c r="AR74" s="75">
        <f>$I74*$K74*py*Index!AQ26*Index!AQ167/unit</f>
        <v>20.602862335353372</v>
      </c>
      <c r="AS74" s="75">
        <f>$I74*$K74*py*Index!AR26*Index!AR167/unit</f>
        <v>20.602862335353372</v>
      </c>
      <c r="AT74" s="75">
        <f>$I74*$K74*py*Index!AS26*Index!AS167/unit</f>
        <v>20.602862335353372</v>
      </c>
      <c r="AU74" s="75">
        <f>$I74*$K74*py*Index!AT26*Index!AT167/unit</f>
        <v>20.602862335353372</v>
      </c>
      <c r="AV74" s="75">
        <f>$I74*$K74*py*Index!AU26*Index!AU167/unit</f>
        <v>21.220948205413972</v>
      </c>
      <c r="AW74" s="75">
        <f>$I74*$K74*py*Index!AV26*Index!AV167/unit</f>
        <v>21.220948205413972</v>
      </c>
      <c r="AX74" s="75">
        <f>$I74*$K74*py*Index!AW26*Index!AW167/unit</f>
        <v>21.220948205413972</v>
      </c>
      <c r="AY74" s="75">
        <f>$I74*$K74*py*Index!AX26*Index!AX167/unit</f>
        <v>21.220948205413972</v>
      </c>
      <c r="AZ74" s="75">
        <f>$I74*$K74*py*Index!AY26*Index!AY167/unit</f>
        <v>21.220948205413972</v>
      </c>
      <c r="BA74" s="75">
        <f>$I74*$K74*py*Index!AZ26*Index!AZ167/unit</f>
        <v>21.220948205413972</v>
      </c>
      <c r="BB74" s="75">
        <f>$I74*$K74*py*Index!BA26*Index!BA167/unit</f>
        <v>21.220948205413972</v>
      </c>
      <c r="BC74" s="75">
        <f>$I74*$K74*py*Index!BB26*Index!BB167/unit</f>
        <v>21.220948205413972</v>
      </c>
      <c r="BD74" s="75">
        <f>$I74*$K74*py*Index!BC26*Index!BC167/unit</f>
        <v>21.220948205413972</v>
      </c>
      <c r="BE74" s="75">
        <f>$I74*$K74*py*Index!BD26*Index!BD167/unit</f>
        <v>21.220948205413972</v>
      </c>
      <c r="BF74" s="75">
        <f>$I74*$K74*py*Index!BE26*Index!BE167/unit</f>
        <v>21.220948205413972</v>
      </c>
      <c r="BG74" s="75">
        <f>$I74*$K74*py*Index!BF26*Index!BF167/unit</f>
        <v>21.220948205413972</v>
      </c>
      <c r="BH74" s="75">
        <f>$I74*$K74*py*Index!BG26*Index!BG167/unit</f>
        <v>0</v>
      </c>
      <c r="BI74" s="75">
        <f>$I74*$K74*py*Index!BH26*Index!BH167/unit</f>
        <v>0</v>
      </c>
      <c r="BJ74" s="75">
        <f>$I74*$K74*py*Index!BI26*Index!BI167/unit</f>
        <v>0</v>
      </c>
      <c r="BK74" s="75">
        <f>$I74*$K74*py*Index!BJ26*Index!BJ167/unit</f>
        <v>0</v>
      </c>
      <c r="BL74" s="75">
        <f>$I74*$K74*py*Index!BK26*Index!BK167/unit</f>
        <v>0</v>
      </c>
      <c r="BM74" s="75">
        <f>$I74*$K74*py*Index!BL26*Index!BL167/unit</f>
        <v>0</v>
      </c>
      <c r="BN74" s="75">
        <f>$I74*$K74*py*Index!BM26*Index!BM167/unit</f>
        <v>0</v>
      </c>
      <c r="BO74" s="75">
        <f>$I74*$K74*py*Index!BN26*Index!BN167/unit</f>
        <v>0</v>
      </c>
      <c r="BP74" s="75">
        <f>$I74*$K74*py*Index!BO26*Index!BO167/unit</f>
        <v>0</v>
      </c>
      <c r="BQ74" s="75">
        <f>$I74*$K74*py*Index!BP26*Index!BP167/unit</f>
        <v>0</v>
      </c>
      <c r="BR74" s="75">
        <f>$I74*$K74*py*Index!BQ26*Index!BQ167/unit</f>
        <v>0</v>
      </c>
      <c r="BS74" s="75">
        <f>$I74*$K74*py*Index!BR26*Index!BR167/unit</f>
        <v>0</v>
      </c>
      <c r="BT74" s="75">
        <f>$I74*$K74*py*Index!BS26*Index!BS167/unit</f>
        <v>0</v>
      </c>
      <c r="BU74" s="75">
        <f>$I74*$K74*py*Index!BT26*Index!BT167/unit</f>
        <v>0</v>
      </c>
      <c r="BV74" s="75">
        <f>$I74*$K74*py*Index!BU26*Index!BU167/unit</f>
        <v>0</v>
      </c>
      <c r="BW74" s="75">
        <f>$I74*$K74*py*Index!BV26*Index!BV167/unit</f>
        <v>0</v>
      </c>
      <c r="BX74" s="75">
        <f>$I74*$K74*py*Index!BW26*Index!BW167/unit</f>
        <v>0</v>
      </c>
      <c r="BY74" s="75">
        <f>$I74*$K74*py*Index!BX26*Index!BX167/unit</f>
        <v>0</v>
      </c>
      <c r="BZ74" s="75">
        <f>$I74*$K74*py*Index!BY26*Index!BY167/unit</f>
        <v>0</v>
      </c>
      <c r="CA74" s="75">
        <f>$I74*$K74*py*Index!BZ26*Index!BZ167/unit</f>
        <v>0</v>
      </c>
      <c r="CB74" s="75">
        <f>$I74*$K74*py*Index!CA26*Index!CA167/unit</f>
        <v>0</v>
      </c>
      <c r="CC74" s="75">
        <f>$I74*$K74*py*Index!CB26*Index!CB167/unit</f>
        <v>0</v>
      </c>
      <c r="CD74" s="75">
        <f>$I74*$K74*py*Index!CC26*Index!CC167/unit</f>
        <v>0</v>
      </c>
      <c r="CE74" s="75">
        <f>$I74*$K74*py*Index!CD26*Index!CD167/unit</f>
        <v>0</v>
      </c>
      <c r="CF74" s="75">
        <f>$I74*$K74*py*Index!CE26*Index!CE167/unit</f>
        <v>0</v>
      </c>
      <c r="CG74" s="75">
        <f>$I74*$K74*py*Index!CF26*Index!CF167/unit</f>
        <v>0</v>
      </c>
      <c r="CH74" s="75">
        <f>$I74*$K74*py*Index!CG26*Index!CG167/unit</f>
        <v>0</v>
      </c>
      <c r="CI74" s="75">
        <f>$I74*$K74*py*Index!CH26*Index!CH167/unit</f>
        <v>0</v>
      </c>
      <c r="CJ74" s="75">
        <f>$I74*$K74*py*Index!CI26*Index!CI167/unit</f>
        <v>0</v>
      </c>
      <c r="CK74" s="75">
        <f>$I74*$K74*py*Index!CJ26*Index!CJ167/unit</f>
        <v>0</v>
      </c>
      <c r="CL74" s="75">
        <f>$I74*$K74*py*Index!CK26*Index!CK167/unit</f>
        <v>0</v>
      </c>
      <c r="CM74" s="75">
        <f>$I74*$K74*py*Index!CL26*Index!CL167/unit</f>
        <v>0</v>
      </c>
      <c r="CN74" s="75">
        <f>$I74*$K74*py*Index!CM26*Index!CM167/unit</f>
        <v>0</v>
      </c>
      <c r="CO74" s="75">
        <f>$I74*$K74*py*Index!CN26*Index!CN167/unit</f>
        <v>0</v>
      </c>
      <c r="CP74" s="75">
        <f>$I74*$K74*py*Index!CO26*Index!CO167/unit</f>
        <v>0</v>
      </c>
      <c r="CQ74" s="75">
        <f>$I74*$K74*py*Index!CP26*Index!CP167/unit</f>
        <v>0</v>
      </c>
      <c r="CR74" s="75">
        <f>$I74*$K74*py*Index!CQ26*Index!CQ167/unit</f>
        <v>0</v>
      </c>
      <c r="CS74" s="75">
        <f>$I74*$K74*py*Index!CR26*Index!CR167/unit</f>
        <v>0</v>
      </c>
      <c r="CT74" s="75">
        <f>$I74*$K74*py*Index!CS26*Index!CS167/unit</f>
        <v>0</v>
      </c>
      <c r="CU74" s="75">
        <f>$I74*$K74*py*Index!CT26*Index!CT167/unit</f>
        <v>0</v>
      </c>
      <c r="CV74" s="75">
        <f>$I74*$K74*py*Index!CU26*Index!CU167/unit</f>
        <v>0</v>
      </c>
      <c r="CW74" s="75">
        <f>$I74*$K74*py*Index!CV26*Index!CV167/unit</f>
        <v>0</v>
      </c>
      <c r="CX74" s="75">
        <f>$I74*$K74*py*Index!CW26*Index!CW167/unit</f>
        <v>0</v>
      </c>
      <c r="CY74" s="75">
        <f>$I74*$K74*py*Index!CX26*Index!CX167/unit</f>
        <v>0</v>
      </c>
      <c r="CZ74" s="75">
        <f>$I74*$K74*py*Index!CY26*Index!CY167/unit</f>
        <v>0</v>
      </c>
      <c r="DA74" s="75">
        <f>$I74*$K74*py*Index!CZ26*Index!CZ167/unit</f>
        <v>0</v>
      </c>
      <c r="DB74" s="75">
        <f>$I74*$K74*py*Index!DA26*Index!DA167/unit</f>
        <v>0</v>
      </c>
      <c r="DC74" s="75">
        <f>$I74*$K74*py*Index!DB26*Index!DB167/unit</f>
        <v>0</v>
      </c>
      <c r="DD74" s="75">
        <f>$I74*$K74*py*Index!DC26*Index!DC167/unit</f>
        <v>0</v>
      </c>
      <c r="DE74" s="75">
        <f>$I74*$K74*py*Index!DD26*Index!DD167/unit</f>
        <v>0</v>
      </c>
      <c r="DF74" s="75">
        <f>$I74*$K74*py*Index!DE26*Index!DE167/unit</f>
        <v>0</v>
      </c>
      <c r="DG74" s="75">
        <f>$I74*$K74*py*Index!DF26*Index!DF167/unit</f>
        <v>0</v>
      </c>
      <c r="DH74" s="75">
        <f>$I74*$K74*py*Index!DG26*Index!DG167/unit</f>
        <v>0</v>
      </c>
      <c r="DI74" s="75">
        <f>$I74*$K74*py*Index!DH26*Index!DH167/unit</f>
        <v>0</v>
      </c>
      <c r="DJ74" s="75">
        <f>$I74*$K74*py*Index!DI26*Index!DI167/unit</f>
        <v>0</v>
      </c>
      <c r="DK74" s="75">
        <f>$I74*$K74*py*Index!DJ26*Index!DJ167/unit</f>
        <v>0</v>
      </c>
      <c r="DL74" s="75">
        <f>$I74*$K74*py*Index!DK26*Index!DK167/unit</f>
        <v>0</v>
      </c>
      <c r="DM74" s="75">
        <f>$I74*$K74*py*Index!DL26*Index!DL167/unit</f>
        <v>0</v>
      </c>
    </row>
    <row r="75" spans="2:117">
      <c r="B75" s="27">
        <f>Rentroll!$C$19</f>
        <v>9</v>
      </c>
      <c r="C75" s="69" t="str">
        <f>VLOOKUP($B75,Rentroll!$C$11:$X$29,3,FALSE)</f>
        <v>노벰버 건설</v>
      </c>
      <c r="D75" s="80">
        <f>VLOOKUP($B75,Rentroll!$C$11:$X$29,9,FALSE)</f>
        <v>45077</v>
      </c>
      <c r="E75" s="80">
        <f>VLOOKUP($B75,Rentroll!$C$11:$X$29,10,FALSE)</f>
        <v>46903</v>
      </c>
      <c r="F75" s="81">
        <f>VLOOKUP($B75,Rentroll!$C$11:$X$29,11,FALSE)</f>
        <v>60</v>
      </c>
      <c r="G75" s="69">
        <f>VLOOKUP($B75,Rentroll!$C$11:$X$29,13,FALSE)</f>
        <v>103000</v>
      </c>
      <c r="H75" s="69">
        <f>VLOOKUP($B75,Rentroll!$C$11:$X$29,14,FALSE)</f>
        <v>85833.333333333328</v>
      </c>
      <c r="I75" s="69">
        <f>VLOOKUP($B75,Rentroll!$C$11:$X$29,15,FALSE)</f>
        <v>46350</v>
      </c>
      <c r="J75" s="82">
        <f>VLOOKUP($B75,Rentroll!$C$11:$X$29,19,FALSE)</f>
        <v>0.03</v>
      </c>
      <c r="K75" s="83">
        <f>VLOOKUP($B75,Rentroll!$C$11:$X$29,4,FALSE)</f>
        <v>1385.09</v>
      </c>
      <c r="L75" s="81">
        <f>VLOOKUP($B75,Rentroll!$C$11:$X$29,17,FALSE)</f>
        <v>0</v>
      </c>
      <c r="M75" s="84">
        <f>VLOOKUP($B75,Rentroll!$C$11:$X$29,18,FALSE)</f>
        <v>2</v>
      </c>
      <c r="O75" s="74">
        <f t="shared" si="216"/>
        <v>9</v>
      </c>
      <c r="P75" s="75"/>
      <c r="Q75" s="75">
        <f t="shared" si="215"/>
        <v>819.59976910055786</v>
      </c>
      <c r="R75" s="75"/>
      <c r="S75" s="75">
        <f>$I75*$K75*py*Index!R27*Index!R168/unit</f>
        <v>0</v>
      </c>
      <c r="T75" s="75">
        <f>$I75*$K75*py*Index!S27*Index!S168/unit</f>
        <v>19.420173753749996</v>
      </c>
      <c r="U75" s="75">
        <f>$I75*$K75*py*Index!T27*Index!T168/unit</f>
        <v>19.420173753749996</v>
      </c>
      <c r="V75" s="75">
        <f>$I75*$K75*py*Index!U27*Index!U168/unit</f>
        <v>19.420173753749996</v>
      </c>
      <c r="W75" s="75">
        <f>$I75*$K75*py*Index!V27*Index!V168/unit</f>
        <v>19.420173753749996</v>
      </c>
      <c r="X75" s="75">
        <f>$I75*$K75*py*Index!W27*Index!W168/unit</f>
        <v>20.002778966362495</v>
      </c>
      <c r="Y75" s="75">
        <f>$I75*$K75*py*Index!X27*Index!X168/unit</f>
        <v>20.002778966362495</v>
      </c>
      <c r="Z75" s="75">
        <f>$I75*$K75*py*Index!Y27*Index!Y168/unit</f>
        <v>20.002778966362495</v>
      </c>
      <c r="AA75" s="75">
        <f>$I75*$K75*py*Index!Z27*Index!Z168/unit</f>
        <v>20.002778966362495</v>
      </c>
      <c r="AB75" s="75">
        <f>$I75*$K75*py*Index!AA27*Index!AA168/unit</f>
        <v>20.002778966362495</v>
      </c>
      <c r="AC75" s="75">
        <f>$I75*$K75*py*Index!AB27*Index!AB168/unit</f>
        <v>20.002778966362495</v>
      </c>
      <c r="AD75" s="75">
        <f>$I75*$K75*py*Index!AC27*Index!AC168/unit</f>
        <v>20.002778966362495</v>
      </c>
      <c r="AE75" s="75">
        <f>$I75*$K75*py*Index!AD27*Index!AD168/unit</f>
        <v>20.002778966362495</v>
      </c>
      <c r="AF75" s="75">
        <f>$I75*$K75*py*Index!AE27*Index!AE168/unit</f>
        <v>20.002778966362495</v>
      </c>
      <c r="AG75" s="75">
        <f>$I75*$K75*py*Index!AF27*Index!AF168/unit</f>
        <v>20.002778966362495</v>
      </c>
      <c r="AH75" s="75">
        <f>$I75*$K75*py*Index!AG27*Index!AG168/unit</f>
        <v>20.002778966362495</v>
      </c>
      <c r="AI75" s="75">
        <f>$I75*$K75*py*Index!AH27*Index!AH168/unit</f>
        <v>20.002778966362495</v>
      </c>
      <c r="AJ75" s="75">
        <f>$I75*$K75*py*Index!AI27*Index!AI168/unit</f>
        <v>20.602862335353372</v>
      </c>
      <c r="AK75" s="75">
        <f>$I75*$K75*py*Index!AJ27*Index!AJ168/unit</f>
        <v>20.602862335353372</v>
      </c>
      <c r="AL75" s="75">
        <f>$I75*$K75*py*Index!AK27*Index!AK168/unit</f>
        <v>20.602862335353372</v>
      </c>
      <c r="AM75" s="75">
        <f>$I75*$K75*py*Index!AL27*Index!AL168/unit</f>
        <v>20.602862335353372</v>
      </c>
      <c r="AN75" s="75">
        <f>$I75*$K75*py*Index!AM27*Index!AM168/unit</f>
        <v>20.602862335353372</v>
      </c>
      <c r="AO75" s="75">
        <f>$I75*$K75*py*Index!AN27*Index!AN168/unit</f>
        <v>20.602862335353372</v>
      </c>
      <c r="AP75" s="75">
        <f>$I75*$K75*py*Index!AO27*Index!AO168/unit</f>
        <v>20.602862335353372</v>
      </c>
      <c r="AQ75" s="75">
        <f>$I75*$K75*py*Index!AP27*Index!AP168/unit</f>
        <v>20.602862335353372</v>
      </c>
      <c r="AR75" s="75">
        <f>$I75*$K75*py*Index!AQ27*Index!AQ168/unit</f>
        <v>20.602862335353372</v>
      </c>
      <c r="AS75" s="75">
        <f>$I75*$K75*py*Index!AR27*Index!AR168/unit</f>
        <v>20.602862335353372</v>
      </c>
      <c r="AT75" s="75">
        <f>$I75*$K75*py*Index!AS27*Index!AS168/unit</f>
        <v>20.602862335353372</v>
      </c>
      <c r="AU75" s="75">
        <f>$I75*$K75*py*Index!AT27*Index!AT168/unit</f>
        <v>20.602862335353372</v>
      </c>
      <c r="AV75" s="75">
        <f>$I75*$K75*py*Index!AU27*Index!AU168/unit</f>
        <v>21.220948205413972</v>
      </c>
      <c r="AW75" s="75">
        <f>$I75*$K75*py*Index!AV27*Index!AV168/unit</f>
        <v>21.220948205413972</v>
      </c>
      <c r="AX75" s="75">
        <f>$I75*$K75*py*Index!AW27*Index!AW168/unit</f>
        <v>21.220948205413972</v>
      </c>
      <c r="AY75" s="75">
        <f>$I75*$K75*py*Index!AX27*Index!AX168/unit</f>
        <v>21.220948205413972</v>
      </c>
      <c r="AZ75" s="75">
        <f>$I75*$K75*py*Index!AY27*Index!AY168/unit</f>
        <v>21.220948205413972</v>
      </c>
      <c r="BA75" s="75">
        <f>$I75*$K75*py*Index!AZ27*Index!AZ168/unit</f>
        <v>21.220948205413972</v>
      </c>
      <c r="BB75" s="75">
        <f>$I75*$K75*py*Index!BA27*Index!BA168/unit</f>
        <v>21.220948205413972</v>
      </c>
      <c r="BC75" s="75">
        <f>$I75*$K75*py*Index!BB27*Index!BB168/unit</f>
        <v>21.220948205413972</v>
      </c>
      <c r="BD75" s="75">
        <f>$I75*$K75*py*Index!BC27*Index!BC168/unit</f>
        <v>21.220948205413972</v>
      </c>
      <c r="BE75" s="75">
        <f>$I75*$K75*py*Index!BD27*Index!BD168/unit</f>
        <v>21.220948205413972</v>
      </c>
      <c r="BF75" s="75">
        <f>$I75*$K75*py*Index!BE27*Index!BE168/unit</f>
        <v>21.220948205413972</v>
      </c>
      <c r="BG75" s="75">
        <f>$I75*$K75*py*Index!BF27*Index!BF168/unit</f>
        <v>21.220948205413972</v>
      </c>
      <c r="BH75" s="75">
        <f>$I75*$K75*py*Index!BG27*Index!BG168/unit</f>
        <v>0</v>
      </c>
      <c r="BI75" s="75">
        <f>$I75*$K75*py*Index!BH27*Index!BH168/unit</f>
        <v>0</v>
      </c>
      <c r="BJ75" s="75">
        <f>$I75*$K75*py*Index!BI27*Index!BI168/unit</f>
        <v>0</v>
      </c>
      <c r="BK75" s="75">
        <f>$I75*$K75*py*Index!BJ27*Index!BJ168/unit</f>
        <v>0</v>
      </c>
      <c r="BL75" s="75">
        <f>$I75*$K75*py*Index!BK27*Index!BK168/unit</f>
        <v>0</v>
      </c>
      <c r="BM75" s="75">
        <f>$I75*$K75*py*Index!BL27*Index!BL168/unit</f>
        <v>0</v>
      </c>
      <c r="BN75" s="75">
        <f>$I75*$K75*py*Index!BM27*Index!BM168/unit</f>
        <v>0</v>
      </c>
      <c r="BO75" s="75">
        <f>$I75*$K75*py*Index!BN27*Index!BN168/unit</f>
        <v>0</v>
      </c>
      <c r="BP75" s="75">
        <f>$I75*$K75*py*Index!BO27*Index!BO168/unit</f>
        <v>0</v>
      </c>
      <c r="BQ75" s="75">
        <f>$I75*$K75*py*Index!BP27*Index!BP168/unit</f>
        <v>0</v>
      </c>
      <c r="BR75" s="75">
        <f>$I75*$K75*py*Index!BQ27*Index!BQ168/unit</f>
        <v>0</v>
      </c>
      <c r="BS75" s="75">
        <f>$I75*$K75*py*Index!BR27*Index!BR168/unit</f>
        <v>0</v>
      </c>
      <c r="BT75" s="75">
        <f>$I75*$K75*py*Index!BS27*Index!BS168/unit</f>
        <v>0</v>
      </c>
      <c r="BU75" s="75">
        <f>$I75*$K75*py*Index!BT27*Index!BT168/unit</f>
        <v>0</v>
      </c>
      <c r="BV75" s="75">
        <f>$I75*$K75*py*Index!BU27*Index!BU168/unit</f>
        <v>0</v>
      </c>
      <c r="BW75" s="75">
        <f>$I75*$K75*py*Index!BV27*Index!BV168/unit</f>
        <v>0</v>
      </c>
      <c r="BX75" s="75">
        <f>$I75*$K75*py*Index!BW27*Index!BW168/unit</f>
        <v>0</v>
      </c>
      <c r="BY75" s="75">
        <f>$I75*$K75*py*Index!BX27*Index!BX168/unit</f>
        <v>0</v>
      </c>
      <c r="BZ75" s="75">
        <f>$I75*$K75*py*Index!BY27*Index!BY168/unit</f>
        <v>0</v>
      </c>
      <c r="CA75" s="75">
        <f>$I75*$K75*py*Index!BZ27*Index!BZ168/unit</f>
        <v>0</v>
      </c>
      <c r="CB75" s="75">
        <f>$I75*$K75*py*Index!CA27*Index!CA168/unit</f>
        <v>0</v>
      </c>
      <c r="CC75" s="75">
        <f>$I75*$K75*py*Index!CB27*Index!CB168/unit</f>
        <v>0</v>
      </c>
      <c r="CD75" s="75">
        <f>$I75*$K75*py*Index!CC27*Index!CC168/unit</f>
        <v>0</v>
      </c>
      <c r="CE75" s="75">
        <f>$I75*$K75*py*Index!CD27*Index!CD168/unit</f>
        <v>0</v>
      </c>
      <c r="CF75" s="75">
        <f>$I75*$K75*py*Index!CE27*Index!CE168/unit</f>
        <v>0</v>
      </c>
      <c r="CG75" s="75">
        <f>$I75*$K75*py*Index!CF27*Index!CF168/unit</f>
        <v>0</v>
      </c>
      <c r="CH75" s="75">
        <f>$I75*$K75*py*Index!CG27*Index!CG168/unit</f>
        <v>0</v>
      </c>
      <c r="CI75" s="75">
        <f>$I75*$K75*py*Index!CH27*Index!CH168/unit</f>
        <v>0</v>
      </c>
      <c r="CJ75" s="75">
        <f>$I75*$K75*py*Index!CI27*Index!CI168/unit</f>
        <v>0</v>
      </c>
      <c r="CK75" s="75">
        <f>$I75*$K75*py*Index!CJ27*Index!CJ168/unit</f>
        <v>0</v>
      </c>
      <c r="CL75" s="75">
        <f>$I75*$K75*py*Index!CK27*Index!CK168/unit</f>
        <v>0</v>
      </c>
      <c r="CM75" s="75">
        <f>$I75*$K75*py*Index!CL27*Index!CL168/unit</f>
        <v>0</v>
      </c>
      <c r="CN75" s="75">
        <f>$I75*$K75*py*Index!CM27*Index!CM168/unit</f>
        <v>0</v>
      </c>
      <c r="CO75" s="75">
        <f>$I75*$K75*py*Index!CN27*Index!CN168/unit</f>
        <v>0</v>
      </c>
      <c r="CP75" s="75">
        <f>$I75*$K75*py*Index!CO27*Index!CO168/unit</f>
        <v>0</v>
      </c>
      <c r="CQ75" s="75">
        <f>$I75*$K75*py*Index!CP27*Index!CP168/unit</f>
        <v>0</v>
      </c>
      <c r="CR75" s="75">
        <f>$I75*$K75*py*Index!CQ27*Index!CQ168/unit</f>
        <v>0</v>
      </c>
      <c r="CS75" s="75">
        <f>$I75*$K75*py*Index!CR27*Index!CR168/unit</f>
        <v>0</v>
      </c>
      <c r="CT75" s="75">
        <f>$I75*$K75*py*Index!CS27*Index!CS168/unit</f>
        <v>0</v>
      </c>
      <c r="CU75" s="75">
        <f>$I75*$K75*py*Index!CT27*Index!CT168/unit</f>
        <v>0</v>
      </c>
      <c r="CV75" s="75">
        <f>$I75*$K75*py*Index!CU27*Index!CU168/unit</f>
        <v>0</v>
      </c>
      <c r="CW75" s="75">
        <f>$I75*$K75*py*Index!CV27*Index!CV168/unit</f>
        <v>0</v>
      </c>
      <c r="CX75" s="75">
        <f>$I75*$K75*py*Index!CW27*Index!CW168/unit</f>
        <v>0</v>
      </c>
      <c r="CY75" s="75">
        <f>$I75*$K75*py*Index!CX27*Index!CX168/unit</f>
        <v>0</v>
      </c>
      <c r="CZ75" s="75">
        <f>$I75*$K75*py*Index!CY27*Index!CY168/unit</f>
        <v>0</v>
      </c>
      <c r="DA75" s="75">
        <f>$I75*$K75*py*Index!CZ27*Index!CZ168/unit</f>
        <v>0</v>
      </c>
      <c r="DB75" s="75">
        <f>$I75*$K75*py*Index!DA27*Index!DA168/unit</f>
        <v>0</v>
      </c>
      <c r="DC75" s="75">
        <f>$I75*$K75*py*Index!DB27*Index!DB168/unit</f>
        <v>0</v>
      </c>
      <c r="DD75" s="75">
        <f>$I75*$K75*py*Index!DC27*Index!DC168/unit</f>
        <v>0</v>
      </c>
      <c r="DE75" s="75">
        <f>$I75*$K75*py*Index!DD27*Index!DD168/unit</f>
        <v>0</v>
      </c>
      <c r="DF75" s="75">
        <f>$I75*$K75*py*Index!DE27*Index!DE168/unit</f>
        <v>0</v>
      </c>
      <c r="DG75" s="75">
        <f>$I75*$K75*py*Index!DF27*Index!DF168/unit</f>
        <v>0</v>
      </c>
      <c r="DH75" s="75">
        <f>$I75*$K75*py*Index!DG27*Index!DG168/unit</f>
        <v>0</v>
      </c>
      <c r="DI75" s="75">
        <f>$I75*$K75*py*Index!DH27*Index!DH168/unit</f>
        <v>0</v>
      </c>
      <c r="DJ75" s="75">
        <f>$I75*$K75*py*Index!DI27*Index!DI168/unit</f>
        <v>0</v>
      </c>
      <c r="DK75" s="75">
        <f>$I75*$K75*py*Index!DJ27*Index!DJ168/unit</f>
        <v>0</v>
      </c>
      <c r="DL75" s="75">
        <f>$I75*$K75*py*Index!DK27*Index!DK168/unit</f>
        <v>0</v>
      </c>
      <c r="DM75" s="75">
        <f>$I75*$K75*py*Index!DL27*Index!DL168/unit</f>
        <v>0</v>
      </c>
    </row>
    <row r="76" spans="2:117">
      <c r="B76" s="27">
        <f>Rentroll!$C$20</f>
        <v>8</v>
      </c>
      <c r="C76" s="69" t="str">
        <f>VLOOKUP($B76,Rentroll!$C$11:$X$29,3,FALSE)</f>
        <v>오토 커머셜</v>
      </c>
      <c r="D76" s="80">
        <f>VLOOKUP($B76,Rentroll!$C$11:$X$29,9,FALSE)</f>
        <v>44651</v>
      </c>
      <c r="E76" s="80">
        <f>VLOOKUP($B76,Rentroll!$C$11:$X$29,10,FALSE)</f>
        <v>46476</v>
      </c>
      <c r="F76" s="81">
        <f>VLOOKUP($B76,Rentroll!$C$11:$X$29,11,FALSE)</f>
        <v>60</v>
      </c>
      <c r="G76" s="69">
        <f>VLOOKUP($B76,Rentroll!$C$11:$X$29,13,FALSE)</f>
        <v>95481</v>
      </c>
      <c r="H76" s="69">
        <f>VLOOKUP($B76,Rentroll!$C$11:$X$29,14,FALSE)</f>
        <v>87524.25</v>
      </c>
      <c r="I76" s="69">
        <f>VLOOKUP($B76,Rentroll!$C$11:$X$29,15,FALSE)</f>
        <v>42436</v>
      </c>
      <c r="J76" s="82">
        <f>VLOOKUP($B76,Rentroll!$C$11:$X$29,19,FALSE)</f>
        <v>0.03</v>
      </c>
      <c r="K76" s="83">
        <f>VLOOKUP($B76,Rentroll!$C$11:$X$29,4,FALSE)</f>
        <v>1385.09</v>
      </c>
      <c r="L76" s="81">
        <f>VLOOKUP($B76,Rentroll!$C$11:$X$29,17,FALSE)</f>
        <v>0</v>
      </c>
      <c r="M76" s="84">
        <f>VLOOKUP($B76,Rentroll!$C$11:$X$29,18,FALSE)</f>
        <v>1</v>
      </c>
      <c r="O76" s="74">
        <f t="shared" si="216"/>
        <v>8</v>
      </c>
      <c r="P76" s="75"/>
      <c r="Q76" s="75">
        <f t="shared" si="215"/>
        <v>481.68114170838481</v>
      </c>
      <c r="R76" s="75"/>
      <c r="S76" s="75">
        <f>$I76*$K76*py*Index!R28*Index!R169/unit</f>
        <v>0</v>
      </c>
      <c r="T76" s="75">
        <f>$I76*$K76*py*Index!S28*Index!S169/unit</f>
        <v>17.780247970099996</v>
      </c>
      <c r="U76" s="75">
        <f>$I76*$K76*py*Index!T28*Index!T169/unit</f>
        <v>17.780247970099996</v>
      </c>
      <c r="V76" s="75">
        <f>$I76*$K76*py*Index!U28*Index!U169/unit</f>
        <v>18.313655409202998</v>
      </c>
      <c r="W76" s="75">
        <f>$I76*$K76*py*Index!V28*Index!V169/unit</f>
        <v>18.313655409202998</v>
      </c>
      <c r="X76" s="75">
        <f>$I76*$K76*py*Index!W28*Index!W169/unit</f>
        <v>18.313655409202998</v>
      </c>
      <c r="Y76" s="75">
        <f>$I76*$K76*py*Index!X28*Index!X169/unit</f>
        <v>18.313655409202998</v>
      </c>
      <c r="Z76" s="75">
        <f>$I76*$K76*py*Index!Y28*Index!Y169/unit</f>
        <v>18.313655409202998</v>
      </c>
      <c r="AA76" s="75">
        <f>$I76*$K76*py*Index!Z28*Index!Z169/unit</f>
        <v>18.313655409202998</v>
      </c>
      <c r="AB76" s="75">
        <f>$I76*$K76*py*Index!AA28*Index!AA169/unit</f>
        <v>18.313655409202998</v>
      </c>
      <c r="AC76" s="75">
        <f>$I76*$K76*py*Index!AB28*Index!AB169/unit</f>
        <v>18.313655409202998</v>
      </c>
      <c r="AD76" s="75">
        <f>$I76*$K76*py*Index!AC28*Index!AC169/unit</f>
        <v>18.313655409202998</v>
      </c>
      <c r="AE76" s="75">
        <f>$I76*$K76*py*Index!AD28*Index!AD169/unit</f>
        <v>18.313655409202998</v>
      </c>
      <c r="AF76" s="75">
        <f>$I76*$K76*py*Index!AE28*Index!AE169/unit</f>
        <v>18.313655409202998</v>
      </c>
      <c r="AG76" s="75">
        <f>$I76*$K76*py*Index!AF28*Index!AF169/unit</f>
        <v>18.313655409202998</v>
      </c>
      <c r="AH76" s="75">
        <f>$I76*$K76*py*Index!AG28*Index!AG169/unit</f>
        <v>18.863065071479085</v>
      </c>
      <c r="AI76" s="75">
        <f>$I76*$K76*py*Index!AH28*Index!AH169/unit</f>
        <v>18.863065071479085</v>
      </c>
      <c r="AJ76" s="75">
        <f>$I76*$K76*py*Index!AI28*Index!AI169/unit</f>
        <v>18.863065071479085</v>
      </c>
      <c r="AK76" s="75">
        <f>$I76*$K76*py*Index!AJ28*Index!AJ169/unit</f>
        <v>18.863065071479085</v>
      </c>
      <c r="AL76" s="75">
        <f>$I76*$K76*py*Index!AK28*Index!AK169/unit</f>
        <v>18.863065071479085</v>
      </c>
      <c r="AM76" s="75">
        <f>$I76*$K76*py*Index!AL28*Index!AL169/unit</f>
        <v>18.863065071479085</v>
      </c>
      <c r="AN76" s="75">
        <f>$I76*$K76*py*Index!AM28*Index!AM169/unit</f>
        <v>18.863065071479085</v>
      </c>
      <c r="AO76" s="75">
        <f>$I76*$K76*py*Index!AN28*Index!AN169/unit</f>
        <v>18.863065071479085</v>
      </c>
      <c r="AP76" s="75">
        <f>$I76*$K76*py*Index!AO28*Index!AO169/unit</f>
        <v>18.863065071479085</v>
      </c>
      <c r="AQ76" s="75">
        <f>$I76*$K76*py*Index!AP28*Index!AP169/unit</f>
        <v>18.863065071479085</v>
      </c>
      <c r="AR76" s="75">
        <f>$I76*$K76*py*Index!AQ28*Index!AQ169/unit</f>
        <v>18.863065071479085</v>
      </c>
      <c r="AS76" s="75">
        <f>$I76*$K76*py*Index!AR28*Index!AR169/unit</f>
        <v>18.863065071479085</v>
      </c>
      <c r="AT76" s="75">
        <f>$I76*$K76*py*Index!AS28*Index!AS169/unit</f>
        <v>0</v>
      </c>
      <c r="AU76" s="75">
        <f>$I76*$K76*py*Index!AT28*Index!AT169/unit</f>
        <v>0</v>
      </c>
      <c r="AV76" s="75">
        <f>$I76*$K76*py*Index!AU28*Index!AU169/unit</f>
        <v>0</v>
      </c>
      <c r="AW76" s="75">
        <f>$I76*$K76*py*Index!AV28*Index!AV169/unit</f>
        <v>0</v>
      </c>
      <c r="AX76" s="75">
        <f>$I76*$K76*py*Index!AW28*Index!AW169/unit</f>
        <v>0</v>
      </c>
      <c r="AY76" s="75">
        <f>$I76*$K76*py*Index!AX28*Index!AX169/unit</f>
        <v>0</v>
      </c>
      <c r="AZ76" s="75">
        <f>$I76*$K76*py*Index!AY28*Index!AY169/unit</f>
        <v>0</v>
      </c>
      <c r="BA76" s="75">
        <f>$I76*$K76*py*Index!AZ28*Index!AZ169/unit</f>
        <v>0</v>
      </c>
      <c r="BB76" s="75">
        <f>$I76*$K76*py*Index!BA28*Index!BA169/unit</f>
        <v>0</v>
      </c>
      <c r="BC76" s="75">
        <f>$I76*$K76*py*Index!BB28*Index!BB169/unit</f>
        <v>0</v>
      </c>
      <c r="BD76" s="75">
        <f>$I76*$K76*py*Index!BC28*Index!BC169/unit</f>
        <v>0</v>
      </c>
      <c r="BE76" s="75">
        <f>$I76*$K76*py*Index!BD28*Index!BD169/unit</f>
        <v>0</v>
      </c>
      <c r="BF76" s="75">
        <f>$I76*$K76*py*Index!BE28*Index!BE169/unit</f>
        <v>0</v>
      </c>
      <c r="BG76" s="75">
        <f>$I76*$K76*py*Index!BF28*Index!BF169/unit</f>
        <v>0</v>
      </c>
      <c r="BH76" s="75">
        <f>$I76*$K76*py*Index!BG28*Index!BG169/unit</f>
        <v>0</v>
      </c>
      <c r="BI76" s="75">
        <f>$I76*$K76*py*Index!BH28*Index!BH169/unit</f>
        <v>0</v>
      </c>
      <c r="BJ76" s="75">
        <f>$I76*$K76*py*Index!BI28*Index!BI169/unit</f>
        <v>0</v>
      </c>
      <c r="BK76" s="75">
        <f>$I76*$K76*py*Index!BJ28*Index!BJ169/unit</f>
        <v>0</v>
      </c>
      <c r="BL76" s="75">
        <f>$I76*$K76*py*Index!BK28*Index!BK169/unit</f>
        <v>0</v>
      </c>
      <c r="BM76" s="75">
        <f>$I76*$K76*py*Index!BL28*Index!BL169/unit</f>
        <v>0</v>
      </c>
      <c r="BN76" s="75">
        <f>$I76*$K76*py*Index!BM28*Index!BM169/unit</f>
        <v>0</v>
      </c>
      <c r="BO76" s="75">
        <f>$I76*$K76*py*Index!BN28*Index!BN169/unit</f>
        <v>0</v>
      </c>
      <c r="BP76" s="75">
        <f>$I76*$K76*py*Index!BO28*Index!BO169/unit</f>
        <v>0</v>
      </c>
      <c r="BQ76" s="75">
        <f>$I76*$K76*py*Index!BP28*Index!BP169/unit</f>
        <v>0</v>
      </c>
      <c r="BR76" s="75">
        <f>$I76*$K76*py*Index!BQ28*Index!BQ169/unit</f>
        <v>0</v>
      </c>
      <c r="BS76" s="75">
        <f>$I76*$K76*py*Index!BR28*Index!BR169/unit</f>
        <v>0</v>
      </c>
      <c r="BT76" s="75">
        <f>$I76*$K76*py*Index!BS28*Index!BS169/unit</f>
        <v>0</v>
      </c>
      <c r="BU76" s="75">
        <f>$I76*$K76*py*Index!BT28*Index!BT169/unit</f>
        <v>0</v>
      </c>
      <c r="BV76" s="75">
        <f>$I76*$K76*py*Index!BU28*Index!BU169/unit</f>
        <v>0</v>
      </c>
      <c r="BW76" s="75">
        <f>$I76*$K76*py*Index!BV28*Index!BV169/unit</f>
        <v>0</v>
      </c>
      <c r="BX76" s="75">
        <f>$I76*$K76*py*Index!BW28*Index!BW169/unit</f>
        <v>0</v>
      </c>
      <c r="BY76" s="75">
        <f>$I76*$K76*py*Index!BX28*Index!BX169/unit</f>
        <v>0</v>
      </c>
      <c r="BZ76" s="75">
        <f>$I76*$K76*py*Index!BY28*Index!BY169/unit</f>
        <v>0</v>
      </c>
      <c r="CA76" s="75">
        <f>$I76*$K76*py*Index!BZ28*Index!BZ169/unit</f>
        <v>0</v>
      </c>
      <c r="CB76" s="75">
        <f>$I76*$K76*py*Index!CA28*Index!CA169/unit</f>
        <v>0</v>
      </c>
      <c r="CC76" s="75">
        <f>$I76*$K76*py*Index!CB28*Index!CB169/unit</f>
        <v>0</v>
      </c>
      <c r="CD76" s="75">
        <f>$I76*$K76*py*Index!CC28*Index!CC169/unit</f>
        <v>0</v>
      </c>
      <c r="CE76" s="75">
        <f>$I76*$K76*py*Index!CD28*Index!CD169/unit</f>
        <v>0</v>
      </c>
      <c r="CF76" s="75">
        <f>$I76*$K76*py*Index!CE28*Index!CE169/unit</f>
        <v>0</v>
      </c>
      <c r="CG76" s="75">
        <f>$I76*$K76*py*Index!CF28*Index!CF169/unit</f>
        <v>0</v>
      </c>
      <c r="CH76" s="75">
        <f>$I76*$K76*py*Index!CG28*Index!CG169/unit</f>
        <v>0</v>
      </c>
      <c r="CI76" s="75">
        <f>$I76*$K76*py*Index!CH28*Index!CH169/unit</f>
        <v>0</v>
      </c>
      <c r="CJ76" s="75">
        <f>$I76*$K76*py*Index!CI28*Index!CI169/unit</f>
        <v>0</v>
      </c>
      <c r="CK76" s="75">
        <f>$I76*$K76*py*Index!CJ28*Index!CJ169/unit</f>
        <v>0</v>
      </c>
      <c r="CL76" s="75">
        <f>$I76*$K76*py*Index!CK28*Index!CK169/unit</f>
        <v>0</v>
      </c>
      <c r="CM76" s="75">
        <f>$I76*$K76*py*Index!CL28*Index!CL169/unit</f>
        <v>0</v>
      </c>
      <c r="CN76" s="75">
        <f>$I76*$K76*py*Index!CM28*Index!CM169/unit</f>
        <v>0</v>
      </c>
      <c r="CO76" s="75">
        <f>$I76*$K76*py*Index!CN28*Index!CN169/unit</f>
        <v>0</v>
      </c>
      <c r="CP76" s="75">
        <f>$I76*$K76*py*Index!CO28*Index!CO169/unit</f>
        <v>0</v>
      </c>
      <c r="CQ76" s="75">
        <f>$I76*$K76*py*Index!CP28*Index!CP169/unit</f>
        <v>0</v>
      </c>
      <c r="CR76" s="75">
        <f>$I76*$K76*py*Index!CQ28*Index!CQ169/unit</f>
        <v>0</v>
      </c>
      <c r="CS76" s="75">
        <f>$I76*$K76*py*Index!CR28*Index!CR169/unit</f>
        <v>0</v>
      </c>
      <c r="CT76" s="75">
        <f>$I76*$K76*py*Index!CS28*Index!CS169/unit</f>
        <v>0</v>
      </c>
      <c r="CU76" s="75">
        <f>$I76*$K76*py*Index!CT28*Index!CT169/unit</f>
        <v>0</v>
      </c>
      <c r="CV76" s="75">
        <f>$I76*$K76*py*Index!CU28*Index!CU169/unit</f>
        <v>0</v>
      </c>
      <c r="CW76" s="75">
        <f>$I76*$K76*py*Index!CV28*Index!CV169/unit</f>
        <v>0</v>
      </c>
      <c r="CX76" s="75">
        <f>$I76*$K76*py*Index!CW28*Index!CW169/unit</f>
        <v>0</v>
      </c>
      <c r="CY76" s="75">
        <f>$I76*$K76*py*Index!CX28*Index!CX169/unit</f>
        <v>0</v>
      </c>
      <c r="CZ76" s="75">
        <f>$I76*$K76*py*Index!CY28*Index!CY169/unit</f>
        <v>0</v>
      </c>
      <c r="DA76" s="75">
        <f>$I76*$K76*py*Index!CZ28*Index!CZ169/unit</f>
        <v>0</v>
      </c>
      <c r="DB76" s="75">
        <f>$I76*$K76*py*Index!DA28*Index!DA169/unit</f>
        <v>0</v>
      </c>
      <c r="DC76" s="75">
        <f>$I76*$K76*py*Index!DB28*Index!DB169/unit</f>
        <v>0</v>
      </c>
      <c r="DD76" s="75">
        <f>$I76*$K76*py*Index!DC28*Index!DC169/unit</f>
        <v>0</v>
      </c>
      <c r="DE76" s="75">
        <f>$I76*$K76*py*Index!DD28*Index!DD169/unit</f>
        <v>0</v>
      </c>
      <c r="DF76" s="75">
        <f>$I76*$K76*py*Index!DE28*Index!DE169/unit</f>
        <v>0</v>
      </c>
      <c r="DG76" s="75">
        <f>$I76*$K76*py*Index!DF28*Index!DF169/unit</f>
        <v>0</v>
      </c>
      <c r="DH76" s="75">
        <f>$I76*$K76*py*Index!DG28*Index!DG169/unit</f>
        <v>0</v>
      </c>
      <c r="DI76" s="75">
        <f>$I76*$K76*py*Index!DH28*Index!DH169/unit</f>
        <v>0</v>
      </c>
      <c r="DJ76" s="75">
        <f>$I76*$K76*py*Index!DI28*Index!DI169/unit</f>
        <v>0</v>
      </c>
      <c r="DK76" s="75">
        <f>$I76*$K76*py*Index!DJ28*Index!DJ169/unit</f>
        <v>0</v>
      </c>
      <c r="DL76" s="75">
        <f>$I76*$K76*py*Index!DK28*Index!DK169/unit</f>
        <v>0</v>
      </c>
      <c r="DM76" s="75">
        <f>$I76*$K76*py*Index!DL28*Index!DL169/unit</f>
        <v>0</v>
      </c>
    </row>
    <row r="77" spans="2:117">
      <c r="B77" s="27">
        <f>Rentroll!$C$21</f>
        <v>7</v>
      </c>
      <c r="C77" s="69" t="str">
        <f>VLOOKUP($B77,Rentroll!$C$11:$X$29,3,FALSE)</f>
        <v>오토 커머셜</v>
      </c>
      <c r="D77" s="80">
        <f>VLOOKUP($B77,Rentroll!$C$11:$X$29,9,FALSE)</f>
        <v>44651</v>
      </c>
      <c r="E77" s="80">
        <f>VLOOKUP($B77,Rentroll!$C$11:$X$29,10,FALSE)</f>
        <v>46476</v>
      </c>
      <c r="F77" s="81">
        <f>VLOOKUP($B77,Rentroll!$C$11:$X$29,11,FALSE)</f>
        <v>60</v>
      </c>
      <c r="G77" s="69">
        <f>VLOOKUP($B77,Rentroll!$C$11:$X$29,13,FALSE)</f>
        <v>95481</v>
      </c>
      <c r="H77" s="69">
        <f>VLOOKUP($B77,Rentroll!$C$11:$X$29,14,FALSE)</f>
        <v>87524.25</v>
      </c>
      <c r="I77" s="69">
        <f>VLOOKUP($B77,Rentroll!$C$11:$X$29,15,FALSE)</f>
        <v>42436</v>
      </c>
      <c r="J77" s="82">
        <f>VLOOKUP($B77,Rentroll!$C$11:$X$29,19,FALSE)</f>
        <v>0.03</v>
      </c>
      <c r="K77" s="83">
        <f>VLOOKUP($B77,Rentroll!$C$11:$X$29,4,FALSE)</f>
        <v>1385.09</v>
      </c>
      <c r="L77" s="81">
        <f>VLOOKUP($B77,Rentroll!$C$11:$X$29,17,FALSE)</f>
        <v>0</v>
      </c>
      <c r="M77" s="84">
        <f>VLOOKUP($B77,Rentroll!$C$11:$X$29,18,FALSE)</f>
        <v>1</v>
      </c>
      <c r="O77" s="74">
        <f t="shared" si="216"/>
        <v>7</v>
      </c>
      <c r="P77" s="75"/>
      <c r="Q77" s="75">
        <f t="shared" si="215"/>
        <v>481.68114170838481</v>
      </c>
      <c r="R77" s="75"/>
      <c r="S77" s="75">
        <f>$I77*$K77*py*Index!R29*Index!R170/unit</f>
        <v>0</v>
      </c>
      <c r="T77" s="75">
        <f>$I77*$K77*py*Index!S29*Index!S170/unit</f>
        <v>17.780247970099996</v>
      </c>
      <c r="U77" s="75">
        <f>$I77*$K77*py*Index!T29*Index!T170/unit</f>
        <v>17.780247970099996</v>
      </c>
      <c r="V77" s="75">
        <f>$I77*$K77*py*Index!U29*Index!U170/unit</f>
        <v>18.313655409202998</v>
      </c>
      <c r="W77" s="75">
        <f>$I77*$K77*py*Index!V29*Index!V170/unit</f>
        <v>18.313655409202998</v>
      </c>
      <c r="X77" s="75">
        <f>$I77*$K77*py*Index!W29*Index!W170/unit</f>
        <v>18.313655409202998</v>
      </c>
      <c r="Y77" s="75">
        <f>$I77*$K77*py*Index!X29*Index!X170/unit</f>
        <v>18.313655409202998</v>
      </c>
      <c r="Z77" s="75">
        <f>$I77*$K77*py*Index!Y29*Index!Y170/unit</f>
        <v>18.313655409202998</v>
      </c>
      <c r="AA77" s="75">
        <f>$I77*$K77*py*Index!Z29*Index!Z170/unit</f>
        <v>18.313655409202998</v>
      </c>
      <c r="AB77" s="75">
        <f>$I77*$K77*py*Index!AA29*Index!AA170/unit</f>
        <v>18.313655409202998</v>
      </c>
      <c r="AC77" s="75">
        <f>$I77*$K77*py*Index!AB29*Index!AB170/unit</f>
        <v>18.313655409202998</v>
      </c>
      <c r="AD77" s="75">
        <f>$I77*$K77*py*Index!AC29*Index!AC170/unit</f>
        <v>18.313655409202998</v>
      </c>
      <c r="AE77" s="75">
        <f>$I77*$K77*py*Index!AD29*Index!AD170/unit</f>
        <v>18.313655409202998</v>
      </c>
      <c r="AF77" s="75">
        <f>$I77*$K77*py*Index!AE29*Index!AE170/unit</f>
        <v>18.313655409202998</v>
      </c>
      <c r="AG77" s="75">
        <f>$I77*$K77*py*Index!AF29*Index!AF170/unit</f>
        <v>18.313655409202998</v>
      </c>
      <c r="AH77" s="75">
        <f>$I77*$K77*py*Index!AG29*Index!AG170/unit</f>
        <v>18.863065071479085</v>
      </c>
      <c r="AI77" s="75">
        <f>$I77*$K77*py*Index!AH29*Index!AH170/unit</f>
        <v>18.863065071479085</v>
      </c>
      <c r="AJ77" s="75">
        <f>$I77*$K77*py*Index!AI29*Index!AI170/unit</f>
        <v>18.863065071479085</v>
      </c>
      <c r="AK77" s="75">
        <f>$I77*$K77*py*Index!AJ29*Index!AJ170/unit</f>
        <v>18.863065071479085</v>
      </c>
      <c r="AL77" s="75">
        <f>$I77*$K77*py*Index!AK29*Index!AK170/unit</f>
        <v>18.863065071479085</v>
      </c>
      <c r="AM77" s="75">
        <f>$I77*$K77*py*Index!AL29*Index!AL170/unit</f>
        <v>18.863065071479085</v>
      </c>
      <c r="AN77" s="75">
        <f>$I77*$K77*py*Index!AM29*Index!AM170/unit</f>
        <v>18.863065071479085</v>
      </c>
      <c r="AO77" s="75">
        <f>$I77*$K77*py*Index!AN29*Index!AN170/unit</f>
        <v>18.863065071479085</v>
      </c>
      <c r="AP77" s="75">
        <f>$I77*$K77*py*Index!AO29*Index!AO170/unit</f>
        <v>18.863065071479085</v>
      </c>
      <c r="AQ77" s="75">
        <f>$I77*$K77*py*Index!AP29*Index!AP170/unit</f>
        <v>18.863065071479085</v>
      </c>
      <c r="AR77" s="75">
        <f>$I77*$K77*py*Index!AQ29*Index!AQ170/unit</f>
        <v>18.863065071479085</v>
      </c>
      <c r="AS77" s="75">
        <f>$I77*$K77*py*Index!AR29*Index!AR170/unit</f>
        <v>18.863065071479085</v>
      </c>
      <c r="AT77" s="75">
        <f>$I77*$K77*py*Index!AS29*Index!AS170/unit</f>
        <v>0</v>
      </c>
      <c r="AU77" s="75">
        <f>$I77*$K77*py*Index!AT29*Index!AT170/unit</f>
        <v>0</v>
      </c>
      <c r="AV77" s="75">
        <f>$I77*$K77*py*Index!AU29*Index!AU170/unit</f>
        <v>0</v>
      </c>
      <c r="AW77" s="75">
        <f>$I77*$K77*py*Index!AV29*Index!AV170/unit</f>
        <v>0</v>
      </c>
      <c r="AX77" s="75">
        <f>$I77*$K77*py*Index!AW29*Index!AW170/unit</f>
        <v>0</v>
      </c>
      <c r="AY77" s="75">
        <f>$I77*$K77*py*Index!AX29*Index!AX170/unit</f>
        <v>0</v>
      </c>
      <c r="AZ77" s="75">
        <f>$I77*$K77*py*Index!AY29*Index!AY170/unit</f>
        <v>0</v>
      </c>
      <c r="BA77" s="75">
        <f>$I77*$K77*py*Index!AZ29*Index!AZ170/unit</f>
        <v>0</v>
      </c>
      <c r="BB77" s="75">
        <f>$I77*$K77*py*Index!BA29*Index!BA170/unit</f>
        <v>0</v>
      </c>
      <c r="BC77" s="75">
        <f>$I77*$K77*py*Index!BB29*Index!BB170/unit</f>
        <v>0</v>
      </c>
      <c r="BD77" s="75">
        <f>$I77*$K77*py*Index!BC29*Index!BC170/unit</f>
        <v>0</v>
      </c>
      <c r="BE77" s="75">
        <f>$I77*$K77*py*Index!BD29*Index!BD170/unit</f>
        <v>0</v>
      </c>
      <c r="BF77" s="75">
        <f>$I77*$K77*py*Index!BE29*Index!BE170/unit</f>
        <v>0</v>
      </c>
      <c r="BG77" s="75">
        <f>$I77*$K77*py*Index!BF29*Index!BF170/unit</f>
        <v>0</v>
      </c>
      <c r="BH77" s="75">
        <f>$I77*$K77*py*Index!BG29*Index!BG170/unit</f>
        <v>0</v>
      </c>
      <c r="BI77" s="75">
        <f>$I77*$K77*py*Index!BH29*Index!BH170/unit</f>
        <v>0</v>
      </c>
      <c r="BJ77" s="75">
        <f>$I77*$K77*py*Index!BI29*Index!BI170/unit</f>
        <v>0</v>
      </c>
      <c r="BK77" s="75">
        <f>$I77*$K77*py*Index!BJ29*Index!BJ170/unit</f>
        <v>0</v>
      </c>
      <c r="BL77" s="75">
        <f>$I77*$K77*py*Index!BK29*Index!BK170/unit</f>
        <v>0</v>
      </c>
      <c r="BM77" s="75">
        <f>$I77*$K77*py*Index!BL29*Index!BL170/unit</f>
        <v>0</v>
      </c>
      <c r="BN77" s="75">
        <f>$I77*$K77*py*Index!BM29*Index!BM170/unit</f>
        <v>0</v>
      </c>
      <c r="BO77" s="75">
        <f>$I77*$K77*py*Index!BN29*Index!BN170/unit</f>
        <v>0</v>
      </c>
      <c r="BP77" s="75">
        <f>$I77*$K77*py*Index!BO29*Index!BO170/unit</f>
        <v>0</v>
      </c>
      <c r="BQ77" s="75">
        <f>$I77*$K77*py*Index!BP29*Index!BP170/unit</f>
        <v>0</v>
      </c>
      <c r="BR77" s="75">
        <f>$I77*$K77*py*Index!BQ29*Index!BQ170/unit</f>
        <v>0</v>
      </c>
      <c r="BS77" s="75">
        <f>$I77*$K77*py*Index!BR29*Index!BR170/unit</f>
        <v>0</v>
      </c>
      <c r="BT77" s="75">
        <f>$I77*$K77*py*Index!BS29*Index!BS170/unit</f>
        <v>0</v>
      </c>
      <c r="BU77" s="75">
        <f>$I77*$K77*py*Index!BT29*Index!BT170/unit</f>
        <v>0</v>
      </c>
      <c r="BV77" s="75">
        <f>$I77*$K77*py*Index!BU29*Index!BU170/unit</f>
        <v>0</v>
      </c>
      <c r="BW77" s="75">
        <f>$I77*$K77*py*Index!BV29*Index!BV170/unit</f>
        <v>0</v>
      </c>
      <c r="BX77" s="75">
        <f>$I77*$K77*py*Index!BW29*Index!BW170/unit</f>
        <v>0</v>
      </c>
      <c r="BY77" s="75">
        <f>$I77*$K77*py*Index!BX29*Index!BX170/unit</f>
        <v>0</v>
      </c>
      <c r="BZ77" s="75">
        <f>$I77*$K77*py*Index!BY29*Index!BY170/unit</f>
        <v>0</v>
      </c>
      <c r="CA77" s="75">
        <f>$I77*$K77*py*Index!BZ29*Index!BZ170/unit</f>
        <v>0</v>
      </c>
      <c r="CB77" s="75">
        <f>$I77*$K77*py*Index!CA29*Index!CA170/unit</f>
        <v>0</v>
      </c>
      <c r="CC77" s="75">
        <f>$I77*$K77*py*Index!CB29*Index!CB170/unit</f>
        <v>0</v>
      </c>
      <c r="CD77" s="75">
        <f>$I77*$K77*py*Index!CC29*Index!CC170/unit</f>
        <v>0</v>
      </c>
      <c r="CE77" s="75">
        <f>$I77*$K77*py*Index!CD29*Index!CD170/unit</f>
        <v>0</v>
      </c>
      <c r="CF77" s="75">
        <f>$I77*$K77*py*Index!CE29*Index!CE170/unit</f>
        <v>0</v>
      </c>
      <c r="CG77" s="75">
        <f>$I77*$K77*py*Index!CF29*Index!CF170/unit</f>
        <v>0</v>
      </c>
      <c r="CH77" s="75">
        <f>$I77*$K77*py*Index!CG29*Index!CG170/unit</f>
        <v>0</v>
      </c>
      <c r="CI77" s="75">
        <f>$I77*$K77*py*Index!CH29*Index!CH170/unit</f>
        <v>0</v>
      </c>
      <c r="CJ77" s="75">
        <f>$I77*$K77*py*Index!CI29*Index!CI170/unit</f>
        <v>0</v>
      </c>
      <c r="CK77" s="75">
        <f>$I77*$K77*py*Index!CJ29*Index!CJ170/unit</f>
        <v>0</v>
      </c>
      <c r="CL77" s="75">
        <f>$I77*$K77*py*Index!CK29*Index!CK170/unit</f>
        <v>0</v>
      </c>
      <c r="CM77" s="75">
        <f>$I77*$K77*py*Index!CL29*Index!CL170/unit</f>
        <v>0</v>
      </c>
      <c r="CN77" s="75">
        <f>$I77*$K77*py*Index!CM29*Index!CM170/unit</f>
        <v>0</v>
      </c>
      <c r="CO77" s="75">
        <f>$I77*$K77*py*Index!CN29*Index!CN170/unit</f>
        <v>0</v>
      </c>
      <c r="CP77" s="75">
        <f>$I77*$K77*py*Index!CO29*Index!CO170/unit</f>
        <v>0</v>
      </c>
      <c r="CQ77" s="75">
        <f>$I77*$K77*py*Index!CP29*Index!CP170/unit</f>
        <v>0</v>
      </c>
      <c r="CR77" s="75">
        <f>$I77*$K77*py*Index!CQ29*Index!CQ170/unit</f>
        <v>0</v>
      </c>
      <c r="CS77" s="75">
        <f>$I77*$K77*py*Index!CR29*Index!CR170/unit</f>
        <v>0</v>
      </c>
      <c r="CT77" s="75">
        <f>$I77*$K77*py*Index!CS29*Index!CS170/unit</f>
        <v>0</v>
      </c>
      <c r="CU77" s="75">
        <f>$I77*$K77*py*Index!CT29*Index!CT170/unit</f>
        <v>0</v>
      </c>
      <c r="CV77" s="75">
        <f>$I77*$K77*py*Index!CU29*Index!CU170/unit</f>
        <v>0</v>
      </c>
      <c r="CW77" s="75">
        <f>$I77*$K77*py*Index!CV29*Index!CV170/unit</f>
        <v>0</v>
      </c>
      <c r="CX77" s="75">
        <f>$I77*$K77*py*Index!CW29*Index!CW170/unit</f>
        <v>0</v>
      </c>
      <c r="CY77" s="75">
        <f>$I77*$K77*py*Index!CX29*Index!CX170/unit</f>
        <v>0</v>
      </c>
      <c r="CZ77" s="75">
        <f>$I77*$K77*py*Index!CY29*Index!CY170/unit</f>
        <v>0</v>
      </c>
      <c r="DA77" s="75">
        <f>$I77*$K77*py*Index!CZ29*Index!CZ170/unit</f>
        <v>0</v>
      </c>
      <c r="DB77" s="75">
        <f>$I77*$K77*py*Index!DA29*Index!DA170/unit</f>
        <v>0</v>
      </c>
      <c r="DC77" s="75">
        <f>$I77*$K77*py*Index!DB29*Index!DB170/unit</f>
        <v>0</v>
      </c>
      <c r="DD77" s="75">
        <f>$I77*$K77*py*Index!DC29*Index!DC170/unit</f>
        <v>0</v>
      </c>
      <c r="DE77" s="75">
        <f>$I77*$K77*py*Index!DD29*Index!DD170/unit</f>
        <v>0</v>
      </c>
      <c r="DF77" s="75">
        <f>$I77*$K77*py*Index!DE29*Index!DE170/unit</f>
        <v>0</v>
      </c>
      <c r="DG77" s="75">
        <f>$I77*$K77*py*Index!DF29*Index!DF170/unit</f>
        <v>0</v>
      </c>
      <c r="DH77" s="75">
        <f>$I77*$K77*py*Index!DG29*Index!DG170/unit</f>
        <v>0</v>
      </c>
      <c r="DI77" s="75">
        <f>$I77*$K77*py*Index!DH29*Index!DH170/unit</f>
        <v>0</v>
      </c>
      <c r="DJ77" s="75">
        <f>$I77*$K77*py*Index!DI29*Index!DI170/unit</f>
        <v>0</v>
      </c>
      <c r="DK77" s="75">
        <f>$I77*$K77*py*Index!DJ29*Index!DJ170/unit</f>
        <v>0</v>
      </c>
      <c r="DL77" s="75">
        <f>$I77*$K77*py*Index!DK29*Index!DK170/unit</f>
        <v>0</v>
      </c>
      <c r="DM77" s="75">
        <f>$I77*$K77*py*Index!DL29*Index!DL170/unit</f>
        <v>0</v>
      </c>
    </row>
    <row r="78" spans="2:117">
      <c r="B78" s="27">
        <f>Rentroll!$C$22</f>
        <v>6</v>
      </c>
      <c r="C78" s="69" t="str">
        <f>VLOOKUP($B78,Rentroll!$C$11:$X$29,3,FALSE)</f>
        <v>오토 커머셜</v>
      </c>
      <c r="D78" s="80">
        <f>VLOOKUP($B78,Rentroll!$C$11:$X$29,9,FALSE)</f>
        <v>44651</v>
      </c>
      <c r="E78" s="80">
        <f>VLOOKUP($B78,Rentroll!$C$11:$X$29,10,FALSE)</f>
        <v>46476</v>
      </c>
      <c r="F78" s="81">
        <f>VLOOKUP($B78,Rentroll!$C$11:$X$29,11,FALSE)</f>
        <v>60</v>
      </c>
      <c r="G78" s="69">
        <f>VLOOKUP($B78,Rentroll!$C$11:$X$29,13,FALSE)</f>
        <v>95481</v>
      </c>
      <c r="H78" s="69">
        <f>VLOOKUP($B78,Rentroll!$C$11:$X$29,14,FALSE)</f>
        <v>87524.25</v>
      </c>
      <c r="I78" s="69">
        <f>VLOOKUP($B78,Rentroll!$C$11:$X$29,15,FALSE)</f>
        <v>42436</v>
      </c>
      <c r="J78" s="82">
        <f>VLOOKUP($B78,Rentroll!$C$11:$X$29,19,FALSE)</f>
        <v>0.03</v>
      </c>
      <c r="K78" s="83">
        <f>VLOOKUP($B78,Rentroll!$C$11:$X$29,4,FALSE)</f>
        <v>1385.09</v>
      </c>
      <c r="L78" s="81">
        <f>VLOOKUP($B78,Rentroll!$C$11:$X$29,17,FALSE)</f>
        <v>0</v>
      </c>
      <c r="M78" s="84">
        <f>VLOOKUP($B78,Rentroll!$C$11:$X$29,18,FALSE)</f>
        <v>1</v>
      </c>
      <c r="O78" s="74">
        <f t="shared" si="216"/>
        <v>6</v>
      </c>
      <c r="P78" s="75"/>
      <c r="Q78" s="75">
        <f t="shared" si="215"/>
        <v>481.68114170838481</v>
      </c>
      <c r="R78" s="75"/>
      <c r="S78" s="75">
        <f>$I78*$K78*py*Index!R30*Index!R171/unit</f>
        <v>0</v>
      </c>
      <c r="T78" s="75">
        <f>$I78*$K78*py*Index!S30*Index!S171/unit</f>
        <v>17.780247970099996</v>
      </c>
      <c r="U78" s="75">
        <f>$I78*$K78*py*Index!T30*Index!T171/unit</f>
        <v>17.780247970099996</v>
      </c>
      <c r="V78" s="75">
        <f>$I78*$K78*py*Index!U30*Index!U171/unit</f>
        <v>18.313655409202998</v>
      </c>
      <c r="W78" s="75">
        <f>$I78*$K78*py*Index!V30*Index!V171/unit</f>
        <v>18.313655409202998</v>
      </c>
      <c r="X78" s="75">
        <f>$I78*$K78*py*Index!W30*Index!W171/unit</f>
        <v>18.313655409202998</v>
      </c>
      <c r="Y78" s="75">
        <f>$I78*$K78*py*Index!X30*Index!X171/unit</f>
        <v>18.313655409202998</v>
      </c>
      <c r="Z78" s="75">
        <f>$I78*$K78*py*Index!Y30*Index!Y171/unit</f>
        <v>18.313655409202998</v>
      </c>
      <c r="AA78" s="75">
        <f>$I78*$K78*py*Index!Z30*Index!Z171/unit</f>
        <v>18.313655409202998</v>
      </c>
      <c r="AB78" s="75">
        <f>$I78*$K78*py*Index!AA30*Index!AA171/unit</f>
        <v>18.313655409202998</v>
      </c>
      <c r="AC78" s="75">
        <f>$I78*$K78*py*Index!AB30*Index!AB171/unit</f>
        <v>18.313655409202998</v>
      </c>
      <c r="AD78" s="75">
        <f>$I78*$K78*py*Index!AC30*Index!AC171/unit</f>
        <v>18.313655409202998</v>
      </c>
      <c r="AE78" s="75">
        <f>$I78*$K78*py*Index!AD30*Index!AD171/unit</f>
        <v>18.313655409202998</v>
      </c>
      <c r="AF78" s="75">
        <f>$I78*$K78*py*Index!AE30*Index!AE171/unit</f>
        <v>18.313655409202998</v>
      </c>
      <c r="AG78" s="75">
        <f>$I78*$K78*py*Index!AF30*Index!AF171/unit</f>
        <v>18.313655409202998</v>
      </c>
      <c r="AH78" s="75">
        <f>$I78*$K78*py*Index!AG30*Index!AG171/unit</f>
        <v>18.863065071479085</v>
      </c>
      <c r="AI78" s="75">
        <f>$I78*$K78*py*Index!AH30*Index!AH171/unit</f>
        <v>18.863065071479085</v>
      </c>
      <c r="AJ78" s="75">
        <f>$I78*$K78*py*Index!AI30*Index!AI171/unit</f>
        <v>18.863065071479085</v>
      </c>
      <c r="AK78" s="75">
        <f>$I78*$K78*py*Index!AJ30*Index!AJ171/unit</f>
        <v>18.863065071479085</v>
      </c>
      <c r="AL78" s="75">
        <f>$I78*$K78*py*Index!AK30*Index!AK171/unit</f>
        <v>18.863065071479085</v>
      </c>
      <c r="AM78" s="75">
        <f>$I78*$K78*py*Index!AL30*Index!AL171/unit</f>
        <v>18.863065071479085</v>
      </c>
      <c r="AN78" s="75">
        <f>$I78*$K78*py*Index!AM30*Index!AM171/unit</f>
        <v>18.863065071479085</v>
      </c>
      <c r="AO78" s="75">
        <f>$I78*$K78*py*Index!AN30*Index!AN171/unit</f>
        <v>18.863065071479085</v>
      </c>
      <c r="AP78" s="75">
        <f>$I78*$K78*py*Index!AO30*Index!AO171/unit</f>
        <v>18.863065071479085</v>
      </c>
      <c r="AQ78" s="75">
        <f>$I78*$K78*py*Index!AP30*Index!AP171/unit</f>
        <v>18.863065071479085</v>
      </c>
      <c r="AR78" s="75">
        <f>$I78*$K78*py*Index!AQ30*Index!AQ171/unit</f>
        <v>18.863065071479085</v>
      </c>
      <c r="AS78" s="75">
        <f>$I78*$K78*py*Index!AR30*Index!AR171/unit</f>
        <v>18.863065071479085</v>
      </c>
      <c r="AT78" s="75">
        <f>$I78*$K78*py*Index!AS30*Index!AS171/unit</f>
        <v>0</v>
      </c>
      <c r="AU78" s="75">
        <f>$I78*$K78*py*Index!AT30*Index!AT171/unit</f>
        <v>0</v>
      </c>
      <c r="AV78" s="75">
        <f>$I78*$K78*py*Index!AU30*Index!AU171/unit</f>
        <v>0</v>
      </c>
      <c r="AW78" s="75">
        <f>$I78*$K78*py*Index!AV30*Index!AV171/unit</f>
        <v>0</v>
      </c>
      <c r="AX78" s="75">
        <f>$I78*$K78*py*Index!AW30*Index!AW171/unit</f>
        <v>0</v>
      </c>
      <c r="AY78" s="75">
        <f>$I78*$K78*py*Index!AX30*Index!AX171/unit</f>
        <v>0</v>
      </c>
      <c r="AZ78" s="75">
        <f>$I78*$K78*py*Index!AY30*Index!AY171/unit</f>
        <v>0</v>
      </c>
      <c r="BA78" s="75">
        <f>$I78*$K78*py*Index!AZ30*Index!AZ171/unit</f>
        <v>0</v>
      </c>
      <c r="BB78" s="75">
        <f>$I78*$K78*py*Index!BA30*Index!BA171/unit</f>
        <v>0</v>
      </c>
      <c r="BC78" s="75">
        <f>$I78*$K78*py*Index!BB30*Index!BB171/unit</f>
        <v>0</v>
      </c>
      <c r="BD78" s="75">
        <f>$I78*$K78*py*Index!BC30*Index!BC171/unit</f>
        <v>0</v>
      </c>
      <c r="BE78" s="75">
        <f>$I78*$K78*py*Index!BD30*Index!BD171/unit</f>
        <v>0</v>
      </c>
      <c r="BF78" s="75">
        <f>$I78*$K78*py*Index!BE30*Index!BE171/unit</f>
        <v>0</v>
      </c>
      <c r="BG78" s="75">
        <f>$I78*$K78*py*Index!BF30*Index!BF171/unit</f>
        <v>0</v>
      </c>
      <c r="BH78" s="75">
        <f>$I78*$K78*py*Index!BG30*Index!BG171/unit</f>
        <v>0</v>
      </c>
      <c r="BI78" s="75">
        <f>$I78*$K78*py*Index!BH30*Index!BH171/unit</f>
        <v>0</v>
      </c>
      <c r="BJ78" s="75">
        <f>$I78*$K78*py*Index!BI30*Index!BI171/unit</f>
        <v>0</v>
      </c>
      <c r="BK78" s="75">
        <f>$I78*$K78*py*Index!BJ30*Index!BJ171/unit</f>
        <v>0</v>
      </c>
      <c r="BL78" s="75">
        <f>$I78*$K78*py*Index!BK30*Index!BK171/unit</f>
        <v>0</v>
      </c>
      <c r="BM78" s="75">
        <f>$I78*$K78*py*Index!BL30*Index!BL171/unit</f>
        <v>0</v>
      </c>
      <c r="BN78" s="75">
        <f>$I78*$K78*py*Index!BM30*Index!BM171/unit</f>
        <v>0</v>
      </c>
      <c r="BO78" s="75">
        <f>$I78*$K78*py*Index!BN30*Index!BN171/unit</f>
        <v>0</v>
      </c>
      <c r="BP78" s="75">
        <f>$I78*$K78*py*Index!BO30*Index!BO171/unit</f>
        <v>0</v>
      </c>
      <c r="BQ78" s="75">
        <f>$I78*$K78*py*Index!BP30*Index!BP171/unit</f>
        <v>0</v>
      </c>
      <c r="BR78" s="75">
        <f>$I78*$K78*py*Index!BQ30*Index!BQ171/unit</f>
        <v>0</v>
      </c>
      <c r="BS78" s="75">
        <f>$I78*$K78*py*Index!BR30*Index!BR171/unit</f>
        <v>0</v>
      </c>
      <c r="BT78" s="75">
        <f>$I78*$K78*py*Index!BS30*Index!BS171/unit</f>
        <v>0</v>
      </c>
      <c r="BU78" s="75">
        <f>$I78*$K78*py*Index!BT30*Index!BT171/unit</f>
        <v>0</v>
      </c>
      <c r="BV78" s="75">
        <f>$I78*$K78*py*Index!BU30*Index!BU171/unit</f>
        <v>0</v>
      </c>
      <c r="BW78" s="75">
        <f>$I78*$K78*py*Index!BV30*Index!BV171/unit</f>
        <v>0</v>
      </c>
      <c r="BX78" s="75">
        <f>$I78*$K78*py*Index!BW30*Index!BW171/unit</f>
        <v>0</v>
      </c>
      <c r="BY78" s="75">
        <f>$I78*$K78*py*Index!BX30*Index!BX171/unit</f>
        <v>0</v>
      </c>
      <c r="BZ78" s="75">
        <f>$I78*$K78*py*Index!BY30*Index!BY171/unit</f>
        <v>0</v>
      </c>
      <c r="CA78" s="75">
        <f>$I78*$K78*py*Index!BZ30*Index!BZ171/unit</f>
        <v>0</v>
      </c>
      <c r="CB78" s="75">
        <f>$I78*$K78*py*Index!CA30*Index!CA171/unit</f>
        <v>0</v>
      </c>
      <c r="CC78" s="75">
        <f>$I78*$K78*py*Index!CB30*Index!CB171/unit</f>
        <v>0</v>
      </c>
      <c r="CD78" s="75">
        <f>$I78*$K78*py*Index!CC30*Index!CC171/unit</f>
        <v>0</v>
      </c>
      <c r="CE78" s="75">
        <f>$I78*$K78*py*Index!CD30*Index!CD171/unit</f>
        <v>0</v>
      </c>
      <c r="CF78" s="75">
        <f>$I78*$K78*py*Index!CE30*Index!CE171/unit</f>
        <v>0</v>
      </c>
      <c r="CG78" s="75">
        <f>$I78*$K78*py*Index!CF30*Index!CF171/unit</f>
        <v>0</v>
      </c>
      <c r="CH78" s="75">
        <f>$I78*$K78*py*Index!CG30*Index!CG171/unit</f>
        <v>0</v>
      </c>
      <c r="CI78" s="75">
        <f>$I78*$K78*py*Index!CH30*Index!CH171/unit</f>
        <v>0</v>
      </c>
      <c r="CJ78" s="75">
        <f>$I78*$K78*py*Index!CI30*Index!CI171/unit</f>
        <v>0</v>
      </c>
      <c r="CK78" s="75">
        <f>$I78*$K78*py*Index!CJ30*Index!CJ171/unit</f>
        <v>0</v>
      </c>
      <c r="CL78" s="75">
        <f>$I78*$K78*py*Index!CK30*Index!CK171/unit</f>
        <v>0</v>
      </c>
      <c r="CM78" s="75">
        <f>$I78*$K78*py*Index!CL30*Index!CL171/unit</f>
        <v>0</v>
      </c>
      <c r="CN78" s="75">
        <f>$I78*$K78*py*Index!CM30*Index!CM171/unit</f>
        <v>0</v>
      </c>
      <c r="CO78" s="75">
        <f>$I78*$K78*py*Index!CN30*Index!CN171/unit</f>
        <v>0</v>
      </c>
      <c r="CP78" s="75">
        <f>$I78*$K78*py*Index!CO30*Index!CO171/unit</f>
        <v>0</v>
      </c>
      <c r="CQ78" s="75">
        <f>$I78*$K78*py*Index!CP30*Index!CP171/unit</f>
        <v>0</v>
      </c>
      <c r="CR78" s="75">
        <f>$I78*$K78*py*Index!CQ30*Index!CQ171/unit</f>
        <v>0</v>
      </c>
      <c r="CS78" s="75">
        <f>$I78*$K78*py*Index!CR30*Index!CR171/unit</f>
        <v>0</v>
      </c>
      <c r="CT78" s="75">
        <f>$I78*$K78*py*Index!CS30*Index!CS171/unit</f>
        <v>0</v>
      </c>
      <c r="CU78" s="75">
        <f>$I78*$K78*py*Index!CT30*Index!CT171/unit</f>
        <v>0</v>
      </c>
      <c r="CV78" s="75">
        <f>$I78*$K78*py*Index!CU30*Index!CU171/unit</f>
        <v>0</v>
      </c>
      <c r="CW78" s="75">
        <f>$I78*$K78*py*Index!CV30*Index!CV171/unit</f>
        <v>0</v>
      </c>
      <c r="CX78" s="75">
        <f>$I78*$K78*py*Index!CW30*Index!CW171/unit</f>
        <v>0</v>
      </c>
      <c r="CY78" s="75">
        <f>$I78*$K78*py*Index!CX30*Index!CX171/unit</f>
        <v>0</v>
      </c>
      <c r="CZ78" s="75">
        <f>$I78*$K78*py*Index!CY30*Index!CY171/unit</f>
        <v>0</v>
      </c>
      <c r="DA78" s="75">
        <f>$I78*$K78*py*Index!CZ30*Index!CZ171/unit</f>
        <v>0</v>
      </c>
      <c r="DB78" s="75">
        <f>$I78*$K78*py*Index!DA30*Index!DA171/unit</f>
        <v>0</v>
      </c>
      <c r="DC78" s="75">
        <f>$I78*$K78*py*Index!DB30*Index!DB171/unit</f>
        <v>0</v>
      </c>
      <c r="DD78" s="75">
        <f>$I78*$K78*py*Index!DC30*Index!DC171/unit</f>
        <v>0</v>
      </c>
      <c r="DE78" s="75">
        <f>$I78*$K78*py*Index!DD30*Index!DD171/unit</f>
        <v>0</v>
      </c>
      <c r="DF78" s="75">
        <f>$I78*$K78*py*Index!DE30*Index!DE171/unit</f>
        <v>0</v>
      </c>
      <c r="DG78" s="75">
        <f>$I78*$K78*py*Index!DF30*Index!DF171/unit</f>
        <v>0</v>
      </c>
      <c r="DH78" s="75">
        <f>$I78*$K78*py*Index!DG30*Index!DG171/unit</f>
        <v>0</v>
      </c>
      <c r="DI78" s="75">
        <f>$I78*$K78*py*Index!DH30*Index!DH171/unit</f>
        <v>0</v>
      </c>
      <c r="DJ78" s="75">
        <f>$I78*$K78*py*Index!DI30*Index!DI171/unit</f>
        <v>0</v>
      </c>
      <c r="DK78" s="75">
        <f>$I78*$K78*py*Index!DJ30*Index!DJ171/unit</f>
        <v>0</v>
      </c>
      <c r="DL78" s="75">
        <f>$I78*$K78*py*Index!DK30*Index!DK171/unit</f>
        <v>0</v>
      </c>
      <c r="DM78" s="75">
        <f>$I78*$K78*py*Index!DL30*Index!DL171/unit</f>
        <v>0</v>
      </c>
    </row>
    <row r="79" spans="2:117">
      <c r="B79" s="27">
        <f>Rentroll!$C$23</f>
        <v>5</v>
      </c>
      <c r="C79" s="69" t="str">
        <f>VLOOKUP($B79,Rentroll!$C$11:$X$29,3,FALSE)</f>
        <v>공실</v>
      </c>
      <c r="D79" s="80"/>
      <c r="E79" s="80"/>
      <c r="F79" s="81">
        <f>VLOOKUP($B79,Rentroll!$C$11:$X$29,11,FALSE)</f>
        <v>0</v>
      </c>
      <c r="G79" s="69">
        <f>VLOOKUP($B79,Rentroll!$C$11:$X$29,13,FALSE)</f>
        <v>0</v>
      </c>
      <c r="H79" s="69">
        <f>VLOOKUP($B79,Rentroll!$C$11:$X$29,14,FALSE)</f>
        <v>0</v>
      </c>
      <c r="I79" s="69">
        <f>VLOOKUP($B79,Rentroll!$C$11:$X$29,15,FALSE)</f>
        <v>0</v>
      </c>
      <c r="J79" s="82">
        <f>VLOOKUP($B79,Rentroll!$C$11:$X$29,19,FALSE)</f>
        <v>0</v>
      </c>
      <c r="K79" s="83">
        <f>VLOOKUP($B79,Rentroll!$C$11:$X$29,4,FALSE)</f>
        <v>1385.09</v>
      </c>
      <c r="L79" s="81">
        <f>VLOOKUP($B79,Rentroll!$C$11:$X$29,17,FALSE)</f>
        <v>0</v>
      </c>
      <c r="M79" s="84">
        <f>VLOOKUP($B79,Rentroll!$C$11:$X$29,18,FALSE)</f>
        <v>0</v>
      </c>
      <c r="O79" s="74">
        <f t="shared" si="216"/>
        <v>5</v>
      </c>
      <c r="P79" s="75"/>
      <c r="Q79" s="75">
        <f t="shared" si="215"/>
        <v>0</v>
      </c>
      <c r="R79" s="75"/>
      <c r="S79" s="75">
        <f>$I79*$K79*py*Index!R31*Index!R172/unit</f>
        <v>0</v>
      </c>
      <c r="T79" s="75">
        <f>$I79*$K79*py*Index!S31*Index!S172/unit</f>
        <v>0</v>
      </c>
      <c r="U79" s="75">
        <f>$I79*$K79*py*Index!T31*Index!T172/unit</f>
        <v>0</v>
      </c>
      <c r="V79" s="75">
        <f>$I79*$K79*py*Index!U31*Index!U172/unit</f>
        <v>0</v>
      </c>
      <c r="W79" s="75">
        <f>$I79*$K79*py*Index!V31*Index!V172/unit</f>
        <v>0</v>
      </c>
      <c r="X79" s="75">
        <f>$I79*$K79*py*Index!W31*Index!W172/unit</f>
        <v>0</v>
      </c>
      <c r="Y79" s="75">
        <f>$I79*$K79*py*Index!X31*Index!X172/unit</f>
        <v>0</v>
      </c>
      <c r="Z79" s="75">
        <f>$I79*$K79*py*Index!Y31*Index!Y172/unit</f>
        <v>0</v>
      </c>
      <c r="AA79" s="75">
        <f>$I79*$K79*py*Index!Z31*Index!Z172/unit</f>
        <v>0</v>
      </c>
      <c r="AB79" s="75">
        <f>$I79*$K79*py*Index!AA31*Index!AA172/unit</f>
        <v>0</v>
      </c>
      <c r="AC79" s="75">
        <f>$I79*$K79*py*Index!AB31*Index!AB172/unit</f>
        <v>0</v>
      </c>
      <c r="AD79" s="75">
        <f>$I79*$K79*py*Index!AC31*Index!AC172/unit</f>
        <v>0</v>
      </c>
      <c r="AE79" s="75">
        <f>$I79*$K79*py*Index!AD31*Index!AD172/unit</f>
        <v>0</v>
      </c>
      <c r="AF79" s="75">
        <f>$I79*$K79*py*Index!AE31*Index!AE172/unit</f>
        <v>0</v>
      </c>
      <c r="AG79" s="75">
        <f>$I79*$K79*py*Index!AF31*Index!AF172/unit</f>
        <v>0</v>
      </c>
      <c r="AH79" s="75">
        <f>$I79*$K79*py*Index!AG31*Index!AG172/unit</f>
        <v>0</v>
      </c>
      <c r="AI79" s="75">
        <f>$I79*$K79*py*Index!AH31*Index!AH172/unit</f>
        <v>0</v>
      </c>
      <c r="AJ79" s="75">
        <f>$I79*$K79*py*Index!AI31*Index!AI172/unit</f>
        <v>0</v>
      </c>
      <c r="AK79" s="75">
        <f>$I79*$K79*py*Index!AJ31*Index!AJ172/unit</f>
        <v>0</v>
      </c>
      <c r="AL79" s="75">
        <f>$I79*$K79*py*Index!AK31*Index!AK172/unit</f>
        <v>0</v>
      </c>
      <c r="AM79" s="75">
        <f>$I79*$K79*py*Index!AL31*Index!AL172/unit</f>
        <v>0</v>
      </c>
      <c r="AN79" s="75">
        <f>$I79*$K79*py*Index!AM31*Index!AM172/unit</f>
        <v>0</v>
      </c>
      <c r="AO79" s="75">
        <f>$I79*$K79*py*Index!AN31*Index!AN172/unit</f>
        <v>0</v>
      </c>
      <c r="AP79" s="75">
        <f>$I79*$K79*py*Index!AO31*Index!AO172/unit</f>
        <v>0</v>
      </c>
      <c r="AQ79" s="75">
        <f>$I79*$K79*py*Index!AP31*Index!AP172/unit</f>
        <v>0</v>
      </c>
      <c r="AR79" s="75">
        <f>$I79*$K79*py*Index!AQ31*Index!AQ172/unit</f>
        <v>0</v>
      </c>
      <c r="AS79" s="75">
        <f>$I79*$K79*py*Index!AR31*Index!AR172/unit</f>
        <v>0</v>
      </c>
      <c r="AT79" s="75">
        <f>$I79*$K79*py*Index!AS31*Index!AS172/unit</f>
        <v>0</v>
      </c>
      <c r="AU79" s="75">
        <f>$I79*$K79*py*Index!AT31*Index!AT172/unit</f>
        <v>0</v>
      </c>
      <c r="AV79" s="75">
        <f>$I79*$K79*py*Index!AU31*Index!AU172/unit</f>
        <v>0</v>
      </c>
      <c r="AW79" s="75">
        <f>$I79*$K79*py*Index!AV31*Index!AV172/unit</f>
        <v>0</v>
      </c>
      <c r="AX79" s="75">
        <f>$I79*$K79*py*Index!AW31*Index!AW172/unit</f>
        <v>0</v>
      </c>
      <c r="AY79" s="75">
        <f>$I79*$K79*py*Index!AX31*Index!AX172/unit</f>
        <v>0</v>
      </c>
      <c r="AZ79" s="75">
        <f>$I79*$K79*py*Index!AY31*Index!AY172/unit</f>
        <v>0</v>
      </c>
      <c r="BA79" s="75">
        <f>$I79*$K79*py*Index!AZ31*Index!AZ172/unit</f>
        <v>0</v>
      </c>
      <c r="BB79" s="75">
        <f>$I79*$K79*py*Index!BA31*Index!BA172/unit</f>
        <v>0</v>
      </c>
      <c r="BC79" s="75">
        <f>$I79*$K79*py*Index!BB31*Index!BB172/unit</f>
        <v>0</v>
      </c>
      <c r="BD79" s="75">
        <f>$I79*$K79*py*Index!BC31*Index!BC172/unit</f>
        <v>0</v>
      </c>
      <c r="BE79" s="75">
        <f>$I79*$K79*py*Index!BD31*Index!BD172/unit</f>
        <v>0</v>
      </c>
      <c r="BF79" s="75">
        <f>$I79*$K79*py*Index!BE31*Index!BE172/unit</f>
        <v>0</v>
      </c>
      <c r="BG79" s="75">
        <f>$I79*$K79*py*Index!BF31*Index!BF172/unit</f>
        <v>0</v>
      </c>
      <c r="BH79" s="75">
        <f>$I79*$K79*py*Index!BG31*Index!BG172/unit</f>
        <v>0</v>
      </c>
      <c r="BI79" s="75">
        <f>$I79*$K79*py*Index!BH31*Index!BH172/unit</f>
        <v>0</v>
      </c>
      <c r="BJ79" s="75">
        <f>$I79*$K79*py*Index!BI31*Index!BI172/unit</f>
        <v>0</v>
      </c>
      <c r="BK79" s="75">
        <f>$I79*$K79*py*Index!BJ31*Index!BJ172/unit</f>
        <v>0</v>
      </c>
      <c r="BL79" s="75">
        <f>$I79*$K79*py*Index!BK31*Index!BK172/unit</f>
        <v>0</v>
      </c>
      <c r="BM79" s="75">
        <f>$I79*$K79*py*Index!BL31*Index!BL172/unit</f>
        <v>0</v>
      </c>
      <c r="BN79" s="75">
        <f>$I79*$K79*py*Index!BM31*Index!BM172/unit</f>
        <v>0</v>
      </c>
      <c r="BO79" s="75">
        <f>$I79*$K79*py*Index!BN31*Index!BN172/unit</f>
        <v>0</v>
      </c>
      <c r="BP79" s="75">
        <f>$I79*$K79*py*Index!BO31*Index!BO172/unit</f>
        <v>0</v>
      </c>
      <c r="BQ79" s="75">
        <f>$I79*$K79*py*Index!BP31*Index!BP172/unit</f>
        <v>0</v>
      </c>
      <c r="BR79" s="75">
        <f>$I79*$K79*py*Index!BQ31*Index!BQ172/unit</f>
        <v>0</v>
      </c>
      <c r="BS79" s="75">
        <f>$I79*$K79*py*Index!BR31*Index!BR172/unit</f>
        <v>0</v>
      </c>
      <c r="BT79" s="75">
        <f>$I79*$K79*py*Index!BS31*Index!BS172/unit</f>
        <v>0</v>
      </c>
      <c r="BU79" s="75">
        <f>$I79*$K79*py*Index!BT31*Index!BT172/unit</f>
        <v>0</v>
      </c>
      <c r="BV79" s="75">
        <f>$I79*$K79*py*Index!BU31*Index!BU172/unit</f>
        <v>0</v>
      </c>
      <c r="BW79" s="75">
        <f>$I79*$K79*py*Index!BV31*Index!BV172/unit</f>
        <v>0</v>
      </c>
      <c r="BX79" s="75">
        <f>$I79*$K79*py*Index!BW31*Index!BW172/unit</f>
        <v>0</v>
      </c>
      <c r="BY79" s="75">
        <f>$I79*$K79*py*Index!BX31*Index!BX172/unit</f>
        <v>0</v>
      </c>
      <c r="BZ79" s="75">
        <f>$I79*$K79*py*Index!BY31*Index!BY172/unit</f>
        <v>0</v>
      </c>
      <c r="CA79" s="75">
        <f>$I79*$K79*py*Index!BZ31*Index!BZ172/unit</f>
        <v>0</v>
      </c>
      <c r="CB79" s="75">
        <f>$I79*$K79*py*Index!CA31*Index!CA172/unit</f>
        <v>0</v>
      </c>
      <c r="CC79" s="75">
        <f>$I79*$K79*py*Index!CB31*Index!CB172/unit</f>
        <v>0</v>
      </c>
      <c r="CD79" s="75">
        <f>$I79*$K79*py*Index!CC31*Index!CC172/unit</f>
        <v>0</v>
      </c>
      <c r="CE79" s="75">
        <f>$I79*$K79*py*Index!CD31*Index!CD172/unit</f>
        <v>0</v>
      </c>
      <c r="CF79" s="75">
        <f>$I79*$K79*py*Index!CE31*Index!CE172/unit</f>
        <v>0</v>
      </c>
      <c r="CG79" s="75">
        <f>$I79*$K79*py*Index!CF31*Index!CF172/unit</f>
        <v>0</v>
      </c>
      <c r="CH79" s="75">
        <f>$I79*$K79*py*Index!CG31*Index!CG172/unit</f>
        <v>0</v>
      </c>
      <c r="CI79" s="75">
        <f>$I79*$K79*py*Index!CH31*Index!CH172/unit</f>
        <v>0</v>
      </c>
      <c r="CJ79" s="75">
        <f>$I79*$K79*py*Index!CI31*Index!CI172/unit</f>
        <v>0</v>
      </c>
      <c r="CK79" s="75">
        <f>$I79*$K79*py*Index!CJ31*Index!CJ172/unit</f>
        <v>0</v>
      </c>
      <c r="CL79" s="75">
        <f>$I79*$K79*py*Index!CK31*Index!CK172/unit</f>
        <v>0</v>
      </c>
      <c r="CM79" s="75">
        <f>$I79*$K79*py*Index!CL31*Index!CL172/unit</f>
        <v>0</v>
      </c>
      <c r="CN79" s="75">
        <f>$I79*$K79*py*Index!CM31*Index!CM172/unit</f>
        <v>0</v>
      </c>
      <c r="CO79" s="75">
        <f>$I79*$K79*py*Index!CN31*Index!CN172/unit</f>
        <v>0</v>
      </c>
      <c r="CP79" s="75">
        <f>$I79*$K79*py*Index!CO31*Index!CO172/unit</f>
        <v>0</v>
      </c>
      <c r="CQ79" s="75">
        <f>$I79*$K79*py*Index!CP31*Index!CP172/unit</f>
        <v>0</v>
      </c>
      <c r="CR79" s="75">
        <f>$I79*$K79*py*Index!CQ31*Index!CQ172/unit</f>
        <v>0</v>
      </c>
      <c r="CS79" s="75">
        <f>$I79*$K79*py*Index!CR31*Index!CR172/unit</f>
        <v>0</v>
      </c>
      <c r="CT79" s="75">
        <f>$I79*$K79*py*Index!CS31*Index!CS172/unit</f>
        <v>0</v>
      </c>
      <c r="CU79" s="75">
        <f>$I79*$K79*py*Index!CT31*Index!CT172/unit</f>
        <v>0</v>
      </c>
      <c r="CV79" s="75">
        <f>$I79*$K79*py*Index!CU31*Index!CU172/unit</f>
        <v>0</v>
      </c>
      <c r="CW79" s="75">
        <f>$I79*$K79*py*Index!CV31*Index!CV172/unit</f>
        <v>0</v>
      </c>
      <c r="CX79" s="75">
        <f>$I79*$K79*py*Index!CW31*Index!CW172/unit</f>
        <v>0</v>
      </c>
      <c r="CY79" s="75">
        <f>$I79*$K79*py*Index!CX31*Index!CX172/unit</f>
        <v>0</v>
      </c>
      <c r="CZ79" s="75">
        <f>$I79*$K79*py*Index!CY31*Index!CY172/unit</f>
        <v>0</v>
      </c>
      <c r="DA79" s="75">
        <f>$I79*$K79*py*Index!CZ31*Index!CZ172/unit</f>
        <v>0</v>
      </c>
      <c r="DB79" s="75">
        <f>$I79*$K79*py*Index!DA31*Index!DA172/unit</f>
        <v>0</v>
      </c>
      <c r="DC79" s="75">
        <f>$I79*$K79*py*Index!DB31*Index!DB172/unit</f>
        <v>0</v>
      </c>
      <c r="DD79" s="75">
        <f>$I79*$K79*py*Index!DC31*Index!DC172/unit</f>
        <v>0</v>
      </c>
      <c r="DE79" s="75">
        <f>$I79*$K79*py*Index!DD31*Index!DD172/unit</f>
        <v>0</v>
      </c>
      <c r="DF79" s="75">
        <f>$I79*$K79*py*Index!DE31*Index!DE172/unit</f>
        <v>0</v>
      </c>
      <c r="DG79" s="75">
        <f>$I79*$K79*py*Index!DF31*Index!DF172/unit</f>
        <v>0</v>
      </c>
      <c r="DH79" s="75">
        <f>$I79*$K79*py*Index!DG31*Index!DG172/unit</f>
        <v>0</v>
      </c>
      <c r="DI79" s="75">
        <f>$I79*$K79*py*Index!DH31*Index!DH172/unit</f>
        <v>0</v>
      </c>
      <c r="DJ79" s="75">
        <f>$I79*$K79*py*Index!DI31*Index!DI172/unit</f>
        <v>0</v>
      </c>
      <c r="DK79" s="75">
        <f>$I79*$K79*py*Index!DJ31*Index!DJ172/unit</f>
        <v>0</v>
      </c>
      <c r="DL79" s="75">
        <f>$I79*$K79*py*Index!DK31*Index!DK172/unit</f>
        <v>0</v>
      </c>
      <c r="DM79" s="75">
        <f>$I79*$K79*py*Index!DL31*Index!DL172/unit</f>
        <v>0</v>
      </c>
    </row>
    <row r="80" spans="2:117">
      <c r="B80" s="27">
        <f>Rentroll!$C$24</f>
        <v>4</v>
      </c>
      <c r="C80" s="69" t="str">
        <f>VLOOKUP($B80,Rentroll!$C$11:$X$29,3,FALSE)</f>
        <v>공실</v>
      </c>
      <c r="D80" s="80"/>
      <c r="E80" s="80"/>
      <c r="F80" s="81">
        <f>VLOOKUP($B80,Rentroll!$C$11:$X$29,11,FALSE)</f>
        <v>0</v>
      </c>
      <c r="G80" s="69">
        <f>VLOOKUP($B80,Rentroll!$C$11:$X$29,13,FALSE)</f>
        <v>0</v>
      </c>
      <c r="H80" s="69">
        <f>VLOOKUP($B80,Rentroll!$C$11:$X$29,14,FALSE)</f>
        <v>0</v>
      </c>
      <c r="I80" s="69">
        <f>VLOOKUP($B80,Rentroll!$C$11:$X$29,15,FALSE)</f>
        <v>0</v>
      </c>
      <c r="J80" s="82">
        <f>VLOOKUP($B80,Rentroll!$C$11:$X$29,19,FALSE)</f>
        <v>0</v>
      </c>
      <c r="K80" s="83">
        <f>VLOOKUP($B80,Rentroll!$C$11:$X$29,4,FALSE)</f>
        <v>1385.09</v>
      </c>
      <c r="L80" s="81">
        <f>VLOOKUP($B80,Rentroll!$C$11:$X$29,17,FALSE)</f>
        <v>0</v>
      </c>
      <c r="M80" s="84">
        <f>VLOOKUP($B80,Rentroll!$C$11:$X$29,18,FALSE)</f>
        <v>0</v>
      </c>
      <c r="O80" s="74">
        <f t="shared" si="216"/>
        <v>4</v>
      </c>
      <c r="P80" s="75"/>
      <c r="Q80" s="75">
        <f t="shared" si="215"/>
        <v>0</v>
      </c>
      <c r="R80" s="75"/>
      <c r="S80" s="75">
        <f>$I80*$K80*py*Index!R32*Index!R173/unit</f>
        <v>0</v>
      </c>
      <c r="T80" s="75">
        <f>$I80*$K80*py*Index!S32*Index!S173/unit</f>
        <v>0</v>
      </c>
      <c r="U80" s="75">
        <f>$I80*$K80*py*Index!T32*Index!T173/unit</f>
        <v>0</v>
      </c>
      <c r="V80" s="75">
        <f>$I80*$K80*py*Index!U32*Index!U173/unit</f>
        <v>0</v>
      </c>
      <c r="W80" s="75">
        <f>$I80*$K80*py*Index!V32*Index!V173/unit</f>
        <v>0</v>
      </c>
      <c r="X80" s="75">
        <f>$I80*$K80*py*Index!W32*Index!W173/unit</f>
        <v>0</v>
      </c>
      <c r="Y80" s="75">
        <f>$I80*$K80*py*Index!X32*Index!X173/unit</f>
        <v>0</v>
      </c>
      <c r="Z80" s="75">
        <f>$I80*$K80*py*Index!Y32*Index!Y173/unit</f>
        <v>0</v>
      </c>
      <c r="AA80" s="75">
        <f>$I80*$K80*py*Index!Z32*Index!Z173/unit</f>
        <v>0</v>
      </c>
      <c r="AB80" s="75">
        <f>$I80*$K80*py*Index!AA32*Index!AA173/unit</f>
        <v>0</v>
      </c>
      <c r="AC80" s="75">
        <f>$I80*$K80*py*Index!AB32*Index!AB173/unit</f>
        <v>0</v>
      </c>
      <c r="AD80" s="75">
        <f>$I80*$K80*py*Index!AC32*Index!AC173/unit</f>
        <v>0</v>
      </c>
      <c r="AE80" s="75">
        <f>$I80*$K80*py*Index!AD32*Index!AD173/unit</f>
        <v>0</v>
      </c>
      <c r="AF80" s="75">
        <f>$I80*$K80*py*Index!AE32*Index!AE173/unit</f>
        <v>0</v>
      </c>
      <c r="AG80" s="75">
        <f>$I80*$K80*py*Index!AF32*Index!AF173/unit</f>
        <v>0</v>
      </c>
      <c r="AH80" s="75">
        <f>$I80*$K80*py*Index!AG32*Index!AG173/unit</f>
        <v>0</v>
      </c>
      <c r="AI80" s="75">
        <f>$I80*$K80*py*Index!AH32*Index!AH173/unit</f>
        <v>0</v>
      </c>
      <c r="AJ80" s="75">
        <f>$I80*$K80*py*Index!AI32*Index!AI173/unit</f>
        <v>0</v>
      </c>
      <c r="AK80" s="75">
        <f>$I80*$K80*py*Index!AJ32*Index!AJ173/unit</f>
        <v>0</v>
      </c>
      <c r="AL80" s="75">
        <f>$I80*$K80*py*Index!AK32*Index!AK173/unit</f>
        <v>0</v>
      </c>
      <c r="AM80" s="75">
        <f>$I80*$K80*py*Index!AL32*Index!AL173/unit</f>
        <v>0</v>
      </c>
      <c r="AN80" s="75">
        <f>$I80*$K80*py*Index!AM32*Index!AM173/unit</f>
        <v>0</v>
      </c>
      <c r="AO80" s="75">
        <f>$I80*$K80*py*Index!AN32*Index!AN173/unit</f>
        <v>0</v>
      </c>
      <c r="AP80" s="75">
        <f>$I80*$K80*py*Index!AO32*Index!AO173/unit</f>
        <v>0</v>
      </c>
      <c r="AQ80" s="75">
        <f>$I80*$K80*py*Index!AP32*Index!AP173/unit</f>
        <v>0</v>
      </c>
      <c r="AR80" s="75">
        <f>$I80*$K80*py*Index!AQ32*Index!AQ173/unit</f>
        <v>0</v>
      </c>
      <c r="AS80" s="75">
        <f>$I80*$K80*py*Index!AR32*Index!AR173/unit</f>
        <v>0</v>
      </c>
      <c r="AT80" s="75">
        <f>$I80*$K80*py*Index!AS32*Index!AS173/unit</f>
        <v>0</v>
      </c>
      <c r="AU80" s="75">
        <f>$I80*$K80*py*Index!AT32*Index!AT173/unit</f>
        <v>0</v>
      </c>
      <c r="AV80" s="75">
        <f>$I80*$K80*py*Index!AU32*Index!AU173/unit</f>
        <v>0</v>
      </c>
      <c r="AW80" s="75">
        <f>$I80*$K80*py*Index!AV32*Index!AV173/unit</f>
        <v>0</v>
      </c>
      <c r="AX80" s="75">
        <f>$I80*$K80*py*Index!AW32*Index!AW173/unit</f>
        <v>0</v>
      </c>
      <c r="AY80" s="75">
        <f>$I80*$K80*py*Index!AX32*Index!AX173/unit</f>
        <v>0</v>
      </c>
      <c r="AZ80" s="75">
        <f>$I80*$K80*py*Index!AY32*Index!AY173/unit</f>
        <v>0</v>
      </c>
      <c r="BA80" s="75">
        <f>$I80*$K80*py*Index!AZ32*Index!AZ173/unit</f>
        <v>0</v>
      </c>
      <c r="BB80" s="75">
        <f>$I80*$K80*py*Index!BA32*Index!BA173/unit</f>
        <v>0</v>
      </c>
      <c r="BC80" s="75">
        <f>$I80*$K80*py*Index!BB32*Index!BB173/unit</f>
        <v>0</v>
      </c>
      <c r="BD80" s="75">
        <f>$I80*$K80*py*Index!BC32*Index!BC173/unit</f>
        <v>0</v>
      </c>
      <c r="BE80" s="75">
        <f>$I80*$K80*py*Index!BD32*Index!BD173/unit</f>
        <v>0</v>
      </c>
      <c r="BF80" s="75">
        <f>$I80*$K80*py*Index!BE32*Index!BE173/unit</f>
        <v>0</v>
      </c>
      <c r="BG80" s="75">
        <f>$I80*$K80*py*Index!BF32*Index!BF173/unit</f>
        <v>0</v>
      </c>
      <c r="BH80" s="75">
        <f>$I80*$K80*py*Index!BG32*Index!BG173/unit</f>
        <v>0</v>
      </c>
      <c r="BI80" s="75">
        <f>$I80*$K80*py*Index!BH32*Index!BH173/unit</f>
        <v>0</v>
      </c>
      <c r="BJ80" s="75">
        <f>$I80*$K80*py*Index!BI32*Index!BI173/unit</f>
        <v>0</v>
      </c>
      <c r="BK80" s="75">
        <f>$I80*$K80*py*Index!BJ32*Index!BJ173/unit</f>
        <v>0</v>
      </c>
      <c r="BL80" s="75">
        <f>$I80*$K80*py*Index!BK32*Index!BK173/unit</f>
        <v>0</v>
      </c>
      <c r="BM80" s="75">
        <f>$I80*$K80*py*Index!BL32*Index!BL173/unit</f>
        <v>0</v>
      </c>
      <c r="BN80" s="75">
        <f>$I80*$K80*py*Index!BM32*Index!BM173/unit</f>
        <v>0</v>
      </c>
      <c r="BO80" s="75">
        <f>$I80*$K80*py*Index!BN32*Index!BN173/unit</f>
        <v>0</v>
      </c>
      <c r="BP80" s="75">
        <f>$I80*$K80*py*Index!BO32*Index!BO173/unit</f>
        <v>0</v>
      </c>
      <c r="BQ80" s="75">
        <f>$I80*$K80*py*Index!BP32*Index!BP173/unit</f>
        <v>0</v>
      </c>
      <c r="BR80" s="75">
        <f>$I80*$K80*py*Index!BQ32*Index!BQ173/unit</f>
        <v>0</v>
      </c>
      <c r="BS80" s="75">
        <f>$I80*$K80*py*Index!BR32*Index!BR173/unit</f>
        <v>0</v>
      </c>
      <c r="BT80" s="75">
        <f>$I80*$K80*py*Index!BS32*Index!BS173/unit</f>
        <v>0</v>
      </c>
      <c r="BU80" s="75">
        <f>$I80*$K80*py*Index!BT32*Index!BT173/unit</f>
        <v>0</v>
      </c>
      <c r="BV80" s="75">
        <f>$I80*$K80*py*Index!BU32*Index!BU173/unit</f>
        <v>0</v>
      </c>
      <c r="BW80" s="75">
        <f>$I80*$K80*py*Index!BV32*Index!BV173/unit</f>
        <v>0</v>
      </c>
      <c r="BX80" s="75">
        <f>$I80*$K80*py*Index!BW32*Index!BW173/unit</f>
        <v>0</v>
      </c>
      <c r="BY80" s="75">
        <f>$I80*$K80*py*Index!BX32*Index!BX173/unit</f>
        <v>0</v>
      </c>
      <c r="BZ80" s="75">
        <f>$I80*$K80*py*Index!BY32*Index!BY173/unit</f>
        <v>0</v>
      </c>
      <c r="CA80" s="75">
        <f>$I80*$K80*py*Index!BZ32*Index!BZ173/unit</f>
        <v>0</v>
      </c>
      <c r="CB80" s="75">
        <f>$I80*$K80*py*Index!CA32*Index!CA173/unit</f>
        <v>0</v>
      </c>
      <c r="CC80" s="75">
        <f>$I80*$K80*py*Index!CB32*Index!CB173/unit</f>
        <v>0</v>
      </c>
      <c r="CD80" s="75">
        <f>$I80*$K80*py*Index!CC32*Index!CC173/unit</f>
        <v>0</v>
      </c>
      <c r="CE80" s="75">
        <f>$I80*$K80*py*Index!CD32*Index!CD173/unit</f>
        <v>0</v>
      </c>
      <c r="CF80" s="75">
        <f>$I80*$K80*py*Index!CE32*Index!CE173/unit</f>
        <v>0</v>
      </c>
      <c r="CG80" s="75">
        <f>$I80*$K80*py*Index!CF32*Index!CF173/unit</f>
        <v>0</v>
      </c>
      <c r="CH80" s="75">
        <f>$I80*$K80*py*Index!CG32*Index!CG173/unit</f>
        <v>0</v>
      </c>
      <c r="CI80" s="75">
        <f>$I80*$K80*py*Index!CH32*Index!CH173/unit</f>
        <v>0</v>
      </c>
      <c r="CJ80" s="75">
        <f>$I80*$K80*py*Index!CI32*Index!CI173/unit</f>
        <v>0</v>
      </c>
      <c r="CK80" s="75">
        <f>$I80*$K80*py*Index!CJ32*Index!CJ173/unit</f>
        <v>0</v>
      </c>
      <c r="CL80" s="75">
        <f>$I80*$K80*py*Index!CK32*Index!CK173/unit</f>
        <v>0</v>
      </c>
      <c r="CM80" s="75">
        <f>$I80*$K80*py*Index!CL32*Index!CL173/unit</f>
        <v>0</v>
      </c>
      <c r="CN80" s="75">
        <f>$I80*$K80*py*Index!CM32*Index!CM173/unit</f>
        <v>0</v>
      </c>
      <c r="CO80" s="75">
        <f>$I80*$K80*py*Index!CN32*Index!CN173/unit</f>
        <v>0</v>
      </c>
      <c r="CP80" s="75">
        <f>$I80*$K80*py*Index!CO32*Index!CO173/unit</f>
        <v>0</v>
      </c>
      <c r="CQ80" s="75">
        <f>$I80*$K80*py*Index!CP32*Index!CP173/unit</f>
        <v>0</v>
      </c>
      <c r="CR80" s="75">
        <f>$I80*$K80*py*Index!CQ32*Index!CQ173/unit</f>
        <v>0</v>
      </c>
      <c r="CS80" s="75">
        <f>$I80*$K80*py*Index!CR32*Index!CR173/unit</f>
        <v>0</v>
      </c>
      <c r="CT80" s="75">
        <f>$I80*$K80*py*Index!CS32*Index!CS173/unit</f>
        <v>0</v>
      </c>
      <c r="CU80" s="75">
        <f>$I80*$K80*py*Index!CT32*Index!CT173/unit</f>
        <v>0</v>
      </c>
      <c r="CV80" s="75">
        <f>$I80*$K80*py*Index!CU32*Index!CU173/unit</f>
        <v>0</v>
      </c>
      <c r="CW80" s="75">
        <f>$I80*$K80*py*Index!CV32*Index!CV173/unit</f>
        <v>0</v>
      </c>
      <c r="CX80" s="75">
        <f>$I80*$K80*py*Index!CW32*Index!CW173/unit</f>
        <v>0</v>
      </c>
      <c r="CY80" s="75">
        <f>$I80*$K80*py*Index!CX32*Index!CX173/unit</f>
        <v>0</v>
      </c>
      <c r="CZ80" s="75">
        <f>$I80*$K80*py*Index!CY32*Index!CY173/unit</f>
        <v>0</v>
      </c>
      <c r="DA80" s="75">
        <f>$I80*$K80*py*Index!CZ32*Index!CZ173/unit</f>
        <v>0</v>
      </c>
      <c r="DB80" s="75">
        <f>$I80*$K80*py*Index!DA32*Index!DA173/unit</f>
        <v>0</v>
      </c>
      <c r="DC80" s="75">
        <f>$I80*$K80*py*Index!DB32*Index!DB173/unit</f>
        <v>0</v>
      </c>
      <c r="DD80" s="75">
        <f>$I80*$K80*py*Index!DC32*Index!DC173/unit</f>
        <v>0</v>
      </c>
      <c r="DE80" s="75">
        <f>$I80*$K80*py*Index!DD32*Index!DD173/unit</f>
        <v>0</v>
      </c>
      <c r="DF80" s="75">
        <f>$I80*$K80*py*Index!DE32*Index!DE173/unit</f>
        <v>0</v>
      </c>
      <c r="DG80" s="75">
        <f>$I80*$K80*py*Index!DF32*Index!DF173/unit</f>
        <v>0</v>
      </c>
      <c r="DH80" s="75">
        <f>$I80*$K80*py*Index!DG32*Index!DG173/unit</f>
        <v>0</v>
      </c>
      <c r="DI80" s="75">
        <f>$I80*$K80*py*Index!DH32*Index!DH173/unit</f>
        <v>0</v>
      </c>
      <c r="DJ80" s="75">
        <f>$I80*$K80*py*Index!DI32*Index!DI173/unit</f>
        <v>0</v>
      </c>
      <c r="DK80" s="75">
        <f>$I80*$K80*py*Index!DJ32*Index!DJ173/unit</f>
        <v>0</v>
      </c>
      <c r="DL80" s="75">
        <f>$I80*$K80*py*Index!DK32*Index!DK173/unit</f>
        <v>0</v>
      </c>
      <c r="DM80" s="75">
        <f>$I80*$K80*py*Index!DL32*Index!DL173/unit</f>
        <v>0</v>
      </c>
    </row>
    <row r="81" spans="2:117">
      <c r="B81" s="27">
        <f>Rentroll!$C$25</f>
        <v>3</v>
      </c>
      <c r="C81" s="69" t="str">
        <f>VLOOKUP($B81,Rentroll!$C$11:$X$29,3,FALSE)</f>
        <v>공실</v>
      </c>
      <c r="D81" s="80"/>
      <c r="E81" s="80"/>
      <c r="F81" s="81">
        <f>VLOOKUP($B81,Rentroll!$C$11:$X$29,11,FALSE)</f>
        <v>0</v>
      </c>
      <c r="G81" s="69">
        <f>VLOOKUP($B81,Rentroll!$C$11:$X$29,13,FALSE)</f>
        <v>0</v>
      </c>
      <c r="H81" s="69">
        <f>VLOOKUP($B81,Rentroll!$C$11:$X$29,14,FALSE)</f>
        <v>0</v>
      </c>
      <c r="I81" s="69">
        <f>VLOOKUP($B81,Rentroll!$C$11:$X$29,15,FALSE)</f>
        <v>0</v>
      </c>
      <c r="J81" s="82">
        <f>VLOOKUP($B81,Rentroll!$C$11:$X$29,19,FALSE)</f>
        <v>0</v>
      </c>
      <c r="K81" s="83">
        <f>VLOOKUP($B81,Rentroll!$C$11:$X$29,4,FALSE)</f>
        <v>1385.09</v>
      </c>
      <c r="L81" s="81">
        <f>VLOOKUP($B81,Rentroll!$C$11:$X$29,17,FALSE)</f>
        <v>0</v>
      </c>
      <c r="M81" s="84">
        <f>VLOOKUP($B81,Rentroll!$C$11:$X$29,18,FALSE)</f>
        <v>0</v>
      </c>
      <c r="O81" s="74">
        <f t="shared" si="216"/>
        <v>3</v>
      </c>
      <c r="P81" s="75"/>
      <c r="Q81" s="75">
        <f t="shared" si="215"/>
        <v>0</v>
      </c>
      <c r="R81" s="75"/>
      <c r="S81" s="75">
        <f>$I81*$K81*py*Index!R33*Index!R174/unit</f>
        <v>0</v>
      </c>
      <c r="T81" s="75">
        <f>$I81*$K81*py*Index!S33*Index!S174/unit</f>
        <v>0</v>
      </c>
      <c r="U81" s="75">
        <f>$I81*$K81*py*Index!T33*Index!T174/unit</f>
        <v>0</v>
      </c>
      <c r="V81" s="75">
        <f>$I81*$K81*py*Index!U33*Index!U174/unit</f>
        <v>0</v>
      </c>
      <c r="W81" s="75">
        <f>$I81*$K81*py*Index!V33*Index!V174/unit</f>
        <v>0</v>
      </c>
      <c r="X81" s="75">
        <f>$I81*$K81*py*Index!W33*Index!W174/unit</f>
        <v>0</v>
      </c>
      <c r="Y81" s="75">
        <f>$I81*$K81*py*Index!X33*Index!X174/unit</f>
        <v>0</v>
      </c>
      <c r="Z81" s="75">
        <f>$I81*$K81*py*Index!Y33*Index!Y174/unit</f>
        <v>0</v>
      </c>
      <c r="AA81" s="75">
        <f>$I81*$K81*py*Index!Z33*Index!Z174/unit</f>
        <v>0</v>
      </c>
      <c r="AB81" s="75">
        <f>$I81*$K81*py*Index!AA33*Index!AA174/unit</f>
        <v>0</v>
      </c>
      <c r="AC81" s="75">
        <f>$I81*$K81*py*Index!AB33*Index!AB174/unit</f>
        <v>0</v>
      </c>
      <c r="AD81" s="75">
        <f>$I81*$K81*py*Index!AC33*Index!AC174/unit</f>
        <v>0</v>
      </c>
      <c r="AE81" s="75">
        <f>$I81*$K81*py*Index!AD33*Index!AD174/unit</f>
        <v>0</v>
      </c>
      <c r="AF81" s="75">
        <f>$I81*$K81*py*Index!AE33*Index!AE174/unit</f>
        <v>0</v>
      </c>
      <c r="AG81" s="75">
        <f>$I81*$K81*py*Index!AF33*Index!AF174/unit</f>
        <v>0</v>
      </c>
      <c r="AH81" s="75">
        <f>$I81*$K81*py*Index!AG33*Index!AG174/unit</f>
        <v>0</v>
      </c>
      <c r="AI81" s="75">
        <f>$I81*$K81*py*Index!AH33*Index!AH174/unit</f>
        <v>0</v>
      </c>
      <c r="AJ81" s="75">
        <f>$I81*$K81*py*Index!AI33*Index!AI174/unit</f>
        <v>0</v>
      </c>
      <c r="AK81" s="75">
        <f>$I81*$K81*py*Index!AJ33*Index!AJ174/unit</f>
        <v>0</v>
      </c>
      <c r="AL81" s="75">
        <f>$I81*$K81*py*Index!AK33*Index!AK174/unit</f>
        <v>0</v>
      </c>
      <c r="AM81" s="75">
        <f>$I81*$K81*py*Index!AL33*Index!AL174/unit</f>
        <v>0</v>
      </c>
      <c r="AN81" s="75">
        <f>$I81*$K81*py*Index!AM33*Index!AM174/unit</f>
        <v>0</v>
      </c>
      <c r="AO81" s="75">
        <f>$I81*$K81*py*Index!AN33*Index!AN174/unit</f>
        <v>0</v>
      </c>
      <c r="AP81" s="75">
        <f>$I81*$K81*py*Index!AO33*Index!AO174/unit</f>
        <v>0</v>
      </c>
      <c r="AQ81" s="75">
        <f>$I81*$K81*py*Index!AP33*Index!AP174/unit</f>
        <v>0</v>
      </c>
      <c r="AR81" s="75">
        <f>$I81*$K81*py*Index!AQ33*Index!AQ174/unit</f>
        <v>0</v>
      </c>
      <c r="AS81" s="75">
        <f>$I81*$K81*py*Index!AR33*Index!AR174/unit</f>
        <v>0</v>
      </c>
      <c r="AT81" s="75">
        <f>$I81*$K81*py*Index!AS33*Index!AS174/unit</f>
        <v>0</v>
      </c>
      <c r="AU81" s="75">
        <f>$I81*$K81*py*Index!AT33*Index!AT174/unit</f>
        <v>0</v>
      </c>
      <c r="AV81" s="75">
        <f>$I81*$K81*py*Index!AU33*Index!AU174/unit</f>
        <v>0</v>
      </c>
      <c r="AW81" s="75">
        <f>$I81*$K81*py*Index!AV33*Index!AV174/unit</f>
        <v>0</v>
      </c>
      <c r="AX81" s="75">
        <f>$I81*$K81*py*Index!AW33*Index!AW174/unit</f>
        <v>0</v>
      </c>
      <c r="AY81" s="75">
        <f>$I81*$K81*py*Index!AX33*Index!AX174/unit</f>
        <v>0</v>
      </c>
      <c r="AZ81" s="75">
        <f>$I81*$K81*py*Index!AY33*Index!AY174/unit</f>
        <v>0</v>
      </c>
      <c r="BA81" s="75">
        <f>$I81*$K81*py*Index!AZ33*Index!AZ174/unit</f>
        <v>0</v>
      </c>
      <c r="BB81" s="75">
        <f>$I81*$K81*py*Index!BA33*Index!BA174/unit</f>
        <v>0</v>
      </c>
      <c r="BC81" s="75">
        <f>$I81*$K81*py*Index!BB33*Index!BB174/unit</f>
        <v>0</v>
      </c>
      <c r="BD81" s="75">
        <f>$I81*$K81*py*Index!BC33*Index!BC174/unit</f>
        <v>0</v>
      </c>
      <c r="BE81" s="75">
        <f>$I81*$K81*py*Index!BD33*Index!BD174/unit</f>
        <v>0</v>
      </c>
      <c r="BF81" s="75">
        <f>$I81*$K81*py*Index!BE33*Index!BE174/unit</f>
        <v>0</v>
      </c>
      <c r="BG81" s="75">
        <f>$I81*$K81*py*Index!BF33*Index!BF174/unit</f>
        <v>0</v>
      </c>
      <c r="BH81" s="75">
        <f>$I81*$K81*py*Index!BG33*Index!BG174/unit</f>
        <v>0</v>
      </c>
      <c r="BI81" s="75">
        <f>$I81*$K81*py*Index!BH33*Index!BH174/unit</f>
        <v>0</v>
      </c>
      <c r="BJ81" s="75">
        <f>$I81*$K81*py*Index!BI33*Index!BI174/unit</f>
        <v>0</v>
      </c>
      <c r="BK81" s="75">
        <f>$I81*$K81*py*Index!BJ33*Index!BJ174/unit</f>
        <v>0</v>
      </c>
      <c r="BL81" s="75">
        <f>$I81*$K81*py*Index!BK33*Index!BK174/unit</f>
        <v>0</v>
      </c>
      <c r="BM81" s="75">
        <f>$I81*$K81*py*Index!BL33*Index!BL174/unit</f>
        <v>0</v>
      </c>
      <c r="BN81" s="75">
        <f>$I81*$K81*py*Index!BM33*Index!BM174/unit</f>
        <v>0</v>
      </c>
      <c r="BO81" s="75">
        <f>$I81*$K81*py*Index!BN33*Index!BN174/unit</f>
        <v>0</v>
      </c>
      <c r="BP81" s="75">
        <f>$I81*$K81*py*Index!BO33*Index!BO174/unit</f>
        <v>0</v>
      </c>
      <c r="BQ81" s="75">
        <f>$I81*$K81*py*Index!BP33*Index!BP174/unit</f>
        <v>0</v>
      </c>
      <c r="BR81" s="75">
        <f>$I81*$K81*py*Index!BQ33*Index!BQ174/unit</f>
        <v>0</v>
      </c>
      <c r="BS81" s="75">
        <f>$I81*$K81*py*Index!BR33*Index!BR174/unit</f>
        <v>0</v>
      </c>
      <c r="BT81" s="75">
        <f>$I81*$K81*py*Index!BS33*Index!BS174/unit</f>
        <v>0</v>
      </c>
      <c r="BU81" s="75">
        <f>$I81*$K81*py*Index!BT33*Index!BT174/unit</f>
        <v>0</v>
      </c>
      <c r="BV81" s="75">
        <f>$I81*$K81*py*Index!BU33*Index!BU174/unit</f>
        <v>0</v>
      </c>
      <c r="BW81" s="75">
        <f>$I81*$K81*py*Index!BV33*Index!BV174/unit</f>
        <v>0</v>
      </c>
      <c r="BX81" s="75">
        <f>$I81*$K81*py*Index!BW33*Index!BW174/unit</f>
        <v>0</v>
      </c>
      <c r="BY81" s="75">
        <f>$I81*$K81*py*Index!BX33*Index!BX174/unit</f>
        <v>0</v>
      </c>
      <c r="BZ81" s="75">
        <f>$I81*$K81*py*Index!BY33*Index!BY174/unit</f>
        <v>0</v>
      </c>
      <c r="CA81" s="75">
        <f>$I81*$K81*py*Index!BZ33*Index!BZ174/unit</f>
        <v>0</v>
      </c>
      <c r="CB81" s="75">
        <f>$I81*$K81*py*Index!CA33*Index!CA174/unit</f>
        <v>0</v>
      </c>
      <c r="CC81" s="75">
        <f>$I81*$K81*py*Index!CB33*Index!CB174/unit</f>
        <v>0</v>
      </c>
      <c r="CD81" s="75">
        <f>$I81*$K81*py*Index!CC33*Index!CC174/unit</f>
        <v>0</v>
      </c>
      <c r="CE81" s="75">
        <f>$I81*$K81*py*Index!CD33*Index!CD174/unit</f>
        <v>0</v>
      </c>
      <c r="CF81" s="75">
        <f>$I81*$K81*py*Index!CE33*Index!CE174/unit</f>
        <v>0</v>
      </c>
      <c r="CG81" s="75">
        <f>$I81*$K81*py*Index!CF33*Index!CF174/unit</f>
        <v>0</v>
      </c>
      <c r="CH81" s="75">
        <f>$I81*$K81*py*Index!CG33*Index!CG174/unit</f>
        <v>0</v>
      </c>
      <c r="CI81" s="75">
        <f>$I81*$K81*py*Index!CH33*Index!CH174/unit</f>
        <v>0</v>
      </c>
      <c r="CJ81" s="75">
        <f>$I81*$K81*py*Index!CI33*Index!CI174/unit</f>
        <v>0</v>
      </c>
      <c r="CK81" s="75">
        <f>$I81*$K81*py*Index!CJ33*Index!CJ174/unit</f>
        <v>0</v>
      </c>
      <c r="CL81" s="75">
        <f>$I81*$K81*py*Index!CK33*Index!CK174/unit</f>
        <v>0</v>
      </c>
      <c r="CM81" s="75">
        <f>$I81*$K81*py*Index!CL33*Index!CL174/unit</f>
        <v>0</v>
      </c>
      <c r="CN81" s="75">
        <f>$I81*$K81*py*Index!CM33*Index!CM174/unit</f>
        <v>0</v>
      </c>
      <c r="CO81" s="75">
        <f>$I81*$K81*py*Index!CN33*Index!CN174/unit</f>
        <v>0</v>
      </c>
      <c r="CP81" s="75">
        <f>$I81*$K81*py*Index!CO33*Index!CO174/unit</f>
        <v>0</v>
      </c>
      <c r="CQ81" s="75">
        <f>$I81*$K81*py*Index!CP33*Index!CP174/unit</f>
        <v>0</v>
      </c>
      <c r="CR81" s="75">
        <f>$I81*$K81*py*Index!CQ33*Index!CQ174/unit</f>
        <v>0</v>
      </c>
      <c r="CS81" s="75">
        <f>$I81*$K81*py*Index!CR33*Index!CR174/unit</f>
        <v>0</v>
      </c>
      <c r="CT81" s="75">
        <f>$I81*$K81*py*Index!CS33*Index!CS174/unit</f>
        <v>0</v>
      </c>
      <c r="CU81" s="75">
        <f>$I81*$K81*py*Index!CT33*Index!CT174/unit</f>
        <v>0</v>
      </c>
      <c r="CV81" s="75">
        <f>$I81*$K81*py*Index!CU33*Index!CU174/unit</f>
        <v>0</v>
      </c>
      <c r="CW81" s="75">
        <f>$I81*$K81*py*Index!CV33*Index!CV174/unit</f>
        <v>0</v>
      </c>
      <c r="CX81" s="75">
        <f>$I81*$K81*py*Index!CW33*Index!CW174/unit</f>
        <v>0</v>
      </c>
      <c r="CY81" s="75">
        <f>$I81*$K81*py*Index!CX33*Index!CX174/unit</f>
        <v>0</v>
      </c>
      <c r="CZ81" s="75">
        <f>$I81*$K81*py*Index!CY33*Index!CY174/unit</f>
        <v>0</v>
      </c>
      <c r="DA81" s="75">
        <f>$I81*$K81*py*Index!CZ33*Index!CZ174/unit</f>
        <v>0</v>
      </c>
      <c r="DB81" s="75">
        <f>$I81*$K81*py*Index!DA33*Index!DA174/unit</f>
        <v>0</v>
      </c>
      <c r="DC81" s="75">
        <f>$I81*$K81*py*Index!DB33*Index!DB174/unit</f>
        <v>0</v>
      </c>
      <c r="DD81" s="75">
        <f>$I81*$K81*py*Index!DC33*Index!DC174/unit</f>
        <v>0</v>
      </c>
      <c r="DE81" s="75">
        <f>$I81*$K81*py*Index!DD33*Index!DD174/unit</f>
        <v>0</v>
      </c>
      <c r="DF81" s="75">
        <f>$I81*$K81*py*Index!DE33*Index!DE174/unit</f>
        <v>0</v>
      </c>
      <c r="DG81" s="75">
        <f>$I81*$K81*py*Index!DF33*Index!DF174/unit</f>
        <v>0</v>
      </c>
      <c r="DH81" s="75">
        <f>$I81*$K81*py*Index!DG33*Index!DG174/unit</f>
        <v>0</v>
      </c>
      <c r="DI81" s="75">
        <f>$I81*$K81*py*Index!DH33*Index!DH174/unit</f>
        <v>0</v>
      </c>
      <c r="DJ81" s="75">
        <f>$I81*$K81*py*Index!DI33*Index!DI174/unit</f>
        <v>0</v>
      </c>
      <c r="DK81" s="75">
        <f>$I81*$K81*py*Index!DJ33*Index!DJ174/unit</f>
        <v>0</v>
      </c>
      <c r="DL81" s="75">
        <f>$I81*$K81*py*Index!DK33*Index!DK174/unit</f>
        <v>0</v>
      </c>
      <c r="DM81" s="75">
        <f>$I81*$K81*py*Index!DL33*Index!DL174/unit</f>
        <v>0</v>
      </c>
    </row>
    <row r="82" spans="2:117">
      <c r="B82" s="27">
        <f>Rentroll!$C$26</f>
        <v>2</v>
      </c>
      <c r="C82" s="69" t="str">
        <f>VLOOKUP($B82,Rentroll!$C$11:$X$29,3,FALSE)</f>
        <v>공실</v>
      </c>
      <c r="D82" s="80"/>
      <c r="E82" s="80"/>
      <c r="F82" s="81">
        <f>VLOOKUP($B82,Rentroll!$C$11:$X$29,11,FALSE)</f>
        <v>0</v>
      </c>
      <c r="G82" s="69">
        <f>VLOOKUP($B82,Rentroll!$C$11:$X$29,13,FALSE)</f>
        <v>0</v>
      </c>
      <c r="H82" s="69">
        <f>VLOOKUP($B82,Rentroll!$C$11:$X$29,14,FALSE)</f>
        <v>0</v>
      </c>
      <c r="I82" s="69">
        <f>VLOOKUP($B82,Rentroll!$C$11:$X$29,15,FALSE)</f>
        <v>0</v>
      </c>
      <c r="J82" s="82">
        <f>VLOOKUP($B82,Rentroll!$C$11:$X$29,19,FALSE)</f>
        <v>0</v>
      </c>
      <c r="K82" s="83">
        <f>VLOOKUP($B82,Rentroll!$C$11:$X$29,4,FALSE)</f>
        <v>1385.09</v>
      </c>
      <c r="L82" s="81">
        <f>VLOOKUP($B82,Rentroll!$C$11:$X$29,17,FALSE)</f>
        <v>0</v>
      </c>
      <c r="M82" s="84">
        <f>VLOOKUP($B82,Rentroll!$C$11:$X$29,18,FALSE)</f>
        <v>0</v>
      </c>
      <c r="O82" s="74">
        <f t="shared" si="216"/>
        <v>2</v>
      </c>
      <c r="P82" s="75"/>
      <c r="Q82" s="75">
        <f t="shared" si="215"/>
        <v>0</v>
      </c>
      <c r="R82" s="75"/>
      <c r="S82" s="75">
        <f>$I82*$K82*py*Index!R34*Index!R175/unit</f>
        <v>0</v>
      </c>
      <c r="T82" s="75">
        <f>$I82*$K82*py*Index!S34*Index!S175/unit</f>
        <v>0</v>
      </c>
      <c r="U82" s="75">
        <f>$I82*$K82*py*Index!T34*Index!T175/unit</f>
        <v>0</v>
      </c>
      <c r="V82" s="75">
        <f>$I82*$K82*py*Index!U34*Index!U175/unit</f>
        <v>0</v>
      </c>
      <c r="W82" s="75">
        <f>$I82*$K82*py*Index!V34*Index!V175/unit</f>
        <v>0</v>
      </c>
      <c r="X82" s="75">
        <f>$I82*$K82*py*Index!W34*Index!W175/unit</f>
        <v>0</v>
      </c>
      <c r="Y82" s="75">
        <f>$I82*$K82*py*Index!X34*Index!X175/unit</f>
        <v>0</v>
      </c>
      <c r="Z82" s="75">
        <f>$I82*$K82*py*Index!Y34*Index!Y175/unit</f>
        <v>0</v>
      </c>
      <c r="AA82" s="75">
        <f>$I82*$K82*py*Index!Z34*Index!Z175/unit</f>
        <v>0</v>
      </c>
      <c r="AB82" s="75">
        <f>$I82*$K82*py*Index!AA34*Index!AA175/unit</f>
        <v>0</v>
      </c>
      <c r="AC82" s="75">
        <f>$I82*$K82*py*Index!AB34*Index!AB175/unit</f>
        <v>0</v>
      </c>
      <c r="AD82" s="75">
        <f>$I82*$K82*py*Index!AC34*Index!AC175/unit</f>
        <v>0</v>
      </c>
      <c r="AE82" s="75">
        <f>$I82*$K82*py*Index!AD34*Index!AD175/unit</f>
        <v>0</v>
      </c>
      <c r="AF82" s="75">
        <f>$I82*$K82*py*Index!AE34*Index!AE175/unit</f>
        <v>0</v>
      </c>
      <c r="AG82" s="75">
        <f>$I82*$K82*py*Index!AF34*Index!AF175/unit</f>
        <v>0</v>
      </c>
      <c r="AH82" s="75">
        <f>$I82*$K82*py*Index!AG34*Index!AG175/unit</f>
        <v>0</v>
      </c>
      <c r="AI82" s="75">
        <f>$I82*$K82*py*Index!AH34*Index!AH175/unit</f>
        <v>0</v>
      </c>
      <c r="AJ82" s="75">
        <f>$I82*$K82*py*Index!AI34*Index!AI175/unit</f>
        <v>0</v>
      </c>
      <c r="AK82" s="75">
        <f>$I82*$K82*py*Index!AJ34*Index!AJ175/unit</f>
        <v>0</v>
      </c>
      <c r="AL82" s="75">
        <f>$I82*$K82*py*Index!AK34*Index!AK175/unit</f>
        <v>0</v>
      </c>
      <c r="AM82" s="75">
        <f>$I82*$K82*py*Index!AL34*Index!AL175/unit</f>
        <v>0</v>
      </c>
      <c r="AN82" s="75">
        <f>$I82*$K82*py*Index!AM34*Index!AM175/unit</f>
        <v>0</v>
      </c>
      <c r="AO82" s="75">
        <f>$I82*$K82*py*Index!AN34*Index!AN175/unit</f>
        <v>0</v>
      </c>
      <c r="AP82" s="75">
        <f>$I82*$K82*py*Index!AO34*Index!AO175/unit</f>
        <v>0</v>
      </c>
      <c r="AQ82" s="75">
        <f>$I82*$K82*py*Index!AP34*Index!AP175/unit</f>
        <v>0</v>
      </c>
      <c r="AR82" s="75">
        <f>$I82*$K82*py*Index!AQ34*Index!AQ175/unit</f>
        <v>0</v>
      </c>
      <c r="AS82" s="75">
        <f>$I82*$K82*py*Index!AR34*Index!AR175/unit</f>
        <v>0</v>
      </c>
      <c r="AT82" s="75">
        <f>$I82*$K82*py*Index!AS34*Index!AS175/unit</f>
        <v>0</v>
      </c>
      <c r="AU82" s="75">
        <f>$I82*$K82*py*Index!AT34*Index!AT175/unit</f>
        <v>0</v>
      </c>
      <c r="AV82" s="75">
        <f>$I82*$K82*py*Index!AU34*Index!AU175/unit</f>
        <v>0</v>
      </c>
      <c r="AW82" s="75">
        <f>$I82*$K82*py*Index!AV34*Index!AV175/unit</f>
        <v>0</v>
      </c>
      <c r="AX82" s="75">
        <f>$I82*$K82*py*Index!AW34*Index!AW175/unit</f>
        <v>0</v>
      </c>
      <c r="AY82" s="75">
        <f>$I82*$K82*py*Index!AX34*Index!AX175/unit</f>
        <v>0</v>
      </c>
      <c r="AZ82" s="75">
        <f>$I82*$K82*py*Index!AY34*Index!AY175/unit</f>
        <v>0</v>
      </c>
      <c r="BA82" s="75">
        <f>$I82*$K82*py*Index!AZ34*Index!AZ175/unit</f>
        <v>0</v>
      </c>
      <c r="BB82" s="75">
        <f>$I82*$K82*py*Index!BA34*Index!BA175/unit</f>
        <v>0</v>
      </c>
      <c r="BC82" s="75">
        <f>$I82*$K82*py*Index!BB34*Index!BB175/unit</f>
        <v>0</v>
      </c>
      <c r="BD82" s="75">
        <f>$I82*$K82*py*Index!BC34*Index!BC175/unit</f>
        <v>0</v>
      </c>
      <c r="BE82" s="75">
        <f>$I82*$K82*py*Index!BD34*Index!BD175/unit</f>
        <v>0</v>
      </c>
      <c r="BF82" s="75">
        <f>$I82*$K82*py*Index!BE34*Index!BE175/unit</f>
        <v>0</v>
      </c>
      <c r="BG82" s="75">
        <f>$I82*$K82*py*Index!BF34*Index!BF175/unit</f>
        <v>0</v>
      </c>
      <c r="BH82" s="75">
        <f>$I82*$K82*py*Index!BG34*Index!BG175/unit</f>
        <v>0</v>
      </c>
      <c r="BI82" s="75">
        <f>$I82*$K82*py*Index!BH34*Index!BH175/unit</f>
        <v>0</v>
      </c>
      <c r="BJ82" s="75">
        <f>$I82*$K82*py*Index!BI34*Index!BI175/unit</f>
        <v>0</v>
      </c>
      <c r="BK82" s="75">
        <f>$I82*$K82*py*Index!BJ34*Index!BJ175/unit</f>
        <v>0</v>
      </c>
      <c r="BL82" s="75">
        <f>$I82*$K82*py*Index!BK34*Index!BK175/unit</f>
        <v>0</v>
      </c>
      <c r="BM82" s="75">
        <f>$I82*$K82*py*Index!BL34*Index!BL175/unit</f>
        <v>0</v>
      </c>
      <c r="BN82" s="75">
        <f>$I82*$K82*py*Index!BM34*Index!BM175/unit</f>
        <v>0</v>
      </c>
      <c r="BO82" s="75">
        <f>$I82*$K82*py*Index!BN34*Index!BN175/unit</f>
        <v>0</v>
      </c>
      <c r="BP82" s="75">
        <f>$I82*$K82*py*Index!BO34*Index!BO175/unit</f>
        <v>0</v>
      </c>
      <c r="BQ82" s="75">
        <f>$I82*$K82*py*Index!BP34*Index!BP175/unit</f>
        <v>0</v>
      </c>
      <c r="BR82" s="75">
        <f>$I82*$K82*py*Index!BQ34*Index!BQ175/unit</f>
        <v>0</v>
      </c>
      <c r="BS82" s="75">
        <f>$I82*$K82*py*Index!BR34*Index!BR175/unit</f>
        <v>0</v>
      </c>
      <c r="BT82" s="75">
        <f>$I82*$K82*py*Index!BS34*Index!BS175/unit</f>
        <v>0</v>
      </c>
      <c r="BU82" s="75">
        <f>$I82*$K82*py*Index!BT34*Index!BT175/unit</f>
        <v>0</v>
      </c>
      <c r="BV82" s="75">
        <f>$I82*$K82*py*Index!BU34*Index!BU175/unit</f>
        <v>0</v>
      </c>
      <c r="BW82" s="75">
        <f>$I82*$K82*py*Index!BV34*Index!BV175/unit</f>
        <v>0</v>
      </c>
      <c r="BX82" s="75">
        <f>$I82*$K82*py*Index!BW34*Index!BW175/unit</f>
        <v>0</v>
      </c>
      <c r="BY82" s="75">
        <f>$I82*$K82*py*Index!BX34*Index!BX175/unit</f>
        <v>0</v>
      </c>
      <c r="BZ82" s="75">
        <f>$I82*$K82*py*Index!BY34*Index!BY175/unit</f>
        <v>0</v>
      </c>
      <c r="CA82" s="75">
        <f>$I82*$K82*py*Index!BZ34*Index!BZ175/unit</f>
        <v>0</v>
      </c>
      <c r="CB82" s="75">
        <f>$I82*$K82*py*Index!CA34*Index!CA175/unit</f>
        <v>0</v>
      </c>
      <c r="CC82" s="75">
        <f>$I82*$K82*py*Index!CB34*Index!CB175/unit</f>
        <v>0</v>
      </c>
      <c r="CD82" s="75">
        <f>$I82*$K82*py*Index!CC34*Index!CC175/unit</f>
        <v>0</v>
      </c>
      <c r="CE82" s="75">
        <f>$I82*$K82*py*Index!CD34*Index!CD175/unit</f>
        <v>0</v>
      </c>
      <c r="CF82" s="75">
        <f>$I82*$K82*py*Index!CE34*Index!CE175/unit</f>
        <v>0</v>
      </c>
      <c r="CG82" s="75">
        <f>$I82*$K82*py*Index!CF34*Index!CF175/unit</f>
        <v>0</v>
      </c>
      <c r="CH82" s="75">
        <f>$I82*$K82*py*Index!CG34*Index!CG175/unit</f>
        <v>0</v>
      </c>
      <c r="CI82" s="75">
        <f>$I82*$K82*py*Index!CH34*Index!CH175/unit</f>
        <v>0</v>
      </c>
      <c r="CJ82" s="75">
        <f>$I82*$K82*py*Index!CI34*Index!CI175/unit</f>
        <v>0</v>
      </c>
      <c r="CK82" s="75">
        <f>$I82*$K82*py*Index!CJ34*Index!CJ175/unit</f>
        <v>0</v>
      </c>
      <c r="CL82" s="75">
        <f>$I82*$K82*py*Index!CK34*Index!CK175/unit</f>
        <v>0</v>
      </c>
      <c r="CM82" s="75">
        <f>$I82*$K82*py*Index!CL34*Index!CL175/unit</f>
        <v>0</v>
      </c>
      <c r="CN82" s="75">
        <f>$I82*$K82*py*Index!CM34*Index!CM175/unit</f>
        <v>0</v>
      </c>
      <c r="CO82" s="75">
        <f>$I82*$K82*py*Index!CN34*Index!CN175/unit</f>
        <v>0</v>
      </c>
      <c r="CP82" s="75">
        <f>$I82*$K82*py*Index!CO34*Index!CO175/unit</f>
        <v>0</v>
      </c>
      <c r="CQ82" s="75">
        <f>$I82*$K82*py*Index!CP34*Index!CP175/unit</f>
        <v>0</v>
      </c>
      <c r="CR82" s="75">
        <f>$I82*$K82*py*Index!CQ34*Index!CQ175/unit</f>
        <v>0</v>
      </c>
      <c r="CS82" s="75">
        <f>$I82*$K82*py*Index!CR34*Index!CR175/unit</f>
        <v>0</v>
      </c>
      <c r="CT82" s="75">
        <f>$I82*$K82*py*Index!CS34*Index!CS175/unit</f>
        <v>0</v>
      </c>
      <c r="CU82" s="75">
        <f>$I82*$K82*py*Index!CT34*Index!CT175/unit</f>
        <v>0</v>
      </c>
      <c r="CV82" s="75">
        <f>$I82*$K82*py*Index!CU34*Index!CU175/unit</f>
        <v>0</v>
      </c>
      <c r="CW82" s="75">
        <f>$I82*$K82*py*Index!CV34*Index!CV175/unit</f>
        <v>0</v>
      </c>
      <c r="CX82" s="75">
        <f>$I82*$K82*py*Index!CW34*Index!CW175/unit</f>
        <v>0</v>
      </c>
      <c r="CY82" s="75">
        <f>$I82*$K82*py*Index!CX34*Index!CX175/unit</f>
        <v>0</v>
      </c>
      <c r="CZ82" s="75">
        <f>$I82*$K82*py*Index!CY34*Index!CY175/unit</f>
        <v>0</v>
      </c>
      <c r="DA82" s="75">
        <f>$I82*$K82*py*Index!CZ34*Index!CZ175/unit</f>
        <v>0</v>
      </c>
      <c r="DB82" s="75">
        <f>$I82*$K82*py*Index!DA34*Index!DA175/unit</f>
        <v>0</v>
      </c>
      <c r="DC82" s="75">
        <f>$I82*$K82*py*Index!DB34*Index!DB175/unit</f>
        <v>0</v>
      </c>
      <c r="DD82" s="75">
        <f>$I82*$K82*py*Index!DC34*Index!DC175/unit</f>
        <v>0</v>
      </c>
      <c r="DE82" s="75">
        <f>$I82*$K82*py*Index!DD34*Index!DD175/unit</f>
        <v>0</v>
      </c>
      <c r="DF82" s="75">
        <f>$I82*$K82*py*Index!DE34*Index!DE175/unit</f>
        <v>0</v>
      </c>
      <c r="DG82" s="75">
        <f>$I82*$K82*py*Index!DF34*Index!DF175/unit</f>
        <v>0</v>
      </c>
      <c r="DH82" s="75">
        <f>$I82*$K82*py*Index!DG34*Index!DG175/unit</f>
        <v>0</v>
      </c>
      <c r="DI82" s="75">
        <f>$I82*$K82*py*Index!DH34*Index!DH175/unit</f>
        <v>0</v>
      </c>
      <c r="DJ82" s="75">
        <f>$I82*$K82*py*Index!DI34*Index!DI175/unit</f>
        <v>0</v>
      </c>
      <c r="DK82" s="75">
        <f>$I82*$K82*py*Index!DJ34*Index!DJ175/unit</f>
        <v>0</v>
      </c>
      <c r="DL82" s="75">
        <f>$I82*$K82*py*Index!DK34*Index!DK175/unit</f>
        <v>0</v>
      </c>
      <c r="DM82" s="75">
        <f>$I82*$K82*py*Index!DL34*Index!DL175/unit</f>
        <v>0</v>
      </c>
    </row>
    <row r="83" spans="2:117">
      <c r="B83" s="27">
        <f>Rentroll!$C$27</f>
        <v>1</v>
      </c>
      <c r="C83" s="69" t="str">
        <f>VLOOKUP($B83,Rentroll!$C$11:$X$29,3,FALSE)</f>
        <v>파파 커피앤도넛</v>
      </c>
      <c r="D83" s="80">
        <f>VLOOKUP($B83,Rentroll!$C$11:$X$29,9,FALSE)</f>
        <v>42064</v>
      </c>
      <c r="E83" s="80">
        <f>VLOOKUP($B83,Rentroll!$C$11:$X$29,10,FALSE)</f>
        <v>45716</v>
      </c>
      <c r="F83" s="81">
        <f>VLOOKUP($B83,Rentroll!$C$11:$X$29,11,FALSE)</f>
        <v>120</v>
      </c>
      <c r="G83" s="69">
        <f>VLOOKUP($B83,Rentroll!$C$11:$X$29,13,FALSE)</f>
        <v>91334</v>
      </c>
      <c r="H83" s="69">
        <f>VLOOKUP($B83,Rentroll!$C$11:$X$29,14,FALSE)</f>
        <v>83722.833333333328</v>
      </c>
      <c r="I83" s="69">
        <f>VLOOKUP($B83,Rentroll!$C$11:$X$29,15,FALSE)</f>
        <v>39143</v>
      </c>
      <c r="J83" s="82">
        <f>VLOOKUP($B83,Rentroll!$C$11:$X$29,19,FALSE)</f>
        <v>0.03</v>
      </c>
      <c r="K83" s="83">
        <f>VLOOKUP($B83,Rentroll!$C$11:$X$29,4,FALSE)</f>
        <v>969.56</v>
      </c>
      <c r="L83" s="81">
        <f>VLOOKUP($B83,Rentroll!$C$11:$X$29,17,FALSE)</f>
        <v>0</v>
      </c>
      <c r="M83" s="84">
        <f>VLOOKUP($B83,Rentroll!$C$11:$X$29,18,FALSE)</f>
        <v>1</v>
      </c>
      <c r="O83" s="74">
        <f t="shared" si="216"/>
        <v>1</v>
      </c>
      <c r="P83" s="75"/>
      <c r="Q83" s="75">
        <f t="shared" si="215"/>
        <v>11.480324841699998</v>
      </c>
      <c r="R83" s="75"/>
      <c r="S83" s="75">
        <f>$I83*$K83*py*Index!R35*Index!R176/unit</f>
        <v>0</v>
      </c>
      <c r="T83" s="75">
        <f>$I83*$K83*py*Index!S35*Index!S176/unit</f>
        <v>11.480324841699998</v>
      </c>
      <c r="U83" s="75">
        <f>$I83*$K83*py*Index!T35*Index!T176/unit</f>
        <v>0</v>
      </c>
      <c r="V83" s="75">
        <f>$I83*$K83*py*Index!U35*Index!U176/unit</f>
        <v>0</v>
      </c>
      <c r="W83" s="75">
        <f>$I83*$K83*py*Index!V35*Index!V176/unit</f>
        <v>0</v>
      </c>
      <c r="X83" s="75">
        <f>$I83*$K83*py*Index!W35*Index!W176/unit</f>
        <v>0</v>
      </c>
      <c r="Y83" s="75">
        <f>$I83*$K83*py*Index!X35*Index!X176/unit</f>
        <v>0</v>
      </c>
      <c r="Z83" s="75">
        <f>$I83*$K83*py*Index!Y35*Index!Y176/unit</f>
        <v>0</v>
      </c>
      <c r="AA83" s="75">
        <f>$I83*$K83*py*Index!Z35*Index!Z176/unit</f>
        <v>0</v>
      </c>
      <c r="AB83" s="75">
        <f>$I83*$K83*py*Index!AA35*Index!AA176/unit</f>
        <v>0</v>
      </c>
      <c r="AC83" s="75">
        <f>$I83*$K83*py*Index!AB35*Index!AB176/unit</f>
        <v>0</v>
      </c>
      <c r="AD83" s="75">
        <f>$I83*$K83*py*Index!AC35*Index!AC176/unit</f>
        <v>0</v>
      </c>
      <c r="AE83" s="75">
        <f>$I83*$K83*py*Index!AD35*Index!AD176/unit</f>
        <v>0</v>
      </c>
      <c r="AF83" s="75">
        <f>$I83*$K83*py*Index!AE35*Index!AE176/unit</f>
        <v>0</v>
      </c>
      <c r="AG83" s="75">
        <f>$I83*$K83*py*Index!AF35*Index!AF176/unit</f>
        <v>0</v>
      </c>
      <c r="AH83" s="75">
        <f>$I83*$K83*py*Index!AG35*Index!AG176/unit</f>
        <v>0</v>
      </c>
      <c r="AI83" s="75">
        <f>$I83*$K83*py*Index!AH35*Index!AH176/unit</f>
        <v>0</v>
      </c>
      <c r="AJ83" s="75">
        <f>$I83*$K83*py*Index!AI35*Index!AI176/unit</f>
        <v>0</v>
      </c>
      <c r="AK83" s="75">
        <f>$I83*$K83*py*Index!AJ35*Index!AJ176/unit</f>
        <v>0</v>
      </c>
      <c r="AL83" s="75">
        <f>$I83*$K83*py*Index!AK35*Index!AK176/unit</f>
        <v>0</v>
      </c>
      <c r="AM83" s="75">
        <f>$I83*$K83*py*Index!AL35*Index!AL176/unit</f>
        <v>0</v>
      </c>
      <c r="AN83" s="75">
        <f>$I83*$K83*py*Index!AM35*Index!AM176/unit</f>
        <v>0</v>
      </c>
      <c r="AO83" s="75">
        <f>$I83*$K83*py*Index!AN35*Index!AN176/unit</f>
        <v>0</v>
      </c>
      <c r="AP83" s="75">
        <f>$I83*$K83*py*Index!AO35*Index!AO176/unit</f>
        <v>0</v>
      </c>
      <c r="AQ83" s="75">
        <f>$I83*$K83*py*Index!AP35*Index!AP176/unit</f>
        <v>0</v>
      </c>
      <c r="AR83" s="75">
        <f>$I83*$K83*py*Index!AQ35*Index!AQ176/unit</f>
        <v>0</v>
      </c>
      <c r="AS83" s="75">
        <f>$I83*$K83*py*Index!AR35*Index!AR176/unit</f>
        <v>0</v>
      </c>
      <c r="AT83" s="75">
        <f>$I83*$K83*py*Index!AS35*Index!AS176/unit</f>
        <v>0</v>
      </c>
      <c r="AU83" s="75">
        <f>$I83*$K83*py*Index!AT35*Index!AT176/unit</f>
        <v>0</v>
      </c>
      <c r="AV83" s="75">
        <f>$I83*$K83*py*Index!AU35*Index!AU176/unit</f>
        <v>0</v>
      </c>
      <c r="AW83" s="75">
        <f>$I83*$K83*py*Index!AV35*Index!AV176/unit</f>
        <v>0</v>
      </c>
      <c r="AX83" s="75">
        <f>$I83*$K83*py*Index!AW35*Index!AW176/unit</f>
        <v>0</v>
      </c>
      <c r="AY83" s="75">
        <f>$I83*$K83*py*Index!AX35*Index!AX176/unit</f>
        <v>0</v>
      </c>
      <c r="AZ83" s="75">
        <f>$I83*$K83*py*Index!AY35*Index!AY176/unit</f>
        <v>0</v>
      </c>
      <c r="BA83" s="75">
        <f>$I83*$K83*py*Index!AZ35*Index!AZ176/unit</f>
        <v>0</v>
      </c>
      <c r="BB83" s="75">
        <f>$I83*$K83*py*Index!BA35*Index!BA176/unit</f>
        <v>0</v>
      </c>
      <c r="BC83" s="75">
        <f>$I83*$K83*py*Index!BB35*Index!BB176/unit</f>
        <v>0</v>
      </c>
      <c r="BD83" s="75">
        <f>$I83*$K83*py*Index!BC35*Index!BC176/unit</f>
        <v>0</v>
      </c>
      <c r="BE83" s="75">
        <f>$I83*$K83*py*Index!BD35*Index!BD176/unit</f>
        <v>0</v>
      </c>
      <c r="BF83" s="75">
        <f>$I83*$K83*py*Index!BE35*Index!BE176/unit</f>
        <v>0</v>
      </c>
      <c r="BG83" s="75">
        <f>$I83*$K83*py*Index!BF35*Index!BF176/unit</f>
        <v>0</v>
      </c>
      <c r="BH83" s="75">
        <f>$I83*$K83*py*Index!BG35*Index!BG176/unit</f>
        <v>0</v>
      </c>
      <c r="BI83" s="75">
        <f>$I83*$K83*py*Index!BH35*Index!BH176/unit</f>
        <v>0</v>
      </c>
      <c r="BJ83" s="75">
        <f>$I83*$K83*py*Index!BI35*Index!BI176/unit</f>
        <v>0</v>
      </c>
      <c r="BK83" s="75">
        <f>$I83*$K83*py*Index!BJ35*Index!BJ176/unit</f>
        <v>0</v>
      </c>
      <c r="BL83" s="75">
        <f>$I83*$K83*py*Index!BK35*Index!BK176/unit</f>
        <v>0</v>
      </c>
      <c r="BM83" s="75">
        <f>$I83*$K83*py*Index!BL35*Index!BL176/unit</f>
        <v>0</v>
      </c>
      <c r="BN83" s="75">
        <f>$I83*$K83*py*Index!BM35*Index!BM176/unit</f>
        <v>0</v>
      </c>
      <c r="BO83" s="75">
        <f>$I83*$K83*py*Index!BN35*Index!BN176/unit</f>
        <v>0</v>
      </c>
      <c r="BP83" s="75">
        <f>$I83*$K83*py*Index!BO35*Index!BO176/unit</f>
        <v>0</v>
      </c>
      <c r="BQ83" s="75">
        <f>$I83*$K83*py*Index!BP35*Index!BP176/unit</f>
        <v>0</v>
      </c>
      <c r="BR83" s="75">
        <f>$I83*$K83*py*Index!BQ35*Index!BQ176/unit</f>
        <v>0</v>
      </c>
      <c r="BS83" s="75">
        <f>$I83*$K83*py*Index!BR35*Index!BR176/unit</f>
        <v>0</v>
      </c>
      <c r="BT83" s="75">
        <f>$I83*$K83*py*Index!BS35*Index!BS176/unit</f>
        <v>0</v>
      </c>
      <c r="BU83" s="75">
        <f>$I83*$K83*py*Index!BT35*Index!BT176/unit</f>
        <v>0</v>
      </c>
      <c r="BV83" s="75">
        <f>$I83*$K83*py*Index!BU35*Index!BU176/unit</f>
        <v>0</v>
      </c>
      <c r="BW83" s="75">
        <f>$I83*$K83*py*Index!BV35*Index!BV176/unit</f>
        <v>0</v>
      </c>
      <c r="BX83" s="75">
        <f>$I83*$K83*py*Index!BW35*Index!BW176/unit</f>
        <v>0</v>
      </c>
      <c r="BY83" s="75">
        <f>$I83*$K83*py*Index!BX35*Index!BX176/unit</f>
        <v>0</v>
      </c>
      <c r="BZ83" s="75">
        <f>$I83*$K83*py*Index!BY35*Index!BY176/unit</f>
        <v>0</v>
      </c>
      <c r="CA83" s="75">
        <f>$I83*$K83*py*Index!BZ35*Index!BZ176/unit</f>
        <v>0</v>
      </c>
      <c r="CB83" s="75">
        <f>$I83*$K83*py*Index!CA35*Index!CA176/unit</f>
        <v>0</v>
      </c>
      <c r="CC83" s="75">
        <f>$I83*$K83*py*Index!CB35*Index!CB176/unit</f>
        <v>0</v>
      </c>
      <c r="CD83" s="75">
        <f>$I83*$K83*py*Index!CC35*Index!CC176/unit</f>
        <v>0</v>
      </c>
      <c r="CE83" s="75">
        <f>$I83*$K83*py*Index!CD35*Index!CD176/unit</f>
        <v>0</v>
      </c>
      <c r="CF83" s="75">
        <f>$I83*$K83*py*Index!CE35*Index!CE176/unit</f>
        <v>0</v>
      </c>
      <c r="CG83" s="75">
        <f>$I83*$K83*py*Index!CF35*Index!CF176/unit</f>
        <v>0</v>
      </c>
      <c r="CH83" s="75">
        <f>$I83*$K83*py*Index!CG35*Index!CG176/unit</f>
        <v>0</v>
      </c>
      <c r="CI83" s="75">
        <f>$I83*$K83*py*Index!CH35*Index!CH176/unit</f>
        <v>0</v>
      </c>
      <c r="CJ83" s="75">
        <f>$I83*$K83*py*Index!CI35*Index!CI176/unit</f>
        <v>0</v>
      </c>
      <c r="CK83" s="75">
        <f>$I83*$K83*py*Index!CJ35*Index!CJ176/unit</f>
        <v>0</v>
      </c>
      <c r="CL83" s="75">
        <f>$I83*$K83*py*Index!CK35*Index!CK176/unit</f>
        <v>0</v>
      </c>
      <c r="CM83" s="75">
        <f>$I83*$K83*py*Index!CL35*Index!CL176/unit</f>
        <v>0</v>
      </c>
      <c r="CN83" s="75">
        <f>$I83*$K83*py*Index!CM35*Index!CM176/unit</f>
        <v>0</v>
      </c>
      <c r="CO83" s="75">
        <f>$I83*$K83*py*Index!CN35*Index!CN176/unit</f>
        <v>0</v>
      </c>
      <c r="CP83" s="75">
        <f>$I83*$K83*py*Index!CO35*Index!CO176/unit</f>
        <v>0</v>
      </c>
      <c r="CQ83" s="75">
        <f>$I83*$K83*py*Index!CP35*Index!CP176/unit</f>
        <v>0</v>
      </c>
      <c r="CR83" s="75">
        <f>$I83*$K83*py*Index!CQ35*Index!CQ176/unit</f>
        <v>0</v>
      </c>
      <c r="CS83" s="75">
        <f>$I83*$K83*py*Index!CR35*Index!CR176/unit</f>
        <v>0</v>
      </c>
      <c r="CT83" s="75">
        <f>$I83*$K83*py*Index!CS35*Index!CS176/unit</f>
        <v>0</v>
      </c>
      <c r="CU83" s="75">
        <f>$I83*$K83*py*Index!CT35*Index!CT176/unit</f>
        <v>0</v>
      </c>
      <c r="CV83" s="75">
        <f>$I83*$K83*py*Index!CU35*Index!CU176/unit</f>
        <v>0</v>
      </c>
      <c r="CW83" s="75">
        <f>$I83*$K83*py*Index!CV35*Index!CV176/unit</f>
        <v>0</v>
      </c>
      <c r="CX83" s="75">
        <f>$I83*$K83*py*Index!CW35*Index!CW176/unit</f>
        <v>0</v>
      </c>
      <c r="CY83" s="75">
        <f>$I83*$K83*py*Index!CX35*Index!CX176/unit</f>
        <v>0</v>
      </c>
      <c r="CZ83" s="75">
        <f>$I83*$K83*py*Index!CY35*Index!CY176/unit</f>
        <v>0</v>
      </c>
      <c r="DA83" s="75">
        <f>$I83*$K83*py*Index!CZ35*Index!CZ176/unit</f>
        <v>0</v>
      </c>
      <c r="DB83" s="75">
        <f>$I83*$K83*py*Index!DA35*Index!DA176/unit</f>
        <v>0</v>
      </c>
      <c r="DC83" s="75">
        <f>$I83*$K83*py*Index!DB35*Index!DB176/unit</f>
        <v>0</v>
      </c>
      <c r="DD83" s="75">
        <f>$I83*$K83*py*Index!DC35*Index!DC176/unit</f>
        <v>0</v>
      </c>
      <c r="DE83" s="75">
        <f>$I83*$K83*py*Index!DD35*Index!DD176/unit</f>
        <v>0</v>
      </c>
      <c r="DF83" s="75">
        <f>$I83*$K83*py*Index!DE35*Index!DE176/unit</f>
        <v>0</v>
      </c>
      <c r="DG83" s="75">
        <f>$I83*$K83*py*Index!DF35*Index!DF176/unit</f>
        <v>0</v>
      </c>
      <c r="DH83" s="75">
        <f>$I83*$K83*py*Index!DG35*Index!DG176/unit</f>
        <v>0</v>
      </c>
      <c r="DI83" s="75">
        <f>$I83*$K83*py*Index!DH35*Index!DH176/unit</f>
        <v>0</v>
      </c>
      <c r="DJ83" s="75">
        <f>$I83*$K83*py*Index!DI35*Index!DI176/unit</f>
        <v>0</v>
      </c>
      <c r="DK83" s="75">
        <f>$I83*$K83*py*Index!DJ35*Index!DJ176/unit</f>
        <v>0</v>
      </c>
      <c r="DL83" s="75">
        <f>$I83*$K83*py*Index!DK35*Index!DK176/unit</f>
        <v>0</v>
      </c>
      <c r="DM83" s="75">
        <f>$I83*$K83*py*Index!DL35*Index!DL176/unit</f>
        <v>0</v>
      </c>
    </row>
    <row r="84" spans="2:117">
      <c r="B84" s="27" t="str">
        <f>Rentroll!$C$28</f>
        <v>B101호</v>
      </c>
      <c r="C84" s="69" t="str">
        <f>VLOOKUP($B84,Rentroll!$C$11:$X$29,3,FALSE)</f>
        <v>퀸즈 샌드위치</v>
      </c>
      <c r="D84" s="80">
        <f>VLOOKUP($B84,Rentroll!$C$11:$X$29,9,FALSE)</f>
        <v>44926</v>
      </c>
      <c r="E84" s="80">
        <f>VLOOKUP($B84,Rentroll!$C$11:$X$29,10,FALSE)</f>
        <v>46751</v>
      </c>
      <c r="F84" s="81">
        <f>VLOOKUP($B84,Rentroll!$C$11:$X$29,11,FALSE)</f>
        <v>60</v>
      </c>
      <c r="G84" s="69">
        <f>VLOOKUP($B84,Rentroll!$C$11:$X$29,13,FALSE)</f>
        <v>21218</v>
      </c>
      <c r="H84" s="69">
        <f>VLOOKUP($B84,Rentroll!$C$11:$X$29,14,FALSE)</f>
        <v>17681.666666666668</v>
      </c>
      <c r="I84" s="69">
        <f>VLOOKUP($B84,Rentroll!$C$11:$X$29,15,FALSE)</f>
        <v>31827</v>
      </c>
      <c r="J84" s="82">
        <f>VLOOKUP($B84,Rentroll!$C$11:$X$29,19,FALSE)</f>
        <v>0.03</v>
      </c>
      <c r="K84" s="83">
        <f>VLOOKUP($B84,Rentroll!$C$11:$X$29,4,FALSE)</f>
        <v>969.56</v>
      </c>
      <c r="L84" s="81">
        <f>VLOOKUP($B84,Rentroll!$C$11:$X$29,17,FALSE)</f>
        <v>0</v>
      </c>
      <c r="M84" s="84">
        <f>VLOOKUP($B84,Rentroll!$C$11:$X$29,18,FALSE)</f>
        <v>2</v>
      </c>
      <c r="O84" s="74" t="str">
        <f t="shared" si="216"/>
        <v>B101호</v>
      </c>
      <c r="P84" s="75"/>
      <c r="Q84" s="75">
        <f t="shared" si="215"/>
        <v>336.89322864495813</v>
      </c>
      <c r="R84" s="75"/>
      <c r="S84" s="75">
        <f>$I84*$K84*py*Index!R36*Index!R177/unit</f>
        <v>0</v>
      </c>
      <c r="T84" s="75">
        <f>$I84*$K84*py*Index!S36*Index!S177/unit</f>
        <v>9.3346013012999993</v>
      </c>
      <c r="U84" s="75">
        <f>$I84*$K84*py*Index!T36*Index!T177/unit</f>
        <v>9.3346013012999993</v>
      </c>
      <c r="V84" s="75">
        <f>$I84*$K84*py*Index!U36*Index!U177/unit</f>
        <v>9.3346013012999993</v>
      </c>
      <c r="W84" s="75">
        <f>$I84*$K84*py*Index!V36*Index!V177/unit</f>
        <v>9.3346013012999993</v>
      </c>
      <c r="X84" s="75">
        <f>$I84*$K84*py*Index!W36*Index!W177/unit</f>
        <v>9.3346013012999993</v>
      </c>
      <c r="Y84" s="75">
        <f>$I84*$K84*py*Index!X36*Index!X177/unit</f>
        <v>9.3346013012999993</v>
      </c>
      <c r="Z84" s="75">
        <f>$I84*$K84*py*Index!Y36*Index!Y177/unit</f>
        <v>9.3346013012999993</v>
      </c>
      <c r="AA84" s="75">
        <f>$I84*$K84*py*Index!Z36*Index!Z177/unit</f>
        <v>9.3346013012999993</v>
      </c>
      <c r="AB84" s="75">
        <f>$I84*$K84*py*Index!AA36*Index!AA177/unit</f>
        <v>9.3346013012999993</v>
      </c>
      <c r="AC84" s="75">
        <f>$I84*$K84*py*Index!AB36*Index!AB177/unit</f>
        <v>9.3346013012999993</v>
      </c>
      <c r="AD84" s="75">
        <f>$I84*$K84*py*Index!AC36*Index!AC177/unit</f>
        <v>9.3346013012999993</v>
      </c>
      <c r="AE84" s="75">
        <f>$I84*$K84*py*Index!AD36*Index!AD177/unit</f>
        <v>9.614639340339</v>
      </c>
      <c r="AF84" s="75">
        <f>$I84*$K84*py*Index!AE36*Index!AE177/unit</f>
        <v>9.614639340339</v>
      </c>
      <c r="AG84" s="75">
        <f>$I84*$K84*py*Index!AF36*Index!AF177/unit</f>
        <v>9.614639340339</v>
      </c>
      <c r="AH84" s="75">
        <f>$I84*$K84*py*Index!AG36*Index!AG177/unit</f>
        <v>9.614639340339</v>
      </c>
      <c r="AI84" s="75">
        <f>$I84*$K84*py*Index!AH36*Index!AH177/unit</f>
        <v>9.614639340339</v>
      </c>
      <c r="AJ84" s="75">
        <f>$I84*$K84*py*Index!AI36*Index!AI177/unit</f>
        <v>9.614639340339</v>
      </c>
      <c r="AK84" s="75">
        <f>$I84*$K84*py*Index!AJ36*Index!AJ177/unit</f>
        <v>9.614639340339</v>
      </c>
      <c r="AL84" s="75">
        <f>$I84*$K84*py*Index!AK36*Index!AK177/unit</f>
        <v>9.614639340339</v>
      </c>
      <c r="AM84" s="75">
        <f>$I84*$K84*py*Index!AL36*Index!AL177/unit</f>
        <v>9.614639340339</v>
      </c>
      <c r="AN84" s="75">
        <f>$I84*$K84*py*Index!AM36*Index!AM177/unit</f>
        <v>9.614639340339</v>
      </c>
      <c r="AO84" s="75">
        <f>$I84*$K84*py*Index!AN36*Index!AN177/unit</f>
        <v>9.614639340339</v>
      </c>
      <c r="AP84" s="75">
        <f>$I84*$K84*py*Index!AO36*Index!AO177/unit</f>
        <v>9.614639340339</v>
      </c>
      <c r="AQ84" s="75">
        <f>$I84*$K84*py*Index!AP36*Index!AP177/unit</f>
        <v>9.9030785205491689</v>
      </c>
      <c r="AR84" s="75">
        <f>$I84*$K84*py*Index!AQ36*Index!AQ177/unit</f>
        <v>9.9030785205491689</v>
      </c>
      <c r="AS84" s="75">
        <f>$I84*$K84*py*Index!AR36*Index!AR177/unit</f>
        <v>9.9030785205491689</v>
      </c>
      <c r="AT84" s="75">
        <f>$I84*$K84*py*Index!AS36*Index!AS177/unit</f>
        <v>9.9030785205491689</v>
      </c>
      <c r="AU84" s="75">
        <f>$I84*$K84*py*Index!AT36*Index!AT177/unit</f>
        <v>9.9030785205491689</v>
      </c>
      <c r="AV84" s="75">
        <f>$I84*$K84*py*Index!AU36*Index!AU177/unit</f>
        <v>9.9030785205491689</v>
      </c>
      <c r="AW84" s="75">
        <f>$I84*$K84*py*Index!AV36*Index!AV177/unit</f>
        <v>9.9030785205491689</v>
      </c>
      <c r="AX84" s="75">
        <f>$I84*$K84*py*Index!AW36*Index!AW177/unit</f>
        <v>9.9030785205491689</v>
      </c>
      <c r="AY84" s="75">
        <f>$I84*$K84*py*Index!AX36*Index!AX177/unit</f>
        <v>9.9030785205491689</v>
      </c>
      <c r="AZ84" s="75">
        <f>$I84*$K84*py*Index!AY36*Index!AY177/unit</f>
        <v>9.9030785205491689</v>
      </c>
      <c r="BA84" s="75">
        <f>$I84*$K84*py*Index!AZ36*Index!AZ177/unit</f>
        <v>9.9030785205491689</v>
      </c>
      <c r="BB84" s="75">
        <f>$I84*$K84*py*Index!BA36*Index!BA177/unit</f>
        <v>9.9030785205491689</v>
      </c>
      <c r="BC84" s="75">
        <f>$I84*$K84*py*Index!BB36*Index!BB177/unit</f>
        <v>0</v>
      </c>
      <c r="BD84" s="75">
        <f>$I84*$K84*py*Index!BC36*Index!BC177/unit</f>
        <v>0</v>
      </c>
      <c r="BE84" s="75">
        <f>$I84*$K84*py*Index!BD36*Index!BD177/unit</f>
        <v>0</v>
      </c>
      <c r="BF84" s="75">
        <f>$I84*$K84*py*Index!BE36*Index!BE177/unit</f>
        <v>0</v>
      </c>
      <c r="BG84" s="75">
        <f>$I84*$K84*py*Index!BF36*Index!BF177/unit</f>
        <v>0</v>
      </c>
      <c r="BH84" s="75">
        <f>$I84*$K84*py*Index!BG36*Index!BG177/unit</f>
        <v>0</v>
      </c>
      <c r="BI84" s="75">
        <f>$I84*$K84*py*Index!BH36*Index!BH177/unit</f>
        <v>0</v>
      </c>
      <c r="BJ84" s="75">
        <f>$I84*$K84*py*Index!BI36*Index!BI177/unit</f>
        <v>0</v>
      </c>
      <c r="BK84" s="75">
        <f>$I84*$K84*py*Index!BJ36*Index!BJ177/unit</f>
        <v>0</v>
      </c>
      <c r="BL84" s="75">
        <f>$I84*$K84*py*Index!BK36*Index!BK177/unit</f>
        <v>0</v>
      </c>
      <c r="BM84" s="75">
        <f>$I84*$K84*py*Index!BL36*Index!BL177/unit</f>
        <v>0</v>
      </c>
      <c r="BN84" s="75">
        <f>$I84*$K84*py*Index!BM36*Index!BM177/unit</f>
        <v>0</v>
      </c>
      <c r="BO84" s="75">
        <f>$I84*$K84*py*Index!BN36*Index!BN177/unit</f>
        <v>0</v>
      </c>
      <c r="BP84" s="75">
        <f>$I84*$K84*py*Index!BO36*Index!BO177/unit</f>
        <v>0</v>
      </c>
      <c r="BQ84" s="75">
        <f>$I84*$K84*py*Index!BP36*Index!BP177/unit</f>
        <v>0</v>
      </c>
      <c r="BR84" s="75">
        <f>$I84*$K84*py*Index!BQ36*Index!BQ177/unit</f>
        <v>0</v>
      </c>
      <c r="BS84" s="75">
        <f>$I84*$K84*py*Index!BR36*Index!BR177/unit</f>
        <v>0</v>
      </c>
      <c r="BT84" s="75">
        <f>$I84*$K84*py*Index!BS36*Index!BS177/unit</f>
        <v>0</v>
      </c>
      <c r="BU84" s="75">
        <f>$I84*$K84*py*Index!BT36*Index!BT177/unit</f>
        <v>0</v>
      </c>
      <c r="BV84" s="75">
        <f>$I84*$K84*py*Index!BU36*Index!BU177/unit</f>
        <v>0</v>
      </c>
      <c r="BW84" s="75">
        <f>$I84*$K84*py*Index!BV36*Index!BV177/unit</f>
        <v>0</v>
      </c>
      <c r="BX84" s="75">
        <f>$I84*$K84*py*Index!BW36*Index!BW177/unit</f>
        <v>0</v>
      </c>
      <c r="BY84" s="75">
        <f>$I84*$K84*py*Index!BX36*Index!BX177/unit</f>
        <v>0</v>
      </c>
      <c r="BZ84" s="75">
        <f>$I84*$K84*py*Index!BY36*Index!BY177/unit</f>
        <v>0</v>
      </c>
      <c r="CA84" s="75">
        <f>$I84*$K84*py*Index!BZ36*Index!BZ177/unit</f>
        <v>0</v>
      </c>
      <c r="CB84" s="75">
        <f>$I84*$K84*py*Index!CA36*Index!CA177/unit</f>
        <v>0</v>
      </c>
      <c r="CC84" s="75">
        <f>$I84*$K84*py*Index!CB36*Index!CB177/unit</f>
        <v>0</v>
      </c>
      <c r="CD84" s="75">
        <f>$I84*$K84*py*Index!CC36*Index!CC177/unit</f>
        <v>0</v>
      </c>
      <c r="CE84" s="75">
        <f>$I84*$K84*py*Index!CD36*Index!CD177/unit</f>
        <v>0</v>
      </c>
      <c r="CF84" s="75">
        <f>$I84*$K84*py*Index!CE36*Index!CE177/unit</f>
        <v>0</v>
      </c>
      <c r="CG84" s="75">
        <f>$I84*$K84*py*Index!CF36*Index!CF177/unit</f>
        <v>0</v>
      </c>
      <c r="CH84" s="75">
        <f>$I84*$K84*py*Index!CG36*Index!CG177/unit</f>
        <v>0</v>
      </c>
      <c r="CI84" s="75">
        <f>$I84*$K84*py*Index!CH36*Index!CH177/unit</f>
        <v>0</v>
      </c>
      <c r="CJ84" s="75">
        <f>$I84*$K84*py*Index!CI36*Index!CI177/unit</f>
        <v>0</v>
      </c>
      <c r="CK84" s="75">
        <f>$I84*$K84*py*Index!CJ36*Index!CJ177/unit</f>
        <v>0</v>
      </c>
      <c r="CL84" s="75">
        <f>$I84*$K84*py*Index!CK36*Index!CK177/unit</f>
        <v>0</v>
      </c>
      <c r="CM84" s="75">
        <f>$I84*$K84*py*Index!CL36*Index!CL177/unit</f>
        <v>0</v>
      </c>
      <c r="CN84" s="75">
        <f>$I84*$K84*py*Index!CM36*Index!CM177/unit</f>
        <v>0</v>
      </c>
      <c r="CO84" s="75">
        <f>$I84*$K84*py*Index!CN36*Index!CN177/unit</f>
        <v>0</v>
      </c>
      <c r="CP84" s="75">
        <f>$I84*$K84*py*Index!CO36*Index!CO177/unit</f>
        <v>0</v>
      </c>
      <c r="CQ84" s="75">
        <f>$I84*$K84*py*Index!CP36*Index!CP177/unit</f>
        <v>0</v>
      </c>
      <c r="CR84" s="75">
        <f>$I84*$K84*py*Index!CQ36*Index!CQ177/unit</f>
        <v>0</v>
      </c>
      <c r="CS84" s="75">
        <f>$I84*$K84*py*Index!CR36*Index!CR177/unit</f>
        <v>0</v>
      </c>
      <c r="CT84" s="75">
        <f>$I84*$K84*py*Index!CS36*Index!CS177/unit</f>
        <v>0</v>
      </c>
      <c r="CU84" s="75">
        <f>$I84*$K84*py*Index!CT36*Index!CT177/unit</f>
        <v>0</v>
      </c>
      <c r="CV84" s="75">
        <f>$I84*$K84*py*Index!CU36*Index!CU177/unit</f>
        <v>0</v>
      </c>
      <c r="CW84" s="75">
        <f>$I84*$K84*py*Index!CV36*Index!CV177/unit</f>
        <v>0</v>
      </c>
      <c r="CX84" s="75">
        <f>$I84*$K84*py*Index!CW36*Index!CW177/unit</f>
        <v>0</v>
      </c>
      <c r="CY84" s="75">
        <f>$I84*$K84*py*Index!CX36*Index!CX177/unit</f>
        <v>0</v>
      </c>
      <c r="CZ84" s="75">
        <f>$I84*$K84*py*Index!CY36*Index!CY177/unit</f>
        <v>0</v>
      </c>
      <c r="DA84" s="75">
        <f>$I84*$K84*py*Index!CZ36*Index!CZ177/unit</f>
        <v>0</v>
      </c>
      <c r="DB84" s="75">
        <f>$I84*$K84*py*Index!DA36*Index!DA177/unit</f>
        <v>0</v>
      </c>
      <c r="DC84" s="75">
        <f>$I84*$K84*py*Index!DB36*Index!DB177/unit</f>
        <v>0</v>
      </c>
      <c r="DD84" s="75">
        <f>$I84*$K84*py*Index!DC36*Index!DC177/unit</f>
        <v>0</v>
      </c>
      <c r="DE84" s="75">
        <f>$I84*$K84*py*Index!DD36*Index!DD177/unit</f>
        <v>0</v>
      </c>
      <c r="DF84" s="75">
        <f>$I84*$K84*py*Index!DE36*Index!DE177/unit</f>
        <v>0</v>
      </c>
      <c r="DG84" s="75">
        <f>$I84*$K84*py*Index!DF36*Index!DF177/unit</f>
        <v>0</v>
      </c>
      <c r="DH84" s="75">
        <f>$I84*$K84*py*Index!DG36*Index!DG177/unit</f>
        <v>0</v>
      </c>
      <c r="DI84" s="75">
        <f>$I84*$K84*py*Index!DH36*Index!DH177/unit</f>
        <v>0</v>
      </c>
      <c r="DJ84" s="75">
        <f>$I84*$K84*py*Index!DI36*Index!DI177/unit</f>
        <v>0</v>
      </c>
      <c r="DK84" s="75">
        <f>$I84*$K84*py*Index!DJ36*Index!DJ177/unit</f>
        <v>0</v>
      </c>
      <c r="DL84" s="75">
        <f>$I84*$K84*py*Index!DK36*Index!DK177/unit</f>
        <v>0</v>
      </c>
      <c r="DM84" s="75">
        <f>$I84*$K84*py*Index!DL36*Index!DL177/unit</f>
        <v>0</v>
      </c>
    </row>
    <row r="85" spans="2:117">
      <c r="B85" s="27" t="str">
        <f>Rentroll!$C$29</f>
        <v>B102호</v>
      </c>
      <c r="C85" s="69" t="str">
        <f>VLOOKUP($B85,Rentroll!$C$11:$X$29,3,FALSE)</f>
        <v>로미오 문구점</v>
      </c>
      <c r="D85" s="80">
        <f>VLOOKUP($B85,Rentroll!$C$11:$X$29,9,FALSE)</f>
        <v>44592</v>
      </c>
      <c r="E85" s="80">
        <f>VLOOKUP($B85,Rentroll!$C$11:$X$29,10,FALSE)</f>
        <v>46417</v>
      </c>
      <c r="F85" s="81">
        <f>VLOOKUP($B85,Rentroll!$C$11:$X$29,11,FALSE)</f>
        <v>60</v>
      </c>
      <c r="G85" s="69">
        <f>VLOOKUP($B85,Rentroll!$C$11:$X$29,13,FALSE)</f>
        <v>31827</v>
      </c>
      <c r="H85" s="69">
        <f>VLOOKUP($B85,Rentroll!$C$11:$X$29,14,FALSE)</f>
        <v>23870.25</v>
      </c>
      <c r="I85" s="69">
        <f>VLOOKUP($B85,Rentroll!$C$11:$X$29,15,FALSE)</f>
        <v>31827</v>
      </c>
      <c r="J85" s="82">
        <f>VLOOKUP($B85,Rentroll!$C$11:$X$29,19,FALSE)</f>
        <v>0.03</v>
      </c>
      <c r="K85" s="83">
        <f>VLOOKUP($B85,Rentroll!$C$11:$X$29,4,FALSE)</f>
        <v>969.56</v>
      </c>
      <c r="L85" s="81">
        <f>VLOOKUP($B85,Rentroll!$C$11:$X$29,17,FALSE)</f>
        <v>0</v>
      </c>
      <c r="M85" s="84">
        <f>VLOOKUP($B85,Rentroll!$C$11:$X$29,18,FALSE)</f>
        <v>3</v>
      </c>
      <c r="O85" s="26" t="str">
        <f t="shared" si="216"/>
        <v>B102호</v>
      </c>
      <c r="P85" s="76"/>
      <c r="Q85" s="76">
        <f t="shared" si="215"/>
        <v>227.3908876996681</v>
      </c>
      <c r="R85" s="76"/>
      <c r="S85" s="76">
        <f>$I85*$K85*py*Index!R37*Index!R178/unit</f>
        <v>0</v>
      </c>
      <c r="T85" s="76">
        <f>$I85*$K85*py*Index!S37*Index!S178/unit</f>
        <v>9.3346013012999993</v>
      </c>
      <c r="U85" s="76">
        <f>$I85*$K85*py*Index!T37*Index!T178/unit</f>
        <v>9.3346013012999993</v>
      </c>
      <c r="V85" s="76">
        <f>$I85*$K85*py*Index!U37*Index!U178/unit</f>
        <v>9.3346013012999993</v>
      </c>
      <c r="W85" s="76">
        <f>$I85*$K85*py*Index!V37*Index!V178/unit</f>
        <v>9.3346013012999993</v>
      </c>
      <c r="X85" s="76">
        <f>$I85*$K85*py*Index!W37*Index!W178/unit</f>
        <v>9.3346013012999993</v>
      </c>
      <c r="Y85" s="76">
        <f>$I85*$K85*py*Index!X37*Index!X178/unit</f>
        <v>9.3346013012999993</v>
      </c>
      <c r="Z85" s="76">
        <f>$I85*$K85*py*Index!Y37*Index!Y178/unit</f>
        <v>9.3346013012999993</v>
      </c>
      <c r="AA85" s="76">
        <f>$I85*$K85*py*Index!Z37*Index!Z178/unit</f>
        <v>9.3346013012999993</v>
      </c>
      <c r="AB85" s="76">
        <f>$I85*$K85*py*Index!AA37*Index!AA178/unit</f>
        <v>9.3346013012999993</v>
      </c>
      <c r="AC85" s="76">
        <f>$I85*$K85*py*Index!AB37*Index!AB178/unit</f>
        <v>9.3346013012999993</v>
      </c>
      <c r="AD85" s="76">
        <f>$I85*$K85*py*Index!AC37*Index!AC178/unit</f>
        <v>9.3346013012999993</v>
      </c>
      <c r="AE85" s="76">
        <f>$I85*$K85*py*Index!AD37*Index!AD178/unit</f>
        <v>9.3346013012999993</v>
      </c>
      <c r="AF85" s="76">
        <f>$I85*$K85*py*Index!AE37*Index!AE178/unit</f>
        <v>9.614639340339</v>
      </c>
      <c r="AG85" s="76">
        <f>$I85*$K85*py*Index!AF37*Index!AF178/unit</f>
        <v>9.614639340339</v>
      </c>
      <c r="AH85" s="76">
        <f>$I85*$K85*py*Index!AG37*Index!AG178/unit</f>
        <v>9.614639340339</v>
      </c>
      <c r="AI85" s="76">
        <f>$I85*$K85*py*Index!AH37*Index!AH178/unit</f>
        <v>9.614639340339</v>
      </c>
      <c r="AJ85" s="76">
        <f>$I85*$K85*py*Index!AI37*Index!AI178/unit</f>
        <v>9.614639340339</v>
      </c>
      <c r="AK85" s="76">
        <f>$I85*$K85*py*Index!AJ37*Index!AJ178/unit</f>
        <v>9.614639340339</v>
      </c>
      <c r="AL85" s="76">
        <f>$I85*$K85*py*Index!AK37*Index!AK178/unit</f>
        <v>9.614639340339</v>
      </c>
      <c r="AM85" s="76">
        <f>$I85*$K85*py*Index!AL37*Index!AL178/unit</f>
        <v>9.614639340339</v>
      </c>
      <c r="AN85" s="76">
        <f>$I85*$K85*py*Index!AM37*Index!AM178/unit</f>
        <v>9.614639340339</v>
      </c>
      <c r="AO85" s="76">
        <f>$I85*$K85*py*Index!AN37*Index!AN178/unit</f>
        <v>9.614639340339</v>
      </c>
      <c r="AP85" s="76">
        <f>$I85*$K85*py*Index!AO37*Index!AO178/unit</f>
        <v>9.614639340339</v>
      </c>
      <c r="AQ85" s="76">
        <f>$I85*$K85*py*Index!AP37*Index!AP178/unit</f>
        <v>9.614639340339</v>
      </c>
      <c r="AR85" s="76">
        <f>$I85*$K85*py*Index!AQ37*Index!AQ178/unit</f>
        <v>0</v>
      </c>
      <c r="AS85" s="76">
        <f>$I85*$K85*py*Index!AR37*Index!AR178/unit</f>
        <v>0</v>
      </c>
      <c r="AT85" s="76">
        <f>$I85*$K85*py*Index!AS37*Index!AS178/unit</f>
        <v>0</v>
      </c>
      <c r="AU85" s="76">
        <f>$I85*$K85*py*Index!AT37*Index!AT178/unit</f>
        <v>0</v>
      </c>
      <c r="AV85" s="76">
        <f>$I85*$K85*py*Index!AU37*Index!AU178/unit</f>
        <v>0</v>
      </c>
      <c r="AW85" s="76">
        <f>$I85*$K85*py*Index!AV37*Index!AV178/unit</f>
        <v>0</v>
      </c>
      <c r="AX85" s="76">
        <f>$I85*$K85*py*Index!AW37*Index!AW178/unit</f>
        <v>0</v>
      </c>
      <c r="AY85" s="76">
        <f>$I85*$K85*py*Index!AX37*Index!AX178/unit</f>
        <v>0</v>
      </c>
      <c r="AZ85" s="76">
        <f>$I85*$K85*py*Index!AY37*Index!AY178/unit</f>
        <v>0</v>
      </c>
      <c r="BA85" s="76">
        <f>$I85*$K85*py*Index!AZ37*Index!AZ178/unit</f>
        <v>0</v>
      </c>
      <c r="BB85" s="76">
        <f>$I85*$K85*py*Index!BA37*Index!BA178/unit</f>
        <v>0</v>
      </c>
      <c r="BC85" s="76">
        <f>$I85*$K85*py*Index!BB37*Index!BB178/unit</f>
        <v>0</v>
      </c>
      <c r="BD85" s="76">
        <f>$I85*$K85*py*Index!BC37*Index!BC178/unit</f>
        <v>0</v>
      </c>
      <c r="BE85" s="76">
        <f>$I85*$K85*py*Index!BD37*Index!BD178/unit</f>
        <v>0</v>
      </c>
      <c r="BF85" s="76">
        <f>$I85*$K85*py*Index!BE37*Index!BE178/unit</f>
        <v>0</v>
      </c>
      <c r="BG85" s="76">
        <f>$I85*$K85*py*Index!BF37*Index!BF178/unit</f>
        <v>0</v>
      </c>
      <c r="BH85" s="76">
        <f>$I85*$K85*py*Index!BG37*Index!BG178/unit</f>
        <v>0</v>
      </c>
      <c r="BI85" s="76">
        <f>$I85*$K85*py*Index!BH37*Index!BH178/unit</f>
        <v>0</v>
      </c>
      <c r="BJ85" s="76">
        <f>$I85*$K85*py*Index!BI37*Index!BI178/unit</f>
        <v>0</v>
      </c>
      <c r="BK85" s="76">
        <f>$I85*$K85*py*Index!BJ37*Index!BJ178/unit</f>
        <v>0</v>
      </c>
      <c r="BL85" s="76">
        <f>$I85*$K85*py*Index!BK37*Index!BK178/unit</f>
        <v>0</v>
      </c>
      <c r="BM85" s="76">
        <f>$I85*$K85*py*Index!BL37*Index!BL178/unit</f>
        <v>0</v>
      </c>
      <c r="BN85" s="76">
        <f>$I85*$K85*py*Index!BM37*Index!BM178/unit</f>
        <v>0</v>
      </c>
      <c r="BO85" s="76">
        <f>$I85*$K85*py*Index!BN37*Index!BN178/unit</f>
        <v>0</v>
      </c>
      <c r="BP85" s="76">
        <f>$I85*$K85*py*Index!BO37*Index!BO178/unit</f>
        <v>0</v>
      </c>
      <c r="BQ85" s="76">
        <f>$I85*$K85*py*Index!BP37*Index!BP178/unit</f>
        <v>0</v>
      </c>
      <c r="BR85" s="76">
        <f>$I85*$K85*py*Index!BQ37*Index!BQ178/unit</f>
        <v>0</v>
      </c>
      <c r="BS85" s="76">
        <f>$I85*$K85*py*Index!BR37*Index!BR178/unit</f>
        <v>0</v>
      </c>
      <c r="BT85" s="76">
        <f>$I85*$K85*py*Index!BS37*Index!BS178/unit</f>
        <v>0</v>
      </c>
      <c r="BU85" s="76">
        <f>$I85*$K85*py*Index!BT37*Index!BT178/unit</f>
        <v>0</v>
      </c>
      <c r="BV85" s="76">
        <f>$I85*$K85*py*Index!BU37*Index!BU178/unit</f>
        <v>0</v>
      </c>
      <c r="BW85" s="76">
        <f>$I85*$K85*py*Index!BV37*Index!BV178/unit</f>
        <v>0</v>
      </c>
      <c r="BX85" s="76">
        <f>$I85*$K85*py*Index!BW37*Index!BW178/unit</f>
        <v>0</v>
      </c>
      <c r="BY85" s="76">
        <f>$I85*$K85*py*Index!BX37*Index!BX178/unit</f>
        <v>0</v>
      </c>
      <c r="BZ85" s="76">
        <f>$I85*$K85*py*Index!BY37*Index!BY178/unit</f>
        <v>0</v>
      </c>
      <c r="CA85" s="76">
        <f>$I85*$K85*py*Index!BZ37*Index!BZ178/unit</f>
        <v>0</v>
      </c>
      <c r="CB85" s="76">
        <f>$I85*$K85*py*Index!CA37*Index!CA178/unit</f>
        <v>0</v>
      </c>
      <c r="CC85" s="76">
        <f>$I85*$K85*py*Index!CB37*Index!CB178/unit</f>
        <v>0</v>
      </c>
      <c r="CD85" s="76">
        <f>$I85*$K85*py*Index!CC37*Index!CC178/unit</f>
        <v>0</v>
      </c>
      <c r="CE85" s="76">
        <f>$I85*$K85*py*Index!CD37*Index!CD178/unit</f>
        <v>0</v>
      </c>
      <c r="CF85" s="76">
        <f>$I85*$K85*py*Index!CE37*Index!CE178/unit</f>
        <v>0</v>
      </c>
      <c r="CG85" s="76">
        <f>$I85*$K85*py*Index!CF37*Index!CF178/unit</f>
        <v>0</v>
      </c>
      <c r="CH85" s="76">
        <f>$I85*$K85*py*Index!CG37*Index!CG178/unit</f>
        <v>0</v>
      </c>
      <c r="CI85" s="76">
        <f>$I85*$K85*py*Index!CH37*Index!CH178/unit</f>
        <v>0</v>
      </c>
      <c r="CJ85" s="76">
        <f>$I85*$K85*py*Index!CI37*Index!CI178/unit</f>
        <v>0</v>
      </c>
      <c r="CK85" s="76">
        <f>$I85*$K85*py*Index!CJ37*Index!CJ178/unit</f>
        <v>0</v>
      </c>
      <c r="CL85" s="76">
        <f>$I85*$K85*py*Index!CK37*Index!CK178/unit</f>
        <v>0</v>
      </c>
      <c r="CM85" s="76">
        <f>$I85*$K85*py*Index!CL37*Index!CL178/unit</f>
        <v>0</v>
      </c>
      <c r="CN85" s="76">
        <f>$I85*$K85*py*Index!CM37*Index!CM178/unit</f>
        <v>0</v>
      </c>
      <c r="CO85" s="76">
        <f>$I85*$K85*py*Index!CN37*Index!CN178/unit</f>
        <v>0</v>
      </c>
      <c r="CP85" s="76">
        <f>$I85*$K85*py*Index!CO37*Index!CO178/unit</f>
        <v>0</v>
      </c>
      <c r="CQ85" s="76">
        <f>$I85*$K85*py*Index!CP37*Index!CP178/unit</f>
        <v>0</v>
      </c>
      <c r="CR85" s="76">
        <f>$I85*$K85*py*Index!CQ37*Index!CQ178/unit</f>
        <v>0</v>
      </c>
      <c r="CS85" s="76">
        <f>$I85*$K85*py*Index!CR37*Index!CR178/unit</f>
        <v>0</v>
      </c>
      <c r="CT85" s="76">
        <f>$I85*$K85*py*Index!CS37*Index!CS178/unit</f>
        <v>0</v>
      </c>
      <c r="CU85" s="76">
        <f>$I85*$K85*py*Index!CT37*Index!CT178/unit</f>
        <v>0</v>
      </c>
      <c r="CV85" s="76">
        <f>$I85*$K85*py*Index!CU37*Index!CU178/unit</f>
        <v>0</v>
      </c>
      <c r="CW85" s="76">
        <f>$I85*$K85*py*Index!CV37*Index!CV178/unit</f>
        <v>0</v>
      </c>
      <c r="CX85" s="76">
        <f>$I85*$K85*py*Index!CW37*Index!CW178/unit</f>
        <v>0</v>
      </c>
      <c r="CY85" s="76">
        <f>$I85*$K85*py*Index!CX37*Index!CX178/unit</f>
        <v>0</v>
      </c>
      <c r="CZ85" s="76">
        <f>$I85*$K85*py*Index!CY37*Index!CY178/unit</f>
        <v>0</v>
      </c>
      <c r="DA85" s="76">
        <f>$I85*$K85*py*Index!CZ37*Index!CZ178/unit</f>
        <v>0</v>
      </c>
      <c r="DB85" s="76">
        <f>$I85*$K85*py*Index!DA37*Index!DA178/unit</f>
        <v>0</v>
      </c>
      <c r="DC85" s="76">
        <f>$I85*$K85*py*Index!DB37*Index!DB178/unit</f>
        <v>0</v>
      </c>
      <c r="DD85" s="76">
        <f>$I85*$K85*py*Index!DC37*Index!DC178/unit</f>
        <v>0</v>
      </c>
      <c r="DE85" s="76">
        <f>$I85*$K85*py*Index!DD37*Index!DD178/unit</f>
        <v>0</v>
      </c>
      <c r="DF85" s="76">
        <f>$I85*$K85*py*Index!DE37*Index!DE178/unit</f>
        <v>0</v>
      </c>
      <c r="DG85" s="76">
        <f>$I85*$K85*py*Index!DF37*Index!DF178/unit</f>
        <v>0</v>
      </c>
      <c r="DH85" s="76">
        <f>$I85*$K85*py*Index!DG37*Index!DG178/unit</f>
        <v>0</v>
      </c>
      <c r="DI85" s="76">
        <f>$I85*$K85*py*Index!DH37*Index!DH178/unit</f>
        <v>0</v>
      </c>
      <c r="DJ85" s="76">
        <f>$I85*$K85*py*Index!DI37*Index!DI178/unit</f>
        <v>0</v>
      </c>
      <c r="DK85" s="76">
        <f>$I85*$K85*py*Index!DJ37*Index!DJ178/unit</f>
        <v>0</v>
      </c>
      <c r="DL85" s="76">
        <f>$I85*$K85*py*Index!DK37*Index!DK178/unit</f>
        <v>0</v>
      </c>
      <c r="DM85" s="76">
        <f>$I85*$K85*py*Index!DL37*Index!DL178/unit</f>
        <v>0</v>
      </c>
    </row>
    <row r="86" spans="2:117">
      <c r="B86" s="70" t="s">
        <v>47</v>
      </c>
      <c r="C86" s="71" t="s">
        <v>49</v>
      </c>
      <c r="D86" s="71" t="s">
        <v>97</v>
      </c>
      <c r="E86" s="71" t="s">
        <v>98</v>
      </c>
      <c r="F86" s="71" t="s">
        <v>84</v>
      </c>
      <c r="G86" s="71" t="s">
        <v>104</v>
      </c>
      <c r="H86" s="71" t="s">
        <v>105</v>
      </c>
      <c r="I86" s="71" t="s">
        <v>103</v>
      </c>
      <c r="J86" s="71" t="s">
        <v>99</v>
      </c>
      <c r="K86" s="71" t="s">
        <v>102</v>
      </c>
      <c r="L86" s="71" t="s">
        <v>100</v>
      </c>
      <c r="M86" s="72" t="s">
        <v>101</v>
      </c>
      <c r="O86" s="123" t="s">
        <v>108</v>
      </c>
      <c r="P86" s="123"/>
      <c r="Q86" s="123">
        <f>SUM(S86:DM86)</f>
        <v>14416.662570064955</v>
      </c>
      <c r="R86" s="123"/>
      <c r="S86" s="123">
        <f>SUM(S87:S110)</f>
        <v>0</v>
      </c>
      <c r="T86" s="123">
        <f t="shared" ref="T86:CE86" si="217">SUM(T87:T110)</f>
        <v>56.563612874999997</v>
      </c>
      <c r="U86" s="123">
        <f>SUM(U87:U110)</f>
        <v>56.563612874999997</v>
      </c>
      <c r="V86" s="123">
        <f t="shared" si="217"/>
        <v>75.418150499999982</v>
      </c>
      <c r="W86" s="123">
        <f t="shared" si="217"/>
        <v>75.418150499999982</v>
      </c>
      <c r="X86" s="123">
        <f t="shared" si="217"/>
        <v>75.418150499999982</v>
      </c>
      <c r="Y86" s="123">
        <f t="shared" si="217"/>
        <v>88.616285999999988</v>
      </c>
      <c r="Z86" s="123">
        <f t="shared" si="217"/>
        <v>164.03443650000003</v>
      </c>
      <c r="AA86" s="123">
        <f t="shared" si="217"/>
        <v>164.03443650000003</v>
      </c>
      <c r="AB86" s="123">
        <f t="shared" si="217"/>
        <v>164.03443650000003</v>
      </c>
      <c r="AC86" s="123">
        <f t="shared" si="217"/>
        <v>164.03443650000003</v>
      </c>
      <c r="AD86" s="123">
        <f t="shared" si="217"/>
        <v>164.03443650000003</v>
      </c>
      <c r="AE86" s="123">
        <f t="shared" si="217"/>
        <v>164.03443650000003</v>
      </c>
      <c r="AF86" s="123">
        <f t="shared" si="217"/>
        <v>165.73134488624999</v>
      </c>
      <c r="AG86" s="123">
        <f t="shared" si="217"/>
        <v>165.73134488624999</v>
      </c>
      <c r="AH86" s="123">
        <f t="shared" si="217"/>
        <v>166.29698101499991</v>
      </c>
      <c r="AI86" s="123">
        <f t="shared" si="217"/>
        <v>166.29698101499991</v>
      </c>
      <c r="AJ86" s="123">
        <f t="shared" si="217"/>
        <v>166.29698101499991</v>
      </c>
      <c r="AK86" s="123">
        <f t="shared" si="217"/>
        <v>166.69292507999995</v>
      </c>
      <c r="AL86" s="123">
        <f t="shared" si="217"/>
        <v>168.95546959499995</v>
      </c>
      <c r="AM86" s="123">
        <f t="shared" si="217"/>
        <v>168.95546959499995</v>
      </c>
      <c r="AN86" s="123">
        <f t="shared" si="217"/>
        <v>168.95546959499995</v>
      </c>
      <c r="AO86" s="123">
        <f t="shared" si="217"/>
        <v>168.95546959499995</v>
      </c>
      <c r="AP86" s="123">
        <f t="shared" si="217"/>
        <v>168.95546959499995</v>
      </c>
      <c r="AQ86" s="123">
        <f t="shared" si="217"/>
        <v>168.95546959499995</v>
      </c>
      <c r="AR86" s="123">
        <f t="shared" si="217"/>
        <v>182.43496123283745</v>
      </c>
      <c r="AS86" s="123">
        <f t="shared" si="217"/>
        <v>182.43496123283745</v>
      </c>
      <c r="AT86" s="123">
        <f t="shared" si="217"/>
        <v>243.02590334453743</v>
      </c>
      <c r="AU86" s="123">
        <f t="shared" si="217"/>
        <v>243.02590334453743</v>
      </c>
      <c r="AV86" s="123">
        <f t="shared" si="217"/>
        <v>243.02590334453743</v>
      </c>
      <c r="AW86" s="123">
        <f t="shared" si="217"/>
        <v>243.43372573148741</v>
      </c>
      <c r="AX86" s="123">
        <f t="shared" si="217"/>
        <v>245.76414658193744</v>
      </c>
      <c r="AY86" s="123">
        <f t="shared" si="217"/>
        <v>245.76414658193744</v>
      </c>
      <c r="AZ86" s="123">
        <f t="shared" si="217"/>
        <v>245.76414658193744</v>
      </c>
      <c r="BA86" s="123">
        <f t="shared" si="217"/>
        <v>245.76414658193744</v>
      </c>
      <c r="BB86" s="123">
        <f t="shared" si="217"/>
        <v>245.76414658193744</v>
      </c>
      <c r="BC86" s="123">
        <f t="shared" si="217"/>
        <v>257.49582258193743</v>
      </c>
      <c r="BD86" s="123">
        <f t="shared" si="217"/>
        <v>259.64802296891008</v>
      </c>
      <c r="BE86" s="123">
        <f t="shared" si="217"/>
        <v>259.64802296891008</v>
      </c>
      <c r="BF86" s="123">
        <f t="shared" si="217"/>
        <v>262.0483564448736</v>
      </c>
      <c r="BG86" s="123">
        <f t="shared" si="217"/>
        <v>262.0483564448736</v>
      </c>
      <c r="BH86" s="123">
        <f t="shared" si="217"/>
        <v>323.85694345093367</v>
      </c>
      <c r="BI86" s="123">
        <f t="shared" si="217"/>
        <v>324.27700050949221</v>
      </c>
      <c r="BJ86" s="123">
        <f t="shared" si="217"/>
        <v>326.67733398545573</v>
      </c>
      <c r="BK86" s="123">
        <f t="shared" si="217"/>
        <v>326.67733398545573</v>
      </c>
      <c r="BL86" s="123">
        <f t="shared" si="217"/>
        <v>326.67733398545573</v>
      </c>
      <c r="BM86" s="123">
        <f t="shared" si="217"/>
        <v>326.67733398545573</v>
      </c>
      <c r="BN86" s="123">
        <f t="shared" si="217"/>
        <v>326.67733398545573</v>
      </c>
      <c r="BO86" s="123">
        <f t="shared" si="217"/>
        <v>327.02928426545571</v>
      </c>
      <c r="BP86" s="123">
        <f t="shared" si="217"/>
        <v>371.68794707486546</v>
      </c>
      <c r="BQ86" s="123">
        <f t="shared" si="217"/>
        <v>371.68794707486546</v>
      </c>
      <c r="BR86" s="123">
        <f t="shared" si="217"/>
        <v>374.16029055510791</v>
      </c>
      <c r="BS86" s="123">
        <f t="shared" si="217"/>
        <v>374.16029055510791</v>
      </c>
      <c r="BT86" s="123">
        <f t="shared" si="217"/>
        <v>376.0145481652898</v>
      </c>
      <c r="BU86" s="123">
        <f t="shared" si="217"/>
        <v>376.44720693560504</v>
      </c>
      <c r="BV86" s="123">
        <f t="shared" si="217"/>
        <v>378.91955041584737</v>
      </c>
      <c r="BW86" s="123">
        <f t="shared" si="217"/>
        <v>378.91955041584737</v>
      </c>
      <c r="BX86" s="123">
        <f t="shared" si="217"/>
        <v>378.91955041584737</v>
      </c>
      <c r="BY86" s="123">
        <f t="shared" si="217"/>
        <v>378.91955041584737</v>
      </c>
      <c r="BZ86" s="123">
        <f t="shared" si="217"/>
        <v>378.91955041584737</v>
      </c>
      <c r="CA86" s="123">
        <f t="shared" si="217"/>
        <v>379.28205920424739</v>
      </c>
      <c r="CB86" s="123">
        <f t="shared" si="217"/>
        <v>0</v>
      </c>
      <c r="CC86" s="123">
        <f t="shared" si="217"/>
        <v>0</v>
      </c>
      <c r="CD86" s="123">
        <f t="shared" si="217"/>
        <v>0</v>
      </c>
      <c r="CE86" s="123">
        <f t="shared" si="217"/>
        <v>0</v>
      </c>
      <c r="CF86" s="123">
        <f t="shared" ref="CF86:DM86" si="218">SUM(CF87:CF110)</f>
        <v>0</v>
      </c>
      <c r="CG86" s="123">
        <f t="shared" si="218"/>
        <v>0</v>
      </c>
      <c r="CH86" s="123">
        <f t="shared" si="218"/>
        <v>0</v>
      </c>
      <c r="CI86" s="123">
        <f t="shared" si="218"/>
        <v>0</v>
      </c>
      <c r="CJ86" s="123">
        <f t="shared" si="218"/>
        <v>0</v>
      </c>
      <c r="CK86" s="123">
        <f t="shared" si="218"/>
        <v>0</v>
      </c>
      <c r="CL86" s="123">
        <f t="shared" si="218"/>
        <v>0</v>
      </c>
      <c r="CM86" s="123">
        <f t="shared" si="218"/>
        <v>0</v>
      </c>
      <c r="CN86" s="123">
        <f t="shared" si="218"/>
        <v>0</v>
      </c>
      <c r="CO86" s="123">
        <f t="shared" si="218"/>
        <v>0</v>
      </c>
      <c r="CP86" s="123">
        <f t="shared" si="218"/>
        <v>0</v>
      </c>
      <c r="CQ86" s="123">
        <f t="shared" si="218"/>
        <v>0</v>
      </c>
      <c r="CR86" s="123">
        <f t="shared" si="218"/>
        <v>0</v>
      </c>
      <c r="CS86" s="123">
        <f t="shared" si="218"/>
        <v>0</v>
      </c>
      <c r="CT86" s="123">
        <f t="shared" si="218"/>
        <v>0</v>
      </c>
      <c r="CU86" s="123">
        <f t="shared" si="218"/>
        <v>0</v>
      </c>
      <c r="CV86" s="123">
        <f t="shared" si="218"/>
        <v>0</v>
      </c>
      <c r="CW86" s="123">
        <f t="shared" si="218"/>
        <v>0</v>
      </c>
      <c r="CX86" s="123">
        <f t="shared" si="218"/>
        <v>0</v>
      </c>
      <c r="CY86" s="123">
        <f t="shared" si="218"/>
        <v>0</v>
      </c>
      <c r="CZ86" s="123">
        <f t="shared" si="218"/>
        <v>0</v>
      </c>
      <c r="DA86" s="123">
        <f t="shared" si="218"/>
        <v>0</v>
      </c>
      <c r="DB86" s="123">
        <f t="shared" si="218"/>
        <v>0</v>
      </c>
      <c r="DC86" s="123">
        <f t="shared" si="218"/>
        <v>0</v>
      </c>
      <c r="DD86" s="123">
        <f t="shared" si="218"/>
        <v>0</v>
      </c>
      <c r="DE86" s="123">
        <f t="shared" si="218"/>
        <v>0</v>
      </c>
      <c r="DF86" s="123">
        <f t="shared" si="218"/>
        <v>0</v>
      </c>
      <c r="DG86" s="123">
        <f t="shared" si="218"/>
        <v>0</v>
      </c>
      <c r="DH86" s="123">
        <f t="shared" si="218"/>
        <v>0</v>
      </c>
      <c r="DI86" s="123">
        <f t="shared" si="218"/>
        <v>0</v>
      </c>
      <c r="DJ86" s="123">
        <f t="shared" si="218"/>
        <v>0</v>
      </c>
      <c r="DK86" s="123">
        <f t="shared" si="218"/>
        <v>0</v>
      </c>
      <c r="DL86" s="123">
        <f t="shared" si="218"/>
        <v>0</v>
      </c>
      <c r="DM86" s="123">
        <f t="shared" si="218"/>
        <v>0</v>
      </c>
    </row>
    <row r="87" spans="2:117">
      <c r="B87" s="27">
        <f>Rentroll!$C$37</f>
        <v>17</v>
      </c>
      <c r="C87" s="69" t="str">
        <f>VLOOKUP($B87,Rentroll!$C$37:$Z$60,3,FALSE)</f>
        <v>리마 상사</v>
      </c>
      <c r="D87" s="80">
        <f>VLOOKUP($B87,Rentroll!$C$37:$Z$60,9,FALSE)</f>
        <v>47149</v>
      </c>
      <c r="E87" s="80">
        <f>VLOOKUP($B87,Rentroll!$C$37:$Z$60,10,FALSE)</f>
        <v>48975</v>
      </c>
      <c r="F87" s="81">
        <f>VLOOKUP($B87,Rentroll!$C$37:$Z$60,11,FALSE)</f>
        <v>60</v>
      </c>
      <c r="G87" s="69">
        <f>VLOOKUP($B87,Rentroll!$C$37:$Z$60,13,FALSE)</f>
        <v>115927.40742999999</v>
      </c>
      <c r="H87" s="69">
        <f>VLOOKUP($B87,Rentroll!$C$37:$Z$60,14,FALSE)</f>
        <v>106266.79014416666</v>
      </c>
      <c r="I87" s="69">
        <f>VLOOKUP($B87,Rentroll!$C$37:$Z$60,15,FALSE)</f>
        <v>50647.896449999993</v>
      </c>
      <c r="J87" s="82">
        <f>VLOOKUP($B87,Rentroll!$C$37:$Z$60,19,FALSE)</f>
        <v>0.03</v>
      </c>
      <c r="K87" s="83">
        <f>VLOOKUP($B87,Rentroll!$C$37:$Z$60,4,FALSE)</f>
        <v>1385.09</v>
      </c>
      <c r="L87" s="81">
        <f>VLOOKUP($B87,Rentroll!$C$37:$Z$60,17,FALSE)</f>
        <v>0</v>
      </c>
      <c r="M87" s="84">
        <f>VLOOKUP($B87,Rentroll!$C$37:$Z$60,18,FALSE)</f>
        <v>1</v>
      </c>
      <c r="O87" s="46">
        <f>B87</f>
        <v>17</v>
      </c>
      <c r="P87" s="73"/>
      <c r="Q87" s="73">
        <f t="shared" si="215"/>
        <v>254.65137846496768</v>
      </c>
      <c r="R87" s="73"/>
      <c r="S87" s="73">
        <f>$I87*$K87*py*Index!R39*Index!R180/unit</f>
        <v>0</v>
      </c>
      <c r="T87" s="73">
        <f>$I87*$K87*py*Index!S39*Index!S180/unit</f>
        <v>0</v>
      </c>
      <c r="U87" s="73">
        <f>$I87*$K87*py*Index!T39*Index!T180/unit</f>
        <v>0</v>
      </c>
      <c r="V87" s="73">
        <f>$I87*$K87*py*Index!U39*Index!U180/unit</f>
        <v>0</v>
      </c>
      <c r="W87" s="73">
        <f>$I87*$K87*py*Index!V39*Index!V180/unit</f>
        <v>0</v>
      </c>
      <c r="X87" s="73">
        <f>$I87*$K87*py*Index!W39*Index!W180/unit</f>
        <v>0</v>
      </c>
      <c r="Y87" s="73">
        <f>$I87*$K87*py*Index!X39*Index!X180/unit</f>
        <v>0</v>
      </c>
      <c r="Z87" s="73">
        <f>$I87*$K87*py*Index!Y39*Index!Y180/unit</f>
        <v>0</v>
      </c>
      <c r="AA87" s="73">
        <f>$I87*$K87*py*Index!Z39*Index!Z180/unit</f>
        <v>0</v>
      </c>
      <c r="AB87" s="73">
        <f>$I87*$K87*py*Index!AA39*Index!AA180/unit</f>
        <v>0</v>
      </c>
      <c r="AC87" s="73">
        <f>$I87*$K87*py*Index!AB39*Index!AB180/unit</f>
        <v>0</v>
      </c>
      <c r="AD87" s="73">
        <f>$I87*$K87*py*Index!AC39*Index!AC180/unit</f>
        <v>0</v>
      </c>
      <c r="AE87" s="73">
        <f>$I87*$K87*py*Index!AD39*Index!AD180/unit</f>
        <v>0</v>
      </c>
      <c r="AF87" s="73">
        <f>$I87*$K87*py*Index!AE39*Index!AE180/unit</f>
        <v>0</v>
      </c>
      <c r="AG87" s="73">
        <f>$I87*$K87*py*Index!AF39*Index!AF180/unit</f>
        <v>0</v>
      </c>
      <c r="AH87" s="73">
        <f>$I87*$K87*py*Index!AG39*Index!AG180/unit</f>
        <v>0</v>
      </c>
      <c r="AI87" s="73">
        <f>$I87*$K87*py*Index!AH39*Index!AH180/unit</f>
        <v>0</v>
      </c>
      <c r="AJ87" s="73">
        <f>$I87*$K87*py*Index!AI39*Index!AI180/unit</f>
        <v>0</v>
      </c>
      <c r="AK87" s="73">
        <f>$I87*$K87*py*Index!AJ39*Index!AJ180/unit</f>
        <v>0</v>
      </c>
      <c r="AL87" s="73">
        <f>$I87*$K87*py*Index!AK39*Index!AK180/unit</f>
        <v>0</v>
      </c>
      <c r="AM87" s="73">
        <f>$I87*$K87*py*Index!AL39*Index!AL180/unit</f>
        <v>0</v>
      </c>
      <c r="AN87" s="73">
        <f>$I87*$K87*py*Index!AM39*Index!AM180/unit</f>
        <v>0</v>
      </c>
      <c r="AO87" s="73">
        <f>$I87*$K87*py*Index!AN39*Index!AN180/unit</f>
        <v>0</v>
      </c>
      <c r="AP87" s="73">
        <f>$I87*$K87*py*Index!AO39*Index!AO180/unit</f>
        <v>0</v>
      </c>
      <c r="AQ87" s="73">
        <f>$I87*$K87*py*Index!AP39*Index!AP180/unit</f>
        <v>0</v>
      </c>
      <c r="AR87" s="73">
        <f>$I87*$K87*py*Index!AQ39*Index!AQ180/unit</f>
        <v>0</v>
      </c>
      <c r="AS87" s="73">
        <f>$I87*$K87*py*Index!AR39*Index!AR180/unit</f>
        <v>0</v>
      </c>
      <c r="AT87" s="73">
        <f>$I87*$K87*py*Index!AS39*Index!AS180/unit</f>
        <v>0</v>
      </c>
      <c r="AU87" s="73">
        <f>$I87*$K87*py*Index!AT39*Index!AT180/unit</f>
        <v>0</v>
      </c>
      <c r="AV87" s="73">
        <f>$I87*$K87*py*Index!AU39*Index!AU180/unit</f>
        <v>0</v>
      </c>
      <c r="AW87" s="73">
        <f>$I87*$K87*py*Index!AV39*Index!AV180/unit</f>
        <v>0</v>
      </c>
      <c r="AX87" s="73">
        <f>$I87*$K87*py*Index!AW39*Index!AW180/unit</f>
        <v>0</v>
      </c>
      <c r="AY87" s="73">
        <f>$I87*$K87*py*Index!AX39*Index!AX180/unit</f>
        <v>0</v>
      </c>
      <c r="AZ87" s="73">
        <f>$I87*$K87*py*Index!AY39*Index!AY180/unit</f>
        <v>0</v>
      </c>
      <c r="BA87" s="73">
        <f>$I87*$K87*py*Index!AZ39*Index!AZ180/unit</f>
        <v>0</v>
      </c>
      <c r="BB87" s="73">
        <f>$I87*$K87*py*Index!BA39*Index!BA180/unit</f>
        <v>0</v>
      </c>
      <c r="BC87" s="73">
        <f>$I87*$K87*py*Index!BB39*Index!BB180/unit</f>
        <v>0</v>
      </c>
      <c r="BD87" s="73">
        <f>$I87*$K87*py*Index!BC39*Index!BC180/unit</f>
        <v>0</v>
      </c>
      <c r="BE87" s="73">
        <f>$I87*$K87*py*Index!BD39*Index!BD180/unit</f>
        <v>0</v>
      </c>
      <c r="BF87" s="73">
        <f>$I87*$K87*py*Index!BE39*Index!BE180/unit</f>
        <v>0</v>
      </c>
      <c r="BG87" s="73">
        <f>$I87*$K87*py*Index!BF39*Index!BF180/unit</f>
        <v>0</v>
      </c>
      <c r="BH87" s="73">
        <f>$I87*$K87*py*Index!BG39*Index!BG180/unit</f>
        <v>0</v>
      </c>
      <c r="BI87" s="73">
        <f>$I87*$K87*py*Index!BH39*Index!BH180/unit</f>
        <v>0</v>
      </c>
      <c r="BJ87" s="73">
        <f>$I87*$K87*py*Index!BI39*Index!BI180/unit</f>
        <v>0</v>
      </c>
      <c r="BK87" s="73">
        <f>$I87*$K87*py*Index!BJ39*Index!BJ180/unit</f>
        <v>0</v>
      </c>
      <c r="BL87" s="73">
        <f>$I87*$K87*py*Index!BK39*Index!BK180/unit</f>
        <v>0</v>
      </c>
      <c r="BM87" s="73">
        <f>$I87*$K87*py*Index!BL39*Index!BL180/unit</f>
        <v>0</v>
      </c>
      <c r="BN87" s="73">
        <f>$I87*$K87*py*Index!BM39*Index!BM180/unit</f>
        <v>0</v>
      </c>
      <c r="BO87" s="73">
        <f>$I87*$K87*py*Index!BN39*Index!BN180/unit</f>
        <v>0</v>
      </c>
      <c r="BP87" s="73">
        <f>$I87*$K87*py*Index!BO39*Index!BO180/unit</f>
        <v>21.220948205413972</v>
      </c>
      <c r="BQ87" s="73">
        <f>$I87*$K87*py*Index!BP39*Index!BP180/unit</f>
        <v>21.220948205413972</v>
      </c>
      <c r="BR87" s="73">
        <f>$I87*$K87*py*Index!BQ39*Index!BQ180/unit</f>
        <v>21.220948205413972</v>
      </c>
      <c r="BS87" s="73">
        <f>$I87*$K87*py*Index!BR39*Index!BR180/unit</f>
        <v>21.220948205413972</v>
      </c>
      <c r="BT87" s="73">
        <f>$I87*$K87*py*Index!BS39*Index!BS180/unit</f>
        <v>21.220948205413972</v>
      </c>
      <c r="BU87" s="73">
        <f>$I87*$K87*py*Index!BT39*Index!BT180/unit</f>
        <v>21.220948205413972</v>
      </c>
      <c r="BV87" s="73">
        <f>$I87*$K87*py*Index!BU39*Index!BU180/unit</f>
        <v>21.220948205413972</v>
      </c>
      <c r="BW87" s="73">
        <f>$I87*$K87*py*Index!BV39*Index!BV180/unit</f>
        <v>21.220948205413972</v>
      </c>
      <c r="BX87" s="73">
        <f>$I87*$K87*py*Index!BW39*Index!BW180/unit</f>
        <v>21.220948205413972</v>
      </c>
      <c r="BY87" s="73">
        <f>$I87*$K87*py*Index!BX39*Index!BX180/unit</f>
        <v>21.220948205413972</v>
      </c>
      <c r="BZ87" s="73">
        <f>$I87*$K87*py*Index!BY39*Index!BY180/unit</f>
        <v>21.220948205413972</v>
      </c>
      <c r="CA87" s="73">
        <f>$I87*$K87*py*Index!BZ39*Index!BZ180/unit</f>
        <v>21.220948205413972</v>
      </c>
      <c r="CB87" s="73">
        <f>$I87*$K87*py*Index!CA39*Index!CA180/unit</f>
        <v>0</v>
      </c>
      <c r="CC87" s="73">
        <f>$I87*$K87*py*Index!CB39*Index!CB180/unit</f>
        <v>0</v>
      </c>
      <c r="CD87" s="73">
        <f>$I87*$K87*py*Index!CC39*Index!CC180/unit</f>
        <v>0</v>
      </c>
      <c r="CE87" s="73">
        <f>$I87*$K87*py*Index!CD39*Index!CD180/unit</f>
        <v>0</v>
      </c>
      <c r="CF87" s="73">
        <f>$I87*$K87*py*Index!CE39*Index!CE180/unit</f>
        <v>0</v>
      </c>
      <c r="CG87" s="73">
        <f>$I87*$K87*py*Index!CF39*Index!CF180/unit</f>
        <v>0</v>
      </c>
      <c r="CH87" s="73">
        <f>$I87*$K87*py*Index!CG39*Index!CG180/unit</f>
        <v>0</v>
      </c>
      <c r="CI87" s="73">
        <f>$I87*$K87*py*Index!CH39*Index!CH180/unit</f>
        <v>0</v>
      </c>
      <c r="CJ87" s="73">
        <f>$I87*$K87*py*Index!CI39*Index!CI180/unit</f>
        <v>0</v>
      </c>
      <c r="CK87" s="73">
        <f>$I87*$K87*py*Index!CJ39*Index!CJ180/unit</f>
        <v>0</v>
      </c>
      <c r="CL87" s="73">
        <f>$I87*$K87*py*Index!CK39*Index!CK180/unit</f>
        <v>0</v>
      </c>
      <c r="CM87" s="73">
        <f>$I87*$K87*py*Index!CL39*Index!CL180/unit</f>
        <v>0</v>
      </c>
      <c r="CN87" s="73">
        <f>$I87*$K87*py*Index!CM39*Index!CM180/unit</f>
        <v>0</v>
      </c>
      <c r="CO87" s="73">
        <f>$I87*$K87*py*Index!CN39*Index!CN180/unit</f>
        <v>0</v>
      </c>
      <c r="CP87" s="73">
        <f>$I87*$K87*py*Index!CO39*Index!CO180/unit</f>
        <v>0</v>
      </c>
      <c r="CQ87" s="73">
        <f>$I87*$K87*py*Index!CP39*Index!CP180/unit</f>
        <v>0</v>
      </c>
      <c r="CR87" s="73">
        <f>$I87*$K87*py*Index!CQ39*Index!CQ180/unit</f>
        <v>0</v>
      </c>
      <c r="CS87" s="73">
        <f>$I87*$K87*py*Index!CR39*Index!CR180/unit</f>
        <v>0</v>
      </c>
      <c r="CT87" s="73">
        <f>$I87*$K87*py*Index!CS39*Index!CS180/unit</f>
        <v>0</v>
      </c>
      <c r="CU87" s="73">
        <f>$I87*$K87*py*Index!CT39*Index!CT180/unit</f>
        <v>0</v>
      </c>
      <c r="CV87" s="73">
        <f>$I87*$K87*py*Index!CU39*Index!CU180/unit</f>
        <v>0</v>
      </c>
      <c r="CW87" s="73">
        <f>$I87*$K87*py*Index!CV39*Index!CV180/unit</f>
        <v>0</v>
      </c>
      <c r="CX87" s="73">
        <f>$I87*$K87*py*Index!CW39*Index!CW180/unit</f>
        <v>0</v>
      </c>
      <c r="CY87" s="73">
        <f>$I87*$K87*py*Index!CX39*Index!CX180/unit</f>
        <v>0</v>
      </c>
      <c r="CZ87" s="73">
        <f>$I87*$K87*py*Index!CY39*Index!CY180/unit</f>
        <v>0</v>
      </c>
      <c r="DA87" s="73">
        <f>$I87*$K87*py*Index!CZ39*Index!CZ180/unit</f>
        <v>0</v>
      </c>
      <c r="DB87" s="73">
        <f>$I87*$K87*py*Index!DA39*Index!DA180/unit</f>
        <v>0</v>
      </c>
      <c r="DC87" s="73">
        <f>$I87*$K87*py*Index!DB39*Index!DB180/unit</f>
        <v>0</v>
      </c>
      <c r="DD87" s="73">
        <f>$I87*$K87*py*Index!DC39*Index!DC180/unit</f>
        <v>0</v>
      </c>
      <c r="DE87" s="73">
        <f>$I87*$K87*py*Index!DD39*Index!DD180/unit</f>
        <v>0</v>
      </c>
      <c r="DF87" s="73">
        <f>$I87*$K87*py*Index!DE39*Index!DE180/unit</f>
        <v>0</v>
      </c>
      <c r="DG87" s="73">
        <f>$I87*$K87*py*Index!DF39*Index!DF180/unit</f>
        <v>0</v>
      </c>
      <c r="DH87" s="73">
        <f>$I87*$K87*py*Index!DG39*Index!DG180/unit</f>
        <v>0</v>
      </c>
      <c r="DI87" s="73">
        <f>$I87*$K87*py*Index!DH39*Index!DH180/unit</f>
        <v>0</v>
      </c>
      <c r="DJ87" s="73">
        <f>$I87*$K87*py*Index!DI39*Index!DI180/unit</f>
        <v>0</v>
      </c>
      <c r="DK87" s="73">
        <f>$I87*$K87*py*Index!DJ39*Index!DJ180/unit</f>
        <v>0</v>
      </c>
      <c r="DL87" s="73">
        <f>$I87*$K87*py*Index!DK39*Index!DK180/unit</f>
        <v>0</v>
      </c>
      <c r="DM87" s="73">
        <f>$I87*$K87*py*Index!DL39*Index!DL180/unit</f>
        <v>0</v>
      </c>
    </row>
    <row r="88" spans="2:117">
      <c r="B88" s="27">
        <f>Rentroll!$C$38</f>
        <v>16</v>
      </c>
      <c r="C88" s="69" t="str">
        <f>VLOOKUP($B88,Rentroll!$C$37:$Z$60,3,FALSE)</f>
        <v>리마 상사</v>
      </c>
      <c r="D88" s="80">
        <f>VLOOKUP($B88,Rentroll!$C$37:$Z$60,9,FALSE)</f>
        <v>47149</v>
      </c>
      <c r="E88" s="80">
        <f>VLOOKUP($B88,Rentroll!$C$37:$Z$60,10,FALSE)</f>
        <v>48975</v>
      </c>
      <c r="F88" s="81">
        <f>VLOOKUP($B88,Rentroll!$C$37:$Z$60,11,FALSE)</f>
        <v>60</v>
      </c>
      <c r="G88" s="69">
        <f>VLOOKUP($B88,Rentroll!$C$37:$Z$60,13,FALSE)</f>
        <v>115927.40742999999</v>
      </c>
      <c r="H88" s="69">
        <f>VLOOKUP($B88,Rentroll!$C$37:$Z$60,14,FALSE)</f>
        <v>106266.79014416666</v>
      </c>
      <c r="I88" s="69">
        <f>VLOOKUP($B88,Rentroll!$C$37:$Z$60,15,FALSE)</f>
        <v>50647.896449999993</v>
      </c>
      <c r="J88" s="82">
        <f>VLOOKUP($B88,Rentroll!$C$37:$Z$60,19,FALSE)</f>
        <v>0.03</v>
      </c>
      <c r="K88" s="83">
        <f>VLOOKUP($B88,Rentroll!$C$37:$Z$60,4,FALSE)</f>
        <v>1385.09</v>
      </c>
      <c r="L88" s="81">
        <f>VLOOKUP($B88,Rentroll!$C$37:$Z$60,17,FALSE)</f>
        <v>0</v>
      </c>
      <c r="M88" s="84">
        <f>VLOOKUP($B88,Rentroll!$C$37:$Z$60,18,FALSE)</f>
        <v>1</v>
      </c>
      <c r="O88" s="74">
        <f t="shared" ref="O88:O105" si="219">B88</f>
        <v>16</v>
      </c>
      <c r="P88" s="75"/>
      <c r="Q88" s="75">
        <f t="shared" si="215"/>
        <v>254.65137846496768</v>
      </c>
      <c r="R88" s="75"/>
      <c r="S88" s="75">
        <f>$I88*$K88*py*Index!R40*Index!R181/unit</f>
        <v>0</v>
      </c>
      <c r="T88" s="75">
        <f>$I88*$K88*py*Index!S40*Index!S181/unit</f>
        <v>0</v>
      </c>
      <c r="U88" s="75">
        <f>$I88*$K88*py*Index!T40*Index!T181/unit</f>
        <v>0</v>
      </c>
      <c r="V88" s="75">
        <f>$I88*$K88*py*Index!U40*Index!U181/unit</f>
        <v>0</v>
      </c>
      <c r="W88" s="75">
        <f>$I88*$K88*py*Index!V40*Index!V181/unit</f>
        <v>0</v>
      </c>
      <c r="X88" s="75">
        <f>$I88*$K88*py*Index!W40*Index!W181/unit</f>
        <v>0</v>
      </c>
      <c r="Y88" s="75">
        <f>$I88*$K88*py*Index!X40*Index!X181/unit</f>
        <v>0</v>
      </c>
      <c r="Z88" s="75">
        <f>$I88*$K88*py*Index!Y40*Index!Y181/unit</f>
        <v>0</v>
      </c>
      <c r="AA88" s="75">
        <f>$I88*$K88*py*Index!Z40*Index!Z181/unit</f>
        <v>0</v>
      </c>
      <c r="AB88" s="75">
        <f>$I88*$K88*py*Index!AA40*Index!AA181/unit</f>
        <v>0</v>
      </c>
      <c r="AC88" s="75">
        <f>$I88*$K88*py*Index!AB40*Index!AB181/unit</f>
        <v>0</v>
      </c>
      <c r="AD88" s="75">
        <f>$I88*$K88*py*Index!AC40*Index!AC181/unit</f>
        <v>0</v>
      </c>
      <c r="AE88" s="75">
        <f>$I88*$K88*py*Index!AD40*Index!AD181/unit</f>
        <v>0</v>
      </c>
      <c r="AF88" s="75">
        <f>$I88*$K88*py*Index!AE40*Index!AE181/unit</f>
        <v>0</v>
      </c>
      <c r="AG88" s="75">
        <f>$I88*$K88*py*Index!AF40*Index!AF181/unit</f>
        <v>0</v>
      </c>
      <c r="AH88" s="75">
        <f>$I88*$K88*py*Index!AG40*Index!AG181/unit</f>
        <v>0</v>
      </c>
      <c r="AI88" s="75">
        <f>$I88*$K88*py*Index!AH40*Index!AH181/unit</f>
        <v>0</v>
      </c>
      <c r="AJ88" s="75">
        <f>$I88*$K88*py*Index!AI40*Index!AI181/unit</f>
        <v>0</v>
      </c>
      <c r="AK88" s="75">
        <f>$I88*$K88*py*Index!AJ40*Index!AJ181/unit</f>
        <v>0</v>
      </c>
      <c r="AL88" s="75">
        <f>$I88*$K88*py*Index!AK40*Index!AK181/unit</f>
        <v>0</v>
      </c>
      <c r="AM88" s="75">
        <f>$I88*$K88*py*Index!AL40*Index!AL181/unit</f>
        <v>0</v>
      </c>
      <c r="AN88" s="75">
        <f>$I88*$K88*py*Index!AM40*Index!AM181/unit</f>
        <v>0</v>
      </c>
      <c r="AO88" s="75">
        <f>$I88*$K88*py*Index!AN40*Index!AN181/unit</f>
        <v>0</v>
      </c>
      <c r="AP88" s="75">
        <f>$I88*$K88*py*Index!AO40*Index!AO181/unit</f>
        <v>0</v>
      </c>
      <c r="AQ88" s="75">
        <f>$I88*$K88*py*Index!AP40*Index!AP181/unit</f>
        <v>0</v>
      </c>
      <c r="AR88" s="75">
        <f>$I88*$K88*py*Index!AQ40*Index!AQ181/unit</f>
        <v>0</v>
      </c>
      <c r="AS88" s="75">
        <f>$I88*$K88*py*Index!AR40*Index!AR181/unit</f>
        <v>0</v>
      </c>
      <c r="AT88" s="75">
        <f>$I88*$K88*py*Index!AS40*Index!AS181/unit</f>
        <v>0</v>
      </c>
      <c r="AU88" s="75">
        <f>$I88*$K88*py*Index!AT40*Index!AT181/unit</f>
        <v>0</v>
      </c>
      <c r="AV88" s="75">
        <f>$I88*$K88*py*Index!AU40*Index!AU181/unit</f>
        <v>0</v>
      </c>
      <c r="AW88" s="75">
        <f>$I88*$K88*py*Index!AV40*Index!AV181/unit</f>
        <v>0</v>
      </c>
      <c r="AX88" s="75">
        <f>$I88*$K88*py*Index!AW40*Index!AW181/unit</f>
        <v>0</v>
      </c>
      <c r="AY88" s="75">
        <f>$I88*$K88*py*Index!AX40*Index!AX181/unit</f>
        <v>0</v>
      </c>
      <c r="AZ88" s="75">
        <f>$I88*$K88*py*Index!AY40*Index!AY181/unit</f>
        <v>0</v>
      </c>
      <c r="BA88" s="75">
        <f>$I88*$K88*py*Index!AZ40*Index!AZ181/unit</f>
        <v>0</v>
      </c>
      <c r="BB88" s="75">
        <f>$I88*$K88*py*Index!BA40*Index!BA181/unit</f>
        <v>0</v>
      </c>
      <c r="BC88" s="75">
        <f>$I88*$K88*py*Index!BB40*Index!BB181/unit</f>
        <v>0</v>
      </c>
      <c r="BD88" s="75">
        <f>$I88*$K88*py*Index!BC40*Index!BC181/unit</f>
        <v>0</v>
      </c>
      <c r="BE88" s="75">
        <f>$I88*$K88*py*Index!BD40*Index!BD181/unit</f>
        <v>0</v>
      </c>
      <c r="BF88" s="75">
        <f>$I88*$K88*py*Index!BE40*Index!BE181/unit</f>
        <v>0</v>
      </c>
      <c r="BG88" s="75">
        <f>$I88*$K88*py*Index!BF40*Index!BF181/unit</f>
        <v>0</v>
      </c>
      <c r="BH88" s="75">
        <f>$I88*$K88*py*Index!BG40*Index!BG181/unit</f>
        <v>0</v>
      </c>
      <c r="BI88" s="75">
        <f>$I88*$K88*py*Index!BH40*Index!BH181/unit</f>
        <v>0</v>
      </c>
      <c r="BJ88" s="75">
        <f>$I88*$K88*py*Index!BI40*Index!BI181/unit</f>
        <v>0</v>
      </c>
      <c r="BK88" s="75">
        <f>$I88*$K88*py*Index!BJ40*Index!BJ181/unit</f>
        <v>0</v>
      </c>
      <c r="BL88" s="75">
        <f>$I88*$K88*py*Index!BK40*Index!BK181/unit</f>
        <v>0</v>
      </c>
      <c r="BM88" s="75">
        <f>$I88*$K88*py*Index!BL40*Index!BL181/unit</f>
        <v>0</v>
      </c>
      <c r="BN88" s="75">
        <f>$I88*$K88*py*Index!BM40*Index!BM181/unit</f>
        <v>0</v>
      </c>
      <c r="BO88" s="75">
        <f>$I88*$K88*py*Index!BN40*Index!BN181/unit</f>
        <v>0</v>
      </c>
      <c r="BP88" s="75">
        <f>$I88*$K88*py*Index!BO40*Index!BO181/unit</f>
        <v>21.220948205413972</v>
      </c>
      <c r="BQ88" s="75">
        <f>$I88*$K88*py*Index!BP40*Index!BP181/unit</f>
        <v>21.220948205413972</v>
      </c>
      <c r="BR88" s="75">
        <f>$I88*$K88*py*Index!BQ40*Index!BQ181/unit</f>
        <v>21.220948205413972</v>
      </c>
      <c r="BS88" s="75">
        <f>$I88*$K88*py*Index!BR40*Index!BR181/unit</f>
        <v>21.220948205413972</v>
      </c>
      <c r="BT88" s="75">
        <f>$I88*$K88*py*Index!BS40*Index!BS181/unit</f>
        <v>21.220948205413972</v>
      </c>
      <c r="BU88" s="75">
        <f>$I88*$K88*py*Index!BT40*Index!BT181/unit</f>
        <v>21.220948205413972</v>
      </c>
      <c r="BV88" s="75">
        <f>$I88*$K88*py*Index!BU40*Index!BU181/unit</f>
        <v>21.220948205413972</v>
      </c>
      <c r="BW88" s="75">
        <f>$I88*$K88*py*Index!BV40*Index!BV181/unit</f>
        <v>21.220948205413972</v>
      </c>
      <c r="BX88" s="75">
        <f>$I88*$K88*py*Index!BW40*Index!BW181/unit</f>
        <v>21.220948205413972</v>
      </c>
      <c r="BY88" s="75">
        <f>$I88*$K88*py*Index!BX40*Index!BX181/unit</f>
        <v>21.220948205413972</v>
      </c>
      <c r="BZ88" s="75">
        <f>$I88*$K88*py*Index!BY40*Index!BY181/unit</f>
        <v>21.220948205413972</v>
      </c>
      <c r="CA88" s="75">
        <f>$I88*$K88*py*Index!BZ40*Index!BZ181/unit</f>
        <v>21.220948205413972</v>
      </c>
      <c r="CB88" s="75">
        <f>$I88*$K88*py*Index!CA40*Index!CA181/unit</f>
        <v>0</v>
      </c>
      <c r="CC88" s="75">
        <f>$I88*$K88*py*Index!CB40*Index!CB181/unit</f>
        <v>0</v>
      </c>
      <c r="CD88" s="75">
        <f>$I88*$K88*py*Index!CC40*Index!CC181/unit</f>
        <v>0</v>
      </c>
      <c r="CE88" s="75">
        <f>$I88*$K88*py*Index!CD40*Index!CD181/unit</f>
        <v>0</v>
      </c>
      <c r="CF88" s="75">
        <f>$I88*$K88*py*Index!CE40*Index!CE181/unit</f>
        <v>0</v>
      </c>
      <c r="CG88" s="75">
        <f>$I88*$K88*py*Index!CF40*Index!CF181/unit</f>
        <v>0</v>
      </c>
      <c r="CH88" s="75">
        <f>$I88*$K88*py*Index!CG40*Index!CG181/unit</f>
        <v>0</v>
      </c>
      <c r="CI88" s="75">
        <f>$I88*$K88*py*Index!CH40*Index!CH181/unit</f>
        <v>0</v>
      </c>
      <c r="CJ88" s="75">
        <f>$I88*$K88*py*Index!CI40*Index!CI181/unit</f>
        <v>0</v>
      </c>
      <c r="CK88" s="75">
        <f>$I88*$K88*py*Index!CJ40*Index!CJ181/unit</f>
        <v>0</v>
      </c>
      <c r="CL88" s="75">
        <f>$I88*$K88*py*Index!CK40*Index!CK181/unit</f>
        <v>0</v>
      </c>
      <c r="CM88" s="75">
        <f>$I88*$K88*py*Index!CL40*Index!CL181/unit</f>
        <v>0</v>
      </c>
      <c r="CN88" s="75">
        <f>$I88*$K88*py*Index!CM40*Index!CM181/unit</f>
        <v>0</v>
      </c>
      <c r="CO88" s="75">
        <f>$I88*$K88*py*Index!CN40*Index!CN181/unit</f>
        <v>0</v>
      </c>
      <c r="CP88" s="75">
        <f>$I88*$K88*py*Index!CO40*Index!CO181/unit</f>
        <v>0</v>
      </c>
      <c r="CQ88" s="75">
        <f>$I88*$K88*py*Index!CP40*Index!CP181/unit</f>
        <v>0</v>
      </c>
      <c r="CR88" s="75">
        <f>$I88*$K88*py*Index!CQ40*Index!CQ181/unit</f>
        <v>0</v>
      </c>
      <c r="CS88" s="75">
        <f>$I88*$K88*py*Index!CR40*Index!CR181/unit</f>
        <v>0</v>
      </c>
      <c r="CT88" s="75">
        <f>$I88*$K88*py*Index!CS40*Index!CS181/unit</f>
        <v>0</v>
      </c>
      <c r="CU88" s="75">
        <f>$I88*$K88*py*Index!CT40*Index!CT181/unit</f>
        <v>0</v>
      </c>
      <c r="CV88" s="75">
        <f>$I88*$K88*py*Index!CU40*Index!CU181/unit</f>
        <v>0</v>
      </c>
      <c r="CW88" s="75">
        <f>$I88*$K88*py*Index!CV40*Index!CV181/unit</f>
        <v>0</v>
      </c>
      <c r="CX88" s="75">
        <f>$I88*$K88*py*Index!CW40*Index!CW181/unit</f>
        <v>0</v>
      </c>
      <c r="CY88" s="75">
        <f>$I88*$K88*py*Index!CX40*Index!CX181/unit</f>
        <v>0</v>
      </c>
      <c r="CZ88" s="75">
        <f>$I88*$K88*py*Index!CY40*Index!CY181/unit</f>
        <v>0</v>
      </c>
      <c r="DA88" s="75">
        <f>$I88*$K88*py*Index!CZ40*Index!CZ181/unit</f>
        <v>0</v>
      </c>
      <c r="DB88" s="75">
        <f>$I88*$K88*py*Index!DA40*Index!DA181/unit</f>
        <v>0</v>
      </c>
      <c r="DC88" s="75">
        <f>$I88*$K88*py*Index!DB40*Index!DB181/unit</f>
        <v>0</v>
      </c>
      <c r="DD88" s="75">
        <f>$I88*$K88*py*Index!DC40*Index!DC181/unit</f>
        <v>0</v>
      </c>
      <c r="DE88" s="75">
        <f>$I88*$K88*py*Index!DD40*Index!DD181/unit</f>
        <v>0</v>
      </c>
      <c r="DF88" s="75">
        <f>$I88*$K88*py*Index!DE40*Index!DE181/unit</f>
        <v>0</v>
      </c>
      <c r="DG88" s="75">
        <f>$I88*$K88*py*Index!DF40*Index!DF181/unit</f>
        <v>0</v>
      </c>
      <c r="DH88" s="75">
        <f>$I88*$K88*py*Index!DG40*Index!DG181/unit</f>
        <v>0</v>
      </c>
      <c r="DI88" s="75">
        <f>$I88*$K88*py*Index!DH40*Index!DH181/unit</f>
        <v>0</v>
      </c>
      <c r="DJ88" s="75">
        <f>$I88*$K88*py*Index!DI40*Index!DI181/unit</f>
        <v>0</v>
      </c>
      <c r="DK88" s="75">
        <f>$I88*$K88*py*Index!DJ40*Index!DJ181/unit</f>
        <v>0</v>
      </c>
      <c r="DL88" s="75">
        <f>$I88*$K88*py*Index!DK40*Index!DK181/unit</f>
        <v>0</v>
      </c>
      <c r="DM88" s="75">
        <f>$I88*$K88*py*Index!DL40*Index!DL181/unit</f>
        <v>0</v>
      </c>
    </row>
    <row r="89" spans="2:117">
      <c r="B89" s="27">
        <f>Rentroll!$C$39</f>
        <v>15</v>
      </c>
      <c r="C89" s="69" t="str">
        <f>VLOOKUP($B89,Rentroll!$C$37:$Z$60,3,FALSE)</f>
        <v>111퍼센트</v>
      </c>
      <c r="D89" s="80">
        <f>VLOOKUP($B89,Rentroll!$C$37:$Z$60,9,FALSE)</f>
        <v>45869</v>
      </c>
      <c r="E89" s="80">
        <f>VLOOKUP($B89,Rentroll!$C$37:$Z$60,10,FALSE)</f>
        <v>47695</v>
      </c>
      <c r="F89" s="81">
        <f>VLOOKUP($B89,Rentroll!$C$37:$Z$60,11,FALSE)</f>
        <v>60</v>
      </c>
      <c r="G89" s="69">
        <f>VLOOKUP($B89,Rentroll!$C$37:$Z$60,13,FALSE)</f>
        <v>103000</v>
      </c>
      <c r="H89" s="69">
        <f>VLOOKUP($B89,Rentroll!$C$37:$Z$60,14,FALSE)</f>
        <v>94416.666666666672</v>
      </c>
      <c r="I89" s="69">
        <f>VLOOKUP($B89,Rentroll!$C$37:$Z$60,15,FALSE)</f>
        <v>45000</v>
      </c>
      <c r="J89" s="82">
        <f>VLOOKUP($B89,Rentroll!$C$37:$Z$60,19,FALSE)</f>
        <v>0.03</v>
      </c>
      <c r="K89" s="83">
        <f>VLOOKUP($B89,Rentroll!$C$37:$Z$60,4,FALSE)</f>
        <v>1385.09</v>
      </c>
      <c r="L89" s="81">
        <f>VLOOKUP($B89,Rentroll!$C$37:$Z$60,17,FALSE)</f>
        <v>1</v>
      </c>
      <c r="M89" s="84">
        <f>VLOOKUP($B89,Rentroll!$C$37:$Z$60,18,FALSE)</f>
        <v>1</v>
      </c>
      <c r="O89" s="74">
        <f t="shared" si="219"/>
        <v>15</v>
      </c>
      <c r="P89" s="75"/>
      <c r="Q89" s="75">
        <f t="shared" si="215"/>
        <v>1073.8899213980749</v>
      </c>
      <c r="R89" s="75"/>
      <c r="S89" s="75">
        <f>$I89*$K89*py*Index!R41*Index!R182/unit</f>
        <v>0</v>
      </c>
      <c r="T89" s="75">
        <f>$I89*$K89*py*Index!S41*Index!S182/unit</f>
        <v>0</v>
      </c>
      <c r="U89" s="75">
        <f>$I89*$K89*py*Index!T41*Index!T182/unit</f>
        <v>0</v>
      </c>
      <c r="V89" s="75">
        <f>$I89*$K89*py*Index!U41*Index!U182/unit</f>
        <v>0</v>
      </c>
      <c r="W89" s="75">
        <f>$I89*$K89*py*Index!V41*Index!V182/unit</f>
        <v>0</v>
      </c>
      <c r="X89" s="75">
        <f>$I89*$K89*py*Index!W41*Index!W182/unit</f>
        <v>0</v>
      </c>
      <c r="Y89" s="75">
        <f>$I89*$K89*py*Index!X41*Index!X182/unit</f>
        <v>0</v>
      </c>
      <c r="Z89" s="75">
        <f>$I89*$K89*py*Index!Y41*Index!Y182/unit</f>
        <v>18.854537624999999</v>
      </c>
      <c r="AA89" s="75">
        <f>$I89*$K89*py*Index!Z41*Index!Z182/unit</f>
        <v>18.854537624999999</v>
      </c>
      <c r="AB89" s="75">
        <f>$I89*$K89*py*Index!AA41*Index!AA182/unit</f>
        <v>18.854537624999999</v>
      </c>
      <c r="AC89" s="75">
        <f>$I89*$K89*py*Index!AB41*Index!AB182/unit</f>
        <v>18.854537624999999</v>
      </c>
      <c r="AD89" s="75">
        <f>$I89*$K89*py*Index!AC41*Index!AC182/unit</f>
        <v>18.854537624999999</v>
      </c>
      <c r="AE89" s="75">
        <f>$I89*$K89*py*Index!AD41*Index!AD182/unit</f>
        <v>18.854537624999999</v>
      </c>
      <c r="AF89" s="75">
        <f>$I89*$K89*py*Index!AE41*Index!AE182/unit</f>
        <v>18.854537624999999</v>
      </c>
      <c r="AG89" s="75">
        <f>$I89*$K89*py*Index!AF41*Index!AF182/unit</f>
        <v>18.854537624999999</v>
      </c>
      <c r="AH89" s="75">
        <f>$I89*$K89*py*Index!AG41*Index!AG182/unit</f>
        <v>18.854537624999999</v>
      </c>
      <c r="AI89" s="75">
        <f>$I89*$K89*py*Index!AH41*Index!AH182/unit</f>
        <v>18.854537624999999</v>
      </c>
      <c r="AJ89" s="75">
        <f>$I89*$K89*py*Index!AI41*Index!AI182/unit</f>
        <v>18.854537624999999</v>
      </c>
      <c r="AK89" s="75">
        <f>$I89*$K89*py*Index!AJ41*Index!AJ182/unit</f>
        <v>18.854537624999999</v>
      </c>
      <c r="AL89" s="75">
        <f>$I89*$K89*py*Index!AK41*Index!AK182/unit</f>
        <v>19.420173753749999</v>
      </c>
      <c r="AM89" s="75">
        <f>$I89*$K89*py*Index!AL41*Index!AL182/unit</f>
        <v>19.420173753749999</v>
      </c>
      <c r="AN89" s="75">
        <f>$I89*$K89*py*Index!AM41*Index!AM182/unit</f>
        <v>19.420173753749999</v>
      </c>
      <c r="AO89" s="75">
        <f>$I89*$K89*py*Index!AN41*Index!AN182/unit</f>
        <v>19.420173753749999</v>
      </c>
      <c r="AP89" s="75">
        <f>$I89*$K89*py*Index!AO41*Index!AO182/unit</f>
        <v>19.420173753749999</v>
      </c>
      <c r="AQ89" s="75">
        <f>$I89*$K89*py*Index!AP41*Index!AP182/unit</f>
        <v>19.420173753749999</v>
      </c>
      <c r="AR89" s="75">
        <f>$I89*$K89*py*Index!AQ41*Index!AQ182/unit</f>
        <v>19.420173753749999</v>
      </c>
      <c r="AS89" s="75">
        <f>$I89*$K89*py*Index!AR41*Index!AR182/unit</f>
        <v>19.420173753749999</v>
      </c>
      <c r="AT89" s="75">
        <f>$I89*$K89*py*Index!AS41*Index!AS182/unit</f>
        <v>19.420173753749999</v>
      </c>
      <c r="AU89" s="75">
        <f>$I89*$K89*py*Index!AT41*Index!AT182/unit</f>
        <v>19.420173753749999</v>
      </c>
      <c r="AV89" s="75">
        <f>$I89*$K89*py*Index!AU41*Index!AU182/unit</f>
        <v>19.420173753749999</v>
      </c>
      <c r="AW89" s="75">
        <f>$I89*$K89*py*Index!AV41*Index!AV182/unit</f>
        <v>19.420173753749999</v>
      </c>
      <c r="AX89" s="75">
        <f>$I89*$K89*py*Index!AW41*Index!AW182/unit</f>
        <v>20.002778966362499</v>
      </c>
      <c r="AY89" s="75">
        <f>$I89*$K89*py*Index!AX41*Index!AX182/unit</f>
        <v>20.002778966362499</v>
      </c>
      <c r="AZ89" s="75">
        <f>$I89*$K89*py*Index!AY41*Index!AY182/unit</f>
        <v>20.002778966362499</v>
      </c>
      <c r="BA89" s="75">
        <f>$I89*$K89*py*Index!AZ41*Index!AZ182/unit</f>
        <v>20.002778966362499</v>
      </c>
      <c r="BB89" s="75">
        <f>$I89*$K89*py*Index!BA41*Index!BA182/unit</f>
        <v>20.002778966362499</v>
      </c>
      <c r="BC89" s="75">
        <f>$I89*$K89*py*Index!BB41*Index!BB182/unit</f>
        <v>20.002778966362499</v>
      </c>
      <c r="BD89" s="75">
        <f>$I89*$K89*py*Index!BC41*Index!BC182/unit</f>
        <v>20.002778966362499</v>
      </c>
      <c r="BE89" s="75">
        <f>$I89*$K89*py*Index!BD41*Index!BD182/unit</f>
        <v>20.002778966362499</v>
      </c>
      <c r="BF89" s="75">
        <f>$I89*$K89*py*Index!BE41*Index!BE182/unit</f>
        <v>20.002778966362499</v>
      </c>
      <c r="BG89" s="75">
        <f>$I89*$K89*py*Index!BF41*Index!BF182/unit</f>
        <v>20.002778966362499</v>
      </c>
      <c r="BH89" s="75">
        <f>$I89*$K89*py*Index!BG41*Index!BG182/unit</f>
        <v>20.002778966362499</v>
      </c>
      <c r="BI89" s="75">
        <f>$I89*$K89*py*Index!BH41*Index!BH182/unit</f>
        <v>20.002778966362499</v>
      </c>
      <c r="BJ89" s="75">
        <f>$I89*$K89*py*Index!BI41*Index!BI182/unit</f>
        <v>20.602862335353375</v>
      </c>
      <c r="BK89" s="75">
        <f>$I89*$K89*py*Index!BJ41*Index!BJ182/unit</f>
        <v>20.602862335353375</v>
      </c>
      <c r="BL89" s="75">
        <f>$I89*$K89*py*Index!BK41*Index!BK182/unit</f>
        <v>20.602862335353375</v>
      </c>
      <c r="BM89" s="75">
        <f>$I89*$K89*py*Index!BL41*Index!BL182/unit</f>
        <v>20.602862335353375</v>
      </c>
      <c r="BN89" s="75">
        <f>$I89*$K89*py*Index!BM41*Index!BM182/unit</f>
        <v>20.602862335353375</v>
      </c>
      <c r="BO89" s="75">
        <f>$I89*$K89*py*Index!BN41*Index!BN182/unit</f>
        <v>20.602862335353375</v>
      </c>
      <c r="BP89" s="75">
        <f>$I89*$K89*py*Index!BO41*Index!BO182/unit</f>
        <v>20.602862335353375</v>
      </c>
      <c r="BQ89" s="75">
        <f>$I89*$K89*py*Index!BP41*Index!BP182/unit</f>
        <v>20.602862335353375</v>
      </c>
      <c r="BR89" s="75">
        <f>$I89*$K89*py*Index!BQ41*Index!BQ182/unit</f>
        <v>20.602862335353375</v>
      </c>
      <c r="BS89" s="75">
        <f>$I89*$K89*py*Index!BR41*Index!BR182/unit</f>
        <v>20.602862335353375</v>
      </c>
      <c r="BT89" s="75">
        <f>$I89*$K89*py*Index!BS41*Index!BS182/unit</f>
        <v>20.602862335353375</v>
      </c>
      <c r="BU89" s="75">
        <f>$I89*$K89*py*Index!BT41*Index!BT182/unit</f>
        <v>20.602862335353375</v>
      </c>
      <c r="BV89" s="75">
        <f>$I89*$K89*py*Index!BU41*Index!BU182/unit</f>
        <v>21.220948205413976</v>
      </c>
      <c r="BW89" s="75">
        <f>$I89*$K89*py*Index!BV41*Index!BV182/unit</f>
        <v>21.220948205413976</v>
      </c>
      <c r="BX89" s="75">
        <f>$I89*$K89*py*Index!BW41*Index!BW182/unit</f>
        <v>21.220948205413976</v>
      </c>
      <c r="BY89" s="75">
        <f>$I89*$K89*py*Index!BX41*Index!BX182/unit</f>
        <v>21.220948205413976</v>
      </c>
      <c r="BZ89" s="75">
        <f>$I89*$K89*py*Index!BY41*Index!BY182/unit</f>
        <v>21.220948205413976</v>
      </c>
      <c r="CA89" s="75">
        <f>$I89*$K89*py*Index!BZ41*Index!BZ182/unit</f>
        <v>21.220948205413976</v>
      </c>
      <c r="CB89" s="75">
        <f>$I89*$K89*py*Index!CA41*Index!CA182/unit</f>
        <v>0</v>
      </c>
      <c r="CC89" s="75">
        <f>$I89*$K89*py*Index!CB41*Index!CB182/unit</f>
        <v>0</v>
      </c>
      <c r="CD89" s="75">
        <f>$I89*$K89*py*Index!CC41*Index!CC182/unit</f>
        <v>0</v>
      </c>
      <c r="CE89" s="75">
        <f>$I89*$K89*py*Index!CD41*Index!CD182/unit</f>
        <v>0</v>
      </c>
      <c r="CF89" s="75">
        <f>$I89*$K89*py*Index!CE41*Index!CE182/unit</f>
        <v>0</v>
      </c>
      <c r="CG89" s="75">
        <f>$I89*$K89*py*Index!CF41*Index!CF182/unit</f>
        <v>0</v>
      </c>
      <c r="CH89" s="75">
        <f>$I89*$K89*py*Index!CG41*Index!CG182/unit</f>
        <v>0</v>
      </c>
      <c r="CI89" s="75">
        <f>$I89*$K89*py*Index!CH41*Index!CH182/unit</f>
        <v>0</v>
      </c>
      <c r="CJ89" s="75">
        <f>$I89*$K89*py*Index!CI41*Index!CI182/unit</f>
        <v>0</v>
      </c>
      <c r="CK89" s="75">
        <f>$I89*$K89*py*Index!CJ41*Index!CJ182/unit</f>
        <v>0</v>
      </c>
      <c r="CL89" s="75">
        <f>$I89*$K89*py*Index!CK41*Index!CK182/unit</f>
        <v>0</v>
      </c>
      <c r="CM89" s="75">
        <f>$I89*$K89*py*Index!CL41*Index!CL182/unit</f>
        <v>0</v>
      </c>
      <c r="CN89" s="75">
        <f>$I89*$K89*py*Index!CM41*Index!CM182/unit</f>
        <v>0</v>
      </c>
      <c r="CO89" s="75">
        <f>$I89*$K89*py*Index!CN41*Index!CN182/unit</f>
        <v>0</v>
      </c>
      <c r="CP89" s="75">
        <f>$I89*$K89*py*Index!CO41*Index!CO182/unit</f>
        <v>0</v>
      </c>
      <c r="CQ89" s="75">
        <f>$I89*$K89*py*Index!CP41*Index!CP182/unit</f>
        <v>0</v>
      </c>
      <c r="CR89" s="75">
        <f>$I89*$K89*py*Index!CQ41*Index!CQ182/unit</f>
        <v>0</v>
      </c>
      <c r="CS89" s="75">
        <f>$I89*$K89*py*Index!CR41*Index!CR182/unit</f>
        <v>0</v>
      </c>
      <c r="CT89" s="75">
        <f>$I89*$K89*py*Index!CS41*Index!CS182/unit</f>
        <v>0</v>
      </c>
      <c r="CU89" s="75">
        <f>$I89*$K89*py*Index!CT41*Index!CT182/unit</f>
        <v>0</v>
      </c>
      <c r="CV89" s="75">
        <f>$I89*$K89*py*Index!CU41*Index!CU182/unit</f>
        <v>0</v>
      </c>
      <c r="CW89" s="75">
        <f>$I89*$K89*py*Index!CV41*Index!CV182/unit</f>
        <v>0</v>
      </c>
      <c r="CX89" s="75">
        <f>$I89*$K89*py*Index!CW41*Index!CW182/unit</f>
        <v>0</v>
      </c>
      <c r="CY89" s="75">
        <f>$I89*$K89*py*Index!CX41*Index!CX182/unit</f>
        <v>0</v>
      </c>
      <c r="CZ89" s="75">
        <f>$I89*$K89*py*Index!CY41*Index!CY182/unit</f>
        <v>0</v>
      </c>
      <c r="DA89" s="75">
        <f>$I89*$K89*py*Index!CZ41*Index!CZ182/unit</f>
        <v>0</v>
      </c>
      <c r="DB89" s="75">
        <f>$I89*$K89*py*Index!DA41*Index!DA182/unit</f>
        <v>0</v>
      </c>
      <c r="DC89" s="75">
        <f>$I89*$K89*py*Index!DB41*Index!DB182/unit</f>
        <v>0</v>
      </c>
      <c r="DD89" s="75">
        <f>$I89*$K89*py*Index!DC41*Index!DC182/unit</f>
        <v>0</v>
      </c>
      <c r="DE89" s="75">
        <f>$I89*$K89*py*Index!DD41*Index!DD182/unit</f>
        <v>0</v>
      </c>
      <c r="DF89" s="75">
        <f>$I89*$K89*py*Index!DE41*Index!DE182/unit</f>
        <v>0</v>
      </c>
      <c r="DG89" s="75">
        <f>$I89*$K89*py*Index!DF41*Index!DF182/unit</f>
        <v>0</v>
      </c>
      <c r="DH89" s="75">
        <f>$I89*$K89*py*Index!DG41*Index!DG182/unit</f>
        <v>0</v>
      </c>
      <c r="DI89" s="75">
        <f>$I89*$K89*py*Index!DH41*Index!DH182/unit</f>
        <v>0</v>
      </c>
      <c r="DJ89" s="75">
        <f>$I89*$K89*py*Index!DI41*Index!DI182/unit</f>
        <v>0</v>
      </c>
      <c r="DK89" s="75">
        <f>$I89*$K89*py*Index!DJ41*Index!DJ182/unit</f>
        <v>0</v>
      </c>
      <c r="DL89" s="75">
        <f>$I89*$K89*py*Index!DK41*Index!DK182/unit</f>
        <v>0</v>
      </c>
      <c r="DM89" s="75">
        <f>$I89*$K89*py*Index!DL41*Index!DL182/unit</f>
        <v>0</v>
      </c>
    </row>
    <row r="90" spans="2:117">
      <c r="B90" s="27">
        <f>Rentroll!$C$40</f>
        <v>14</v>
      </c>
      <c r="C90" s="69" t="str">
        <f>VLOOKUP($B90,Rentroll!$C$37:$Z$60,3,FALSE)</f>
        <v>111퍼센트</v>
      </c>
      <c r="D90" s="80">
        <f>VLOOKUP($B90,Rentroll!$C$37:$Z$60,9,FALSE)</f>
        <v>45869</v>
      </c>
      <c r="E90" s="80">
        <f>VLOOKUP($B90,Rentroll!$C$37:$Z$60,10,FALSE)</f>
        <v>47695</v>
      </c>
      <c r="F90" s="81">
        <f>VLOOKUP($B90,Rentroll!$C$37:$Z$60,11,FALSE)</f>
        <v>60</v>
      </c>
      <c r="G90" s="69">
        <f>VLOOKUP($B90,Rentroll!$C$37:$Z$60,13,FALSE)</f>
        <v>103000</v>
      </c>
      <c r="H90" s="69">
        <f>VLOOKUP($B90,Rentroll!$C$37:$Z$60,14,FALSE)</f>
        <v>94416.666666666672</v>
      </c>
      <c r="I90" s="69">
        <f>VLOOKUP($B90,Rentroll!$C$37:$Z$60,15,FALSE)</f>
        <v>45000</v>
      </c>
      <c r="J90" s="82">
        <f>VLOOKUP($B90,Rentroll!$C$37:$Z$60,19,FALSE)</f>
        <v>0.03</v>
      </c>
      <c r="K90" s="83">
        <f>VLOOKUP($B90,Rentroll!$C$37:$Z$60,4,FALSE)</f>
        <v>1385.09</v>
      </c>
      <c r="L90" s="81">
        <f>VLOOKUP($B90,Rentroll!$C$37:$Z$60,17,FALSE)</f>
        <v>1</v>
      </c>
      <c r="M90" s="84">
        <f>VLOOKUP($B90,Rentroll!$C$37:$Z$60,18,FALSE)</f>
        <v>1</v>
      </c>
      <c r="O90" s="74">
        <f t="shared" si="219"/>
        <v>14</v>
      </c>
      <c r="P90" s="75"/>
      <c r="Q90" s="75">
        <f t="shared" si="215"/>
        <v>1073.8899213980749</v>
      </c>
      <c r="R90" s="75"/>
      <c r="S90" s="75">
        <f>$I90*$K90*py*Index!R42*Index!R183/unit</f>
        <v>0</v>
      </c>
      <c r="T90" s="75">
        <f>$I90*$K90*py*Index!S42*Index!S183/unit</f>
        <v>0</v>
      </c>
      <c r="U90" s="75">
        <f>$I90*$K90*py*Index!T42*Index!T183/unit</f>
        <v>0</v>
      </c>
      <c r="V90" s="75">
        <f>$I90*$K90*py*Index!U42*Index!U183/unit</f>
        <v>0</v>
      </c>
      <c r="W90" s="75">
        <f>$I90*$K90*py*Index!V42*Index!V183/unit</f>
        <v>0</v>
      </c>
      <c r="X90" s="75">
        <f>$I90*$K90*py*Index!W42*Index!W183/unit</f>
        <v>0</v>
      </c>
      <c r="Y90" s="75">
        <f>$I90*$K90*py*Index!X42*Index!X183/unit</f>
        <v>0</v>
      </c>
      <c r="Z90" s="75">
        <f>$I90*$K90*py*Index!Y42*Index!Y183/unit</f>
        <v>18.854537624999999</v>
      </c>
      <c r="AA90" s="75">
        <f>$I90*$K90*py*Index!Z42*Index!Z183/unit</f>
        <v>18.854537624999999</v>
      </c>
      <c r="AB90" s="75">
        <f>$I90*$K90*py*Index!AA42*Index!AA183/unit</f>
        <v>18.854537624999999</v>
      </c>
      <c r="AC90" s="75">
        <f>$I90*$K90*py*Index!AB42*Index!AB183/unit</f>
        <v>18.854537624999999</v>
      </c>
      <c r="AD90" s="75">
        <f>$I90*$K90*py*Index!AC42*Index!AC183/unit</f>
        <v>18.854537624999999</v>
      </c>
      <c r="AE90" s="75">
        <f>$I90*$K90*py*Index!AD42*Index!AD183/unit</f>
        <v>18.854537624999999</v>
      </c>
      <c r="AF90" s="75">
        <f>$I90*$K90*py*Index!AE42*Index!AE183/unit</f>
        <v>18.854537624999999</v>
      </c>
      <c r="AG90" s="75">
        <f>$I90*$K90*py*Index!AF42*Index!AF183/unit</f>
        <v>18.854537624999999</v>
      </c>
      <c r="AH90" s="75">
        <f>$I90*$K90*py*Index!AG42*Index!AG183/unit</f>
        <v>18.854537624999999</v>
      </c>
      <c r="AI90" s="75">
        <f>$I90*$K90*py*Index!AH42*Index!AH183/unit</f>
        <v>18.854537624999999</v>
      </c>
      <c r="AJ90" s="75">
        <f>$I90*$K90*py*Index!AI42*Index!AI183/unit</f>
        <v>18.854537624999999</v>
      </c>
      <c r="AK90" s="75">
        <f>$I90*$K90*py*Index!AJ42*Index!AJ183/unit</f>
        <v>18.854537624999999</v>
      </c>
      <c r="AL90" s="75">
        <f>$I90*$K90*py*Index!AK42*Index!AK183/unit</f>
        <v>19.420173753749999</v>
      </c>
      <c r="AM90" s="75">
        <f>$I90*$K90*py*Index!AL42*Index!AL183/unit</f>
        <v>19.420173753749999</v>
      </c>
      <c r="AN90" s="75">
        <f>$I90*$K90*py*Index!AM42*Index!AM183/unit</f>
        <v>19.420173753749999</v>
      </c>
      <c r="AO90" s="75">
        <f>$I90*$K90*py*Index!AN42*Index!AN183/unit</f>
        <v>19.420173753749999</v>
      </c>
      <c r="AP90" s="75">
        <f>$I90*$K90*py*Index!AO42*Index!AO183/unit</f>
        <v>19.420173753749999</v>
      </c>
      <c r="AQ90" s="75">
        <f>$I90*$K90*py*Index!AP42*Index!AP183/unit</f>
        <v>19.420173753749999</v>
      </c>
      <c r="AR90" s="75">
        <f>$I90*$K90*py*Index!AQ42*Index!AQ183/unit</f>
        <v>19.420173753749999</v>
      </c>
      <c r="AS90" s="75">
        <f>$I90*$K90*py*Index!AR42*Index!AR183/unit</f>
        <v>19.420173753749999</v>
      </c>
      <c r="AT90" s="75">
        <f>$I90*$K90*py*Index!AS42*Index!AS183/unit</f>
        <v>19.420173753749999</v>
      </c>
      <c r="AU90" s="75">
        <f>$I90*$K90*py*Index!AT42*Index!AT183/unit</f>
        <v>19.420173753749999</v>
      </c>
      <c r="AV90" s="75">
        <f>$I90*$K90*py*Index!AU42*Index!AU183/unit</f>
        <v>19.420173753749999</v>
      </c>
      <c r="AW90" s="75">
        <f>$I90*$K90*py*Index!AV42*Index!AV183/unit</f>
        <v>19.420173753749999</v>
      </c>
      <c r="AX90" s="75">
        <f>$I90*$K90*py*Index!AW42*Index!AW183/unit</f>
        <v>20.002778966362499</v>
      </c>
      <c r="AY90" s="75">
        <f>$I90*$K90*py*Index!AX42*Index!AX183/unit</f>
        <v>20.002778966362499</v>
      </c>
      <c r="AZ90" s="75">
        <f>$I90*$K90*py*Index!AY42*Index!AY183/unit</f>
        <v>20.002778966362499</v>
      </c>
      <c r="BA90" s="75">
        <f>$I90*$K90*py*Index!AZ42*Index!AZ183/unit</f>
        <v>20.002778966362499</v>
      </c>
      <c r="BB90" s="75">
        <f>$I90*$K90*py*Index!BA42*Index!BA183/unit</f>
        <v>20.002778966362499</v>
      </c>
      <c r="BC90" s="75">
        <f>$I90*$K90*py*Index!BB42*Index!BB183/unit</f>
        <v>20.002778966362499</v>
      </c>
      <c r="BD90" s="75">
        <f>$I90*$K90*py*Index!BC42*Index!BC183/unit</f>
        <v>20.002778966362499</v>
      </c>
      <c r="BE90" s="75">
        <f>$I90*$K90*py*Index!BD42*Index!BD183/unit</f>
        <v>20.002778966362499</v>
      </c>
      <c r="BF90" s="75">
        <f>$I90*$K90*py*Index!BE42*Index!BE183/unit</f>
        <v>20.002778966362499</v>
      </c>
      <c r="BG90" s="75">
        <f>$I90*$K90*py*Index!BF42*Index!BF183/unit</f>
        <v>20.002778966362499</v>
      </c>
      <c r="BH90" s="75">
        <f>$I90*$K90*py*Index!BG42*Index!BG183/unit</f>
        <v>20.002778966362499</v>
      </c>
      <c r="BI90" s="75">
        <f>$I90*$K90*py*Index!BH42*Index!BH183/unit</f>
        <v>20.002778966362499</v>
      </c>
      <c r="BJ90" s="75">
        <f>$I90*$K90*py*Index!BI42*Index!BI183/unit</f>
        <v>20.602862335353375</v>
      </c>
      <c r="BK90" s="75">
        <f>$I90*$K90*py*Index!BJ42*Index!BJ183/unit</f>
        <v>20.602862335353375</v>
      </c>
      <c r="BL90" s="75">
        <f>$I90*$K90*py*Index!BK42*Index!BK183/unit</f>
        <v>20.602862335353375</v>
      </c>
      <c r="BM90" s="75">
        <f>$I90*$K90*py*Index!BL42*Index!BL183/unit</f>
        <v>20.602862335353375</v>
      </c>
      <c r="BN90" s="75">
        <f>$I90*$K90*py*Index!BM42*Index!BM183/unit</f>
        <v>20.602862335353375</v>
      </c>
      <c r="BO90" s="75">
        <f>$I90*$K90*py*Index!BN42*Index!BN183/unit</f>
        <v>20.602862335353375</v>
      </c>
      <c r="BP90" s="75">
        <f>$I90*$K90*py*Index!BO42*Index!BO183/unit</f>
        <v>20.602862335353375</v>
      </c>
      <c r="BQ90" s="75">
        <f>$I90*$K90*py*Index!BP42*Index!BP183/unit</f>
        <v>20.602862335353375</v>
      </c>
      <c r="BR90" s="75">
        <f>$I90*$K90*py*Index!BQ42*Index!BQ183/unit</f>
        <v>20.602862335353375</v>
      </c>
      <c r="BS90" s="75">
        <f>$I90*$K90*py*Index!BR42*Index!BR183/unit</f>
        <v>20.602862335353375</v>
      </c>
      <c r="BT90" s="75">
        <f>$I90*$K90*py*Index!BS42*Index!BS183/unit</f>
        <v>20.602862335353375</v>
      </c>
      <c r="BU90" s="75">
        <f>$I90*$K90*py*Index!BT42*Index!BT183/unit</f>
        <v>20.602862335353375</v>
      </c>
      <c r="BV90" s="75">
        <f>$I90*$K90*py*Index!BU42*Index!BU183/unit</f>
        <v>21.220948205413976</v>
      </c>
      <c r="BW90" s="75">
        <f>$I90*$K90*py*Index!BV42*Index!BV183/unit</f>
        <v>21.220948205413976</v>
      </c>
      <c r="BX90" s="75">
        <f>$I90*$K90*py*Index!BW42*Index!BW183/unit</f>
        <v>21.220948205413976</v>
      </c>
      <c r="BY90" s="75">
        <f>$I90*$K90*py*Index!BX42*Index!BX183/unit</f>
        <v>21.220948205413976</v>
      </c>
      <c r="BZ90" s="75">
        <f>$I90*$K90*py*Index!BY42*Index!BY183/unit</f>
        <v>21.220948205413976</v>
      </c>
      <c r="CA90" s="75">
        <f>$I90*$K90*py*Index!BZ42*Index!BZ183/unit</f>
        <v>21.220948205413976</v>
      </c>
      <c r="CB90" s="75">
        <f>$I90*$K90*py*Index!CA42*Index!CA183/unit</f>
        <v>0</v>
      </c>
      <c r="CC90" s="75">
        <f>$I90*$K90*py*Index!CB42*Index!CB183/unit</f>
        <v>0</v>
      </c>
      <c r="CD90" s="75">
        <f>$I90*$K90*py*Index!CC42*Index!CC183/unit</f>
        <v>0</v>
      </c>
      <c r="CE90" s="75">
        <f>$I90*$K90*py*Index!CD42*Index!CD183/unit</f>
        <v>0</v>
      </c>
      <c r="CF90" s="75">
        <f>$I90*$K90*py*Index!CE42*Index!CE183/unit</f>
        <v>0</v>
      </c>
      <c r="CG90" s="75">
        <f>$I90*$K90*py*Index!CF42*Index!CF183/unit</f>
        <v>0</v>
      </c>
      <c r="CH90" s="75">
        <f>$I90*$K90*py*Index!CG42*Index!CG183/unit</f>
        <v>0</v>
      </c>
      <c r="CI90" s="75">
        <f>$I90*$K90*py*Index!CH42*Index!CH183/unit</f>
        <v>0</v>
      </c>
      <c r="CJ90" s="75">
        <f>$I90*$K90*py*Index!CI42*Index!CI183/unit</f>
        <v>0</v>
      </c>
      <c r="CK90" s="75">
        <f>$I90*$K90*py*Index!CJ42*Index!CJ183/unit</f>
        <v>0</v>
      </c>
      <c r="CL90" s="75">
        <f>$I90*$K90*py*Index!CK42*Index!CK183/unit</f>
        <v>0</v>
      </c>
      <c r="CM90" s="75">
        <f>$I90*$K90*py*Index!CL42*Index!CL183/unit</f>
        <v>0</v>
      </c>
      <c r="CN90" s="75">
        <f>$I90*$K90*py*Index!CM42*Index!CM183/unit</f>
        <v>0</v>
      </c>
      <c r="CO90" s="75">
        <f>$I90*$K90*py*Index!CN42*Index!CN183/unit</f>
        <v>0</v>
      </c>
      <c r="CP90" s="75">
        <f>$I90*$K90*py*Index!CO42*Index!CO183/unit</f>
        <v>0</v>
      </c>
      <c r="CQ90" s="75">
        <f>$I90*$K90*py*Index!CP42*Index!CP183/unit</f>
        <v>0</v>
      </c>
      <c r="CR90" s="75">
        <f>$I90*$K90*py*Index!CQ42*Index!CQ183/unit</f>
        <v>0</v>
      </c>
      <c r="CS90" s="75">
        <f>$I90*$K90*py*Index!CR42*Index!CR183/unit</f>
        <v>0</v>
      </c>
      <c r="CT90" s="75">
        <f>$I90*$K90*py*Index!CS42*Index!CS183/unit</f>
        <v>0</v>
      </c>
      <c r="CU90" s="75">
        <f>$I90*$K90*py*Index!CT42*Index!CT183/unit</f>
        <v>0</v>
      </c>
      <c r="CV90" s="75">
        <f>$I90*$K90*py*Index!CU42*Index!CU183/unit</f>
        <v>0</v>
      </c>
      <c r="CW90" s="75">
        <f>$I90*$K90*py*Index!CV42*Index!CV183/unit</f>
        <v>0</v>
      </c>
      <c r="CX90" s="75">
        <f>$I90*$K90*py*Index!CW42*Index!CW183/unit</f>
        <v>0</v>
      </c>
      <c r="CY90" s="75">
        <f>$I90*$K90*py*Index!CX42*Index!CX183/unit</f>
        <v>0</v>
      </c>
      <c r="CZ90" s="75">
        <f>$I90*$K90*py*Index!CY42*Index!CY183/unit</f>
        <v>0</v>
      </c>
      <c r="DA90" s="75">
        <f>$I90*$K90*py*Index!CZ42*Index!CZ183/unit</f>
        <v>0</v>
      </c>
      <c r="DB90" s="75">
        <f>$I90*$K90*py*Index!DA42*Index!DA183/unit</f>
        <v>0</v>
      </c>
      <c r="DC90" s="75">
        <f>$I90*$K90*py*Index!DB42*Index!DB183/unit</f>
        <v>0</v>
      </c>
      <c r="DD90" s="75">
        <f>$I90*$K90*py*Index!DC42*Index!DC183/unit</f>
        <v>0</v>
      </c>
      <c r="DE90" s="75">
        <f>$I90*$K90*py*Index!DD42*Index!DD183/unit</f>
        <v>0</v>
      </c>
      <c r="DF90" s="75">
        <f>$I90*$K90*py*Index!DE42*Index!DE183/unit</f>
        <v>0</v>
      </c>
      <c r="DG90" s="75">
        <f>$I90*$K90*py*Index!DF42*Index!DF183/unit</f>
        <v>0</v>
      </c>
      <c r="DH90" s="75">
        <f>$I90*$K90*py*Index!DG42*Index!DG183/unit</f>
        <v>0</v>
      </c>
      <c r="DI90" s="75">
        <f>$I90*$K90*py*Index!DH42*Index!DH183/unit</f>
        <v>0</v>
      </c>
      <c r="DJ90" s="75">
        <f>$I90*$K90*py*Index!DI42*Index!DI183/unit</f>
        <v>0</v>
      </c>
      <c r="DK90" s="75">
        <f>$I90*$K90*py*Index!DJ42*Index!DJ183/unit</f>
        <v>0</v>
      </c>
      <c r="DL90" s="75">
        <f>$I90*$K90*py*Index!DK42*Index!DK183/unit</f>
        <v>0</v>
      </c>
      <c r="DM90" s="75">
        <f>$I90*$K90*py*Index!DL42*Index!DL183/unit</f>
        <v>0</v>
      </c>
    </row>
    <row r="91" spans="2:117">
      <c r="B91" s="27">
        <f>Rentroll!$C$41</f>
        <v>13</v>
      </c>
      <c r="C91" s="69" t="str">
        <f>VLOOKUP($B91,Rentroll!$C$37:$Z$60,3,FALSE)</f>
        <v>111퍼센트</v>
      </c>
      <c r="D91" s="80">
        <f>VLOOKUP($B91,Rentroll!$C$37:$Z$60,9,FALSE)</f>
        <v>45869</v>
      </c>
      <c r="E91" s="80">
        <f>VLOOKUP($B91,Rentroll!$C$37:$Z$60,10,FALSE)</f>
        <v>47695</v>
      </c>
      <c r="F91" s="81">
        <f>VLOOKUP($B91,Rentroll!$C$37:$Z$60,11,FALSE)</f>
        <v>60</v>
      </c>
      <c r="G91" s="69">
        <f>VLOOKUP($B91,Rentroll!$C$37:$Z$60,13,FALSE)</f>
        <v>103000</v>
      </c>
      <c r="H91" s="69">
        <f>VLOOKUP($B91,Rentroll!$C$37:$Z$60,14,FALSE)</f>
        <v>94416.666666666672</v>
      </c>
      <c r="I91" s="69">
        <f>VLOOKUP($B91,Rentroll!$C$37:$Z$60,15,FALSE)</f>
        <v>45000</v>
      </c>
      <c r="J91" s="82">
        <f>VLOOKUP($B91,Rentroll!$C$37:$Z$60,19,FALSE)</f>
        <v>0.03</v>
      </c>
      <c r="K91" s="83">
        <f>VLOOKUP($B91,Rentroll!$C$37:$Z$60,4,FALSE)</f>
        <v>1385.09</v>
      </c>
      <c r="L91" s="81">
        <f>VLOOKUP($B91,Rentroll!$C$37:$Z$60,17,FALSE)</f>
        <v>1</v>
      </c>
      <c r="M91" s="84">
        <f>VLOOKUP($B91,Rentroll!$C$37:$Z$60,18,FALSE)</f>
        <v>1</v>
      </c>
      <c r="O91" s="74">
        <f t="shared" si="219"/>
        <v>13</v>
      </c>
      <c r="P91" s="75"/>
      <c r="Q91" s="75">
        <f t="shared" si="215"/>
        <v>1073.8899213980749</v>
      </c>
      <c r="R91" s="75"/>
      <c r="S91" s="75">
        <f>$I91*$K91*py*Index!R43*Index!R184/unit</f>
        <v>0</v>
      </c>
      <c r="T91" s="75">
        <f>$I91*$K91*py*Index!S43*Index!S184/unit</f>
        <v>0</v>
      </c>
      <c r="U91" s="75">
        <f>$I91*$K91*py*Index!T43*Index!T184/unit</f>
        <v>0</v>
      </c>
      <c r="V91" s="75">
        <f>$I91*$K91*py*Index!U43*Index!U184/unit</f>
        <v>0</v>
      </c>
      <c r="W91" s="75">
        <f>$I91*$K91*py*Index!V43*Index!V184/unit</f>
        <v>0</v>
      </c>
      <c r="X91" s="75">
        <f>$I91*$K91*py*Index!W43*Index!W184/unit</f>
        <v>0</v>
      </c>
      <c r="Y91" s="75">
        <f>$I91*$K91*py*Index!X43*Index!X184/unit</f>
        <v>0</v>
      </c>
      <c r="Z91" s="75">
        <f>$I91*$K91*py*Index!Y43*Index!Y184/unit</f>
        <v>18.854537624999999</v>
      </c>
      <c r="AA91" s="75">
        <f>$I91*$K91*py*Index!Z43*Index!Z184/unit</f>
        <v>18.854537624999999</v>
      </c>
      <c r="AB91" s="75">
        <f>$I91*$K91*py*Index!AA43*Index!AA184/unit</f>
        <v>18.854537624999999</v>
      </c>
      <c r="AC91" s="75">
        <f>$I91*$K91*py*Index!AB43*Index!AB184/unit</f>
        <v>18.854537624999999</v>
      </c>
      <c r="AD91" s="75">
        <f>$I91*$K91*py*Index!AC43*Index!AC184/unit</f>
        <v>18.854537624999999</v>
      </c>
      <c r="AE91" s="75">
        <f>$I91*$K91*py*Index!AD43*Index!AD184/unit</f>
        <v>18.854537624999999</v>
      </c>
      <c r="AF91" s="75">
        <f>$I91*$K91*py*Index!AE43*Index!AE184/unit</f>
        <v>18.854537624999999</v>
      </c>
      <c r="AG91" s="75">
        <f>$I91*$K91*py*Index!AF43*Index!AF184/unit</f>
        <v>18.854537624999999</v>
      </c>
      <c r="AH91" s="75">
        <f>$I91*$K91*py*Index!AG43*Index!AG184/unit</f>
        <v>18.854537624999999</v>
      </c>
      <c r="AI91" s="75">
        <f>$I91*$K91*py*Index!AH43*Index!AH184/unit</f>
        <v>18.854537624999999</v>
      </c>
      <c r="AJ91" s="75">
        <f>$I91*$K91*py*Index!AI43*Index!AI184/unit</f>
        <v>18.854537624999999</v>
      </c>
      <c r="AK91" s="75">
        <f>$I91*$K91*py*Index!AJ43*Index!AJ184/unit</f>
        <v>18.854537624999999</v>
      </c>
      <c r="AL91" s="75">
        <f>$I91*$K91*py*Index!AK43*Index!AK184/unit</f>
        <v>19.420173753749999</v>
      </c>
      <c r="AM91" s="75">
        <f>$I91*$K91*py*Index!AL43*Index!AL184/unit</f>
        <v>19.420173753749999</v>
      </c>
      <c r="AN91" s="75">
        <f>$I91*$K91*py*Index!AM43*Index!AM184/unit</f>
        <v>19.420173753749999</v>
      </c>
      <c r="AO91" s="75">
        <f>$I91*$K91*py*Index!AN43*Index!AN184/unit</f>
        <v>19.420173753749999</v>
      </c>
      <c r="AP91" s="75">
        <f>$I91*$K91*py*Index!AO43*Index!AO184/unit</f>
        <v>19.420173753749999</v>
      </c>
      <c r="AQ91" s="75">
        <f>$I91*$K91*py*Index!AP43*Index!AP184/unit</f>
        <v>19.420173753749999</v>
      </c>
      <c r="AR91" s="75">
        <f>$I91*$K91*py*Index!AQ43*Index!AQ184/unit</f>
        <v>19.420173753749999</v>
      </c>
      <c r="AS91" s="75">
        <f>$I91*$K91*py*Index!AR43*Index!AR184/unit</f>
        <v>19.420173753749999</v>
      </c>
      <c r="AT91" s="75">
        <f>$I91*$K91*py*Index!AS43*Index!AS184/unit</f>
        <v>19.420173753749999</v>
      </c>
      <c r="AU91" s="75">
        <f>$I91*$K91*py*Index!AT43*Index!AT184/unit</f>
        <v>19.420173753749999</v>
      </c>
      <c r="AV91" s="75">
        <f>$I91*$K91*py*Index!AU43*Index!AU184/unit</f>
        <v>19.420173753749999</v>
      </c>
      <c r="AW91" s="75">
        <f>$I91*$K91*py*Index!AV43*Index!AV184/unit</f>
        <v>19.420173753749999</v>
      </c>
      <c r="AX91" s="75">
        <f>$I91*$K91*py*Index!AW43*Index!AW184/unit</f>
        <v>20.002778966362499</v>
      </c>
      <c r="AY91" s="75">
        <f>$I91*$K91*py*Index!AX43*Index!AX184/unit</f>
        <v>20.002778966362499</v>
      </c>
      <c r="AZ91" s="75">
        <f>$I91*$K91*py*Index!AY43*Index!AY184/unit</f>
        <v>20.002778966362499</v>
      </c>
      <c r="BA91" s="75">
        <f>$I91*$K91*py*Index!AZ43*Index!AZ184/unit</f>
        <v>20.002778966362499</v>
      </c>
      <c r="BB91" s="75">
        <f>$I91*$K91*py*Index!BA43*Index!BA184/unit</f>
        <v>20.002778966362499</v>
      </c>
      <c r="BC91" s="75">
        <f>$I91*$K91*py*Index!BB43*Index!BB184/unit</f>
        <v>20.002778966362499</v>
      </c>
      <c r="BD91" s="75">
        <f>$I91*$K91*py*Index!BC43*Index!BC184/unit</f>
        <v>20.002778966362499</v>
      </c>
      <c r="BE91" s="75">
        <f>$I91*$K91*py*Index!BD43*Index!BD184/unit</f>
        <v>20.002778966362499</v>
      </c>
      <c r="BF91" s="75">
        <f>$I91*$K91*py*Index!BE43*Index!BE184/unit</f>
        <v>20.002778966362499</v>
      </c>
      <c r="BG91" s="75">
        <f>$I91*$K91*py*Index!BF43*Index!BF184/unit</f>
        <v>20.002778966362499</v>
      </c>
      <c r="BH91" s="75">
        <f>$I91*$K91*py*Index!BG43*Index!BG184/unit</f>
        <v>20.002778966362499</v>
      </c>
      <c r="BI91" s="75">
        <f>$I91*$K91*py*Index!BH43*Index!BH184/unit</f>
        <v>20.002778966362499</v>
      </c>
      <c r="BJ91" s="75">
        <f>$I91*$K91*py*Index!BI43*Index!BI184/unit</f>
        <v>20.602862335353375</v>
      </c>
      <c r="BK91" s="75">
        <f>$I91*$K91*py*Index!BJ43*Index!BJ184/unit</f>
        <v>20.602862335353375</v>
      </c>
      <c r="BL91" s="75">
        <f>$I91*$K91*py*Index!BK43*Index!BK184/unit</f>
        <v>20.602862335353375</v>
      </c>
      <c r="BM91" s="75">
        <f>$I91*$K91*py*Index!BL43*Index!BL184/unit</f>
        <v>20.602862335353375</v>
      </c>
      <c r="BN91" s="75">
        <f>$I91*$K91*py*Index!BM43*Index!BM184/unit</f>
        <v>20.602862335353375</v>
      </c>
      <c r="BO91" s="75">
        <f>$I91*$K91*py*Index!BN43*Index!BN184/unit</f>
        <v>20.602862335353375</v>
      </c>
      <c r="BP91" s="75">
        <f>$I91*$K91*py*Index!BO43*Index!BO184/unit</f>
        <v>20.602862335353375</v>
      </c>
      <c r="BQ91" s="75">
        <f>$I91*$K91*py*Index!BP43*Index!BP184/unit</f>
        <v>20.602862335353375</v>
      </c>
      <c r="BR91" s="75">
        <f>$I91*$K91*py*Index!BQ43*Index!BQ184/unit</f>
        <v>20.602862335353375</v>
      </c>
      <c r="BS91" s="75">
        <f>$I91*$K91*py*Index!BR43*Index!BR184/unit</f>
        <v>20.602862335353375</v>
      </c>
      <c r="BT91" s="75">
        <f>$I91*$K91*py*Index!BS43*Index!BS184/unit</f>
        <v>20.602862335353375</v>
      </c>
      <c r="BU91" s="75">
        <f>$I91*$K91*py*Index!BT43*Index!BT184/unit</f>
        <v>20.602862335353375</v>
      </c>
      <c r="BV91" s="75">
        <f>$I91*$K91*py*Index!BU43*Index!BU184/unit</f>
        <v>21.220948205413976</v>
      </c>
      <c r="BW91" s="75">
        <f>$I91*$K91*py*Index!BV43*Index!BV184/unit</f>
        <v>21.220948205413976</v>
      </c>
      <c r="BX91" s="75">
        <f>$I91*$K91*py*Index!BW43*Index!BW184/unit</f>
        <v>21.220948205413976</v>
      </c>
      <c r="BY91" s="75">
        <f>$I91*$K91*py*Index!BX43*Index!BX184/unit</f>
        <v>21.220948205413976</v>
      </c>
      <c r="BZ91" s="75">
        <f>$I91*$K91*py*Index!BY43*Index!BY184/unit</f>
        <v>21.220948205413976</v>
      </c>
      <c r="CA91" s="75">
        <f>$I91*$K91*py*Index!BZ43*Index!BZ184/unit</f>
        <v>21.220948205413976</v>
      </c>
      <c r="CB91" s="75">
        <f>$I91*$K91*py*Index!CA43*Index!CA184/unit</f>
        <v>0</v>
      </c>
      <c r="CC91" s="75">
        <f>$I91*$K91*py*Index!CB43*Index!CB184/unit</f>
        <v>0</v>
      </c>
      <c r="CD91" s="75">
        <f>$I91*$K91*py*Index!CC43*Index!CC184/unit</f>
        <v>0</v>
      </c>
      <c r="CE91" s="75">
        <f>$I91*$K91*py*Index!CD43*Index!CD184/unit</f>
        <v>0</v>
      </c>
      <c r="CF91" s="75">
        <f>$I91*$K91*py*Index!CE43*Index!CE184/unit</f>
        <v>0</v>
      </c>
      <c r="CG91" s="75">
        <f>$I91*$K91*py*Index!CF43*Index!CF184/unit</f>
        <v>0</v>
      </c>
      <c r="CH91" s="75">
        <f>$I91*$K91*py*Index!CG43*Index!CG184/unit</f>
        <v>0</v>
      </c>
      <c r="CI91" s="75">
        <f>$I91*$K91*py*Index!CH43*Index!CH184/unit</f>
        <v>0</v>
      </c>
      <c r="CJ91" s="75">
        <f>$I91*$K91*py*Index!CI43*Index!CI184/unit</f>
        <v>0</v>
      </c>
      <c r="CK91" s="75">
        <f>$I91*$K91*py*Index!CJ43*Index!CJ184/unit</f>
        <v>0</v>
      </c>
      <c r="CL91" s="75">
        <f>$I91*$K91*py*Index!CK43*Index!CK184/unit</f>
        <v>0</v>
      </c>
      <c r="CM91" s="75">
        <f>$I91*$K91*py*Index!CL43*Index!CL184/unit</f>
        <v>0</v>
      </c>
      <c r="CN91" s="75">
        <f>$I91*$K91*py*Index!CM43*Index!CM184/unit</f>
        <v>0</v>
      </c>
      <c r="CO91" s="75">
        <f>$I91*$K91*py*Index!CN43*Index!CN184/unit</f>
        <v>0</v>
      </c>
      <c r="CP91" s="75">
        <f>$I91*$K91*py*Index!CO43*Index!CO184/unit</f>
        <v>0</v>
      </c>
      <c r="CQ91" s="75">
        <f>$I91*$K91*py*Index!CP43*Index!CP184/unit</f>
        <v>0</v>
      </c>
      <c r="CR91" s="75">
        <f>$I91*$K91*py*Index!CQ43*Index!CQ184/unit</f>
        <v>0</v>
      </c>
      <c r="CS91" s="75">
        <f>$I91*$K91*py*Index!CR43*Index!CR184/unit</f>
        <v>0</v>
      </c>
      <c r="CT91" s="75">
        <f>$I91*$K91*py*Index!CS43*Index!CS184/unit</f>
        <v>0</v>
      </c>
      <c r="CU91" s="75">
        <f>$I91*$K91*py*Index!CT43*Index!CT184/unit</f>
        <v>0</v>
      </c>
      <c r="CV91" s="75">
        <f>$I91*$K91*py*Index!CU43*Index!CU184/unit</f>
        <v>0</v>
      </c>
      <c r="CW91" s="75">
        <f>$I91*$K91*py*Index!CV43*Index!CV184/unit</f>
        <v>0</v>
      </c>
      <c r="CX91" s="75">
        <f>$I91*$K91*py*Index!CW43*Index!CW184/unit</f>
        <v>0</v>
      </c>
      <c r="CY91" s="75">
        <f>$I91*$K91*py*Index!CX43*Index!CX184/unit</f>
        <v>0</v>
      </c>
      <c r="CZ91" s="75">
        <f>$I91*$K91*py*Index!CY43*Index!CY184/unit</f>
        <v>0</v>
      </c>
      <c r="DA91" s="75">
        <f>$I91*$K91*py*Index!CZ43*Index!CZ184/unit</f>
        <v>0</v>
      </c>
      <c r="DB91" s="75">
        <f>$I91*$K91*py*Index!DA43*Index!DA184/unit</f>
        <v>0</v>
      </c>
      <c r="DC91" s="75">
        <f>$I91*$K91*py*Index!DB43*Index!DB184/unit</f>
        <v>0</v>
      </c>
      <c r="DD91" s="75">
        <f>$I91*$K91*py*Index!DC43*Index!DC184/unit</f>
        <v>0</v>
      </c>
      <c r="DE91" s="75">
        <f>$I91*$K91*py*Index!DD43*Index!DD184/unit</f>
        <v>0</v>
      </c>
      <c r="DF91" s="75">
        <f>$I91*$K91*py*Index!DE43*Index!DE184/unit</f>
        <v>0</v>
      </c>
      <c r="DG91" s="75">
        <f>$I91*$K91*py*Index!DF43*Index!DF184/unit</f>
        <v>0</v>
      </c>
      <c r="DH91" s="75">
        <f>$I91*$K91*py*Index!DG43*Index!DG184/unit</f>
        <v>0</v>
      </c>
      <c r="DI91" s="75">
        <f>$I91*$K91*py*Index!DH43*Index!DH184/unit</f>
        <v>0</v>
      </c>
      <c r="DJ91" s="75">
        <f>$I91*$K91*py*Index!DI43*Index!DI184/unit</f>
        <v>0</v>
      </c>
      <c r="DK91" s="75">
        <f>$I91*$K91*py*Index!DJ43*Index!DJ184/unit</f>
        <v>0</v>
      </c>
      <c r="DL91" s="75">
        <f>$I91*$K91*py*Index!DK43*Index!DK184/unit</f>
        <v>0</v>
      </c>
      <c r="DM91" s="75">
        <f>$I91*$K91*py*Index!DL43*Index!DL184/unit</f>
        <v>0</v>
      </c>
    </row>
    <row r="92" spans="2:117">
      <c r="B92" s="27">
        <f>Rentroll!$C$42</f>
        <v>12</v>
      </c>
      <c r="C92" s="69" t="str">
        <f>VLOOKUP($B92,Rentroll!$C$37:$Z$60,3,FALSE)</f>
        <v>신라젠</v>
      </c>
      <c r="D92" s="80">
        <f>VLOOKUP($B92,Rentroll!$C$37:$Z$60,9,FALSE)</f>
        <v>45869</v>
      </c>
      <c r="E92" s="80">
        <f>VLOOKUP($B92,Rentroll!$C$37:$Z$60,10,FALSE)</f>
        <v>47695</v>
      </c>
      <c r="F92" s="81">
        <f>VLOOKUP($B92,Rentroll!$C$37:$Z$60,11,FALSE)</f>
        <v>60</v>
      </c>
      <c r="G92" s="69">
        <f>VLOOKUP($B92,Rentroll!$C$37:$Z$60,13,FALSE)</f>
        <v>103000</v>
      </c>
      <c r="H92" s="69">
        <f>VLOOKUP($B92,Rentroll!$C$37:$Z$60,14,FALSE)</f>
        <v>94416.666666666672</v>
      </c>
      <c r="I92" s="69">
        <f>VLOOKUP($B92,Rentroll!$C$37:$Z$60,15,FALSE)</f>
        <v>45000</v>
      </c>
      <c r="J92" s="82">
        <f>VLOOKUP($B92,Rentroll!$C$37:$Z$60,19,FALSE)</f>
        <v>0.03</v>
      </c>
      <c r="K92" s="83">
        <f>VLOOKUP($B92,Rentroll!$C$37:$Z$60,4,FALSE)</f>
        <v>1385.09</v>
      </c>
      <c r="L92" s="81">
        <f>VLOOKUP($B92,Rentroll!$C$37:$Z$60,17,FALSE)</f>
        <v>1</v>
      </c>
      <c r="M92" s="84">
        <f>VLOOKUP($B92,Rentroll!$C$37:$Z$60,18,FALSE)</f>
        <v>1</v>
      </c>
      <c r="O92" s="74">
        <f t="shared" si="219"/>
        <v>12</v>
      </c>
      <c r="P92" s="75"/>
      <c r="Q92" s="75">
        <f t="shared" si="215"/>
        <v>1073.8899213980749</v>
      </c>
      <c r="R92" s="75"/>
      <c r="S92" s="75">
        <f>$I92*$K92*py*Index!R44*Index!R185/unit</f>
        <v>0</v>
      </c>
      <c r="T92" s="75">
        <f>$I92*$K92*py*Index!S44*Index!S185/unit</f>
        <v>0</v>
      </c>
      <c r="U92" s="75">
        <f>$I92*$K92*py*Index!T44*Index!T185/unit</f>
        <v>0</v>
      </c>
      <c r="V92" s="75">
        <f>$I92*$K92*py*Index!U44*Index!U185/unit</f>
        <v>0</v>
      </c>
      <c r="W92" s="75">
        <f>$I92*$K92*py*Index!V44*Index!V185/unit</f>
        <v>0</v>
      </c>
      <c r="X92" s="75">
        <f>$I92*$K92*py*Index!W44*Index!W185/unit</f>
        <v>0</v>
      </c>
      <c r="Y92" s="75">
        <f>$I92*$K92*py*Index!X44*Index!X185/unit</f>
        <v>0</v>
      </c>
      <c r="Z92" s="75">
        <f>$I92*$K92*py*Index!Y44*Index!Y185/unit</f>
        <v>18.854537624999999</v>
      </c>
      <c r="AA92" s="75">
        <f>$I92*$K92*py*Index!Z44*Index!Z185/unit</f>
        <v>18.854537624999999</v>
      </c>
      <c r="AB92" s="75">
        <f>$I92*$K92*py*Index!AA44*Index!AA185/unit</f>
        <v>18.854537624999999</v>
      </c>
      <c r="AC92" s="75">
        <f>$I92*$K92*py*Index!AB44*Index!AB185/unit</f>
        <v>18.854537624999999</v>
      </c>
      <c r="AD92" s="75">
        <f>$I92*$K92*py*Index!AC44*Index!AC185/unit</f>
        <v>18.854537624999999</v>
      </c>
      <c r="AE92" s="75">
        <f>$I92*$K92*py*Index!AD44*Index!AD185/unit</f>
        <v>18.854537624999999</v>
      </c>
      <c r="AF92" s="75">
        <f>$I92*$K92*py*Index!AE44*Index!AE185/unit</f>
        <v>18.854537624999999</v>
      </c>
      <c r="AG92" s="75">
        <f>$I92*$K92*py*Index!AF44*Index!AF185/unit</f>
        <v>18.854537624999999</v>
      </c>
      <c r="AH92" s="75">
        <f>$I92*$K92*py*Index!AG44*Index!AG185/unit</f>
        <v>18.854537624999999</v>
      </c>
      <c r="AI92" s="75">
        <f>$I92*$K92*py*Index!AH44*Index!AH185/unit</f>
        <v>18.854537624999999</v>
      </c>
      <c r="AJ92" s="75">
        <f>$I92*$K92*py*Index!AI44*Index!AI185/unit</f>
        <v>18.854537624999999</v>
      </c>
      <c r="AK92" s="75">
        <f>$I92*$K92*py*Index!AJ44*Index!AJ185/unit</f>
        <v>18.854537624999999</v>
      </c>
      <c r="AL92" s="75">
        <f>$I92*$K92*py*Index!AK44*Index!AK185/unit</f>
        <v>19.420173753749999</v>
      </c>
      <c r="AM92" s="75">
        <f>$I92*$K92*py*Index!AL44*Index!AL185/unit</f>
        <v>19.420173753749999</v>
      </c>
      <c r="AN92" s="75">
        <f>$I92*$K92*py*Index!AM44*Index!AM185/unit</f>
        <v>19.420173753749999</v>
      </c>
      <c r="AO92" s="75">
        <f>$I92*$K92*py*Index!AN44*Index!AN185/unit</f>
        <v>19.420173753749999</v>
      </c>
      <c r="AP92" s="75">
        <f>$I92*$K92*py*Index!AO44*Index!AO185/unit</f>
        <v>19.420173753749999</v>
      </c>
      <c r="AQ92" s="75">
        <f>$I92*$K92*py*Index!AP44*Index!AP185/unit</f>
        <v>19.420173753749999</v>
      </c>
      <c r="AR92" s="75">
        <f>$I92*$K92*py*Index!AQ44*Index!AQ185/unit</f>
        <v>19.420173753749999</v>
      </c>
      <c r="AS92" s="75">
        <f>$I92*$K92*py*Index!AR44*Index!AR185/unit</f>
        <v>19.420173753749999</v>
      </c>
      <c r="AT92" s="75">
        <f>$I92*$K92*py*Index!AS44*Index!AS185/unit</f>
        <v>19.420173753749999</v>
      </c>
      <c r="AU92" s="75">
        <f>$I92*$K92*py*Index!AT44*Index!AT185/unit</f>
        <v>19.420173753749999</v>
      </c>
      <c r="AV92" s="75">
        <f>$I92*$K92*py*Index!AU44*Index!AU185/unit</f>
        <v>19.420173753749999</v>
      </c>
      <c r="AW92" s="75">
        <f>$I92*$K92*py*Index!AV44*Index!AV185/unit</f>
        <v>19.420173753749999</v>
      </c>
      <c r="AX92" s="75">
        <f>$I92*$K92*py*Index!AW44*Index!AW185/unit</f>
        <v>20.002778966362499</v>
      </c>
      <c r="AY92" s="75">
        <f>$I92*$K92*py*Index!AX44*Index!AX185/unit</f>
        <v>20.002778966362499</v>
      </c>
      <c r="AZ92" s="75">
        <f>$I92*$K92*py*Index!AY44*Index!AY185/unit</f>
        <v>20.002778966362499</v>
      </c>
      <c r="BA92" s="75">
        <f>$I92*$K92*py*Index!AZ44*Index!AZ185/unit</f>
        <v>20.002778966362499</v>
      </c>
      <c r="BB92" s="75">
        <f>$I92*$K92*py*Index!BA44*Index!BA185/unit</f>
        <v>20.002778966362499</v>
      </c>
      <c r="BC92" s="75">
        <f>$I92*$K92*py*Index!BB44*Index!BB185/unit</f>
        <v>20.002778966362499</v>
      </c>
      <c r="BD92" s="75">
        <f>$I92*$K92*py*Index!BC44*Index!BC185/unit</f>
        <v>20.002778966362499</v>
      </c>
      <c r="BE92" s="75">
        <f>$I92*$K92*py*Index!BD44*Index!BD185/unit</f>
        <v>20.002778966362499</v>
      </c>
      <c r="BF92" s="75">
        <f>$I92*$K92*py*Index!BE44*Index!BE185/unit</f>
        <v>20.002778966362499</v>
      </c>
      <c r="BG92" s="75">
        <f>$I92*$K92*py*Index!BF44*Index!BF185/unit</f>
        <v>20.002778966362499</v>
      </c>
      <c r="BH92" s="75">
        <f>$I92*$K92*py*Index!BG44*Index!BG185/unit</f>
        <v>20.002778966362499</v>
      </c>
      <c r="BI92" s="75">
        <f>$I92*$K92*py*Index!BH44*Index!BH185/unit</f>
        <v>20.002778966362499</v>
      </c>
      <c r="BJ92" s="75">
        <f>$I92*$K92*py*Index!BI44*Index!BI185/unit</f>
        <v>20.602862335353375</v>
      </c>
      <c r="BK92" s="75">
        <f>$I92*$K92*py*Index!BJ44*Index!BJ185/unit</f>
        <v>20.602862335353375</v>
      </c>
      <c r="BL92" s="75">
        <f>$I92*$K92*py*Index!BK44*Index!BK185/unit</f>
        <v>20.602862335353375</v>
      </c>
      <c r="BM92" s="75">
        <f>$I92*$K92*py*Index!BL44*Index!BL185/unit</f>
        <v>20.602862335353375</v>
      </c>
      <c r="BN92" s="75">
        <f>$I92*$K92*py*Index!BM44*Index!BM185/unit</f>
        <v>20.602862335353375</v>
      </c>
      <c r="BO92" s="75">
        <f>$I92*$K92*py*Index!BN44*Index!BN185/unit</f>
        <v>20.602862335353375</v>
      </c>
      <c r="BP92" s="75">
        <f>$I92*$K92*py*Index!BO44*Index!BO185/unit</f>
        <v>20.602862335353375</v>
      </c>
      <c r="BQ92" s="75">
        <f>$I92*$K92*py*Index!BP44*Index!BP185/unit</f>
        <v>20.602862335353375</v>
      </c>
      <c r="BR92" s="75">
        <f>$I92*$K92*py*Index!BQ44*Index!BQ185/unit</f>
        <v>20.602862335353375</v>
      </c>
      <c r="BS92" s="75">
        <f>$I92*$K92*py*Index!BR44*Index!BR185/unit</f>
        <v>20.602862335353375</v>
      </c>
      <c r="BT92" s="75">
        <f>$I92*$K92*py*Index!BS44*Index!BS185/unit</f>
        <v>20.602862335353375</v>
      </c>
      <c r="BU92" s="75">
        <f>$I92*$K92*py*Index!BT44*Index!BT185/unit</f>
        <v>20.602862335353375</v>
      </c>
      <c r="BV92" s="75">
        <f>$I92*$K92*py*Index!BU44*Index!BU185/unit</f>
        <v>21.220948205413976</v>
      </c>
      <c r="BW92" s="75">
        <f>$I92*$K92*py*Index!BV44*Index!BV185/unit</f>
        <v>21.220948205413976</v>
      </c>
      <c r="BX92" s="75">
        <f>$I92*$K92*py*Index!BW44*Index!BW185/unit</f>
        <v>21.220948205413976</v>
      </c>
      <c r="BY92" s="75">
        <f>$I92*$K92*py*Index!BX44*Index!BX185/unit</f>
        <v>21.220948205413976</v>
      </c>
      <c r="BZ92" s="75">
        <f>$I92*$K92*py*Index!BY44*Index!BY185/unit</f>
        <v>21.220948205413976</v>
      </c>
      <c r="CA92" s="75">
        <f>$I92*$K92*py*Index!BZ44*Index!BZ185/unit</f>
        <v>21.220948205413976</v>
      </c>
      <c r="CB92" s="75">
        <f>$I92*$K92*py*Index!CA44*Index!CA185/unit</f>
        <v>0</v>
      </c>
      <c r="CC92" s="75">
        <f>$I92*$K92*py*Index!CB44*Index!CB185/unit</f>
        <v>0</v>
      </c>
      <c r="CD92" s="75">
        <f>$I92*$K92*py*Index!CC44*Index!CC185/unit</f>
        <v>0</v>
      </c>
      <c r="CE92" s="75">
        <f>$I92*$K92*py*Index!CD44*Index!CD185/unit</f>
        <v>0</v>
      </c>
      <c r="CF92" s="75">
        <f>$I92*$K92*py*Index!CE44*Index!CE185/unit</f>
        <v>0</v>
      </c>
      <c r="CG92" s="75">
        <f>$I92*$K92*py*Index!CF44*Index!CF185/unit</f>
        <v>0</v>
      </c>
      <c r="CH92" s="75">
        <f>$I92*$K92*py*Index!CG44*Index!CG185/unit</f>
        <v>0</v>
      </c>
      <c r="CI92" s="75">
        <f>$I92*$K92*py*Index!CH44*Index!CH185/unit</f>
        <v>0</v>
      </c>
      <c r="CJ92" s="75">
        <f>$I92*$K92*py*Index!CI44*Index!CI185/unit</f>
        <v>0</v>
      </c>
      <c r="CK92" s="75">
        <f>$I92*$K92*py*Index!CJ44*Index!CJ185/unit</f>
        <v>0</v>
      </c>
      <c r="CL92" s="75">
        <f>$I92*$K92*py*Index!CK44*Index!CK185/unit</f>
        <v>0</v>
      </c>
      <c r="CM92" s="75">
        <f>$I92*$K92*py*Index!CL44*Index!CL185/unit</f>
        <v>0</v>
      </c>
      <c r="CN92" s="75">
        <f>$I92*$K92*py*Index!CM44*Index!CM185/unit</f>
        <v>0</v>
      </c>
      <c r="CO92" s="75">
        <f>$I92*$K92*py*Index!CN44*Index!CN185/unit</f>
        <v>0</v>
      </c>
      <c r="CP92" s="75">
        <f>$I92*$K92*py*Index!CO44*Index!CO185/unit</f>
        <v>0</v>
      </c>
      <c r="CQ92" s="75">
        <f>$I92*$K92*py*Index!CP44*Index!CP185/unit</f>
        <v>0</v>
      </c>
      <c r="CR92" s="75">
        <f>$I92*$K92*py*Index!CQ44*Index!CQ185/unit</f>
        <v>0</v>
      </c>
      <c r="CS92" s="75">
        <f>$I92*$K92*py*Index!CR44*Index!CR185/unit</f>
        <v>0</v>
      </c>
      <c r="CT92" s="75">
        <f>$I92*$K92*py*Index!CS44*Index!CS185/unit</f>
        <v>0</v>
      </c>
      <c r="CU92" s="75">
        <f>$I92*$K92*py*Index!CT44*Index!CT185/unit</f>
        <v>0</v>
      </c>
      <c r="CV92" s="75">
        <f>$I92*$K92*py*Index!CU44*Index!CU185/unit</f>
        <v>0</v>
      </c>
      <c r="CW92" s="75">
        <f>$I92*$K92*py*Index!CV44*Index!CV185/unit</f>
        <v>0</v>
      </c>
      <c r="CX92" s="75">
        <f>$I92*$K92*py*Index!CW44*Index!CW185/unit</f>
        <v>0</v>
      </c>
      <c r="CY92" s="75">
        <f>$I92*$K92*py*Index!CX44*Index!CX185/unit</f>
        <v>0</v>
      </c>
      <c r="CZ92" s="75">
        <f>$I92*$K92*py*Index!CY44*Index!CY185/unit</f>
        <v>0</v>
      </c>
      <c r="DA92" s="75">
        <f>$I92*$K92*py*Index!CZ44*Index!CZ185/unit</f>
        <v>0</v>
      </c>
      <c r="DB92" s="75">
        <f>$I92*$K92*py*Index!DA44*Index!DA185/unit</f>
        <v>0</v>
      </c>
      <c r="DC92" s="75">
        <f>$I92*$K92*py*Index!DB44*Index!DB185/unit</f>
        <v>0</v>
      </c>
      <c r="DD92" s="75">
        <f>$I92*$K92*py*Index!DC44*Index!DC185/unit</f>
        <v>0</v>
      </c>
      <c r="DE92" s="75">
        <f>$I92*$K92*py*Index!DD44*Index!DD185/unit</f>
        <v>0</v>
      </c>
      <c r="DF92" s="75">
        <f>$I92*$K92*py*Index!DE44*Index!DE185/unit</f>
        <v>0</v>
      </c>
      <c r="DG92" s="75">
        <f>$I92*$K92*py*Index!DF44*Index!DF185/unit</f>
        <v>0</v>
      </c>
      <c r="DH92" s="75">
        <f>$I92*$K92*py*Index!DG44*Index!DG185/unit</f>
        <v>0</v>
      </c>
      <c r="DI92" s="75">
        <f>$I92*$K92*py*Index!DH44*Index!DH185/unit</f>
        <v>0</v>
      </c>
      <c r="DJ92" s="75">
        <f>$I92*$K92*py*Index!DI44*Index!DI185/unit</f>
        <v>0</v>
      </c>
      <c r="DK92" s="75">
        <f>$I92*$K92*py*Index!DJ44*Index!DJ185/unit</f>
        <v>0</v>
      </c>
      <c r="DL92" s="75">
        <f>$I92*$K92*py*Index!DK44*Index!DK185/unit</f>
        <v>0</v>
      </c>
      <c r="DM92" s="75">
        <f>$I92*$K92*py*Index!DL44*Index!DL185/unit</f>
        <v>0</v>
      </c>
    </row>
    <row r="93" spans="2:117">
      <c r="B93" s="27">
        <f>Rentroll!$C$43</f>
        <v>11</v>
      </c>
      <c r="C93" s="69" t="str">
        <f>VLOOKUP($B93,Rentroll!$C$37:$Z$60,3,FALSE)</f>
        <v>노벰버 건설</v>
      </c>
      <c r="D93" s="80">
        <f>VLOOKUP($B93,Rentroll!$C$37:$Z$60,9,FALSE)</f>
        <v>46904</v>
      </c>
      <c r="E93" s="80">
        <f>VLOOKUP($B93,Rentroll!$C$37:$Z$60,10,FALSE)</f>
        <v>48730</v>
      </c>
      <c r="F93" s="81">
        <f>VLOOKUP($B93,Rentroll!$C$37:$Z$60,11,FALSE)</f>
        <v>60</v>
      </c>
      <c r="G93" s="69">
        <f>VLOOKUP($B93,Rentroll!$C$37:$Z$60,13,FALSE)</f>
        <v>112550.88099999999</v>
      </c>
      <c r="H93" s="69">
        <f>VLOOKUP($B93,Rentroll!$C$37:$Z$60,14,FALSE)</f>
        <v>103171.64091666666</v>
      </c>
      <c r="I93" s="69">
        <f>VLOOKUP($B93,Rentroll!$C$37:$Z$60,15,FALSE)</f>
        <v>49172.715000000004</v>
      </c>
      <c r="J93" s="82">
        <f>VLOOKUP($B93,Rentroll!$C$37:$Z$60,19,FALSE)</f>
        <v>0.03</v>
      </c>
      <c r="K93" s="83">
        <f>VLOOKUP($B93,Rentroll!$C$37:$Z$60,4,FALSE)</f>
        <v>1385.09</v>
      </c>
      <c r="L93" s="81">
        <f>VLOOKUP($B93,Rentroll!$C$37:$Z$60,17,FALSE)</f>
        <v>0</v>
      </c>
      <c r="M93" s="84">
        <f>VLOOKUP($B93,Rentroll!$C$37:$Z$60,18,FALSE)</f>
        <v>1</v>
      </c>
      <c r="O93" s="74">
        <f t="shared" si="219"/>
        <v>11</v>
      </c>
      <c r="P93" s="75"/>
      <c r="Q93" s="75">
        <f t="shared" si="215"/>
        <v>417.00193366755207</v>
      </c>
      <c r="R93" s="75"/>
      <c r="S93" s="75">
        <f>$I93*$K93*py*Index!R45*Index!R186/unit</f>
        <v>0</v>
      </c>
      <c r="T93" s="75">
        <f>$I93*$K93*py*Index!S45*Index!S186/unit</f>
        <v>0</v>
      </c>
      <c r="U93" s="75">
        <f>$I93*$K93*py*Index!T45*Index!T186/unit</f>
        <v>0</v>
      </c>
      <c r="V93" s="75">
        <f>$I93*$K93*py*Index!U45*Index!U186/unit</f>
        <v>0</v>
      </c>
      <c r="W93" s="75">
        <f>$I93*$K93*py*Index!V45*Index!V186/unit</f>
        <v>0</v>
      </c>
      <c r="X93" s="75">
        <f>$I93*$K93*py*Index!W45*Index!W186/unit</f>
        <v>0</v>
      </c>
      <c r="Y93" s="75">
        <f>$I93*$K93*py*Index!X45*Index!X186/unit</f>
        <v>0</v>
      </c>
      <c r="Z93" s="75">
        <f>$I93*$K93*py*Index!Y45*Index!Y186/unit</f>
        <v>0</v>
      </c>
      <c r="AA93" s="75">
        <f>$I93*$K93*py*Index!Z45*Index!Z186/unit</f>
        <v>0</v>
      </c>
      <c r="AB93" s="75">
        <f>$I93*$K93*py*Index!AA45*Index!AA186/unit</f>
        <v>0</v>
      </c>
      <c r="AC93" s="75">
        <f>$I93*$K93*py*Index!AB45*Index!AB186/unit</f>
        <v>0</v>
      </c>
      <c r="AD93" s="75">
        <f>$I93*$K93*py*Index!AC45*Index!AC186/unit</f>
        <v>0</v>
      </c>
      <c r="AE93" s="75">
        <f>$I93*$K93*py*Index!AD45*Index!AD186/unit</f>
        <v>0</v>
      </c>
      <c r="AF93" s="75">
        <f>$I93*$K93*py*Index!AE45*Index!AE186/unit</f>
        <v>0</v>
      </c>
      <c r="AG93" s="75">
        <f>$I93*$K93*py*Index!AF45*Index!AF186/unit</f>
        <v>0</v>
      </c>
      <c r="AH93" s="75">
        <f>$I93*$K93*py*Index!AG45*Index!AG186/unit</f>
        <v>0</v>
      </c>
      <c r="AI93" s="75">
        <f>$I93*$K93*py*Index!AH45*Index!AH186/unit</f>
        <v>0</v>
      </c>
      <c r="AJ93" s="75">
        <f>$I93*$K93*py*Index!AI45*Index!AI186/unit</f>
        <v>0</v>
      </c>
      <c r="AK93" s="75">
        <f>$I93*$K93*py*Index!AJ45*Index!AJ186/unit</f>
        <v>0</v>
      </c>
      <c r="AL93" s="75">
        <f>$I93*$K93*py*Index!AK45*Index!AK186/unit</f>
        <v>0</v>
      </c>
      <c r="AM93" s="75">
        <f>$I93*$K93*py*Index!AL45*Index!AL186/unit</f>
        <v>0</v>
      </c>
      <c r="AN93" s="75">
        <f>$I93*$K93*py*Index!AM45*Index!AM186/unit</f>
        <v>0</v>
      </c>
      <c r="AO93" s="75">
        <f>$I93*$K93*py*Index!AN45*Index!AN186/unit</f>
        <v>0</v>
      </c>
      <c r="AP93" s="75">
        <f>$I93*$K93*py*Index!AO45*Index!AO186/unit</f>
        <v>0</v>
      </c>
      <c r="AQ93" s="75">
        <f>$I93*$K93*py*Index!AP45*Index!AP186/unit</f>
        <v>0</v>
      </c>
      <c r="AR93" s="75">
        <f>$I93*$K93*py*Index!AQ45*Index!AQ186/unit</f>
        <v>0</v>
      </c>
      <c r="AS93" s="75">
        <f>$I93*$K93*py*Index!AR45*Index!AR186/unit</f>
        <v>0</v>
      </c>
      <c r="AT93" s="75">
        <f>$I93*$K93*py*Index!AS45*Index!AS186/unit</f>
        <v>0</v>
      </c>
      <c r="AU93" s="75">
        <f>$I93*$K93*py*Index!AT45*Index!AT186/unit</f>
        <v>0</v>
      </c>
      <c r="AV93" s="75">
        <f>$I93*$K93*py*Index!AU45*Index!AU186/unit</f>
        <v>0</v>
      </c>
      <c r="AW93" s="75">
        <f>$I93*$K93*py*Index!AV45*Index!AV186/unit</f>
        <v>0</v>
      </c>
      <c r="AX93" s="75">
        <f>$I93*$K93*py*Index!AW45*Index!AW186/unit</f>
        <v>0</v>
      </c>
      <c r="AY93" s="75">
        <f>$I93*$K93*py*Index!AX45*Index!AX186/unit</f>
        <v>0</v>
      </c>
      <c r="AZ93" s="75">
        <f>$I93*$K93*py*Index!AY45*Index!AY186/unit</f>
        <v>0</v>
      </c>
      <c r="BA93" s="75">
        <f>$I93*$K93*py*Index!AZ45*Index!AZ186/unit</f>
        <v>0</v>
      </c>
      <c r="BB93" s="75">
        <f>$I93*$K93*py*Index!BA45*Index!BA186/unit</f>
        <v>0</v>
      </c>
      <c r="BC93" s="75">
        <f>$I93*$K93*py*Index!BB45*Index!BB186/unit</f>
        <v>0</v>
      </c>
      <c r="BD93" s="75">
        <f>$I93*$K93*py*Index!BC45*Index!BC186/unit</f>
        <v>0</v>
      </c>
      <c r="BE93" s="75">
        <f>$I93*$K93*py*Index!BD45*Index!BD186/unit</f>
        <v>0</v>
      </c>
      <c r="BF93" s="75">
        <f>$I93*$K93*py*Index!BE45*Index!BE186/unit</f>
        <v>0</v>
      </c>
      <c r="BG93" s="75">
        <f>$I93*$K93*py*Index!BF45*Index!BF186/unit</f>
        <v>0</v>
      </c>
      <c r="BH93" s="75">
        <f>$I93*$K93*py*Index!BG45*Index!BG186/unit</f>
        <v>20.602862335353375</v>
      </c>
      <c r="BI93" s="75">
        <f>$I93*$K93*py*Index!BH45*Index!BH186/unit</f>
        <v>20.602862335353375</v>
      </c>
      <c r="BJ93" s="75">
        <f>$I93*$K93*py*Index!BI45*Index!BI186/unit</f>
        <v>20.602862335353375</v>
      </c>
      <c r="BK93" s="75">
        <f>$I93*$K93*py*Index!BJ45*Index!BJ186/unit</f>
        <v>20.602862335353375</v>
      </c>
      <c r="BL93" s="75">
        <f>$I93*$K93*py*Index!BK45*Index!BK186/unit</f>
        <v>20.602862335353375</v>
      </c>
      <c r="BM93" s="75">
        <f>$I93*$K93*py*Index!BL45*Index!BL186/unit</f>
        <v>20.602862335353375</v>
      </c>
      <c r="BN93" s="75">
        <f>$I93*$K93*py*Index!BM45*Index!BM186/unit</f>
        <v>20.602862335353375</v>
      </c>
      <c r="BO93" s="75">
        <f>$I93*$K93*py*Index!BN45*Index!BN186/unit</f>
        <v>20.602862335353375</v>
      </c>
      <c r="BP93" s="75">
        <f>$I93*$K93*py*Index!BO45*Index!BO186/unit</f>
        <v>20.602862335353375</v>
      </c>
      <c r="BQ93" s="75">
        <f>$I93*$K93*py*Index!BP45*Index!BP186/unit</f>
        <v>20.602862335353375</v>
      </c>
      <c r="BR93" s="75">
        <f>$I93*$K93*py*Index!BQ45*Index!BQ186/unit</f>
        <v>20.602862335353375</v>
      </c>
      <c r="BS93" s="75">
        <f>$I93*$K93*py*Index!BR45*Index!BR186/unit</f>
        <v>20.602862335353375</v>
      </c>
      <c r="BT93" s="75">
        <f>$I93*$K93*py*Index!BS45*Index!BS186/unit</f>
        <v>21.220948205413976</v>
      </c>
      <c r="BU93" s="75">
        <f>$I93*$K93*py*Index!BT45*Index!BT186/unit</f>
        <v>21.220948205413976</v>
      </c>
      <c r="BV93" s="75">
        <f>$I93*$K93*py*Index!BU45*Index!BU186/unit</f>
        <v>21.220948205413976</v>
      </c>
      <c r="BW93" s="75">
        <f>$I93*$K93*py*Index!BV45*Index!BV186/unit</f>
        <v>21.220948205413976</v>
      </c>
      <c r="BX93" s="75">
        <f>$I93*$K93*py*Index!BW45*Index!BW186/unit</f>
        <v>21.220948205413976</v>
      </c>
      <c r="BY93" s="75">
        <f>$I93*$K93*py*Index!BX45*Index!BX186/unit</f>
        <v>21.220948205413976</v>
      </c>
      <c r="BZ93" s="75">
        <f>$I93*$K93*py*Index!BY45*Index!BY186/unit</f>
        <v>21.220948205413976</v>
      </c>
      <c r="CA93" s="75">
        <f>$I93*$K93*py*Index!BZ45*Index!BZ186/unit</f>
        <v>21.220948205413976</v>
      </c>
      <c r="CB93" s="75">
        <f>$I93*$K93*py*Index!CA45*Index!CA186/unit</f>
        <v>0</v>
      </c>
      <c r="CC93" s="75">
        <f>$I93*$K93*py*Index!CB45*Index!CB186/unit</f>
        <v>0</v>
      </c>
      <c r="CD93" s="75">
        <f>$I93*$K93*py*Index!CC45*Index!CC186/unit</f>
        <v>0</v>
      </c>
      <c r="CE93" s="75">
        <f>$I93*$K93*py*Index!CD45*Index!CD186/unit</f>
        <v>0</v>
      </c>
      <c r="CF93" s="75">
        <f>$I93*$K93*py*Index!CE45*Index!CE186/unit</f>
        <v>0</v>
      </c>
      <c r="CG93" s="75">
        <f>$I93*$K93*py*Index!CF45*Index!CF186/unit</f>
        <v>0</v>
      </c>
      <c r="CH93" s="75">
        <f>$I93*$K93*py*Index!CG45*Index!CG186/unit</f>
        <v>0</v>
      </c>
      <c r="CI93" s="75">
        <f>$I93*$K93*py*Index!CH45*Index!CH186/unit</f>
        <v>0</v>
      </c>
      <c r="CJ93" s="75">
        <f>$I93*$K93*py*Index!CI45*Index!CI186/unit</f>
        <v>0</v>
      </c>
      <c r="CK93" s="75">
        <f>$I93*$K93*py*Index!CJ45*Index!CJ186/unit</f>
        <v>0</v>
      </c>
      <c r="CL93" s="75">
        <f>$I93*$K93*py*Index!CK45*Index!CK186/unit</f>
        <v>0</v>
      </c>
      <c r="CM93" s="75">
        <f>$I93*$K93*py*Index!CL45*Index!CL186/unit</f>
        <v>0</v>
      </c>
      <c r="CN93" s="75">
        <f>$I93*$K93*py*Index!CM45*Index!CM186/unit</f>
        <v>0</v>
      </c>
      <c r="CO93" s="75">
        <f>$I93*$K93*py*Index!CN45*Index!CN186/unit</f>
        <v>0</v>
      </c>
      <c r="CP93" s="75">
        <f>$I93*$K93*py*Index!CO45*Index!CO186/unit</f>
        <v>0</v>
      </c>
      <c r="CQ93" s="75">
        <f>$I93*$K93*py*Index!CP45*Index!CP186/unit</f>
        <v>0</v>
      </c>
      <c r="CR93" s="75">
        <f>$I93*$K93*py*Index!CQ45*Index!CQ186/unit</f>
        <v>0</v>
      </c>
      <c r="CS93" s="75">
        <f>$I93*$K93*py*Index!CR45*Index!CR186/unit</f>
        <v>0</v>
      </c>
      <c r="CT93" s="75">
        <f>$I93*$K93*py*Index!CS45*Index!CS186/unit</f>
        <v>0</v>
      </c>
      <c r="CU93" s="75">
        <f>$I93*$K93*py*Index!CT45*Index!CT186/unit</f>
        <v>0</v>
      </c>
      <c r="CV93" s="75">
        <f>$I93*$K93*py*Index!CU45*Index!CU186/unit</f>
        <v>0</v>
      </c>
      <c r="CW93" s="75">
        <f>$I93*$K93*py*Index!CV45*Index!CV186/unit</f>
        <v>0</v>
      </c>
      <c r="CX93" s="75">
        <f>$I93*$K93*py*Index!CW45*Index!CW186/unit</f>
        <v>0</v>
      </c>
      <c r="CY93" s="75">
        <f>$I93*$K93*py*Index!CX45*Index!CX186/unit</f>
        <v>0</v>
      </c>
      <c r="CZ93" s="75">
        <f>$I93*$K93*py*Index!CY45*Index!CY186/unit</f>
        <v>0</v>
      </c>
      <c r="DA93" s="75">
        <f>$I93*$K93*py*Index!CZ45*Index!CZ186/unit</f>
        <v>0</v>
      </c>
      <c r="DB93" s="75">
        <f>$I93*$K93*py*Index!DA45*Index!DA186/unit</f>
        <v>0</v>
      </c>
      <c r="DC93" s="75">
        <f>$I93*$K93*py*Index!DB45*Index!DB186/unit</f>
        <v>0</v>
      </c>
      <c r="DD93" s="75">
        <f>$I93*$K93*py*Index!DC45*Index!DC186/unit</f>
        <v>0</v>
      </c>
      <c r="DE93" s="75">
        <f>$I93*$K93*py*Index!DD45*Index!DD186/unit</f>
        <v>0</v>
      </c>
      <c r="DF93" s="75">
        <f>$I93*$K93*py*Index!DE45*Index!DE186/unit</f>
        <v>0</v>
      </c>
      <c r="DG93" s="75">
        <f>$I93*$K93*py*Index!DF45*Index!DF186/unit</f>
        <v>0</v>
      </c>
      <c r="DH93" s="75">
        <f>$I93*$K93*py*Index!DG45*Index!DG186/unit</f>
        <v>0</v>
      </c>
      <c r="DI93" s="75">
        <f>$I93*$K93*py*Index!DH45*Index!DH186/unit</f>
        <v>0</v>
      </c>
      <c r="DJ93" s="75">
        <f>$I93*$K93*py*Index!DI45*Index!DI186/unit</f>
        <v>0</v>
      </c>
      <c r="DK93" s="75">
        <f>$I93*$K93*py*Index!DJ45*Index!DJ186/unit</f>
        <v>0</v>
      </c>
      <c r="DL93" s="75">
        <f>$I93*$K93*py*Index!DK45*Index!DK186/unit</f>
        <v>0</v>
      </c>
      <c r="DM93" s="75">
        <f>$I93*$K93*py*Index!DL45*Index!DL186/unit</f>
        <v>0</v>
      </c>
    </row>
    <row r="94" spans="2:117">
      <c r="B94" s="27">
        <f>Rentroll!$C$44</f>
        <v>10</v>
      </c>
      <c r="C94" s="69" t="str">
        <f>VLOOKUP($B94,Rentroll!$C$37:$Z$60,3,FALSE)</f>
        <v>노벰버 건설</v>
      </c>
      <c r="D94" s="80">
        <f>VLOOKUP($B94,Rentroll!$C$37:$Z$60,9,FALSE)</f>
        <v>46904</v>
      </c>
      <c r="E94" s="80">
        <f>VLOOKUP($B94,Rentroll!$C$37:$Z$60,10,FALSE)</f>
        <v>48730</v>
      </c>
      <c r="F94" s="81">
        <f>VLOOKUP($B94,Rentroll!$C$37:$Z$60,11,FALSE)</f>
        <v>60</v>
      </c>
      <c r="G94" s="69">
        <f>VLOOKUP($B94,Rentroll!$C$37:$Z$60,13,FALSE)</f>
        <v>112550.88099999999</v>
      </c>
      <c r="H94" s="69">
        <f>VLOOKUP($B94,Rentroll!$C$37:$Z$60,14,FALSE)</f>
        <v>103171.64091666666</v>
      </c>
      <c r="I94" s="69">
        <f>VLOOKUP($B94,Rentroll!$C$37:$Z$60,15,FALSE)</f>
        <v>49172.715000000004</v>
      </c>
      <c r="J94" s="82">
        <f>VLOOKUP($B94,Rentroll!$C$37:$Z$60,19,FALSE)</f>
        <v>0.03</v>
      </c>
      <c r="K94" s="83">
        <f>VLOOKUP($B94,Rentroll!$C$37:$Z$60,4,FALSE)</f>
        <v>1385.09</v>
      </c>
      <c r="L94" s="81">
        <f>VLOOKUP($B94,Rentroll!$C$37:$Z$60,17,FALSE)</f>
        <v>0</v>
      </c>
      <c r="M94" s="84">
        <f>VLOOKUP($B94,Rentroll!$C$37:$Z$60,18,FALSE)</f>
        <v>1</v>
      </c>
      <c r="O94" s="74">
        <f t="shared" si="219"/>
        <v>10</v>
      </c>
      <c r="P94" s="75"/>
      <c r="Q94" s="75">
        <f t="shared" si="215"/>
        <v>417.00193366755207</v>
      </c>
      <c r="R94" s="75"/>
      <c r="S94" s="75">
        <f>$I94*$K94*py*Index!R46*Index!R187/unit</f>
        <v>0</v>
      </c>
      <c r="T94" s="75">
        <f>$I94*$K94*py*Index!S46*Index!S187/unit</f>
        <v>0</v>
      </c>
      <c r="U94" s="75">
        <f>$I94*$K94*py*Index!T46*Index!T187/unit</f>
        <v>0</v>
      </c>
      <c r="V94" s="75">
        <f>$I94*$K94*py*Index!U46*Index!U187/unit</f>
        <v>0</v>
      </c>
      <c r="W94" s="75">
        <f>$I94*$K94*py*Index!V46*Index!V187/unit</f>
        <v>0</v>
      </c>
      <c r="X94" s="75">
        <f>$I94*$K94*py*Index!W46*Index!W187/unit</f>
        <v>0</v>
      </c>
      <c r="Y94" s="75">
        <f>$I94*$K94*py*Index!X46*Index!X187/unit</f>
        <v>0</v>
      </c>
      <c r="Z94" s="75">
        <f>$I94*$K94*py*Index!Y46*Index!Y187/unit</f>
        <v>0</v>
      </c>
      <c r="AA94" s="75">
        <f>$I94*$K94*py*Index!Z46*Index!Z187/unit</f>
        <v>0</v>
      </c>
      <c r="AB94" s="75">
        <f>$I94*$K94*py*Index!AA46*Index!AA187/unit</f>
        <v>0</v>
      </c>
      <c r="AC94" s="75">
        <f>$I94*$K94*py*Index!AB46*Index!AB187/unit</f>
        <v>0</v>
      </c>
      <c r="AD94" s="75">
        <f>$I94*$K94*py*Index!AC46*Index!AC187/unit</f>
        <v>0</v>
      </c>
      <c r="AE94" s="75">
        <f>$I94*$K94*py*Index!AD46*Index!AD187/unit</f>
        <v>0</v>
      </c>
      <c r="AF94" s="75">
        <f>$I94*$K94*py*Index!AE46*Index!AE187/unit</f>
        <v>0</v>
      </c>
      <c r="AG94" s="75">
        <f>$I94*$K94*py*Index!AF46*Index!AF187/unit</f>
        <v>0</v>
      </c>
      <c r="AH94" s="75">
        <f>$I94*$K94*py*Index!AG46*Index!AG187/unit</f>
        <v>0</v>
      </c>
      <c r="AI94" s="75">
        <f>$I94*$K94*py*Index!AH46*Index!AH187/unit</f>
        <v>0</v>
      </c>
      <c r="AJ94" s="75">
        <f>$I94*$K94*py*Index!AI46*Index!AI187/unit</f>
        <v>0</v>
      </c>
      <c r="AK94" s="75">
        <f>$I94*$K94*py*Index!AJ46*Index!AJ187/unit</f>
        <v>0</v>
      </c>
      <c r="AL94" s="75">
        <f>$I94*$K94*py*Index!AK46*Index!AK187/unit</f>
        <v>0</v>
      </c>
      <c r="AM94" s="75">
        <f>$I94*$K94*py*Index!AL46*Index!AL187/unit</f>
        <v>0</v>
      </c>
      <c r="AN94" s="75">
        <f>$I94*$K94*py*Index!AM46*Index!AM187/unit</f>
        <v>0</v>
      </c>
      <c r="AO94" s="75">
        <f>$I94*$K94*py*Index!AN46*Index!AN187/unit</f>
        <v>0</v>
      </c>
      <c r="AP94" s="75">
        <f>$I94*$K94*py*Index!AO46*Index!AO187/unit</f>
        <v>0</v>
      </c>
      <c r="AQ94" s="75">
        <f>$I94*$K94*py*Index!AP46*Index!AP187/unit</f>
        <v>0</v>
      </c>
      <c r="AR94" s="75">
        <f>$I94*$K94*py*Index!AQ46*Index!AQ187/unit</f>
        <v>0</v>
      </c>
      <c r="AS94" s="75">
        <f>$I94*$K94*py*Index!AR46*Index!AR187/unit</f>
        <v>0</v>
      </c>
      <c r="AT94" s="75">
        <f>$I94*$K94*py*Index!AS46*Index!AS187/unit</f>
        <v>0</v>
      </c>
      <c r="AU94" s="75">
        <f>$I94*$K94*py*Index!AT46*Index!AT187/unit</f>
        <v>0</v>
      </c>
      <c r="AV94" s="75">
        <f>$I94*$K94*py*Index!AU46*Index!AU187/unit</f>
        <v>0</v>
      </c>
      <c r="AW94" s="75">
        <f>$I94*$K94*py*Index!AV46*Index!AV187/unit</f>
        <v>0</v>
      </c>
      <c r="AX94" s="75">
        <f>$I94*$K94*py*Index!AW46*Index!AW187/unit</f>
        <v>0</v>
      </c>
      <c r="AY94" s="75">
        <f>$I94*$K94*py*Index!AX46*Index!AX187/unit</f>
        <v>0</v>
      </c>
      <c r="AZ94" s="75">
        <f>$I94*$K94*py*Index!AY46*Index!AY187/unit</f>
        <v>0</v>
      </c>
      <c r="BA94" s="75">
        <f>$I94*$K94*py*Index!AZ46*Index!AZ187/unit</f>
        <v>0</v>
      </c>
      <c r="BB94" s="75">
        <f>$I94*$K94*py*Index!BA46*Index!BA187/unit</f>
        <v>0</v>
      </c>
      <c r="BC94" s="75">
        <f>$I94*$K94*py*Index!BB46*Index!BB187/unit</f>
        <v>0</v>
      </c>
      <c r="BD94" s="75">
        <f>$I94*$K94*py*Index!BC46*Index!BC187/unit</f>
        <v>0</v>
      </c>
      <c r="BE94" s="75">
        <f>$I94*$K94*py*Index!BD46*Index!BD187/unit</f>
        <v>0</v>
      </c>
      <c r="BF94" s="75">
        <f>$I94*$K94*py*Index!BE46*Index!BE187/unit</f>
        <v>0</v>
      </c>
      <c r="BG94" s="75">
        <f>$I94*$K94*py*Index!BF46*Index!BF187/unit</f>
        <v>0</v>
      </c>
      <c r="BH94" s="75">
        <f>$I94*$K94*py*Index!BG46*Index!BG187/unit</f>
        <v>20.602862335353375</v>
      </c>
      <c r="BI94" s="75">
        <f>$I94*$K94*py*Index!BH46*Index!BH187/unit</f>
        <v>20.602862335353375</v>
      </c>
      <c r="BJ94" s="75">
        <f>$I94*$K94*py*Index!BI46*Index!BI187/unit</f>
        <v>20.602862335353375</v>
      </c>
      <c r="BK94" s="75">
        <f>$I94*$K94*py*Index!BJ46*Index!BJ187/unit</f>
        <v>20.602862335353375</v>
      </c>
      <c r="BL94" s="75">
        <f>$I94*$K94*py*Index!BK46*Index!BK187/unit</f>
        <v>20.602862335353375</v>
      </c>
      <c r="BM94" s="75">
        <f>$I94*$K94*py*Index!BL46*Index!BL187/unit</f>
        <v>20.602862335353375</v>
      </c>
      <c r="BN94" s="75">
        <f>$I94*$K94*py*Index!BM46*Index!BM187/unit</f>
        <v>20.602862335353375</v>
      </c>
      <c r="BO94" s="75">
        <f>$I94*$K94*py*Index!BN46*Index!BN187/unit</f>
        <v>20.602862335353375</v>
      </c>
      <c r="BP94" s="75">
        <f>$I94*$K94*py*Index!BO46*Index!BO187/unit</f>
        <v>20.602862335353375</v>
      </c>
      <c r="BQ94" s="75">
        <f>$I94*$K94*py*Index!BP46*Index!BP187/unit</f>
        <v>20.602862335353375</v>
      </c>
      <c r="BR94" s="75">
        <f>$I94*$K94*py*Index!BQ46*Index!BQ187/unit</f>
        <v>20.602862335353375</v>
      </c>
      <c r="BS94" s="75">
        <f>$I94*$K94*py*Index!BR46*Index!BR187/unit</f>
        <v>20.602862335353375</v>
      </c>
      <c r="BT94" s="75">
        <f>$I94*$K94*py*Index!BS46*Index!BS187/unit</f>
        <v>21.220948205413976</v>
      </c>
      <c r="BU94" s="75">
        <f>$I94*$K94*py*Index!BT46*Index!BT187/unit</f>
        <v>21.220948205413976</v>
      </c>
      <c r="BV94" s="75">
        <f>$I94*$K94*py*Index!BU46*Index!BU187/unit</f>
        <v>21.220948205413976</v>
      </c>
      <c r="BW94" s="75">
        <f>$I94*$K94*py*Index!BV46*Index!BV187/unit</f>
        <v>21.220948205413976</v>
      </c>
      <c r="BX94" s="75">
        <f>$I94*$K94*py*Index!BW46*Index!BW187/unit</f>
        <v>21.220948205413976</v>
      </c>
      <c r="BY94" s="75">
        <f>$I94*$K94*py*Index!BX46*Index!BX187/unit</f>
        <v>21.220948205413976</v>
      </c>
      <c r="BZ94" s="75">
        <f>$I94*$K94*py*Index!BY46*Index!BY187/unit</f>
        <v>21.220948205413976</v>
      </c>
      <c r="CA94" s="75">
        <f>$I94*$K94*py*Index!BZ46*Index!BZ187/unit</f>
        <v>21.220948205413976</v>
      </c>
      <c r="CB94" s="75">
        <f>$I94*$K94*py*Index!CA46*Index!CA187/unit</f>
        <v>0</v>
      </c>
      <c r="CC94" s="75">
        <f>$I94*$K94*py*Index!CB46*Index!CB187/unit</f>
        <v>0</v>
      </c>
      <c r="CD94" s="75">
        <f>$I94*$K94*py*Index!CC46*Index!CC187/unit</f>
        <v>0</v>
      </c>
      <c r="CE94" s="75">
        <f>$I94*$K94*py*Index!CD46*Index!CD187/unit</f>
        <v>0</v>
      </c>
      <c r="CF94" s="75">
        <f>$I94*$K94*py*Index!CE46*Index!CE187/unit</f>
        <v>0</v>
      </c>
      <c r="CG94" s="75">
        <f>$I94*$K94*py*Index!CF46*Index!CF187/unit</f>
        <v>0</v>
      </c>
      <c r="CH94" s="75">
        <f>$I94*$K94*py*Index!CG46*Index!CG187/unit</f>
        <v>0</v>
      </c>
      <c r="CI94" s="75">
        <f>$I94*$K94*py*Index!CH46*Index!CH187/unit</f>
        <v>0</v>
      </c>
      <c r="CJ94" s="75">
        <f>$I94*$K94*py*Index!CI46*Index!CI187/unit</f>
        <v>0</v>
      </c>
      <c r="CK94" s="75">
        <f>$I94*$K94*py*Index!CJ46*Index!CJ187/unit</f>
        <v>0</v>
      </c>
      <c r="CL94" s="75">
        <f>$I94*$K94*py*Index!CK46*Index!CK187/unit</f>
        <v>0</v>
      </c>
      <c r="CM94" s="75">
        <f>$I94*$K94*py*Index!CL46*Index!CL187/unit</f>
        <v>0</v>
      </c>
      <c r="CN94" s="75">
        <f>$I94*$K94*py*Index!CM46*Index!CM187/unit</f>
        <v>0</v>
      </c>
      <c r="CO94" s="75">
        <f>$I94*$K94*py*Index!CN46*Index!CN187/unit</f>
        <v>0</v>
      </c>
      <c r="CP94" s="75">
        <f>$I94*$K94*py*Index!CO46*Index!CO187/unit</f>
        <v>0</v>
      </c>
      <c r="CQ94" s="75">
        <f>$I94*$K94*py*Index!CP46*Index!CP187/unit</f>
        <v>0</v>
      </c>
      <c r="CR94" s="75">
        <f>$I94*$K94*py*Index!CQ46*Index!CQ187/unit</f>
        <v>0</v>
      </c>
      <c r="CS94" s="75">
        <f>$I94*$K94*py*Index!CR46*Index!CR187/unit</f>
        <v>0</v>
      </c>
      <c r="CT94" s="75">
        <f>$I94*$K94*py*Index!CS46*Index!CS187/unit</f>
        <v>0</v>
      </c>
      <c r="CU94" s="75">
        <f>$I94*$K94*py*Index!CT46*Index!CT187/unit</f>
        <v>0</v>
      </c>
      <c r="CV94" s="75">
        <f>$I94*$K94*py*Index!CU46*Index!CU187/unit</f>
        <v>0</v>
      </c>
      <c r="CW94" s="75">
        <f>$I94*$K94*py*Index!CV46*Index!CV187/unit</f>
        <v>0</v>
      </c>
      <c r="CX94" s="75">
        <f>$I94*$K94*py*Index!CW46*Index!CW187/unit</f>
        <v>0</v>
      </c>
      <c r="CY94" s="75">
        <f>$I94*$K94*py*Index!CX46*Index!CX187/unit</f>
        <v>0</v>
      </c>
      <c r="CZ94" s="75">
        <f>$I94*$K94*py*Index!CY46*Index!CY187/unit</f>
        <v>0</v>
      </c>
      <c r="DA94" s="75">
        <f>$I94*$K94*py*Index!CZ46*Index!CZ187/unit</f>
        <v>0</v>
      </c>
      <c r="DB94" s="75">
        <f>$I94*$K94*py*Index!DA46*Index!DA187/unit</f>
        <v>0</v>
      </c>
      <c r="DC94" s="75">
        <f>$I94*$K94*py*Index!DB46*Index!DB187/unit</f>
        <v>0</v>
      </c>
      <c r="DD94" s="75">
        <f>$I94*$K94*py*Index!DC46*Index!DC187/unit</f>
        <v>0</v>
      </c>
      <c r="DE94" s="75">
        <f>$I94*$K94*py*Index!DD46*Index!DD187/unit</f>
        <v>0</v>
      </c>
      <c r="DF94" s="75">
        <f>$I94*$K94*py*Index!DE46*Index!DE187/unit</f>
        <v>0</v>
      </c>
      <c r="DG94" s="75">
        <f>$I94*$K94*py*Index!DF46*Index!DF187/unit</f>
        <v>0</v>
      </c>
      <c r="DH94" s="75">
        <f>$I94*$K94*py*Index!DG46*Index!DG187/unit</f>
        <v>0</v>
      </c>
      <c r="DI94" s="75">
        <f>$I94*$K94*py*Index!DH46*Index!DH187/unit</f>
        <v>0</v>
      </c>
      <c r="DJ94" s="75">
        <f>$I94*$K94*py*Index!DI46*Index!DI187/unit</f>
        <v>0</v>
      </c>
      <c r="DK94" s="75">
        <f>$I94*$K94*py*Index!DJ46*Index!DJ187/unit</f>
        <v>0</v>
      </c>
      <c r="DL94" s="75">
        <f>$I94*$K94*py*Index!DK46*Index!DK187/unit</f>
        <v>0</v>
      </c>
      <c r="DM94" s="75">
        <f>$I94*$K94*py*Index!DL46*Index!DL187/unit</f>
        <v>0</v>
      </c>
    </row>
    <row r="95" spans="2:117">
      <c r="B95" s="27">
        <f>Rentroll!$C$45</f>
        <v>9</v>
      </c>
      <c r="C95" s="69" t="str">
        <f>VLOOKUP($B95,Rentroll!$C$37:$Z$60,3,FALSE)</f>
        <v>노벰버 건설</v>
      </c>
      <c r="D95" s="80">
        <f>VLOOKUP($B95,Rentroll!$C$37:$Z$60,9,FALSE)</f>
        <v>46904</v>
      </c>
      <c r="E95" s="80">
        <f>VLOOKUP($B95,Rentroll!$C$37:$Z$60,10,FALSE)</f>
        <v>48730</v>
      </c>
      <c r="F95" s="81">
        <f>VLOOKUP($B95,Rentroll!$C$37:$Z$60,11,FALSE)</f>
        <v>60</v>
      </c>
      <c r="G95" s="69">
        <f>VLOOKUP($B95,Rentroll!$C$37:$Z$60,13,FALSE)</f>
        <v>112550.88099999999</v>
      </c>
      <c r="H95" s="69">
        <f>VLOOKUP($B95,Rentroll!$C$37:$Z$60,14,FALSE)</f>
        <v>103171.64091666666</v>
      </c>
      <c r="I95" s="69">
        <f>VLOOKUP($B95,Rentroll!$C$37:$Z$60,15,FALSE)</f>
        <v>49172.715000000004</v>
      </c>
      <c r="J95" s="82">
        <f>VLOOKUP($B95,Rentroll!$C$37:$Z$60,19,FALSE)</f>
        <v>0.03</v>
      </c>
      <c r="K95" s="83">
        <f>VLOOKUP($B95,Rentroll!$C$37:$Z$60,4,FALSE)</f>
        <v>1385.09</v>
      </c>
      <c r="L95" s="81">
        <f>VLOOKUP($B95,Rentroll!$C$37:$Z$60,17,FALSE)</f>
        <v>0</v>
      </c>
      <c r="M95" s="84">
        <f>VLOOKUP($B95,Rentroll!$C$37:$Z$60,18,FALSE)</f>
        <v>1</v>
      </c>
      <c r="O95" s="74">
        <f t="shared" si="219"/>
        <v>9</v>
      </c>
      <c r="P95" s="75"/>
      <c r="Q95" s="75">
        <f t="shared" si="215"/>
        <v>417.00193366755207</v>
      </c>
      <c r="R95" s="75"/>
      <c r="S95" s="75">
        <f>$I95*$K95*py*Index!R47*Index!R188/unit</f>
        <v>0</v>
      </c>
      <c r="T95" s="75">
        <f>$I95*$K95*py*Index!S47*Index!S188/unit</f>
        <v>0</v>
      </c>
      <c r="U95" s="75">
        <f>$I95*$K95*py*Index!T47*Index!T188/unit</f>
        <v>0</v>
      </c>
      <c r="V95" s="75">
        <f>$I95*$K95*py*Index!U47*Index!U188/unit</f>
        <v>0</v>
      </c>
      <c r="W95" s="75">
        <f>$I95*$K95*py*Index!V47*Index!V188/unit</f>
        <v>0</v>
      </c>
      <c r="X95" s="75">
        <f>$I95*$K95*py*Index!W47*Index!W188/unit</f>
        <v>0</v>
      </c>
      <c r="Y95" s="75">
        <f>$I95*$K95*py*Index!X47*Index!X188/unit</f>
        <v>0</v>
      </c>
      <c r="Z95" s="75">
        <f>$I95*$K95*py*Index!Y47*Index!Y188/unit</f>
        <v>0</v>
      </c>
      <c r="AA95" s="75">
        <f>$I95*$K95*py*Index!Z47*Index!Z188/unit</f>
        <v>0</v>
      </c>
      <c r="AB95" s="75">
        <f>$I95*$K95*py*Index!AA47*Index!AA188/unit</f>
        <v>0</v>
      </c>
      <c r="AC95" s="75">
        <f>$I95*$K95*py*Index!AB47*Index!AB188/unit</f>
        <v>0</v>
      </c>
      <c r="AD95" s="75">
        <f>$I95*$K95*py*Index!AC47*Index!AC188/unit</f>
        <v>0</v>
      </c>
      <c r="AE95" s="75">
        <f>$I95*$K95*py*Index!AD47*Index!AD188/unit</f>
        <v>0</v>
      </c>
      <c r="AF95" s="75">
        <f>$I95*$K95*py*Index!AE47*Index!AE188/unit</f>
        <v>0</v>
      </c>
      <c r="AG95" s="75">
        <f>$I95*$K95*py*Index!AF47*Index!AF188/unit</f>
        <v>0</v>
      </c>
      <c r="AH95" s="75">
        <f>$I95*$K95*py*Index!AG47*Index!AG188/unit</f>
        <v>0</v>
      </c>
      <c r="AI95" s="75">
        <f>$I95*$K95*py*Index!AH47*Index!AH188/unit</f>
        <v>0</v>
      </c>
      <c r="AJ95" s="75">
        <f>$I95*$K95*py*Index!AI47*Index!AI188/unit</f>
        <v>0</v>
      </c>
      <c r="AK95" s="75">
        <f>$I95*$K95*py*Index!AJ47*Index!AJ188/unit</f>
        <v>0</v>
      </c>
      <c r="AL95" s="75">
        <f>$I95*$K95*py*Index!AK47*Index!AK188/unit</f>
        <v>0</v>
      </c>
      <c r="AM95" s="75">
        <f>$I95*$K95*py*Index!AL47*Index!AL188/unit</f>
        <v>0</v>
      </c>
      <c r="AN95" s="75">
        <f>$I95*$K95*py*Index!AM47*Index!AM188/unit</f>
        <v>0</v>
      </c>
      <c r="AO95" s="75">
        <f>$I95*$K95*py*Index!AN47*Index!AN188/unit</f>
        <v>0</v>
      </c>
      <c r="AP95" s="75">
        <f>$I95*$K95*py*Index!AO47*Index!AO188/unit</f>
        <v>0</v>
      </c>
      <c r="AQ95" s="75">
        <f>$I95*$K95*py*Index!AP47*Index!AP188/unit</f>
        <v>0</v>
      </c>
      <c r="AR95" s="75">
        <f>$I95*$K95*py*Index!AQ47*Index!AQ188/unit</f>
        <v>0</v>
      </c>
      <c r="AS95" s="75">
        <f>$I95*$K95*py*Index!AR47*Index!AR188/unit</f>
        <v>0</v>
      </c>
      <c r="AT95" s="75">
        <f>$I95*$K95*py*Index!AS47*Index!AS188/unit</f>
        <v>0</v>
      </c>
      <c r="AU95" s="75">
        <f>$I95*$K95*py*Index!AT47*Index!AT188/unit</f>
        <v>0</v>
      </c>
      <c r="AV95" s="75">
        <f>$I95*$K95*py*Index!AU47*Index!AU188/unit</f>
        <v>0</v>
      </c>
      <c r="AW95" s="75">
        <f>$I95*$K95*py*Index!AV47*Index!AV188/unit</f>
        <v>0</v>
      </c>
      <c r="AX95" s="75">
        <f>$I95*$K95*py*Index!AW47*Index!AW188/unit</f>
        <v>0</v>
      </c>
      <c r="AY95" s="75">
        <f>$I95*$K95*py*Index!AX47*Index!AX188/unit</f>
        <v>0</v>
      </c>
      <c r="AZ95" s="75">
        <f>$I95*$K95*py*Index!AY47*Index!AY188/unit</f>
        <v>0</v>
      </c>
      <c r="BA95" s="75">
        <f>$I95*$K95*py*Index!AZ47*Index!AZ188/unit</f>
        <v>0</v>
      </c>
      <c r="BB95" s="75">
        <f>$I95*$K95*py*Index!BA47*Index!BA188/unit</f>
        <v>0</v>
      </c>
      <c r="BC95" s="75">
        <f>$I95*$K95*py*Index!BB47*Index!BB188/unit</f>
        <v>0</v>
      </c>
      <c r="BD95" s="75">
        <f>$I95*$K95*py*Index!BC47*Index!BC188/unit</f>
        <v>0</v>
      </c>
      <c r="BE95" s="75">
        <f>$I95*$K95*py*Index!BD47*Index!BD188/unit</f>
        <v>0</v>
      </c>
      <c r="BF95" s="75">
        <f>$I95*$K95*py*Index!BE47*Index!BE188/unit</f>
        <v>0</v>
      </c>
      <c r="BG95" s="75">
        <f>$I95*$K95*py*Index!BF47*Index!BF188/unit</f>
        <v>0</v>
      </c>
      <c r="BH95" s="75">
        <f>$I95*$K95*py*Index!BG47*Index!BG188/unit</f>
        <v>20.602862335353375</v>
      </c>
      <c r="BI95" s="75">
        <f>$I95*$K95*py*Index!BH47*Index!BH188/unit</f>
        <v>20.602862335353375</v>
      </c>
      <c r="BJ95" s="75">
        <f>$I95*$K95*py*Index!BI47*Index!BI188/unit</f>
        <v>20.602862335353375</v>
      </c>
      <c r="BK95" s="75">
        <f>$I95*$K95*py*Index!BJ47*Index!BJ188/unit</f>
        <v>20.602862335353375</v>
      </c>
      <c r="BL95" s="75">
        <f>$I95*$K95*py*Index!BK47*Index!BK188/unit</f>
        <v>20.602862335353375</v>
      </c>
      <c r="BM95" s="75">
        <f>$I95*$K95*py*Index!BL47*Index!BL188/unit</f>
        <v>20.602862335353375</v>
      </c>
      <c r="BN95" s="75">
        <f>$I95*$K95*py*Index!BM47*Index!BM188/unit</f>
        <v>20.602862335353375</v>
      </c>
      <c r="BO95" s="75">
        <f>$I95*$K95*py*Index!BN47*Index!BN188/unit</f>
        <v>20.602862335353375</v>
      </c>
      <c r="BP95" s="75">
        <f>$I95*$K95*py*Index!BO47*Index!BO188/unit</f>
        <v>20.602862335353375</v>
      </c>
      <c r="BQ95" s="75">
        <f>$I95*$K95*py*Index!BP47*Index!BP188/unit</f>
        <v>20.602862335353375</v>
      </c>
      <c r="BR95" s="75">
        <f>$I95*$K95*py*Index!BQ47*Index!BQ188/unit</f>
        <v>20.602862335353375</v>
      </c>
      <c r="BS95" s="75">
        <f>$I95*$K95*py*Index!BR47*Index!BR188/unit</f>
        <v>20.602862335353375</v>
      </c>
      <c r="BT95" s="75">
        <f>$I95*$K95*py*Index!BS47*Index!BS188/unit</f>
        <v>21.220948205413976</v>
      </c>
      <c r="BU95" s="75">
        <f>$I95*$K95*py*Index!BT47*Index!BT188/unit</f>
        <v>21.220948205413976</v>
      </c>
      <c r="BV95" s="75">
        <f>$I95*$K95*py*Index!BU47*Index!BU188/unit</f>
        <v>21.220948205413976</v>
      </c>
      <c r="BW95" s="75">
        <f>$I95*$K95*py*Index!BV47*Index!BV188/unit</f>
        <v>21.220948205413976</v>
      </c>
      <c r="BX95" s="75">
        <f>$I95*$K95*py*Index!BW47*Index!BW188/unit</f>
        <v>21.220948205413976</v>
      </c>
      <c r="BY95" s="75">
        <f>$I95*$K95*py*Index!BX47*Index!BX188/unit</f>
        <v>21.220948205413976</v>
      </c>
      <c r="BZ95" s="75">
        <f>$I95*$K95*py*Index!BY47*Index!BY188/unit</f>
        <v>21.220948205413976</v>
      </c>
      <c r="CA95" s="75">
        <f>$I95*$K95*py*Index!BZ47*Index!BZ188/unit</f>
        <v>21.220948205413976</v>
      </c>
      <c r="CB95" s="75">
        <f>$I95*$K95*py*Index!CA47*Index!CA188/unit</f>
        <v>0</v>
      </c>
      <c r="CC95" s="75">
        <f>$I95*$K95*py*Index!CB47*Index!CB188/unit</f>
        <v>0</v>
      </c>
      <c r="CD95" s="75">
        <f>$I95*$K95*py*Index!CC47*Index!CC188/unit</f>
        <v>0</v>
      </c>
      <c r="CE95" s="75">
        <f>$I95*$K95*py*Index!CD47*Index!CD188/unit</f>
        <v>0</v>
      </c>
      <c r="CF95" s="75">
        <f>$I95*$K95*py*Index!CE47*Index!CE188/unit</f>
        <v>0</v>
      </c>
      <c r="CG95" s="75">
        <f>$I95*$K95*py*Index!CF47*Index!CF188/unit</f>
        <v>0</v>
      </c>
      <c r="CH95" s="75">
        <f>$I95*$K95*py*Index!CG47*Index!CG188/unit</f>
        <v>0</v>
      </c>
      <c r="CI95" s="75">
        <f>$I95*$K95*py*Index!CH47*Index!CH188/unit</f>
        <v>0</v>
      </c>
      <c r="CJ95" s="75">
        <f>$I95*$K95*py*Index!CI47*Index!CI188/unit</f>
        <v>0</v>
      </c>
      <c r="CK95" s="75">
        <f>$I95*$K95*py*Index!CJ47*Index!CJ188/unit</f>
        <v>0</v>
      </c>
      <c r="CL95" s="75">
        <f>$I95*$K95*py*Index!CK47*Index!CK188/unit</f>
        <v>0</v>
      </c>
      <c r="CM95" s="75">
        <f>$I95*$K95*py*Index!CL47*Index!CL188/unit</f>
        <v>0</v>
      </c>
      <c r="CN95" s="75">
        <f>$I95*$K95*py*Index!CM47*Index!CM188/unit</f>
        <v>0</v>
      </c>
      <c r="CO95" s="75">
        <f>$I95*$K95*py*Index!CN47*Index!CN188/unit</f>
        <v>0</v>
      </c>
      <c r="CP95" s="75">
        <f>$I95*$K95*py*Index!CO47*Index!CO188/unit</f>
        <v>0</v>
      </c>
      <c r="CQ95" s="75">
        <f>$I95*$K95*py*Index!CP47*Index!CP188/unit</f>
        <v>0</v>
      </c>
      <c r="CR95" s="75">
        <f>$I95*$K95*py*Index!CQ47*Index!CQ188/unit</f>
        <v>0</v>
      </c>
      <c r="CS95" s="75">
        <f>$I95*$K95*py*Index!CR47*Index!CR188/unit</f>
        <v>0</v>
      </c>
      <c r="CT95" s="75">
        <f>$I95*$K95*py*Index!CS47*Index!CS188/unit</f>
        <v>0</v>
      </c>
      <c r="CU95" s="75">
        <f>$I95*$K95*py*Index!CT47*Index!CT188/unit</f>
        <v>0</v>
      </c>
      <c r="CV95" s="75">
        <f>$I95*$K95*py*Index!CU47*Index!CU188/unit</f>
        <v>0</v>
      </c>
      <c r="CW95" s="75">
        <f>$I95*$K95*py*Index!CV47*Index!CV188/unit</f>
        <v>0</v>
      </c>
      <c r="CX95" s="75">
        <f>$I95*$K95*py*Index!CW47*Index!CW188/unit</f>
        <v>0</v>
      </c>
      <c r="CY95" s="75">
        <f>$I95*$K95*py*Index!CX47*Index!CX188/unit</f>
        <v>0</v>
      </c>
      <c r="CZ95" s="75">
        <f>$I95*$K95*py*Index!CY47*Index!CY188/unit</f>
        <v>0</v>
      </c>
      <c r="DA95" s="75">
        <f>$I95*$K95*py*Index!CZ47*Index!CZ188/unit</f>
        <v>0</v>
      </c>
      <c r="DB95" s="75">
        <f>$I95*$K95*py*Index!DA47*Index!DA188/unit</f>
        <v>0</v>
      </c>
      <c r="DC95" s="75">
        <f>$I95*$K95*py*Index!DB47*Index!DB188/unit</f>
        <v>0</v>
      </c>
      <c r="DD95" s="75">
        <f>$I95*$K95*py*Index!DC47*Index!DC188/unit</f>
        <v>0</v>
      </c>
      <c r="DE95" s="75">
        <f>$I95*$K95*py*Index!DD47*Index!DD188/unit</f>
        <v>0</v>
      </c>
      <c r="DF95" s="75">
        <f>$I95*$K95*py*Index!DE47*Index!DE188/unit</f>
        <v>0</v>
      </c>
      <c r="DG95" s="75">
        <f>$I95*$K95*py*Index!DF47*Index!DF188/unit</f>
        <v>0</v>
      </c>
      <c r="DH95" s="75">
        <f>$I95*$K95*py*Index!DG47*Index!DG188/unit</f>
        <v>0</v>
      </c>
      <c r="DI95" s="75">
        <f>$I95*$K95*py*Index!DH47*Index!DH188/unit</f>
        <v>0</v>
      </c>
      <c r="DJ95" s="75">
        <f>$I95*$K95*py*Index!DI47*Index!DI188/unit</f>
        <v>0</v>
      </c>
      <c r="DK95" s="75">
        <f>$I95*$K95*py*Index!DJ47*Index!DJ188/unit</f>
        <v>0</v>
      </c>
      <c r="DL95" s="75">
        <f>$I95*$K95*py*Index!DK47*Index!DK188/unit</f>
        <v>0</v>
      </c>
      <c r="DM95" s="75">
        <f>$I95*$K95*py*Index!DL47*Index!DL188/unit</f>
        <v>0</v>
      </c>
    </row>
    <row r="96" spans="2:117">
      <c r="B96" s="27">
        <f>Rentroll!$C$46</f>
        <v>8</v>
      </c>
      <c r="C96" s="69" t="str">
        <f>VLOOKUP($B96,Rentroll!$C$37:$Z$60,3,FALSE)</f>
        <v>오케스트로</v>
      </c>
      <c r="D96" s="80">
        <f>VLOOKUP($B96,Rentroll!$C$37:$Z$60,9,FALSE)</f>
        <v>46477</v>
      </c>
      <c r="E96" s="80">
        <f>VLOOKUP($B96,Rentroll!$C$37:$Z$60,10,FALSE)</f>
        <v>48304</v>
      </c>
      <c r="F96" s="81">
        <f>VLOOKUP($B96,Rentroll!$C$37:$Z$60,11,FALSE)</f>
        <v>60</v>
      </c>
      <c r="G96" s="69">
        <f>VLOOKUP($B96,Rentroll!$C$37:$Z$60,13,FALSE)</f>
        <v>109272.7</v>
      </c>
      <c r="H96" s="69">
        <f>VLOOKUP($B96,Rentroll!$C$37:$Z$60,14,FALSE)</f>
        <v>100166.64166666666</v>
      </c>
      <c r="I96" s="69">
        <f>VLOOKUP($B96,Rentroll!$C$37:$Z$60,15,FALSE)</f>
        <v>47740.5</v>
      </c>
      <c r="J96" s="82">
        <f>VLOOKUP($B96,Rentroll!$C$37:$Z$60,19,FALSE)</f>
        <v>0.03</v>
      </c>
      <c r="K96" s="83">
        <f>VLOOKUP($B96,Rentroll!$C$37:$Z$60,4,FALSE)</f>
        <v>1385.09</v>
      </c>
      <c r="L96" s="81">
        <f>VLOOKUP($B96,Rentroll!$C$37:$Z$60,17,FALSE)</f>
        <v>1</v>
      </c>
      <c r="M96" s="84">
        <f>VLOOKUP($B96,Rentroll!$C$37:$Z$60,18,FALSE)</f>
        <v>1</v>
      </c>
      <c r="O96" s="74">
        <f t="shared" si="219"/>
        <v>8</v>
      </c>
      <c r="P96" s="75"/>
      <c r="Q96" s="75">
        <f t="shared" si="215"/>
        <v>699.47717767473011</v>
      </c>
      <c r="R96" s="75"/>
      <c r="S96" s="75">
        <f>$I96*$K96*py*Index!R48*Index!R189/unit</f>
        <v>0</v>
      </c>
      <c r="T96" s="75">
        <f>$I96*$K96*py*Index!S48*Index!S189/unit</f>
        <v>0</v>
      </c>
      <c r="U96" s="75">
        <f>$I96*$K96*py*Index!T48*Index!T189/unit</f>
        <v>0</v>
      </c>
      <c r="V96" s="75">
        <f>$I96*$K96*py*Index!U48*Index!U189/unit</f>
        <v>0</v>
      </c>
      <c r="W96" s="75">
        <f>$I96*$K96*py*Index!V48*Index!V189/unit</f>
        <v>0</v>
      </c>
      <c r="X96" s="75">
        <f>$I96*$K96*py*Index!W48*Index!W189/unit</f>
        <v>0</v>
      </c>
      <c r="Y96" s="75">
        <f>$I96*$K96*py*Index!X48*Index!X189/unit</f>
        <v>0</v>
      </c>
      <c r="Z96" s="75">
        <f>$I96*$K96*py*Index!Y48*Index!Y189/unit</f>
        <v>0</v>
      </c>
      <c r="AA96" s="75">
        <f>$I96*$K96*py*Index!Z48*Index!Z189/unit</f>
        <v>0</v>
      </c>
      <c r="AB96" s="75">
        <f>$I96*$K96*py*Index!AA48*Index!AA189/unit</f>
        <v>0</v>
      </c>
      <c r="AC96" s="75">
        <f>$I96*$K96*py*Index!AB48*Index!AB189/unit</f>
        <v>0</v>
      </c>
      <c r="AD96" s="75">
        <f>$I96*$K96*py*Index!AC48*Index!AC189/unit</f>
        <v>0</v>
      </c>
      <c r="AE96" s="75">
        <f>$I96*$K96*py*Index!AD48*Index!AD189/unit</f>
        <v>0</v>
      </c>
      <c r="AF96" s="75">
        <f>$I96*$K96*py*Index!AE48*Index!AE189/unit</f>
        <v>0</v>
      </c>
      <c r="AG96" s="75">
        <f>$I96*$K96*py*Index!AF48*Index!AF189/unit</f>
        <v>0</v>
      </c>
      <c r="AH96" s="75">
        <f>$I96*$K96*py*Index!AG48*Index!AG189/unit</f>
        <v>0</v>
      </c>
      <c r="AI96" s="75">
        <f>$I96*$K96*py*Index!AH48*Index!AH189/unit</f>
        <v>0</v>
      </c>
      <c r="AJ96" s="75">
        <f>$I96*$K96*py*Index!AI48*Index!AI189/unit</f>
        <v>0</v>
      </c>
      <c r="AK96" s="75">
        <f>$I96*$K96*py*Index!AJ48*Index!AJ189/unit</f>
        <v>0</v>
      </c>
      <c r="AL96" s="75">
        <f>$I96*$K96*py*Index!AK48*Index!AK189/unit</f>
        <v>0</v>
      </c>
      <c r="AM96" s="75">
        <f>$I96*$K96*py*Index!AL48*Index!AL189/unit</f>
        <v>0</v>
      </c>
      <c r="AN96" s="75">
        <f>$I96*$K96*py*Index!AM48*Index!AM189/unit</f>
        <v>0</v>
      </c>
      <c r="AO96" s="75">
        <f>$I96*$K96*py*Index!AN48*Index!AN189/unit</f>
        <v>0</v>
      </c>
      <c r="AP96" s="75">
        <f>$I96*$K96*py*Index!AO48*Index!AO189/unit</f>
        <v>0</v>
      </c>
      <c r="AQ96" s="75">
        <f>$I96*$K96*py*Index!AP48*Index!AP189/unit</f>
        <v>0</v>
      </c>
      <c r="AR96" s="75">
        <f>$I96*$K96*py*Index!AQ48*Index!AQ189/unit</f>
        <v>0</v>
      </c>
      <c r="AS96" s="75">
        <f>$I96*$K96*py*Index!AR48*Index!AR189/unit</f>
        <v>0</v>
      </c>
      <c r="AT96" s="75">
        <f>$I96*$K96*py*Index!AS48*Index!AS189/unit</f>
        <v>20.002778966362499</v>
      </c>
      <c r="AU96" s="75">
        <f>$I96*$K96*py*Index!AT48*Index!AT189/unit</f>
        <v>20.002778966362499</v>
      </c>
      <c r="AV96" s="75">
        <f>$I96*$K96*py*Index!AU48*Index!AU189/unit</f>
        <v>20.002778966362499</v>
      </c>
      <c r="AW96" s="75">
        <f>$I96*$K96*py*Index!AV48*Index!AV189/unit</f>
        <v>20.002778966362499</v>
      </c>
      <c r="AX96" s="75">
        <f>$I96*$K96*py*Index!AW48*Index!AW189/unit</f>
        <v>20.002778966362499</v>
      </c>
      <c r="AY96" s="75">
        <f>$I96*$K96*py*Index!AX48*Index!AX189/unit</f>
        <v>20.002778966362499</v>
      </c>
      <c r="AZ96" s="75">
        <f>$I96*$K96*py*Index!AY48*Index!AY189/unit</f>
        <v>20.002778966362499</v>
      </c>
      <c r="BA96" s="75">
        <f>$I96*$K96*py*Index!AZ48*Index!AZ189/unit</f>
        <v>20.002778966362499</v>
      </c>
      <c r="BB96" s="75">
        <f>$I96*$K96*py*Index!BA48*Index!BA189/unit</f>
        <v>20.002778966362499</v>
      </c>
      <c r="BC96" s="75">
        <f>$I96*$K96*py*Index!BB48*Index!BB189/unit</f>
        <v>20.002778966362499</v>
      </c>
      <c r="BD96" s="75">
        <f>$I96*$K96*py*Index!BC48*Index!BC189/unit</f>
        <v>20.002778966362499</v>
      </c>
      <c r="BE96" s="75">
        <f>$I96*$K96*py*Index!BD48*Index!BD189/unit</f>
        <v>20.002778966362499</v>
      </c>
      <c r="BF96" s="75">
        <f>$I96*$K96*py*Index!BE48*Index!BE189/unit</f>
        <v>20.602862335353375</v>
      </c>
      <c r="BG96" s="75">
        <f>$I96*$K96*py*Index!BF48*Index!BF189/unit</f>
        <v>20.602862335353375</v>
      </c>
      <c r="BH96" s="75">
        <f>$I96*$K96*py*Index!BG48*Index!BG189/unit</f>
        <v>20.602862335353375</v>
      </c>
      <c r="BI96" s="75">
        <f>$I96*$K96*py*Index!BH48*Index!BH189/unit</f>
        <v>20.602862335353375</v>
      </c>
      <c r="BJ96" s="75">
        <f>$I96*$K96*py*Index!BI48*Index!BI189/unit</f>
        <v>20.602862335353375</v>
      </c>
      <c r="BK96" s="75">
        <f>$I96*$K96*py*Index!BJ48*Index!BJ189/unit</f>
        <v>20.602862335353375</v>
      </c>
      <c r="BL96" s="75">
        <f>$I96*$K96*py*Index!BK48*Index!BK189/unit</f>
        <v>20.602862335353375</v>
      </c>
      <c r="BM96" s="75">
        <f>$I96*$K96*py*Index!BL48*Index!BL189/unit</f>
        <v>20.602862335353375</v>
      </c>
      <c r="BN96" s="75">
        <f>$I96*$K96*py*Index!BM48*Index!BM189/unit</f>
        <v>20.602862335353375</v>
      </c>
      <c r="BO96" s="75">
        <f>$I96*$K96*py*Index!BN48*Index!BN189/unit</f>
        <v>20.602862335353375</v>
      </c>
      <c r="BP96" s="75">
        <f>$I96*$K96*py*Index!BO48*Index!BO189/unit</f>
        <v>20.602862335353375</v>
      </c>
      <c r="BQ96" s="75">
        <f>$I96*$K96*py*Index!BP48*Index!BP189/unit</f>
        <v>20.602862335353375</v>
      </c>
      <c r="BR96" s="75">
        <f>$I96*$K96*py*Index!BQ48*Index!BQ189/unit</f>
        <v>21.220948205413976</v>
      </c>
      <c r="BS96" s="75">
        <f>$I96*$K96*py*Index!BR48*Index!BR189/unit</f>
        <v>21.220948205413976</v>
      </c>
      <c r="BT96" s="75">
        <f>$I96*$K96*py*Index!BS48*Index!BS189/unit</f>
        <v>21.220948205413976</v>
      </c>
      <c r="BU96" s="75">
        <f>$I96*$K96*py*Index!BT48*Index!BT189/unit</f>
        <v>21.220948205413976</v>
      </c>
      <c r="BV96" s="75">
        <f>$I96*$K96*py*Index!BU48*Index!BU189/unit</f>
        <v>21.220948205413976</v>
      </c>
      <c r="BW96" s="75">
        <f>$I96*$K96*py*Index!BV48*Index!BV189/unit</f>
        <v>21.220948205413976</v>
      </c>
      <c r="BX96" s="75">
        <f>$I96*$K96*py*Index!BW48*Index!BW189/unit</f>
        <v>21.220948205413976</v>
      </c>
      <c r="BY96" s="75">
        <f>$I96*$K96*py*Index!BX48*Index!BX189/unit</f>
        <v>21.220948205413976</v>
      </c>
      <c r="BZ96" s="75">
        <f>$I96*$K96*py*Index!BY48*Index!BY189/unit</f>
        <v>21.220948205413976</v>
      </c>
      <c r="CA96" s="75">
        <f>$I96*$K96*py*Index!BZ48*Index!BZ189/unit</f>
        <v>21.220948205413976</v>
      </c>
      <c r="CB96" s="75">
        <f>$I96*$K96*py*Index!CA48*Index!CA189/unit</f>
        <v>0</v>
      </c>
      <c r="CC96" s="75">
        <f>$I96*$K96*py*Index!CB48*Index!CB189/unit</f>
        <v>0</v>
      </c>
      <c r="CD96" s="75">
        <f>$I96*$K96*py*Index!CC48*Index!CC189/unit</f>
        <v>0</v>
      </c>
      <c r="CE96" s="75">
        <f>$I96*$K96*py*Index!CD48*Index!CD189/unit</f>
        <v>0</v>
      </c>
      <c r="CF96" s="75">
        <f>$I96*$K96*py*Index!CE48*Index!CE189/unit</f>
        <v>0</v>
      </c>
      <c r="CG96" s="75">
        <f>$I96*$K96*py*Index!CF48*Index!CF189/unit</f>
        <v>0</v>
      </c>
      <c r="CH96" s="75">
        <f>$I96*$K96*py*Index!CG48*Index!CG189/unit</f>
        <v>0</v>
      </c>
      <c r="CI96" s="75">
        <f>$I96*$K96*py*Index!CH48*Index!CH189/unit</f>
        <v>0</v>
      </c>
      <c r="CJ96" s="75">
        <f>$I96*$K96*py*Index!CI48*Index!CI189/unit</f>
        <v>0</v>
      </c>
      <c r="CK96" s="75">
        <f>$I96*$K96*py*Index!CJ48*Index!CJ189/unit</f>
        <v>0</v>
      </c>
      <c r="CL96" s="75">
        <f>$I96*$K96*py*Index!CK48*Index!CK189/unit</f>
        <v>0</v>
      </c>
      <c r="CM96" s="75">
        <f>$I96*$K96*py*Index!CL48*Index!CL189/unit</f>
        <v>0</v>
      </c>
      <c r="CN96" s="75">
        <f>$I96*$K96*py*Index!CM48*Index!CM189/unit</f>
        <v>0</v>
      </c>
      <c r="CO96" s="75">
        <f>$I96*$K96*py*Index!CN48*Index!CN189/unit</f>
        <v>0</v>
      </c>
      <c r="CP96" s="75">
        <f>$I96*$K96*py*Index!CO48*Index!CO189/unit</f>
        <v>0</v>
      </c>
      <c r="CQ96" s="75">
        <f>$I96*$K96*py*Index!CP48*Index!CP189/unit</f>
        <v>0</v>
      </c>
      <c r="CR96" s="75">
        <f>$I96*$K96*py*Index!CQ48*Index!CQ189/unit</f>
        <v>0</v>
      </c>
      <c r="CS96" s="75">
        <f>$I96*$K96*py*Index!CR48*Index!CR189/unit</f>
        <v>0</v>
      </c>
      <c r="CT96" s="75">
        <f>$I96*$K96*py*Index!CS48*Index!CS189/unit</f>
        <v>0</v>
      </c>
      <c r="CU96" s="75">
        <f>$I96*$K96*py*Index!CT48*Index!CT189/unit</f>
        <v>0</v>
      </c>
      <c r="CV96" s="75">
        <f>$I96*$K96*py*Index!CU48*Index!CU189/unit</f>
        <v>0</v>
      </c>
      <c r="CW96" s="75">
        <f>$I96*$K96*py*Index!CV48*Index!CV189/unit</f>
        <v>0</v>
      </c>
      <c r="CX96" s="75">
        <f>$I96*$K96*py*Index!CW48*Index!CW189/unit</f>
        <v>0</v>
      </c>
      <c r="CY96" s="75">
        <f>$I96*$K96*py*Index!CX48*Index!CX189/unit</f>
        <v>0</v>
      </c>
      <c r="CZ96" s="75">
        <f>$I96*$K96*py*Index!CY48*Index!CY189/unit</f>
        <v>0</v>
      </c>
      <c r="DA96" s="75">
        <f>$I96*$K96*py*Index!CZ48*Index!CZ189/unit</f>
        <v>0</v>
      </c>
      <c r="DB96" s="75">
        <f>$I96*$K96*py*Index!DA48*Index!DA189/unit</f>
        <v>0</v>
      </c>
      <c r="DC96" s="75">
        <f>$I96*$K96*py*Index!DB48*Index!DB189/unit</f>
        <v>0</v>
      </c>
      <c r="DD96" s="75">
        <f>$I96*$K96*py*Index!DC48*Index!DC189/unit</f>
        <v>0</v>
      </c>
      <c r="DE96" s="75">
        <f>$I96*$K96*py*Index!DD48*Index!DD189/unit</f>
        <v>0</v>
      </c>
      <c r="DF96" s="75">
        <f>$I96*$K96*py*Index!DE48*Index!DE189/unit</f>
        <v>0</v>
      </c>
      <c r="DG96" s="75">
        <f>$I96*$K96*py*Index!DF48*Index!DF189/unit</f>
        <v>0</v>
      </c>
      <c r="DH96" s="75">
        <f>$I96*$K96*py*Index!DG48*Index!DG189/unit</f>
        <v>0</v>
      </c>
      <c r="DI96" s="75">
        <f>$I96*$K96*py*Index!DH48*Index!DH189/unit</f>
        <v>0</v>
      </c>
      <c r="DJ96" s="75">
        <f>$I96*$K96*py*Index!DI48*Index!DI189/unit</f>
        <v>0</v>
      </c>
      <c r="DK96" s="75">
        <f>$I96*$K96*py*Index!DJ48*Index!DJ189/unit</f>
        <v>0</v>
      </c>
      <c r="DL96" s="75">
        <f>$I96*$K96*py*Index!DK48*Index!DK189/unit</f>
        <v>0</v>
      </c>
      <c r="DM96" s="75">
        <f>$I96*$K96*py*Index!DL48*Index!DL189/unit</f>
        <v>0</v>
      </c>
    </row>
    <row r="97" spans="2:117">
      <c r="B97" s="27">
        <f>Rentroll!$C$47</f>
        <v>7</v>
      </c>
      <c r="C97" s="69" t="str">
        <f>VLOOKUP($B97,Rentroll!$C$37:$Z$60,3,FALSE)</f>
        <v>오케스트로</v>
      </c>
      <c r="D97" s="80">
        <f>VLOOKUP($B97,Rentroll!$C$37:$Z$60,9,FALSE)</f>
        <v>46477</v>
      </c>
      <c r="E97" s="80">
        <f>VLOOKUP($B97,Rentroll!$C$37:$Z$60,10,FALSE)</f>
        <v>48304</v>
      </c>
      <c r="F97" s="81">
        <f>VLOOKUP($B97,Rentroll!$C$37:$Z$60,11,FALSE)</f>
        <v>60</v>
      </c>
      <c r="G97" s="69">
        <f>VLOOKUP($B97,Rentroll!$C$37:$Z$60,13,FALSE)</f>
        <v>109272.7</v>
      </c>
      <c r="H97" s="69">
        <f>VLOOKUP($B97,Rentroll!$C$37:$Z$60,14,FALSE)</f>
        <v>100166.64166666666</v>
      </c>
      <c r="I97" s="69">
        <f>VLOOKUP($B97,Rentroll!$C$37:$Z$60,15,FALSE)</f>
        <v>47740.5</v>
      </c>
      <c r="J97" s="82">
        <f>VLOOKUP($B97,Rentroll!$C$37:$Z$60,19,FALSE)</f>
        <v>0.03</v>
      </c>
      <c r="K97" s="83">
        <f>VLOOKUP($B97,Rentroll!$C$37:$Z$60,4,FALSE)</f>
        <v>1385.09</v>
      </c>
      <c r="L97" s="81">
        <f>VLOOKUP($B97,Rentroll!$C$37:$Z$60,17,FALSE)</f>
        <v>1</v>
      </c>
      <c r="M97" s="84">
        <f>VLOOKUP($B97,Rentroll!$C$37:$Z$60,18,FALSE)</f>
        <v>1</v>
      </c>
      <c r="O97" s="74">
        <f t="shared" si="219"/>
        <v>7</v>
      </c>
      <c r="P97" s="75"/>
      <c r="Q97" s="75">
        <f t="shared" si="215"/>
        <v>699.47717767473011</v>
      </c>
      <c r="R97" s="75"/>
      <c r="S97" s="75">
        <f>$I97*$K97*py*Index!R49*Index!R190/unit</f>
        <v>0</v>
      </c>
      <c r="T97" s="75">
        <f>$I97*$K97*py*Index!S49*Index!S190/unit</f>
        <v>0</v>
      </c>
      <c r="U97" s="75">
        <f>$I97*$K97*py*Index!T49*Index!T190/unit</f>
        <v>0</v>
      </c>
      <c r="V97" s="75">
        <f>$I97*$K97*py*Index!U49*Index!U190/unit</f>
        <v>0</v>
      </c>
      <c r="W97" s="75">
        <f>$I97*$K97*py*Index!V49*Index!V190/unit</f>
        <v>0</v>
      </c>
      <c r="X97" s="75">
        <f>$I97*$K97*py*Index!W49*Index!W190/unit</f>
        <v>0</v>
      </c>
      <c r="Y97" s="75">
        <f>$I97*$K97*py*Index!X49*Index!X190/unit</f>
        <v>0</v>
      </c>
      <c r="Z97" s="75">
        <f>$I97*$K97*py*Index!Y49*Index!Y190/unit</f>
        <v>0</v>
      </c>
      <c r="AA97" s="75">
        <f>$I97*$K97*py*Index!Z49*Index!Z190/unit</f>
        <v>0</v>
      </c>
      <c r="AB97" s="75">
        <f>$I97*$K97*py*Index!AA49*Index!AA190/unit</f>
        <v>0</v>
      </c>
      <c r="AC97" s="75">
        <f>$I97*$K97*py*Index!AB49*Index!AB190/unit</f>
        <v>0</v>
      </c>
      <c r="AD97" s="75">
        <f>$I97*$K97*py*Index!AC49*Index!AC190/unit</f>
        <v>0</v>
      </c>
      <c r="AE97" s="75">
        <f>$I97*$K97*py*Index!AD49*Index!AD190/unit</f>
        <v>0</v>
      </c>
      <c r="AF97" s="75">
        <f>$I97*$K97*py*Index!AE49*Index!AE190/unit</f>
        <v>0</v>
      </c>
      <c r="AG97" s="75">
        <f>$I97*$K97*py*Index!AF49*Index!AF190/unit</f>
        <v>0</v>
      </c>
      <c r="AH97" s="75">
        <f>$I97*$K97*py*Index!AG49*Index!AG190/unit</f>
        <v>0</v>
      </c>
      <c r="AI97" s="75">
        <f>$I97*$K97*py*Index!AH49*Index!AH190/unit</f>
        <v>0</v>
      </c>
      <c r="AJ97" s="75">
        <f>$I97*$K97*py*Index!AI49*Index!AI190/unit</f>
        <v>0</v>
      </c>
      <c r="AK97" s="75">
        <f>$I97*$K97*py*Index!AJ49*Index!AJ190/unit</f>
        <v>0</v>
      </c>
      <c r="AL97" s="75">
        <f>$I97*$K97*py*Index!AK49*Index!AK190/unit</f>
        <v>0</v>
      </c>
      <c r="AM97" s="75">
        <f>$I97*$K97*py*Index!AL49*Index!AL190/unit</f>
        <v>0</v>
      </c>
      <c r="AN97" s="75">
        <f>$I97*$K97*py*Index!AM49*Index!AM190/unit</f>
        <v>0</v>
      </c>
      <c r="AO97" s="75">
        <f>$I97*$K97*py*Index!AN49*Index!AN190/unit</f>
        <v>0</v>
      </c>
      <c r="AP97" s="75">
        <f>$I97*$K97*py*Index!AO49*Index!AO190/unit</f>
        <v>0</v>
      </c>
      <c r="AQ97" s="75">
        <f>$I97*$K97*py*Index!AP49*Index!AP190/unit</f>
        <v>0</v>
      </c>
      <c r="AR97" s="75">
        <f>$I97*$K97*py*Index!AQ49*Index!AQ190/unit</f>
        <v>0</v>
      </c>
      <c r="AS97" s="75">
        <f>$I97*$K97*py*Index!AR49*Index!AR190/unit</f>
        <v>0</v>
      </c>
      <c r="AT97" s="75">
        <f>$I97*$K97*py*Index!AS49*Index!AS190/unit</f>
        <v>20.002778966362499</v>
      </c>
      <c r="AU97" s="75">
        <f>$I97*$K97*py*Index!AT49*Index!AT190/unit</f>
        <v>20.002778966362499</v>
      </c>
      <c r="AV97" s="75">
        <f>$I97*$K97*py*Index!AU49*Index!AU190/unit</f>
        <v>20.002778966362499</v>
      </c>
      <c r="AW97" s="75">
        <f>$I97*$K97*py*Index!AV49*Index!AV190/unit</f>
        <v>20.002778966362499</v>
      </c>
      <c r="AX97" s="75">
        <f>$I97*$K97*py*Index!AW49*Index!AW190/unit</f>
        <v>20.002778966362499</v>
      </c>
      <c r="AY97" s="75">
        <f>$I97*$K97*py*Index!AX49*Index!AX190/unit</f>
        <v>20.002778966362499</v>
      </c>
      <c r="AZ97" s="75">
        <f>$I97*$K97*py*Index!AY49*Index!AY190/unit</f>
        <v>20.002778966362499</v>
      </c>
      <c r="BA97" s="75">
        <f>$I97*$K97*py*Index!AZ49*Index!AZ190/unit</f>
        <v>20.002778966362499</v>
      </c>
      <c r="BB97" s="75">
        <f>$I97*$K97*py*Index!BA49*Index!BA190/unit</f>
        <v>20.002778966362499</v>
      </c>
      <c r="BC97" s="75">
        <f>$I97*$K97*py*Index!BB49*Index!BB190/unit</f>
        <v>20.002778966362499</v>
      </c>
      <c r="BD97" s="75">
        <f>$I97*$K97*py*Index!BC49*Index!BC190/unit</f>
        <v>20.002778966362499</v>
      </c>
      <c r="BE97" s="75">
        <f>$I97*$K97*py*Index!BD49*Index!BD190/unit</f>
        <v>20.002778966362499</v>
      </c>
      <c r="BF97" s="75">
        <f>$I97*$K97*py*Index!BE49*Index!BE190/unit</f>
        <v>20.602862335353375</v>
      </c>
      <c r="BG97" s="75">
        <f>$I97*$K97*py*Index!BF49*Index!BF190/unit</f>
        <v>20.602862335353375</v>
      </c>
      <c r="BH97" s="75">
        <f>$I97*$K97*py*Index!BG49*Index!BG190/unit</f>
        <v>20.602862335353375</v>
      </c>
      <c r="BI97" s="75">
        <f>$I97*$K97*py*Index!BH49*Index!BH190/unit</f>
        <v>20.602862335353375</v>
      </c>
      <c r="BJ97" s="75">
        <f>$I97*$K97*py*Index!BI49*Index!BI190/unit</f>
        <v>20.602862335353375</v>
      </c>
      <c r="BK97" s="75">
        <f>$I97*$K97*py*Index!BJ49*Index!BJ190/unit</f>
        <v>20.602862335353375</v>
      </c>
      <c r="BL97" s="75">
        <f>$I97*$K97*py*Index!BK49*Index!BK190/unit</f>
        <v>20.602862335353375</v>
      </c>
      <c r="BM97" s="75">
        <f>$I97*$K97*py*Index!BL49*Index!BL190/unit</f>
        <v>20.602862335353375</v>
      </c>
      <c r="BN97" s="75">
        <f>$I97*$K97*py*Index!BM49*Index!BM190/unit</f>
        <v>20.602862335353375</v>
      </c>
      <c r="BO97" s="75">
        <f>$I97*$K97*py*Index!BN49*Index!BN190/unit</f>
        <v>20.602862335353375</v>
      </c>
      <c r="BP97" s="75">
        <f>$I97*$K97*py*Index!BO49*Index!BO190/unit</f>
        <v>20.602862335353375</v>
      </c>
      <c r="BQ97" s="75">
        <f>$I97*$K97*py*Index!BP49*Index!BP190/unit</f>
        <v>20.602862335353375</v>
      </c>
      <c r="BR97" s="75">
        <f>$I97*$K97*py*Index!BQ49*Index!BQ190/unit</f>
        <v>21.220948205413976</v>
      </c>
      <c r="BS97" s="75">
        <f>$I97*$K97*py*Index!BR49*Index!BR190/unit</f>
        <v>21.220948205413976</v>
      </c>
      <c r="BT97" s="75">
        <f>$I97*$K97*py*Index!BS49*Index!BS190/unit</f>
        <v>21.220948205413976</v>
      </c>
      <c r="BU97" s="75">
        <f>$I97*$K97*py*Index!BT49*Index!BT190/unit</f>
        <v>21.220948205413976</v>
      </c>
      <c r="BV97" s="75">
        <f>$I97*$K97*py*Index!BU49*Index!BU190/unit</f>
        <v>21.220948205413976</v>
      </c>
      <c r="BW97" s="75">
        <f>$I97*$K97*py*Index!BV49*Index!BV190/unit</f>
        <v>21.220948205413976</v>
      </c>
      <c r="BX97" s="75">
        <f>$I97*$K97*py*Index!BW49*Index!BW190/unit</f>
        <v>21.220948205413976</v>
      </c>
      <c r="BY97" s="75">
        <f>$I97*$K97*py*Index!BX49*Index!BX190/unit</f>
        <v>21.220948205413976</v>
      </c>
      <c r="BZ97" s="75">
        <f>$I97*$K97*py*Index!BY49*Index!BY190/unit</f>
        <v>21.220948205413976</v>
      </c>
      <c r="CA97" s="75">
        <f>$I97*$K97*py*Index!BZ49*Index!BZ190/unit</f>
        <v>21.220948205413976</v>
      </c>
      <c r="CB97" s="75">
        <f>$I97*$K97*py*Index!CA49*Index!CA190/unit</f>
        <v>0</v>
      </c>
      <c r="CC97" s="75">
        <f>$I97*$K97*py*Index!CB49*Index!CB190/unit</f>
        <v>0</v>
      </c>
      <c r="CD97" s="75">
        <f>$I97*$K97*py*Index!CC49*Index!CC190/unit</f>
        <v>0</v>
      </c>
      <c r="CE97" s="75">
        <f>$I97*$K97*py*Index!CD49*Index!CD190/unit</f>
        <v>0</v>
      </c>
      <c r="CF97" s="75">
        <f>$I97*$K97*py*Index!CE49*Index!CE190/unit</f>
        <v>0</v>
      </c>
      <c r="CG97" s="75">
        <f>$I97*$K97*py*Index!CF49*Index!CF190/unit</f>
        <v>0</v>
      </c>
      <c r="CH97" s="75">
        <f>$I97*$K97*py*Index!CG49*Index!CG190/unit</f>
        <v>0</v>
      </c>
      <c r="CI97" s="75">
        <f>$I97*$K97*py*Index!CH49*Index!CH190/unit</f>
        <v>0</v>
      </c>
      <c r="CJ97" s="75">
        <f>$I97*$K97*py*Index!CI49*Index!CI190/unit</f>
        <v>0</v>
      </c>
      <c r="CK97" s="75">
        <f>$I97*$K97*py*Index!CJ49*Index!CJ190/unit</f>
        <v>0</v>
      </c>
      <c r="CL97" s="75">
        <f>$I97*$K97*py*Index!CK49*Index!CK190/unit</f>
        <v>0</v>
      </c>
      <c r="CM97" s="75">
        <f>$I97*$K97*py*Index!CL49*Index!CL190/unit</f>
        <v>0</v>
      </c>
      <c r="CN97" s="75">
        <f>$I97*$K97*py*Index!CM49*Index!CM190/unit</f>
        <v>0</v>
      </c>
      <c r="CO97" s="75">
        <f>$I97*$K97*py*Index!CN49*Index!CN190/unit</f>
        <v>0</v>
      </c>
      <c r="CP97" s="75">
        <f>$I97*$K97*py*Index!CO49*Index!CO190/unit</f>
        <v>0</v>
      </c>
      <c r="CQ97" s="75">
        <f>$I97*$K97*py*Index!CP49*Index!CP190/unit</f>
        <v>0</v>
      </c>
      <c r="CR97" s="75">
        <f>$I97*$K97*py*Index!CQ49*Index!CQ190/unit</f>
        <v>0</v>
      </c>
      <c r="CS97" s="75">
        <f>$I97*$K97*py*Index!CR49*Index!CR190/unit</f>
        <v>0</v>
      </c>
      <c r="CT97" s="75">
        <f>$I97*$K97*py*Index!CS49*Index!CS190/unit</f>
        <v>0</v>
      </c>
      <c r="CU97" s="75">
        <f>$I97*$K97*py*Index!CT49*Index!CT190/unit</f>
        <v>0</v>
      </c>
      <c r="CV97" s="75">
        <f>$I97*$K97*py*Index!CU49*Index!CU190/unit</f>
        <v>0</v>
      </c>
      <c r="CW97" s="75">
        <f>$I97*$K97*py*Index!CV49*Index!CV190/unit</f>
        <v>0</v>
      </c>
      <c r="CX97" s="75">
        <f>$I97*$K97*py*Index!CW49*Index!CW190/unit</f>
        <v>0</v>
      </c>
      <c r="CY97" s="75">
        <f>$I97*$K97*py*Index!CX49*Index!CX190/unit</f>
        <v>0</v>
      </c>
      <c r="CZ97" s="75">
        <f>$I97*$K97*py*Index!CY49*Index!CY190/unit</f>
        <v>0</v>
      </c>
      <c r="DA97" s="75">
        <f>$I97*$K97*py*Index!CZ49*Index!CZ190/unit</f>
        <v>0</v>
      </c>
      <c r="DB97" s="75">
        <f>$I97*$K97*py*Index!DA49*Index!DA190/unit</f>
        <v>0</v>
      </c>
      <c r="DC97" s="75">
        <f>$I97*$K97*py*Index!DB49*Index!DB190/unit</f>
        <v>0</v>
      </c>
      <c r="DD97" s="75">
        <f>$I97*$K97*py*Index!DC49*Index!DC190/unit</f>
        <v>0</v>
      </c>
      <c r="DE97" s="75">
        <f>$I97*$K97*py*Index!DD49*Index!DD190/unit</f>
        <v>0</v>
      </c>
      <c r="DF97" s="75">
        <f>$I97*$K97*py*Index!DE49*Index!DE190/unit</f>
        <v>0</v>
      </c>
      <c r="DG97" s="75">
        <f>$I97*$K97*py*Index!DF49*Index!DF190/unit</f>
        <v>0</v>
      </c>
      <c r="DH97" s="75">
        <f>$I97*$K97*py*Index!DG49*Index!DG190/unit</f>
        <v>0</v>
      </c>
      <c r="DI97" s="75">
        <f>$I97*$K97*py*Index!DH49*Index!DH190/unit</f>
        <v>0</v>
      </c>
      <c r="DJ97" s="75">
        <f>$I97*$K97*py*Index!DI49*Index!DI190/unit</f>
        <v>0</v>
      </c>
      <c r="DK97" s="75">
        <f>$I97*$K97*py*Index!DJ49*Index!DJ190/unit</f>
        <v>0</v>
      </c>
      <c r="DL97" s="75">
        <f>$I97*$K97*py*Index!DK49*Index!DK190/unit</f>
        <v>0</v>
      </c>
      <c r="DM97" s="75">
        <f>$I97*$K97*py*Index!DL49*Index!DL190/unit</f>
        <v>0</v>
      </c>
    </row>
    <row r="98" spans="2:117">
      <c r="B98" s="27">
        <f>Rentroll!$C$48</f>
        <v>6</v>
      </c>
      <c r="C98" s="69" t="str">
        <f>VLOOKUP($B98,Rentroll!$C$37:$Z$60,3,FALSE)</f>
        <v>오케스트로</v>
      </c>
      <c r="D98" s="80">
        <f>VLOOKUP($B98,Rentroll!$C$37:$Z$60,9,FALSE)</f>
        <v>46477</v>
      </c>
      <c r="E98" s="80">
        <f>VLOOKUP($B98,Rentroll!$C$37:$Z$60,10,FALSE)</f>
        <v>48304</v>
      </c>
      <c r="F98" s="81">
        <f>VLOOKUP($B98,Rentroll!$C$37:$Z$60,11,FALSE)</f>
        <v>60</v>
      </c>
      <c r="G98" s="69">
        <f>VLOOKUP($B98,Rentroll!$C$37:$Z$60,13,FALSE)</f>
        <v>109272.7</v>
      </c>
      <c r="H98" s="69">
        <f>VLOOKUP($B98,Rentroll!$C$37:$Z$60,14,FALSE)</f>
        <v>100166.64166666666</v>
      </c>
      <c r="I98" s="69">
        <f>VLOOKUP($B98,Rentroll!$C$37:$Z$60,15,FALSE)</f>
        <v>47740.5</v>
      </c>
      <c r="J98" s="82">
        <f>VLOOKUP($B98,Rentroll!$C$37:$Z$60,19,FALSE)</f>
        <v>0.03</v>
      </c>
      <c r="K98" s="83">
        <f>VLOOKUP($B98,Rentroll!$C$37:$Z$60,4,FALSE)</f>
        <v>1385.09</v>
      </c>
      <c r="L98" s="81">
        <f>VLOOKUP($B98,Rentroll!$C$37:$Z$60,17,FALSE)</f>
        <v>1</v>
      </c>
      <c r="M98" s="84">
        <f>VLOOKUP($B98,Rentroll!$C$37:$Z$60,18,FALSE)</f>
        <v>1</v>
      </c>
      <c r="O98" s="74">
        <f t="shared" si="219"/>
        <v>6</v>
      </c>
      <c r="P98" s="75"/>
      <c r="Q98" s="75">
        <f t="shared" si="215"/>
        <v>699.47717767473011</v>
      </c>
      <c r="R98" s="75"/>
      <c r="S98" s="75">
        <f>$I98*$K98*py*Index!R50*Index!R191/unit</f>
        <v>0</v>
      </c>
      <c r="T98" s="75">
        <f>$I98*$K98*py*Index!S50*Index!S191/unit</f>
        <v>0</v>
      </c>
      <c r="U98" s="75">
        <f>$I98*$K98*py*Index!T50*Index!T191/unit</f>
        <v>0</v>
      </c>
      <c r="V98" s="75">
        <f>$I98*$K98*py*Index!U50*Index!U191/unit</f>
        <v>0</v>
      </c>
      <c r="W98" s="75">
        <f>$I98*$K98*py*Index!V50*Index!V191/unit</f>
        <v>0</v>
      </c>
      <c r="X98" s="75">
        <f>$I98*$K98*py*Index!W50*Index!W191/unit</f>
        <v>0</v>
      </c>
      <c r="Y98" s="75">
        <f>$I98*$K98*py*Index!X50*Index!X191/unit</f>
        <v>0</v>
      </c>
      <c r="Z98" s="75">
        <f>$I98*$K98*py*Index!Y50*Index!Y191/unit</f>
        <v>0</v>
      </c>
      <c r="AA98" s="75">
        <f>$I98*$K98*py*Index!Z50*Index!Z191/unit</f>
        <v>0</v>
      </c>
      <c r="AB98" s="75">
        <f>$I98*$K98*py*Index!AA50*Index!AA191/unit</f>
        <v>0</v>
      </c>
      <c r="AC98" s="75">
        <f>$I98*$K98*py*Index!AB50*Index!AB191/unit</f>
        <v>0</v>
      </c>
      <c r="AD98" s="75">
        <f>$I98*$K98*py*Index!AC50*Index!AC191/unit</f>
        <v>0</v>
      </c>
      <c r="AE98" s="75">
        <f>$I98*$K98*py*Index!AD50*Index!AD191/unit</f>
        <v>0</v>
      </c>
      <c r="AF98" s="75">
        <f>$I98*$K98*py*Index!AE50*Index!AE191/unit</f>
        <v>0</v>
      </c>
      <c r="AG98" s="75">
        <f>$I98*$K98*py*Index!AF50*Index!AF191/unit</f>
        <v>0</v>
      </c>
      <c r="AH98" s="75">
        <f>$I98*$K98*py*Index!AG50*Index!AG191/unit</f>
        <v>0</v>
      </c>
      <c r="AI98" s="75">
        <f>$I98*$K98*py*Index!AH50*Index!AH191/unit</f>
        <v>0</v>
      </c>
      <c r="AJ98" s="75">
        <f>$I98*$K98*py*Index!AI50*Index!AI191/unit</f>
        <v>0</v>
      </c>
      <c r="AK98" s="75">
        <f>$I98*$K98*py*Index!AJ50*Index!AJ191/unit</f>
        <v>0</v>
      </c>
      <c r="AL98" s="75">
        <f>$I98*$K98*py*Index!AK50*Index!AK191/unit</f>
        <v>0</v>
      </c>
      <c r="AM98" s="75">
        <f>$I98*$K98*py*Index!AL50*Index!AL191/unit</f>
        <v>0</v>
      </c>
      <c r="AN98" s="75">
        <f>$I98*$K98*py*Index!AM50*Index!AM191/unit</f>
        <v>0</v>
      </c>
      <c r="AO98" s="75">
        <f>$I98*$K98*py*Index!AN50*Index!AN191/unit</f>
        <v>0</v>
      </c>
      <c r="AP98" s="75">
        <f>$I98*$K98*py*Index!AO50*Index!AO191/unit</f>
        <v>0</v>
      </c>
      <c r="AQ98" s="75">
        <f>$I98*$K98*py*Index!AP50*Index!AP191/unit</f>
        <v>0</v>
      </c>
      <c r="AR98" s="75">
        <f>$I98*$K98*py*Index!AQ50*Index!AQ191/unit</f>
        <v>0</v>
      </c>
      <c r="AS98" s="75">
        <f>$I98*$K98*py*Index!AR50*Index!AR191/unit</f>
        <v>0</v>
      </c>
      <c r="AT98" s="75">
        <f>$I98*$K98*py*Index!AS50*Index!AS191/unit</f>
        <v>20.002778966362499</v>
      </c>
      <c r="AU98" s="75">
        <f>$I98*$K98*py*Index!AT50*Index!AT191/unit</f>
        <v>20.002778966362499</v>
      </c>
      <c r="AV98" s="75">
        <f>$I98*$K98*py*Index!AU50*Index!AU191/unit</f>
        <v>20.002778966362499</v>
      </c>
      <c r="AW98" s="75">
        <f>$I98*$K98*py*Index!AV50*Index!AV191/unit</f>
        <v>20.002778966362499</v>
      </c>
      <c r="AX98" s="75">
        <f>$I98*$K98*py*Index!AW50*Index!AW191/unit</f>
        <v>20.002778966362499</v>
      </c>
      <c r="AY98" s="75">
        <f>$I98*$K98*py*Index!AX50*Index!AX191/unit</f>
        <v>20.002778966362499</v>
      </c>
      <c r="AZ98" s="75">
        <f>$I98*$K98*py*Index!AY50*Index!AY191/unit</f>
        <v>20.002778966362499</v>
      </c>
      <c r="BA98" s="75">
        <f>$I98*$K98*py*Index!AZ50*Index!AZ191/unit</f>
        <v>20.002778966362499</v>
      </c>
      <c r="BB98" s="75">
        <f>$I98*$K98*py*Index!BA50*Index!BA191/unit</f>
        <v>20.002778966362499</v>
      </c>
      <c r="BC98" s="75">
        <f>$I98*$K98*py*Index!BB50*Index!BB191/unit</f>
        <v>20.002778966362499</v>
      </c>
      <c r="BD98" s="75">
        <f>$I98*$K98*py*Index!BC50*Index!BC191/unit</f>
        <v>20.002778966362499</v>
      </c>
      <c r="BE98" s="75">
        <f>$I98*$K98*py*Index!BD50*Index!BD191/unit</f>
        <v>20.002778966362499</v>
      </c>
      <c r="BF98" s="75">
        <f>$I98*$K98*py*Index!BE50*Index!BE191/unit</f>
        <v>20.602862335353375</v>
      </c>
      <c r="BG98" s="75">
        <f>$I98*$K98*py*Index!BF50*Index!BF191/unit</f>
        <v>20.602862335353375</v>
      </c>
      <c r="BH98" s="75">
        <f>$I98*$K98*py*Index!BG50*Index!BG191/unit</f>
        <v>20.602862335353375</v>
      </c>
      <c r="BI98" s="75">
        <f>$I98*$K98*py*Index!BH50*Index!BH191/unit</f>
        <v>20.602862335353375</v>
      </c>
      <c r="BJ98" s="75">
        <f>$I98*$K98*py*Index!BI50*Index!BI191/unit</f>
        <v>20.602862335353375</v>
      </c>
      <c r="BK98" s="75">
        <f>$I98*$K98*py*Index!BJ50*Index!BJ191/unit</f>
        <v>20.602862335353375</v>
      </c>
      <c r="BL98" s="75">
        <f>$I98*$K98*py*Index!BK50*Index!BK191/unit</f>
        <v>20.602862335353375</v>
      </c>
      <c r="BM98" s="75">
        <f>$I98*$K98*py*Index!BL50*Index!BL191/unit</f>
        <v>20.602862335353375</v>
      </c>
      <c r="BN98" s="75">
        <f>$I98*$K98*py*Index!BM50*Index!BM191/unit</f>
        <v>20.602862335353375</v>
      </c>
      <c r="BO98" s="75">
        <f>$I98*$K98*py*Index!BN50*Index!BN191/unit</f>
        <v>20.602862335353375</v>
      </c>
      <c r="BP98" s="75">
        <f>$I98*$K98*py*Index!BO50*Index!BO191/unit</f>
        <v>20.602862335353375</v>
      </c>
      <c r="BQ98" s="75">
        <f>$I98*$K98*py*Index!BP50*Index!BP191/unit</f>
        <v>20.602862335353375</v>
      </c>
      <c r="BR98" s="75">
        <f>$I98*$K98*py*Index!BQ50*Index!BQ191/unit</f>
        <v>21.220948205413976</v>
      </c>
      <c r="BS98" s="75">
        <f>$I98*$K98*py*Index!BR50*Index!BR191/unit</f>
        <v>21.220948205413976</v>
      </c>
      <c r="BT98" s="75">
        <f>$I98*$K98*py*Index!BS50*Index!BS191/unit</f>
        <v>21.220948205413976</v>
      </c>
      <c r="BU98" s="75">
        <f>$I98*$K98*py*Index!BT50*Index!BT191/unit</f>
        <v>21.220948205413976</v>
      </c>
      <c r="BV98" s="75">
        <f>$I98*$K98*py*Index!BU50*Index!BU191/unit</f>
        <v>21.220948205413976</v>
      </c>
      <c r="BW98" s="75">
        <f>$I98*$K98*py*Index!BV50*Index!BV191/unit</f>
        <v>21.220948205413976</v>
      </c>
      <c r="BX98" s="75">
        <f>$I98*$K98*py*Index!BW50*Index!BW191/unit</f>
        <v>21.220948205413976</v>
      </c>
      <c r="BY98" s="75">
        <f>$I98*$K98*py*Index!BX50*Index!BX191/unit</f>
        <v>21.220948205413976</v>
      </c>
      <c r="BZ98" s="75">
        <f>$I98*$K98*py*Index!BY50*Index!BY191/unit</f>
        <v>21.220948205413976</v>
      </c>
      <c r="CA98" s="75">
        <f>$I98*$K98*py*Index!BZ50*Index!BZ191/unit</f>
        <v>21.220948205413976</v>
      </c>
      <c r="CB98" s="75">
        <f>$I98*$K98*py*Index!CA50*Index!CA191/unit</f>
        <v>0</v>
      </c>
      <c r="CC98" s="75">
        <f>$I98*$K98*py*Index!CB50*Index!CB191/unit</f>
        <v>0</v>
      </c>
      <c r="CD98" s="75">
        <f>$I98*$K98*py*Index!CC50*Index!CC191/unit</f>
        <v>0</v>
      </c>
      <c r="CE98" s="75">
        <f>$I98*$K98*py*Index!CD50*Index!CD191/unit</f>
        <v>0</v>
      </c>
      <c r="CF98" s="75">
        <f>$I98*$K98*py*Index!CE50*Index!CE191/unit</f>
        <v>0</v>
      </c>
      <c r="CG98" s="75">
        <f>$I98*$K98*py*Index!CF50*Index!CF191/unit</f>
        <v>0</v>
      </c>
      <c r="CH98" s="75">
        <f>$I98*$K98*py*Index!CG50*Index!CG191/unit</f>
        <v>0</v>
      </c>
      <c r="CI98" s="75">
        <f>$I98*$K98*py*Index!CH50*Index!CH191/unit</f>
        <v>0</v>
      </c>
      <c r="CJ98" s="75">
        <f>$I98*$K98*py*Index!CI50*Index!CI191/unit</f>
        <v>0</v>
      </c>
      <c r="CK98" s="75">
        <f>$I98*$K98*py*Index!CJ50*Index!CJ191/unit</f>
        <v>0</v>
      </c>
      <c r="CL98" s="75">
        <f>$I98*$K98*py*Index!CK50*Index!CK191/unit</f>
        <v>0</v>
      </c>
      <c r="CM98" s="75">
        <f>$I98*$K98*py*Index!CL50*Index!CL191/unit</f>
        <v>0</v>
      </c>
      <c r="CN98" s="75">
        <f>$I98*$K98*py*Index!CM50*Index!CM191/unit</f>
        <v>0</v>
      </c>
      <c r="CO98" s="75">
        <f>$I98*$K98*py*Index!CN50*Index!CN191/unit</f>
        <v>0</v>
      </c>
      <c r="CP98" s="75">
        <f>$I98*$K98*py*Index!CO50*Index!CO191/unit</f>
        <v>0</v>
      </c>
      <c r="CQ98" s="75">
        <f>$I98*$K98*py*Index!CP50*Index!CP191/unit</f>
        <v>0</v>
      </c>
      <c r="CR98" s="75">
        <f>$I98*$K98*py*Index!CQ50*Index!CQ191/unit</f>
        <v>0</v>
      </c>
      <c r="CS98" s="75">
        <f>$I98*$K98*py*Index!CR50*Index!CR191/unit</f>
        <v>0</v>
      </c>
      <c r="CT98" s="75">
        <f>$I98*$K98*py*Index!CS50*Index!CS191/unit</f>
        <v>0</v>
      </c>
      <c r="CU98" s="75">
        <f>$I98*$K98*py*Index!CT50*Index!CT191/unit</f>
        <v>0</v>
      </c>
      <c r="CV98" s="75">
        <f>$I98*$K98*py*Index!CU50*Index!CU191/unit</f>
        <v>0</v>
      </c>
      <c r="CW98" s="75">
        <f>$I98*$K98*py*Index!CV50*Index!CV191/unit</f>
        <v>0</v>
      </c>
      <c r="CX98" s="75">
        <f>$I98*$K98*py*Index!CW50*Index!CW191/unit</f>
        <v>0</v>
      </c>
      <c r="CY98" s="75">
        <f>$I98*$K98*py*Index!CX50*Index!CX191/unit</f>
        <v>0</v>
      </c>
      <c r="CZ98" s="75">
        <f>$I98*$K98*py*Index!CY50*Index!CY191/unit</f>
        <v>0</v>
      </c>
      <c r="DA98" s="75">
        <f>$I98*$K98*py*Index!CZ50*Index!CZ191/unit</f>
        <v>0</v>
      </c>
      <c r="DB98" s="75">
        <f>$I98*$K98*py*Index!DA50*Index!DA191/unit</f>
        <v>0</v>
      </c>
      <c r="DC98" s="75">
        <f>$I98*$K98*py*Index!DB50*Index!DB191/unit</f>
        <v>0</v>
      </c>
      <c r="DD98" s="75">
        <f>$I98*$K98*py*Index!DC50*Index!DC191/unit</f>
        <v>0</v>
      </c>
      <c r="DE98" s="75">
        <f>$I98*$K98*py*Index!DD50*Index!DD191/unit</f>
        <v>0</v>
      </c>
      <c r="DF98" s="75">
        <f>$I98*$K98*py*Index!DE50*Index!DE191/unit</f>
        <v>0</v>
      </c>
      <c r="DG98" s="75">
        <f>$I98*$K98*py*Index!DF50*Index!DF191/unit</f>
        <v>0</v>
      </c>
      <c r="DH98" s="75">
        <f>$I98*$K98*py*Index!DG50*Index!DG191/unit</f>
        <v>0</v>
      </c>
      <c r="DI98" s="75">
        <f>$I98*$K98*py*Index!DH50*Index!DH191/unit</f>
        <v>0</v>
      </c>
      <c r="DJ98" s="75">
        <f>$I98*$K98*py*Index!DI50*Index!DI191/unit</f>
        <v>0</v>
      </c>
      <c r="DK98" s="75">
        <f>$I98*$K98*py*Index!DJ50*Index!DJ191/unit</f>
        <v>0</v>
      </c>
      <c r="DL98" s="75">
        <f>$I98*$K98*py*Index!DK50*Index!DK191/unit</f>
        <v>0</v>
      </c>
      <c r="DM98" s="75">
        <f>$I98*$K98*py*Index!DL50*Index!DL191/unit</f>
        <v>0</v>
      </c>
    </row>
    <row r="99" spans="2:117">
      <c r="B99" s="27">
        <f>Rentroll!$C$49</f>
        <v>5</v>
      </c>
      <c r="C99" s="69" t="str">
        <f>VLOOKUP($B99,Rentroll!$C$37:$Z$60,3,FALSE)</f>
        <v>타이거로켓</v>
      </c>
      <c r="D99" s="80">
        <f>VLOOKUP($B99,Rentroll!$C$37:$Z$60,9,FALSE)</f>
        <v>45688</v>
      </c>
      <c r="E99" s="80">
        <f>VLOOKUP($B99,Rentroll!$C$37:$Z$60,10,FALSE)</f>
        <v>47514</v>
      </c>
      <c r="F99" s="81">
        <f>VLOOKUP($B99,Rentroll!$C$37:$Z$60,11,FALSE)</f>
        <v>60</v>
      </c>
      <c r="G99" s="69">
        <f>VLOOKUP($B99,Rentroll!$C$37:$Z$60,13,FALSE)</f>
        <v>103000</v>
      </c>
      <c r="H99" s="69">
        <f>VLOOKUP($B99,Rentroll!$C$37:$Z$60,14,FALSE)</f>
        <v>90125</v>
      </c>
      <c r="I99" s="69">
        <f>VLOOKUP($B99,Rentroll!$C$37:$Z$60,15,FALSE)</f>
        <v>45000</v>
      </c>
      <c r="J99" s="82">
        <f>VLOOKUP($B99,Rentroll!$C$37:$Z$60,19,FALSE)</f>
        <v>0.03</v>
      </c>
      <c r="K99" s="83">
        <f>VLOOKUP($B99,Rentroll!$C$37:$Z$60,4,FALSE)</f>
        <v>1385.09</v>
      </c>
      <c r="L99" s="81">
        <f>VLOOKUP($B99,Rentroll!$C$37:$Z$60,17,FALSE)</f>
        <v>1</v>
      </c>
      <c r="M99" s="84">
        <f>VLOOKUP($B99,Rentroll!$C$37:$Z$60,18,FALSE)</f>
        <v>1.5</v>
      </c>
      <c r="O99" s="74">
        <f t="shared" si="219"/>
        <v>5</v>
      </c>
      <c r="P99" s="75"/>
      <c r="Q99" s="75">
        <f t="shared" si="215"/>
        <v>1201.2156106305592</v>
      </c>
      <c r="R99" s="75"/>
      <c r="S99" s="75">
        <f>$I99*$K99*py*Index!R51*Index!R192/unit</f>
        <v>0</v>
      </c>
      <c r="T99" s="75">
        <f>$I99*$K99*py*Index!S51*Index!S192/unit</f>
        <v>18.854537624999999</v>
      </c>
      <c r="U99" s="75">
        <f>$I99*$K99*py*Index!T51*Index!T192/unit</f>
        <v>18.854537624999999</v>
      </c>
      <c r="V99" s="75">
        <f>$I99*$K99*py*Index!U51*Index!U192/unit</f>
        <v>18.854537624999999</v>
      </c>
      <c r="W99" s="75">
        <f>$I99*$K99*py*Index!V51*Index!V192/unit</f>
        <v>18.854537624999999</v>
      </c>
      <c r="X99" s="75">
        <f>$I99*$K99*py*Index!W51*Index!W192/unit</f>
        <v>18.854537624999999</v>
      </c>
      <c r="Y99" s="75">
        <f>$I99*$K99*py*Index!X51*Index!X192/unit</f>
        <v>18.854537624999999</v>
      </c>
      <c r="Z99" s="75">
        <f>$I99*$K99*py*Index!Y51*Index!Y192/unit</f>
        <v>18.854537624999999</v>
      </c>
      <c r="AA99" s="75">
        <f>$I99*$K99*py*Index!Z51*Index!Z192/unit</f>
        <v>18.854537624999999</v>
      </c>
      <c r="AB99" s="75">
        <f>$I99*$K99*py*Index!AA51*Index!AA192/unit</f>
        <v>18.854537624999999</v>
      </c>
      <c r="AC99" s="75">
        <f>$I99*$K99*py*Index!AB51*Index!AB192/unit</f>
        <v>18.854537624999999</v>
      </c>
      <c r="AD99" s="75">
        <f>$I99*$K99*py*Index!AC51*Index!AC192/unit</f>
        <v>18.854537624999999</v>
      </c>
      <c r="AE99" s="75">
        <f>$I99*$K99*py*Index!AD51*Index!AD192/unit</f>
        <v>18.854537624999999</v>
      </c>
      <c r="AF99" s="75">
        <f>$I99*$K99*py*Index!AE51*Index!AE192/unit</f>
        <v>19.420173753749999</v>
      </c>
      <c r="AG99" s="75">
        <f>$I99*$K99*py*Index!AF51*Index!AF192/unit</f>
        <v>19.420173753749999</v>
      </c>
      <c r="AH99" s="75">
        <f>$I99*$K99*py*Index!AG51*Index!AG192/unit</f>
        <v>19.420173753749999</v>
      </c>
      <c r="AI99" s="75">
        <f>$I99*$K99*py*Index!AH51*Index!AH192/unit</f>
        <v>19.420173753749999</v>
      </c>
      <c r="AJ99" s="75">
        <f>$I99*$K99*py*Index!AI51*Index!AI192/unit</f>
        <v>19.420173753749999</v>
      </c>
      <c r="AK99" s="75">
        <f>$I99*$K99*py*Index!AJ51*Index!AJ192/unit</f>
        <v>19.420173753749999</v>
      </c>
      <c r="AL99" s="75">
        <f>$I99*$K99*py*Index!AK51*Index!AK192/unit</f>
        <v>19.420173753749999</v>
      </c>
      <c r="AM99" s="75">
        <f>$I99*$K99*py*Index!AL51*Index!AL192/unit</f>
        <v>19.420173753749999</v>
      </c>
      <c r="AN99" s="75">
        <f>$I99*$K99*py*Index!AM51*Index!AM192/unit</f>
        <v>19.420173753749999</v>
      </c>
      <c r="AO99" s="75">
        <f>$I99*$K99*py*Index!AN51*Index!AN192/unit</f>
        <v>19.420173753749999</v>
      </c>
      <c r="AP99" s="75">
        <f>$I99*$K99*py*Index!AO51*Index!AO192/unit</f>
        <v>19.420173753749999</v>
      </c>
      <c r="AQ99" s="75">
        <f>$I99*$K99*py*Index!AP51*Index!AP192/unit</f>
        <v>19.420173753749999</v>
      </c>
      <c r="AR99" s="75">
        <f>$I99*$K99*py*Index!AQ51*Index!AQ192/unit</f>
        <v>20.002778966362499</v>
      </c>
      <c r="AS99" s="75">
        <f>$I99*$K99*py*Index!AR51*Index!AR192/unit</f>
        <v>20.002778966362499</v>
      </c>
      <c r="AT99" s="75">
        <f>$I99*$K99*py*Index!AS51*Index!AS192/unit</f>
        <v>20.002778966362499</v>
      </c>
      <c r="AU99" s="75">
        <f>$I99*$K99*py*Index!AT51*Index!AT192/unit</f>
        <v>20.002778966362499</v>
      </c>
      <c r="AV99" s="75">
        <f>$I99*$K99*py*Index!AU51*Index!AU192/unit</f>
        <v>20.002778966362499</v>
      </c>
      <c r="AW99" s="75">
        <f>$I99*$K99*py*Index!AV51*Index!AV192/unit</f>
        <v>20.002778966362499</v>
      </c>
      <c r="AX99" s="75">
        <f>$I99*$K99*py*Index!AW51*Index!AW192/unit</f>
        <v>20.002778966362499</v>
      </c>
      <c r="AY99" s="75">
        <f>$I99*$K99*py*Index!AX51*Index!AX192/unit</f>
        <v>20.002778966362499</v>
      </c>
      <c r="AZ99" s="75">
        <f>$I99*$K99*py*Index!AY51*Index!AY192/unit</f>
        <v>20.002778966362499</v>
      </c>
      <c r="BA99" s="75">
        <f>$I99*$K99*py*Index!AZ51*Index!AZ192/unit</f>
        <v>20.002778966362499</v>
      </c>
      <c r="BB99" s="75">
        <f>$I99*$K99*py*Index!BA51*Index!BA192/unit</f>
        <v>20.002778966362499</v>
      </c>
      <c r="BC99" s="75">
        <f>$I99*$K99*py*Index!BB51*Index!BB192/unit</f>
        <v>20.002778966362499</v>
      </c>
      <c r="BD99" s="75">
        <f>$I99*$K99*py*Index!BC51*Index!BC192/unit</f>
        <v>20.602862335353375</v>
      </c>
      <c r="BE99" s="75">
        <f>$I99*$K99*py*Index!BD51*Index!BD192/unit</f>
        <v>20.602862335353375</v>
      </c>
      <c r="BF99" s="75">
        <f>$I99*$K99*py*Index!BE51*Index!BE192/unit</f>
        <v>20.602862335353375</v>
      </c>
      <c r="BG99" s="75">
        <f>$I99*$K99*py*Index!BF51*Index!BF192/unit</f>
        <v>20.602862335353375</v>
      </c>
      <c r="BH99" s="75">
        <f>$I99*$K99*py*Index!BG51*Index!BG192/unit</f>
        <v>20.602862335353375</v>
      </c>
      <c r="BI99" s="75">
        <f>$I99*$K99*py*Index!BH51*Index!BH192/unit</f>
        <v>20.602862335353375</v>
      </c>
      <c r="BJ99" s="75">
        <f>$I99*$K99*py*Index!BI51*Index!BI192/unit</f>
        <v>20.602862335353375</v>
      </c>
      <c r="BK99" s="75">
        <f>$I99*$K99*py*Index!BJ51*Index!BJ192/unit</f>
        <v>20.602862335353375</v>
      </c>
      <c r="BL99" s="75">
        <f>$I99*$K99*py*Index!BK51*Index!BK192/unit</f>
        <v>20.602862335353375</v>
      </c>
      <c r="BM99" s="75">
        <f>$I99*$K99*py*Index!BL51*Index!BL192/unit</f>
        <v>20.602862335353375</v>
      </c>
      <c r="BN99" s="75">
        <f>$I99*$K99*py*Index!BM51*Index!BM192/unit</f>
        <v>20.602862335353375</v>
      </c>
      <c r="BO99" s="75">
        <f>$I99*$K99*py*Index!BN51*Index!BN192/unit</f>
        <v>20.602862335353375</v>
      </c>
      <c r="BP99" s="75">
        <f>$I99*$K99*py*Index!BO51*Index!BO192/unit</f>
        <v>21.220948205413976</v>
      </c>
      <c r="BQ99" s="75">
        <f>$I99*$K99*py*Index!BP51*Index!BP192/unit</f>
        <v>21.220948205413976</v>
      </c>
      <c r="BR99" s="75">
        <f>$I99*$K99*py*Index!BQ51*Index!BQ192/unit</f>
        <v>21.220948205413976</v>
      </c>
      <c r="BS99" s="75">
        <f>$I99*$K99*py*Index!BR51*Index!BR192/unit</f>
        <v>21.220948205413976</v>
      </c>
      <c r="BT99" s="75">
        <f>$I99*$K99*py*Index!BS51*Index!BS192/unit</f>
        <v>21.220948205413976</v>
      </c>
      <c r="BU99" s="75">
        <f>$I99*$K99*py*Index!BT51*Index!BT192/unit</f>
        <v>21.220948205413976</v>
      </c>
      <c r="BV99" s="75">
        <f>$I99*$K99*py*Index!BU51*Index!BU192/unit</f>
        <v>21.220948205413976</v>
      </c>
      <c r="BW99" s="75">
        <f>$I99*$K99*py*Index!BV51*Index!BV192/unit</f>
        <v>21.220948205413976</v>
      </c>
      <c r="BX99" s="75">
        <f>$I99*$K99*py*Index!BW51*Index!BW192/unit</f>
        <v>21.220948205413976</v>
      </c>
      <c r="BY99" s="75">
        <f>$I99*$K99*py*Index!BX51*Index!BX192/unit</f>
        <v>21.220948205413976</v>
      </c>
      <c r="BZ99" s="75">
        <f>$I99*$K99*py*Index!BY51*Index!BY192/unit</f>
        <v>21.220948205413976</v>
      </c>
      <c r="CA99" s="75">
        <f>$I99*$K99*py*Index!BZ51*Index!BZ192/unit</f>
        <v>21.220948205413976</v>
      </c>
      <c r="CB99" s="75">
        <f>$I99*$K99*py*Index!CA51*Index!CA192/unit</f>
        <v>0</v>
      </c>
      <c r="CC99" s="75">
        <f>$I99*$K99*py*Index!CB51*Index!CB192/unit</f>
        <v>0</v>
      </c>
      <c r="CD99" s="75">
        <f>$I99*$K99*py*Index!CC51*Index!CC192/unit</f>
        <v>0</v>
      </c>
      <c r="CE99" s="75">
        <f>$I99*$K99*py*Index!CD51*Index!CD192/unit</f>
        <v>0</v>
      </c>
      <c r="CF99" s="75">
        <f>$I99*$K99*py*Index!CE51*Index!CE192/unit</f>
        <v>0</v>
      </c>
      <c r="CG99" s="75">
        <f>$I99*$K99*py*Index!CF51*Index!CF192/unit</f>
        <v>0</v>
      </c>
      <c r="CH99" s="75">
        <f>$I99*$K99*py*Index!CG51*Index!CG192/unit</f>
        <v>0</v>
      </c>
      <c r="CI99" s="75">
        <f>$I99*$K99*py*Index!CH51*Index!CH192/unit</f>
        <v>0</v>
      </c>
      <c r="CJ99" s="75">
        <f>$I99*$K99*py*Index!CI51*Index!CI192/unit</f>
        <v>0</v>
      </c>
      <c r="CK99" s="75">
        <f>$I99*$K99*py*Index!CJ51*Index!CJ192/unit</f>
        <v>0</v>
      </c>
      <c r="CL99" s="75">
        <f>$I99*$K99*py*Index!CK51*Index!CK192/unit</f>
        <v>0</v>
      </c>
      <c r="CM99" s="75">
        <f>$I99*$K99*py*Index!CL51*Index!CL192/unit</f>
        <v>0</v>
      </c>
      <c r="CN99" s="75">
        <f>$I99*$K99*py*Index!CM51*Index!CM192/unit</f>
        <v>0</v>
      </c>
      <c r="CO99" s="75">
        <f>$I99*$K99*py*Index!CN51*Index!CN192/unit</f>
        <v>0</v>
      </c>
      <c r="CP99" s="75">
        <f>$I99*$K99*py*Index!CO51*Index!CO192/unit</f>
        <v>0</v>
      </c>
      <c r="CQ99" s="75">
        <f>$I99*$K99*py*Index!CP51*Index!CP192/unit</f>
        <v>0</v>
      </c>
      <c r="CR99" s="75">
        <f>$I99*$K99*py*Index!CQ51*Index!CQ192/unit</f>
        <v>0</v>
      </c>
      <c r="CS99" s="75">
        <f>$I99*$K99*py*Index!CR51*Index!CR192/unit</f>
        <v>0</v>
      </c>
      <c r="CT99" s="75">
        <f>$I99*$K99*py*Index!CS51*Index!CS192/unit</f>
        <v>0</v>
      </c>
      <c r="CU99" s="75">
        <f>$I99*$K99*py*Index!CT51*Index!CT192/unit</f>
        <v>0</v>
      </c>
      <c r="CV99" s="75">
        <f>$I99*$K99*py*Index!CU51*Index!CU192/unit</f>
        <v>0</v>
      </c>
      <c r="CW99" s="75">
        <f>$I99*$K99*py*Index!CV51*Index!CV192/unit</f>
        <v>0</v>
      </c>
      <c r="CX99" s="75">
        <f>$I99*$K99*py*Index!CW51*Index!CW192/unit</f>
        <v>0</v>
      </c>
      <c r="CY99" s="75">
        <f>$I99*$K99*py*Index!CX51*Index!CX192/unit</f>
        <v>0</v>
      </c>
      <c r="CZ99" s="75">
        <f>$I99*$K99*py*Index!CY51*Index!CY192/unit</f>
        <v>0</v>
      </c>
      <c r="DA99" s="75">
        <f>$I99*$K99*py*Index!CZ51*Index!CZ192/unit</f>
        <v>0</v>
      </c>
      <c r="DB99" s="75">
        <f>$I99*$K99*py*Index!DA51*Index!DA192/unit</f>
        <v>0</v>
      </c>
      <c r="DC99" s="75">
        <f>$I99*$K99*py*Index!DB51*Index!DB192/unit</f>
        <v>0</v>
      </c>
      <c r="DD99" s="75">
        <f>$I99*$K99*py*Index!DC51*Index!DC192/unit</f>
        <v>0</v>
      </c>
      <c r="DE99" s="75">
        <f>$I99*$K99*py*Index!DD51*Index!DD192/unit</f>
        <v>0</v>
      </c>
      <c r="DF99" s="75">
        <f>$I99*$K99*py*Index!DE51*Index!DE192/unit</f>
        <v>0</v>
      </c>
      <c r="DG99" s="75">
        <f>$I99*$K99*py*Index!DF51*Index!DF192/unit</f>
        <v>0</v>
      </c>
      <c r="DH99" s="75">
        <f>$I99*$K99*py*Index!DG51*Index!DG192/unit</f>
        <v>0</v>
      </c>
      <c r="DI99" s="75">
        <f>$I99*$K99*py*Index!DH51*Index!DH192/unit</f>
        <v>0</v>
      </c>
      <c r="DJ99" s="75">
        <f>$I99*$K99*py*Index!DI51*Index!DI192/unit</f>
        <v>0</v>
      </c>
      <c r="DK99" s="75">
        <f>$I99*$K99*py*Index!DJ51*Index!DJ192/unit</f>
        <v>0</v>
      </c>
      <c r="DL99" s="75">
        <f>$I99*$K99*py*Index!DK51*Index!DK192/unit</f>
        <v>0</v>
      </c>
      <c r="DM99" s="75">
        <f>$I99*$K99*py*Index!DL51*Index!DL192/unit</f>
        <v>0</v>
      </c>
    </row>
    <row r="100" spans="2:117">
      <c r="B100" s="27">
        <f>Rentroll!$C$50</f>
        <v>4</v>
      </c>
      <c r="C100" s="69" t="str">
        <f>VLOOKUP($B100,Rentroll!$C$37:$Z$60,3,FALSE)</f>
        <v>타이거로켓</v>
      </c>
      <c r="D100" s="80">
        <f>VLOOKUP($B100,Rentroll!$C$37:$Z$60,9,FALSE)</f>
        <v>45688</v>
      </c>
      <c r="E100" s="80">
        <f>VLOOKUP($B100,Rentroll!$C$37:$Z$60,10,FALSE)</f>
        <v>47514</v>
      </c>
      <c r="F100" s="81">
        <f>VLOOKUP($B100,Rentroll!$C$37:$Z$60,11,FALSE)</f>
        <v>60</v>
      </c>
      <c r="G100" s="69">
        <f>VLOOKUP($B100,Rentroll!$C$37:$Z$60,13,FALSE)</f>
        <v>103000</v>
      </c>
      <c r="H100" s="69">
        <f>VLOOKUP($B100,Rentroll!$C$37:$Z$60,14,FALSE)</f>
        <v>90125</v>
      </c>
      <c r="I100" s="69">
        <f>VLOOKUP($B100,Rentroll!$C$37:$Z$60,15,FALSE)</f>
        <v>45000</v>
      </c>
      <c r="J100" s="82">
        <f>VLOOKUP($B100,Rentroll!$C$37:$Z$60,19,FALSE)</f>
        <v>0.03</v>
      </c>
      <c r="K100" s="83">
        <f>VLOOKUP($B100,Rentroll!$C$37:$Z$60,4,FALSE)</f>
        <v>1385.09</v>
      </c>
      <c r="L100" s="81">
        <f>VLOOKUP($B100,Rentroll!$C$37:$Z$60,17,FALSE)</f>
        <v>1</v>
      </c>
      <c r="M100" s="84">
        <f>VLOOKUP($B100,Rentroll!$C$37:$Z$60,18,FALSE)</f>
        <v>1.5</v>
      </c>
      <c r="O100" s="74">
        <f t="shared" si="219"/>
        <v>4</v>
      </c>
      <c r="P100" s="75"/>
      <c r="Q100" s="75">
        <f t="shared" si="215"/>
        <v>1201.2156106305592</v>
      </c>
      <c r="R100" s="75"/>
      <c r="S100" s="75">
        <f>$I100*$K100*py*Index!R52*Index!R193/unit</f>
        <v>0</v>
      </c>
      <c r="T100" s="75">
        <f>$I100*$K100*py*Index!S52*Index!S193/unit</f>
        <v>18.854537624999999</v>
      </c>
      <c r="U100" s="75">
        <f>$I100*$K100*py*Index!T52*Index!T193/unit</f>
        <v>18.854537624999999</v>
      </c>
      <c r="V100" s="75">
        <f>$I100*$K100*py*Index!U52*Index!U193/unit</f>
        <v>18.854537624999999</v>
      </c>
      <c r="W100" s="75">
        <f>$I100*$K100*py*Index!V52*Index!V193/unit</f>
        <v>18.854537624999999</v>
      </c>
      <c r="X100" s="75">
        <f>$I100*$K100*py*Index!W52*Index!W193/unit</f>
        <v>18.854537624999999</v>
      </c>
      <c r="Y100" s="75">
        <f>$I100*$K100*py*Index!X52*Index!X193/unit</f>
        <v>18.854537624999999</v>
      </c>
      <c r="Z100" s="75">
        <f>$I100*$K100*py*Index!Y52*Index!Y193/unit</f>
        <v>18.854537624999999</v>
      </c>
      <c r="AA100" s="75">
        <f>$I100*$K100*py*Index!Z52*Index!Z193/unit</f>
        <v>18.854537624999999</v>
      </c>
      <c r="AB100" s="75">
        <f>$I100*$K100*py*Index!AA52*Index!AA193/unit</f>
        <v>18.854537624999999</v>
      </c>
      <c r="AC100" s="75">
        <f>$I100*$K100*py*Index!AB52*Index!AB193/unit</f>
        <v>18.854537624999999</v>
      </c>
      <c r="AD100" s="75">
        <f>$I100*$K100*py*Index!AC52*Index!AC193/unit</f>
        <v>18.854537624999999</v>
      </c>
      <c r="AE100" s="75">
        <f>$I100*$K100*py*Index!AD52*Index!AD193/unit</f>
        <v>18.854537624999999</v>
      </c>
      <c r="AF100" s="75">
        <f>$I100*$K100*py*Index!AE52*Index!AE193/unit</f>
        <v>19.420173753749999</v>
      </c>
      <c r="AG100" s="75">
        <f>$I100*$K100*py*Index!AF52*Index!AF193/unit</f>
        <v>19.420173753749999</v>
      </c>
      <c r="AH100" s="75">
        <f>$I100*$K100*py*Index!AG52*Index!AG193/unit</f>
        <v>19.420173753749999</v>
      </c>
      <c r="AI100" s="75">
        <f>$I100*$K100*py*Index!AH52*Index!AH193/unit</f>
        <v>19.420173753749999</v>
      </c>
      <c r="AJ100" s="75">
        <f>$I100*$K100*py*Index!AI52*Index!AI193/unit</f>
        <v>19.420173753749999</v>
      </c>
      <c r="AK100" s="75">
        <f>$I100*$K100*py*Index!AJ52*Index!AJ193/unit</f>
        <v>19.420173753749999</v>
      </c>
      <c r="AL100" s="75">
        <f>$I100*$K100*py*Index!AK52*Index!AK193/unit</f>
        <v>19.420173753749999</v>
      </c>
      <c r="AM100" s="75">
        <f>$I100*$K100*py*Index!AL52*Index!AL193/unit</f>
        <v>19.420173753749999</v>
      </c>
      <c r="AN100" s="75">
        <f>$I100*$K100*py*Index!AM52*Index!AM193/unit</f>
        <v>19.420173753749999</v>
      </c>
      <c r="AO100" s="75">
        <f>$I100*$K100*py*Index!AN52*Index!AN193/unit</f>
        <v>19.420173753749999</v>
      </c>
      <c r="AP100" s="75">
        <f>$I100*$K100*py*Index!AO52*Index!AO193/unit</f>
        <v>19.420173753749999</v>
      </c>
      <c r="AQ100" s="75">
        <f>$I100*$K100*py*Index!AP52*Index!AP193/unit</f>
        <v>19.420173753749999</v>
      </c>
      <c r="AR100" s="75">
        <f>$I100*$K100*py*Index!AQ52*Index!AQ193/unit</f>
        <v>20.002778966362499</v>
      </c>
      <c r="AS100" s="75">
        <f>$I100*$K100*py*Index!AR52*Index!AR193/unit</f>
        <v>20.002778966362499</v>
      </c>
      <c r="AT100" s="75">
        <f>$I100*$K100*py*Index!AS52*Index!AS193/unit</f>
        <v>20.002778966362499</v>
      </c>
      <c r="AU100" s="75">
        <f>$I100*$K100*py*Index!AT52*Index!AT193/unit</f>
        <v>20.002778966362499</v>
      </c>
      <c r="AV100" s="75">
        <f>$I100*$K100*py*Index!AU52*Index!AU193/unit</f>
        <v>20.002778966362499</v>
      </c>
      <c r="AW100" s="75">
        <f>$I100*$K100*py*Index!AV52*Index!AV193/unit</f>
        <v>20.002778966362499</v>
      </c>
      <c r="AX100" s="75">
        <f>$I100*$K100*py*Index!AW52*Index!AW193/unit</f>
        <v>20.002778966362499</v>
      </c>
      <c r="AY100" s="75">
        <f>$I100*$K100*py*Index!AX52*Index!AX193/unit</f>
        <v>20.002778966362499</v>
      </c>
      <c r="AZ100" s="75">
        <f>$I100*$K100*py*Index!AY52*Index!AY193/unit</f>
        <v>20.002778966362499</v>
      </c>
      <c r="BA100" s="75">
        <f>$I100*$K100*py*Index!AZ52*Index!AZ193/unit</f>
        <v>20.002778966362499</v>
      </c>
      <c r="BB100" s="75">
        <f>$I100*$K100*py*Index!BA52*Index!BA193/unit</f>
        <v>20.002778966362499</v>
      </c>
      <c r="BC100" s="75">
        <f>$I100*$K100*py*Index!BB52*Index!BB193/unit</f>
        <v>20.002778966362499</v>
      </c>
      <c r="BD100" s="75">
        <f>$I100*$K100*py*Index!BC52*Index!BC193/unit</f>
        <v>20.602862335353375</v>
      </c>
      <c r="BE100" s="75">
        <f>$I100*$K100*py*Index!BD52*Index!BD193/unit</f>
        <v>20.602862335353375</v>
      </c>
      <c r="BF100" s="75">
        <f>$I100*$K100*py*Index!BE52*Index!BE193/unit</f>
        <v>20.602862335353375</v>
      </c>
      <c r="BG100" s="75">
        <f>$I100*$K100*py*Index!BF52*Index!BF193/unit</f>
        <v>20.602862335353375</v>
      </c>
      <c r="BH100" s="75">
        <f>$I100*$K100*py*Index!BG52*Index!BG193/unit</f>
        <v>20.602862335353375</v>
      </c>
      <c r="BI100" s="75">
        <f>$I100*$K100*py*Index!BH52*Index!BH193/unit</f>
        <v>20.602862335353375</v>
      </c>
      <c r="BJ100" s="75">
        <f>$I100*$K100*py*Index!BI52*Index!BI193/unit</f>
        <v>20.602862335353375</v>
      </c>
      <c r="BK100" s="75">
        <f>$I100*$K100*py*Index!BJ52*Index!BJ193/unit</f>
        <v>20.602862335353375</v>
      </c>
      <c r="BL100" s="75">
        <f>$I100*$K100*py*Index!BK52*Index!BK193/unit</f>
        <v>20.602862335353375</v>
      </c>
      <c r="BM100" s="75">
        <f>$I100*$K100*py*Index!BL52*Index!BL193/unit</f>
        <v>20.602862335353375</v>
      </c>
      <c r="BN100" s="75">
        <f>$I100*$K100*py*Index!BM52*Index!BM193/unit</f>
        <v>20.602862335353375</v>
      </c>
      <c r="BO100" s="75">
        <f>$I100*$K100*py*Index!BN52*Index!BN193/unit</f>
        <v>20.602862335353375</v>
      </c>
      <c r="BP100" s="75">
        <f>$I100*$K100*py*Index!BO52*Index!BO193/unit</f>
        <v>21.220948205413976</v>
      </c>
      <c r="BQ100" s="75">
        <f>$I100*$K100*py*Index!BP52*Index!BP193/unit</f>
        <v>21.220948205413976</v>
      </c>
      <c r="BR100" s="75">
        <f>$I100*$K100*py*Index!BQ52*Index!BQ193/unit</f>
        <v>21.220948205413976</v>
      </c>
      <c r="BS100" s="75">
        <f>$I100*$K100*py*Index!BR52*Index!BR193/unit</f>
        <v>21.220948205413976</v>
      </c>
      <c r="BT100" s="75">
        <f>$I100*$K100*py*Index!BS52*Index!BS193/unit</f>
        <v>21.220948205413976</v>
      </c>
      <c r="BU100" s="75">
        <f>$I100*$K100*py*Index!BT52*Index!BT193/unit</f>
        <v>21.220948205413976</v>
      </c>
      <c r="BV100" s="75">
        <f>$I100*$K100*py*Index!BU52*Index!BU193/unit</f>
        <v>21.220948205413976</v>
      </c>
      <c r="BW100" s="75">
        <f>$I100*$K100*py*Index!BV52*Index!BV193/unit</f>
        <v>21.220948205413976</v>
      </c>
      <c r="BX100" s="75">
        <f>$I100*$K100*py*Index!BW52*Index!BW193/unit</f>
        <v>21.220948205413976</v>
      </c>
      <c r="BY100" s="75">
        <f>$I100*$K100*py*Index!BX52*Index!BX193/unit</f>
        <v>21.220948205413976</v>
      </c>
      <c r="BZ100" s="75">
        <f>$I100*$K100*py*Index!BY52*Index!BY193/unit</f>
        <v>21.220948205413976</v>
      </c>
      <c r="CA100" s="75">
        <f>$I100*$K100*py*Index!BZ52*Index!BZ193/unit</f>
        <v>21.220948205413976</v>
      </c>
      <c r="CB100" s="75">
        <f>$I100*$K100*py*Index!CA52*Index!CA193/unit</f>
        <v>0</v>
      </c>
      <c r="CC100" s="75">
        <f>$I100*$K100*py*Index!CB52*Index!CB193/unit</f>
        <v>0</v>
      </c>
      <c r="CD100" s="75">
        <f>$I100*$K100*py*Index!CC52*Index!CC193/unit</f>
        <v>0</v>
      </c>
      <c r="CE100" s="75">
        <f>$I100*$K100*py*Index!CD52*Index!CD193/unit</f>
        <v>0</v>
      </c>
      <c r="CF100" s="75">
        <f>$I100*$K100*py*Index!CE52*Index!CE193/unit</f>
        <v>0</v>
      </c>
      <c r="CG100" s="75">
        <f>$I100*$K100*py*Index!CF52*Index!CF193/unit</f>
        <v>0</v>
      </c>
      <c r="CH100" s="75">
        <f>$I100*$K100*py*Index!CG52*Index!CG193/unit</f>
        <v>0</v>
      </c>
      <c r="CI100" s="75">
        <f>$I100*$K100*py*Index!CH52*Index!CH193/unit</f>
        <v>0</v>
      </c>
      <c r="CJ100" s="75">
        <f>$I100*$K100*py*Index!CI52*Index!CI193/unit</f>
        <v>0</v>
      </c>
      <c r="CK100" s="75">
        <f>$I100*$K100*py*Index!CJ52*Index!CJ193/unit</f>
        <v>0</v>
      </c>
      <c r="CL100" s="75">
        <f>$I100*$K100*py*Index!CK52*Index!CK193/unit</f>
        <v>0</v>
      </c>
      <c r="CM100" s="75">
        <f>$I100*$K100*py*Index!CL52*Index!CL193/unit</f>
        <v>0</v>
      </c>
      <c r="CN100" s="75">
        <f>$I100*$K100*py*Index!CM52*Index!CM193/unit</f>
        <v>0</v>
      </c>
      <c r="CO100" s="75">
        <f>$I100*$K100*py*Index!CN52*Index!CN193/unit</f>
        <v>0</v>
      </c>
      <c r="CP100" s="75">
        <f>$I100*$K100*py*Index!CO52*Index!CO193/unit</f>
        <v>0</v>
      </c>
      <c r="CQ100" s="75">
        <f>$I100*$K100*py*Index!CP52*Index!CP193/unit</f>
        <v>0</v>
      </c>
      <c r="CR100" s="75">
        <f>$I100*$K100*py*Index!CQ52*Index!CQ193/unit</f>
        <v>0</v>
      </c>
      <c r="CS100" s="75">
        <f>$I100*$K100*py*Index!CR52*Index!CR193/unit</f>
        <v>0</v>
      </c>
      <c r="CT100" s="75">
        <f>$I100*$K100*py*Index!CS52*Index!CS193/unit</f>
        <v>0</v>
      </c>
      <c r="CU100" s="75">
        <f>$I100*$K100*py*Index!CT52*Index!CT193/unit</f>
        <v>0</v>
      </c>
      <c r="CV100" s="75">
        <f>$I100*$K100*py*Index!CU52*Index!CU193/unit</f>
        <v>0</v>
      </c>
      <c r="CW100" s="75">
        <f>$I100*$K100*py*Index!CV52*Index!CV193/unit</f>
        <v>0</v>
      </c>
      <c r="CX100" s="75">
        <f>$I100*$K100*py*Index!CW52*Index!CW193/unit</f>
        <v>0</v>
      </c>
      <c r="CY100" s="75">
        <f>$I100*$K100*py*Index!CX52*Index!CX193/unit</f>
        <v>0</v>
      </c>
      <c r="CZ100" s="75">
        <f>$I100*$K100*py*Index!CY52*Index!CY193/unit</f>
        <v>0</v>
      </c>
      <c r="DA100" s="75">
        <f>$I100*$K100*py*Index!CZ52*Index!CZ193/unit</f>
        <v>0</v>
      </c>
      <c r="DB100" s="75">
        <f>$I100*$K100*py*Index!DA52*Index!DA193/unit</f>
        <v>0</v>
      </c>
      <c r="DC100" s="75">
        <f>$I100*$K100*py*Index!DB52*Index!DB193/unit</f>
        <v>0</v>
      </c>
      <c r="DD100" s="75">
        <f>$I100*$K100*py*Index!DC52*Index!DC193/unit</f>
        <v>0</v>
      </c>
      <c r="DE100" s="75">
        <f>$I100*$K100*py*Index!DD52*Index!DD193/unit</f>
        <v>0</v>
      </c>
      <c r="DF100" s="75">
        <f>$I100*$K100*py*Index!DE52*Index!DE193/unit</f>
        <v>0</v>
      </c>
      <c r="DG100" s="75">
        <f>$I100*$K100*py*Index!DF52*Index!DF193/unit</f>
        <v>0</v>
      </c>
      <c r="DH100" s="75">
        <f>$I100*$K100*py*Index!DG52*Index!DG193/unit</f>
        <v>0</v>
      </c>
      <c r="DI100" s="75">
        <f>$I100*$K100*py*Index!DH52*Index!DH193/unit</f>
        <v>0</v>
      </c>
      <c r="DJ100" s="75">
        <f>$I100*$K100*py*Index!DI52*Index!DI193/unit</f>
        <v>0</v>
      </c>
      <c r="DK100" s="75">
        <f>$I100*$K100*py*Index!DJ52*Index!DJ193/unit</f>
        <v>0</v>
      </c>
      <c r="DL100" s="75">
        <f>$I100*$K100*py*Index!DK52*Index!DK193/unit</f>
        <v>0</v>
      </c>
      <c r="DM100" s="75">
        <f>$I100*$K100*py*Index!DL52*Index!DL193/unit</f>
        <v>0</v>
      </c>
    </row>
    <row r="101" spans="2:117">
      <c r="B101" s="27">
        <f>Rentroll!$C$51</f>
        <v>3</v>
      </c>
      <c r="C101" s="69" t="str">
        <f>VLOOKUP($B101,Rentroll!$C$37:$Z$60,3,FALSE)</f>
        <v>타이거로켓</v>
      </c>
      <c r="D101" s="80">
        <f>VLOOKUP($B101,Rentroll!$C$37:$Z$60,9,FALSE)</f>
        <v>45688</v>
      </c>
      <c r="E101" s="80">
        <f>VLOOKUP($B101,Rentroll!$C$37:$Z$60,10,FALSE)</f>
        <v>47514</v>
      </c>
      <c r="F101" s="81">
        <f>VLOOKUP($B101,Rentroll!$C$37:$Z$60,11,FALSE)</f>
        <v>60</v>
      </c>
      <c r="G101" s="69">
        <f>VLOOKUP($B101,Rentroll!$C$37:$Z$60,13,FALSE)</f>
        <v>103000</v>
      </c>
      <c r="H101" s="69">
        <f>VLOOKUP($B101,Rentroll!$C$37:$Z$60,14,FALSE)</f>
        <v>90125</v>
      </c>
      <c r="I101" s="69">
        <f>VLOOKUP($B101,Rentroll!$C$37:$Z$60,15,FALSE)</f>
        <v>45000</v>
      </c>
      <c r="J101" s="82">
        <f>VLOOKUP($B101,Rentroll!$C$37:$Z$60,19,FALSE)</f>
        <v>0.03</v>
      </c>
      <c r="K101" s="83">
        <f>VLOOKUP($B101,Rentroll!$C$37:$Z$60,4,FALSE)</f>
        <v>1385.09</v>
      </c>
      <c r="L101" s="81">
        <f>VLOOKUP($B101,Rentroll!$C$37:$Z$60,17,FALSE)</f>
        <v>1</v>
      </c>
      <c r="M101" s="84">
        <f>VLOOKUP($B101,Rentroll!$C$37:$Z$60,18,FALSE)</f>
        <v>1.5</v>
      </c>
      <c r="O101" s="74">
        <f t="shared" si="219"/>
        <v>3</v>
      </c>
      <c r="P101" s="75"/>
      <c r="Q101" s="75">
        <f t="shared" si="215"/>
        <v>1201.2156106305592</v>
      </c>
      <c r="R101" s="75"/>
      <c r="S101" s="75">
        <f>$I101*$K101*py*Index!R53*Index!R194/unit</f>
        <v>0</v>
      </c>
      <c r="T101" s="75">
        <f>$I101*$K101*py*Index!S53*Index!S194/unit</f>
        <v>18.854537624999999</v>
      </c>
      <c r="U101" s="75">
        <f>$I101*$K101*py*Index!T53*Index!T194/unit</f>
        <v>18.854537624999999</v>
      </c>
      <c r="V101" s="75">
        <f>$I101*$K101*py*Index!U53*Index!U194/unit</f>
        <v>18.854537624999999</v>
      </c>
      <c r="W101" s="75">
        <f>$I101*$K101*py*Index!V53*Index!V194/unit</f>
        <v>18.854537624999999</v>
      </c>
      <c r="X101" s="75">
        <f>$I101*$K101*py*Index!W53*Index!W194/unit</f>
        <v>18.854537624999999</v>
      </c>
      <c r="Y101" s="75">
        <f>$I101*$K101*py*Index!X53*Index!X194/unit</f>
        <v>18.854537624999999</v>
      </c>
      <c r="Z101" s="75">
        <f>$I101*$K101*py*Index!Y53*Index!Y194/unit</f>
        <v>18.854537624999999</v>
      </c>
      <c r="AA101" s="75">
        <f>$I101*$K101*py*Index!Z53*Index!Z194/unit</f>
        <v>18.854537624999999</v>
      </c>
      <c r="AB101" s="75">
        <f>$I101*$K101*py*Index!AA53*Index!AA194/unit</f>
        <v>18.854537624999999</v>
      </c>
      <c r="AC101" s="75">
        <f>$I101*$K101*py*Index!AB53*Index!AB194/unit</f>
        <v>18.854537624999999</v>
      </c>
      <c r="AD101" s="75">
        <f>$I101*$K101*py*Index!AC53*Index!AC194/unit</f>
        <v>18.854537624999999</v>
      </c>
      <c r="AE101" s="75">
        <f>$I101*$K101*py*Index!AD53*Index!AD194/unit</f>
        <v>18.854537624999999</v>
      </c>
      <c r="AF101" s="75">
        <f>$I101*$K101*py*Index!AE53*Index!AE194/unit</f>
        <v>19.420173753749999</v>
      </c>
      <c r="AG101" s="75">
        <f>$I101*$K101*py*Index!AF53*Index!AF194/unit</f>
        <v>19.420173753749999</v>
      </c>
      <c r="AH101" s="75">
        <f>$I101*$K101*py*Index!AG53*Index!AG194/unit</f>
        <v>19.420173753749999</v>
      </c>
      <c r="AI101" s="75">
        <f>$I101*$K101*py*Index!AH53*Index!AH194/unit</f>
        <v>19.420173753749999</v>
      </c>
      <c r="AJ101" s="75">
        <f>$I101*$K101*py*Index!AI53*Index!AI194/unit</f>
        <v>19.420173753749999</v>
      </c>
      <c r="AK101" s="75">
        <f>$I101*$K101*py*Index!AJ53*Index!AJ194/unit</f>
        <v>19.420173753749999</v>
      </c>
      <c r="AL101" s="75">
        <f>$I101*$K101*py*Index!AK53*Index!AK194/unit</f>
        <v>19.420173753749999</v>
      </c>
      <c r="AM101" s="75">
        <f>$I101*$K101*py*Index!AL53*Index!AL194/unit</f>
        <v>19.420173753749999</v>
      </c>
      <c r="AN101" s="75">
        <f>$I101*$K101*py*Index!AM53*Index!AM194/unit</f>
        <v>19.420173753749999</v>
      </c>
      <c r="AO101" s="75">
        <f>$I101*$K101*py*Index!AN53*Index!AN194/unit</f>
        <v>19.420173753749999</v>
      </c>
      <c r="AP101" s="75">
        <f>$I101*$K101*py*Index!AO53*Index!AO194/unit</f>
        <v>19.420173753749999</v>
      </c>
      <c r="AQ101" s="75">
        <f>$I101*$K101*py*Index!AP53*Index!AP194/unit</f>
        <v>19.420173753749999</v>
      </c>
      <c r="AR101" s="75">
        <f>$I101*$K101*py*Index!AQ53*Index!AQ194/unit</f>
        <v>20.002778966362499</v>
      </c>
      <c r="AS101" s="75">
        <f>$I101*$K101*py*Index!AR53*Index!AR194/unit</f>
        <v>20.002778966362499</v>
      </c>
      <c r="AT101" s="75">
        <f>$I101*$K101*py*Index!AS53*Index!AS194/unit</f>
        <v>20.002778966362499</v>
      </c>
      <c r="AU101" s="75">
        <f>$I101*$K101*py*Index!AT53*Index!AT194/unit</f>
        <v>20.002778966362499</v>
      </c>
      <c r="AV101" s="75">
        <f>$I101*$K101*py*Index!AU53*Index!AU194/unit</f>
        <v>20.002778966362499</v>
      </c>
      <c r="AW101" s="75">
        <f>$I101*$K101*py*Index!AV53*Index!AV194/unit</f>
        <v>20.002778966362499</v>
      </c>
      <c r="AX101" s="75">
        <f>$I101*$K101*py*Index!AW53*Index!AW194/unit</f>
        <v>20.002778966362499</v>
      </c>
      <c r="AY101" s="75">
        <f>$I101*$K101*py*Index!AX53*Index!AX194/unit</f>
        <v>20.002778966362499</v>
      </c>
      <c r="AZ101" s="75">
        <f>$I101*$K101*py*Index!AY53*Index!AY194/unit</f>
        <v>20.002778966362499</v>
      </c>
      <c r="BA101" s="75">
        <f>$I101*$K101*py*Index!AZ53*Index!AZ194/unit</f>
        <v>20.002778966362499</v>
      </c>
      <c r="BB101" s="75">
        <f>$I101*$K101*py*Index!BA53*Index!BA194/unit</f>
        <v>20.002778966362499</v>
      </c>
      <c r="BC101" s="75">
        <f>$I101*$K101*py*Index!BB53*Index!BB194/unit</f>
        <v>20.002778966362499</v>
      </c>
      <c r="BD101" s="75">
        <f>$I101*$K101*py*Index!BC53*Index!BC194/unit</f>
        <v>20.602862335353375</v>
      </c>
      <c r="BE101" s="75">
        <f>$I101*$K101*py*Index!BD53*Index!BD194/unit</f>
        <v>20.602862335353375</v>
      </c>
      <c r="BF101" s="75">
        <f>$I101*$K101*py*Index!BE53*Index!BE194/unit</f>
        <v>20.602862335353375</v>
      </c>
      <c r="BG101" s="75">
        <f>$I101*$K101*py*Index!BF53*Index!BF194/unit</f>
        <v>20.602862335353375</v>
      </c>
      <c r="BH101" s="75">
        <f>$I101*$K101*py*Index!BG53*Index!BG194/unit</f>
        <v>20.602862335353375</v>
      </c>
      <c r="BI101" s="75">
        <f>$I101*$K101*py*Index!BH53*Index!BH194/unit</f>
        <v>20.602862335353375</v>
      </c>
      <c r="BJ101" s="75">
        <f>$I101*$K101*py*Index!BI53*Index!BI194/unit</f>
        <v>20.602862335353375</v>
      </c>
      <c r="BK101" s="75">
        <f>$I101*$K101*py*Index!BJ53*Index!BJ194/unit</f>
        <v>20.602862335353375</v>
      </c>
      <c r="BL101" s="75">
        <f>$I101*$K101*py*Index!BK53*Index!BK194/unit</f>
        <v>20.602862335353375</v>
      </c>
      <c r="BM101" s="75">
        <f>$I101*$K101*py*Index!BL53*Index!BL194/unit</f>
        <v>20.602862335353375</v>
      </c>
      <c r="BN101" s="75">
        <f>$I101*$K101*py*Index!BM53*Index!BM194/unit</f>
        <v>20.602862335353375</v>
      </c>
      <c r="BO101" s="75">
        <f>$I101*$K101*py*Index!BN53*Index!BN194/unit</f>
        <v>20.602862335353375</v>
      </c>
      <c r="BP101" s="75">
        <f>$I101*$K101*py*Index!BO53*Index!BO194/unit</f>
        <v>21.220948205413976</v>
      </c>
      <c r="BQ101" s="75">
        <f>$I101*$K101*py*Index!BP53*Index!BP194/unit</f>
        <v>21.220948205413976</v>
      </c>
      <c r="BR101" s="75">
        <f>$I101*$K101*py*Index!BQ53*Index!BQ194/unit</f>
        <v>21.220948205413976</v>
      </c>
      <c r="BS101" s="75">
        <f>$I101*$K101*py*Index!BR53*Index!BR194/unit</f>
        <v>21.220948205413976</v>
      </c>
      <c r="BT101" s="75">
        <f>$I101*$K101*py*Index!BS53*Index!BS194/unit</f>
        <v>21.220948205413976</v>
      </c>
      <c r="BU101" s="75">
        <f>$I101*$K101*py*Index!BT53*Index!BT194/unit</f>
        <v>21.220948205413976</v>
      </c>
      <c r="BV101" s="75">
        <f>$I101*$K101*py*Index!BU53*Index!BU194/unit</f>
        <v>21.220948205413976</v>
      </c>
      <c r="BW101" s="75">
        <f>$I101*$K101*py*Index!BV53*Index!BV194/unit</f>
        <v>21.220948205413976</v>
      </c>
      <c r="BX101" s="75">
        <f>$I101*$K101*py*Index!BW53*Index!BW194/unit</f>
        <v>21.220948205413976</v>
      </c>
      <c r="BY101" s="75">
        <f>$I101*$K101*py*Index!BX53*Index!BX194/unit</f>
        <v>21.220948205413976</v>
      </c>
      <c r="BZ101" s="75">
        <f>$I101*$K101*py*Index!BY53*Index!BY194/unit</f>
        <v>21.220948205413976</v>
      </c>
      <c r="CA101" s="75">
        <f>$I101*$K101*py*Index!BZ53*Index!BZ194/unit</f>
        <v>21.220948205413976</v>
      </c>
      <c r="CB101" s="75">
        <f>$I101*$K101*py*Index!CA53*Index!CA194/unit</f>
        <v>0</v>
      </c>
      <c r="CC101" s="75">
        <f>$I101*$K101*py*Index!CB53*Index!CB194/unit</f>
        <v>0</v>
      </c>
      <c r="CD101" s="75">
        <f>$I101*$K101*py*Index!CC53*Index!CC194/unit</f>
        <v>0</v>
      </c>
      <c r="CE101" s="75">
        <f>$I101*$K101*py*Index!CD53*Index!CD194/unit</f>
        <v>0</v>
      </c>
      <c r="CF101" s="75">
        <f>$I101*$K101*py*Index!CE53*Index!CE194/unit</f>
        <v>0</v>
      </c>
      <c r="CG101" s="75">
        <f>$I101*$K101*py*Index!CF53*Index!CF194/unit</f>
        <v>0</v>
      </c>
      <c r="CH101" s="75">
        <f>$I101*$K101*py*Index!CG53*Index!CG194/unit</f>
        <v>0</v>
      </c>
      <c r="CI101" s="75">
        <f>$I101*$K101*py*Index!CH53*Index!CH194/unit</f>
        <v>0</v>
      </c>
      <c r="CJ101" s="75">
        <f>$I101*$K101*py*Index!CI53*Index!CI194/unit</f>
        <v>0</v>
      </c>
      <c r="CK101" s="75">
        <f>$I101*$K101*py*Index!CJ53*Index!CJ194/unit</f>
        <v>0</v>
      </c>
      <c r="CL101" s="75">
        <f>$I101*$K101*py*Index!CK53*Index!CK194/unit</f>
        <v>0</v>
      </c>
      <c r="CM101" s="75">
        <f>$I101*$K101*py*Index!CL53*Index!CL194/unit</f>
        <v>0</v>
      </c>
      <c r="CN101" s="75">
        <f>$I101*$K101*py*Index!CM53*Index!CM194/unit</f>
        <v>0</v>
      </c>
      <c r="CO101" s="75">
        <f>$I101*$K101*py*Index!CN53*Index!CN194/unit</f>
        <v>0</v>
      </c>
      <c r="CP101" s="75">
        <f>$I101*$K101*py*Index!CO53*Index!CO194/unit</f>
        <v>0</v>
      </c>
      <c r="CQ101" s="75">
        <f>$I101*$K101*py*Index!CP53*Index!CP194/unit</f>
        <v>0</v>
      </c>
      <c r="CR101" s="75">
        <f>$I101*$K101*py*Index!CQ53*Index!CQ194/unit</f>
        <v>0</v>
      </c>
      <c r="CS101" s="75">
        <f>$I101*$K101*py*Index!CR53*Index!CR194/unit</f>
        <v>0</v>
      </c>
      <c r="CT101" s="75">
        <f>$I101*$K101*py*Index!CS53*Index!CS194/unit</f>
        <v>0</v>
      </c>
      <c r="CU101" s="75">
        <f>$I101*$K101*py*Index!CT53*Index!CT194/unit</f>
        <v>0</v>
      </c>
      <c r="CV101" s="75">
        <f>$I101*$K101*py*Index!CU53*Index!CU194/unit</f>
        <v>0</v>
      </c>
      <c r="CW101" s="75">
        <f>$I101*$K101*py*Index!CV53*Index!CV194/unit</f>
        <v>0</v>
      </c>
      <c r="CX101" s="75">
        <f>$I101*$K101*py*Index!CW53*Index!CW194/unit</f>
        <v>0</v>
      </c>
      <c r="CY101" s="75">
        <f>$I101*$K101*py*Index!CX53*Index!CX194/unit</f>
        <v>0</v>
      </c>
      <c r="CZ101" s="75">
        <f>$I101*$K101*py*Index!CY53*Index!CY194/unit</f>
        <v>0</v>
      </c>
      <c r="DA101" s="75">
        <f>$I101*$K101*py*Index!CZ53*Index!CZ194/unit</f>
        <v>0</v>
      </c>
      <c r="DB101" s="75">
        <f>$I101*$K101*py*Index!DA53*Index!DA194/unit</f>
        <v>0</v>
      </c>
      <c r="DC101" s="75">
        <f>$I101*$K101*py*Index!DB53*Index!DB194/unit</f>
        <v>0</v>
      </c>
      <c r="DD101" s="75">
        <f>$I101*$K101*py*Index!DC53*Index!DC194/unit</f>
        <v>0</v>
      </c>
      <c r="DE101" s="75">
        <f>$I101*$K101*py*Index!DD53*Index!DD194/unit</f>
        <v>0</v>
      </c>
      <c r="DF101" s="75">
        <f>$I101*$K101*py*Index!DE53*Index!DE194/unit</f>
        <v>0</v>
      </c>
      <c r="DG101" s="75">
        <f>$I101*$K101*py*Index!DF53*Index!DF194/unit</f>
        <v>0</v>
      </c>
      <c r="DH101" s="75">
        <f>$I101*$K101*py*Index!DG53*Index!DG194/unit</f>
        <v>0</v>
      </c>
      <c r="DI101" s="75">
        <f>$I101*$K101*py*Index!DH53*Index!DH194/unit</f>
        <v>0</v>
      </c>
      <c r="DJ101" s="75">
        <f>$I101*$K101*py*Index!DI53*Index!DI194/unit</f>
        <v>0</v>
      </c>
      <c r="DK101" s="75">
        <f>$I101*$K101*py*Index!DJ53*Index!DJ194/unit</f>
        <v>0</v>
      </c>
      <c r="DL101" s="75">
        <f>$I101*$K101*py*Index!DK53*Index!DK194/unit</f>
        <v>0</v>
      </c>
      <c r="DM101" s="75">
        <f>$I101*$K101*py*Index!DL53*Index!DL194/unit</f>
        <v>0</v>
      </c>
    </row>
    <row r="102" spans="2:117">
      <c r="B102" s="27" t="str">
        <f>Rentroll!$C$52</f>
        <v>201호</v>
      </c>
      <c r="C102" s="69" t="str">
        <f>VLOOKUP($B102,Rentroll!$C$37:$Z$60,3,FALSE)</f>
        <v>RMW CARNE</v>
      </c>
      <c r="D102" s="80">
        <f>VLOOKUP($B102,Rentroll!$C$37:$Z$60,9,FALSE)</f>
        <v>45747</v>
      </c>
      <c r="E102" s="80">
        <f>VLOOKUP($B102,Rentroll!$C$37:$Z$60,10,FALSE)</f>
        <v>47573</v>
      </c>
      <c r="F102" s="81">
        <f>VLOOKUP($B102,Rentroll!$C$37:$Z$60,11,FALSE)</f>
        <v>60</v>
      </c>
      <c r="G102" s="69">
        <f>VLOOKUP($B102,Rentroll!$C$37:$Z$60,13,FALSE)</f>
        <v>130000</v>
      </c>
      <c r="H102" s="69">
        <f>VLOOKUP($B102,Rentroll!$C$37:$Z$60,14,FALSE)</f>
        <v>130000</v>
      </c>
      <c r="I102" s="69">
        <f>VLOOKUP($B102,Rentroll!$C$37:$Z$60,15,FALSE)</f>
        <v>45000</v>
      </c>
      <c r="J102" s="82">
        <f>VLOOKUP($B102,Rentroll!$C$37:$Z$60,19,FALSE)</f>
        <v>0.03</v>
      </c>
      <c r="K102" s="83">
        <f>VLOOKUP($B102,Rentroll!$C$37:$Z$60,4,FALSE)</f>
        <v>346.27249999999998</v>
      </c>
      <c r="L102" s="81">
        <f>VLOOKUP($B102,Rentroll!$C$37:$Z$60,17,FALSE)</f>
        <v>2</v>
      </c>
      <c r="M102" s="84">
        <f>VLOOKUP($B102,Rentroll!$C$37:$Z$60,18,FALSE)</f>
        <v>0</v>
      </c>
      <c r="O102" s="74" t="str">
        <f t="shared" si="219"/>
        <v>201호</v>
      </c>
      <c r="P102" s="75"/>
      <c r="Q102" s="75">
        <f t="shared" si="215"/>
        <v>289.69342855493278</v>
      </c>
      <c r="R102" s="75"/>
      <c r="S102" s="75">
        <f>$I102*$K102*py*Index!R54*Index!R195/unit</f>
        <v>0</v>
      </c>
      <c r="T102" s="75">
        <f>$I102*$K102*py*Index!S54*Index!S195/unit</f>
        <v>0</v>
      </c>
      <c r="U102" s="75">
        <f>$I102*$K102*py*Index!T54*Index!T195/unit</f>
        <v>0</v>
      </c>
      <c r="V102" s="75">
        <f>$I102*$K102*py*Index!U54*Index!U195/unit</f>
        <v>4.7136344062499997</v>
      </c>
      <c r="W102" s="75">
        <f>$I102*$K102*py*Index!V54*Index!V195/unit</f>
        <v>4.7136344062499997</v>
      </c>
      <c r="X102" s="75">
        <f>$I102*$K102*py*Index!W54*Index!W195/unit</f>
        <v>4.7136344062499997</v>
      </c>
      <c r="Y102" s="75">
        <f>$I102*$K102*py*Index!X54*Index!X195/unit</f>
        <v>4.7136344062499997</v>
      </c>
      <c r="Z102" s="75">
        <f>$I102*$K102*py*Index!Y54*Index!Y195/unit</f>
        <v>4.7136344062499997</v>
      </c>
      <c r="AA102" s="75">
        <f>$I102*$K102*py*Index!Z54*Index!Z195/unit</f>
        <v>4.7136344062499997</v>
      </c>
      <c r="AB102" s="75">
        <f>$I102*$K102*py*Index!AA54*Index!AA195/unit</f>
        <v>4.7136344062499997</v>
      </c>
      <c r="AC102" s="75">
        <f>$I102*$K102*py*Index!AB54*Index!AB195/unit</f>
        <v>4.7136344062499997</v>
      </c>
      <c r="AD102" s="75">
        <f>$I102*$K102*py*Index!AC54*Index!AC195/unit</f>
        <v>4.7136344062499997</v>
      </c>
      <c r="AE102" s="75">
        <f>$I102*$K102*py*Index!AD54*Index!AD195/unit</f>
        <v>4.7136344062499997</v>
      </c>
      <c r="AF102" s="75">
        <f>$I102*$K102*py*Index!AE54*Index!AE195/unit</f>
        <v>4.7136344062499997</v>
      </c>
      <c r="AG102" s="75">
        <f>$I102*$K102*py*Index!AF54*Index!AF195/unit</f>
        <v>4.7136344062499997</v>
      </c>
      <c r="AH102" s="75">
        <f>$I102*$K102*py*Index!AG54*Index!AG195/unit</f>
        <v>4.8550434384374999</v>
      </c>
      <c r="AI102" s="75">
        <f>$I102*$K102*py*Index!AH54*Index!AH195/unit</f>
        <v>4.8550434384374999</v>
      </c>
      <c r="AJ102" s="75">
        <f>$I102*$K102*py*Index!AI54*Index!AI195/unit</f>
        <v>4.8550434384374999</v>
      </c>
      <c r="AK102" s="75">
        <f>$I102*$K102*py*Index!AJ54*Index!AJ195/unit</f>
        <v>4.8550434384374999</v>
      </c>
      <c r="AL102" s="75">
        <f>$I102*$K102*py*Index!AK54*Index!AK195/unit</f>
        <v>4.8550434384374999</v>
      </c>
      <c r="AM102" s="75">
        <f>$I102*$K102*py*Index!AL54*Index!AL195/unit</f>
        <v>4.8550434384374999</v>
      </c>
      <c r="AN102" s="75">
        <f>$I102*$K102*py*Index!AM54*Index!AM195/unit</f>
        <v>4.8550434384374999</v>
      </c>
      <c r="AO102" s="75">
        <f>$I102*$K102*py*Index!AN54*Index!AN195/unit</f>
        <v>4.8550434384374999</v>
      </c>
      <c r="AP102" s="75">
        <f>$I102*$K102*py*Index!AO54*Index!AO195/unit</f>
        <v>4.8550434384374999</v>
      </c>
      <c r="AQ102" s="75">
        <f>$I102*$K102*py*Index!AP54*Index!AP195/unit</f>
        <v>4.8550434384374999</v>
      </c>
      <c r="AR102" s="75">
        <f>$I102*$K102*py*Index!AQ54*Index!AQ195/unit</f>
        <v>4.8550434384374999</v>
      </c>
      <c r="AS102" s="75">
        <f>$I102*$K102*py*Index!AR54*Index!AR195/unit</f>
        <v>4.8550434384374999</v>
      </c>
      <c r="AT102" s="75">
        <f>$I102*$K102*py*Index!AS54*Index!AS195/unit</f>
        <v>5.0006947415906247</v>
      </c>
      <c r="AU102" s="75">
        <f>$I102*$K102*py*Index!AT54*Index!AT195/unit</f>
        <v>5.0006947415906247</v>
      </c>
      <c r="AV102" s="75">
        <f>$I102*$K102*py*Index!AU54*Index!AU195/unit</f>
        <v>5.0006947415906247</v>
      </c>
      <c r="AW102" s="75">
        <f>$I102*$K102*py*Index!AV54*Index!AV195/unit</f>
        <v>5.0006947415906247</v>
      </c>
      <c r="AX102" s="75">
        <f>$I102*$K102*py*Index!AW54*Index!AW195/unit</f>
        <v>5.0006947415906247</v>
      </c>
      <c r="AY102" s="75">
        <f>$I102*$K102*py*Index!AX54*Index!AX195/unit</f>
        <v>5.0006947415906247</v>
      </c>
      <c r="AZ102" s="75">
        <f>$I102*$K102*py*Index!AY54*Index!AY195/unit</f>
        <v>5.0006947415906247</v>
      </c>
      <c r="BA102" s="75">
        <f>$I102*$K102*py*Index!AZ54*Index!AZ195/unit</f>
        <v>5.0006947415906247</v>
      </c>
      <c r="BB102" s="75">
        <f>$I102*$K102*py*Index!BA54*Index!BA195/unit</f>
        <v>5.0006947415906247</v>
      </c>
      <c r="BC102" s="75">
        <f>$I102*$K102*py*Index!BB54*Index!BB195/unit</f>
        <v>5.0006947415906247</v>
      </c>
      <c r="BD102" s="75">
        <f>$I102*$K102*py*Index!BC54*Index!BC195/unit</f>
        <v>5.0006947415906247</v>
      </c>
      <c r="BE102" s="75">
        <f>$I102*$K102*py*Index!BD54*Index!BD195/unit</f>
        <v>5.0006947415906247</v>
      </c>
      <c r="BF102" s="75">
        <f>$I102*$K102*py*Index!BE54*Index!BE195/unit</f>
        <v>5.1507155838383438</v>
      </c>
      <c r="BG102" s="75">
        <f>$I102*$K102*py*Index!BF54*Index!BF195/unit</f>
        <v>5.1507155838383438</v>
      </c>
      <c r="BH102" s="75">
        <f>$I102*$K102*py*Index!BG54*Index!BG195/unit</f>
        <v>5.1507155838383438</v>
      </c>
      <c r="BI102" s="75">
        <f>$I102*$K102*py*Index!BH54*Index!BH195/unit</f>
        <v>5.1507155838383438</v>
      </c>
      <c r="BJ102" s="75">
        <f>$I102*$K102*py*Index!BI54*Index!BI195/unit</f>
        <v>5.1507155838383438</v>
      </c>
      <c r="BK102" s="75">
        <f>$I102*$K102*py*Index!BJ54*Index!BJ195/unit</f>
        <v>5.1507155838383438</v>
      </c>
      <c r="BL102" s="75">
        <f>$I102*$K102*py*Index!BK54*Index!BK195/unit</f>
        <v>5.1507155838383438</v>
      </c>
      <c r="BM102" s="75">
        <f>$I102*$K102*py*Index!BL54*Index!BL195/unit</f>
        <v>5.1507155838383438</v>
      </c>
      <c r="BN102" s="75">
        <f>$I102*$K102*py*Index!BM54*Index!BM195/unit</f>
        <v>5.1507155838383438</v>
      </c>
      <c r="BO102" s="75">
        <f>$I102*$K102*py*Index!BN54*Index!BN195/unit</f>
        <v>5.1507155838383438</v>
      </c>
      <c r="BP102" s="75">
        <f>$I102*$K102*py*Index!BO54*Index!BO195/unit</f>
        <v>5.1507155838383438</v>
      </c>
      <c r="BQ102" s="75">
        <f>$I102*$K102*py*Index!BP54*Index!BP195/unit</f>
        <v>5.1507155838383438</v>
      </c>
      <c r="BR102" s="75">
        <f>$I102*$K102*py*Index!BQ54*Index!BQ195/unit</f>
        <v>5.3052370513534939</v>
      </c>
      <c r="BS102" s="75">
        <f>$I102*$K102*py*Index!BR54*Index!BR195/unit</f>
        <v>5.3052370513534939</v>
      </c>
      <c r="BT102" s="75">
        <f>$I102*$K102*py*Index!BS54*Index!BS195/unit</f>
        <v>5.3052370513534939</v>
      </c>
      <c r="BU102" s="75">
        <f>$I102*$K102*py*Index!BT54*Index!BT195/unit</f>
        <v>5.3052370513534939</v>
      </c>
      <c r="BV102" s="75">
        <f>$I102*$K102*py*Index!BU54*Index!BU195/unit</f>
        <v>5.3052370513534939</v>
      </c>
      <c r="BW102" s="75">
        <f>$I102*$K102*py*Index!BV54*Index!BV195/unit</f>
        <v>5.3052370513534939</v>
      </c>
      <c r="BX102" s="75">
        <f>$I102*$K102*py*Index!BW54*Index!BW195/unit</f>
        <v>5.3052370513534939</v>
      </c>
      <c r="BY102" s="75">
        <f>$I102*$K102*py*Index!BX54*Index!BX195/unit</f>
        <v>5.3052370513534939</v>
      </c>
      <c r="BZ102" s="75">
        <f>$I102*$K102*py*Index!BY54*Index!BY195/unit</f>
        <v>5.3052370513534939</v>
      </c>
      <c r="CA102" s="75">
        <f>$I102*$K102*py*Index!BZ54*Index!BZ195/unit</f>
        <v>5.3052370513534939</v>
      </c>
      <c r="CB102" s="75">
        <f>$I102*$K102*py*Index!CA54*Index!CA195/unit</f>
        <v>0</v>
      </c>
      <c r="CC102" s="75">
        <f>$I102*$K102*py*Index!CB54*Index!CB195/unit</f>
        <v>0</v>
      </c>
      <c r="CD102" s="75">
        <f>$I102*$K102*py*Index!CC54*Index!CC195/unit</f>
        <v>0</v>
      </c>
      <c r="CE102" s="75">
        <f>$I102*$K102*py*Index!CD54*Index!CD195/unit</f>
        <v>0</v>
      </c>
      <c r="CF102" s="75">
        <f>$I102*$K102*py*Index!CE54*Index!CE195/unit</f>
        <v>0</v>
      </c>
      <c r="CG102" s="75">
        <f>$I102*$K102*py*Index!CF54*Index!CF195/unit</f>
        <v>0</v>
      </c>
      <c r="CH102" s="75">
        <f>$I102*$K102*py*Index!CG54*Index!CG195/unit</f>
        <v>0</v>
      </c>
      <c r="CI102" s="75">
        <f>$I102*$K102*py*Index!CH54*Index!CH195/unit</f>
        <v>0</v>
      </c>
      <c r="CJ102" s="75">
        <f>$I102*$K102*py*Index!CI54*Index!CI195/unit</f>
        <v>0</v>
      </c>
      <c r="CK102" s="75">
        <f>$I102*$K102*py*Index!CJ54*Index!CJ195/unit</f>
        <v>0</v>
      </c>
      <c r="CL102" s="75">
        <f>$I102*$K102*py*Index!CK54*Index!CK195/unit</f>
        <v>0</v>
      </c>
      <c r="CM102" s="75">
        <f>$I102*$K102*py*Index!CL54*Index!CL195/unit</f>
        <v>0</v>
      </c>
      <c r="CN102" s="75">
        <f>$I102*$K102*py*Index!CM54*Index!CM195/unit</f>
        <v>0</v>
      </c>
      <c r="CO102" s="75">
        <f>$I102*$K102*py*Index!CN54*Index!CN195/unit</f>
        <v>0</v>
      </c>
      <c r="CP102" s="75">
        <f>$I102*$K102*py*Index!CO54*Index!CO195/unit</f>
        <v>0</v>
      </c>
      <c r="CQ102" s="75">
        <f>$I102*$K102*py*Index!CP54*Index!CP195/unit</f>
        <v>0</v>
      </c>
      <c r="CR102" s="75">
        <f>$I102*$K102*py*Index!CQ54*Index!CQ195/unit</f>
        <v>0</v>
      </c>
      <c r="CS102" s="75">
        <f>$I102*$K102*py*Index!CR54*Index!CR195/unit</f>
        <v>0</v>
      </c>
      <c r="CT102" s="75">
        <f>$I102*$K102*py*Index!CS54*Index!CS195/unit</f>
        <v>0</v>
      </c>
      <c r="CU102" s="75">
        <f>$I102*$K102*py*Index!CT54*Index!CT195/unit</f>
        <v>0</v>
      </c>
      <c r="CV102" s="75">
        <f>$I102*$K102*py*Index!CU54*Index!CU195/unit</f>
        <v>0</v>
      </c>
      <c r="CW102" s="75">
        <f>$I102*$K102*py*Index!CV54*Index!CV195/unit</f>
        <v>0</v>
      </c>
      <c r="CX102" s="75">
        <f>$I102*$K102*py*Index!CW54*Index!CW195/unit</f>
        <v>0</v>
      </c>
      <c r="CY102" s="75">
        <f>$I102*$K102*py*Index!CX54*Index!CX195/unit</f>
        <v>0</v>
      </c>
      <c r="CZ102" s="75">
        <f>$I102*$K102*py*Index!CY54*Index!CY195/unit</f>
        <v>0</v>
      </c>
      <c r="DA102" s="75">
        <f>$I102*$K102*py*Index!CZ54*Index!CZ195/unit</f>
        <v>0</v>
      </c>
      <c r="DB102" s="75">
        <f>$I102*$K102*py*Index!DA54*Index!DA195/unit</f>
        <v>0</v>
      </c>
      <c r="DC102" s="75">
        <f>$I102*$K102*py*Index!DB54*Index!DB195/unit</f>
        <v>0</v>
      </c>
      <c r="DD102" s="75">
        <f>$I102*$K102*py*Index!DC54*Index!DC195/unit</f>
        <v>0</v>
      </c>
      <c r="DE102" s="75">
        <f>$I102*$K102*py*Index!DD54*Index!DD195/unit</f>
        <v>0</v>
      </c>
      <c r="DF102" s="75">
        <f>$I102*$K102*py*Index!DE54*Index!DE195/unit</f>
        <v>0</v>
      </c>
      <c r="DG102" s="75">
        <f>$I102*$K102*py*Index!DF54*Index!DF195/unit</f>
        <v>0</v>
      </c>
      <c r="DH102" s="75">
        <f>$I102*$K102*py*Index!DG54*Index!DG195/unit</f>
        <v>0</v>
      </c>
      <c r="DI102" s="75">
        <f>$I102*$K102*py*Index!DH54*Index!DH195/unit</f>
        <v>0</v>
      </c>
      <c r="DJ102" s="75">
        <f>$I102*$K102*py*Index!DI54*Index!DI195/unit</f>
        <v>0</v>
      </c>
      <c r="DK102" s="75">
        <f>$I102*$K102*py*Index!DJ54*Index!DJ195/unit</f>
        <v>0</v>
      </c>
      <c r="DL102" s="75">
        <f>$I102*$K102*py*Index!DK54*Index!DK195/unit</f>
        <v>0</v>
      </c>
      <c r="DM102" s="75">
        <f>$I102*$K102*py*Index!DL54*Index!DL195/unit</f>
        <v>0</v>
      </c>
    </row>
    <row r="103" spans="2:117">
      <c r="B103" s="27" t="str">
        <f>Rentroll!$C$53</f>
        <v>202호</v>
      </c>
      <c r="C103" s="69" t="str">
        <f>VLOOKUP($B103,Rentroll!$C$37:$Z$60,3,FALSE)</f>
        <v>키이로</v>
      </c>
      <c r="D103" s="80">
        <f>VLOOKUP($B103,Rentroll!$C$37:$Z$60,9,FALSE)</f>
        <v>45747</v>
      </c>
      <c r="E103" s="80">
        <f>VLOOKUP($B103,Rentroll!$C$37:$Z$60,10,FALSE)</f>
        <v>47573</v>
      </c>
      <c r="F103" s="81">
        <f>VLOOKUP($B103,Rentroll!$C$37:$Z$60,11,FALSE)</f>
        <v>60</v>
      </c>
      <c r="G103" s="69">
        <f>VLOOKUP($B103,Rentroll!$C$37:$Z$60,13,FALSE)</f>
        <v>130000</v>
      </c>
      <c r="H103" s="69">
        <f>VLOOKUP($B103,Rentroll!$C$37:$Z$60,14,FALSE)</f>
        <v>130000</v>
      </c>
      <c r="I103" s="69">
        <f>VLOOKUP($B103,Rentroll!$C$37:$Z$60,15,FALSE)</f>
        <v>45000</v>
      </c>
      <c r="J103" s="82">
        <f>VLOOKUP($B103,Rentroll!$C$37:$Z$60,19,FALSE)</f>
        <v>0.03</v>
      </c>
      <c r="K103" s="83">
        <f>VLOOKUP($B103,Rentroll!$C$37:$Z$60,4,FALSE)</f>
        <v>346.27249999999998</v>
      </c>
      <c r="L103" s="81">
        <f>VLOOKUP($B103,Rentroll!$C$37:$Z$60,17,FALSE)</f>
        <v>2</v>
      </c>
      <c r="M103" s="84">
        <f>VLOOKUP($B103,Rentroll!$C$37:$Z$60,18,FALSE)</f>
        <v>0</v>
      </c>
      <c r="O103" s="74" t="str">
        <f t="shared" si="219"/>
        <v>202호</v>
      </c>
      <c r="P103" s="75"/>
      <c r="Q103" s="75">
        <f t="shared" si="215"/>
        <v>289.69342855493278</v>
      </c>
      <c r="R103" s="75"/>
      <c r="S103" s="75">
        <f>$I103*$K103*py*Index!R55*Index!R196/unit</f>
        <v>0</v>
      </c>
      <c r="T103" s="75">
        <f>$I103*$K103*py*Index!S55*Index!S196/unit</f>
        <v>0</v>
      </c>
      <c r="U103" s="75">
        <f>$I103*$K103*py*Index!T55*Index!T196/unit</f>
        <v>0</v>
      </c>
      <c r="V103" s="75">
        <f>$I103*$K103*py*Index!U55*Index!U196/unit</f>
        <v>4.7136344062499997</v>
      </c>
      <c r="W103" s="75">
        <f>$I103*$K103*py*Index!V55*Index!V196/unit</f>
        <v>4.7136344062499997</v>
      </c>
      <c r="X103" s="75">
        <f>$I103*$K103*py*Index!W55*Index!W196/unit</f>
        <v>4.7136344062499997</v>
      </c>
      <c r="Y103" s="75">
        <f>$I103*$K103*py*Index!X55*Index!X196/unit</f>
        <v>4.7136344062499997</v>
      </c>
      <c r="Z103" s="75">
        <f>$I103*$K103*py*Index!Y55*Index!Y196/unit</f>
        <v>4.7136344062499997</v>
      </c>
      <c r="AA103" s="75">
        <f>$I103*$K103*py*Index!Z55*Index!Z196/unit</f>
        <v>4.7136344062499997</v>
      </c>
      <c r="AB103" s="75">
        <f>$I103*$K103*py*Index!AA55*Index!AA196/unit</f>
        <v>4.7136344062499997</v>
      </c>
      <c r="AC103" s="75">
        <f>$I103*$K103*py*Index!AB55*Index!AB196/unit</f>
        <v>4.7136344062499997</v>
      </c>
      <c r="AD103" s="75">
        <f>$I103*$K103*py*Index!AC55*Index!AC196/unit</f>
        <v>4.7136344062499997</v>
      </c>
      <c r="AE103" s="75">
        <f>$I103*$K103*py*Index!AD55*Index!AD196/unit</f>
        <v>4.7136344062499997</v>
      </c>
      <c r="AF103" s="75">
        <f>$I103*$K103*py*Index!AE55*Index!AE196/unit</f>
        <v>4.7136344062499997</v>
      </c>
      <c r="AG103" s="75">
        <f>$I103*$K103*py*Index!AF55*Index!AF196/unit</f>
        <v>4.7136344062499997</v>
      </c>
      <c r="AH103" s="75">
        <f>$I103*$K103*py*Index!AG55*Index!AG196/unit</f>
        <v>4.8550434384374999</v>
      </c>
      <c r="AI103" s="75">
        <f>$I103*$K103*py*Index!AH55*Index!AH196/unit</f>
        <v>4.8550434384374999</v>
      </c>
      <c r="AJ103" s="75">
        <f>$I103*$K103*py*Index!AI55*Index!AI196/unit</f>
        <v>4.8550434384374999</v>
      </c>
      <c r="AK103" s="75">
        <f>$I103*$K103*py*Index!AJ55*Index!AJ196/unit</f>
        <v>4.8550434384374999</v>
      </c>
      <c r="AL103" s="75">
        <f>$I103*$K103*py*Index!AK55*Index!AK196/unit</f>
        <v>4.8550434384374999</v>
      </c>
      <c r="AM103" s="75">
        <f>$I103*$K103*py*Index!AL55*Index!AL196/unit</f>
        <v>4.8550434384374999</v>
      </c>
      <c r="AN103" s="75">
        <f>$I103*$K103*py*Index!AM55*Index!AM196/unit</f>
        <v>4.8550434384374999</v>
      </c>
      <c r="AO103" s="75">
        <f>$I103*$K103*py*Index!AN55*Index!AN196/unit</f>
        <v>4.8550434384374999</v>
      </c>
      <c r="AP103" s="75">
        <f>$I103*$K103*py*Index!AO55*Index!AO196/unit</f>
        <v>4.8550434384374999</v>
      </c>
      <c r="AQ103" s="75">
        <f>$I103*$K103*py*Index!AP55*Index!AP196/unit</f>
        <v>4.8550434384374999</v>
      </c>
      <c r="AR103" s="75">
        <f>$I103*$K103*py*Index!AQ55*Index!AQ196/unit</f>
        <v>4.8550434384374999</v>
      </c>
      <c r="AS103" s="75">
        <f>$I103*$K103*py*Index!AR55*Index!AR196/unit</f>
        <v>4.8550434384374999</v>
      </c>
      <c r="AT103" s="75">
        <f>$I103*$K103*py*Index!AS55*Index!AS196/unit</f>
        <v>5.0006947415906247</v>
      </c>
      <c r="AU103" s="75">
        <f>$I103*$K103*py*Index!AT55*Index!AT196/unit</f>
        <v>5.0006947415906247</v>
      </c>
      <c r="AV103" s="75">
        <f>$I103*$K103*py*Index!AU55*Index!AU196/unit</f>
        <v>5.0006947415906247</v>
      </c>
      <c r="AW103" s="75">
        <f>$I103*$K103*py*Index!AV55*Index!AV196/unit</f>
        <v>5.0006947415906247</v>
      </c>
      <c r="AX103" s="75">
        <f>$I103*$K103*py*Index!AW55*Index!AW196/unit</f>
        <v>5.0006947415906247</v>
      </c>
      <c r="AY103" s="75">
        <f>$I103*$K103*py*Index!AX55*Index!AX196/unit</f>
        <v>5.0006947415906247</v>
      </c>
      <c r="AZ103" s="75">
        <f>$I103*$K103*py*Index!AY55*Index!AY196/unit</f>
        <v>5.0006947415906247</v>
      </c>
      <c r="BA103" s="75">
        <f>$I103*$K103*py*Index!AZ55*Index!AZ196/unit</f>
        <v>5.0006947415906247</v>
      </c>
      <c r="BB103" s="75">
        <f>$I103*$K103*py*Index!BA55*Index!BA196/unit</f>
        <v>5.0006947415906247</v>
      </c>
      <c r="BC103" s="75">
        <f>$I103*$K103*py*Index!BB55*Index!BB196/unit</f>
        <v>5.0006947415906247</v>
      </c>
      <c r="BD103" s="75">
        <f>$I103*$K103*py*Index!BC55*Index!BC196/unit</f>
        <v>5.0006947415906247</v>
      </c>
      <c r="BE103" s="75">
        <f>$I103*$K103*py*Index!BD55*Index!BD196/unit</f>
        <v>5.0006947415906247</v>
      </c>
      <c r="BF103" s="75">
        <f>$I103*$K103*py*Index!BE55*Index!BE196/unit</f>
        <v>5.1507155838383438</v>
      </c>
      <c r="BG103" s="75">
        <f>$I103*$K103*py*Index!BF55*Index!BF196/unit</f>
        <v>5.1507155838383438</v>
      </c>
      <c r="BH103" s="75">
        <f>$I103*$K103*py*Index!BG55*Index!BG196/unit</f>
        <v>5.1507155838383438</v>
      </c>
      <c r="BI103" s="75">
        <f>$I103*$K103*py*Index!BH55*Index!BH196/unit</f>
        <v>5.1507155838383438</v>
      </c>
      <c r="BJ103" s="75">
        <f>$I103*$K103*py*Index!BI55*Index!BI196/unit</f>
        <v>5.1507155838383438</v>
      </c>
      <c r="BK103" s="75">
        <f>$I103*$K103*py*Index!BJ55*Index!BJ196/unit</f>
        <v>5.1507155838383438</v>
      </c>
      <c r="BL103" s="75">
        <f>$I103*$K103*py*Index!BK55*Index!BK196/unit</f>
        <v>5.1507155838383438</v>
      </c>
      <c r="BM103" s="75">
        <f>$I103*$K103*py*Index!BL55*Index!BL196/unit</f>
        <v>5.1507155838383438</v>
      </c>
      <c r="BN103" s="75">
        <f>$I103*$K103*py*Index!BM55*Index!BM196/unit</f>
        <v>5.1507155838383438</v>
      </c>
      <c r="BO103" s="75">
        <f>$I103*$K103*py*Index!BN55*Index!BN196/unit</f>
        <v>5.1507155838383438</v>
      </c>
      <c r="BP103" s="75">
        <f>$I103*$K103*py*Index!BO55*Index!BO196/unit</f>
        <v>5.1507155838383438</v>
      </c>
      <c r="BQ103" s="75">
        <f>$I103*$K103*py*Index!BP55*Index!BP196/unit</f>
        <v>5.1507155838383438</v>
      </c>
      <c r="BR103" s="75">
        <f>$I103*$K103*py*Index!BQ55*Index!BQ196/unit</f>
        <v>5.3052370513534939</v>
      </c>
      <c r="BS103" s="75">
        <f>$I103*$K103*py*Index!BR55*Index!BR196/unit</f>
        <v>5.3052370513534939</v>
      </c>
      <c r="BT103" s="75">
        <f>$I103*$K103*py*Index!BS55*Index!BS196/unit</f>
        <v>5.3052370513534939</v>
      </c>
      <c r="BU103" s="75">
        <f>$I103*$K103*py*Index!BT55*Index!BT196/unit</f>
        <v>5.3052370513534939</v>
      </c>
      <c r="BV103" s="75">
        <f>$I103*$K103*py*Index!BU55*Index!BU196/unit</f>
        <v>5.3052370513534939</v>
      </c>
      <c r="BW103" s="75">
        <f>$I103*$K103*py*Index!BV55*Index!BV196/unit</f>
        <v>5.3052370513534939</v>
      </c>
      <c r="BX103" s="75">
        <f>$I103*$K103*py*Index!BW55*Index!BW196/unit</f>
        <v>5.3052370513534939</v>
      </c>
      <c r="BY103" s="75">
        <f>$I103*$K103*py*Index!BX55*Index!BX196/unit</f>
        <v>5.3052370513534939</v>
      </c>
      <c r="BZ103" s="75">
        <f>$I103*$K103*py*Index!BY55*Index!BY196/unit</f>
        <v>5.3052370513534939</v>
      </c>
      <c r="CA103" s="75">
        <f>$I103*$K103*py*Index!BZ55*Index!BZ196/unit</f>
        <v>5.3052370513534939</v>
      </c>
      <c r="CB103" s="75">
        <f>$I103*$K103*py*Index!CA55*Index!CA196/unit</f>
        <v>0</v>
      </c>
      <c r="CC103" s="75">
        <f>$I103*$K103*py*Index!CB55*Index!CB196/unit</f>
        <v>0</v>
      </c>
      <c r="CD103" s="75">
        <f>$I103*$K103*py*Index!CC55*Index!CC196/unit</f>
        <v>0</v>
      </c>
      <c r="CE103" s="75">
        <f>$I103*$K103*py*Index!CD55*Index!CD196/unit</f>
        <v>0</v>
      </c>
      <c r="CF103" s="75">
        <f>$I103*$K103*py*Index!CE55*Index!CE196/unit</f>
        <v>0</v>
      </c>
      <c r="CG103" s="75">
        <f>$I103*$K103*py*Index!CF55*Index!CF196/unit</f>
        <v>0</v>
      </c>
      <c r="CH103" s="75">
        <f>$I103*$K103*py*Index!CG55*Index!CG196/unit</f>
        <v>0</v>
      </c>
      <c r="CI103" s="75">
        <f>$I103*$K103*py*Index!CH55*Index!CH196/unit</f>
        <v>0</v>
      </c>
      <c r="CJ103" s="75">
        <f>$I103*$K103*py*Index!CI55*Index!CI196/unit</f>
        <v>0</v>
      </c>
      <c r="CK103" s="75">
        <f>$I103*$K103*py*Index!CJ55*Index!CJ196/unit</f>
        <v>0</v>
      </c>
      <c r="CL103" s="75">
        <f>$I103*$K103*py*Index!CK55*Index!CK196/unit</f>
        <v>0</v>
      </c>
      <c r="CM103" s="75">
        <f>$I103*$K103*py*Index!CL55*Index!CL196/unit</f>
        <v>0</v>
      </c>
      <c r="CN103" s="75">
        <f>$I103*$K103*py*Index!CM55*Index!CM196/unit</f>
        <v>0</v>
      </c>
      <c r="CO103" s="75">
        <f>$I103*$K103*py*Index!CN55*Index!CN196/unit</f>
        <v>0</v>
      </c>
      <c r="CP103" s="75">
        <f>$I103*$K103*py*Index!CO55*Index!CO196/unit</f>
        <v>0</v>
      </c>
      <c r="CQ103" s="75">
        <f>$I103*$K103*py*Index!CP55*Index!CP196/unit</f>
        <v>0</v>
      </c>
      <c r="CR103" s="75">
        <f>$I103*$K103*py*Index!CQ55*Index!CQ196/unit</f>
        <v>0</v>
      </c>
      <c r="CS103" s="75">
        <f>$I103*$K103*py*Index!CR55*Index!CR196/unit</f>
        <v>0</v>
      </c>
      <c r="CT103" s="75">
        <f>$I103*$K103*py*Index!CS55*Index!CS196/unit</f>
        <v>0</v>
      </c>
      <c r="CU103" s="75">
        <f>$I103*$K103*py*Index!CT55*Index!CT196/unit</f>
        <v>0</v>
      </c>
      <c r="CV103" s="75">
        <f>$I103*$K103*py*Index!CU55*Index!CU196/unit</f>
        <v>0</v>
      </c>
      <c r="CW103" s="75">
        <f>$I103*$K103*py*Index!CV55*Index!CV196/unit</f>
        <v>0</v>
      </c>
      <c r="CX103" s="75">
        <f>$I103*$K103*py*Index!CW55*Index!CW196/unit</f>
        <v>0</v>
      </c>
      <c r="CY103" s="75">
        <f>$I103*$K103*py*Index!CX55*Index!CX196/unit</f>
        <v>0</v>
      </c>
      <c r="CZ103" s="75">
        <f>$I103*$K103*py*Index!CY55*Index!CY196/unit</f>
        <v>0</v>
      </c>
      <c r="DA103" s="75">
        <f>$I103*$K103*py*Index!CZ55*Index!CZ196/unit</f>
        <v>0</v>
      </c>
      <c r="DB103" s="75">
        <f>$I103*$K103*py*Index!DA55*Index!DA196/unit</f>
        <v>0</v>
      </c>
      <c r="DC103" s="75">
        <f>$I103*$K103*py*Index!DB55*Index!DB196/unit</f>
        <v>0</v>
      </c>
      <c r="DD103" s="75">
        <f>$I103*$K103*py*Index!DC55*Index!DC196/unit</f>
        <v>0</v>
      </c>
      <c r="DE103" s="75">
        <f>$I103*$K103*py*Index!DD55*Index!DD196/unit</f>
        <v>0</v>
      </c>
      <c r="DF103" s="75">
        <f>$I103*$K103*py*Index!DE55*Index!DE196/unit</f>
        <v>0</v>
      </c>
      <c r="DG103" s="75">
        <f>$I103*$K103*py*Index!DF55*Index!DF196/unit</f>
        <v>0</v>
      </c>
      <c r="DH103" s="75">
        <f>$I103*$K103*py*Index!DG55*Index!DG196/unit</f>
        <v>0</v>
      </c>
      <c r="DI103" s="75">
        <f>$I103*$K103*py*Index!DH55*Index!DH196/unit</f>
        <v>0</v>
      </c>
      <c r="DJ103" s="75">
        <f>$I103*$K103*py*Index!DI55*Index!DI196/unit</f>
        <v>0</v>
      </c>
      <c r="DK103" s="75">
        <f>$I103*$K103*py*Index!DJ55*Index!DJ196/unit</f>
        <v>0</v>
      </c>
      <c r="DL103" s="75">
        <f>$I103*$K103*py*Index!DK55*Index!DK196/unit</f>
        <v>0</v>
      </c>
      <c r="DM103" s="75">
        <f>$I103*$K103*py*Index!DL55*Index!DL196/unit</f>
        <v>0</v>
      </c>
    </row>
    <row r="104" spans="2:117">
      <c r="B104" s="27" t="str">
        <f>Rentroll!$C$54</f>
        <v>203호</v>
      </c>
      <c r="C104" s="69" t="str">
        <f>VLOOKUP($B104,Rentroll!$C$37:$Z$60,3,FALSE)</f>
        <v>주 052</v>
      </c>
      <c r="D104" s="80">
        <f>VLOOKUP($B104,Rentroll!$C$37:$Z$60,9,FALSE)</f>
        <v>45747</v>
      </c>
      <c r="E104" s="80">
        <f>VLOOKUP($B104,Rentroll!$C$37:$Z$60,10,FALSE)</f>
        <v>47573</v>
      </c>
      <c r="F104" s="81">
        <f>VLOOKUP($B104,Rentroll!$C$37:$Z$60,11,FALSE)</f>
        <v>60</v>
      </c>
      <c r="G104" s="69">
        <f>VLOOKUP($B104,Rentroll!$C$37:$Z$60,13,FALSE)</f>
        <v>130000</v>
      </c>
      <c r="H104" s="69">
        <f>VLOOKUP($B104,Rentroll!$C$37:$Z$60,14,FALSE)</f>
        <v>130000</v>
      </c>
      <c r="I104" s="69">
        <f>VLOOKUP($B104,Rentroll!$C$37:$Z$60,15,FALSE)</f>
        <v>45000</v>
      </c>
      <c r="J104" s="82">
        <f>VLOOKUP($B104,Rentroll!$C$37:$Z$60,19,FALSE)</f>
        <v>0.03</v>
      </c>
      <c r="K104" s="83">
        <f>VLOOKUP($B104,Rentroll!$C$37:$Z$60,4,FALSE)</f>
        <v>346.27249999999998</v>
      </c>
      <c r="L104" s="81">
        <f>VLOOKUP($B104,Rentroll!$C$37:$Z$60,17,FALSE)</f>
        <v>2</v>
      </c>
      <c r="M104" s="84">
        <f>VLOOKUP($B104,Rentroll!$C$37:$Z$60,18,FALSE)</f>
        <v>0</v>
      </c>
      <c r="O104" s="74" t="str">
        <f t="shared" si="219"/>
        <v>203호</v>
      </c>
      <c r="P104" s="75"/>
      <c r="Q104" s="75">
        <f t="shared" si="215"/>
        <v>289.69342855493278</v>
      </c>
      <c r="R104" s="75"/>
      <c r="S104" s="75">
        <f>$I104*$K104*py*Index!R56*Index!R197/unit</f>
        <v>0</v>
      </c>
      <c r="T104" s="75">
        <f>$I104*$K104*py*Index!S56*Index!S197/unit</f>
        <v>0</v>
      </c>
      <c r="U104" s="75">
        <f>$I104*$K104*py*Index!T56*Index!T197/unit</f>
        <v>0</v>
      </c>
      <c r="V104" s="75">
        <f>$I104*$K104*py*Index!U56*Index!U197/unit</f>
        <v>4.7136344062499997</v>
      </c>
      <c r="W104" s="75">
        <f>$I104*$K104*py*Index!V56*Index!V197/unit</f>
        <v>4.7136344062499997</v>
      </c>
      <c r="X104" s="75">
        <f>$I104*$K104*py*Index!W56*Index!W197/unit</f>
        <v>4.7136344062499997</v>
      </c>
      <c r="Y104" s="75">
        <f>$I104*$K104*py*Index!X56*Index!X197/unit</f>
        <v>4.7136344062499997</v>
      </c>
      <c r="Z104" s="75">
        <f>$I104*$K104*py*Index!Y56*Index!Y197/unit</f>
        <v>4.7136344062499997</v>
      </c>
      <c r="AA104" s="75">
        <f>$I104*$K104*py*Index!Z56*Index!Z197/unit</f>
        <v>4.7136344062499997</v>
      </c>
      <c r="AB104" s="75">
        <f>$I104*$K104*py*Index!AA56*Index!AA197/unit</f>
        <v>4.7136344062499997</v>
      </c>
      <c r="AC104" s="75">
        <f>$I104*$K104*py*Index!AB56*Index!AB197/unit</f>
        <v>4.7136344062499997</v>
      </c>
      <c r="AD104" s="75">
        <f>$I104*$K104*py*Index!AC56*Index!AC197/unit</f>
        <v>4.7136344062499997</v>
      </c>
      <c r="AE104" s="75">
        <f>$I104*$K104*py*Index!AD56*Index!AD197/unit</f>
        <v>4.7136344062499997</v>
      </c>
      <c r="AF104" s="75">
        <f>$I104*$K104*py*Index!AE56*Index!AE197/unit</f>
        <v>4.7136344062499997</v>
      </c>
      <c r="AG104" s="75">
        <f>$I104*$K104*py*Index!AF56*Index!AF197/unit</f>
        <v>4.7136344062499997</v>
      </c>
      <c r="AH104" s="75">
        <f>$I104*$K104*py*Index!AG56*Index!AG197/unit</f>
        <v>4.8550434384374999</v>
      </c>
      <c r="AI104" s="75">
        <f>$I104*$K104*py*Index!AH56*Index!AH197/unit</f>
        <v>4.8550434384374999</v>
      </c>
      <c r="AJ104" s="75">
        <f>$I104*$K104*py*Index!AI56*Index!AI197/unit</f>
        <v>4.8550434384374999</v>
      </c>
      <c r="AK104" s="75">
        <f>$I104*$K104*py*Index!AJ56*Index!AJ197/unit</f>
        <v>4.8550434384374999</v>
      </c>
      <c r="AL104" s="75">
        <f>$I104*$K104*py*Index!AK56*Index!AK197/unit</f>
        <v>4.8550434384374999</v>
      </c>
      <c r="AM104" s="75">
        <f>$I104*$K104*py*Index!AL56*Index!AL197/unit</f>
        <v>4.8550434384374999</v>
      </c>
      <c r="AN104" s="75">
        <f>$I104*$K104*py*Index!AM56*Index!AM197/unit</f>
        <v>4.8550434384374999</v>
      </c>
      <c r="AO104" s="75">
        <f>$I104*$K104*py*Index!AN56*Index!AN197/unit</f>
        <v>4.8550434384374999</v>
      </c>
      <c r="AP104" s="75">
        <f>$I104*$K104*py*Index!AO56*Index!AO197/unit</f>
        <v>4.8550434384374999</v>
      </c>
      <c r="AQ104" s="75">
        <f>$I104*$K104*py*Index!AP56*Index!AP197/unit</f>
        <v>4.8550434384374999</v>
      </c>
      <c r="AR104" s="75">
        <f>$I104*$K104*py*Index!AQ56*Index!AQ197/unit</f>
        <v>4.8550434384374999</v>
      </c>
      <c r="AS104" s="75">
        <f>$I104*$K104*py*Index!AR56*Index!AR197/unit</f>
        <v>4.8550434384374999</v>
      </c>
      <c r="AT104" s="75">
        <f>$I104*$K104*py*Index!AS56*Index!AS197/unit</f>
        <v>5.0006947415906247</v>
      </c>
      <c r="AU104" s="75">
        <f>$I104*$K104*py*Index!AT56*Index!AT197/unit</f>
        <v>5.0006947415906247</v>
      </c>
      <c r="AV104" s="75">
        <f>$I104*$K104*py*Index!AU56*Index!AU197/unit</f>
        <v>5.0006947415906247</v>
      </c>
      <c r="AW104" s="75">
        <f>$I104*$K104*py*Index!AV56*Index!AV197/unit</f>
        <v>5.0006947415906247</v>
      </c>
      <c r="AX104" s="75">
        <f>$I104*$K104*py*Index!AW56*Index!AW197/unit</f>
        <v>5.0006947415906247</v>
      </c>
      <c r="AY104" s="75">
        <f>$I104*$K104*py*Index!AX56*Index!AX197/unit</f>
        <v>5.0006947415906247</v>
      </c>
      <c r="AZ104" s="75">
        <f>$I104*$K104*py*Index!AY56*Index!AY197/unit</f>
        <v>5.0006947415906247</v>
      </c>
      <c r="BA104" s="75">
        <f>$I104*$K104*py*Index!AZ56*Index!AZ197/unit</f>
        <v>5.0006947415906247</v>
      </c>
      <c r="BB104" s="75">
        <f>$I104*$K104*py*Index!BA56*Index!BA197/unit</f>
        <v>5.0006947415906247</v>
      </c>
      <c r="BC104" s="75">
        <f>$I104*$K104*py*Index!BB56*Index!BB197/unit</f>
        <v>5.0006947415906247</v>
      </c>
      <c r="BD104" s="75">
        <f>$I104*$K104*py*Index!BC56*Index!BC197/unit</f>
        <v>5.0006947415906247</v>
      </c>
      <c r="BE104" s="75">
        <f>$I104*$K104*py*Index!BD56*Index!BD197/unit</f>
        <v>5.0006947415906247</v>
      </c>
      <c r="BF104" s="75">
        <f>$I104*$K104*py*Index!BE56*Index!BE197/unit</f>
        <v>5.1507155838383438</v>
      </c>
      <c r="BG104" s="75">
        <f>$I104*$K104*py*Index!BF56*Index!BF197/unit</f>
        <v>5.1507155838383438</v>
      </c>
      <c r="BH104" s="75">
        <f>$I104*$K104*py*Index!BG56*Index!BG197/unit</f>
        <v>5.1507155838383438</v>
      </c>
      <c r="BI104" s="75">
        <f>$I104*$K104*py*Index!BH56*Index!BH197/unit</f>
        <v>5.1507155838383438</v>
      </c>
      <c r="BJ104" s="75">
        <f>$I104*$K104*py*Index!BI56*Index!BI197/unit</f>
        <v>5.1507155838383438</v>
      </c>
      <c r="BK104" s="75">
        <f>$I104*$K104*py*Index!BJ56*Index!BJ197/unit</f>
        <v>5.1507155838383438</v>
      </c>
      <c r="BL104" s="75">
        <f>$I104*$K104*py*Index!BK56*Index!BK197/unit</f>
        <v>5.1507155838383438</v>
      </c>
      <c r="BM104" s="75">
        <f>$I104*$K104*py*Index!BL56*Index!BL197/unit</f>
        <v>5.1507155838383438</v>
      </c>
      <c r="BN104" s="75">
        <f>$I104*$K104*py*Index!BM56*Index!BM197/unit</f>
        <v>5.1507155838383438</v>
      </c>
      <c r="BO104" s="75">
        <f>$I104*$K104*py*Index!BN56*Index!BN197/unit</f>
        <v>5.1507155838383438</v>
      </c>
      <c r="BP104" s="75">
        <f>$I104*$K104*py*Index!BO56*Index!BO197/unit</f>
        <v>5.1507155838383438</v>
      </c>
      <c r="BQ104" s="75">
        <f>$I104*$K104*py*Index!BP56*Index!BP197/unit</f>
        <v>5.1507155838383438</v>
      </c>
      <c r="BR104" s="75">
        <f>$I104*$K104*py*Index!BQ56*Index!BQ197/unit</f>
        <v>5.3052370513534939</v>
      </c>
      <c r="BS104" s="75">
        <f>$I104*$K104*py*Index!BR56*Index!BR197/unit</f>
        <v>5.3052370513534939</v>
      </c>
      <c r="BT104" s="75">
        <f>$I104*$K104*py*Index!BS56*Index!BS197/unit</f>
        <v>5.3052370513534939</v>
      </c>
      <c r="BU104" s="75">
        <f>$I104*$K104*py*Index!BT56*Index!BT197/unit</f>
        <v>5.3052370513534939</v>
      </c>
      <c r="BV104" s="75">
        <f>$I104*$K104*py*Index!BU56*Index!BU197/unit</f>
        <v>5.3052370513534939</v>
      </c>
      <c r="BW104" s="75">
        <f>$I104*$K104*py*Index!BV56*Index!BV197/unit</f>
        <v>5.3052370513534939</v>
      </c>
      <c r="BX104" s="75">
        <f>$I104*$K104*py*Index!BW56*Index!BW197/unit</f>
        <v>5.3052370513534939</v>
      </c>
      <c r="BY104" s="75">
        <f>$I104*$K104*py*Index!BX56*Index!BX197/unit</f>
        <v>5.3052370513534939</v>
      </c>
      <c r="BZ104" s="75">
        <f>$I104*$K104*py*Index!BY56*Index!BY197/unit</f>
        <v>5.3052370513534939</v>
      </c>
      <c r="CA104" s="75">
        <f>$I104*$K104*py*Index!BZ56*Index!BZ197/unit</f>
        <v>5.3052370513534939</v>
      </c>
      <c r="CB104" s="75">
        <f>$I104*$K104*py*Index!CA56*Index!CA197/unit</f>
        <v>0</v>
      </c>
      <c r="CC104" s="75">
        <f>$I104*$K104*py*Index!CB56*Index!CB197/unit</f>
        <v>0</v>
      </c>
      <c r="CD104" s="75">
        <f>$I104*$K104*py*Index!CC56*Index!CC197/unit</f>
        <v>0</v>
      </c>
      <c r="CE104" s="75">
        <f>$I104*$K104*py*Index!CD56*Index!CD197/unit</f>
        <v>0</v>
      </c>
      <c r="CF104" s="75">
        <f>$I104*$K104*py*Index!CE56*Index!CE197/unit</f>
        <v>0</v>
      </c>
      <c r="CG104" s="75">
        <f>$I104*$K104*py*Index!CF56*Index!CF197/unit</f>
        <v>0</v>
      </c>
      <c r="CH104" s="75">
        <f>$I104*$K104*py*Index!CG56*Index!CG197/unit</f>
        <v>0</v>
      </c>
      <c r="CI104" s="75">
        <f>$I104*$K104*py*Index!CH56*Index!CH197/unit</f>
        <v>0</v>
      </c>
      <c r="CJ104" s="75">
        <f>$I104*$K104*py*Index!CI56*Index!CI197/unit</f>
        <v>0</v>
      </c>
      <c r="CK104" s="75">
        <f>$I104*$K104*py*Index!CJ56*Index!CJ197/unit</f>
        <v>0</v>
      </c>
      <c r="CL104" s="75">
        <f>$I104*$K104*py*Index!CK56*Index!CK197/unit</f>
        <v>0</v>
      </c>
      <c r="CM104" s="75">
        <f>$I104*$K104*py*Index!CL56*Index!CL197/unit</f>
        <v>0</v>
      </c>
      <c r="CN104" s="75">
        <f>$I104*$K104*py*Index!CM56*Index!CM197/unit</f>
        <v>0</v>
      </c>
      <c r="CO104" s="75">
        <f>$I104*$K104*py*Index!CN56*Index!CN197/unit</f>
        <v>0</v>
      </c>
      <c r="CP104" s="75">
        <f>$I104*$K104*py*Index!CO56*Index!CO197/unit</f>
        <v>0</v>
      </c>
      <c r="CQ104" s="75">
        <f>$I104*$K104*py*Index!CP56*Index!CP197/unit</f>
        <v>0</v>
      </c>
      <c r="CR104" s="75">
        <f>$I104*$K104*py*Index!CQ56*Index!CQ197/unit</f>
        <v>0</v>
      </c>
      <c r="CS104" s="75">
        <f>$I104*$K104*py*Index!CR56*Index!CR197/unit</f>
        <v>0</v>
      </c>
      <c r="CT104" s="75">
        <f>$I104*$K104*py*Index!CS56*Index!CS197/unit</f>
        <v>0</v>
      </c>
      <c r="CU104" s="75">
        <f>$I104*$K104*py*Index!CT56*Index!CT197/unit</f>
        <v>0</v>
      </c>
      <c r="CV104" s="75">
        <f>$I104*$K104*py*Index!CU56*Index!CU197/unit</f>
        <v>0</v>
      </c>
      <c r="CW104" s="75">
        <f>$I104*$K104*py*Index!CV56*Index!CV197/unit</f>
        <v>0</v>
      </c>
      <c r="CX104" s="75">
        <f>$I104*$K104*py*Index!CW56*Index!CW197/unit</f>
        <v>0</v>
      </c>
      <c r="CY104" s="75">
        <f>$I104*$K104*py*Index!CX56*Index!CX197/unit</f>
        <v>0</v>
      </c>
      <c r="CZ104" s="75">
        <f>$I104*$K104*py*Index!CY56*Index!CY197/unit</f>
        <v>0</v>
      </c>
      <c r="DA104" s="75">
        <f>$I104*$K104*py*Index!CZ56*Index!CZ197/unit</f>
        <v>0</v>
      </c>
      <c r="DB104" s="75">
        <f>$I104*$K104*py*Index!DA56*Index!DA197/unit</f>
        <v>0</v>
      </c>
      <c r="DC104" s="75">
        <f>$I104*$K104*py*Index!DB56*Index!DB197/unit</f>
        <v>0</v>
      </c>
      <c r="DD104" s="75">
        <f>$I104*$K104*py*Index!DC56*Index!DC197/unit</f>
        <v>0</v>
      </c>
      <c r="DE104" s="75">
        <f>$I104*$K104*py*Index!DD56*Index!DD197/unit</f>
        <v>0</v>
      </c>
      <c r="DF104" s="75">
        <f>$I104*$K104*py*Index!DE56*Index!DE197/unit</f>
        <v>0</v>
      </c>
      <c r="DG104" s="75">
        <f>$I104*$K104*py*Index!DF56*Index!DF197/unit</f>
        <v>0</v>
      </c>
      <c r="DH104" s="75">
        <f>$I104*$K104*py*Index!DG56*Index!DG197/unit</f>
        <v>0</v>
      </c>
      <c r="DI104" s="75">
        <f>$I104*$K104*py*Index!DH56*Index!DH197/unit</f>
        <v>0</v>
      </c>
      <c r="DJ104" s="75">
        <f>$I104*$K104*py*Index!DI56*Index!DI197/unit</f>
        <v>0</v>
      </c>
      <c r="DK104" s="75">
        <f>$I104*$K104*py*Index!DJ56*Index!DJ197/unit</f>
        <v>0</v>
      </c>
      <c r="DL104" s="75">
        <f>$I104*$K104*py*Index!DK56*Index!DK197/unit</f>
        <v>0</v>
      </c>
      <c r="DM104" s="75">
        <f>$I104*$K104*py*Index!DL56*Index!DL197/unit</f>
        <v>0</v>
      </c>
    </row>
    <row r="105" spans="2:117">
      <c r="B105" s="27" t="str">
        <f>Rentroll!$C$55</f>
        <v>204호</v>
      </c>
      <c r="C105" s="69" t="str">
        <f>VLOOKUP($B105,Rentroll!$C$37:$Z$60,3,FALSE)</f>
        <v>바이닐 청계</v>
      </c>
      <c r="D105" s="80">
        <f>VLOOKUP($B105,Rentroll!$C$37:$Z$60,9,FALSE)</f>
        <v>45747</v>
      </c>
      <c r="E105" s="80">
        <f>VLOOKUP($B105,Rentroll!$C$37:$Z$60,10,FALSE)</f>
        <v>47573</v>
      </c>
      <c r="F105" s="81">
        <f>VLOOKUP($B105,Rentroll!$C$37:$Z$60,11,FALSE)</f>
        <v>60</v>
      </c>
      <c r="G105" s="69">
        <f>VLOOKUP($B105,Rentroll!$C$37:$Z$60,13,FALSE)</f>
        <v>130000</v>
      </c>
      <c r="H105" s="69">
        <f>VLOOKUP($B105,Rentroll!$C$37:$Z$60,14,FALSE)</f>
        <v>130000</v>
      </c>
      <c r="I105" s="69">
        <f>VLOOKUP($B105,Rentroll!$C$37:$Z$60,15,FALSE)</f>
        <v>45000</v>
      </c>
      <c r="J105" s="82">
        <f>VLOOKUP($B105,Rentroll!$C$37:$Z$60,19,FALSE)</f>
        <v>0.03</v>
      </c>
      <c r="K105" s="83">
        <f>VLOOKUP($B105,Rentroll!$C$37:$Z$60,4,FALSE)</f>
        <v>346.27249999999998</v>
      </c>
      <c r="L105" s="81">
        <f>VLOOKUP($B105,Rentroll!$C$37:$Z$60,17,FALSE)</f>
        <v>2</v>
      </c>
      <c r="M105" s="84">
        <f>VLOOKUP($B105,Rentroll!$C$37:$Z$60,18,FALSE)</f>
        <v>0</v>
      </c>
      <c r="O105" s="74" t="str">
        <f t="shared" si="219"/>
        <v>204호</v>
      </c>
      <c r="P105" s="75"/>
      <c r="Q105" s="75">
        <f t="shared" si="215"/>
        <v>289.69342855493278</v>
      </c>
      <c r="R105" s="75"/>
      <c r="S105" s="75">
        <f>$I105*$K105*py*Index!R57*Index!R198/unit</f>
        <v>0</v>
      </c>
      <c r="T105" s="75">
        <f>$I105*$K105*py*Index!S57*Index!S198/unit</f>
        <v>0</v>
      </c>
      <c r="U105" s="75">
        <f>$I105*$K105*py*Index!T57*Index!T198/unit</f>
        <v>0</v>
      </c>
      <c r="V105" s="75">
        <f>$I105*$K105*py*Index!U57*Index!U198/unit</f>
        <v>4.7136344062499997</v>
      </c>
      <c r="W105" s="75">
        <f>$I105*$K105*py*Index!V57*Index!V198/unit</f>
        <v>4.7136344062499997</v>
      </c>
      <c r="X105" s="75">
        <f>$I105*$K105*py*Index!W57*Index!W198/unit</f>
        <v>4.7136344062499997</v>
      </c>
      <c r="Y105" s="75">
        <f>$I105*$K105*py*Index!X57*Index!X198/unit</f>
        <v>4.7136344062499997</v>
      </c>
      <c r="Z105" s="75">
        <f>$I105*$K105*py*Index!Y57*Index!Y198/unit</f>
        <v>4.7136344062499997</v>
      </c>
      <c r="AA105" s="75">
        <f>$I105*$K105*py*Index!Z57*Index!Z198/unit</f>
        <v>4.7136344062499997</v>
      </c>
      <c r="AB105" s="75">
        <f>$I105*$K105*py*Index!AA57*Index!AA198/unit</f>
        <v>4.7136344062499997</v>
      </c>
      <c r="AC105" s="75">
        <f>$I105*$K105*py*Index!AB57*Index!AB198/unit</f>
        <v>4.7136344062499997</v>
      </c>
      <c r="AD105" s="75">
        <f>$I105*$K105*py*Index!AC57*Index!AC198/unit</f>
        <v>4.7136344062499997</v>
      </c>
      <c r="AE105" s="75">
        <f>$I105*$K105*py*Index!AD57*Index!AD198/unit</f>
        <v>4.7136344062499997</v>
      </c>
      <c r="AF105" s="75">
        <f>$I105*$K105*py*Index!AE57*Index!AE198/unit</f>
        <v>4.7136344062499997</v>
      </c>
      <c r="AG105" s="75">
        <f>$I105*$K105*py*Index!AF57*Index!AF198/unit</f>
        <v>4.7136344062499997</v>
      </c>
      <c r="AH105" s="75">
        <f>$I105*$K105*py*Index!AG57*Index!AG198/unit</f>
        <v>4.8550434384374999</v>
      </c>
      <c r="AI105" s="75">
        <f>$I105*$K105*py*Index!AH57*Index!AH198/unit</f>
        <v>4.8550434384374999</v>
      </c>
      <c r="AJ105" s="75">
        <f>$I105*$K105*py*Index!AI57*Index!AI198/unit</f>
        <v>4.8550434384374999</v>
      </c>
      <c r="AK105" s="75">
        <f>$I105*$K105*py*Index!AJ57*Index!AJ198/unit</f>
        <v>4.8550434384374999</v>
      </c>
      <c r="AL105" s="75">
        <f>$I105*$K105*py*Index!AK57*Index!AK198/unit</f>
        <v>4.8550434384374999</v>
      </c>
      <c r="AM105" s="75">
        <f>$I105*$K105*py*Index!AL57*Index!AL198/unit</f>
        <v>4.8550434384374999</v>
      </c>
      <c r="AN105" s="75">
        <f>$I105*$K105*py*Index!AM57*Index!AM198/unit</f>
        <v>4.8550434384374999</v>
      </c>
      <c r="AO105" s="75">
        <f>$I105*$K105*py*Index!AN57*Index!AN198/unit</f>
        <v>4.8550434384374999</v>
      </c>
      <c r="AP105" s="75">
        <f>$I105*$K105*py*Index!AO57*Index!AO198/unit</f>
        <v>4.8550434384374999</v>
      </c>
      <c r="AQ105" s="75">
        <f>$I105*$K105*py*Index!AP57*Index!AP198/unit</f>
        <v>4.8550434384374999</v>
      </c>
      <c r="AR105" s="75">
        <f>$I105*$K105*py*Index!AQ57*Index!AQ198/unit</f>
        <v>4.8550434384374999</v>
      </c>
      <c r="AS105" s="75">
        <f>$I105*$K105*py*Index!AR57*Index!AR198/unit</f>
        <v>4.8550434384374999</v>
      </c>
      <c r="AT105" s="75">
        <f>$I105*$K105*py*Index!AS57*Index!AS198/unit</f>
        <v>5.0006947415906247</v>
      </c>
      <c r="AU105" s="75">
        <f>$I105*$K105*py*Index!AT57*Index!AT198/unit</f>
        <v>5.0006947415906247</v>
      </c>
      <c r="AV105" s="75">
        <f>$I105*$K105*py*Index!AU57*Index!AU198/unit</f>
        <v>5.0006947415906247</v>
      </c>
      <c r="AW105" s="75">
        <f>$I105*$K105*py*Index!AV57*Index!AV198/unit</f>
        <v>5.0006947415906247</v>
      </c>
      <c r="AX105" s="75">
        <f>$I105*$K105*py*Index!AW57*Index!AW198/unit</f>
        <v>5.0006947415906247</v>
      </c>
      <c r="AY105" s="75">
        <f>$I105*$K105*py*Index!AX57*Index!AX198/unit</f>
        <v>5.0006947415906247</v>
      </c>
      <c r="AZ105" s="75">
        <f>$I105*$K105*py*Index!AY57*Index!AY198/unit</f>
        <v>5.0006947415906247</v>
      </c>
      <c r="BA105" s="75">
        <f>$I105*$K105*py*Index!AZ57*Index!AZ198/unit</f>
        <v>5.0006947415906247</v>
      </c>
      <c r="BB105" s="75">
        <f>$I105*$K105*py*Index!BA57*Index!BA198/unit</f>
        <v>5.0006947415906247</v>
      </c>
      <c r="BC105" s="75">
        <f>$I105*$K105*py*Index!BB57*Index!BB198/unit</f>
        <v>5.0006947415906247</v>
      </c>
      <c r="BD105" s="75">
        <f>$I105*$K105*py*Index!BC57*Index!BC198/unit</f>
        <v>5.0006947415906247</v>
      </c>
      <c r="BE105" s="75">
        <f>$I105*$K105*py*Index!BD57*Index!BD198/unit</f>
        <v>5.0006947415906247</v>
      </c>
      <c r="BF105" s="75">
        <f>$I105*$K105*py*Index!BE57*Index!BE198/unit</f>
        <v>5.1507155838383438</v>
      </c>
      <c r="BG105" s="75">
        <f>$I105*$K105*py*Index!BF57*Index!BF198/unit</f>
        <v>5.1507155838383438</v>
      </c>
      <c r="BH105" s="75">
        <f>$I105*$K105*py*Index!BG57*Index!BG198/unit</f>
        <v>5.1507155838383438</v>
      </c>
      <c r="BI105" s="75">
        <f>$I105*$K105*py*Index!BH57*Index!BH198/unit</f>
        <v>5.1507155838383438</v>
      </c>
      <c r="BJ105" s="75">
        <f>$I105*$K105*py*Index!BI57*Index!BI198/unit</f>
        <v>5.1507155838383438</v>
      </c>
      <c r="BK105" s="75">
        <f>$I105*$K105*py*Index!BJ57*Index!BJ198/unit</f>
        <v>5.1507155838383438</v>
      </c>
      <c r="BL105" s="75">
        <f>$I105*$K105*py*Index!BK57*Index!BK198/unit</f>
        <v>5.1507155838383438</v>
      </c>
      <c r="BM105" s="75">
        <f>$I105*$K105*py*Index!BL57*Index!BL198/unit</f>
        <v>5.1507155838383438</v>
      </c>
      <c r="BN105" s="75">
        <f>$I105*$K105*py*Index!BM57*Index!BM198/unit</f>
        <v>5.1507155838383438</v>
      </c>
      <c r="BO105" s="75">
        <f>$I105*$K105*py*Index!BN57*Index!BN198/unit</f>
        <v>5.1507155838383438</v>
      </c>
      <c r="BP105" s="75">
        <f>$I105*$K105*py*Index!BO57*Index!BO198/unit</f>
        <v>5.1507155838383438</v>
      </c>
      <c r="BQ105" s="75">
        <f>$I105*$K105*py*Index!BP57*Index!BP198/unit</f>
        <v>5.1507155838383438</v>
      </c>
      <c r="BR105" s="75">
        <f>$I105*$K105*py*Index!BQ57*Index!BQ198/unit</f>
        <v>5.3052370513534939</v>
      </c>
      <c r="BS105" s="75">
        <f>$I105*$K105*py*Index!BR57*Index!BR198/unit</f>
        <v>5.3052370513534939</v>
      </c>
      <c r="BT105" s="75">
        <f>$I105*$K105*py*Index!BS57*Index!BS198/unit</f>
        <v>5.3052370513534939</v>
      </c>
      <c r="BU105" s="75">
        <f>$I105*$K105*py*Index!BT57*Index!BT198/unit</f>
        <v>5.3052370513534939</v>
      </c>
      <c r="BV105" s="75">
        <f>$I105*$K105*py*Index!BU57*Index!BU198/unit</f>
        <v>5.3052370513534939</v>
      </c>
      <c r="BW105" s="75">
        <f>$I105*$K105*py*Index!BV57*Index!BV198/unit</f>
        <v>5.3052370513534939</v>
      </c>
      <c r="BX105" s="75">
        <f>$I105*$K105*py*Index!BW57*Index!BW198/unit</f>
        <v>5.3052370513534939</v>
      </c>
      <c r="BY105" s="75">
        <f>$I105*$K105*py*Index!BX57*Index!BX198/unit</f>
        <v>5.3052370513534939</v>
      </c>
      <c r="BZ105" s="75">
        <f>$I105*$K105*py*Index!BY57*Index!BY198/unit</f>
        <v>5.3052370513534939</v>
      </c>
      <c r="CA105" s="75">
        <f>$I105*$K105*py*Index!BZ57*Index!BZ198/unit</f>
        <v>5.3052370513534939</v>
      </c>
      <c r="CB105" s="75">
        <f>$I105*$K105*py*Index!CA57*Index!CA198/unit</f>
        <v>0</v>
      </c>
      <c r="CC105" s="75">
        <f>$I105*$K105*py*Index!CB57*Index!CB198/unit</f>
        <v>0</v>
      </c>
      <c r="CD105" s="75">
        <f>$I105*$K105*py*Index!CC57*Index!CC198/unit</f>
        <v>0</v>
      </c>
      <c r="CE105" s="75">
        <f>$I105*$K105*py*Index!CD57*Index!CD198/unit</f>
        <v>0</v>
      </c>
      <c r="CF105" s="75">
        <f>$I105*$K105*py*Index!CE57*Index!CE198/unit</f>
        <v>0</v>
      </c>
      <c r="CG105" s="75">
        <f>$I105*$K105*py*Index!CF57*Index!CF198/unit</f>
        <v>0</v>
      </c>
      <c r="CH105" s="75">
        <f>$I105*$K105*py*Index!CG57*Index!CG198/unit</f>
        <v>0</v>
      </c>
      <c r="CI105" s="75">
        <f>$I105*$K105*py*Index!CH57*Index!CH198/unit</f>
        <v>0</v>
      </c>
      <c r="CJ105" s="75">
        <f>$I105*$K105*py*Index!CI57*Index!CI198/unit</f>
        <v>0</v>
      </c>
      <c r="CK105" s="75">
        <f>$I105*$K105*py*Index!CJ57*Index!CJ198/unit</f>
        <v>0</v>
      </c>
      <c r="CL105" s="75">
        <f>$I105*$K105*py*Index!CK57*Index!CK198/unit</f>
        <v>0</v>
      </c>
      <c r="CM105" s="75">
        <f>$I105*$K105*py*Index!CL57*Index!CL198/unit</f>
        <v>0</v>
      </c>
      <c r="CN105" s="75">
        <f>$I105*$K105*py*Index!CM57*Index!CM198/unit</f>
        <v>0</v>
      </c>
      <c r="CO105" s="75">
        <f>$I105*$K105*py*Index!CN57*Index!CN198/unit</f>
        <v>0</v>
      </c>
      <c r="CP105" s="75">
        <f>$I105*$K105*py*Index!CO57*Index!CO198/unit</f>
        <v>0</v>
      </c>
      <c r="CQ105" s="75">
        <f>$I105*$K105*py*Index!CP57*Index!CP198/unit</f>
        <v>0</v>
      </c>
      <c r="CR105" s="75">
        <f>$I105*$K105*py*Index!CQ57*Index!CQ198/unit</f>
        <v>0</v>
      </c>
      <c r="CS105" s="75">
        <f>$I105*$K105*py*Index!CR57*Index!CR198/unit</f>
        <v>0</v>
      </c>
      <c r="CT105" s="75">
        <f>$I105*$K105*py*Index!CS57*Index!CS198/unit</f>
        <v>0</v>
      </c>
      <c r="CU105" s="75">
        <f>$I105*$K105*py*Index!CT57*Index!CT198/unit</f>
        <v>0</v>
      </c>
      <c r="CV105" s="75">
        <f>$I105*$K105*py*Index!CU57*Index!CU198/unit</f>
        <v>0</v>
      </c>
      <c r="CW105" s="75">
        <f>$I105*$K105*py*Index!CV57*Index!CV198/unit</f>
        <v>0</v>
      </c>
      <c r="CX105" s="75">
        <f>$I105*$K105*py*Index!CW57*Index!CW198/unit</f>
        <v>0</v>
      </c>
      <c r="CY105" s="75">
        <f>$I105*$K105*py*Index!CX57*Index!CX198/unit</f>
        <v>0</v>
      </c>
      <c r="CZ105" s="75">
        <f>$I105*$K105*py*Index!CY57*Index!CY198/unit</f>
        <v>0</v>
      </c>
      <c r="DA105" s="75">
        <f>$I105*$K105*py*Index!CZ57*Index!CZ198/unit</f>
        <v>0</v>
      </c>
      <c r="DB105" s="75">
        <f>$I105*$K105*py*Index!DA57*Index!DA198/unit</f>
        <v>0</v>
      </c>
      <c r="DC105" s="75">
        <f>$I105*$K105*py*Index!DB57*Index!DB198/unit</f>
        <v>0</v>
      </c>
      <c r="DD105" s="75">
        <f>$I105*$K105*py*Index!DC57*Index!DC198/unit</f>
        <v>0</v>
      </c>
      <c r="DE105" s="75">
        <f>$I105*$K105*py*Index!DD57*Index!DD198/unit</f>
        <v>0</v>
      </c>
      <c r="DF105" s="75">
        <f>$I105*$K105*py*Index!DE57*Index!DE198/unit</f>
        <v>0</v>
      </c>
      <c r="DG105" s="75">
        <f>$I105*$K105*py*Index!DF57*Index!DF198/unit</f>
        <v>0</v>
      </c>
      <c r="DH105" s="75">
        <f>$I105*$K105*py*Index!DG57*Index!DG198/unit</f>
        <v>0</v>
      </c>
      <c r="DI105" s="75">
        <f>$I105*$K105*py*Index!DH57*Index!DH198/unit</f>
        <v>0</v>
      </c>
      <c r="DJ105" s="75">
        <f>$I105*$K105*py*Index!DI57*Index!DI198/unit</f>
        <v>0</v>
      </c>
      <c r="DK105" s="75">
        <f>$I105*$K105*py*Index!DJ57*Index!DJ198/unit</f>
        <v>0</v>
      </c>
      <c r="DL105" s="75">
        <f>$I105*$K105*py*Index!DK57*Index!DK198/unit</f>
        <v>0</v>
      </c>
      <c r="DM105" s="75">
        <f>$I105*$K105*py*Index!DL57*Index!DL198/unit</f>
        <v>0</v>
      </c>
    </row>
    <row r="106" spans="2:117">
      <c r="B106" s="28" t="str">
        <f>Rentroll!$C$56</f>
        <v>101호</v>
      </c>
      <c r="C106" s="69" t="str">
        <f>VLOOKUP($B106,Rentroll!$C$37:$Z$60,3,FALSE)</f>
        <v>카페 1리터</v>
      </c>
      <c r="D106" s="80">
        <f>VLOOKUP($B106,Rentroll!$C$37:$Z$60,9,FALSE)</f>
        <v>45838</v>
      </c>
      <c r="E106" s="80">
        <f>VLOOKUP($B106,Rentroll!$C$37:$Z$60,10,FALSE)</f>
        <v>47634</v>
      </c>
      <c r="F106" s="81">
        <f>VLOOKUP($B106,Rentroll!$C$37:$Z$60,11,FALSE)</f>
        <v>60</v>
      </c>
      <c r="G106" s="69">
        <f>VLOOKUP($B106,Rentroll!$C$37:$Z$60,13,FALSE)</f>
        <v>150000</v>
      </c>
      <c r="H106" s="69">
        <f>VLOOKUP($B106,Rentroll!$C$37:$Z$60,14,FALSE)</f>
        <v>150000</v>
      </c>
      <c r="I106" s="69">
        <f>VLOOKUP($B106,Rentroll!$C$37:$Z$60,15,FALSE)</f>
        <v>45000</v>
      </c>
      <c r="J106" s="82">
        <f>VLOOKUP($B106,Rentroll!$C$37:$Z$60,19,FALSE)</f>
        <v>0.03</v>
      </c>
      <c r="K106" s="83">
        <f>VLOOKUP($B106,Rentroll!$C$37:$Z$60,4,FALSE)</f>
        <v>484.78</v>
      </c>
      <c r="L106" s="81">
        <f>VLOOKUP($B106,Rentroll!$C$37:$Z$60,17,FALSE)</f>
        <v>1</v>
      </c>
      <c r="M106" s="84">
        <f>VLOOKUP($B106,Rentroll!$C$37:$Z$60,18,FALSE)</f>
        <v>0</v>
      </c>
      <c r="O106" s="46" t="str">
        <f t="shared" ref="O106:O110" si="220">B106</f>
        <v>101호</v>
      </c>
      <c r="P106" s="73"/>
      <c r="Q106" s="73">
        <f t="shared" ref="Q106:Q110" si="221">SUM(S106:DM106)</f>
        <v>383.2876183976345</v>
      </c>
      <c r="R106" s="73"/>
      <c r="S106" s="73">
        <f>$I106*$K106*py*Index!R58*Index!R199/unit</f>
        <v>0</v>
      </c>
      <c r="T106" s="73">
        <f>$I106*$K106*py*Index!S58*Index!S199/unit</f>
        <v>0</v>
      </c>
      <c r="U106" s="73">
        <f>$I106*$K106*py*Index!T58*Index!T199/unit</f>
        <v>0</v>
      </c>
      <c r="V106" s="73">
        <f>$I106*$K106*py*Index!U58*Index!U199/unit</f>
        <v>0</v>
      </c>
      <c r="W106" s="73">
        <f>$I106*$K106*py*Index!V58*Index!V199/unit</f>
        <v>0</v>
      </c>
      <c r="X106" s="73">
        <f>$I106*$K106*py*Index!W58*Index!W199/unit</f>
        <v>0</v>
      </c>
      <c r="Y106" s="73">
        <f>$I106*$K106*py*Index!X58*Index!X199/unit</f>
        <v>6.5990677499999997</v>
      </c>
      <c r="Z106" s="73">
        <f>$I106*$K106*py*Index!Y58*Index!Y199/unit</f>
        <v>6.5990677499999997</v>
      </c>
      <c r="AA106" s="73">
        <f>$I106*$K106*py*Index!Z58*Index!Z199/unit</f>
        <v>6.5990677499999997</v>
      </c>
      <c r="AB106" s="73">
        <f>$I106*$K106*py*Index!AA58*Index!AA199/unit</f>
        <v>6.5990677499999997</v>
      </c>
      <c r="AC106" s="73">
        <f>$I106*$K106*py*Index!AB58*Index!AB199/unit</f>
        <v>6.5990677499999997</v>
      </c>
      <c r="AD106" s="73">
        <f>$I106*$K106*py*Index!AC58*Index!AC199/unit</f>
        <v>6.5990677499999997</v>
      </c>
      <c r="AE106" s="73">
        <f>$I106*$K106*py*Index!AD58*Index!AD199/unit</f>
        <v>6.5990677499999997</v>
      </c>
      <c r="AF106" s="73">
        <f>$I106*$K106*py*Index!AE58*Index!AE199/unit</f>
        <v>6.5990677499999997</v>
      </c>
      <c r="AG106" s="73">
        <f>$I106*$K106*py*Index!AF58*Index!AF199/unit</f>
        <v>6.5990677499999997</v>
      </c>
      <c r="AH106" s="73">
        <f>$I106*$K106*py*Index!AG58*Index!AG199/unit</f>
        <v>6.5990677499999997</v>
      </c>
      <c r="AI106" s="73">
        <f>$I106*$K106*py*Index!AH58*Index!AH199/unit</f>
        <v>6.5990677499999997</v>
      </c>
      <c r="AJ106" s="73">
        <f>$I106*$K106*py*Index!AI58*Index!AI199/unit</f>
        <v>6.5990677499999997</v>
      </c>
      <c r="AK106" s="73">
        <f>$I106*$K106*py*Index!AJ58*Index!AJ199/unit</f>
        <v>6.7970397824999997</v>
      </c>
      <c r="AL106" s="73">
        <f>$I106*$K106*py*Index!AK58*Index!AK199/unit</f>
        <v>6.7970397824999997</v>
      </c>
      <c r="AM106" s="73">
        <f>$I106*$K106*py*Index!AL58*Index!AL199/unit</f>
        <v>6.7970397824999997</v>
      </c>
      <c r="AN106" s="73">
        <f>$I106*$K106*py*Index!AM58*Index!AM199/unit</f>
        <v>6.7970397824999997</v>
      </c>
      <c r="AO106" s="73">
        <f>$I106*$K106*py*Index!AN58*Index!AN199/unit</f>
        <v>6.7970397824999997</v>
      </c>
      <c r="AP106" s="73">
        <f>$I106*$K106*py*Index!AO58*Index!AO199/unit</f>
        <v>6.7970397824999997</v>
      </c>
      <c r="AQ106" s="73">
        <f>$I106*$K106*py*Index!AP58*Index!AP199/unit</f>
        <v>6.7970397824999997</v>
      </c>
      <c r="AR106" s="73">
        <f>$I106*$K106*py*Index!AQ58*Index!AQ199/unit</f>
        <v>6.7970397824999997</v>
      </c>
      <c r="AS106" s="73">
        <f>$I106*$K106*py*Index!AR58*Index!AR199/unit</f>
        <v>6.7970397824999997</v>
      </c>
      <c r="AT106" s="73">
        <f>$I106*$K106*py*Index!AS58*Index!AS199/unit</f>
        <v>6.7970397824999997</v>
      </c>
      <c r="AU106" s="73">
        <f>$I106*$K106*py*Index!AT58*Index!AT199/unit</f>
        <v>6.7970397824999997</v>
      </c>
      <c r="AV106" s="73">
        <f>$I106*$K106*py*Index!AU58*Index!AU199/unit</f>
        <v>6.7970397824999997</v>
      </c>
      <c r="AW106" s="73">
        <f>$I106*$K106*py*Index!AV58*Index!AV199/unit</f>
        <v>7.000950975974999</v>
      </c>
      <c r="AX106" s="73">
        <f>$I106*$K106*py*Index!AW58*Index!AW199/unit</f>
        <v>7.000950975974999</v>
      </c>
      <c r="AY106" s="73">
        <f>$I106*$K106*py*Index!AX58*Index!AX199/unit</f>
        <v>7.000950975974999</v>
      </c>
      <c r="AZ106" s="73">
        <f>$I106*$K106*py*Index!AY58*Index!AY199/unit</f>
        <v>7.000950975974999</v>
      </c>
      <c r="BA106" s="73">
        <f>$I106*$K106*py*Index!AZ58*Index!AZ199/unit</f>
        <v>7.000950975974999</v>
      </c>
      <c r="BB106" s="73">
        <f>$I106*$K106*py*Index!BA58*Index!BA199/unit</f>
        <v>7.000950975974999</v>
      </c>
      <c r="BC106" s="73">
        <f>$I106*$K106*py*Index!BB58*Index!BB199/unit</f>
        <v>7.000950975974999</v>
      </c>
      <c r="BD106" s="73">
        <f>$I106*$K106*py*Index!BC58*Index!BC199/unit</f>
        <v>7.000950975974999</v>
      </c>
      <c r="BE106" s="73">
        <f>$I106*$K106*py*Index!BD58*Index!BD199/unit</f>
        <v>7.000950975974999</v>
      </c>
      <c r="BF106" s="73">
        <f>$I106*$K106*py*Index!BE58*Index!BE199/unit</f>
        <v>7.000950975974999</v>
      </c>
      <c r="BG106" s="73">
        <f>$I106*$K106*py*Index!BF58*Index!BF199/unit</f>
        <v>7.000950975974999</v>
      </c>
      <c r="BH106" s="73">
        <f>$I106*$K106*py*Index!BG58*Index!BG199/unit</f>
        <v>7.000950975974999</v>
      </c>
      <c r="BI106" s="73">
        <f>$I106*$K106*py*Index!BH58*Index!BH199/unit</f>
        <v>7.21097950525425</v>
      </c>
      <c r="BJ106" s="73">
        <f>$I106*$K106*py*Index!BI58*Index!BI199/unit</f>
        <v>7.21097950525425</v>
      </c>
      <c r="BK106" s="73">
        <f>$I106*$K106*py*Index!BJ58*Index!BJ199/unit</f>
        <v>7.21097950525425</v>
      </c>
      <c r="BL106" s="73">
        <f>$I106*$K106*py*Index!BK58*Index!BK199/unit</f>
        <v>7.21097950525425</v>
      </c>
      <c r="BM106" s="73">
        <f>$I106*$K106*py*Index!BL58*Index!BL199/unit</f>
        <v>7.21097950525425</v>
      </c>
      <c r="BN106" s="73">
        <f>$I106*$K106*py*Index!BM58*Index!BM199/unit</f>
        <v>7.21097950525425</v>
      </c>
      <c r="BO106" s="73">
        <f>$I106*$K106*py*Index!BN58*Index!BN199/unit</f>
        <v>7.21097950525425</v>
      </c>
      <c r="BP106" s="73">
        <f>$I106*$K106*py*Index!BO58*Index!BO199/unit</f>
        <v>7.21097950525425</v>
      </c>
      <c r="BQ106" s="73">
        <f>$I106*$K106*py*Index!BP58*Index!BP199/unit</f>
        <v>7.21097950525425</v>
      </c>
      <c r="BR106" s="73">
        <f>$I106*$K106*py*Index!BQ58*Index!BQ199/unit</f>
        <v>7.21097950525425</v>
      </c>
      <c r="BS106" s="73">
        <f>$I106*$K106*py*Index!BR58*Index!BR199/unit</f>
        <v>7.21097950525425</v>
      </c>
      <c r="BT106" s="73">
        <f>$I106*$K106*py*Index!BS58*Index!BS199/unit</f>
        <v>7.21097950525425</v>
      </c>
      <c r="BU106" s="73">
        <f>$I106*$K106*py*Index!BT58*Index!BT199/unit</f>
        <v>7.4273088904118767</v>
      </c>
      <c r="BV106" s="73">
        <f>$I106*$K106*py*Index!BU58*Index!BU199/unit</f>
        <v>7.4273088904118767</v>
      </c>
      <c r="BW106" s="73">
        <f>$I106*$K106*py*Index!BV58*Index!BV199/unit</f>
        <v>7.4273088904118767</v>
      </c>
      <c r="BX106" s="73">
        <f>$I106*$K106*py*Index!BW58*Index!BW199/unit</f>
        <v>7.4273088904118767</v>
      </c>
      <c r="BY106" s="73">
        <f>$I106*$K106*py*Index!BX58*Index!BX199/unit</f>
        <v>7.4273088904118767</v>
      </c>
      <c r="BZ106" s="73">
        <f>$I106*$K106*py*Index!BY58*Index!BY199/unit</f>
        <v>7.4273088904118767</v>
      </c>
      <c r="CA106" s="73">
        <f>$I106*$K106*py*Index!BZ58*Index!BZ199/unit</f>
        <v>7.4273088904118767</v>
      </c>
      <c r="CB106" s="73">
        <f>$I106*$K106*py*Index!CA58*Index!CA199/unit</f>
        <v>0</v>
      </c>
      <c r="CC106" s="73">
        <f>$I106*$K106*py*Index!CB58*Index!CB199/unit</f>
        <v>0</v>
      </c>
      <c r="CD106" s="73">
        <f>$I106*$K106*py*Index!CC58*Index!CC199/unit</f>
        <v>0</v>
      </c>
      <c r="CE106" s="73">
        <f>$I106*$K106*py*Index!CD58*Index!CD199/unit</f>
        <v>0</v>
      </c>
      <c r="CF106" s="73">
        <f>$I106*$K106*py*Index!CE58*Index!CE199/unit</f>
        <v>0</v>
      </c>
      <c r="CG106" s="73">
        <f>$I106*$K106*py*Index!CF58*Index!CF199/unit</f>
        <v>0</v>
      </c>
      <c r="CH106" s="73">
        <f>$I106*$K106*py*Index!CG58*Index!CG199/unit</f>
        <v>0</v>
      </c>
      <c r="CI106" s="73">
        <f>$I106*$K106*py*Index!CH58*Index!CH199/unit</f>
        <v>0</v>
      </c>
      <c r="CJ106" s="73">
        <f>$I106*$K106*py*Index!CI58*Index!CI199/unit</f>
        <v>0</v>
      </c>
      <c r="CK106" s="73">
        <f>$I106*$K106*py*Index!CJ58*Index!CJ199/unit</f>
        <v>0</v>
      </c>
      <c r="CL106" s="73">
        <f>$I106*$K106*py*Index!CK58*Index!CK199/unit</f>
        <v>0</v>
      </c>
      <c r="CM106" s="73">
        <f>$I106*$K106*py*Index!CL58*Index!CL199/unit</f>
        <v>0</v>
      </c>
      <c r="CN106" s="73">
        <f>$I106*$K106*py*Index!CM58*Index!CM199/unit</f>
        <v>0</v>
      </c>
      <c r="CO106" s="73">
        <f>$I106*$K106*py*Index!CN58*Index!CN199/unit</f>
        <v>0</v>
      </c>
      <c r="CP106" s="73">
        <f>$I106*$K106*py*Index!CO58*Index!CO199/unit</f>
        <v>0</v>
      </c>
      <c r="CQ106" s="73">
        <f>$I106*$K106*py*Index!CP58*Index!CP199/unit</f>
        <v>0</v>
      </c>
      <c r="CR106" s="73">
        <f>$I106*$K106*py*Index!CQ58*Index!CQ199/unit</f>
        <v>0</v>
      </c>
      <c r="CS106" s="73">
        <f>$I106*$K106*py*Index!CR58*Index!CR199/unit</f>
        <v>0</v>
      </c>
      <c r="CT106" s="73">
        <f>$I106*$K106*py*Index!CS58*Index!CS199/unit</f>
        <v>0</v>
      </c>
      <c r="CU106" s="73">
        <f>$I106*$K106*py*Index!CT58*Index!CT199/unit</f>
        <v>0</v>
      </c>
      <c r="CV106" s="73">
        <f>$I106*$K106*py*Index!CU58*Index!CU199/unit</f>
        <v>0</v>
      </c>
      <c r="CW106" s="73">
        <f>$I106*$K106*py*Index!CV58*Index!CV199/unit</f>
        <v>0</v>
      </c>
      <c r="CX106" s="73">
        <f>$I106*$K106*py*Index!CW58*Index!CW199/unit</f>
        <v>0</v>
      </c>
      <c r="CY106" s="73">
        <f>$I106*$K106*py*Index!CX58*Index!CX199/unit</f>
        <v>0</v>
      </c>
      <c r="CZ106" s="73">
        <f>$I106*$K106*py*Index!CY58*Index!CY199/unit</f>
        <v>0</v>
      </c>
      <c r="DA106" s="73">
        <f>$I106*$K106*py*Index!CZ58*Index!CZ199/unit</f>
        <v>0</v>
      </c>
      <c r="DB106" s="73">
        <f>$I106*$K106*py*Index!DA58*Index!DA199/unit</f>
        <v>0</v>
      </c>
      <c r="DC106" s="73">
        <f>$I106*$K106*py*Index!DB58*Index!DB199/unit</f>
        <v>0</v>
      </c>
      <c r="DD106" s="73">
        <f>$I106*$K106*py*Index!DC58*Index!DC199/unit</f>
        <v>0</v>
      </c>
      <c r="DE106" s="73">
        <f>$I106*$K106*py*Index!DD58*Index!DD199/unit</f>
        <v>0</v>
      </c>
      <c r="DF106" s="73">
        <f>$I106*$K106*py*Index!DE58*Index!DE199/unit</f>
        <v>0</v>
      </c>
      <c r="DG106" s="73">
        <f>$I106*$K106*py*Index!DF58*Index!DF199/unit</f>
        <v>0</v>
      </c>
      <c r="DH106" s="73">
        <f>$I106*$K106*py*Index!DG58*Index!DG199/unit</f>
        <v>0</v>
      </c>
      <c r="DI106" s="73">
        <f>$I106*$K106*py*Index!DH58*Index!DH199/unit</f>
        <v>0</v>
      </c>
      <c r="DJ106" s="73">
        <f>$I106*$K106*py*Index!DI58*Index!DI199/unit</f>
        <v>0</v>
      </c>
      <c r="DK106" s="73">
        <f>$I106*$K106*py*Index!DJ58*Index!DJ199/unit</f>
        <v>0</v>
      </c>
      <c r="DL106" s="73">
        <f>$I106*$K106*py*Index!DK58*Index!DK199/unit</f>
        <v>0</v>
      </c>
      <c r="DM106" s="73">
        <f>$I106*$K106*py*Index!DL58*Index!DL199/unit</f>
        <v>0</v>
      </c>
    </row>
    <row r="107" spans="2:117">
      <c r="B107" s="28" t="str">
        <f>Rentroll!$C$57</f>
        <v>102호</v>
      </c>
      <c r="C107" s="69" t="str">
        <f>VLOOKUP($B107,Rentroll!$C$37:$Z$60,3,FALSE)</f>
        <v>DOTZ</v>
      </c>
      <c r="D107" s="80">
        <f>VLOOKUP($B107,Rentroll!$C$37:$Z$60,9,FALSE)</f>
        <v>45838</v>
      </c>
      <c r="E107" s="80">
        <f>VLOOKUP($B107,Rentroll!$C$37:$Z$60,10,FALSE)</f>
        <v>47634</v>
      </c>
      <c r="F107" s="81">
        <f>VLOOKUP($B107,Rentroll!$C$37:$Z$60,11,FALSE)</f>
        <v>60</v>
      </c>
      <c r="G107" s="69">
        <f>VLOOKUP($B107,Rentroll!$C$37:$Z$60,13,FALSE)</f>
        <v>150000</v>
      </c>
      <c r="H107" s="69">
        <f>VLOOKUP($B107,Rentroll!$C$37:$Z$60,14,FALSE)</f>
        <v>150000</v>
      </c>
      <c r="I107" s="69">
        <f>VLOOKUP($B107,Rentroll!$C$37:$Z$60,15,FALSE)</f>
        <v>45000</v>
      </c>
      <c r="J107" s="82">
        <f>VLOOKUP($B107,Rentroll!$C$37:$Z$60,19,FALSE)</f>
        <v>0.03</v>
      </c>
      <c r="K107" s="83">
        <f>VLOOKUP($B107,Rentroll!$C$37:$Z$60,4,FALSE)</f>
        <v>484.78</v>
      </c>
      <c r="L107" s="81">
        <f>VLOOKUP($B107,Rentroll!$C$37:$Z$60,17,FALSE)</f>
        <v>1</v>
      </c>
      <c r="M107" s="84">
        <f>VLOOKUP($B107,Rentroll!$C$37:$Z$60,18,FALSE)</f>
        <v>0</v>
      </c>
      <c r="O107" s="74" t="str">
        <f t="shared" si="220"/>
        <v>102호</v>
      </c>
      <c r="P107" s="75"/>
      <c r="Q107" s="75">
        <f t="shared" si="221"/>
        <v>383.2876183976345</v>
      </c>
      <c r="R107" s="75"/>
      <c r="S107" s="75">
        <f>$I107*$K107*py*Index!R59*Index!R200/unit</f>
        <v>0</v>
      </c>
      <c r="T107" s="75">
        <f>$I107*$K107*py*Index!S59*Index!S200/unit</f>
        <v>0</v>
      </c>
      <c r="U107" s="75">
        <f>$I107*$K107*py*Index!T59*Index!T200/unit</f>
        <v>0</v>
      </c>
      <c r="V107" s="75">
        <f>$I107*$K107*py*Index!U59*Index!U200/unit</f>
        <v>0</v>
      </c>
      <c r="W107" s="75">
        <f>$I107*$K107*py*Index!V59*Index!V200/unit</f>
        <v>0</v>
      </c>
      <c r="X107" s="75">
        <f>$I107*$K107*py*Index!W59*Index!W200/unit</f>
        <v>0</v>
      </c>
      <c r="Y107" s="75">
        <f>$I107*$K107*py*Index!X59*Index!X200/unit</f>
        <v>6.5990677499999997</v>
      </c>
      <c r="Z107" s="75">
        <f>$I107*$K107*py*Index!Y59*Index!Y200/unit</f>
        <v>6.5990677499999997</v>
      </c>
      <c r="AA107" s="75">
        <f>$I107*$K107*py*Index!Z59*Index!Z200/unit</f>
        <v>6.5990677499999997</v>
      </c>
      <c r="AB107" s="75">
        <f>$I107*$K107*py*Index!AA59*Index!AA200/unit</f>
        <v>6.5990677499999997</v>
      </c>
      <c r="AC107" s="75">
        <f>$I107*$K107*py*Index!AB59*Index!AB200/unit</f>
        <v>6.5990677499999997</v>
      </c>
      <c r="AD107" s="75">
        <f>$I107*$K107*py*Index!AC59*Index!AC200/unit</f>
        <v>6.5990677499999997</v>
      </c>
      <c r="AE107" s="75">
        <f>$I107*$K107*py*Index!AD59*Index!AD200/unit</f>
        <v>6.5990677499999997</v>
      </c>
      <c r="AF107" s="75">
        <f>$I107*$K107*py*Index!AE59*Index!AE200/unit</f>
        <v>6.5990677499999997</v>
      </c>
      <c r="AG107" s="75">
        <f>$I107*$K107*py*Index!AF59*Index!AF200/unit</f>
        <v>6.5990677499999997</v>
      </c>
      <c r="AH107" s="75">
        <f>$I107*$K107*py*Index!AG59*Index!AG200/unit</f>
        <v>6.5990677499999997</v>
      </c>
      <c r="AI107" s="75">
        <f>$I107*$K107*py*Index!AH59*Index!AH200/unit</f>
        <v>6.5990677499999997</v>
      </c>
      <c r="AJ107" s="75">
        <f>$I107*$K107*py*Index!AI59*Index!AI200/unit</f>
        <v>6.5990677499999997</v>
      </c>
      <c r="AK107" s="75">
        <f>$I107*$K107*py*Index!AJ59*Index!AJ200/unit</f>
        <v>6.7970397824999997</v>
      </c>
      <c r="AL107" s="75">
        <f>$I107*$K107*py*Index!AK59*Index!AK200/unit</f>
        <v>6.7970397824999997</v>
      </c>
      <c r="AM107" s="75">
        <f>$I107*$K107*py*Index!AL59*Index!AL200/unit</f>
        <v>6.7970397824999997</v>
      </c>
      <c r="AN107" s="75">
        <f>$I107*$K107*py*Index!AM59*Index!AM200/unit</f>
        <v>6.7970397824999997</v>
      </c>
      <c r="AO107" s="75">
        <f>$I107*$K107*py*Index!AN59*Index!AN200/unit</f>
        <v>6.7970397824999997</v>
      </c>
      <c r="AP107" s="75">
        <f>$I107*$K107*py*Index!AO59*Index!AO200/unit</f>
        <v>6.7970397824999997</v>
      </c>
      <c r="AQ107" s="75">
        <f>$I107*$K107*py*Index!AP59*Index!AP200/unit</f>
        <v>6.7970397824999997</v>
      </c>
      <c r="AR107" s="75">
        <f>$I107*$K107*py*Index!AQ59*Index!AQ200/unit</f>
        <v>6.7970397824999997</v>
      </c>
      <c r="AS107" s="75">
        <f>$I107*$K107*py*Index!AR59*Index!AR200/unit</f>
        <v>6.7970397824999997</v>
      </c>
      <c r="AT107" s="75">
        <f>$I107*$K107*py*Index!AS59*Index!AS200/unit</f>
        <v>6.7970397824999997</v>
      </c>
      <c r="AU107" s="75">
        <f>$I107*$K107*py*Index!AT59*Index!AT200/unit</f>
        <v>6.7970397824999997</v>
      </c>
      <c r="AV107" s="75">
        <f>$I107*$K107*py*Index!AU59*Index!AU200/unit</f>
        <v>6.7970397824999997</v>
      </c>
      <c r="AW107" s="75">
        <f>$I107*$K107*py*Index!AV59*Index!AV200/unit</f>
        <v>7.000950975974999</v>
      </c>
      <c r="AX107" s="75">
        <f>$I107*$K107*py*Index!AW59*Index!AW200/unit</f>
        <v>7.000950975974999</v>
      </c>
      <c r="AY107" s="75">
        <f>$I107*$K107*py*Index!AX59*Index!AX200/unit</f>
        <v>7.000950975974999</v>
      </c>
      <c r="AZ107" s="75">
        <f>$I107*$K107*py*Index!AY59*Index!AY200/unit</f>
        <v>7.000950975974999</v>
      </c>
      <c r="BA107" s="75">
        <f>$I107*$K107*py*Index!AZ59*Index!AZ200/unit</f>
        <v>7.000950975974999</v>
      </c>
      <c r="BB107" s="75">
        <f>$I107*$K107*py*Index!BA59*Index!BA200/unit</f>
        <v>7.000950975974999</v>
      </c>
      <c r="BC107" s="75">
        <f>$I107*$K107*py*Index!BB59*Index!BB200/unit</f>
        <v>7.000950975974999</v>
      </c>
      <c r="BD107" s="75">
        <f>$I107*$K107*py*Index!BC59*Index!BC200/unit</f>
        <v>7.000950975974999</v>
      </c>
      <c r="BE107" s="75">
        <f>$I107*$K107*py*Index!BD59*Index!BD200/unit</f>
        <v>7.000950975974999</v>
      </c>
      <c r="BF107" s="75">
        <f>$I107*$K107*py*Index!BE59*Index!BE200/unit</f>
        <v>7.000950975974999</v>
      </c>
      <c r="BG107" s="75">
        <f>$I107*$K107*py*Index!BF59*Index!BF200/unit</f>
        <v>7.000950975974999</v>
      </c>
      <c r="BH107" s="75">
        <f>$I107*$K107*py*Index!BG59*Index!BG200/unit</f>
        <v>7.000950975974999</v>
      </c>
      <c r="BI107" s="75">
        <f>$I107*$K107*py*Index!BH59*Index!BH200/unit</f>
        <v>7.21097950525425</v>
      </c>
      <c r="BJ107" s="75">
        <f>$I107*$K107*py*Index!BI59*Index!BI200/unit</f>
        <v>7.21097950525425</v>
      </c>
      <c r="BK107" s="75">
        <f>$I107*$K107*py*Index!BJ59*Index!BJ200/unit</f>
        <v>7.21097950525425</v>
      </c>
      <c r="BL107" s="75">
        <f>$I107*$K107*py*Index!BK59*Index!BK200/unit</f>
        <v>7.21097950525425</v>
      </c>
      <c r="BM107" s="75">
        <f>$I107*$K107*py*Index!BL59*Index!BL200/unit</f>
        <v>7.21097950525425</v>
      </c>
      <c r="BN107" s="75">
        <f>$I107*$K107*py*Index!BM59*Index!BM200/unit</f>
        <v>7.21097950525425</v>
      </c>
      <c r="BO107" s="75">
        <f>$I107*$K107*py*Index!BN59*Index!BN200/unit</f>
        <v>7.21097950525425</v>
      </c>
      <c r="BP107" s="75">
        <f>$I107*$K107*py*Index!BO59*Index!BO200/unit</f>
        <v>7.21097950525425</v>
      </c>
      <c r="BQ107" s="75">
        <f>$I107*$K107*py*Index!BP59*Index!BP200/unit</f>
        <v>7.21097950525425</v>
      </c>
      <c r="BR107" s="75">
        <f>$I107*$K107*py*Index!BQ59*Index!BQ200/unit</f>
        <v>7.21097950525425</v>
      </c>
      <c r="BS107" s="75">
        <f>$I107*$K107*py*Index!BR59*Index!BR200/unit</f>
        <v>7.21097950525425</v>
      </c>
      <c r="BT107" s="75">
        <f>$I107*$K107*py*Index!BS59*Index!BS200/unit</f>
        <v>7.21097950525425</v>
      </c>
      <c r="BU107" s="75">
        <f>$I107*$K107*py*Index!BT59*Index!BT200/unit</f>
        <v>7.4273088904118767</v>
      </c>
      <c r="BV107" s="75">
        <f>$I107*$K107*py*Index!BU59*Index!BU200/unit</f>
        <v>7.4273088904118767</v>
      </c>
      <c r="BW107" s="75">
        <f>$I107*$K107*py*Index!BV59*Index!BV200/unit</f>
        <v>7.4273088904118767</v>
      </c>
      <c r="BX107" s="75">
        <f>$I107*$K107*py*Index!BW59*Index!BW200/unit</f>
        <v>7.4273088904118767</v>
      </c>
      <c r="BY107" s="75">
        <f>$I107*$K107*py*Index!BX59*Index!BX200/unit</f>
        <v>7.4273088904118767</v>
      </c>
      <c r="BZ107" s="75">
        <f>$I107*$K107*py*Index!BY59*Index!BY200/unit</f>
        <v>7.4273088904118767</v>
      </c>
      <c r="CA107" s="75">
        <f>$I107*$K107*py*Index!BZ59*Index!BZ200/unit</f>
        <v>7.4273088904118767</v>
      </c>
      <c r="CB107" s="75">
        <f>$I107*$K107*py*Index!CA59*Index!CA200/unit</f>
        <v>0</v>
      </c>
      <c r="CC107" s="75">
        <f>$I107*$K107*py*Index!CB59*Index!CB200/unit</f>
        <v>0</v>
      </c>
      <c r="CD107" s="75">
        <f>$I107*$K107*py*Index!CC59*Index!CC200/unit</f>
        <v>0</v>
      </c>
      <c r="CE107" s="75">
        <f>$I107*$K107*py*Index!CD59*Index!CD200/unit</f>
        <v>0</v>
      </c>
      <c r="CF107" s="75">
        <f>$I107*$K107*py*Index!CE59*Index!CE200/unit</f>
        <v>0</v>
      </c>
      <c r="CG107" s="75">
        <f>$I107*$K107*py*Index!CF59*Index!CF200/unit</f>
        <v>0</v>
      </c>
      <c r="CH107" s="75">
        <f>$I107*$K107*py*Index!CG59*Index!CG200/unit</f>
        <v>0</v>
      </c>
      <c r="CI107" s="75">
        <f>$I107*$K107*py*Index!CH59*Index!CH200/unit</f>
        <v>0</v>
      </c>
      <c r="CJ107" s="75">
        <f>$I107*$K107*py*Index!CI59*Index!CI200/unit</f>
        <v>0</v>
      </c>
      <c r="CK107" s="75">
        <f>$I107*$K107*py*Index!CJ59*Index!CJ200/unit</f>
        <v>0</v>
      </c>
      <c r="CL107" s="75">
        <f>$I107*$K107*py*Index!CK59*Index!CK200/unit</f>
        <v>0</v>
      </c>
      <c r="CM107" s="75">
        <f>$I107*$K107*py*Index!CL59*Index!CL200/unit</f>
        <v>0</v>
      </c>
      <c r="CN107" s="75">
        <f>$I107*$K107*py*Index!CM59*Index!CM200/unit</f>
        <v>0</v>
      </c>
      <c r="CO107" s="75">
        <f>$I107*$K107*py*Index!CN59*Index!CN200/unit</f>
        <v>0</v>
      </c>
      <c r="CP107" s="75">
        <f>$I107*$K107*py*Index!CO59*Index!CO200/unit</f>
        <v>0</v>
      </c>
      <c r="CQ107" s="75">
        <f>$I107*$K107*py*Index!CP59*Index!CP200/unit</f>
        <v>0</v>
      </c>
      <c r="CR107" s="75">
        <f>$I107*$K107*py*Index!CQ59*Index!CQ200/unit</f>
        <v>0</v>
      </c>
      <c r="CS107" s="75">
        <f>$I107*$K107*py*Index!CR59*Index!CR200/unit</f>
        <v>0</v>
      </c>
      <c r="CT107" s="75">
        <f>$I107*$K107*py*Index!CS59*Index!CS200/unit</f>
        <v>0</v>
      </c>
      <c r="CU107" s="75">
        <f>$I107*$K107*py*Index!CT59*Index!CT200/unit</f>
        <v>0</v>
      </c>
      <c r="CV107" s="75">
        <f>$I107*$K107*py*Index!CU59*Index!CU200/unit</f>
        <v>0</v>
      </c>
      <c r="CW107" s="75">
        <f>$I107*$K107*py*Index!CV59*Index!CV200/unit</f>
        <v>0</v>
      </c>
      <c r="CX107" s="75">
        <f>$I107*$K107*py*Index!CW59*Index!CW200/unit</f>
        <v>0</v>
      </c>
      <c r="CY107" s="75">
        <f>$I107*$K107*py*Index!CX59*Index!CX200/unit</f>
        <v>0</v>
      </c>
      <c r="CZ107" s="75">
        <f>$I107*$K107*py*Index!CY59*Index!CY200/unit</f>
        <v>0</v>
      </c>
      <c r="DA107" s="75">
        <f>$I107*$K107*py*Index!CZ59*Index!CZ200/unit</f>
        <v>0</v>
      </c>
      <c r="DB107" s="75">
        <f>$I107*$K107*py*Index!DA59*Index!DA200/unit</f>
        <v>0</v>
      </c>
      <c r="DC107" s="75">
        <f>$I107*$K107*py*Index!DB59*Index!DB200/unit</f>
        <v>0</v>
      </c>
      <c r="DD107" s="75">
        <f>$I107*$K107*py*Index!DC59*Index!DC200/unit</f>
        <v>0</v>
      </c>
      <c r="DE107" s="75">
        <f>$I107*$K107*py*Index!DD59*Index!DD200/unit</f>
        <v>0</v>
      </c>
      <c r="DF107" s="75">
        <f>$I107*$K107*py*Index!DE59*Index!DE200/unit</f>
        <v>0</v>
      </c>
      <c r="DG107" s="75">
        <f>$I107*$K107*py*Index!DF59*Index!DF200/unit</f>
        <v>0</v>
      </c>
      <c r="DH107" s="75">
        <f>$I107*$K107*py*Index!DG59*Index!DG200/unit</f>
        <v>0</v>
      </c>
      <c r="DI107" s="75">
        <f>$I107*$K107*py*Index!DH59*Index!DH200/unit</f>
        <v>0</v>
      </c>
      <c r="DJ107" s="75">
        <f>$I107*$K107*py*Index!DI59*Index!DI200/unit</f>
        <v>0</v>
      </c>
      <c r="DK107" s="75">
        <f>$I107*$K107*py*Index!DJ59*Index!DJ200/unit</f>
        <v>0</v>
      </c>
      <c r="DL107" s="75">
        <f>$I107*$K107*py*Index!DK59*Index!DK200/unit</f>
        <v>0</v>
      </c>
      <c r="DM107" s="75">
        <f>$I107*$K107*py*Index!DL59*Index!DL200/unit</f>
        <v>0</v>
      </c>
    </row>
    <row r="108" spans="2:117">
      <c r="B108" s="28" t="str">
        <f>Rentroll!$C$58</f>
        <v>B101호</v>
      </c>
      <c r="C108" s="69" t="str">
        <f>VLOOKUP($B108,Rentroll!$C$37:$Z$60,3,FALSE)</f>
        <v>편안창고 스토리지</v>
      </c>
      <c r="D108" s="80">
        <f>VLOOKUP($B108,Rentroll!$C$37:$Z$60,9,FALSE)</f>
        <v>46752</v>
      </c>
      <c r="E108" s="80">
        <f>VLOOKUP($B108,Rentroll!$C$37:$Z$60,10,FALSE)</f>
        <v>48579</v>
      </c>
      <c r="F108" s="81">
        <f>VLOOKUP($B108,Rentroll!$C$37:$Z$60,11,FALSE)</f>
        <v>60</v>
      </c>
      <c r="G108" s="69">
        <f>VLOOKUP($B108,Rentroll!$C$37:$Z$60,13,FALSE)</f>
        <v>52116.712499999994</v>
      </c>
      <c r="H108" s="69">
        <f>VLOOKUP($B108,Rentroll!$C$37:$Z$60,14,FALSE)</f>
        <v>52116.712499999994</v>
      </c>
      <c r="I108" s="69">
        <f>VLOOKUP($B108,Rentroll!$C$37:$Z$60,15,FALSE)</f>
        <v>40000</v>
      </c>
      <c r="J108" s="82">
        <f>VLOOKUP($B108,Rentroll!$C$37:$Z$60,19,FALSE)</f>
        <v>0.03</v>
      </c>
      <c r="K108" s="83">
        <f>VLOOKUP($B108,Rentroll!$C$37:$Z$60,4,FALSE)</f>
        <v>969.56</v>
      </c>
      <c r="L108" s="81">
        <f>VLOOKUP($B108,Rentroll!$C$37:$Z$60,17,FALSE)</f>
        <v>1</v>
      </c>
      <c r="M108" s="84">
        <f>VLOOKUP($B108,Rentroll!$C$37:$Z$60,18,FALSE)</f>
        <v>0</v>
      </c>
      <c r="O108" s="74" t="str">
        <f t="shared" ref="O108" si="222">B108</f>
        <v>B101호</v>
      </c>
      <c r="P108" s="75"/>
      <c r="Q108" s="75">
        <f t="shared" ref="Q108" si="223">SUM(S108:DM108)</f>
        <v>298.22976242839997</v>
      </c>
      <c r="R108" s="75"/>
      <c r="S108" s="75">
        <f>$I108*$K108*py*Index!R60*Index!R201/unit</f>
        <v>0</v>
      </c>
      <c r="T108" s="75">
        <f>$I108*$K108*py*Index!S60*Index!S201/unit</f>
        <v>0</v>
      </c>
      <c r="U108" s="75">
        <f>$I108*$K108*py*Index!T60*Index!T201/unit</f>
        <v>0</v>
      </c>
      <c r="V108" s="75">
        <f>$I108*$K108*py*Index!U60*Index!U201/unit</f>
        <v>0</v>
      </c>
      <c r="W108" s="75">
        <f>$I108*$K108*py*Index!V60*Index!V201/unit</f>
        <v>0</v>
      </c>
      <c r="X108" s="75">
        <f>$I108*$K108*py*Index!W60*Index!W201/unit</f>
        <v>0</v>
      </c>
      <c r="Y108" s="75">
        <f>$I108*$K108*py*Index!X60*Index!X201/unit</f>
        <v>0</v>
      </c>
      <c r="Z108" s="75">
        <f>$I108*$K108*py*Index!Y60*Index!Y201/unit</f>
        <v>0</v>
      </c>
      <c r="AA108" s="75">
        <f>$I108*$K108*py*Index!Z60*Index!Z201/unit</f>
        <v>0</v>
      </c>
      <c r="AB108" s="75">
        <f>$I108*$K108*py*Index!AA60*Index!AA201/unit</f>
        <v>0</v>
      </c>
      <c r="AC108" s="75">
        <f>$I108*$K108*py*Index!AB60*Index!AB201/unit</f>
        <v>0</v>
      </c>
      <c r="AD108" s="75">
        <f>$I108*$K108*py*Index!AC60*Index!AC201/unit</f>
        <v>0</v>
      </c>
      <c r="AE108" s="75">
        <f>$I108*$K108*py*Index!AD60*Index!AD201/unit</f>
        <v>0</v>
      </c>
      <c r="AF108" s="75">
        <f>$I108*$K108*py*Index!AE60*Index!AE201/unit</f>
        <v>0</v>
      </c>
      <c r="AG108" s="75">
        <f>$I108*$K108*py*Index!AF60*Index!AF201/unit</f>
        <v>0</v>
      </c>
      <c r="AH108" s="75">
        <f>$I108*$K108*py*Index!AG60*Index!AG201/unit</f>
        <v>0</v>
      </c>
      <c r="AI108" s="75">
        <f>$I108*$K108*py*Index!AH60*Index!AH201/unit</f>
        <v>0</v>
      </c>
      <c r="AJ108" s="75">
        <f>$I108*$K108*py*Index!AI60*Index!AI201/unit</f>
        <v>0</v>
      </c>
      <c r="AK108" s="75">
        <f>$I108*$K108*py*Index!AJ60*Index!AJ201/unit</f>
        <v>0</v>
      </c>
      <c r="AL108" s="75">
        <f>$I108*$K108*py*Index!AK60*Index!AK201/unit</f>
        <v>0</v>
      </c>
      <c r="AM108" s="75">
        <f>$I108*$K108*py*Index!AL60*Index!AL201/unit</f>
        <v>0</v>
      </c>
      <c r="AN108" s="75">
        <f>$I108*$K108*py*Index!AM60*Index!AM201/unit</f>
        <v>0</v>
      </c>
      <c r="AO108" s="75">
        <f>$I108*$K108*py*Index!AN60*Index!AN201/unit</f>
        <v>0</v>
      </c>
      <c r="AP108" s="75">
        <f>$I108*$K108*py*Index!AO60*Index!AO201/unit</f>
        <v>0</v>
      </c>
      <c r="AQ108" s="75">
        <f>$I108*$K108*py*Index!AP60*Index!AP201/unit</f>
        <v>0</v>
      </c>
      <c r="AR108" s="75">
        <f>$I108*$K108*py*Index!AQ60*Index!AQ201/unit</f>
        <v>0</v>
      </c>
      <c r="AS108" s="75">
        <f>$I108*$K108*py*Index!AR60*Index!AR201/unit</f>
        <v>0</v>
      </c>
      <c r="AT108" s="75">
        <f>$I108*$K108*py*Index!AS60*Index!AS201/unit</f>
        <v>0</v>
      </c>
      <c r="AU108" s="75">
        <f>$I108*$K108*py*Index!AT60*Index!AT201/unit</f>
        <v>0</v>
      </c>
      <c r="AV108" s="75">
        <f>$I108*$K108*py*Index!AU60*Index!AU201/unit</f>
        <v>0</v>
      </c>
      <c r="AW108" s="75">
        <f>$I108*$K108*py*Index!AV60*Index!AV201/unit</f>
        <v>0</v>
      </c>
      <c r="AX108" s="75">
        <f>$I108*$K108*py*Index!AW60*Index!AW201/unit</f>
        <v>0</v>
      </c>
      <c r="AY108" s="75">
        <f>$I108*$K108*py*Index!AX60*Index!AX201/unit</f>
        <v>0</v>
      </c>
      <c r="AZ108" s="75">
        <f>$I108*$K108*py*Index!AY60*Index!AY201/unit</f>
        <v>0</v>
      </c>
      <c r="BA108" s="75">
        <f>$I108*$K108*py*Index!AZ60*Index!AZ201/unit</f>
        <v>0</v>
      </c>
      <c r="BB108" s="75">
        <f>$I108*$K108*py*Index!BA60*Index!BA201/unit</f>
        <v>0</v>
      </c>
      <c r="BC108" s="75">
        <f>$I108*$K108*py*Index!BB60*Index!BB201/unit</f>
        <v>11.731676</v>
      </c>
      <c r="BD108" s="75">
        <f>$I108*$K108*py*Index!BC60*Index!BC201/unit</f>
        <v>11.731676</v>
      </c>
      <c r="BE108" s="75">
        <f>$I108*$K108*py*Index!BD60*Index!BD201/unit</f>
        <v>11.731676</v>
      </c>
      <c r="BF108" s="75">
        <f>$I108*$K108*py*Index!BE60*Index!BE201/unit</f>
        <v>11.731676</v>
      </c>
      <c r="BG108" s="75">
        <f>$I108*$K108*py*Index!BF60*Index!BF201/unit</f>
        <v>11.731676</v>
      </c>
      <c r="BH108" s="75">
        <f>$I108*$K108*py*Index!BG60*Index!BG201/unit</f>
        <v>11.731676</v>
      </c>
      <c r="BI108" s="75">
        <f>$I108*$K108*py*Index!BH60*Index!BH201/unit</f>
        <v>11.731676</v>
      </c>
      <c r="BJ108" s="75">
        <f>$I108*$K108*py*Index!BI60*Index!BI201/unit</f>
        <v>11.731676</v>
      </c>
      <c r="BK108" s="75">
        <f>$I108*$K108*py*Index!BJ60*Index!BJ201/unit</f>
        <v>11.731676</v>
      </c>
      <c r="BL108" s="75">
        <f>$I108*$K108*py*Index!BK60*Index!BK201/unit</f>
        <v>11.731676</v>
      </c>
      <c r="BM108" s="75">
        <f>$I108*$K108*py*Index!BL60*Index!BL201/unit</f>
        <v>11.731676</v>
      </c>
      <c r="BN108" s="75">
        <f>$I108*$K108*py*Index!BM60*Index!BM201/unit</f>
        <v>11.731676</v>
      </c>
      <c r="BO108" s="75">
        <f>$I108*$K108*py*Index!BN60*Index!BN201/unit</f>
        <v>12.083626280000001</v>
      </c>
      <c r="BP108" s="75">
        <f>$I108*$K108*py*Index!BO60*Index!BO201/unit</f>
        <v>12.083626280000001</v>
      </c>
      <c r="BQ108" s="75">
        <f>$I108*$K108*py*Index!BP60*Index!BP201/unit</f>
        <v>12.083626280000001</v>
      </c>
      <c r="BR108" s="75">
        <f>$I108*$K108*py*Index!BQ60*Index!BQ201/unit</f>
        <v>12.083626280000001</v>
      </c>
      <c r="BS108" s="75">
        <f>$I108*$K108*py*Index!BR60*Index!BR201/unit</f>
        <v>12.083626280000001</v>
      </c>
      <c r="BT108" s="75">
        <f>$I108*$K108*py*Index!BS60*Index!BS201/unit</f>
        <v>12.083626280000001</v>
      </c>
      <c r="BU108" s="75">
        <f>$I108*$K108*py*Index!BT60*Index!BT201/unit</f>
        <v>12.083626280000001</v>
      </c>
      <c r="BV108" s="75">
        <f>$I108*$K108*py*Index!BU60*Index!BU201/unit</f>
        <v>12.083626280000001</v>
      </c>
      <c r="BW108" s="75">
        <f>$I108*$K108*py*Index!BV60*Index!BV201/unit</f>
        <v>12.083626280000001</v>
      </c>
      <c r="BX108" s="75">
        <f>$I108*$K108*py*Index!BW60*Index!BW201/unit</f>
        <v>12.083626280000001</v>
      </c>
      <c r="BY108" s="75">
        <f>$I108*$K108*py*Index!BX60*Index!BX201/unit</f>
        <v>12.083626280000001</v>
      </c>
      <c r="BZ108" s="75">
        <f>$I108*$K108*py*Index!BY60*Index!BY201/unit</f>
        <v>12.083626280000001</v>
      </c>
      <c r="CA108" s="75">
        <f>$I108*$K108*py*Index!BZ60*Index!BZ201/unit</f>
        <v>12.446135068399999</v>
      </c>
      <c r="CB108" s="75">
        <f>$I108*$K108*py*Index!CA60*Index!CA201/unit</f>
        <v>0</v>
      </c>
      <c r="CC108" s="75">
        <f>$I108*$K108*py*Index!CB60*Index!CB201/unit</f>
        <v>0</v>
      </c>
      <c r="CD108" s="75">
        <f>$I108*$K108*py*Index!CC60*Index!CC201/unit</f>
        <v>0</v>
      </c>
      <c r="CE108" s="75">
        <f>$I108*$K108*py*Index!CD60*Index!CD201/unit</f>
        <v>0</v>
      </c>
      <c r="CF108" s="75">
        <f>$I108*$K108*py*Index!CE60*Index!CE201/unit</f>
        <v>0</v>
      </c>
      <c r="CG108" s="75">
        <f>$I108*$K108*py*Index!CF60*Index!CF201/unit</f>
        <v>0</v>
      </c>
      <c r="CH108" s="75">
        <f>$I108*$K108*py*Index!CG60*Index!CG201/unit</f>
        <v>0</v>
      </c>
      <c r="CI108" s="75">
        <f>$I108*$K108*py*Index!CH60*Index!CH201/unit</f>
        <v>0</v>
      </c>
      <c r="CJ108" s="75">
        <f>$I108*$K108*py*Index!CI60*Index!CI201/unit</f>
        <v>0</v>
      </c>
      <c r="CK108" s="75">
        <f>$I108*$K108*py*Index!CJ60*Index!CJ201/unit</f>
        <v>0</v>
      </c>
      <c r="CL108" s="75">
        <f>$I108*$K108*py*Index!CK60*Index!CK201/unit</f>
        <v>0</v>
      </c>
      <c r="CM108" s="75">
        <f>$I108*$K108*py*Index!CL60*Index!CL201/unit</f>
        <v>0</v>
      </c>
      <c r="CN108" s="75">
        <f>$I108*$K108*py*Index!CM60*Index!CM201/unit</f>
        <v>0</v>
      </c>
      <c r="CO108" s="75">
        <f>$I108*$K108*py*Index!CN60*Index!CN201/unit</f>
        <v>0</v>
      </c>
      <c r="CP108" s="75">
        <f>$I108*$K108*py*Index!CO60*Index!CO201/unit</f>
        <v>0</v>
      </c>
      <c r="CQ108" s="75">
        <f>$I108*$K108*py*Index!CP60*Index!CP201/unit</f>
        <v>0</v>
      </c>
      <c r="CR108" s="75">
        <f>$I108*$K108*py*Index!CQ60*Index!CQ201/unit</f>
        <v>0</v>
      </c>
      <c r="CS108" s="75">
        <f>$I108*$K108*py*Index!CR60*Index!CR201/unit</f>
        <v>0</v>
      </c>
      <c r="CT108" s="75">
        <f>$I108*$K108*py*Index!CS60*Index!CS201/unit</f>
        <v>0</v>
      </c>
      <c r="CU108" s="75">
        <f>$I108*$K108*py*Index!CT60*Index!CT201/unit</f>
        <v>0</v>
      </c>
      <c r="CV108" s="75">
        <f>$I108*$K108*py*Index!CU60*Index!CU201/unit</f>
        <v>0</v>
      </c>
      <c r="CW108" s="75">
        <f>$I108*$K108*py*Index!CV60*Index!CV201/unit</f>
        <v>0</v>
      </c>
      <c r="CX108" s="75">
        <f>$I108*$K108*py*Index!CW60*Index!CW201/unit</f>
        <v>0</v>
      </c>
      <c r="CY108" s="75">
        <f>$I108*$K108*py*Index!CX60*Index!CX201/unit</f>
        <v>0</v>
      </c>
      <c r="CZ108" s="75">
        <f>$I108*$K108*py*Index!CY60*Index!CY201/unit</f>
        <v>0</v>
      </c>
      <c r="DA108" s="75">
        <f>$I108*$K108*py*Index!CZ60*Index!CZ201/unit</f>
        <v>0</v>
      </c>
      <c r="DB108" s="75">
        <f>$I108*$K108*py*Index!DA60*Index!DA201/unit</f>
        <v>0</v>
      </c>
      <c r="DC108" s="75">
        <f>$I108*$K108*py*Index!DB60*Index!DB201/unit</f>
        <v>0</v>
      </c>
      <c r="DD108" s="75">
        <f>$I108*$K108*py*Index!DC60*Index!DC201/unit</f>
        <v>0</v>
      </c>
      <c r="DE108" s="75">
        <f>$I108*$K108*py*Index!DD60*Index!DD201/unit</f>
        <v>0</v>
      </c>
      <c r="DF108" s="75">
        <f>$I108*$K108*py*Index!DE60*Index!DE201/unit</f>
        <v>0</v>
      </c>
      <c r="DG108" s="75">
        <f>$I108*$K108*py*Index!DF60*Index!DF201/unit</f>
        <v>0</v>
      </c>
      <c r="DH108" s="75">
        <f>$I108*$K108*py*Index!DG60*Index!DG201/unit</f>
        <v>0</v>
      </c>
      <c r="DI108" s="75">
        <f>$I108*$K108*py*Index!DH60*Index!DH201/unit</f>
        <v>0</v>
      </c>
      <c r="DJ108" s="75">
        <f>$I108*$K108*py*Index!DI60*Index!DI201/unit</f>
        <v>0</v>
      </c>
      <c r="DK108" s="75">
        <f>$I108*$K108*py*Index!DJ60*Index!DJ201/unit</f>
        <v>0</v>
      </c>
      <c r="DL108" s="75">
        <f>$I108*$K108*py*Index!DK60*Index!DK201/unit</f>
        <v>0</v>
      </c>
      <c r="DM108" s="75">
        <f>$I108*$K108*py*Index!DL60*Index!DL201/unit</f>
        <v>0</v>
      </c>
    </row>
    <row r="109" spans="2:117">
      <c r="B109" s="28" t="str">
        <f>Rentroll!$C$59</f>
        <v>B102호</v>
      </c>
      <c r="C109" s="69" t="str">
        <f>VLOOKUP($B109,Rentroll!$C$37:$Z$60,3,FALSE)</f>
        <v>스크린 퀀텀</v>
      </c>
      <c r="D109" s="80">
        <f>VLOOKUP($B109,Rentroll!$C$37:$Z$60,9,FALSE)</f>
        <v>46418</v>
      </c>
      <c r="E109" s="80">
        <f>VLOOKUP($B109,Rentroll!$C$37:$Z$60,10,FALSE)</f>
        <v>48244</v>
      </c>
      <c r="F109" s="81">
        <f>VLOOKUP($B109,Rentroll!$C$37:$Z$60,11,FALSE)</f>
        <v>60</v>
      </c>
      <c r="G109" s="69">
        <f>VLOOKUP($B109,Rentroll!$C$37:$Z$60,13,FALSE)</f>
        <v>52116.712499999994</v>
      </c>
      <c r="H109" s="69">
        <f>VLOOKUP($B109,Rentroll!$C$37:$Z$60,14,FALSE)</f>
        <v>52116.712499999994</v>
      </c>
      <c r="I109" s="69">
        <f>VLOOKUP($B109,Rentroll!$C$37:$Z$60,15,FALSE)</f>
        <v>40000</v>
      </c>
      <c r="J109" s="82">
        <f>VLOOKUP($B109,Rentroll!$C$37:$Z$60,19,FALSE)</f>
        <v>0.03</v>
      </c>
      <c r="K109" s="83">
        <f>VLOOKUP($B109,Rentroll!$C$37:$Z$60,4,FALSE)</f>
        <v>969.56</v>
      </c>
      <c r="L109" s="81">
        <f>VLOOKUP($B109,Rentroll!$C$37:$Z$60,17,FALSE)</f>
        <v>1</v>
      </c>
      <c r="M109" s="84">
        <f>VLOOKUP($B109,Rentroll!$C$37:$Z$60,18,FALSE)</f>
        <v>0</v>
      </c>
      <c r="O109" s="74" t="str">
        <f t="shared" si="220"/>
        <v>B102호</v>
      </c>
      <c r="P109" s="75"/>
      <c r="Q109" s="75">
        <f t="shared" si="221"/>
        <v>435.13724818079993</v>
      </c>
      <c r="R109" s="75"/>
      <c r="S109" s="75">
        <f>$I109*$K109*py*Index!R61*Index!R202/unit</f>
        <v>0</v>
      </c>
      <c r="T109" s="75">
        <f>$I109*$K109*py*Index!S61*Index!S202/unit</f>
        <v>0</v>
      </c>
      <c r="U109" s="75">
        <f>$I109*$K109*py*Index!T61*Index!T202/unit</f>
        <v>0</v>
      </c>
      <c r="V109" s="75">
        <f>$I109*$K109*py*Index!U61*Index!U202/unit</f>
        <v>0</v>
      </c>
      <c r="W109" s="75">
        <f>$I109*$K109*py*Index!V61*Index!V202/unit</f>
        <v>0</v>
      </c>
      <c r="X109" s="75">
        <f>$I109*$K109*py*Index!W61*Index!W202/unit</f>
        <v>0</v>
      </c>
      <c r="Y109" s="75">
        <f>$I109*$K109*py*Index!X61*Index!X202/unit</f>
        <v>0</v>
      </c>
      <c r="Z109" s="75">
        <f>$I109*$K109*py*Index!Y61*Index!Y202/unit</f>
        <v>0</v>
      </c>
      <c r="AA109" s="75">
        <f>$I109*$K109*py*Index!Z61*Index!Z202/unit</f>
        <v>0</v>
      </c>
      <c r="AB109" s="75">
        <f>$I109*$K109*py*Index!AA61*Index!AA202/unit</f>
        <v>0</v>
      </c>
      <c r="AC109" s="75">
        <f>$I109*$K109*py*Index!AB61*Index!AB202/unit</f>
        <v>0</v>
      </c>
      <c r="AD109" s="75">
        <f>$I109*$K109*py*Index!AC61*Index!AC202/unit</f>
        <v>0</v>
      </c>
      <c r="AE109" s="75">
        <f>$I109*$K109*py*Index!AD61*Index!AD202/unit</f>
        <v>0</v>
      </c>
      <c r="AF109" s="75">
        <f>$I109*$K109*py*Index!AE61*Index!AE202/unit</f>
        <v>0</v>
      </c>
      <c r="AG109" s="75">
        <f>$I109*$K109*py*Index!AF61*Index!AF202/unit</f>
        <v>0</v>
      </c>
      <c r="AH109" s="75">
        <f>$I109*$K109*py*Index!AG61*Index!AG202/unit</f>
        <v>0</v>
      </c>
      <c r="AI109" s="75">
        <f>$I109*$K109*py*Index!AH61*Index!AH202/unit</f>
        <v>0</v>
      </c>
      <c r="AJ109" s="75">
        <f>$I109*$K109*py*Index!AI61*Index!AI202/unit</f>
        <v>0</v>
      </c>
      <c r="AK109" s="75">
        <f>$I109*$K109*py*Index!AJ61*Index!AJ202/unit</f>
        <v>0</v>
      </c>
      <c r="AL109" s="75">
        <f>$I109*$K109*py*Index!AK61*Index!AK202/unit</f>
        <v>0</v>
      </c>
      <c r="AM109" s="75">
        <f>$I109*$K109*py*Index!AL61*Index!AL202/unit</f>
        <v>0</v>
      </c>
      <c r="AN109" s="75">
        <f>$I109*$K109*py*Index!AM61*Index!AM202/unit</f>
        <v>0</v>
      </c>
      <c r="AO109" s="75">
        <f>$I109*$K109*py*Index!AN61*Index!AN202/unit</f>
        <v>0</v>
      </c>
      <c r="AP109" s="75">
        <f>$I109*$K109*py*Index!AO61*Index!AO202/unit</f>
        <v>0</v>
      </c>
      <c r="AQ109" s="75">
        <f>$I109*$K109*py*Index!AP61*Index!AP202/unit</f>
        <v>0</v>
      </c>
      <c r="AR109" s="75">
        <f>$I109*$K109*py*Index!AQ61*Index!AQ202/unit</f>
        <v>11.731676</v>
      </c>
      <c r="AS109" s="75">
        <f>$I109*$K109*py*Index!AR61*Index!AR202/unit</f>
        <v>11.731676</v>
      </c>
      <c r="AT109" s="75">
        <f>$I109*$K109*py*Index!AS61*Index!AS202/unit</f>
        <v>11.731676</v>
      </c>
      <c r="AU109" s="75">
        <f>$I109*$K109*py*Index!AT61*Index!AT202/unit</f>
        <v>11.731676</v>
      </c>
      <c r="AV109" s="75">
        <f>$I109*$K109*py*Index!AU61*Index!AU202/unit</f>
        <v>11.731676</v>
      </c>
      <c r="AW109" s="75">
        <f>$I109*$K109*py*Index!AV61*Index!AV202/unit</f>
        <v>11.731676</v>
      </c>
      <c r="AX109" s="75">
        <f>$I109*$K109*py*Index!AW61*Index!AW202/unit</f>
        <v>11.731676</v>
      </c>
      <c r="AY109" s="75">
        <f>$I109*$K109*py*Index!AX61*Index!AX202/unit</f>
        <v>11.731676</v>
      </c>
      <c r="AZ109" s="75">
        <f>$I109*$K109*py*Index!AY61*Index!AY202/unit</f>
        <v>11.731676</v>
      </c>
      <c r="BA109" s="75">
        <f>$I109*$K109*py*Index!AZ61*Index!AZ202/unit</f>
        <v>11.731676</v>
      </c>
      <c r="BB109" s="75">
        <f>$I109*$K109*py*Index!BA61*Index!BA202/unit</f>
        <v>11.731676</v>
      </c>
      <c r="BC109" s="75">
        <f>$I109*$K109*py*Index!BB61*Index!BB202/unit</f>
        <v>11.731676</v>
      </c>
      <c r="BD109" s="75">
        <f>$I109*$K109*py*Index!BC61*Index!BC202/unit</f>
        <v>12.083626280000001</v>
      </c>
      <c r="BE109" s="75">
        <f>$I109*$K109*py*Index!BD61*Index!BD202/unit</f>
        <v>12.083626280000001</v>
      </c>
      <c r="BF109" s="75">
        <f>$I109*$K109*py*Index!BE61*Index!BE202/unit</f>
        <v>12.083626280000001</v>
      </c>
      <c r="BG109" s="75">
        <f>$I109*$K109*py*Index!BF61*Index!BF202/unit</f>
        <v>12.083626280000001</v>
      </c>
      <c r="BH109" s="75">
        <f>$I109*$K109*py*Index!BG61*Index!BG202/unit</f>
        <v>12.083626280000001</v>
      </c>
      <c r="BI109" s="75">
        <f>$I109*$K109*py*Index!BH61*Index!BH202/unit</f>
        <v>12.083626280000001</v>
      </c>
      <c r="BJ109" s="75">
        <f>$I109*$K109*py*Index!BI61*Index!BI202/unit</f>
        <v>12.083626280000001</v>
      </c>
      <c r="BK109" s="75">
        <f>$I109*$K109*py*Index!BJ61*Index!BJ202/unit</f>
        <v>12.083626280000001</v>
      </c>
      <c r="BL109" s="75">
        <f>$I109*$K109*py*Index!BK61*Index!BK202/unit</f>
        <v>12.083626280000001</v>
      </c>
      <c r="BM109" s="75">
        <f>$I109*$K109*py*Index!BL61*Index!BL202/unit</f>
        <v>12.083626280000001</v>
      </c>
      <c r="BN109" s="75">
        <f>$I109*$K109*py*Index!BM61*Index!BM202/unit</f>
        <v>12.083626280000001</v>
      </c>
      <c r="BO109" s="75">
        <f>$I109*$K109*py*Index!BN61*Index!BN202/unit</f>
        <v>12.083626280000001</v>
      </c>
      <c r="BP109" s="75">
        <f>$I109*$K109*py*Index!BO61*Index!BO202/unit</f>
        <v>12.446135068399999</v>
      </c>
      <c r="BQ109" s="75">
        <f>$I109*$K109*py*Index!BP61*Index!BP202/unit</f>
        <v>12.446135068399999</v>
      </c>
      <c r="BR109" s="75">
        <f>$I109*$K109*py*Index!BQ61*Index!BQ202/unit</f>
        <v>12.446135068399999</v>
      </c>
      <c r="BS109" s="75">
        <f>$I109*$K109*py*Index!BR61*Index!BR202/unit</f>
        <v>12.446135068399999</v>
      </c>
      <c r="BT109" s="75">
        <f>$I109*$K109*py*Index!BS61*Index!BS202/unit</f>
        <v>12.446135068399999</v>
      </c>
      <c r="BU109" s="75">
        <f>$I109*$K109*py*Index!BT61*Index!BT202/unit</f>
        <v>12.446135068399999</v>
      </c>
      <c r="BV109" s="75">
        <f>$I109*$K109*py*Index!BU61*Index!BU202/unit</f>
        <v>12.446135068399999</v>
      </c>
      <c r="BW109" s="75">
        <f>$I109*$K109*py*Index!BV61*Index!BV202/unit</f>
        <v>12.446135068399999</v>
      </c>
      <c r="BX109" s="75">
        <f>$I109*$K109*py*Index!BW61*Index!BW202/unit</f>
        <v>12.446135068399999</v>
      </c>
      <c r="BY109" s="75">
        <f>$I109*$K109*py*Index!BX61*Index!BX202/unit</f>
        <v>12.446135068399999</v>
      </c>
      <c r="BZ109" s="75">
        <f>$I109*$K109*py*Index!BY61*Index!BY202/unit</f>
        <v>12.446135068399999</v>
      </c>
      <c r="CA109" s="75">
        <f>$I109*$K109*py*Index!BZ61*Index!BZ202/unit</f>
        <v>12.446135068399999</v>
      </c>
      <c r="CB109" s="75">
        <f>$I109*$K109*py*Index!CA61*Index!CA202/unit</f>
        <v>0</v>
      </c>
      <c r="CC109" s="75">
        <f>$I109*$K109*py*Index!CB61*Index!CB202/unit</f>
        <v>0</v>
      </c>
      <c r="CD109" s="75">
        <f>$I109*$K109*py*Index!CC61*Index!CC202/unit</f>
        <v>0</v>
      </c>
      <c r="CE109" s="75">
        <f>$I109*$K109*py*Index!CD61*Index!CD202/unit</f>
        <v>0</v>
      </c>
      <c r="CF109" s="75">
        <f>$I109*$K109*py*Index!CE61*Index!CE202/unit</f>
        <v>0</v>
      </c>
      <c r="CG109" s="75">
        <f>$I109*$K109*py*Index!CF61*Index!CF202/unit</f>
        <v>0</v>
      </c>
      <c r="CH109" s="75">
        <f>$I109*$K109*py*Index!CG61*Index!CG202/unit</f>
        <v>0</v>
      </c>
      <c r="CI109" s="75">
        <f>$I109*$K109*py*Index!CH61*Index!CH202/unit</f>
        <v>0</v>
      </c>
      <c r="CJ109" s="75">
        <f>$I109*$K109*py*Index!CI61*Index!CI202/unit</f>
        <v>0</v>
      </c>
      <c r="CK109" s="75">
        <f>$I109*$K109*py*Index!CJ61*Index!CJ202/unit</f>
        <v>0</v>
      </c>
      <c r="CL109" s="75">
        <f>$I109*$K109*py*Index!CK61*Index!CK202/unit</f>
        <v>0</v>
      </c>
      <c r="CM109" s="75">
        <f>$I109*$K109*py*Index!CL61*Index!CL202/unit</f>
        <v>0</v>
      </c>
      <c r="CN109" s="75">
        <f>$I109*$K109*py*Index!CM61*Index!CM202/unit</f>
        <v>0</v>
      </c>
      <c r="CO109" s="75">
        <f>$I109*$K109*py*Index!CN61*Index!CN202/unit</f>
        <v>0</v>
      </c>
      <c r="CP109" s="75">
        <f>$I109*$K109*py*Index!CO61*Index!CO202/unit</f>
        <v>0</v>
      </c>
      <c r="CQ109" s="75">
        <f>$I109*$K109*py*Index!CP61*Index!CP202/unit</f>
        <v>0</v>
      </c>
      <c r="CR109" s="75">
        <f>$I109*$K109*py*Index!CQ61*Index!CQ202/unit</f>
        <v>0</v>
      </c>
      <c r="CS109" s="75">
        <f>$I109*$K109*py*Index!CR61*Index!CR202/unit</f>
        <v>0</v>
      </c>
      <c r="CT109" s="75">
        <f>$I109*$K109*py*Index!CS61*Index!CS202/unit</f>
        <v>0</v>
      </c>
      <c r="CU109" s="75">
        <f>$I109*$K109*py*Index!CT61*Index!CT202/unit</f>
        <v>0</v>
      </c>
      <c r="CV109" s="75">
        <f>$I109*$K109*py*Index!CU61*Index!CU202/unit</f>
        <v>0</v>
      </c>
      <c r="CW109" s="75">
        <f>$I109*$K109*py*Index!CV61*Index!CV202/unit</f>
        <v>0</v>
      </c>
      <c r="CX109" s="75">
        <f>$I109*$K109*py*Index!CW61*Index!CW202/unit</f>
        <v>0</v>
      </c>
      <c r="CY109" s="75">
        <f>$I109*$K109*py*Index!CX61*Index!CX202/unit</f>
        <v>0</v>
      </c>
      <c r="CZ109" s="75">
        <f>$I109*$K109*py*Index!CY61*Index!CY202/unit</f>
        <v>0</v>
      </c>
      <c r="DA109" s="75">
        <f>$I109*$K109*py*Index!CZ61*Index!CZ202/unit</f>
        <v>0</v>
      </c>
      <c r="DB109" s="75">
        <f>$I109*$K109*py*Index!DA61*Index!DA202/unit</f>
        <v>0</v>
      </c>
      <c r="DC109" s="75">
        <f>$I109*$K109*py*Index!DB61*Index!DB202/unit</f>
        <v>0</v>
      </c>
      <c r="DD109" s="75">
        <f>$I109*$K109*py*Index!DC61*Index!DC202/unit</f>
        <v>0</v>
      </c>
      <c r="DE109" s="75">
        <f>$I109*$K109*py*Index!DD61*Index!DD202/unit</f>
        <v>0</v>
      </c>
      <c r="DF109" s="75">
        <f>$I109*$K109*py*Index!DE61*Index!DE202/unit</f>
        <v>0</v>
      </c>
      <c r="DG109" s="75">
        <f>$I109*$K109*py*Index!DF61*Index!DF202/unit</f>
        <v>0</v>
      </c>
      <c r="DH109" s="75">
        <f>$I109*$K109*py*Index!DG61*Index!DG202/unit</f>
        <v>0</v>
      </c>
      <c r="DI109" s="75">
        <f>$I109*$K109*py*Index!DH61*Index!DH202/unit</f>
        <v>0</v>
      </c>
      <c r="DJ109" s="75">
        <f>$I109*$K109*py*Index!DI61*Index!DI202/unit</f>
        <v>0</v>
      </c>
      <c r="DK109" s="75">
        <f>$I109*$K109*py*Index!DJ61*Index!DJ202/unit</f>
        <v>0</v>
      </c>
      <c r="DL109" s="75">
        <f>$I109*$K109*py*Index!DK61*Index!DK202/unit</f>
        <v>0</v>
      </c>
      <c r="DM109" s="75">
        <f>$I109*$K109*py*Index!DL61*Index!DL202/unit</f>
        <v>0</v>
      </c>
    </row>
    <row r="110" spans="2:117">
      <c r="B110" s="28">
        <f>Rentroll!$C$60</f>
        <v>0</v>
      </c>
      <c r="C110" s="69">
        <f>VLOOKUP($B110,Rentroll!$C$37:$Z$60,3,FALSE)</f>
        <v>0</v>
      </c>
      <c r="D110" s="80">
        <f>VLOOKUP($B110,Rentroll!$C$37:$Z$60,9,FALSE)</f>
        <v>0</v>
      </c>
      <c r="E110" s="80">
        <f>VLOOKUP($B110,Rentroll!$C$37:$Z$60,10,FALSE)</f>
        <v>0</v>
      </c>
      <c r="F110" s="81">
        <f>VLOOKUP($B110,Rentroll!$C$37:$Z$60,11,FALSE)</f>
        <v>0</v>
      </c>
      <c r="G110" s="69">
        <f>VLOOKUP($B110,Rentroll!$C$37:$Z$60,13,FALSE)</f>
        <v>0</v>
      </c>
      <c r="H110" s="69">
        <f>VLOOKUP($B110,Rentroll!$C$37:$Z$60,14,FALSE)</f>
        <v>0</v>
      </c>
      <c r="I110" s="69">
        <f>VLOOKUP($B110,Rentroll!$C$37:$Z$60,15,FALSE)</f>
        <v>0</v>
      </c>
      <c r="J110" s="82">
        <f>VLOOKUP($B110,Rentroll!$C$37:$Z$60,19,FALSE)</f>
        <v>0</v>
      </c>
      <c r="K110" s="83">
        <f>VLOOKUP($B110,Rentroll!$C$37:$Z$60,4,FALSE)</f>
        <v>0</v>
      </c>
      <c r="L110" s="81">
        <f>VLOOKUP($B110,Rentroll!$C$37:$Z$60,17,FALSE)</f>
        <v>0</v>
      </c>
      <c r="M110" s="84">
        <f>VLOOKUP($B110,Rentroll!$C$37:$Z$60,18,FALSE)</f>
        <v>0</v>
      </c>
      <c r="O110" s="132">
        <f t="shared" si="220"/>
        <v>0</v>
      </c>
      <c r="P110" s="133"/>
      <c r="Q110" s="133">
        <f t="shared" si="221"/>
        <v>0</v>
      </c>
      <c r="R110" s="133"/>
      <c r="S110" s="133">
        <f>$I110*$K110*py*Index!R62*Index!R203/unit</f>
        <v>0</v>
      </c>
      <c r="T110" s="133">
        <f>$I110*$K110*py*Index!S62*Index!S203/unit</f>
        <v>0</v>
      </c>
      <c r="U110" s="133">
        <f>$I110*$K110*py*Index!T62*Index!T203/unit</f>
        <v>0</v>
      </c>
      <c r="V110" s="133">
        <f>$I110*$K110*py*Index!U62*Index!U203/unit</f>
        <v>0</v>
      </c>
      <c r="W110" s="133">
        <f>$I110*$K110*py*Index!V62*Index!V203/unit</f>
        <v>0</v>
      </c>
      <c r="X110" s="133">
        <f>$I110*$K110*py*Index!W62*Index!W203/unit</f>
        <v>0</v>
      </c>
      <c r="Y110" s="133">
        <f>$I110*$K110*py*Index!X62*Index!X203/unit</f>
        <v>0</v>
      </c>
      <c r="Z110" s="133">
        <f>$I110*$K110*py*Index!Y62*Index!Y203/unit</f>
        <v>0</v>
      </c>
      <c r="AA110" s="133">
        <f>$I110*$K110*py*Index!Z62*Index!Z203/unit</f>
        <v>0</v>
      </c>
      <c r="AB110" s="133">
        <f>$I110*$K110*py*Index!AA62*Index!AA203/unit</f>
        <v>0</v>
      </c>
      <c r="AC110" s="133">
        <f>$I110*$K110*py*Index!AB62*Index!AB203/unit</f>
        <v>0</v>
      </c>
      <c r="AD110" s="133">
        <f>$I110*$K110*py*Index!AC62*Index!AC203/unit</f>
        <v>0</v>
      </c>
      <c r="AE110" s="133">
        <f>$I110*$K110*py*Index!AD62*Index!AD203/unit</f>
        <v>0</v>
      </c>
      <c r="AF110" s="133">
        <f>$I110*$K110*py*Index!AE62*Index!AE203/unit</f>
        <v>0</v>
      </c>
      <c r="AG110" s="133">
        <f>$I110*$K110*py*Index!AF62*Index!AF203/unit</f>
        <v>0</v>
      </c>
      <c r="AH110" s="133">
        <f>$I110*$K110*py*Index!AG62*Index!AG203/unit</f>
        <v>0</v>
      </c>
      <c r="AI110" s="133">
        <f>$I110*$K110*py*Index!AH62*Index!AH203/unit</f>
        <v>0</v>
      </c>
      <c r="AJ110" s="133">
        <f>$I110*$K110*py*Index!AI62*Index!AI203/unit</f>
        <v>0</v>
      </c>
      <c r="AK110" s="133">
        <f>$I110*$K110*py*Index!AJ62*Index!AJ203/unit</f>
        <v>0</v>
      </c>
      <c r="AL110" s="133">
        <f>$I110*$K110*py*Index!AK62*Index!AK203/unit</f>
        <v>0</v>
      </c>
      <c r="AM110" s="133">
        <f>$I110*$K110*py*Index!AL62*Index!AL203/unit</f>
        <v>0</v>
      </c>
      <c r="AN110" s="133">
        <f>$I110*$K110*py*Index!AM62*Index!AM203/unit</f>
        <v>0</v>
      </c>
      <c r="AO110" s="133">
        <f>$I110*$K110*py*Index!AN62*Index!AN203/unit</f>
        <v>0</v>
      </c>
      <c r="AP110" s="133">
        <f>$I110*$K110*py*Index!AO62*Index!AO203/unit</f>
        <v>0</v>
      </c>
      <c r="AQ110" s="133">
        <f>$I110*$K110*py*Index!AP62*Index!AP203/unit</f>
        <v>0</v>
      </c>
      <c r="AR110" s="133">
        <f>$I110*$K110*py*Index!AQ62*Index!AQ203/unit</f>
        <v>0</v>
      </c>
      <c r="AS110" s="133">
        <f>$I110*$K110*py*Index!AR62*Index!AR203/unit</f>
        <v>0</v>
      </c>
      <c r="AT110" s="133">
        <f>$I110*$K110*py*Index!AS62*Index!AS203/unit</f>
        <v>0</v>
      </c>
      <c r="AU110" s="133">
        <f>$I110*$K110*py*Index!AT62*Index!AT203/unit</f>
        <v>0</v>
      </c>
      <c r="AV110" s="133">
        <f>$I110*$K110*py*Index!AU62*Index!AU203/unit</f>
        <v>0</v>
      </c>
      <c r="AW110" s="133">
        <f>$I110*$K110*py*Index!AV62*Index!AV203/unit</f>
        <v>0</v>
      </c>
      <c r="AX110" s="133">
        <f>$I110*$K110*py*Index!AW62*Index!AW203/unit</f>
        <v>0</v>
      </c>
      <c r="AY110" s="133">
        <f>$I110*$K110*py*Index!AX62*Index!AX203/unit</f>
        <v>0</v>
      </c>
      <c r="AZ110" s="133">
        <f>$I110*$K110*py*Index!AY62*Index!AY203/unit</f>
        <v>0</v>
      </c>
      <c r="BA110" s="133">
        <f>$I110*$K110*py*Index!AZ62*Index!AZ203/unit</f>
        <v>0</v>
      </c>
      <c r="BB110" s="133">
        <f>$I110*$K110*py*Index!BA62*Index!BA203/unit</f>
        <v>0</v>
      </c>
      <c r="BC110" s="133">
        <f>$I110*$K110*py*Index!BB62*Index!BB203/unit</f>
        <v>0</v>
      </c>
      <c r="BD110" s="133">
        <f>$I110*$K110*py*Index!BC62*Index!BC203/unit</f>
        <v>0</v>
      </c>
      <c r="BE110" s="133">
        <f>$I110*$K110*py*Index!BD62*Index!BD203/unit</f>
        <v>0</v>
      </c>
      <c r="BF110" s="133">
        <f>$I110*$K110*py*Index!BE62*Index!BE203/unit</f>
        <v>0</v>
      </c>
      <c r="BG110" s="133">
        <f>$I110*$K110*py*Index!BF62*Index!BF203/unit</f>
        <v>0</v>
      </c>
      <c r="BH110" s="133">
        <f>$I110*$K110*py*Index!BG62*Index!BG203/unit</f>
        <v>0</v>
      </c>
      <c r="BI110" s="133">
        <f>$I110*$K110*py*Index!BH62*Index!BH203/unit</f>
        <v>0</v>
      </c>
      <c r="BJ110" s="133">
        <f>$I110*$K110*py*Index!BI62*Index!BI203/unit</f>
        <v>0</v>
      </c>
      <c r="BK110" s="133">
        <f>$I110*$K110*py*Index!BJ62*Index!BJ203/unit</f>
        <v>0</v>
      </c>
      <c r="BL110" s="133">
        <f>$I110*$K110*py*Index!BK62*Index!BK203/unit</f>
        <v>0</v>
      </c>
      <c r="BM110" s="133">
        <f>$I110*$K110*py*Index!BL62*Index!BL203/unit</f>
        <v>0</v>
      </c>
      <c r="BN110" s="133">
        <f>$I110*$K110*py*Index!BM62*Index!BM203/unit</f>
        <v>0</v>
      </c>
      <c r="BO110" s="133">
        <f>$I110*$K110*py*Index!BN62*Index!BN203/unit</f>
        <v>0</v>
      </c>
      <c r="BP110" s="133">
        <f>$I110*$K110*py*Index!BO62*Index!BO203/unit</f>
        <v>0</v>
      </c>
      <c r="BQ110" s="133">
        <f>$I110*$K110*py*Index!BP62*Index!BP203/unit</f>
        <v>0</v>
      </c>
      <c r="BR110" s="133">
        <f>$I110*$K110*py*Index!BQ62*Index!BQ203/unit</f>
        <v>0</v>
      </c>
      <c r="BS110" s="133">
        <f>$I110*$K110*py*Index!BR62*Index!BR203/unit</f>
        <v>0</v>
      </c>
      <c r="BT110" s="133">
        <f>$I110*$K110*py*Index!BS62*Index!BS203/unit</f>
        <v>0</v>
      </c>
      <c r="BU110" s="133">
        <f>$I110*$K110*py*Index!BT62*Index!BT203/unit</f>
        <v>0</v>
      </c>
      <c r="BV110" s="133">
        <f>$I110*$K110*py*Index!BU62*Index!BU203/unit</f>
        <v>0</v>
      </c>
      <c r="BW110" s="133">
        <f>$I110*$K110*py*Index!BV62*Index!BV203/unit</f>
        <v>0</v>
      </c>
      <c r="BX110" s="133">
        <f>$I110*$K110*py*Index!BW62*Index!BW203/unit</f>
        <v>0</v>
      </c>
      <c r="BY110" s="133">
        <f>$I110*$K110*py*Index!BX62*Index!BX203/unit</f>
        <v>0</v>
      </c>
      <c r="BZ110" s="133">
        <f>$I110*$K110*py*Index!BY62*Index!BY203/unit</f>
        <v>0</v>
      </c>
      <c r="CA110" s="133">
        <f>$I110*$K110*py*Index!BZ62*Index!BZ203/unit</f>
        <v>0</v>
      </c>
      <c r="CB110" s="133">
        <f>$I110*$K110*py*Index!CA62*Index!CA203/unit</f>
        <v>0</v>
      </c>
      <c r="CC110" s="133">
        <f>$I110*$K110*py*Index!CB62*Index!CB203/unit</f>
        <v>0</v>
      </c>
      <c r="CD110" s="133">
        <f>$I110*$K110*py*Index!CC62*Index!CC203/unit</f>
        <v>0</v>
      </c>
      <c r="CE110" s="133">
        <f>$I110*$K110*py*Index!CD62*Index!CD203/unit</f>
        <v>0</v>
      </c>
      <c r="CF110" s="133">
        <f>$I110*$K110*py*Index!CE62*Index!CE203/unit</f>
        <v>0</v>
      </c>
      <c r="CG110" s="133">
        <f>$I110*$K110*py*Index!CF62*Index!CF203/unit</f>
        <v>0</v>
      </c>
      <c r="CH110" s="133">
        <f>$I110*$K110*py*Index!CG62*Index!CG203/unit</f>
        <v>0</v>
      </c>
      <c r="CI110" s="133">
        <f>$I110*$K110*py*Index!CH62*Index!CH203/unit</f>
        <v>0</v>
      </c>
      <c r="CJ110" s="133">
        <f>$I110*$K110*py*Index!CI62*Index!CI203/unit</f>
        <v>0</v>
      </c>
      <c r="CK110" s="133">
        <f>$I110*$K110*py*Index!CJ62*Index!CJ203/unit</f>
        <v>0</v>
      </c>
      <c r="CL110" s="133">
        <f>$I110*$K110*py*Index!CK62*Index!CK203/unit</f>
        <v>0</v>
      </c>
      <c r="CM110" s="133">
        <f>$I110*$K110*py*Index!CL62*Index!CL203/unit</f>
        <v>0</v>
      </c>
      <c r="CN110" s="133">
        <f>$I110*$K110*py*Index!CM62*Index!CM203/unit</f>
        <v>0</v>
      </c>
      <c r="CO110" s="133">
        <f>$I110*$K110*py*Index!CN62*Index!CN203/unit</f>
        <v>0</v>
      </c>
      <c r="CP110" s="133">
        <f>$I110*$K110*py*Index!CO62*Index!CO203/unit</f>
        <v>0</v>
      </c>
      <c r="CQ110" s="133">
        <f>$I110*$K110*py*Index!CP62*Index!CP203/unit</f>
        <v>0</v>
      </c>
      <c r="CR110" s="133">
        <f>$I110*$K110*py*Index!CQ62*Index!CQ203/unit</f>
        <v>0</v>
      </c>
      <c r="CS110" s="133">
        <f>$I110*$K110*py*Index!CR62*Index!CR203/unit</f>
        <v>0</v>
      </c>
      <c r="CT110" s="133">
        <f>$I110*$K110*py*Index!CS62*Index!CS203/unit</f>
        <v>0</v>
      </c>
      <c r="CU110" s="133">
        <f>$I110*$K110*py*Index!CT62*Index!CT203/unit</f>
        <v>0</v>
      </c>
      <c r="CV110" s="133">
        <f>$I110*$K110*py*Index!CU62*Index!CU203/unit</f>
        <v>0</v>
      </c>
      <c r="CW110" s="133">
        <f>$I110*$K110*py*Index!CV62*Index!CV203/unit</f>
        <v>0</v>
      </c>
      <c r="CX110" s="133">
        <f>$I110*$K110*py*Index!CW62*Index!CW203/unit</f>
        <v>0</v>
      </c>
      <c r="CY110" s="133">
        <f>$I110*$K110*py*Index!CX62*Index!CX203/unit</f>
        <v>0</v>
      </c>
      <c r="CZ110" s="133">
        <f>$I110*$K110*py*Index!CY62*Index!CY203/unit</f>
        <v>0</v>
      </c>
      <c r="DA110" s="133">
        <f>$I110*$K110*py*Index!CZ62*Index!CZ203/unit</f>
        <v>0</v>
      </c>
      <c r="DB110" s="133">
        <f>$I110*$K110*py*Index!DA62*Index!DA203/unit</f>
        <v>0</v>
      </c>
      <c r="DC110" s="133">
        <f>$I110*$K110*py*Index!DB62*Index!DB203/unit</f>
        <v>0</v>
      </c>
      <c r="DD110" s="133">
        <f>$I110*$K110*py*Index!DC62*Index!DC203/unit</f>
        <v>0</v>
      </c>
      <c r="DE110" s="133">
        <f>$I110*$K110*py*Index!DD62*Index!DD203/unit</f>
        <v>0</v>
      </c>
      <c r="DF110" s="133">
        <f>$I110*$K110*py*Index!DE62*Index!DE203/unit</f>
        <v>0</v>
      </c>
      <c r="DG110" s="133">
        <f>$I110*$K110*py*Index!DF62*Index!DF203/unit</f>
        <v>0</v>
      </c>
      <c r="DH110" s="133">
        <f>$I110*$K110*py*Index!DG62*Index!DG203/unit</f>
        <v>0</v>
      </c>
      <c r="DI110" s="133">
        <f>$I110*$K110*py*Index!DH62*Index!DH203/unit</f>
        <v>0</v>
      </c>
      <c r="DJ110" s="133">
        <f>$I110*$K110*py*Index!DI62*Index!DI203/unit</f>
        <v>0</v>
      </c>
      <c r="DK110" s="133">
        <f>$I110*$K110*py*Index!DJ62*Index!DJ203/unit</f>
        <v>0</v>
      </c>
      <c r="DL110" s="133">
        <f>$I110*$K110*py*Index!DK62*Index!DK203/unit</f>
        <v>0</v>
      </c>
      <c r="DM110" s="133">
        <f>$I110*$K110*py*Index!DL62*Index!DL203/unit</f>
        <v>0</v>
      </c>
    </row>
    <row r="111" spans="2:117">
      <c r="B111" s="28"/>
      <c r="C111" s="136"/>
      <c r="D111" s="137"/>
      <c r="E111" s="137"/>
      <c r="F111" s="138"/>
      <c r="G111" s="136"/>
      <c r="H111" s="136"/>
      <c r="I111" s="136"/>
      <c r="J111" s="139"/>
      <c r="K111" s="140"/>
      <c r="L111" s="138"/>
      <c r="M111" s="138"/>
      <c r="O111" s="28"/>
    </row>
    <row r="112" spans="2:117">
      <c r="B112" s="22" t="s">
        <v>207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O112" s="122" t="s">
        <v>208</v>
      </c>
      <c r="P112" s="122"/>
      <c r="Q112" s="122"/>
      <c r="R112" s="122"/>
      <c r="S112" s="122">
        <f>S113+S133</f>
        <v>0</v>
      </c>
      <c r="T112" s="122">
        <f t="shared" ref="T112:CE112" si="224">T113+T133</f>
        <v>6213.6165327500003</v>
      </c>
      <c r="U112" s="122">
        <f t="shared" si="224"/>
        <v>6008.3122027500003</v>
      </c>
      <c r="V112" s="122">
        <f t="shared" si="224"/>
        <v>6552.9988452500002</v>
      </c>
      <c r="W112" s="122">
        <f t="shared" si="224"/>
        <v>6552.9988452500002</v>
      </c>
      <c r="X112" s="122">
        <f t="shared" si="224"/>
        <v>6552.9988452500002</v>
      </c>
      <c r="Y112" s="122">
        <f t="shared" si="224"/>
        <v>6992.9366952500004</v>
      </c>
      <c r="Z112" s="122">
        <f t="shared" si="224"/>
        <v>7378.4072422499994</v>
      </c>
      <c r="AA112" s="122">
        <f t="shared" si="224"/>
        <v>7378.4072422499994</v>
      </c>
      <c r="AB112" s="122">
        <f t="shared" si="224"/>
        <v>7378.4072422499994</v>
      </c>
      <c r="AC112" s="122">
        <f t="shared" si="224"/>
        <v>7378.4072422499994</v>
      </c>
      <c r="AD112" s="122">
        <f t="shared" si="224"/>
        <v>7378.4072422499994</v>
      </c>
      <c r="AE112" s="122">
        <f t="shared" si="224"/>
        <v>7378.4072422499994</v>
      </c>
      <c r="AF112" s="122">
        <f t="shared" si="224"/>
        <v>7378.4072422499994</v>
      </c>
      <c r="AG112" s="122">
        <f t="shared" si="224"/>
        <v>7378.4072422499994</v>
      </c>
      <c r="AH112" s="122">
        <f t="shared" si="224"/>
        <v>7378.4072422499994</v>
      </c>
      <c r="AI112" s="122">
        <f t="shared" si="224"/>
        <v>7378.4072422499994</v>
      </c>
      <c r="AJ112" s="122">
        <f t="shared" si="224"/>
        <v>7378.4072422499994</v>
      </c>
      <c r="AK112" s="122">
        <f t="shared" si="224"/>
        <v>7378.4072422499994</v>
      </c>
      <c r="AL112" s="122">
        <f t="shared" si="224"/>
        <v>7378.4072422499994</v>
      </c>
      <c r="AM112" s="122">
        <f t="shared" si="224"/>
        <v>7378.4072422499994</v>
      </c>
      <c r="AN112" s="122">
        <f t="shared" si="224"/>
        <v>7378.4072422499994</v>
      </c>
      <c r="AO112" s="122">
        <f t="shared" si="224"/>
        <v>7378.4072422499994</v>
      </c>
      <c r="AP112" s="122">
        <f>AP113+AP133</f>
        <v>7378.4072422499994</v>
      </c>
      <c r="AQ112" s="122">
        <f t="shared" si="224"/>
        <v>7378.4072422499994</v>
      </c>
      <c r="AR112" s="122">
        <f t="shared" si="224"/>
        <v>7443.2737685587872</v>
      </c>
      <c r="AS112" s="122">
        <f t="shared" si="224"/>
        <v>7443.2737685587872</v>
      </c>
      <c r="AT112" s="122">
        <f t="shared" si="224"/>
        <v>7607.8223462888627</v>
      </c>
      <c r="AU112" s="122">
        <f t="shared" si="224"/>
        <v>7607.8223462888627</v>
      </c>
      <c r="AV112" s="122">
        <f t="shared" si="224"/>
        <v>7607.8223462888627</v>
      </c>
      <c r="AW112" s="122">
        <f t="shared" si="224"/>
        <v>7607.8223462888627</v>
      </c>
      <c r="AX112" s="122">
        <f t="shared" si="224"/>
        <v>7607.8223462888627</v>
      </c>
      <c r="AY112" s="122">
        <f t="shared" si="224"/>
        <v>7607.8223462888627</v>
      </c>
      <c r="AZ112" s="122">
        <f t="shared" si="224"/>
        <v>7607.8223462888627</v>
      </c>
      <c r="BA112" s="122">
        <f t="shared" si="224"/>
        <v>7607.8223462888627</v>
      </c>
      <c r="BB112" s="122">
        <f t="shared" si="224"/>
        <v>7607.8223462888627</v>
      </c>
      <c r="BC112" s="122">
        <f t="shared" si="224"/>
        <v>7702.01806259765</v>
      </c>
      <c r="BD112" s="122">
        <f t="shared" si="224"/>
        <v>7702.01806259765</v>
      </c>
      <c r="BE112" s="122">
        <f t="shared" si="224"/>
        <v>7702.01806259765</v>
      </c>
      <c r="BF112" s="122">
        <f t="shared" si="224"/>
        <v>7702.01806259765</v>
      </c>
      <c r="BG112" s="122">
        <f t="shared" si="224"/>
        <v>7702.01806259765</v>
      </c>
      <c r="BH112" s="122">
        <f t="shared" si="224"/>
        <v>7807.1918661716045</v>
      </c>
      <c r="BI112" s="122">
        <f t="shared" si="224"/>
        <v>7807.1918661716045</v>
      </c>
      <c r="BJ112" s="122">
        <f t="shared" si="224"/>
        <v>7807.1918661716045</v>
      </c>
      <c r="BK112" s="122">
        <f t="shared" si="224"/>
        <v>7807.1918661716045</v>
      </c>
      <c r="BL112" s="122">
        <f t="shared" si="224"/>
        <v>7807.1918661716045</v>
      </c>
      <c r="BM112" s="122">
        <f t="shared" si="224"/>
        <v>7807.1918661716045</v>
      </c>
      <c r="BN112" s="122">
        <f t="shared" si="224"/>
        <v>7807.1918661716045</v>
      </c>
      <c r="BO112" s="122">
        <f t="shared" si="224"/>
        <v>7807.1918661716045</v>
      </c>
      <c r="BP112" s="122">
        <f t="shared" si="224"/>
        <v>7940.6602673527777</v>
      </c>
      <c r="BQ112" s="122">
        <f t="shared" si="224"/>
        <v>7940.6602673527777</v>
      </c>
      <c r="BR112" s="122">
        <f t="shared" si="224"/>
        <v>7940.6602673527777</v>
      </c>
      <c r="BS112" s="122">
        <f t="shared" si="224"/>
        <v>7940.6602673527777</v>
      </c>
      <c r="BT112" s="122">
        <f t="shared" si="224"/>
        <v>7940.6602673527777</v>
      </c>
      <c r="BU112" s="122">
        <f t="shared" si="224"/>
        <v>7940.6602673527777</v>
      </c>
      <c r="BV112" s="122">
        <f t="shared" si="224"/>
        <v>7940.6602673527777</v>
      </c>
      <c r="BW112" s="122">
        <f t="shared" si="224"/>
        <v>7940.6602673527777</v>
      </c>
      <c r="BX112" s="122">
        <f t="shared" si="224"/>
        <v>7940.6602673527777</v>
      </c>
      <c r="BY112" s="122">
        <f t="shared" si="224"/>
        <v>7940.6602673527777</v>
      </c>
      <c r="BZ112" s="122">
        <f t="shared" si="224"/>
        <v>7940.6602673527777</v>
      </c>
      <c r="CA112" s="122">
        <f t="shared" si="224"/>
        <v>7940.6602673527777</v>
      </c>
      <c r="CB112" s="122">
        <f t="shared" si="224"/>
        <v>0</v>
      </c>
      <c r="CC112" s="122">
        <f t="shared" si="224"/>
        <v>0</v>
      </c>
      <c r="CD112" s="122">
        <f t="shared" si="224"/>
        <v>0</v>
      </c>
      <c r="CE112" s="122">
        <f t="shared" si="224"/>
        <v>0</v>
      </c>
      <c r="CF112" s="122">
        <f t="shared" ref="CF112:DM112" si="225">CF113+CF133</f>
        <v>0</v>
      </c>
      <c r="CG112" s="122">
        <f t="shared" si="225"/>
        <v>0</v>
      </c>
      <c r="CH112" s="122">
        <f t="shared" si="225"/>
        <v>0</v>
      </c>
      <c r="CI112" s="122">
        <f t="shared" si="225"/>
        <v>0</v>
      </c>
      <c r="CJ112" s="122">
        <f t="shared" si="225"/>
        <v>0</v>
      </c>
      <c r="CK112" s="122">
        <f t="shared" si="225"/>
        <v>0</v>
      </c>
      <c r="CL112" s="122">
        <f t="shared" si="225"/>
        <v>0</v>
      </c>
      <c r="CM112" s="122">
        <f t="shared" si="225"/>
        <v>0</v>
      </c>
      <c r="CN112" s="122">
        <f t="shared" si="225"/>
        <v>0</v>
      </c>
      <c r="CO112" s="122">
        <f t="shared" si="225"/>
        <v>0</v>
      </c>
      <c r="CP112" s="122">
        <f t="shared" si="225"/>
        <v>0</v>
      </c>
      <c r="CQ112" s="122">
        <f t="shared" si="225"/>
        <v>0</v>
      </c>
      <c r="CR112" s="122">
        <f t="shared" si="225"/>
        <v>0</v>
      </c>
      <c r="CS112" s="122">
        <f t="shared" si="225"/>
        <v>0</v>
      </c>
      <c r="CT112" s="122">
        <f t="shared" si="225"/>
        <v>0</v>
      </c>
      <c r="CU112" s="122">
        <f t="shared" si="225"/>
        <v>0</v>
      </c>
      <c r="CV112" s="122">
        <f t="shared" si="225"/>
        <v>0</v>
      </c>
      <c r="CW112" s="122">
        <f t="shared" si="225"/>
        <v>0</v>
      </c>
      <c r="CX112" s="122">
        <f t="shared" si="225"/>
        <v>0</v>
      </c>
      <c r="CY112" s="122">
        <f t="shared" si="225"/>
        <v>0</v>
      </c>
      <c r="CZ112" s="122">
        <f t="shared" si="225"/>
        <v>0</v>
      </c>
      <c r="DA112" s="122">
        <f t="shared" si="225"/>
        <v>0</v>
      </c>
      <c r="DB112" s="122">
        <f t="shared" si="225"/>
        <v>0</v>
      </c>
      <c r="DC112" s="122">
        <f t="shared" si="225"/>
        <v>0</v>
      </c>
      <c r="DD112" s="122">
        <f t="shared" si="225"/>
        <v>0</v>
      </c>
      <c r="DE112" s="122">
        <f t="shared" si="225"/>
        <v>0</v>
      </c>
      <c r="DF112" s="122">
        <f t="shared" si="225"/>
        <v>0</v>
      </c>
      <c r="DG112" s="122">
        <f t="shared" si="225"/>
        <v>0</v>
      </c>
      <c r="DH112" s="122">
        <f t="shared" si="225"/>
        <v>0</v>
      </c>
      <c r="DI112" s="122">
        <f t="shared" si="225"/>
        <v>0</v>
      </c>
      <c r="DJ112" s="122">
        <f t="shared" si="225"/>
        <v>0</v>
      </c>
      <c r="DK112" s="122">
        <f t="shared" si="225"/>
        <v>0</v>
      </c>
      <c r="DL112" s="122">
        <f t="shared" si="225"/>
        <v>0</v>
      </c>
      <c r="DM112" s="122">
        <f t="shared" si="225"/>
        <v>0</v>
      </c>
    </row>
    <row r="113" spans="2:117">
      <c r="B113" s="70" t="s">
        <v>47</v>
      </c>
      <c r="C113" s="71" t="s">
        <v>49</v>
      </c>
      <c r="D113" s="71" t="s">
        <v>97</v>
      </c>
      <c r="E113" s="71" t="s">
        <v>98</v>
      </c>
      <c r="F113" s="71" t="s">
        <v>84</v>
      </c>
      <c r="G113" s="71" t="s">
        <v>104</v>
      </c>
      <c r="H113" s="71" t="s">
        <v>105</v>
      </c>
      <c r="I113" s="71" t="s">
        <v>103</v>
      </c>
      <c r="J113" s="71" t="s">
        <v>99</v>
      </c>
      <c r="K113" s="71" t="s">
        <v>102</v>
      </c>
      <c r="L113" s="71" t="s">
        <v>100</v>
      </c>
      <c r="M113" s="72" t="s">
        <v>101</v>
      </c>
      <c r="N113" s="56"/>
      <c r="O113" s="123" t="s">
        <v>107</v>
      </c>
      <c r="P113" s="123"/>
      <c r="Q113" s="123"/>
      <c r="R113" s="123"/>
      <c r="S113" s="123">
        <f>SUM(S114:S132)</f>
        <v>0</v>
      </c>
      <c r="T113" s="123">
        <f t="shared" ref="T113:CE113" si="226">SUM(T114:T132)</f>
        <v>4918.9382825000002</v>
      </c>
      <c r="U113" s="123">
        <f t="shared" si="226"/>
        <v>4713.6339525000003</v>
      </c>
      <c r="V113" s="123">
        <f t="shared" si="226"/>
        <v>4713.6339525000003</v>
      </c>
      <c r="W113" s="123">
        <f t="shared" si="226"/>
        <v>4713.6339525000003</v>
      </c>
      <c r="X113" s="123">
        <f t="shared" si="226"/>
        <v>4713.6339525000003</v>
      </c>
      <c r="Y113" s="123">
        <f t="shared" si="226"/>
        <v>4713.6339525000003</v>
      </c>
      <c r="Z113" s="123">
        <f t="shared" si="226"/>
        <v>3372.866832499999</v>
      </c>
      <c r="AA113" s="123">
        <f t="shared" si="226"/>
        <v>3372.866832499999</v>
      </c>
      <c r="AB113" s="123">
        <f t="shared" si="226"/>
        <v>3372.866832499999</v>
      </c>
      <c r="AC113" s="123">
        <f t="shared" si="226"/>
        <v>3372.866832499999</v>
      </c>
      <c r="AD113" s="123">
        <f t="shared" si="226"/>
        <v>3372.866832499999</v>
      </c>
      <c r="AE113" s="123">
        <f t="shared" si="226"/>
        <v>3372.866832499999</v>
      </c>
      <c r="AF113" s="123">
        <f t="shared" si="226"/>
        <v>3372.866832499999</v>
      </c>
      <c r="AG113" s="123">
        <f t="shared" si="226"/>
        <v>3372.866832499999</v>
      </c>
      <c r="AH113" s="123">
        <f t="shared" si="226"/>
        <v>3372.866832499999</v>
      </c>
      <c r="AI113" s="123">
        <f t="shared" si="226"/>
        <v>3372.866832499999</v>
      </c>
      <c r="AJ113" s="123">
        <f t="shared" si="226"/>
        <v>3372.866832499999</v>
      </c>
      <c r="AK113" s="123">
        <f t="shared" si="226"/>
        <v>3372.866832499999</v>
      </c>
      <c r="AL113" s="123">
        <f t="shared" si="226"/>
        <v>3372.866832499999</v>
      </c>
      <c r="AM113" s="123">
        <f t="shared" si="226"/>
        <v>3372.866832499999</v>
      </c>
      <c r="AN113" s="123">
        <f t="shared" si="226"/>
        <v>3372.866832499999</v>
      </c>
      <c r="AO113" s="123">
        <f t="shared" si="226"/>
        <v>3372.866832499999</v>
      </c>
      <c r="AP113" s="123">
        <f t="shared" si="226"/>
        <v>3372.866832499999</v>
      </c>
      <c r="AQ113" s="123">
        <f t="shared" si="226"/>
        <v>3372.866832499999</v>
      </c>
      <c r="AR113" s="123">
        <f t="shared" si="226"/>
        <v>3284.8792624999992</v>
      </c>
      <c r="AS113" s="123">
        <f t="shared" si="226"/>
        <v>3284.8792624999992</v>
      </c>
      <c r="AT113" s="123">
        <f t="shared" si="226"/>
        <v>2153.6070049999998</v>
      </c>
      <c r="AU113" s="123">
        <f t="shared" si="226"/>
        <v>2153.6070049999998</v>
      </c>
      <c r="AV113" s="123">
        <f t="shared" si="226"/>
        <v>2153.6070049999998</v>
      </c>
      <c r="AW113" s="123">
        <f t="shared" si="226"/>
        <v>2153.6070049999998</v>
      </c>
      <c r="AX113" s="123">
        <f t="shared" si="226"/>
        <v>2153.6070049999998</v>
      </c>
      <c r="AY113" s="123">
        <f t="shared" si="226"/>
        <v>2153.6070049999998</v>
      </c>
      <c r="AZ113" s="123">
        <f t="shared" si="226"/>
        <v>2153.6070049999998</v>
      </c>
      <c r="BA113" s="123">
        <f t="shared" si="226"/>
        <v>2153.6070049999998</v>
      </c>
      <c r="BB113" s="123">
        <f t="shared" si="226"/>
        <v>2153.6070049999998</v>
      </c>
      <c r="BC113" s="123">
        <f t="shared" si="226"/>
        <v>2094.948625</v>
      </c>
      <c r="BD113" s="123">
        <f t="shared" si="226"/>
        <v>2094.948625</v>
      </c>
      <c r="BE113" s="123">
        <f t="shared" si="226"/>
        <v>2094.948625</v>
      </c>
      <c r="BF113" s="123">
        <f t="shared" si="226"/>
        <v>2094.948625</v>
      </c>
      <c r="BG113" s="123">
        <f t="shared" si="226"/>
        <v>2094.948625</v>
      </c>
      <c r="BH113" s="123">
        <f t="shared" si="226"/>
        <v>837.97944999999993</v>
      </c>
      <c r="BI113" s="123">
        <f t="shared" si="226"/>
        <v>837.97944999999993</v>
      </c>
      <c r="BJ113" s="123">
        <f t="shared" si="226"/>
        <v>837.97944999999993</v>
      </c>
      <c r="BK113" s="123">
        <f t="shared" si="226"/>
        <v>837.97944999999993</v>
      </c>
      <c r="BL113" s="123">
        <f t="shared" si="226"/>
        <v>837.97944999999993</v>
      </c>
      <c r="BM113" s="123">
        <f t="shared" si="226"/>
        <v>837.97944999999993</v>
      </c>
      <c r="BN113" s="123">
        <f t="shared" si="226"/>
        <v>837.97944999999993</v>
      </c>
      <c r="BO113" s="123">
        <f t="shared" si="226"/>
        <v>837.97944999999993</v>
      </c>
      <c r="BP113" s="123">
        <f t="shared" si="226"/>
        <v>0</v>
      </c>
      <c r="BQ113" s="123">
        <f t="shared" si="226"/>
        <v>0</v>
      </c>
      <c r="BR113" s="123">
        <f t="shared" si="226"/>
        <v>0</v>
      </c>
      <c r="BS113" s="123">
        <f t="shared" si="226"/>
        <v>0</v>
      </c>
      <c r="BT113" s="123">
        <f t="shared" si="226"/>
        <v>0</v>
      </c>
      <c r="BU113" s="123">
        <f t="shared" si="226"/>
        <v>0</v>
      </c>
      <c r="BV113" s="123">
        <f t="shared" si="226"/>
        <v>0</v>
      </c>
      <c r="BW113" s="123">
        <f t="shared" si="226"/>
        <v>0</v>
      </c>
      <c r="BX113" s="123">
        <f t="shared" si="226"/>
        <v>0</v>
      </c>
      <c r="BY113" s="123">
        <f t="shared" si="226"/>
        <v>0</v>
      </c>
      <c r="BZ113" s="123">
        <f t="shared" si="226"/>
        <v>0</v>
      </c>
      <c r="CA113" s="123">
        <f t="shared" si="226"/>
        <v>0</v>
      </c>
      <c r="CB113" s="123">
        <f t="shared" si="226"/>
        <v>0</v>
      </c>
      <c r="CC113" s="123">
        <f t="shared" si="226"/>
        <v>0</v>
      </c>
      <c r="CD113" s="123">
        <f t="shared" si="226"/>
        <v>0</v>
      </c>
      <c r="CE113" s="123">
        <f t="shared" si="226"/>
        <v>0</v>
      </c>
      <c r="CF113" s="123">
        <f t="shared" ref="CF113:DM113" si="227">SUM(CF114:CF132)</f>
        <v>0</v>
      </c>
      <c r="CG113" s="123">
        <f t="shared" si="227"/>
        <v>0</v>
      </c>
      <c r="CH113" s="123">
        <f t="shared" si="227"/>
        <v>0</v>
      </c>
      <c r="CI113" s="123">
        <f t="shared" si="227"/>
        <v>0</v>
      </c>
      <c r="CJ113" s="123">
        <f t="shared" si="227"/>
        <v>0</v>
      </c>
      <c r="CK113" s="123">
        <f t="shared" si="227"/>
        <v>0</v>
      </c>
      <c r="CL113" s="123">
        <f t="shared" si="227"/>
        <v>0</v>
      </c>
      <c r="CM113" s="123">
        <f t="shared" si="227"/>
        <v>0</v>
      </c>
      <c r="CN113" s="123">
        <f t="shared" si="227"/>
        <v>0</v>
      </c>
      <c r="CO113" s="123">
        <f t="shared" si="227"/>
        <v>0</v>
      </c>
      <c r="CP113" s="123">
        <f t="shared" si="227"/>
        <v>0</v>
      </c>
      <c r="CQ113" s="123">
        <f t="shared" si="227"/>
        <v>0</v>
      </c>
      <c r="CR113" s="123">
        <f t="shared" si="227"/>
        <v>0</v>
      </c>
      <c r="CS113" s="123">
        <f t="shared" si="227"/>
        <v>0</v>
      </c>
      <c r="CT113" s="123">
        <f t="shared" si="227"/>
        <v>0</v>
      </c>
      <c r="CU113" s="123">
        <f t="shared" si="227"/>
        <v>0</v>
      </c>
      <c r="CV113" s="123">
        <f t="shared" si="227"/>
        <v>0</v>
      </c>
      <c r="CW113" s="123">
        <f t="shared" si="227"/>
        <v>0</v>
      </c>
      <c r="CX113" s="123">
        <f t="shared" si="227"/>
        <v>0</v>
      </c>
      <c r="CY113" s="123">
        <f t="shared" si="227"/>
        <v>0</v>
      </c>
      <c r="CZ113" s="123">
        <f t="shared" si="227"/>
        <v>0</v>
      </c>
      <c r="DA113" s="123">
        <f t="shared" si="227"/>
        <v>0</v>
      </c>
      <c r="DB113" s="123">
        <f t="shared" si="227"/>
        <v>0</v>
      </c>
      <c r="DC113" s="123">
        <f t="shared" si="227"/>
        <v>0</v>
      </c>
      <c r="DD113" s="123">
        <f t="shared" si="227"/>
        <v>0</v>
      </c>
      <c r="DE113" s="123">
        <f t="shared" si="227"/>
        <v>0</v>
      </c>
      <c r="DF113" s="123">
        <f t="shared" si="227"/>
        <v>0</v>
      </c>
      <c r="DG113" s="123">
        <f t="shared" si="227"/>
        <v>0</v>
      </c>
      <c r="DH113" s="123">
        <f t="shared" si="227"/>
        <v>0</v>
      </c>
      <c r="DI113" s="123">
        <f t="shared" si="227"/>
        <v>0</v>
      </c>
      <c r="DJ113" s="123">
        <f t="shared" si="227"/>
        <v>0</v>
      </c>
      <c r="DK113" s="123">
        <f t="shared" si="227"/>
        <v>0</v>
      </c>
      <c r="DL113" s="123">
        <f t="shared" si="227"/>
        <v>0</v>
      </c>
      <c r="DM113" s="123">
        <f t="shared" si="227"/>
        <v>0</v>
      </c>
    </row>
    <row r="114" spans="2:117">
      <c r="B114" s="27">
        <f>Rentroll!$C$11</f>
        <v>17</v>
      </c>
      <c r="C114" s="69" t="str">
        <f>VLOOKUP($B114,Rentroll!$C$11:$X$29,3,FALSE)</f>
        <v>리마 상사</v>
      </c>
      <c r="D114" s="80">
        <f>VLOOKUP($B114,Rentroll!$C$11:$X$29,9,FALSE)</f>
        <v>45322</v>
      </c>
      <c r="E114" s="80">
        <f>VLOOKUP($B114,Rentroll!$C$11:$X$29,10,FALSE)</f>
        <v>47148</v>
      </c>
      <c r="F114" s="81">
        <f>VLOOKUP($B114,Rentroll!$C$11:$X$29,11,FALSE)</f>
        <v>60</v>
      </c>
      <c r="G114" s="69">
        <f>VLOOKUP($B114,Rentroll!$C$11:$X$29,13,FALSE)</f>
        <v>100000</v>
      </c>
      <c r="H114" s="69">
        <f>VLOOKUP($B114,Rentroll!$C$11:$X$29,14,FALSE)</f>
        <v>75000</v>
      </c>
      <c r="I114" s="69">
        <f>VLOOKUP($B114,Rentroll!$C$11:$X$29,15,FALSE)</f>
        <v>45000</v>
      </c>
      <c r="J114" s="82">
        <f>VLOOKUP($B114,Rentroll!$C$11:$X$29,19,FALSE)</f>
        <v>0.03</v>
      </c>
      <c r="K114" s="83">
        <f>VLOOKUP($B114,Rentroll!$C$11:$X$29,4,FALSE)</f>
        <v>1385.09</v>
      </c>
      <c r="L114" s="81">
        <f>VLOOKUP($B114,Rentroll!$C$11:$X$29,17,FALSE)</f>
        <v>0</v>
      </c>
      <c r="M114" s="84">
        <f>VLOOKUP($B114,Rentroll!$C$11:$X$29,18,FALSE)</f>
        <v>3</v>
      </c>
      <c r="O114" s="46">
        <f>B114</f>
        <v>17</v>
      </c>
      <c r="P114" s="73"/>
      <c r="Q114" s="73"/>
      <c r="R114" s="73"/>
      <c r="S114" s="73">
        <f>Rentroll!$Y11*Index!R19</f>
        <v>0</v>
      </c>
      <c r="T114" s="73">
        <f>Rentroll!$Y11*Index!S19</f>
        <v>418.98972499999996</v>
      </c>
      <c r="U114" s="73">
        <f>Rentroll!$Y11*Index!T19</f>
        <v>418.98972499999996</v>
      </c>
      <c r="V114" s="73">
        <f>Rentroll!$Y11*Index!U19</f>
        <v>418.98972499999996</v>
      </c>
      <c r="W114" s="73">
        <f>Rentroll!$Y11*Index!V19</f>
        <v>418.98972499999996</v>
      </c>
      <c r="X114" s="73">
        <f>Rentroll!$Y11*Index!W19</f>
        <v>418.98972499999996</v>
      </c>
      <c r="Y114" s="73">
        <f>Rentroll!$Y11*Index!X19</f>
        <v>418.98972499999996</v>
      </c>
      <c r="Z114" s="73">
        <f>Rentroll!$Y11*Index!Y19</f>
        <v>418.98972499999996</v>
      </c>
      <c r="AA114" s="73">
        <f>Rentroll!$Y11*Index!Z19</f>
        <v>418.98972499999996</v>
      </c>
      <c r="AB114" s="73">
        <f>Rentroll!$Y11*Index!AA19</f>
        <v>418.98972499999996</v>
      </c>
      <c r="AC114" s="73">
        <f>Rentroll!$Y11*Index!AB19</f>
        <v>418.98972499999996</v>
      </c>
      <c r="AD114" s="73">
        <f>Rentroll!$Y11*Index!AC19</f>
        <v>418.98972499999996</v>
      </c>
      <c r="AE114" s="73">
        <f>Rentroll!$Y11*Index!AD19</f>
        <v>418.98972499999996</v>
      </c>
      <c r="AF114" s="73">
        <f>Rentroll!$Y11*Index!AE19</f>
        <v>418.98972499999996</v>
      </c>
      <c r="AG114" s="73">
        <f>Rentroll!$Y11*Index!AF19</f>
        <v>418.98972499999996</v>
      </c>
      <c r="AH114" s="73">
        <f>Rentroll!$Y11*Index!AG19</f>
        <v>418.98972499999996</v>
      </c>
      <c r="AI114" s="73">
        <f>Rentroll!$Y11*Index!AH19</f>
        <v>418.98972499999996</v>
      </c>
      <c r="AJ114" s="73">
        <f>Rentroll!$Y11*Index!AI19</f>
        <v>418.98972499999996</v>
      </c>
      <c r="AK114" s="73">
        <f>Rentroll!$Y11*Index!AJ19</f>
        <v>418.98972499999996</v>
      </c>
      <c r="AL114" s="73">
        <f>Rentroll!$Y11*Index!AK19</f>
        <v>418.98972499999996</v>
      </c>
      <c r="AM114" s="73">
        <f>Rentroll!$Y11*Index!AL19</f>
        <v>418.98972499999996</v>
      </c>
      <c r="AN114" s="73">
        <f>Rentroll!$Y11*Index!AM19</f>
        <v>418.98972499999996</v>
      </c>
      <c r="AO114" s="73">
        <f>Rentroll!$Y11*Index!AN19</f>
        <v>418.98972499999996</v>
      </c>
      <c r="AP114" s="73">
        <f>Rentroll!$Y11*Index!AO19</f>
        <v>418.98972499999996</v>
      </c>
      <c r="AQ114" s="73">
        <f>Rentroll!$Y11*Index!AP19</f>
        <v>418.98972499999996</v>
      </c>
      <c r="AR114" s="73">
        <f>Rentroll!$Y11*Index!AQ19</f>
        <v>418.98972499999996</v>
      </c>
      <c r="AS114" s="73">
        <f>Rentroll!$Y11*Index!AR19</f>
        <v>418.98972499999996</v>
      </c>
      <c r="AT114" s="73">
        <f>Rentroll!$Y11*Index!AS19</f>
        <v>418.98972499999996</v>
      </c>
      <c r="AU114" s="73">
        <f>Rentroll!$Y11*Index!AT19</f>
        <v>418.98972499999996</v>
      </c>
      <c r="AV114" s="73">
        <f>Rentroll!$Y11*Index!AU19</f>
        <v>418.98972499999996</v>
      </c>
      <c r="AW114" s="73">
        <f>Rentroll!$Y11*Index!AV19</f>
        <v>418.98972499999996</v>
      </c>
      <c r="AX114" s="73">
        <f>Rentroll!$Y11*Index!AW19</f>
        <v>418.98972499999996</v>
      </c>
      <c r="AY114" s="73">
        <f>Rentroll!$Y11*Index!AX19</f>
        <v>418.98972499999996</v>
      </c>
      <c r="AZ114" s="73">
        <f>Rentroll!$Y11*Index!AY19</f>
        <v>418.98972499999996</v>
      </c>
      <c r="BA114" s="73">
        <f>Rentroll!$Y11*Index!AZ19</f>
        <v>418.98972499999996</v>
      </c>
      <c r="BB114" s="73">
        <f>Rentroll!$Y11*Index!BA19</f>
        <v>418.98972499999996</v>
      </c>
      <c r="BC114" s="73">
        <f>Rentroll!$Y11*Index!BB19</f>
        <v>418.98972499999996</v>
      </c>
      <c r="BD114" s="73">
        <f>Rentroll!$Y11*Index!BC19</f>
        <v>418.98972499999996</v>
      </c>
      <c r="BE114" s="73">
        <f>Rentroll!$Y11*Index!BD19</f>
        <v>418.98972499999996</v>
      </c>
      <c r="BF114" s="73">
        <f>Rentroll!$Y11*Index!BE19</f>
        <v>418.98972499999996</v>
      </c>
      <c r="BG114" s="73">
        <f>Rentroll!$Y11*Index!BF19</f>
        <v>418.98972499999996</v>
      </c>
      <c r="BH114" s="73">
        <f>Rentroll!$Y11*Index!BG19</f>
        <v>418.98972499999996</v>
      </c>
      <c r="BI114" s="73">
        <f>Rentroll!$Y11*Index!BH19</f>
        <v>418.98972499999996</v>
      </c>
      <c r="BJ114" s="73">
        <f>Rentroll!$Y11*Index!BI19</f>
        <v>418.98972499999996</v>
      </c>
      <c r="BK114" s="73">
        <f>Rentroll!$Y11*Index!BJ19</f>
        <v>418.98972499999996</v>
      </c>
      <c r="BL114" s="73">
        <f>Rentroll!$Y11*Index!BK19</f>
        <v>418.98972499999996</v>
      </c>
      <c r="BM114" s="73">
        <f>Rentroll!$Y11*Index!BL19</f>
        <v>418.98972499999996</v>
      </c>
      <c r="BN114" s="73">
        <f>Rentroll!$Y11*Index!BM19</f>
        <v>418.98972499999996</v>
      </c>
      <c r="BO114" s="73">
        <f>Rentroll!$Y11*Index!BN19</f>
        <v>418.98972499999996</v>
      </c>
      <c r="BP114" s="73">
        <f>Rentroll!$Y11*Index!BO19</f>
        <v>0</v>
      </c>
      <c r="BQ114" s="73">
        <f>Rentroll!$Y11*Index!BP19</f>
        <v>0</v>
      </c>
      <c r="BR114" s="73">
        <f>Rentroll!$Y11*Index!BQ19</f>
        <v>0</v>
      </c>
      <c r="BS114" s="73">
        <f>Rentroll!$Y11*Index!BR19</f>
        <v>0</v>
      </c>
      <c r="BT114" s="73">
        <f>Rentroll!$Y11*Index!BS19</f>
        <v>0</v>
      </c>
      <c r="BU114" s="73">
        <f>Rentroll!$Y11*Index!BT19</f>
        <v>0</v>
      </c>
      <c r="BV114" s="73">
        <f>Rentroll!$Y11*Index!BU19</f>
        <v>0</v>
      </c>
      <c r="BW114" s="73">
        <f>Rentroll!$Y11*Index!BV19</f>
        <v>0</v>
      </c>
      <c r="BX114" s="73">
        <f>Rentroll!$Y11*Index!BW19</f>
        <v>0</v>
      </c>
      <c r="BY114" s="73">
        <f>Rentroll!$Y11*Index!BX19</f>
        <v>0</v>
      </c>
      <c r="BZ114" s="73">
        <f>Rentroll!$Y11*Index!BY19</f>
        <v>0</v>
      </c>
      <c r="CA114" s="73">
        <f>Rentroll!$Y11*Index!BZ19</f>
        <v>0</v>
      </c>
      <c r="CB114" s="73">
        <f>Rentroll!$Y11*Index!CA19</f>
        <v>0</v>
      </c>
      <c r="CC114" s="73">
        <f>Rentroll!$Y11*Index!CB19</f>
        <v>0</v>
      </c>
      <c r="CD114" s="73">
        <f>Rentroll!$Y11*Index!CC19</f>
        <v>0</v>
      </c>
      <c r="CE114" s="73">
        <f>Rentroll!$Y11*Index!CD19</f>
        <v>0</v>
      </c>
      <c r="CF114" s="73">
        <f>Rentroll!$Y11*Index!CE19</f>
        <v>0</v>
      </c>
      <c r="CG114" s="73">
        <f>Rentroll!$Y11*Index!CF19</f>
        <v>0</v>
      </c>
      <c r="CH114" s="73">
        <f>Rentroll!$Y11*Index!CG19</f>
        <v>0</v>
      </c>
      <c r="CI114" s="73">
        <f>Rentroll!$Y11*Index!CH19</f>
        <v>0</v>
      </c>
      <c r="CJ114" s="73">
        <f>Rentroll!$Y11*Index!CI19</f>
        <v>0</v>
      </c>
      <c r="CK114" s="73">
        <f>Rentroll!$Y11*Index!CJ19</f>
        <v>0</v>
      </c>
      <c r="CL114" s="73">
        <f>Rentroll!$Y11*Index!CK19</f>
        <v>0</v>
      </c>
      <c r="CM114" s="73">
        <f>Rentroll!$Y11*Index!CL19</f>
        <v>0</v>
      </c>
      <c r="CN114" s="73">
        <f>Rentroll!$Y11*Index!CM19</f>
        <v>0</v>
      </c>
      <c r="CO114" s="73">
        <f>Rentroll!$Y11*Index!CN19</f>
        <v>0</v>
      </c>
      <c r="CP114" s="73">
        <f>Rentroll!$Y11*Index!CO19</f>
        <v>0</v>
      </c>
      <c r="CQ114" s="73">
        <f>Rentroll!$Y11*Index!CP19</f>
        <v>0</v>
      </c>
      <c r="CR114" s="73">
        <f>Rentroll!$Y11*Index!CQ19</f>
        <v>0</v>
      </c>
      <c r="CS114" s="73">
        <f>Rentroll!$Y11*Index!CR19</f>
        <v>0</v>
      </c>
      <c r="CT114" s="73">
        <f>Rentroll!$Y11*Index!CS19</f>
        <v>0</v>
      </c>
      <c r="CU114" s="73">
        <f>Rentroll!$Y11*Index!CT19</f>
        <v>0</v>
      </c>
      <c r="CV114" s="73">
        <f>Rentroll!$Y11*Index!CU19</f>
        <v>0</v>
      </c>
      <c r="CW114" s="73">
        <f>Rentroll!$Y11*Index!CV19</f>
        <v>0</v>
      </c>
      <c r="CX114" s="73">
        <f>Rentroll!$Y11*Index!CW19</f>
        <v>0</v>
      </c>
      <c r="CY114" s="73">
        <f>Rentroll!$Y11*Index!CX19</f>
        <v>0</v>
      </c>
      <c r="CZ114" s="73">
        <f>Rentroll!$Y11*Index!CY19</f>
        <v>0</v>
      </c>
      <c r="DA114" s="73">
        <f>Rentroll!$Y11*Index!CZ19</f>
        <v>0</v>
      </c>
      <c r="DB114" s="73">
        <f>Rentroll!$Y11*Index!DA19</f>
        <v>0</v>
      </c>
      <c r="DC114" s="73">
        <f>Rentroll!$Y11*Index!DB19</f>
        <v>0</v>
      </c>
      <c r="DD114" s="73">
        <f>Rentroll!$Y11*Index!DC19</f>
        <v>0</v>
      </c>
      <c r="DE114" s="73">
        <f>Rentroll!$Y11*Index!DD19</f>
        <v>0</v>
      </c>
      <c r="DF114" s="73">
        <f>Rentroll!$Y11*Index!DE19</f>
        <v>0</v>
      </c>
      <c r="DG114" s="73">
        <f>Rentroll!$Y11*Index!DF19</f>
        <v>0</v>
      </c>
      <c r="DH114" s="73">
        <f>Rentroll!$Y11*Index!DG19</f>
        <v>0</v>
      </c>
      <c r="DI114" s="73">
        <f>Rentroll!$Y11*Index!DH19</f>
        <v>0</v>
      </c>
      <c r="DJ114" s="73">
        <f>Rentroll!$Y11*Index!DI19</f>
        <v>0</v>
      </c>
      <c r="DK114" s="73">
        <f>Rentroll!$Y11*Index!DJ19</f>
        <v>0</v>
      </c>
      <c r="DL114" s="73">
        <f>Rentroll!$Y11*Index!DK19</f>
        <v>0</v>
      </c>
      <c r="DM114" s="73">
        <f>Rentroll!$Y11*Index!DL19</f>
        <v>0</v>
      </c>
    </row>
    <row r="115" spans="2:117" ht="17">
      <c r="B115" s="27">
        <f>Rentroll!$C$12</f>
        <v>16</v>
      </c>
      <c r="C115" s="69" t="str">
        <f>VLOOKUP($B115,Rentroll!$C$11:$X$29,3,FALSE)</f>
        <v>리마 상사</v>
      </c>
      <c r="D115" s="80">
        <f>VLOOKUP($B115,Rentroll!$C$11:$X$29,9,FALSE)</f>
        <v>45322</v>
      </c>
      <c r="E115" s="80">
        <f>VLOOKUP($B115,Rentroll!$C$11:$X$29,10,FALSE)</f>
        <v>47148</v>
      </c>
      <c r="F115" s="81">
        <f>VLOOKUP($B115,Rentroll!$C$11:$X$29,11,FALSE)</f>
        <v>60</v>
      </c>
      <c r="G115" s="69">
        <f>VLOOKUP($B115,Rentroll!$C$11:$X$29,13,FALSE)</f>
        <v>100000</v>
      </c>
      <c r="H115" s="69">
        <f>VLOOKUP($B115,Rentroll!$C$11:$X$29,14,FALSE)</f>
        <v>75000</v>
      </c>
      <c r="I115" s="69">
        <f>VLOOKUP($B115,Rentroll!$C$11:$X$29,15,FALSE)</f>
        <v>45000</v>
      </c>
      <c r="J115" s="82">
        <f>VLOOKUP($B115,Rentroll!$C$11:$X$29,19,FALSE)</f>
        <v>0.03</v>
      </c>
      <c r="K115" s="83">
        <f>VLOOKUP($B115,Rentroll!$C$11:$X$29,4,FALSE)</f>
        <v>1385.09</v>
      </c>
      <c r="L115" s="81">
        <f>VLOOKUP($B115,Rentroll!$C$11:$X$29,17,FALSE)</f>
        <v>0</v>
      </c>
      <c r="M115" s="84">
        <f>VLOOKUP($B115,Rentroll!$C$11:$X$29,18,FALSE)</f>
        <v>3</v>
      </c>
      <c r="N115" s="20"/>
      <c r="O115" s="74">
        <f t="shared" ref="O115:O132" si="228">B115</f>
        <v>16</v>
      </c>
      <c r="P115" s="75"/>
      <c r="S115" s="75">
        <f>Rentroll!$Y12*Index!R20</f>
        <v>0</v>
      </c>
      <c r="T115" s="75">
        <f>Rentroll!$Y12*Index!S20</f>
        <v>418.98972499999996</v>
      </c>
      <c r="U115" s="75">
        <f>Rentroll!$Y12*Index!T20</f>
        <v>418.98972499999996</v>
      </c>
      <c r="V115" s="75">
        <f>Rentroll!$Y12*Index!U20</f>
        <v>418.98972499999996</v>
      </c>
      <c r="W115" s="75">
        <f>Rentroll!$Y12*Index!V20</f>
        <v>418.98972499999996</v>
      </c>
      <c r="X115" s="75">
        <f>Rentroll!$Y12*Index!W20</f>
        <v>418.98972499999996</v>
      </c>
      <c r="Y115" s="75">
        <f>Rentroll!$Y12*Index!X20</f>
        <v>418.98972499999996</v>
      </c>
      <c r="Z115" s="75">
        <f>Rentroll!$Y12*Index!Y20</f>
        <v>418.98972499999996</v>
      </c>
      <c r="AA115" s="75">
        <f>Rentroll!$Y12*Index!Z20</f>
        <v>418.98972499999996</v>
      </c>
      <c r="AB115" s="75">
        <f>Rentroll!$Y12*Index!AA20</f>
        <v>418.98972499999996</v>
      </c>
      <c r="AC115" s="75">
        <f>Rentroll!$Y12*Index!AB20</f>
        <v>418.98972499999996</v>
      </c>
      <c r="AD115" s="75">
        <f>Rentroll!$Y12*Index!AC20</f>
        <v>418.98972499999996</v>
      </c>
      <c r="AE115" s="75">
        <f>Rentroll!$Y12*Index!AD20</f>
        <v>418.98972499999996</v>
      </c>
      <c r="AF115" s="75">
        <f>Rentroll!$Y12*Index!AE20</f>
        <v>418.98972499999996</v>
      </c>
      <c r="AG115" s="75">
        <f>Rentroll!$Y12*Index!AF20</f>
        <v>418.98972499999996</v>
      </c>
      <c r="AH115" s="75">
        <f>Rentroll!$Y12*Index!AG20</f>
        <v>418.98972499999996</v>
      </c>
      <c r="AI115" s="75">
        <f>Rentroll!$Y12*Index!AH20</f>
        <v>418.98972499999996</v>
      </c>
      <c r="AJ115" s="75">
        <f>Rentroll!$Y12*Index!AI20</f>
        <v>418.98972499999996</v>
      </c>
      <c r="AK115" s="75">
        <f>Rentroll!$Y12*Index!AJ20</f>
        <v>418.98972499999996</v>
      </c>
      <c r="AL115" s="75">
        <f>Rentroll!$Y12*Index!AK20</f>
        <v>418.98972499999996</v>
      </c>
      <c r="AM115" s="75">
        <f>Rentroll!$Y12*Index!AL20</f>
        <v>418.98972499999996</v>
      </c>
      <c r="AN115" s="75">
        <f>Rentroll!$Y12*Index!AM20</f>
        <v>418.98972499999996</v>
      </c>
      <c r="AO115" s="75">
        <f>Rentroll!$Y12*Index!AN20</f>
        <v>418.98972499999996</v>
      </c>
      <c r="AP115" s="75">
        <f>Rentroll!$Y12*Index!AO20</f>
        <v>418.98972499999996</v>
      </c>
      <c r="AQ115" s="75">
        <f>Rentroll!$Y12*Index!AP20</f>
        <v>418.98972499999996</v>
      </c>
      <c r="AR115" s="75">
        <f>Rentroll!$Y12*Index!AQ20</f>
        <v>418.98972499999996</v>
      </c>
      <c r="AS115" s="75">
        <f>Rentroll!$Y12*Index!AR20</f>
        <v>418.98972499999996</v>
      </c>
      <c r="AT115" s="75">
        <f>Rentroll!$Y12*Index!AS20</f>
        <v>418.98972499999996</v>
      </c>
      <c r="AU115" s="75">
        <f>Rentroll!$Y12*Index!AT20</f>
        <v>418.98972499999996</v>
      </c>
      <c r="AV115" s="75">
        <f>Rentroll!$Y12*Index!AU20</f>
        <v>418.98972499999996</v>
      </c>
      <c r="AW115" s="75">
        <f>Rentroll!$Y12*Index!AV20</f>
        <v>418.98972499999996</v>
      </c>
      <c r="AX115" s="75">
        <f>Rentroll!$Y12*Index!AW20</f>
        <v>418.98972499999996</v>
      </c>
      <c r="AY115" s="75">
        <f>Rentroll!$Y12*Index!AX20</f>
        <v>418.98972499999996</v>
      </c>
      <c r="AZ115" s="75">
        <f>Rentroll!$Y12*Index!AY20</f>
        <v>418.98972499999996</v>
      </c>
      <c r="BA115" s="75">
        <f>Rentroll!$Y12*Index!AZ20</f>
        <v>418.98972499999996</v>
      </c>
      <c r="BB115" s="75">
        <f>Rentroll!$Y12*Index!BA20</f>
        <v>418.98972499999996</v>
      </c>
      <c r="BC115" s="75">
        <f>Rentroll!$Y12*Index!BB20</f>
        <v>418.98972499999996</v>
      </c>
      <c r="BD115" s="75">
        <f>Rentroll!$Y12*Index!BC20</f>
        <v>418.98972499999996</v>
      </c>
      <c r="BE115" s="75">
        <f>Rentroll!$Y12*Index!BD20</f>
        <v>418.98972499999996</v>
      </c>
      <c r="BF115" s="75">
        <f>Rentroll!$Y12*Index!BE20</f>
        <v>418.98972499999996</v>
      </c>
      <c r="BG115" s="75">
        <f>Rentroll!$Y12*Index!BF20</f>
        <v>418.98972499999996</v>
      </c>
      <c r="BH115" s="75">
        <f>Rentroll!$Y12*Index!BG20</f>
        <v>418.98972499999996</v>
      </c>
      <c r="BI115" s="75">
        <f>Rentroll!$Y12*Index!BH20</f>
        <v>418.98972499999996</v>
      </c>
      <c r="BJ115" s="75">
        <f>Rentroll!$Y12*Index!BI20</f>
        <v>418.98972499999996</v>
      </c>
      <c r="BK115" s="75">
        <f>Rentroll!$Y12*Index!BJ20</f>
        <v>418.98972499999996</v>
      </c>
      <c r="BL115" s="75">
        <f>Rentroll!$Y12*Index!BK20</f>
        <v>418.98972499999996</v>
      </c>
      <c r="BM115" s="75">
        <f>Rentroll!$Y12*Index!BL20</f>
        <v>418.98972499999996</v>
      </c>
      <c r="BN115" s="75">
        <f>Rentroll!$Y12*Index!BM20</f>
        <v>418.98972499999996</v>
      </c>
      <c r="BO115" s="75">
        <f>Rentroll!$Y12*Index!BN20</f>
        <v>418.98972499999996</v>
      </c>
      <c r="BP115" s="75">
        <f>Rentroll!$Y12*Index!BO20</f>
        <v>0</v>
      </c>
      <c r="BQ115" s="75">
        <f>Rentroll!$Y12*Index!BP20</f>
        <v>0</v>
      </c>
      <c r="BR115" s="75">
        <f>Rentroll!$Y12*Index!BQ20</f>
        <v>0</v>
      </c>
      <c r="BS115" s="75">
        <f>Rentroll!$Y12*Index!BR20</f>
        <v>0</v>
      </c>
      <c r="BT115" s="75">
        <f>Rentroll!$Y12*Index!BS20</f>
        <v>0</v>
      </c>
      <c r="BU115" s="75">
        <f>Rentroll!$Y12*Index!BT20</f>
        <v>0</v>
      </c>
      <c r="BV115" s="75">
        <f>Rentroll!$Y12*Index!BU20</f>
        <v>0</v>
      </c>
      <c r="BW115" s="75">
        <f>Rentroll!$Y12*Index!BV20</f>
        <v>0</v>
      </c>
      <c r="BX115" s="75">
        <f>Rentroll!$Y12*Index!BW20</f>
        <v>0</v>
      </c>
      <c r="BY115" s="75">
        <f>Rentroll!$Y12*Index!BX20</f>
        <v>0</v>
      </c>
      <c r="BZ115" s="75">
        <f>Rentroll!$Y12*Index!BY20</f>
        <v>0</v>
      </c>
      <c r="CA115" s="75">
        <f>Rentroll!$Y12*Index!BZ20</f>
        <v>0</v>
      </c>
      <c r="CB115" s="75">
        <f>Rentroll!$Y12*Index!CA20</f>
        <v>0</v>
      </c>
      <c r="CC115" s="75">
        <f>Rentroll!$Y12*Index!CB20</f>
        <v>0</v>
      </c>
      <c r="CD115" s="75">
        <f>Rentroll!$Y12*Index!CC20</f>
        <v>0</v>
      </c>
      <c r="CE115" s="75">
        <f>Rentroll!$Y12*Index!CD20</f>
        <v>0</v>
      </c>
      <c r="CF115" s="75">
        <f>Rentroll!$Y12*Index!CE20</f>
        <v>0</v>
      </c>
      <c r="CG115" s="75">
        <f>Rentroll!$Y12*Index!CF20</f>
        <v>0</v>
      </c>
      <c r="CH115" s="75">
        <f>Rentroll!$Y12*Index!CG20</f>
        <v>0</v>
      </c>
      <c r="CI115" s="75">
        <f>Rentroll!$Y12*Index!CH20</f>
        <v>0</v>
      </c>
      <c r="CJ115" s="75">
        <f>Rentroll!$Y12*Index!CI20</f>
        <v>0</v>
      </c>
      <c r="CK115" s="75">
        <f>Rentroll!$Y12*Index!CJ20</f>
        <v>0</v>
      </c>
      <c r="CL115" s="75">
        <f>Rentroll!$Y12*Index!CK20</f>
        <v>0</v>
      </c>
      <c r="CM115" s="75">
        <f>Rentroll!$Y12*Index!CL20</f>
        <v>0</v>
      </c>
      <c r="CN115" s="75">
        <f>Rentroll!$Y12*Index!CM20</f>
        <v>0</v>
      </c>
      <c r="CO115" s="75">
        <f>Rentroll!$Y12*Index!CN20</f>
        <v>0</v>
      </c>
      <c r="CP115" s="75">
        <f>Rentroll!$Y12*Index!CO20</f>
        <v>0</v>
      </c>
      <c r="CQ115" s="75">
        <f>Rentroll!$Y12*Index!CP20</f>
        <v>0</v>
      </c>
      <c r="CR115" s="75">
        <f>Rentroll!$Y12*Index!CQ20</f>
        <v>0</v>
      </c>
      <c r="CS115" s="75">
        <f>Rentroll!$Y12*Index!CR20</f>
        <v>0</v>
      </c>
      <c r="CT115" s="75">
        <f>Rentroll!$Y12*Index!CS20</f>
        <v>0</v>
      </c>
      <c r="CU115" s="75">
        <f>Rentroll!$Y12*Index!CT20</f>
        <v>0</v>
      </c>
      <c r="CV115" s="75">
        <f>Rentroll!$Y12*Index!CU20</f>
        <v>0</v>
      </c>
      <c r="CW115" s="75">
        <f>Rentroll!$Y12*Index!CV20</f>
        <v>0</v>
      </c>
      <c r="CX115" s="75">
        <f>Rentroll!$Y12*Index!CW20</f>
        <v>0</v>
      </c>
      <c r="CY115" s="75">
        <f>Rentroll!$Y12*Index!CX20</f>
        <v>0</v>
      </c>
      <c r="CZ115" s="75">
        <f>Rentroll!$Y12*Index!CY20</f>
        <v>0</v>
      </c>
      <c r="DA115" s="75">
        <f>Rentroll!$Y12*Index!CZ20</f>
        <v>0</v>
      </c>
      <c r="DB115" s="75">
        <f>Rentroll!$Y12*Index!DA20</f>
        <v>0</v>
      </c>
      <c r="DC115" s="75">
        <f>Rentroll!$Y12*Index!DB20</f>
        <v>0</v>
      </c>
      <c r="DD115" s="75">
        <f>Rentroll!$Y12*Index!DC20</f>
        <v>0</v>
      </c>
      <c r="DE115" s="75">
        <f>Rentroll!$Y12*Index!DD20</f>
        <v>0</v>
      </c>
      <c r="DF115" s="75">
        <f>Rentroll!$Y12*Index!DE20</f>
        <v>0</v>
      </c>
      <c r="DG115" s="75">
        <f>Rentroll!$Y12*Index!DF20</f>
        <v>0</v>
      </c>
      <c r="DH115" s="75">
        <f>Rentroll!$Y12*Index!DG20</f>
        <v>0</v>
      </c>
      <c r="DI115" s="75">
        <f>Rentroll!$Y12*Index!DH20</f>
        <v>0</v>
      </c>
      <c r="DJ115" s="75">
        <f>Rentroll!$Y12*Index!DI20</f>
        <v>0</v>
      </c>
      <c r="DK115" s="75">
        <f>Rentroll!$Y12*Index!DJ20</f>
        <v>0</v>
      </c>
      <c r="DL115" s="75">
        <f>Rentroll!$Y12*Index!DK20</f>
        <v>0</v>
      </c>
      <c r="DM115" s="75">
        <f>Rentroll!$Y12*Index!DL20</f>
        <v>0</v>
      </c>
    </row>
    <row r="116" spans="2:117">
      <c r="B116" s="27">
        <f>Rentroll!$C$13</f>
        <v>15</v>
      </c>
      <c r="C116" s="69" t="str">
        <f>VLOOKUP($B116,Rentroll!$C$11:$X$29,3,FALSE)</f>
        <v>모빌리티 테크놀로지</v>
      </c>
      <c r="D116" s="80">
        <f>VLOOKUP($B116,Rentroll!$C$11:$X$29,9,FALSE)</f>
        <v>44042</v>
      </c>
      <c r="E116" s="80">
        <f>VLOOKUP($B116,Rentroll!$C$11:$X$29,10,FALSE)</f>
        <v>45869</v>
      </c>
      <c r="F116" s="81">
        <f>VLOOKUP($B116,Rentroll!$C$11:$X$29,11,FALSE)</f>
        <v>60</v>
      </c>
      <c r="G116" s="69">
        <f>VLOOKUP($B116,Rentroll!$C$11:$X$29,13,FALSE)</f>
        <v>90041</v>
      </c>
      <c r="H116" s="69">
        <f>VLOOKUP($B116,Rentroll!$C$11:$X$29,14,FALSE)</f>
        <v>67530.75</v>
      </c>
      <c r="I116" s="69">
        <f>VLOOKUP($B116,Rentroll!$C$11:$X$29,15,FALSE)</f>
        <v>45020</v>
      </c>
      <c r="J116" s="82">
        <f>VLOOKUP($B116,Rentroll!$C$11:$X$29,19,FALSE)</f>
        <v>0.03</v>
      </c>
      <c r="K116" s="83">
        <f>VLOOKUP($B116,Rentroll!$C$11:$X$29,4,FALSE)</f>
        <v>1385.09</v>
      </c>
      <c r="L116" s="81">
        <f>VLOOKUP($B116,Rentroll!$C$11:$X$29,17,FALSE)</f>
        <v>0</v>
      </c>
      <c r="M116" s="84">
        <f>VLOOKUP($B116,Rentroll!$C$11:$X$29,18,FALSE)</f>
        <v>3</v>
      </c>
      <c r="O116" s="74">
        <f t="shared" si="228"/>
        <v>15</v>
      </c>
      <c r="P116" s="75"/>
      <c r="Q116" s="75"/>
      <c r="R116" s="75"/>
      <c r="S116" s="75">
        <f>Rentroll!$Y13*Index!R21</f>
        <v>0</v>
      </c>
      <c r="T116" s="75">
        <f>Rentroll!$Y13*Index!S21</f>
        <v>335.19177999999999</v>
      </c>
      <c r="U116" s="75">
        <f>Rentroll!$Y13*Index!T21</f>
        <v>335.19177999999999</v>
      </c>
      <c r="V116" s="75">
        <f>Rentroll!$Y13*Index!U21</f>
        <v>335.19177999999999</v>
      </c>
      <c r="W116" s="75">
        <f>Rentroll!$Y13*Index!V21</f>
        <v>335.19177999999999</v>
      </c>
      <c r="X116" s="75">
        <f>Rentroll!$Y13*Index!W21</f>
        <v>335.19177999999999</v>
      </c>
      <c r="Y116" s="75">
        <f>Rentroll!$Y13*Index!X21</f>
        <v>335.19177999999999</v>
      </c>
      <c r="Z116" s="75">
        <f>Rentroll!$Y13*Index!Y21</f>
        <v>0</v>
      </c>
      <c r="AA116" s="75">
        <f>Rentroll!$Y13*Index!Z21</f>
        <v>0</v>
      </c>
      <c r="AB116" s="75">
        <f>Rentroll!$Y13*Index!AA21</f>
        <v>0</v>
      </c>
      <c r="AC116" s="75">
        <f>Rentroll!$Y13*Index!AB21</f>
        <v>0</v>
      </c>
      <c r="AD116" s="75">
        <f>Rentroll!$Y13*Index!AC21</f>
        <v>0</v>
      </c>
      <c r="AE116" s="75">
        <f>Rentroll!$Y13*Index!AD21</f>
        <v>0</v>
      </c>
      <c r="AF116" s="75">
        <f>Rentroll!$Y13*Index!AE21</f>
        <v>0</v>
      </c>
      <c r="AG116" s="75">
        <f>Rentroll!$Y13*Index!AF21</f>
        <v>0</v>
      </c>
      <c r="AH116" s="75">
        <f>Rentroll!$Y13*Index!AG21</f>
        <v>0</v>
      </c>
      <c r="AI116" s="75">
        <f>Rentroll!$Y13*Index!AH21</f>
        <v>0</v>
      </c>
      <c r="AJ116" s="75">
        <f>Rentroll!$Y13*Index!AI21</f>
        <v>0</v>
      </c>
      <c r="AK116" s="75">
        <f>Rentroll!$Y13*Index!AJ21</f>
        <v>0</v>
      </c>
      <c r="AL116" s="75">
        <f>Rentroll!$Y13*Index!AK21</f>
        <v>0</v>
      </c>
      <c r="AM116" s="75">
        <f>Rentroll!$Y13*Index!AL21</f>
        <v>0</v>
      </c>
      <c r="AN116" s="75">
        <f>Rentroll!$Y13*Index!AM21</f>
        <v>0</v>
      </c>
      <c r="AO116" s="75">
        <f>Rentroll!$Y13*Index!AN21</f>
        <v>0</v>
      </c>
      <c r="AP116" s="75">
        <f>Rentroll!$Y13*Index!AO21</f>
        <v>0</v>
      </c>
      <c r="AQ116" s="75">
        <f>Rentroll!$Y13*Index!AP21</f>
        <v>0</v>
      </c>
      <c r="AR116" s="75">
        <f>Rentroll!$Y13*Index!AQ21</f>
        <v>0</v>
      </c>
      <c r="AS116" s="75">
        <f>Rentroll!$Y13*Index!AR21</f>
        <v>0</v>
      </c>
      <c r="AT116" s="75">
        <f>Rentroll!$Y13*Index!AS21</f>
        <v>0</v>
      </c>
      <c r="AU116" s="75">
        <f>Rentroll!$Y13*Index!AT21</f>
        <v>0</v>
      </c>
      <c r="AV116" s="75">
        <f>Rentroll!$Y13*Index!AU21</f>
        <v>0</v>
      </c>
      <c r="AW116" s="75">
        <f>Rentroll!$Y13*Index!AV21</f>
        <v>0</v>
      </c>
      <c r="AX116" s="75">
        <f>Rentroll!$Y13*Index!AW21</f>
        <v>0</v>
      </c>
      <c r="AY116" s="75">
        <f>Rentroll!$Y13*Index!AX21</f>
        <v>0</v>
      </c>
      <c r="AZ116" s="75">
        <f>Rentroll!$Y13*Index!AY21</f>
        <v>0</v>
      </c>
      <c r="BA116" s="75">
        <f>Rentroll!$Y13*Index!AZ21</f>
        <v>0</v>
      </c>
      <c r="BB116" s="75">
        <f>Rentroll!$Y13*Index!BA21</f>
        <v>0</v>
      </c>
      <c r="BC116" s="75">
        <f>Rentroll!$Y13*Index!BB21</f>
        <v>0</v>
      </c>
      <c r="BD116" s="75">
        <f>Rentroll!$Y13*Index!BC21</f>
        <v>0</v>
      </c>
      <c r="BE116" s="75">
        <f>Rentroll!$Y13*Index!BD21</f>
        <v>0</v>
      </c>
      <c r="BF116" s="75">
        <f>Rentroll!$Y13*Index!BE21</f>
        <v>0</v>
      </c>
      <c r="BG116" s="75">
        <f>Rentroll!$Y13*Index!BF21</f>
        <v>0</v>
      </c>
      <c r="BH116" s="75">
        <f>Rentroll!$Y13*Index!BG21</f>
        <v>0</v>
      </c>
      <c r="BI116" s="75">
        <f>Rentroll!$Y13*Index!BH21</f>
        <v>0</v>
      </c>
      <c r="BJ116" s="75">
        <f>Rentroll!$Y13*Index!BI21</f>
        <v>0</v>
      </c>
      <c r="BK116" s="75">
        <f>Rentroll!$Y13*Index!BJ21</f>
        <v>0</v>
      </c>
      <c r="BL116" s="75">
        <f>Rentroll!$Y13*Index!BK21</f>
        <v>0</v>
      </c>
      <c r="BM116" s="75">
        <f>Rentroll!$Y13*Index!BL21</f>
        <v>0</v>
      </c>
      <c r="BN116" s="75">
        <f>Rentroll!$Y13*Index!BM21</f>
        <v>0</v>
      </c>
      <c r="BO116" s="75">
        <f>Rentroll!$Y13*Index!BN21</f>
        <v>0</v>
      </c>
      <c r="BP116" s="75">
        <f>Rentroll!$Y13*Index!BO21</f>
        <v>0</v>
      </c>
      <c r="BQ116" s="75">
        <f>Rentroll!$Y13*Index!BP21</f>
        <v>0</v>
      </c>
      <c r="BR116" s="75">
        <f>Rentroll!$Y13*Index!BQ21</f>
        <v>0</v>
      </c>
      <c r="BS116" s="75">
        <f>Rentroll!$Y13*Index!BR21</f>
        <v>0</v>
      </c>
      <c r="BT116" s="75">
        <f>Rentroll!$Y13*Index!BS21</f>
        <v>0</v>
      </c>
      <c r="BU116" s="75">
        <f>Rentroll!$Y13*Index!BT21</f>
        <v>0</v>
      </c>
      <c r="BV116" s="75">
        <f>Rentroll!$Y13*Index!BU21</f>
        <v>0</v>
      </c>
      <c r="BW116" s="75">
        <f>Rentroll!$Y13*Index!BV21</f>
        <v>0</v>
      </c>
      <c r="BX116" s="75">
        <f>Rentroll!$Y13*Index!BW21</f>
        <v>0</v>
      </c>
      <c r="BY116" s="75">
        <f>Rentroll!$Y13*Index!BX21</f>
        <v>0</v>
      </c>
      <c r="BZ116" s="75">
        <f>Rentroll!$Y13*Index!BY21</f>
        <v>0</v>
      </c>
      <c r="CA116" s="75">
        <f>Rentroll!$Y13*Index!BZ21</f>
        <v>0</v>
      </c>
      <c r="CB116" s="75">
        <f>Rentroll!$Y13*Index!CA21</f>
        <v>0</v>
      </c>
      <c r="CC116" s="75">
        <f>Rentroll!$Y13*Index!CB21</f>
        <v>0</v>
      </c>
      <c r="CD116" s="75">
        <f>Rentroll!$Y13*Index!CC21</f>
        <v>0</v>
      </c>
      <c r="CE116" s="75">
        <f>Rentroll!$Y13*Index!CD21</f>
        <v>0</v>
      </c>
      <c r="CF116" s="75">
        <f>Rentroll!$Y13*Index!CE21</f>
        <v>0</v>
      </c>
      <c r="CG116" s="75">
        <f>Rentroll!$Y13*Index!CF21</f>
        <v>0</v>
      </c>
      <c r="CH116" s="75">
        <f>Rentroll!$Y13*Index!CG21</f>
        <v>0</v>
      </c>
      <c r="CI116" s="75">
        <f>Rentroll!$Y13*Index!CH21</f>
        <v>0</v>
      </c>
      <c r="CJ116" s="75">
        <f>Rentroll!$Y13*Index!CI21</f>
        <v>0</v>
      </c>
      <c r="CK116" s="75">
        <f>Rentroll!$Y13*Index!CJ21</f>
        <v>0</v>
      </c>
      <c r="CL116" s="75">
        <f>Rentroll!$Y13*Index!CK21</f>
        <v>0</v>
      </c>
      <c r="CM116" s="75">
        <f>Rentroll!$Y13*Index!CL21</f>
        <v>0</v>
      </c>
      <c r="CN116" s="75">
        <f>Rentroll!$Y13*Index!CM21</f>
        <v>0</v>
      </c>
      <c r="CO116" s="75">
        <f>Rentroll!$Y13*Index!CN21</f>
        <v>0</v>
      </c>
      <c r="CP116" s="75">
        <f>Rentroll!$Y13*Index!CO21</f>
        <v>0</v>
      </c>
      <c r="CQ116" s="75">
        <f>Rentroll!$Y13*Index!CP21</f>
        <v>0</v>
      </c>
      <c r="CR116" s="75">
        <f>Rentroll!$Y13*Index!CQ21</f>
        <v>0</v>
      </c>
      <c r="CS116" s="75">
        <f>Rentroll!$Y13*Index!CR21</f>
        <v>0</v>
      </c>
      <c r="CT116" s="75">
        <f>Rentroll!$Y13*Index!CS21</f>
        <v>0</v>
      </c>
      <c r="CU116" s="75">
        <f>Rentroll!$Y13*Index!CT21</f>
        <v>0</v>
      </c>
      <c r="CV116" s="75">
        <f>Rentroll!$Y13*Index!CU21</f>
        <v>0</v>
      </c>
      <c r="CW116" s="75">
        <f>Rentroll!$Y13*Index!CV21</f>
        <v>0</v>
      </c>
      <c r="CX116" s="75">
        <f>Rentroll!$Y13*Index!CW21</f>
        <v>0</v>
      </c>
      <c r="CY116" s="75">
        <f>Rentroll!$Y13*Index!CX21</f>
        <v>0</v>
      </c>
      <c r="CZ116" s="75">
        <f>Rentroll!$Y13*Index!CY21</f>
        <v>0</v>
      </c>
      <c r="DA116" s="75">
        <f>Rentroll!$Y13*Index!CZ21</f>
        <v>0</v>
      </c>
      <c r="DB116" s="75">
        <f>Rentroll!$Y13*Index!DA21</f>
        <v>0</v>
      </c>
      <c r="DC116" s="75">
        <f>Rentroll!$Y13*Index!DB21</f>
        <v>0</v>
      </c>
      <c r="DD116" s="75">
        <f>Rentroll!$Y13*Index!DC21</f>
        <v>0</v>
      </c>
      <c r="DE116" s="75">
        <f>Rentroll!$Y13*Index!DD21</f>
        <v>0</v>
      </c>
      <c r="DF116" s="75">
        <f>Rentroll!$Y13*Index!DE21</f>
        <v>0</v>
      </c>
      <c r="DG116" s="75">
        <f>Rentroll!$Y13*Index!DF21</f>
        <v>0</v>
      </c>
      <c r="DH116" s="75">
        <f>Rentroll!$Y13*Index!DG21</f>
        <v>0</v>
      </c>
      <c r="DI116" s="75">
        <f>Rentroll!$Y13*Index!DH21</f>
        <v>0</v>
      </c>
      <c r="DJ116" s="75">
        <f>Rentroll!$Y13*Index!DI21</f>
        <v>0</v>
      </c>
      <c r="DK116" s="75">
        <f>Rentroll!$Y13*Index!DJ21</f>
        <v>0</v>
      </c>
      <c r="DL116" s="75">
        <f>Rentroll!$Y13*Index!DK21</f>
        <v>0</v>
      </c>
      <c r="DM116" s="75">
        <f>Rentroll!$Y13*Index!DL21</f>
        <v>0</v>
      </c>
    </row>
    <row r="117" spans="2:117">
      <c r="B117" s="27">
        <f>Rentroll!$C$14</f>
        <v>14</v>
      </c>
      <c r="C117" s="69" t="str">
        <f>VLOOKUP($B117,Rentroll!$C$11:$X$29,3,FALSE)</f>
        <v>모빌리티 테크놀로지</v>
      </c>
      <c r="D117" s="80">
        <f>VLOOKUP($B117,Rentroll!$C$11:$X$29,9,FALSE)</f>
        <v>44043</v>
      </c>
      <c r="E117" s="80">
        <f>VLOOKUP($B117,Rentroll!$C$11:$X$29,10,FALSE)</f>
        <v>45868</v>
      </c>
      <c r="F117" s="81">
        <f>VLOOKUP($B117,Rentroll!$C$11:$X$29,11,FALSE)</f>
        <v>60</v>
      </c>
      <c r="G117" s="69">
        <f>VLOOKUP($B117,Rentroll!$C$11:$X$29,13,FALSE)</f>
        <v>90041</v>
      </c>
      <c r="H117" s="69">
        <f>VLOOKUP($B117,Rentroll!$C$11:$X$29,14,FALSE)</f>
        <v>67530.75</v>
      </c>
      <c r="I117" s="69">
        <f>VLOOKUP($B117,Rentroll!$C$11:$X$29,15,FALSE)</f>
        <v>45020</v>
      </c>
      <c r="J117" s="82">
        <f>VLOOKUP($B117,Rentroll!$C$11:$X$29,19,FALSE)</f>
        <v>0.03</v>
      </c>
      <c r="K117" s="83">
        <f>VLOOKUP($B117,Rentroll!$C$11:$X$29,4,FALSE)</f>
        <v>1385.09</v>
      </c>
      <c r="L117" s="81">
        <f>VLOOKUP($B117,Rentroll!$C$11:$X$29,17,FALSE)</f>
        <v>0</v>
      </c>
      <c r="M117" s="84">
        <f>VLOOKUP($B117,Rentroll!$C$11:$X$29,18,FALSE)</f>
        <v>3</v>
      </c>
      <c r="O117" s="74">
        <f t="shared" si="228"/>
        <v>14</v>
      </c>
      <c r="P117" s="75"/>
      <c r="Q117" s="75"/>
      <c r="R117" s="75"/>
      <c r="S117" s="75">
        <f>Rentroll!$Y14*Index!R22</f>
        <v>0</v>
      </c>
      <c r="T117" s="75">
        <f>Rentroll!$Y14*Index!S22</f>
        <v>335.19177999999999</v>
      </c>
      <c r="U117" s="75">
        <f>Rentroll!$Y14*Index!T22</f>
        <v>335.19177999999999</v>
      </c>
      <c r="V117" s="75">
        <f>Rentroll!$Y14*Index!U22</f>
        <v>335.19177999999999</v>
      </c>
      <c r="W117" s="75">
        <f>Rentroll!$Y14*Index!V22</f>
        <v>335.19177999999999</v>
      </c>
      <c r="X117" s="75">
        <f>Rentroll!$Y14*Index!W22</f>
        <v>335.19177999999999</v>
      </c>
      <c r="Y117" s="75">
        <f>Rentroll!$Y14*Index!X22</f>
        <v>335.19177999999999</v>
      </c>
      <c r="Z117" s="75">
        <f>Rentroll!$Y14*Index!Y22</f>
        <v>0</v>
      </c>
      <c r="AA117" s="75">
        <f>Rentroll!$Y14*Index!Z22</f>
        <v>0</v>
      </c>
      <c r="AB117" s="75">
        <f>Rentroll!$Y14*Index!AA22</f>
        <v>0</v>
      </c>
      <c r="AC117" s="75">
        <f>Rentroll!$Y14*Index!AB22</f>
        <v>0</v>
      </c>
      <c r="AD117" s="75">
        <f>Rentroll!$Y14*Index!AC22</f>
        <v>0</v>
      </c>
      <c r="AE117" s="75">
        <f>Rentroll!$Y14*Index!AD22</f>
        <v>0</v>
      </c>
      <c r="AF117" s="75">
        <f>Rentroll!$Y14*Index!AE22</f>
        <v>0</v>
      </c>
      <c r="AG117" s="75">
        <f>Rentroll!$Y14*Index!AF22</f>
        <v>0</v>
      </c>
      <c r="AH117" s="75">
        <f>Rentroll!$Y14*Index!AG22</f>
        <v>0</v>
      </c>
      <c r="AI117" s="75">
        <f>Rentroll!$Y14*Index!AH22</f>
        <v>0</v>
      </c>
      <c r="AJ117" s="75">
        <f>Rentroll!$Y14*Index!AI22</f>
        <v>0</v>
      </c>
      <c r="AK117" s="75">
        <f>Rentroll!$Y14*Index!AJ22</f>
        <v>0</v>
      </c>
      <c r="AL117" s="75">
        <f>Rentroll!$Y14*Index!AK22</f>
        <v>0</v>
      </c>
      <c r="AM117" s="75">
        <f>Rentroll!$Y14*Index!AL22</f>
        <v>0</v>
      </c>
      <c r="AN117" s="75">
        <f>Rentroll!$Y14*Index!AM22</f>
        <v>0</v>
      </c>
      <c r="AO117" s="75">
        <f>Rentroll!$Y14*Index!AN22</f>
        <v>0</v>
      </c>
      <c r="AP117" s="75">
        <f>Rentroll!$Y14*Index!AO22</f>
        <v>0</v>
      </c>
      <c r="AQ117" s="75">
        <f>Rentroll!$Y14*Index!AP22</f>
        <v>0</v>
      </c>
      <c r="AR117" s="75">
        <f>Rentroll!$Y14*Index!AQ22</f>
        <v>0</v>
      </c>
      <c r="AS117" s="75">
        <f>Rentroll!$Y14*Index!AR22</f>
        <v>0</v>
      </c>
      <c r="AT117" s="75">
        <f>Rentroll!$Y14*Index!AS22</f>
        <v>0</v>
      </c>
      <c r="AU117" s="75">
        <f>Rentroll!$Y14*Index!AT22</f>
        <v>0</v>
      </c>
      <c r="AV117" s="75">
        <f>Rentroll!$Y14*Index!AU22</f>
        <v>0</v>
      </c>
      <c r="AW117" s="75">
        <f>Rentroll!$Y14*Index!AV22</f>
        <v>0</v>
      </c>
      <c r="AX117" s="75">
        <f>Rentroll!$Y14*Index!AW22</f>
        <v>0</v>
      </c>
      <c r="AY117" s="75">
        <f>Rentroll!$Y14*Index!AX22</f>
        <v>0</v>
      </c>
      <c r="AZ117" s="75">
        <f>Rentroll!$Y14*Index!AY22</f>
        <v>0</v>
      </c>
      <c r="BA117" s="75">
        <f>Rentroll!$Y14*Index!AZ22</f>
        <v>0</v>
      </c>
      <c r="BB117" s="75">
        <f>Rentroll!$Y14*Index!BA22</f>
        <v>0</v>
      </c>
      <c r="BC117" s="75">
        <f>Rentroll!$Y14*Index!BB22</f>
        <v>0</v>
      </c>
      <c r="BD117" s="75">
        <f>Rentroll!$Y14*Index!BC22</f>
        <v>0</v>
      </c>
      <c r="BE117" s="75">
        <f>Rentroll!$Y14*Index!BD22</f>
        <v>0</v>
      </c>
      <c r="BF117" s="75">
        <f>Rentroll!$Y14*Index!BE22</f>
        <v>0</v>
      </c>
      <c r="BG117" s="75">
        <f>Rentroll!$Y14*Index!BF22</f>
        <v>0</v>
      </c>
      <c r="BH117" s="75">
        <f>Rentroll!$Y14*Index!BG22</f>
        <v>0</v>
      </c>
      <c r="BI117" s="75">
        <f>Rentroll!$Y14*Index!BH22</f>
        <v>0</v>
      </c>
      <c r="BJ117" s="75">
        <f>Rentroll!$Y14*Index!BI22</f>
        <v>0</v>
      </c>
      <c r="BK117" s="75">
        <f>Rentroll!$Y14*Index!BJ22</f>
        <v>0</v>
      </c>
      <c r="BL117" s="75">
        <f>Rentroll!$Y14*Index!BK22</f>
        <v>0</v>
      </c>
      <c r="BM117" s="75">
        <f>Rentroll!$Y14*Index!BL22</f>
        <v>0</v>
      </c>
      <c r="BN117" s="75">
        <f>Rentroll!$Y14*Index!BM22</f>
        <v>0</v>
      </c>
      <c r="BO117" s="75">
        <f>Rentroll!$Y14*Index!BN22</f>
        <v>0</v>
      </c>
      <c r="BP117" s="75">
        <f>Rentroll!$Y14*Index!BO22</f>
        <v>0</v>
      </c>
      <c r="BQ117" s="75">
        <f>Rentroll!$Y14*Index!BP22</f>
        <v>0</v>
      </c>
      <c r="BR117" s="75">
        <f>Rentroll!$Y14*Index!BQ22</f>
        <v>0</v>
      </c>
      <c r="BS117" s="75">
        <f>Rentroll!$Y14*Index!BR22</f>
        <v>0</v>
      </c>
      <c r="BT117" s="75">
        <f>Rentroll!$Y14*Index!BS22</f>
        <v>0</v>
      </c>
      <c r="BU117" s="75">
        <f>Rentroll!$Y14*Index!BT22</f>
        <v>0</v>
      </c>
      <c r="BV117" s="75">
        <f>Rentroll!$Y14*Index!BU22</f>
        <v>0</v>
      </c>
      <c r="BW117" s="75">
        <f>Rentroll!$Y14*Index!BV22</f>
        <v>0</v>
      </c>
      <c r="BX117" s="75">
        <f>Rentroll!$Y14*Index!BW22</f>
        <v>0</v>
      </c>
      <c r="BY117" s="75">
        <f>Rentroll!$Y14*Index!BX22</f>
        <v>0</v>
      </c>
      <c r="BZ117" s="75">
        <f>Rentroll!$Y14*Index!BY22</f>
        <v>0</v>
      </c>
      <c r="CA117" s="75">
        <f>Rentroll!$Y14*Index!BZ22</f>
        <v>0</v>
      </c>
      <c r="CB117" s="75">
        <f>Rentroll!$Y14*Index!CA22</f>
        <v>0</v>
      </c>
      <c r="CC117" s="75">
        <f>Rentroll!$Y14*Index!CB22</f>
        <v>0</v>
      </c>
      <c r="CD117" s="75">
        <f>Rentroll!$Y14*Index!CC22</f>
        <v>0</v>
      </c>
      <c r="CE117" s="75">
        <f>Rentroll!$Y14*Index!CD22</f>
        <v>0</v>
      </c>
      <c r="CF117" s="75">
        <f>Rentroll!$Y14*Index!CE22</f>
        <v>0</v>
      </c>
      <c r="CG117" s="75">
        <f>Rentroll!$Y14*Index!CF22</f>
        <v>0</v>
      </c>
      <c r="CH117" s="75">
        <f>Rentroll!$Y14*Index!CG22</f>
        <v>0</v>
      </c>
      <c r="CI117" s="75">
        <f>Rentroll!$Y14*Index!CH22</f>
        <v>0</v>
      </c>
      <c r="CJ117" s="75">
        <f>Rentroll!$Y14*Index!CI22</f>
        <v>0</v>
      </c>
      <c r="CK117" s="75">
        <f>Rentroll!$Y14*Index!CJ22</f>
        <v>0</v>
      </c>
      <c r="CL117" s="75">
        <f>Rentroll!$Y14*Index!CK22</f>
        <v>0</v>
      </c>
      <c r="CM117" s="75">
        <f>Rentroll!$Y14*Index!CL22</f>
        <v>0</v>
      </c>
      <c r="CN117" s="75">
        <f>Rentroll!$Y14*Index!CM22</f>
        <v>0</v>
      </c>
      <c r="CO117" s="75">
        <f>Rentroll!$Y14*Index!CN22</f>
        <v>0</v>
      </c>
      <c r="CP117" s="75">
        <f>Rentroll!$Y14*Index!CO22</f>
        <v>0</v>
      </c>
      <c r="CQ117" s="75">
        <f>Rentroll!$Y14*Index!CP22</f>
        <v>0</v>
      </c>
      <c r="CR117" s="75">
        <f>Rentroll!$Y14*Index!CQ22</f>
        <v>0</v>
      </c>
      <c r="CS117" s="75">
        <f>Rentroll!$Y14*Index!CR22</f>
        <v>0</v>
      </c>
      <c r="CT117" s="75">
        <f>Rentroll!$Y14*Index!CS22</f>
        <v>0</v>
      </c>
      <c r="CU117" s="75">
        <f>Rentroll!$Y14*Index!CT22</f>
        <v>0</v>
      </c>
      <c r="CV117" s="75">
        <f>Rentroll!$Y14*Index!CU22</f>
        <v>0</v>
      </c>
      <c r="CW117" s="75">
        <f>Rentroll!$Y14*Index!CV22</f>
        <v>0</v>
      </c>
      <c r="CX117" s="75">
        <f>Rentroll!$Y14*Index!CW22</f>
        <v>0</v>
      </c>
      <c r="CY117" s="75">
        <f>Rentroll!$Y14*Index!CX22</f>
        <v>0</v>
      </c>
      <c r="CZ117" s="75">
        <f>Rentroll!$Y14*Index!CY22</f>
        <v>0</v>
      </c>
      <c r="DA117" s="75">
        <f>Rentroll!$Y14*Index!CZ22</f>
        <v>0</v>
      </c>
      <c r="DB117" s="75">
        <f>Rentroll!$Y14*Index!DA22</f>
        <v>0</v>
      </c>
      <c r="DC117" s="75">
        <f>Rentroll!$Y14*Index!DB22</f>
        <v>0</v>
      </c>
      <c r="DD117" s="75">
        <f>Rentroll!$Y14*Index!DC22</f>
        <v>0</v>
      </c>
      <c r="DE117" s="75">
        <f>Rentroll!$Y14*Index!DD22</f>
        <v>0</v>
      </c>
      <c r="DF117" s="75">
        <f>Rentroll!$Y14*Index!DE22</f>
        <v>0</v>
      </c>
      <c r="DG117" s="75">
        <f>Rentroll!$Y14*Index!DF22</f>
        <v>0</v>
      </c>
      <c r="DH117" s="75">
        <f>Rentroll!$Y14*Index!DG22</f>
        <v>0</v>
      </c>
      <c r="DI117" s="75">
        <f>Rentroll!$Y14*Index!DH22</f>
        <v>0</v>
      </c>
      <c r="DJ117" s="75">
        <f>Rentroll!$Y14*Index!DI22</f>
        <v>0</v>
      </c>
      <c r="DK117" s="75">
        <f>Rentroll!$Y14*Index!DJ22</f>
        <v>0</v>
      </c>
      <c r="DL117" s="75">
        <f>Rentroll!$Y14*Index!DK22</f>
        <v>0</v>
      </c>
      <c r="DM117" s="75">
        <f>Rentroll!$Y14*Index!DL22</f>
        <v>0</v>
      </c>
    </row>
    <row r="118" spans="2:117" ht="17">
      <c r="B118" s="27">
        <f>Rentroll!$C$15</f>
        <v>13</v>
      </c>
      <c r="C118" s="69" t="str">
        <f>VLOOKUP($B118,Rentroll!$C$11:$X$29,3,FALSE)</f>
        <v>모빌리티 테크놀로지</v>
      </c>
      <c r="D118" s="80">
        <f>VLOOKUP($B118,Rentroll!$C$11:$X$29,9,FALSE)</f>
        <v>44043</v>
      </c>
      <c r="E118" s="80">
        <f>VLOOKUP($B118,Rentroll!$C$11:$X$29,10,FALSE)</f>
        <v>45868</v>
      </c>
      <c r="F118" s="85">
        <f>VLOOKUP($B118,Rentroll!$C$11:$X$29,11,FALSE)</f>
        <v>60</v>
      </c>
      <c r="G118" s="86">
        <f>VLOOKUP($B118,Rentroll!$C$11:$X$29,13,FALSE)</f>
        <v>90041</v>
      </c>
      <c r="H118" s="69">
        <f>VLOOKUP($B118,Rentroll!$C$11:$X$29,14,FALSE)</f>
        <v>67530.75</v>
      </c>
      <c r="I118" s="69">
        <f>VLOOKUP($B118,Rentroll!$C$11:$X$29,15,FALSE)</f>
        <v>45020</v>
      </c>
      <c r="J118" s="82">
        <f>VLOOKUP($B118,Rentroll!$C$11:$X$29,19,FALSE)</f>
        <v>0.03</v>
      </c>
      <c r="K118" s="83">
        <f>VLOOKUP($B118,Rentroll!$C$11:$X$29,4,FALSE)</f>
        <v>1385.09</v>
      </c>
      <c r="L118" s="81">
        <f>VLOOKUP($B118,Rentroll!$C$11:$X$29,17,FALSE)</f>
        <v>0</v>
      </c>
      <c r="M118" s="84">
        <f>VLOOKUP($B118,Rentroll!$C$11:$X$29,18,FALSE)</f>
        <v>3</v>
      </c>
      <c r="O118" s="74">
        <f t="shared" si="228"/>
        <v>13</v>
      </c>
      <c r="P118" s="75"/>
      <c r="Q118" s="75"/>
      <c r="R118" s="75"/>
      <c r="S118" s="75">
        <f>Rentroll!$Y15*Index!R23</f>
        <v>0</v>
      </c>
      <c r="T118" s="75">
        <f>Rentroll!$Y15*Index!S23</f>
        <v>335.19177999999999</v>
      </c>
      <c r="U118" s="75">
        <f>Rentroll!$Y15*Index!T23</f>
        <v>335.19177999999999</v>
      </c>
      <c r="V118" s="75">
        <f>Rentroll!$Y15*Index!U23</f>
        <v>335.19177999999999</v>
      </c>
      <c r="W118" s="75">
        <f>Rentroll!$Y15*Index!V23</f>
        <v>335.19177999999999</v>
      </c>
      <c r="X118" s="75">
        <f>Rentroll!$Y15*Index!W23</f>
        <v>335.19177999999999</v>
      </c>
      <c r="Y118" s="75">
        <f>Rentroll!$Y15*Index!X23</f>
        <v>335.19177999999999</v>
      </c>
      <c r="Z118" s="75">
        <f>Rentroll!$Y15*Index!Y23</f>
        <v>0</v>
      </c>
      <c r="AA118" s="75">
        <f>Rentroll!$Y15*Index!Z23</f>
        <v>0</v>
      </c>
      <c r="AB118" s="75">
        <f>Rentroll!$Y15*Index!AA23</f>
        <v>0</v>
      </c>
      <c r="AC118" s="75">
        <f>Rentroll!$Y15*Index!AB23</f>
        <v>0</v>
      </c>
      <c r="AD118" s="75">
        <f>Rentroll!$Y15*Index!AC23</f>
        <v>0</v>
      </c>
      <c r="AE118" s="75">
        <f>Rentroll!$Y15*Index!AD23</f>
        <v>0</v>
      </c>
      <c r="AF118" s="75">
        <f>Rentroll!$Y15*Index!AE23</f>
        <v>0</v>
      </c>
      <c r="AG118" s="75">
        <f>Rentroll!$Y15*Index!AF23</f>
        <v>0</v>
      </c>
      <c r="AH118" s="75">
        <f>Rentroll!$Y15*Index!AG23</f>
        <v>0</v>
      </c>
      <c r="AI118" s="75">
        <f>Rentroll!$Y15*Index!AH23</f>
        <v>0</v>
      </c>
      <c r="AJ118" s="75">
        <f>Rentroll!$Y15*Index!AI23</f>
        <v>0</v>
      </c>
      <c r="AK118" s="75">
        <f>Rentroll!$Y15*Index!AJ23</f>
        <v>0</v>
      </c>
      <c r="AL118" s="75">
        <f>Rentroll!$Y15*Index!AK23</f>
        <v>0</v>
      </c>
      <c r="AM118" s="75">
        <f>Rentroll!$Y15*Index!AL23</f>
        <v>0</v>
      </c>
      <c r="AN118" s="75">
        <f>Rentroll!$Y15*Index!AM23</f>
        <v>0</v>
      </c>
      <c r="AO118" s="75">
        <f>Rentroll!$Y15*Index!AN23</f>
        <v>0</v>
      </c>
      <c r="AP118" s="75">
        <f>Rentroll!$Y15*Index!AO23</f>
        <v>0</v>
      </c>
      <c r="AQ118" s="75">
        <f>Rentroll!$Y15*Index!AP23</f>
        <v>0</v>
      </c>
      <c r="AR118" s="75">
        <f>Rentroll!$Y15*Index!AQ23</f>
        <v>0</v>
      </c>
      <c r="AS118" s="75">
        <f>Rentroll!$Y15*Index!AR23</f>
        <v>0</v>
      </c>
      <c r="AT118" s="75">
        <f>Rentroll!$Y15*Index!AS23</f>
        <v>0</v>
      </c>
      <c r="AU118" s="75">
        <f>Rentroll!$Y15*Index!AT23</f>
        <v>0</v>
      </c>
      <c r="AV118" s="75">
        <f>Rentroll!$Y15*Index!AU23</f>
        <v>0</v>
      </c>
      <c r="AW118" s="75">
        <f>Rentroll!$Y15*Index!AV23</f>
        <v>0</v>
      </c>
      <c r="AX118" s="75">
        <f>Rentroll!$Y15*Index!AW23</f>
        <v>0</v>
      </c>
      <c r="AY118" s="75">
        <f>Rentroll!$Y15*Index!AX23</f>
        <v>0</v>
      </c>
      <c r="AZ118" s="75">
        <f>Rentroll!$Y15*Index!AY23</f>
        <v>0</v>
      </c>
      <c r="BA118" s="75">
        <f>Rentroll!$Y15*Index!AZ23</f>
        <v>0</v>
      </c>
      <c r="BB118" s="75">
        <f>Rentroll!$Y15*Index!BA23</f>
        <v>0</v>
      </c>
      <c r="BC118" s="75">
        <f>Rentroll!$Y15*Index!BB23</f>
        <v>0</v>
      </c>
      <c r="BD118" s="75">
        <f>Rentroll!$Y15*Index!BC23</f>
        <v>0</v>
      </c>
      <c r="BE118" s="75">
        <f>Rentroll!$Y15*Index!BD23</f>
        <v>0</v>
      </c>
      <c r="BF118" s="75">
        <f>Rentroll!$Y15*Index!BE23</f>
        <v>0</v>
      </c>
      <c r="BG118" s="75">
        <f>Rentroll!$Y15*Index!BF23</f>
        <v>0</v>
      </c>
      <c r="BH118" s="75">
        <f>Rentroll!$Y15*Index!BG23</f>
        <v>0</v>
      </c>
      <c r="BI118" s="75">
        <f>Rentroll!$Y15*Index!BH23</f>
        <v>0</v>
      </c>
      <c r="BJ118" s="75">
        <f>Rentroll!$Y15*Index!BI23</f>
        <v>0</v>
      </c>
      <c r="BK118" s="75">
        <f>Rentroll!$Y15*Index!BJ23</f>
        <v>0</v>
      </c>
      <c r="BL118" s="75">
        <f>Rentroll!$Y15*Index!BK23</f>
        <v>0</v>
      </c>
      <c r="BM118" s="75">
        <f>Rentroll!$Y15*Index!BL23</f>
        <v>0</v>
      </c>
      <c r="BN118" s="75">
        <f>Rentroll!$Y15*Index!BM23</f>
        <v>0</v>
      </c>
      <c r="BO118" s="75">
        <f>Rentroll!$Y15*Index!BN23</f>
        <v>0</v>
      </c>
      <c r="BP118" s="75">
        <f>Rentroll!$Y15*Index!BO23</f>
        <v>0</v>
      </c>
      <c r="BQ118" s="75">
        <f>Rentroll!$Y15*Index!BP23</f>
        <v>0</v>
      </c>
      <c r="BR118" s="75">
        <f>Rentroll!$Y15*Index!BQ23</f>
        <v>0</v>
      </c>
      <c r="BS118" s="75">
        <f>Rentroll!$Y15*Index!BR23</f>
        <v>0</v>
      </c>
      <c r="BT118" s="75">
        <f>Rentroll!$Y15*Index!BS23</f>
        <v>0</v>
      </c>
      <c r="BU118" s="75">
        <f>Rentroll!$Y15*Index!BT23</f>
        <v>0</v>
      </c>
      <c r="BV118" s="75">
        <f>Rentroll!$Y15*Index!BU23</f>
        <v>0</v>
      </c>
      <c r="BW118" s="75">
        <f>Rentroll!$Y15*Index!BV23</f>
        <v>0</v>
      </c>
      <c r="BX118" s="75">
        <f>Rentroll!$Y15*Index!BW23</f>
        <v>0</v>
      </c>
      <c r="BY118" s="75">
        <f>Rentroll!$Y15*Index!BX23</f>
        <v>0</v>
      </c>
      <c r="BZ118" s="75">
        <f>Rentroll!$Y15*Index!BY23</f>
        <v>0</v>
      </c>
      <c r="CA118" s="75">
        <f>Rentroll!$Y15*Index!BZ23</f>
        <v>0</v>
      </c>
      <c r="CB118" s="75">
        <f>Rentroll!$Y15*Index!CA23</f>
        <v>0</v>
      </c>
      <c r="CC118" s="75">
        <f>Rentroll!$Y15*Index!CB23</f>
        <v>0</v>
      </c>
      <c r="CD118" s="75">
        <f>Rentroll!$Y15*Index!CC23</f>
        <v>0</v>
      </c>
      <c r="CE118" s="75">
        <f>Rentroll!$Y15*Index!CD23</f>
        <v>0</v>
      </c>
      <c r="CF118" s="75">
        <f>Rentroll!$Y15*Index!CE23</f>
        <v>0</v>
      </c>
      <c r="CG118" s="75">
        <f>Rentroll!$Y15*Index!CF23</f>
        <v>0</v>
      </c>
      <c r="CH118" s="75">
        <f>Rentroll!$Y15*Index!CG23</f>
        <v>0</v>
      </c>
      <c r="CI118" s="75">
        <f>Rentroll!$Y15*Index!CH23</f>
        <v>0</v>
      </c>
      <c r="CJ118" s="75">
        <f>Rentroll!$Y15*Index!CI23</f>
        <v>0</v>
      </c>
      <c r="CK118" s="75">
        <f>Rentroll!$Y15*Index!CJ23</f>
        <v>0</v>
      </c>
      <c r="CL118" s="75">
        <f>Rentroll!$Y15*Index!CK23</f>
        <v>0</v>
      </c>
      <c r="CM118" s="75">
        <f>Rentroll!$Y15*Index!CL23</f>
        <v>0</v>
      </c>
      <c r="CN118" s="75">
        <f>Rentroll!$Y15*Index!CM23</f>
        <v>0</v>
      </c>
      <c r="CO118" s="75">
        <f>Rentroll!$Y15*Index!CN23</f>
        <v>0</v>
      </c>
      <c r="CP118" s="75">
        <f>Rentroll!$Y15*Index!CO23</f>
        <v>0</v>
      </c>
      <c r="CQ118" s="75">
        <f>Rentroll!$Y15*Index!CP23</f>
        <v>0</v>
      </c>
      <c r="CR118" s="75">
        <f>Rentroll!$Y15*Index!CQ23</f>
        <v>0</v>
      </c>
      <c r="CS118" s="75">
        <f>Rentroll!$Y15*Index!CR23</f>
        <v>0</v>
      </c>
      <c r="CT118" s="75">
        <f>Rentroll!$Y15*Index!CS23</f>
        <v>0</v>
      </c>
      <c r="CU118" s="75">
        <f>Rentroll!$Y15*Index!CT23</f>
        <v>0</v>
      </c>
      <c r="CV118" s="75">
        <f>Rentroll!$Y15*Index!CU23</f>
        <v>0</v>
      </c>
      <c r="CW118" s="75">
        <f>Rentroll!$Y15*Index!CV23</f>
        <v>0</v>
      </c>
      <c r="CX118" s="75">
        <f>Rentroll!$Y15*Index!CW23</f>
        <v>0</v>
      </c>
      <c r="CY118" s="75">
        <f>Rentroll!$Y15*Index!CX23</f>
        <v>0</v>
      </c>
      <c r="CZ118" s="75">
        <f>Rentroll!$Y15*Index!CY23</f>
        <v>0</v>
      </c>
      <c r="DA118" s="75">
        <f>Rentroll!$Y15*Index!CZ23</f>
        <v>0</v>
      </c>
      <c r="DB118" s="75">
        <f>Rentroll!$Y15*Index!DA23</f>
        <v>0</v>
      </c>
      <c r="DC118" s="75">
        <f>Rentroll!$Y15*Index!DB23</f>
        <v>0</v>
      </c>
      <c r="DD118" s="75">
        <f>Rentroll!$Y15*Index!DC23</f>
        <v>0</v>
      </c>
      <c r="DE118" s="75">
        <f>Rentroll!$Y15*Index!DD23</f>
        <v>0</v>
      </c>
      <c r="DF118" s="75">
        <f>Rentroll!$Y15*Index!DE23</f>
        <v>0</v>
      </c>
      <c r="DG118" s="75">
        <f>Rentroll!$Y15*Index!DF23</f>
        <v>0</v>
      </c>
      <c r="DH118" s="75">
        <f>Rentroll!$Y15*Index!DG23</f>
        <v>0</v>
      </c>
      <c r="DI118" s="75">
        <f>Rentroll!$Y15*Index!DH23</f>
        <v>0</v>
      </c>
      <c r="DJ118" s="75">
        <f>Rentroll!$Y15*Index!DI23</f>
        <v>0</v>
      </c>
      <c r="DK118" s="75">
        <f>Rentroll!$Y15*Index!DJ23</f>
        <v>0</v>
      </c>
      <c r="DL118" s="75">
        <f>Rentroll!$Y15*Index!DK23</f>
        <v>0</v>
      </c>
      <c r="DM118" s="75">
        <f>Rentroll!$Y15*Index!DL23</f>
        <v>0</v>
      </c>
    </row>
    <row r="119" spans="2:117">
      <c r="B119" s="27">
        <f>Rentroll!$C$16</f>
        <v>12</v>
      </c>
      <c r="C119" s="69" t="str">
        <f>VLOOKUP($B119,Rentroll!$C$11:$X$29,3,FALSE)</f>
        <v>모빌리티 테크놀로지</v>
      </c>
      <c r="D119" s="80">
        <f>VLOOKUP($B119,Rentroll!$C$11:$X$29,9,FALSE)</f>
        <v>44043</v>
      </c>
      <c r="E119" s="80">
        <f>VLOOKUP($B119,Rentroll!$C$11:$X$29,10,FALSE)</f>
        <v>45868</v>
      </c>
      <c r="F119" s="81">
        <f>VLOOKUP($B119,Rentroll!$C$11:$X$29,11,FALSE)</f>
        <v>60</v>
      </c>
      <c r="G119" s="69">
        <f>VLOOKUP($B119,Rentroll!$C$11:$X$29,13,FALSE)</f>
        <v>90041</v>
      </c>
      <c r="H119" s="69">
        <f>VLOOKUP($B119,Rentroll!$C$11:$X$29,14,FALSE)</f>
        <v>67530.75</v>
      </c>
      <c r="I119" s="69">
        <f>VLOOKUP($B119,Rentroll!$C$11:$X$29,15,FALSE)</f>
        <v>45020</v>
      </c>
      <c r="J119" s="82">
        <f>VLOOKUP($B119,Rentroll!$C$11:$X$29,19,FALSE)</f>
        <v>0.03</v>
      </c>
      <c r="K119" s="83">
        <f>VLOOKUP($B119,Rentroll!$C$11:$X$29,4,FALSE)</f>
        <v>1385.09</v>
      </c>
      <c r="L119" s="81">
        <f>VLOOKUP($B119,Rentroll!$C$11:$X$29,17,FALSE)</f>
        <v>0</v>
      </c>
      <c r="M119" s="84">
        <f>VLOOKUP($B119,Rentroll!$C$11:$X$29,18,FALSE)</f>
        <v>3</v>
      </c>
      <c r="O119" s="74">
        <f t="shared" si="228"/>
        <v>12</v>
      </c>
      <c r="P119" s="75"/>
      <c r="Q119" s="75"/>
      <c r="R119" s="75"/>
      <c r="S119" s="75">
        <f>Rentroll!$Y16*Index!R24</f>
        <v>0</v>
      </c>
      <c r="T119" s="75">
        <f>Rentroll!$Y16*Index!S24</f>
        <v>335.19177999999999</v>
      </c>
      <c r="U119" s="75">
        <f>Rentroll!$Y16*Index!T24</f>
        <v>335.19177999999999</v>
      </c>
      <c r="V119" s="75">
        <f>Rentroll!$Y16*Index!U24</f>
        <v>335.19177999999999</v>
      </c>
      <c r="W119" s="75">
        <f>Rentroll!$Y16*Index!V24</f>
        <v>335.19177999999999</v>
      </c>
      <c r="X119" s="75">
        <f>Rentroll!$Y16*Index!W24</f>
        <v>335.19177999999999</v>
      </c>
      <c r="Y119" s="75">
        <f>Rentroll!$Y16*Index!X24</f>
        <v>335.19177999999999</v>
      </c>
      <c r="Z119" s="75">
        <f>Rentroll!$Y16*Index!Y24</f>
        <v>0</v>
      </c>
      <c r="AA119" s="75">
        <f>Rentroll!$Y16*Index!Z24</f>
        <v>0</v>
      </c>
      <c r="AB119" s="75">
        <f>Rentroll!$Y16*Index!AA24</f>
        <v>0</v>
      </c>
      <c r="AC119" s="75">
        <f>Rentroll!$Y16*Index!AB24</f>
        <v>0</v>
      </c>
      <c r="AD119" s="75">
        <f>Rentroll!$Y16*Index!AC24</f>
        <v>0</v>
      </c>
      <c r="AE119" s="75">
        <f>Rentroll!$Y16*Index!AD24</f>
        <v>0</v>
      </c>
      <c r="AF119" s="75">
        <f>Rentroll!$Y16*Index!AE24</f>
        <v>0</v>
      </c>
      <c r="AG119" s="75">
        <f>Rentroll!$Y16*Index!AF24</f>
        <v>0</v>
      </c>
      <c r="AH119" s="75">
        <f>Rentroll!$Y16*Index!AG24</f>
        <v>0</v>
      </c>
      <c r="AI119" s="75">
        <f>Rentroll!$Y16*Index!AH24</f>
        <v>0</v>
      </c>
      <c r="AJ119" s="75">
        <f>Rentroll!$Y16*Index!AI24</f>
        <v>0</v>
      </c>
      <c r="AK119" s="75">
        <f>Rentroll!$Y16*Index!AJ24</f>
        <v>0</v>
      </c>
      <c r="AL119" s="75">
        <f>Rentroll!$Y16*Index!AK24</f>
        <v>0</v>
      </c>
      <c r="AM119" s="75">
        <f>Rentroll!$Y16*Index!AL24</f>
        <v>0</v>
      </c>
      <c r="AN119" s="75">
        <f>Rentroll!$Y16*Index!AM24</f>
        <v>0</v>
      </c>
      <c r="AO119" s="75">
        <f>Rentroll!$Y16*Index!AN24</f>
        <v>0</v>
      </c>
      <c r="AP119" s="75">
        <f>Rentroll!$Y16*Index!AO24</f>
        <v>0</v>
      </c>
      <c r="AQ119" s="75">
        <f>Rentroll!$Y16*Index!AP24</f>
        <v>0</v>
      </c>
      <c r="AR119" s="75">
        <f>Rentroll!$Y16*Index!AQ24</f>
        <v>0</v>
      </c>
      <c r="AS119" s="75">
        <f>Rentroll!$Y16*Index!AR24</f>
        <v>0</v>
      </c>
      <c r="AT119" s="75">
        <f>Rentroll!$Y16*Index!AS24</f>
        <v>0</v>
      </c>
      <c r="AU119" s="75">
        <f>Rentroll!$Y16*Index!AT24</f>
        <v>0</v>
      </c>
      <c r="AV119" s="75">
        <f>Rentroll!$Y16*Index!AU24</f>
        <v>0</v>
      </c>
      <c r="AW119" s="75">
        <f>Rentroll!$Y16*Index!AV24</f>
        <v>0</v>
      </c>
      <c r="AX119" s="75">
        <f>Rentroll!$Y16*Index!AW24</f>
        <v>0</v>
      </c>
      <c r="AY119" s="75">
        <f>Rentroll!$Y16*Index!AX24</f>
        <v>0</v>
      </c>
      <c r="AZ119" s="75">
        <f>Rentroll!$Y16*Index!AY24</f>
        <v>0</v>
      </c>
      <c r="BA119" s="75">
        <f>Rentroll!$Y16*Index!AZ24</f>
        <v>0</v>
      </c>
      <c r="BB119" s="75">
        <f>Rentroll!$Y16*Index!BA24</f>
        <v>0</v>
      </c>
      <c r="BC119" s="75">
        <f>Rentroll!$Y16*Index!BB24</f>
        <v>0</v>
      </c>
      <c r="BD119" s="75">
        <f>Rentroll!$Y16*Index!BC24</f>
        <v>0</v>
      </c>
      <c r="BE119" s="75">
        <f>Rentroll!$Y16*Index!BD24</f>
        <v>0</v>
      </c>
      <c r="BF119" s="75">
        <f>Rentroll!$Y16*Index!BE24</f>
        <v>0</v>
      </c>
      <c r="BG119" s="75">
        <f>Rentroll!$Y16*Index!BF24</f>
        <v>0</v>
      </c>
      <c r="BH119" s="75">
        <f>Rentroll!$Y16*Index!BG24</f>
        <v>0</v>
      </c>
      <c r="BI119" s="75">
        <f>Rentroll!$Y16*Index!BH24</f>
        <v>0</v>
      </c>
      <c r="BJ119" s="75">
        <f>Rentroll!$Y16*Index!BI24</f>
        <v>0</v>
      </c>
      <c r="BK119" s="75">
        <f>Rentroll!$Y16*Index!BJ24</f>
        <v>0</v>
      </c>
      <c r="BL119" s="75">
        <f>Rentroll!$Y16*Index!BK24</f>
        <v>0</v>
      </c>
      <c r="BM119" s="75">
        <f>Rentroll!$Y16*Index!BL24</f>
        <v>0</v>
      </c>
      <c r="BN119" s="75">
        <f>Rentroll!$Y16*Index!BM24</f>
        <v>0</v>
      </c>
      <c r="BO119" s="75">
        <f>Rentroll!$Y16*Index!BN24</f>
        <v>0</v>
      </c>
      <c r="BP119" s="75">
        <f>Rentroll!$Y16*Index!BO24</f>
        <v>0</v>
      </c>
      <c r="BQ119" s="75">
        <f>Rentroll!$Y16*Index!BP24</f>
        <v>0</v>
      </c>
      <c r="BR119" s="75">
        <f>Rentroll!$Y16*Index!BQ24</f>
        <v>0</v>
      </c>
      <c r="BS119" s="75">
        <f>Rentroll!$Y16*Index!BR24</f>
        <v>0</v>
      </c>
      <c r="BT119" s="75">
        <f>Rentroll!$Y16*Index!BS24</f>
        <v>0</v>
      </c>
      <c r="BU119" s="75">
        <f>Rentroll!$Y16*Index!BT24</f>
        <v>0</v>
      </c>
      <c r="BV119" s="75">
        <f>Rentroll!$Y16*Index!BU24</f>
        <v>0</v>
      </c>
      <c r="BW119" s="75">
        <f>Rentroll!$Y16*Index!BV24</f>
        <v>0</v>
      </c>
      <c r="BX119" s="75">
        <f>Rentroll!$Y16*Index!BW24</f>
        <v>0</v>
      </c>
      <c r="BY119" s="75">
        <f>Rentroll!$Y16*Index!BX24</f>
        <v>0</v>
      </c>
      <c r="BZ119" s="75">
        <f>Rentroll!$Y16*Index!BY24</f>
        <v>0</v>
      </c>
      <c r="CA119" s="75">
        <f>Rentroll!$Y16*Index!BZ24</f>
        <v>0</v>
      </c>
      <c r="CB119" s="75">
        <f>Rentroll!$Y16*Index!CA24</f>
        <v>0</v>
      </c>
      <c r="CC119" s="75">
        <f>Rentroll!$Y16*Index!CB24</f>
        <v>0</v>
      </c>
      <c r="CD119" s="75">
        <f>Rentroll!$Y16*Index!CC24</f>
        <v>0</v>
      </c>
      <c r="CE119" s="75">
        <f>Rentroll!$Y16*Index!CD24</f>
        <v>0</v>
      </c>
      <c r="CF119" s="75">
        <f>Rentroll!$Y16*Index!CE24</f>
        <v>0</v>
      </c>
      <c r="CG119" s="75">
        <f>Rentroll!$Y16*Index!CF24</f>
        <v>0</v>
      </c>
      <c r="CH119" s="75">
        <f>Rentroll!$Y16*Index!CG24</f>
        <v>0</v>
      </c>
      <c r="CI119" s="75">
        <f>Rentroll!$Y16*Index!CH24</f>
        <v>0</v>
      </c>
      <c r="CJ119" s="75">
        <f>Rentroll!$Y16*Index!CI24</f>
        <v>0</v>
      </c>
      <c r="CK119" s="75">
        <f>Rentroll!$Y16*Index!CJ24</f>
        <v>0</v>
      </c>
      <c r="CL119" s="75">
        <f>Rentroll!$Y16*Index!CK24</f>
        <v>0</v>
      </c>
      <c r="CM119" s="75">
        <f>Rentroll!$Y16*Index!CL24</f>
        <v>0</v>
      </c>
      <c r="CN119" s="75">
        <f>Rentroll!$Y16*Index!CM24</f>
        <v>0</v>
      </c>
      <c r="CO119" s="75">
        <f>Rentroll!$Y16*Index!CN24</f>
        <v>0</v>
      </c>
      <c r="CP119" s="75">
        <f>Rentroll!$Y16*Index!CO24</f>
        <v>0</v>
      </c>
      <c r="CQ119" s="75">
        <f>Rentroll!$Y16*Index!CP24</f>
        <v>0</v>
      </c>
      <c r="CR119" s="75">
        <f>Rentroll!$Y16*Index!CQ24</f>
        <v>0</v>
      </c>
      <c r="CS119" s="75">
        <f>Rentroll!$Y16*Index!CR24</f>
        <v>0</v>
      </c>
      <c r="CT119" s="75">
        <f>Rentroll!$Y16*Index!CS24</f>
        <v>0</v>
      </c>
      <c r="CU119" s="75">
        <f>Rentroll!$Y16*Index!CT24</f>
        <v>0</v>
      </c>
      <c r="CV119" s="75">
        <f>Rentroll!$Y16*Index!CU24</f>
        <v>0</v>
      </c>
      <c r="CW119" s="75">
        <f>Rentroll!$Y16*Index!CV24</f>
        <v>0</v>
      </c>
      <c r="CX119" s="75">
        <f>Rentroll!$Y16*Index!CW24</f>
        <v>0</v>
      </c>
      <c r="CY119" s="75">
        <f>Rentroll!$Y16*Index!CX24</f>
        <v>0</v>
      </c>
      <c r="CZ119" s="75">
        <f>Rentroll!$Y16*Index!CY24</f>
        <v>0</v>
      </c>
      <c r="DA119" s="75">
        <f>Rentroll!$Y16*Index!CZ24</f>
        <v>0</v>
      </c>
      <c r="DB119" s="75">
        <f>Rentroll!$Y16*Index!DA24</f>
        <v>0</v>
      </c>
      <c r="DC119" s="75">
        <f>Rentroll!$Y16*Index!DB24</f>
        <v>0</v>
      </c>
      <c r="DD119" s="75">
        <f>Rentroll!$Y16*Index!DC24</f>
        <v>0</v>
      </c>
      <c r="DE119" s="75">
        <f>Rentroll!$Y16*Index!DD24</f>
        <v>0</v>
      </c>
      <c r="DF119" s="75">
        <f>Rentroll!$Y16*Index!DE24</f>
        <v>0</v>
      </c>
      <c r="DG119" s="75">
        <f>Rentroll!$Y16*Index!DF24</f>
        <v>0</v>
      </c>
      <c r="DH119" s="75">
        <f>Rentroll!$Y16*Index!DG24</f>
        <v>0</v>
      </c>
      <c r="DI119" s="75">
        <f>Rentroll!$Y16*Index!DH24</f>
        <v>0</v>
      </c>
      <c r="DJ119" s="75">
        <f>Rentroll!$Y16*Index!DI24</f>
        <v>0</v>
      </c>
      <c r="DK119" s="75">
        <f>Rentroll!$Y16*Index!DJ24</f>
        <v>0</v>
      </c>
      <c r="DL119" s="75">
        <f>Rentroll!$Y16*Index!DK24</f>
        <v>0</v>
      </c>
      <c r="DM119" s="75">
        <f>Rentroll!$Y16*Index!DL24</f>
        <v>0</v>
      </c>
    </row>
    <row r="120" spans="2:117">
      <c r="B120" s="27">
        <f>Rentroll!$C$17</f>
        <v>11</v>
      </c>
      <c r="C120" s="69" t="str">
        <f>VLOOKUP($B120,Rentroll!$C$11:$X$29,3,FALSE)</f>
        <v>노벰버 건설</v>
      </c>
      <c r="D120" s="80">
        <f>VLOOKUP($B120,Rentroll!$C$11:$X$29,9,FALSE)</f>
        <v>45077</v>
      </c>
      <c r="E120" s="80">
        <f>VLOOKUP($B120,Rentroll!$C$11:$X$29,10,FALSE)</f>
        <v>46903</v>
      </c>
      <c r="F120" s="81">
        <f>VLOOKUP($B120,Rentroll!$C$11:$X$29,11,FALSE)</f>
        <v>60</v>
      </c>
      <c r="G120" s="69">
        <f>VLOOKUP($B120,Rentroll!$C$11:$X$29,13,FALSE)</f>
        <v>103000</v>
      </c>
      <c r="H120" s="69">
        <f>VLOOKUP($B120,Rentroll!$C$11:$X$29,14,FALSE)</f>
        <v>85833.333333333328</v>
      </c>
      <c r="I120" s="69">
        <f>VLOOKUP($B120,Rentroll!$C$11:$X$29,15,FALSE)</f>
        <v>46350</v>
      </c>
      <c r="J120" s="82">
        <f>VLOOKUP($B120,Rentroll!$C$11:$X$29,19,FALSE)</f>
        <v>0.03</v>
      </c>
      <c r="K120" s="83">
        <f>VLOOKUP($B120,Rentroll!$C$11:$X$29,4,FALSE)</f>
        <v>1385.09</v>
      </c>
      <c r="L120" s="81">
        <f>VLOOKUP($B120,Rentroll!$C$11:$X$29,17,FALSE)</f>
        <v>0</v>
      </c>
      <c r="M120" s="84">
        <f>VLOOKUP($B120,Rentroll!$C$11:$X$29,18,FALSE)</f>
        <v>2</v>
      </c>
      <c r="O120" s="74">
        <f t="shared" si="228"/>
        <v>11</v>
      </c>
      <c r="P120" s="75"/>
      <c r="Q120" s="75"/>
      <c r="R120" s="75"/>
      <c r="S120" s="75">
        <f>Rentroll!$Y17*Index!R25</f>
        <v>0</v>
      </c>
      <c r="T120" s="75">
        <f>Rentroll!$Y17*Index!S25</f>
        <v>418.98972499999996</v>
      </c>
      <c r="U120" s="75">
        <f>Rentroll!$Y17*Index!T25</f>
        <v>418.98972499999996</v>
      </c>
      <c r="V120" s="75">
        <f>Rentroll!$Y17*Index!U25</f>
        <v>418.98972499999996</v>
      </c>
      <c r="W120" s="75">
        <f>Rentroll!$Y17*Index!V25</f>
        <v>418.98972499999996</v>
      </c>
      <c r="X120" s="75">
        <f>Rentroll!$Y17*Index!W25</f>
        <v>418.98972499999996</v>
      </c>
      <c r="Y120" s="75">
        <f>Rentroll!$Y17*Index!X25</f>
        <v>418.98972499999996</v>
      </c>
      <c r="Z120" s="75">
        <f>Rentroll!$Y17*Index!Y25</f>
        <v>418.98972499999996</v>
      </c>
      <c r="AA120" s="75">
        <f>Rentroll!$Y17*Index!Z25</f>
        <v>418.98972499999996</v>
      </c>
      <c r="AB120" s="75">
        <f>Rentroll!$Y17*Index!AA25</f>
        <v>418.98972499999996</v>
      </c>
      <c r="AC120" s="75">
        <f>Rentroll!$Y17*Index!AB25</f>
        <v>418.98972499999996</v>
      </c>
      <c r="AD120" s="75">
        <f>Rentroll!$Y17*Index!AC25</f>
        <v>418.98972499999996</v>
      </c>
      <c r="AE120" s="75">
        <f>Rentroll!$Y17*Index!AD25</f>
        <v>418.98972499999996</v>
      </c>
      <c r="AF120" s="75">
        <f>Rentroll!$Y17*Index!AE25</f>
        <v>418.98972499999996</v>
      </c>
      <c r="AG120" s="75">
        <f>Rentroll!$Y17*Index!AF25</f>
        <v>418.98972499999996</v>
      </c>
      <c r="AH120" s="75">
        <f>Rentroll!$Y17*Index!AG25</f>
        <v>418.98972499999996</v>
      </c>
      <c r="AI120" s="75">
        <f>Rentroll!$Y17*Index!AH25</f>
        <v>418.98972499999996</v>
      </c>
      <c r="AJ120" s="75">
        <f>Rentroll!$Y17*Index!AI25</f>
        <v>418.98972499999996</v>
      </c>
      <c r="AK120" s="75">
        <f>Rentroll!$Y17*Index!AJ25</f>
        <v>418.98972499999996</v>
      </c>
      <c r="AL120" s="75">
        <f>Rentroll!$Y17*Index!AK25</f>
        <v>418.98972499999996</v>
      </c>
      <c r="AM120" s="75">
        <f>Rentroll!$Y17*Index!AL25</f>
        <v>418.98972499999996</v>
      </c>
      <c r="AN120" s="75">
        <f>Rentroll!$Y17*Index!AM25</f>
        <v>418.98972499999996</v>
      </c>
      <c r="AO120" s="75">
        <f>Rentroll!$Y17*Index!AN25</f>
        <v>418.98972499999996</v>
      </c>
      <c r="AP120" s="75">
        <f>Rentroll!$Y17*Index!AO25</f>
        <v>418.98972499999996</v>
      </c>
      <c r="AQ120" s="75">
        <f>Rentroll!$Y17*Index!AP25</f>
        <v>418.98972499999996</v>
      </c>
      <c r="AR120" s="75">
        <f>Rentroll!$Y17*Index!AQ25</f>
        <v>418.98972499999996</v>
      </c>
      <c r="AS120" s="75">
        <f>Rentroll!$Y17*Index!AR25</f>
        <v>418.98972499999996</v>
      </c>
      <c r="AT120" s="75">
        <f>Rentroll!$Y17*Index!AS25</f>
        <v>418.98972499999996</v>
      </c>
      <c r="AU120" s="75">
        <f>Rentroll!$Y17*Index!AT25</f>
        <v>418.98972499999996</v>
      </c>
      <c r="AV120" s="75">
        <f>Rentroll!$Y17*Index!AU25</f>
        <v>418.98972499999996</v>
      </c>
      <c r="AW120" s="75">
        <f>Rentroll!$Y17*Index!AV25</f>
        <v>418.98972499999996</v>
      </c>
      <c r="AX120" s="75">
        <f>Rentroll!$Y17*Index!AW25</f>
        <v>418.98972499999996</v>
      </c>
      <c r="AY120" s="75">
        <f>Rentroll!$Y17*Index!AX25</f>
        <v>418.98972499999996</v>
      </c>
      <c r="AZ120" s="75">
        <f>Rentroll!$Y17*Index!AY25</f>
        <v>418.98972499999996</v>
      </c>
      <c r="BA120" s="75">
        <f>Rentroll!$Y17*Index!AZ25</f>
        <v>418.98972499999996</v>
      </c>
      <c r="BB120" s="75">
        <f>Rentroll!$Y17*Index!BA25</f>
        <v>418.98972499999996</v>
      </c>
      <c r="BC120" s="75">
        <f>Rentroll!$Y17*Index!BB25</f>
        <v>418.98972499999996</v>
      </c>
      <c r="BD120" s="75">
        <f>Rentroll!$Y17*Index!BC25</f>
        <v>418.98972499999996</v>
      </c>
      <c r="BE120" s="75">
        <f>Rentroll!$Y17*Index!BD25</f>
        <v>418.98972499999996</v>
      </c>
      <c r="BF120" s="75">
        <f>Rentroll!$Y17*Index!BE25</f>
        <v>418.98972499999996</v>
      </c>
      <c r="BG120" s="75">
        <f>Rentroll!$Y17*Index!BF25</f>
        <v>418.98972499999996</v>
      </c>
      <c r="BH120" s="75">
        <f>Rentroll!$Y17*Index!BG25</f>
        <v>0</v>
      </c>
      <c r="BI120" s="75">
        <f>Rentroll!$Y17*Index!BH25</f>
        <v>0</v>
      </c>
      <c r="BJ120" s="75">
        <f>Rentroll!$Y17*Index!BI25</f>
        <v>0</v>
      </c>
      <c r="BK120" s="75">
        <f>Rentroll!$Y17*Index!BJ25</f>
        <v>0</v>
      </c>
      <c r="BL120" s="75">
        <f>Rentroll!$Y17*Index!BK25</f>
        <v>0</v>
      </c>
      <c r="BM120" s="75">
        <f>Rentroll!$Y17*Index!BL25</f>
        <v>0</v>
      </c>
      <c r="BN120" s="75">
        <f>Rentroll!$Y17*Index!BM25</f>
        <v>0</v>
      </c>
      <c r="BO120" s="75">
        <f>Rentroll!$Y17*Index!BN25</f>
        <v>0</v>
      </c>
      <c r="BP120" s="75">
        <f>Rentroll!$Y17*Index!BO25</f>
        <v>0</v>
      </c>
      <c r="BQ120" s="75">
        <f>Rentroll!$Y17*Index!BP25</f>
        <v>0</v>
      </c>
      <c r="BR120" s="75">
        <f>Rentroll!$Y17*Index!BQ25</f>
        <v>0</v>
      </c>
      <c r="BS120" s="75">
        <f>Rentroll!$Y17*Index!BR25</f>
        <v>0</v>
      </c>
      <c r="BT120" s="75">
        <f>Rentroll!$Y17*Index!BS25</f>
        <v>0</v>
      </c>
      <c r="BU120" s="75">
        <f>Rentroll!$Y17*Index!BT25</f>
        <v>0</v>
      </c>
      <c r="BV120" s="75">
        <f>Rentroll!$Y17*Index!BU25</f>
        <v>0</v>
      </c>
      <c r="BW120" s="75">
        <f>Rentroll!$Y17*Index!BV25</f>
        <v>0</v>
      </c>
      <c r="BX120" s="75">
        <f>Rentroll!$Y17*Index!BW25</f>
        <v>0</v>
      </c>
      <c r="BY120" s="75">
        <f>Rentroll!$Y17*Index!BX25</f>
        <v>0</v>
      </c>
      <c r="BZ120" s="75">
        <f>Rentroll!$Y17*Index!BY25</f>
        <v>0</v>
      </c>
      <c r="CA120" s="75">
        <f>Rentroll!$Y17*Index!BZ25</f>
        <v>0</v>
      </c>
      <c r="CB120" s="75">
        <f>Rentroll!$Y17*Index!CA25</f>
        <v>0</v>
      </c>
      <c r="CC120" s="75">
        <f>Rentroll!$Y17*Index!CB25</f>
        <v>0</v>
      </c>
      <c r="CD120" s="75">
        <f>Rentroll!$Y17*Index!CC25</f>
        <v>0</v>
      </c>
      <c r="CE120" s="75">
        <f>Rentroll!$Y17*Index!CD25</f>
        <v>0</v>
      </c>
      <c r="CF120" s="75">
        <f>Rentroll!$Y17*Index!CE25</f>
        <v>0</v>
      </c>
      <c r="CG120" s="75">
        <f>Rentroll!$Y17*Index!CF25</f>
        <v>0</v>
      </c>
      <c r="CH120" s="75">
        <f>Rentroll!$Y17*Index!CG25</f>
        <v>0</v>
      </c>
      <c r="CI120" s="75">
        <f>Rentroll!$Y17*Index!CH25</f>
        <v>0</v>
      </c>
      <c r="CJ120" s="75">
        <f>Rentroll!$Y17*Index!CI25</f>
        <v>0</v>
      </c>
      <c r="CK120" s="75">
        <f>Rentroll!$Y17*Index!CJ25</f>
        <v>0</v>
      </c>
      <c r="CL120" s="75">
        <f>Rentroll!$Y17*Index!CK25</f>
        <v>0</v>
      </c>
      <c r="CM120" s="75">
        <f>Rentroll!$Y17*Index!CL25</f>
        <v>0</v>
      </c>
      <c r="CN120" s="75">
        <f>Rentroll!$Y17*Index!CM25</f>
        <v>0</v>
      </c>
      <c r="CO120" s="75">
        <f>Rentroll!$Y17*Index!CN25</f>
        <v>0</v>
      </c>
      <c r="CP120" s="75">
        <f>Rentroll!$Y17*Index!CO25</f>
        <v>0</v>
      </c>
      <c r="CQ120" s="75">
        <f>Rentroll!$Y17*Index!CP25</f>
        <v>0</v>
      </c>
      <c r="CR120" s="75">
        <f>Rentroll!$Y17*Index!CQ25</f>
        <v>0</v>
      </c>
      <c r="CS120" s="75">
        <f>Rentroll!$Y17*Index!CR25</f>
        <v>0</v>
      </c>
      <c r="CT120" s="75">
        <f>Rentroll!$Y17*Index!CS25</f>
        <v>0</v>
      </c>
      <c r="CU120" s="75">
        <f>Rentroll!$Y17*Index!CT25</f>
        <v>0</v>
      </c>
      <c r="CV120" s="75">
        <f>Rentroll!$Y17*Index!CU25</f>
        <v>0</v>
      </c>
      <c r="CW120" s="75">
        <f>Rentroll!$Y17*Index!CV25</f>
        <v>0</v>
      </c>
      <c r="CX120" s="75">
        <f>Rentroll!$Y17*Index!CW25</f>
        <v>0</v>
      </c>
      <c r="CY120" s="75">
        <f>Rentroll!$Y17*Index!CX25</f>
        <v>0</v>
      </c>
      <c r="CZ120" s="75">
        <f>Rentroll!$Y17*Index!CY25</f>
        <v>0</v>
      </c>
      <c r="DA120" s="75">
        <f>Rentroll!$Y17*Index!CZ25</f>
        <v>0</v>
      </c>
      <c r="DB120" s="75">
        <f>Rentroll!$Y17*Index!DA25</f>
        <v>0</v>
      </c>
      <c r="DC120" s="75">
        <f>Rentroll!$Y17*Index!DB25</f>
        <v>0</v>
      </c>
      <c r="DD120" s="75">
        <f>Rentroll!$Y17*Index!DC25</f>
        <v>0</v>
      </c>
      <c r="DE120" s="75">
        <f>Rentroll!$Y17*Index!DD25</f>
        <v>0</v>
      </c>
      <c r="DF120" s="75">
        <f>Rentroll!$Y17*Index!DE25</f>
        <v>0</v>
      </c>
      <c r="DG120" s="75">
        <f>Rentroll!$Y17*Index!DF25</f>
        <v>0</v>
      </c>
      <c r="DH120" s="75">
        <f>Rentroll!$Y17*Index!DG25</f>
        <v>0</v>
      </c>
      <c r="DI120" s="75">
        <f>Rentroll!$Y17*Index!DH25</f>
        <v>0</v>
      </c>
      <c r="DJ120" s="75">
        <f>Rentroll!$Y17*Index!DI25</f>
        <v>0</v>
      </c>
      <c r="DK120" s="75">
        <f>Rentroll!$Y17*Index!DJ25</f>
        <v>0</v>
      </c>
      <c r="DL120" s="75">
        <f>Rentroll!$Y17*Index!DK25</f>
        <v>0</v>
      </c>
      <c r="DM120" s="75">
        <f>Rentroll!$Y17*Index!DL25</f>
        <v>0</v>
      </c>
    </row>
    <row r="121" spans="2:117">
      <c r="B121" s="27">
        <f>Rentroll!$C$18</f>
        <v>10</v>
      </c>
      <c r="C121" s="69" t="str">
        <f>VLOOKUP($B121,Rentroll!$C$11:$X$29,3,FALSE)</f>
        <v>노벰버 건설</v>
      </c>
      <c r="D121" s="80">
        <f>VLOOKUP($B121,Rentroll!$C$11:$X$29,9,FALSE)</f>
        <v>45077</v>
      </c>
      <c r="E121" s="80">
        <f>VLOOKUP($B121,Rentroll!$C$11:$X$29,10,FALSE)</f>
        <v>46903</v>
      </c>
      <c r="F121" s="81">
        <f>VLOOKUP($B121,Rentroll!$C$11:$X$29,11,FALSE)</f>
        <v>60</v>
      </c>
      <c r="G121" s="69">
        <f>VLOOKUP($B121,Rentroll!$C$11:$X$29,13,FALSE)</f>
        <v>103000</v>
      </c>
      <c r="H121" s="69">
        <f>VLOOKUP($B121,Rentroll!$C$11:$X$29,14,FALSE)</f>
        <v>85833.333333333328</v>
      </c>
      <c r="I121" s="69">
        <f>VLOOKUP($B121,Rentroll!$C$11:$X$29,15,FALSE)</f>
        <v>46350</v>
      </c>
      <c r="J121" s="82">
        <f>VLOOKUP($B121,Rentroll!$C$11:$X$29,19,FALSE)</f>
        <v>0.03</v>
      </c>
      <c r="K121" s="83">
        <f>VLOOKUP($B121,Rentroll!$C$11:$X$29,4,FALSE)</f>
        <v>1385.09</v>
      </c>
      <c r="L121" s="81">
        <f>VLOOKUP($B121,Rentroll!$C$11:$X$29,17,FALSE)</f>
        <v>0</v>
      </c>
      <c r="M121" s="84">
        <f>VLOOKUP($B121,Rentroll!$C$11:$X$29,18,FALSE)</f>
        <v>2</v>
      </c>
      <c r="O121" s="74">
        <f t="shared" si="228"/>
        <v>10</v>
      </c>
      <c r="P121" s="75"/>
      <c r="Q121" s="75"/>
      <c r="R121" s="75"/>
      <c r="S121" s="75">
        <f>Rentroll!$Y18*Index!R26</f>
        <v>0</v>
      </c>
      <c r="T121" s="75">
        <f>Rentroll!$Y18*Index!S26</f>
        <v>418.98972499999996</v>
      </c>
      <c r="U121" s="75">
        <f>Rentroll!$Y18*Index!T26</f>
        <v>418.98972499999996</v>
      </c>
      <c r="V121" s="75">
        <f>Rentroll!$Y18*Index!U26</f>
        <v>418.98972499999996</v>
      </c>
      <c r="W121" s="75">
        <f>Rentroll!$Y18*Index!V26</f>
        <v>418.98972499999996</v>
      </c>
      <c r="X121" s="75">
        <f>Rentroll!$Y18*Index!W26</f>
        <v>418.98972499999996</v>
      </c>
      <c r="Y121" s="75">
        <f>Rentroll!$Y18*Index!X26</f>
        <v>418.98972499999996</v>
      </c>
      <c r="Z121" s="75">
        <f>Rentroll!$Y18*Index!Y26</f>
        <v>418.98972499999996</v>
      </c>
      <c r="AA121" s="75">
        <f>Rentroll!$Y18*Index!Z26</f>
        <v>418.98972499999996</v>
      </c>
      <c r="AB121" s="75">
        <f>Rentroll!$Y18*Index!AA26</f>
        <v>418.98972499999996</v>
      </c>
      <c r="AC121" s="75">
        <f>Rentroll!$Y18*Index!AB26</f>
        <v>418.98972499999996</v>
      </c>
      <c r="AD121" s="75">
        <f>Rentroll!$Y18*Index!AC26</f>
        <v>418.98972499999996</v>
      </c>
      <c r="AE121" s="75">
        <f>Rentroll!$Y18*Index!AD26</f>
        <v>418.98972499999996</v>
      </c>
      <c r="AF121" s="75">
        <f>Rentroll!$Y18*Index!AE26</f>
        <v>418.98972499999996</v>
      </c>
      <c r="AG121" s="75">
        <f>Rentroll!$Y18*Index!AF26</f>
        <v>418.98972499999996</v>
      </c>
      <c r="AH121" s="75">
        <f>Rentroll!$Y18*Index!AG26</f>
        <v>418.98972499999996</v>
      </c>
      <c r="AI121" s="75">
        <f>Rentroll!$Y18*Index!AH26</f>
        <v>418.98972499999996</v>
      </c>
      <c r="AJ121" s="75">
        <f>Rentroll!$Y18*Index!AI26</f>
        <v>418.98972499999996</v>
      </c>
      <c r="AK121" s="75">
        <f>Rentroll!$Y18*Index!AJ26</f>
        <v>418.98972499999996</v>
      </c>
      <c r="AL121" s="75">
        <f>Rentroll!$Y18*Index!AK26</f>
        <v>418.98972499999996</v>
      </c>
      <c r="AM121" s="75">
        <f>Rentroll!$Y18*Index!AL26</f>
        <v>418.98972499999996</v>
      </c>
      <c r="AN121" s="75">
        <f>Rentroll!$Y18*Index!AM26</f>
        <v>418.98972499999996</v>
      </c>
      <c r="AO121" s="75">
        <f>Rentroll!$Y18*Index!AN26</f>
        <v>418.98972499999996</v>
      </c>
      <c r="AP121" s="75">
        <f>Rentroll!$Y18*Index!AO26</f>
        <v>418.98972499999996</v>
      </c>
      <c r="AQ121" s="75">
        <f>Rentroll!$Y18*Index!AP26</f>
        <v>418.98972499999996</v>
      </c>
      <c r="AR121" s="75">
        <f>Rentroll!$Y18*Index!AQ26</f>
        <v>418.98972499999996</v>
      </c>
      <c r="AS121" s="75">
        <f>Rentroll!$Y18*Index!AR26</f>
        <v>418.98972499999996</v>
      </c>
      <c r="AT121" s="75">
        <f>Rentroll!$Y18*Index!AS26</f>
        <v>418.98972499999996</v>
      </c>
      <c r="AU121" s="75">
        <f>Rentroll!$Y18*Index!AT26</f>
        <v>418.98972499999996</v>
      </c>
      <c r="AV121" s="75">
        <f>Rentroll!$Y18*Index!AU26</f>
        <v>418.98972499999996</v>
      </c>
      <c r="AW121" s="75">
        <f>Rentroll!$Y18*Index!AV26</f>
        <v>418.98972499999996</v>
      </c>
      <c r="AX121" s="75">
        <f>Rentroll!$Y18*Index!AW26</f>
        <v>418.98972499999996</v>
      </c>
      <c r="AY121" s="75">
        <f>Rentroll!$Y18*Index!AX26</f>
        <v>418.98972499999996</v>
      </c>
      <c r="AZ121" s="75">
        <f>Rentroll!$Y18*Index!AY26</f>
        <v>418.98972499999996</v>
      </c>
      <c r="BA121" s="75">
        <f>Rentroll!$Y18*Index!AZ26</f>
        <v>418.98972499999996</v>
      </c>
      <c r="BB121" s="75">
        <f>Rentroll!$Y18*Index!BA26</f>
        <v>418.98972499999996</v>
      </c>
      <c r="BC121" s="75">
        <f>Rentroll!$Y18*Index!BB26</f>
        <v>418.98972499999996</v>
      </c>
      <c r="BD121" s="75">
        <f>Rentroll!$Y18*Index!BC26</f>
        <v>418.98972499999996</v>
      </c>
      <c r="BE121" s="75">
        <f>Rentroll!$Y18*Index!BD26</f>
        <v>418.98972499999996</v>
      </c>
      <c r="BF121" s="75">
        <f>Rentroll!$Y18*Index!BE26</f>
        <v>418.98972499999996</v>
      </c>
      <c r="BG121" s="75">
        <f>Rentroll!$Y18*Index!BF26</f>
        <v>418.98972499999996</v>
      </c>
      <c r="BH121" s="75">
        <f>Rentroll!$Y18*Index!BG26</f>
        <v>0</v>
      </c>
      <c r="BI121" s="75">
        <f>Rentroll!$Y18*Index!BH26</f>
        <v>0</v>
      </c>
      <c r="BJ121" s="75">
        <f>Rentroll!$Y18*Index!BI26</f>
        <v>0</v>
      </c>
      <c r="BK121" s="75">
        <f>Rentroll!$Y18*Index!BJ26</f>
        <v>0</v>
      </c>
      <c r="BL121" s="75">
        <f>Rentroll!$Y18*Index!BK26</f>
        <v>0</v>
      </c>
      <c r="BM121" s="75">
        <f>Rentroll!$Y18*Index!BL26</f>
        <v>0</v>
      </c>
      <c r="BN121" s="75">
        <f>Rentroll!$Y18*Index!BM26</f>
        <v>0</v>
      </c>
      <c r="BO121" s="75">
        <f>Rentroll!$Y18*Index!BN26</f>
        <v>0</v>
      </c>
      <c r="BP121" s="75">
        <f>Rentroll!$Y18*Index!BO26</f>
        <v>0</v>
      </c>
      <c r="BQ121" s="75">
        <f>Rentroll!$Y18*Index!BP26</f>
        <v>0</v>
      </c>
      <c r="BR121" s="75">
        <f>Rentroll!$Y18*Index!BQ26</f>
        <v>0</v>
      </c>
      <c r="BS121" s="75">
        <f>Rentroll!$Y18*Index!BR26</f>
        <v>0</v>
      </c>
      <c r="BT121" s="75">
        <f>Rentroll!$Y18*Index!BS26</f>
        <v>0</v>
      </c>
      <c r="BU121" s="75">
        <f>Rentroll!$Y18*Index!BT26</f>
        <v>0</v>
      </c>
      <c r="BV121" s="75">
        <f>Rentroll!$Y18*Index!BU26</f>
        <v>0</v>
      </c>
      <c r="BW121" s="75">
        <f>Rentroll!$Y18*Index!BV26</f>
        <v>0</v>
      </c>
      <c r="BX121" s="75">
        <f>Rentroll!$Y18*Index!BW26</f>
        <v>0</v>
      </c>
      <c r="BY121" s="75">
        <f>Rentroll!$Y18*Index!BX26</f>
        <v>0</v>
      </c>
      <c r="BZ121" s="75">
        <f>Rentroll!$Y18*Index!BY26</f>
        <v>0</v>
      </c>
      <c r="CA121" s="75">
        <f>Rentroll!$Y18*Index!BZ26</f>
        <v>0</v>
      </c>
      <c r="CB121" s="75">
        <f>Rentroll!$Y18*Index!CA26</f>
        <v>0</v>
      </c>
      <c r="CC121" s="75">
        <f>Rentroll!$Y18*Index!CB26</f>
        <v>0</v>
      </c>
      <c r="CD121" s="75">
        <f>Rentroll!$Y18*Index!CC26</f>
        <v>0</v>
      </c>
      <c r="CE121" s="75">
        <f>Rentroll!$Y18*Index!CD26</f>
        <v>0</v>
      </c>
      <c r="CF121" s="75">
        <f>Rentroll!$Y18*Index!CE26</f>
        <v>0</v>
      </c>
      <c r="CG121" s="75">
        <f>Rentroll!$Y18*Index!CF26</f>
        <v>0</v>
      </c>
      <c r="CH121" s="75">
        <f>Rentroll!$Y18*Index!CG26</f>
        <v>0</v>
      </c>
      <c r="CI121" s="75">
        <f>Rentroll!$Y18*Index!CH26</f>
        <v>0</v>
      </c>
      <c r="CJ121" s="75">
        <f>Rentroll!$Y18*Index!CI26</f>
        <v>0</v>
      </c>
      <c r="CK121" s="75">
        <f>Rentroll!$Y18*Index!CJ26</f>
        <v>0</v>
      </c>
      <c r="CL121" s="75">
        <f>Rentroll!$Y18*Index!CK26</f>
        <v>0</v>
      </c>
      <c r="CM121" s="75">
        <f>Rentroll!$Y18*Index!CL26</f>
        <v>0</v>
      </c>
      <c r="CN121" s="75">
        <f>Rentroll!$Y18*Index!CM26</f>
        <v>0</v>
      </c>
      <c r="CO121" s="75">
        <f>Rentroll!$Y18*Index!CN26</f>
        <v>0</v>
      </c>
      <c r="CP121" s="75">
        <f>Rentroll!$Y18*Index!CO26</f>
        <v>0</v>
      </c>
      <c r="CQ121" s="75">
        <f>Rentroll!$Y18*Index!CP26</f>
        <v>0</v>
      </c>
      <c r="CR121" s="75">
        <f>Rentroll!$Y18*Index!CQ26</f>
        <v>0</v>
      </c>
      <c r="CS121" s="75">
        <f>Rentroll!$Y18*Index!CR26</f>
        <v>0</v>
      </c>
      <c r="CT121" s="75">
        <f>Rentroll!$Y18*Index!CS26</f>
        <v>0</v>
      </c>
      <c r="CU121" s="75">
        <f>Rentroll!$Y18*Index!CT26</f>
        <v>0</v>
      </c>
      <c r="CV121" s="75">
        <f>Rentroll!$Y18*Index!CU26</f>
        <v>0</v>
      </c>
      <c r="CW121" s="75">
        <f>Rentroll!$Y18*Index!CV26</f>
        <v>0</v>
      </c>
      <c r="CX121" s="75">
        <f>Rentroll!$Y18*Index!CW26</f>
        <v>0</v>
      </c>
      <c r="CY121" s="75">
        <f>Rentroll!$Y18*Index!CX26</f>
        <v>0</v>
      </c>
      <c r="CZ121" s="75">
        <f>Rentroll!$Y18*Index!CY26</f>
        <v>0</v>
      </c>
      <c r="DA121" s="75">
        <f>Rentroll!$Y18*Index!CZ26</f>
        <v>0</v>
      </c>
      <c r="DB121" s="75">
        <f>Rentroll!$Y18*Index!DA26</f>
        <v>0</v>
      </c>
      <c r="DC121" s="75">
        <f>Rentroll!$Y18*Index!DB26</f>
        <v>0</v>
      </c>
      <c r="DD121" s="75">
        <f>Rentroll!$Y18*Index!DC26</f>
        <v>0</v>
      </c>
      <c r="DE121" s="75">
        <f>Rentroll!$Y18*Index!DD26</f>
        <v>0</v>
      </c>
      <c r="DF121" s="75">
        <f>Rentroll!$Y18*Index!DE26</f>
        <v>0</v>
      </c>
      <c r="DG121" s="75">
        <f>Rentroll!$Y18*Index!DF26</f>
        <v>0</v>
      </c>
      <c r="DH121" s="75">
        <f>Rentroll!$Y18*Index!DG26</f>
        <v>0</v>
      </c>
      <c r="DI121" s="75">
        <f>Rentroll!$Y18*Index!DH26</f>
        <v>0</v>
      </c>
      <c r="DJ121" s="75">
        <f>Rentroll!$Y18*Index!DI26</f>
        <v>0</v>
      </c>
      <c r="DK121" s="75">
        <f>Rentroll!$Y18*Index!DJ26</f>
        <v>0</v>
      </c>
      <c r="DL121" s="75">
        <f>Rentroll!$Y18*Index!DK26</f>
        <v>0</v>
      </c>
      <c r="DM121" s="75">
        <f>Rentroll!$Y18*Index!DL26</f>
        <v>0</v>
      </c>
    </row>
    <row r="122" spans="2:117">
      <c r="B122" s="27">
        <f>Rentroll!$C$19</f>
        <v>9</v>
      </c>
      <c r="C122" s="69" t="str">
        <f>VLOOKUP($B122,Rentroll!$C$11:$X$29,3,FALSE)</f>
        <v>노벰버 건설</v>
      </c>
      <c r="D122" s="80">
        <f>VLOOKUP($B122,Rentroll!$C$11:$X$29,9,FALSE)</f>
        <v>45077</v>
      </c>
      <c r="E122" s="80">
        <f>VLOOKUP($B122,Rentroll!$C$11:$X$29,10,FALSE)</f>
        <v>46903</v>
      </c>
      <c r="F122" s="81">
        <f>VLOOKUP($B122,Rentroll!$C$11:$X$29,11,FALSE)</f>
        <v>60</v>
      </c>
      <c r="G122" s="69">
        <f>VLOOKUP($B122,Rentroll!$C$11:$X$29,13,FALSE)</f>
        <v>103000</v>
      </c>
      <c r="H122" s="69">
        <f>VLOOKUP($B122,Rentroll!$C$11:$X$29,14,FALSE)</f>
        <v>85833.333333333328</v>
      </c>
      <c r="I122" s="69">
        <f>VLOOKUP($B122,Rentroll!$C$11:$X$29,15,FALSE)</f>
        <v>46350</v>
      </c>
      <c r="J122" s="82">
        <f>VLOOKUP($B122,Rentroll!$C$11:$X$29,19,FALSE)</f>
        <v>0.03</v>
      </c>
      <c r="K122" s="83">
        <f>VLOOKUP($B122,Rentroll!$C$11:$X$29,4,FALSE)</f>
        <v>1385.09</v>
      </c>
      <c r="L122" s="81">
        <f>VLOOKUP($B122,Rentroll!$C$11:$X$29,17,FALSE)</f>
        <v>0</v>
      </c>
      <c r="M122" s="84">
        <f>VLOOKUP($B122,Rentroll!$C$11:$X$29,18,FALSE)</f>
        <v>2</v>
      </c>
      <c r="O122" s="74">
        <f t="shared" si="228"/>
        <v>9</v>
      </c>
      <c r="P122" s="75"/>
      <c r="Q122" s="75"/>
      <c r="R122" s="75"/>
      <c r="S122" s="75">
        <f>Rentroll!$Y19*Index!R27</f>
        <v>0</v>
      </c>
      <c r="T122" s="75">
        <f>Rentroll!$Y19*Index!S27</f>
        <v>418.98972499999996</v>
      </c>
      <c r="U122" s="75">
        <f>Rentroll!$Y19*Index!T27</f>
        <v>418.98972499999996</v>
      </c>
      <c r="V122" s="75">
        <f>Rentroll!$Y19*Index!U27</f>
        <v>418.98972499999996</v>
      </c>
      <c r="W122" s="75">
        <f>Rentroll!$Y19*Index!V27</f>
        <v>418.98972499999996</v>
      </c>
      <c r="X122" s="75">
        <f>Rentroll!$Y19*Index!W27</f>
        <v>418.98972499999996</v>
      </c>
      <c r="Y122" s="75">
        <f>Rentroll!$Y19*Index!X27</f>
        <v>418.98972499999996</v>
      </c>
      <c r="Z122" s="75">
        <f>Rentroll!$Y19*Index!Y27</f>
        <v>418.98972499999996</v>
      </c>
      <c r="AA122" s="75">
        <f>Rentroll!$Y19*Index!Z27</f>
        <v>418.98972499999996</v>
      </c>
      <c r="AB122" s="75">
        <f>Rentroll!$Y19*Index!AA27</f>
        <v>418.98972499999996</v>
      </c>
      <c r="AC122" s="75">
        <f>Rentroll!$Y19*Index!AB27</f>
        <v>418.98972499999996</v>
      </c>
      <c r="AD122" s="75">
        <f>Rentroll!$Y19*Index!AC27</f>
        <v>418.98972499999996</v>
      </c>
      <c r="AE122" s="75">
        <f>Rentroll!$Y19*Index!AD27</f>
        <v>418.98972499999996</v>
      </c>
      <c r="AF122" s="75">
        <f>Rentroll!$Y19*Index!AE27</f>
        <v>418.98972499999996</v>
      </c>
      <c r="AG122" s="75">
        <f>Rentroll!$Y19*Index!AF27</f>
        <v>418.98972499999996</v>
      </c>
      <c r="AH122" s="75">
        <f>Rentroll!$Y19*Index!AG27</f>
        <v>418.98972499999996</v>
      </c>
      <c r="AI122" s="75">
        <f>Rentroll!$Y19*Index!AH27</f>
        <v>418.98972499999996</v>
      </c>
      <c r="AJ122" s="75">
        <f>Rentroll!$Y19*Index!AI27</f>
        <v>418.98972499999996</v>
      </c>
      <c r="AK122" s="75">
        <f>Rentroll!$Y19*Index!AJ27</f>
        <v>418.98972499999996</v>
      </c>
      <c r="AL122" s="75">
        <f>Rentroll!$Y19*Index!AK27</f>
        <v>418.98972499999996</v>
      </c>
      <c r="AM122" s="75">
        <f>Rentroll!$Y19*Index!AL27</f>
        <v>418.98972499999996</v>
      </c>
      <c r="AN122" s="75">
        <f>Rentroll!$Y19*Index!AM27</f>
        <v>418.98972499999996</v>
      </c>
      <c r="AO122" s="75">
        <f>Rentroll!$Y19*Index!AN27</f>
        <v>418.98972499999996</v>
      </c>
      <c r="AP122" s="75">
        <f>Rentroll!$Y19*Index!AO27</f>
        <v>418.98972499999996</v>
      </c>
      <c r="AQ122" s="75">
        <f>Rentroll!$Y19*Index!AP27</f>
        <v>418.98972499999996</v>
      </c>
      <c r="AR122" s="75">
        <f>Rentroll!$Y19*Index!AQ27</f>
        <v>418.98972499999996</v>
      </c>
      <c r="AS122" s="75">
        <f>Rentroll!$Y19*Index!AR27</f>
        <v>418.98972499999996</v>
      </c>
      <c r="AT122" s="75">
        <f>Rentroll!$Y19*Index!AS27</f>
        <v>418.98972499999996</v>
      </c>
      <c r="AU122" s="75">
        <f>Rentroll!$Y19*Index!AT27</f>
        <v>418.98972499999996</v>
      </c>
      <c r="AV122" s="75">
        <f>Rentroll!$Y19*Index!AU27</f>
        <v>418.98972499999996</v>
      </c>
      <c r="AW122" s="75">
        <f>Rentroll!$Y19*Index!AV27</f>
        <v>418.98972499999996</v>
      </c>
      <c r="AX122" s="75">
        <f>Rentroll!$Y19*Index!AW27</f>
        <v>418.98972499999996</v>
      </c>
      <c r="AY122" s="75">
        <f>Rentroll!$Y19*Index!AX27</f>
        <v>418.98972499999996</v>
      </c>
      <c r="AZ122" s="75">
        <f>Rentroll!$Y19*Index!AY27</f>
        <v>418.98972499999996</v>
      </c>
      <c r="BA122" s="75">
        <f>Rentroll!$Y19*Index!AZ27</f>
        <v>418.98972499999996</v>
      </c>
      <c r="BB122" s="75">
        <f>Rentroll!$Y19*Index!BA27</f>
        <v>418.98972499999996</v>
      </c>
      <c r="BC122" s="75">
        <f>Rentroll!$Y19*Index!BB27</f>
        <v>418.98972499999996</v>
      </c>
      <c r="BD122" s="75">
        <f>Rentroll!$Y19*Index!BC27</f>
        <v>418.98972499999996</v>
      </c>
      <c r="BE122" s="75">
        <f>Rentroll!$Y19*Index!BD27</f>
        <v>418.98972499999996</v>
      </c>
      <c r="BF122" s="75">
        <f>Rentroll!$Y19*Index!BE27</f>
        <v>418.98972499999996</v>
      </c>
      <c r="BG122" s="75">
        <f>Rentroll!$Y19*Index!BF27</f>
        <v>418.98972499999996</v>
      </c>
      <c r="BH122" s="75">
        <f>Rentroll!$Y19*Index!BG27</f>
        <v>0</v>
      </c>
      <c r="BI122" s="75">
        <f>Rentroll!$Y19*Index!BH27</f>
        <v>0</v>
      </c>
      <c r="BJ122" s="75">
        <f>Rentroll!$Y19*Index!BI27</f>
        <v>0</v>
      </c>
      <c r="BK122" s="75">
        <f>Rentroll!$Y19*Index!BJ27</f>
        <v>0</v>
      </c>
      <c r="BL122" s="75">
        <f>Rentroll!$Y19*Index!BK27</f>
        <v>0</v>
      </c>
      <c r="BM122" s="75">
        <f>Rentroll!$Y19*Index!BL27</f>
        <v>0</v>
      </c>
      <c r="BN122" s="75">
        <f>Rentroll!$Y19*Index!BM27</f>
        <v>0</v>
      </c>
      <c r="BO122" s="75">
        <f>Rentroll!$Y19*Index!BN27</f>
        <v>0</v>
      </c>
      <c r="BP122" s="75">
        <f>Rentroll!$Y19*Index!BO27</f>
        <v>0</v>
      </c>
      <c r="BQ122" s="75">
        <f>Rentroll!$Y19*Index!BP27</f>
        <v>0</v>
      </c>
      <c r="BR122" s="75">
        <f>Rentroll!$Y19*Index!BQ27</f>
        <v>0</v>
      </c>
      <c r="BS122" s="75">
        <f>Rentroll!$Y19*Index!BR27</f>
        <v>0</v>
      </c>
      <c r="BT122" s="75">
        <f>Rentroll!$Y19*Index!BS27</f>
        <v>0</v>
      </c>
      <c r="BU122" s="75">
        <f>Rentroll!$Y19*Index!BT27</f>
        <v>0</v>
      </c>
      <c r="BV122" s="75">
        <f>Rentroll!$Y19*Index!BU27</f>
        <v>0</v>
      </c>
      <c r="BW122" s="75">
        <f>Rentroll!$Y19*Index!BV27</f>
        <v>0</v>
      </c>
      <c r="BX122" s="75">
        <f>Rentroll!$Y19*Index!BW27</f>
        <v>0</v>
      </c>
      <c r="BY122" s="75">
        <f>Rentroll!$Y19*Index!BX27</f>
        <v>0</v>
      </c>
      <c r="BZ122" s="75">
        <f>Rentroll!$Y19*Index!BY27</f>
        <v>0</v>
      </c>
      <c r="CA122" s="75">
        <f>Rentroll!$Y19*Index!BZ27</f>
        <v>0</v>
      </c>
      <c r="CB122" s="75">
        <f>Rentroll!$Y19*Index!CA27</f>
        <v>0</v>
      </c>
      <c r="CC122" s="75">
        <f>Rentroll!$Y19*Index!CB27</f>
        <v>0</v>
      </c>
      <c r="CD122" s="75">
        <f>Rentroll!$Y19*Index!CC27</f>
        <v>0</v>
      </c>
      <c r="CE122" s="75">
        <f>Rentroll!$Y19*Index!CD27</f>
        <v>0</v>
      </c>
      <c r="CF122" s="75">
        <f>Rentroll!$Y19*Index!CE27</f>
        <v>0</v>
      </c>
      <c r="CG122" s="75">
        <f>Rentroll!$Y19*Index!CF27</f>
        <v>0</v>
      </c>
      <c r="CH122" s="75">
        <f>Rentroll!$Y19*Index!CG27</f>
        <v>0</v>
      </c>
      <c r="CI122" s="75">
        <f>Rentroll!$Y19*Index!CH27</f>
        <v>0</v>
      </c>
      <c r="CJ122" s="75">
        <f>Rentroll!$Y19*Index!CI27</f>
        <v>0</v>
      </c>
      <c r="CK122" s="75">
        <f>Rentroll!$Y19*Index!CJ27</f>
        <v>0</v>
      </c>
      <c r="CL122" s="75">
        <f>Rentroll!$Y19*Index!CK27</f>
        <v>0</v>
      </c>
      <c r="CM122" s="75">
        <f>Rentroll!$Y19*Index!CL27</f>
        <v>0</v>
      </c>
      <c r="CN122" s="75">
        <f>Rentroll!$Y19*Index!CM27</f>
        <v>0</v>
      </c>
      <c r="CO122" s="75">
        <f>Rentroll!$Y19*Index!CN27</f>
        <v>0</v>
      </c>
      <c r="CP122" s="75">
        <f>Rentroll!$Y19*Index!CO27</f>
        <v>0</v>
      </c>
      <c r="CQ122" s="75">
        <f>Rentroll!$Y19*Index!CP27</f>
        <v>0</v>
      </c>
      <c r="CR122" s="75">
        <f>Rentroll!$Y19*Index!CQ27</f>
        <v>0</v>
      </c>
      <c r="CS122" s="75">
        <f>Rentroll!$Y19*Index!CR27</f>
        <v>0</v>
      </c>
      <c r="CT122" s="75">
        <f>Rentroll!$Y19*Index!CS27</f>
        <v>0</v>
      </c>
      <c r="CU122" s="75">
        <f>Rentroll!$Y19*Index!CT27</f>
        <v>0</v>
      </c>
      <c r="CV122" s="75">
        <f>Rentroll!$Y19*Index!CU27</f>
        <v>0</v>
      </c>
      <c r="CW122" s="75">
        <f>Rentroll!$Y19*Index!CV27</f>
        <v>0</v>
      </c>
      <c r="CX122" s="75">
        <f>Rentroll!$Y19*Index!CW27</f>
        <v>0</v>
      </c>
      <c r="CY122" s="75">
        <f>Rentroll!$Y19*Index!CX27</f>
        <v>0</v>
      </c>
      <c r="CZ122" s="75">
        <f>Rentroll!$Y19*Index!CY27</f>
        <v>0</v>
      </c>
      <c r="DA122" s="75">
        <f>Rentroll!$Y19*Index!CZ27</f>
        <v>0</v>
      </c>
      <c r="DB122" s="75">
        <f>Rentroll!$Y19*Index!DA27</f>
        <v>0</v>
      </c>
      <c r="DC122" s="75">
        <f>Rentroll!$Y19*Index!DB27</f>
        <v>0</v>
      </c>
      <c r="DD122" s="75">
        <f>Rentroll!$Y19*Index!DC27</f>
        <v>0</v>
      </c>
      <c r="DE122" s="75">
        <f>Rentroll!$Y19*Index!DD27</f>
        <v>0</v>
      </c>
      <c r="DF122" s="75">
        <f>Rentroll!$Y19*Index!DE27</f>
        <v>0</v>
      </c>
      <c r="DG122" s="75">
        <f>Rentroll!$Y19*Index!DF27</f>
        <v>0</v>
      </c>
      <c r="DH122" s="75">
        <f>Rentroll!$Y19*Index!DG27</f>
        <v>0</v>
      </c>
      <c r="DI122" s="75">
        <f>Rentroll!$Y19*Index!DH27</f>
        <v>0</v>
      </c>
      <c r="DJ122" s="75">
        <f>Rentroll!$Y19*Index!DI27</f>
        <v>0</v>
      </c>
      <c r="DK122" s="75">
        <f>Rentroll!$Y19*Index!DJ27</f>
        <v>0</v>
      </c>
      <c r="DL122" s="75">
        <f>Rentroll!$Y19*Index!DK27</f>
        <v>0</v>
      </c>
      <c r="DM122" s="75">
        <f>Rentroll!$Y19*Index!DL27</f>
        <v>0</v>
      </c>
    </row>
    <row r="123" spans="2:117">
      <c r="B123" s="27">
        <f>Rentroll!$C$20</f>
        <v>8</v>
      </c>
      <c r="C123" s="69" t="str">
        <f>VLOOKUP($B123,Rentroll!$C$11:$X$29,3,FALSE)</f>
        <v>오토 커머셜</v>
      </c>
      <c r="D123" s="80">
        <f>VLOOKUP($B123,Rentroll!$C$11:$X$29,9,FALSE)</f>
        <v>44651</v>
      </c>
      <c r="E123" s="80">
        <f>VLOOKUP($B123,Rentroll!$C$11:$X$29,10,FALSE)</f>
        <v>46476</v>
      </c>
      <c r="F123" s="81">
        <f>VLOOKUP($B123,Rentroll!$C$11:$X$29,11,FALSE)</f>
        <v>60</v>
      </c>
      <c r="G123" s="69">
        <f>VLOOKUP($B123,Rentroll!$C$11:$X$29,13,FALSE)</f>
        <v>95481</v>
      </c>
      <c r="H123" s="69">
        <f>VLOOKUP($B123,Rentroll!$C$11:$X$29,14,FALSE)</f>
        <v>87524.25</v>
      </c>
      <c r="I123" s="69">
        <f>VLOOKUP($B123,Rentroll!$C$11:$X$29,15,FALSE)</f>
        <v>42436</v>
      </c>
      <c r="J123" s="82">
        <f>VLOOKUP($B123,Rentroll!$C$11:$X$29,19,FALSE)</f>
        <v>0.03</v>
      </c>
      <c r="K123" s="83">
        <f>VLOOKUP($B123,Rentroll!$C$11:$X$29,4,FALSE)</f>
        <v>1385.09</v>
      </c>
      <c r="L123" s="81">
        <f>VLOOKUP($B123,Rentroll!$C$11:$X$29,17,FALSE)</f>
        <v>0</v>
      </c>
      <c r="M123" s="84">
        <f>VLOOKUP($B123,Rentroll!$C$11:$X$29,18,FALSE)</f>
        <v>1</v>
      </c>
      <c r="O123" s="74">
        <f t="shared" si="228"/>
        <v>8</v>
      </c>
      <c r="P123" s="75"/>
      <c r="Q123" s="75"/>
      <c r="R123" s="75"/>
      <c r="S123" s="75">
        <f>Rentroll!$Y20*Index!R28</f>
        <v>0</v>
      </c>
      <c r="T123" s="75">
        <f>Rentroll!$Y20*Index!S28</f>
        <v>377.09075249999995</v>
      </c>
      <c r="U123" s="75">
        <f>Rentroll!$Y20*Index!T28</f>
        <v>377.09075249999995</v>
      </c>
      <c r="V123" s="75">
        <f>Rentroll!$Y20*Index!U28</f>
        <v>377.09075249999995</v>
      </c>
      <c r="W123" s="75">
        <f>Rentroll!$Y20*Index!V28</f>
        <v>377.09075249999995</v>
      </c>
      <c r="X123" s="75">
        <f>Rentroll!$Y20*Index!W28</f>
        <v>377.09075249999995</v>
      </c>
      <c r="Y123" s="75">
        <f>Rentroll!$Y20*Index!X28</f>
        <v>377.09075249999995</v>
      </c>
      <c r="Z123" s="75">
        <f>Rentroll!$Y20*Index!Y28</f>
        <v>377.09075249999995</v>
      </c>
      <c r="AA123" s="75">
        <f>Rentroll!$Y20*Index!Z28</f>
        <v>377.09075249999995</v>
      </c>
      <c r="AB123" s="75">
        <f>Rentroll!$Y20*Index!AA28</f>
        <v>377.09075249999995</v>
      </c>
      <c r="AC123" s="75">
        <f>Rentroll!$Y20*Index!AB28</f>
        <v>377.09075249999995</v>
      </c>
      <c r="AD123" s="75">
        <f>Rentroll!$Y20*Index!AC28</f>
        <v>377.09075249999995</v>
      </c>
      <c r="AE123" s="75">
        <f>Rentroll!$Y20*Index!AD28</f>
        <v>377.09075249999995</v>
      </c>
      <c r="AF123" s="75">
        <f>Rentroll!$Y20*Index!AE28</f>
        <v>377.09075249999995</v>
      </c>
      <c r="AG123" s="75">
        <f>Rentroll!$Y20*Index!AF28</f>
        <v>377.09075249999995</v>
      </c>
      <c r="AH123" s="75">
        <f>Rentroll!$Y20*Index!AG28</f>
        <v>377.09075249999995</v>
      </c>
      <c r="AI123" s="75">
        <f>Rentroll!$Y20*Index!AH28</f>
        <v>377.09075249999995</v>
      </c>
      <c r="AJ123" s="75">
        <f>Rentroll!$Y20*Index!AI28</f>
        <v>377.09075249999995</v>
      </c>
      <c r="AK123" s="75">
        <f>Rentroll!$Y20*Index!AJ28</f>
        <v>377.09075249999995</v>
      </c>
      <c r="AL123" s="75">
        <f>Rentroll!$Y20*Index!AK28</f>
        <v>377.09075249999995</v>
      </c>
      <c r="AM123" s="75">
        <f>Rentroll!$Y20*Index!AL28</f>
        <v>377.09075249999995</v>
      </c>
      <c r="AN123" s="75">
        <f>Rentroll!$Y20*Index!AM28</f>
        <v>377.09075249999995</v>
      </c>
      <c r="AO123" s="75">
        <f>Rentroll!$Y20*Index!AN28</f>
        <v>377.09075249999995</v>
      </c>
      <c r="AP123" s="75">
        <f>Rentroll!$Y20*Index!AO28</f>
        <v>377.09075249999995</v>
      </c>
      <c r="AQ123" s="75">
        <f>Rentroll!$Y20*Index!AP28</f>
        <v>377.09075249999995</v>
      </c>
      <c r="AR123" s="75">
        <f>Rentroll!$Y20*Index!AQ28</f>
        <v>377.09075249999995</v>
      </c>
      <c r="AS123" s="75">
        <f>Rentroll!$Y20*Index!AR28</f>
        <v>377.09075249999995</v>
      </c>
      <c r="AT123" s="75">
        <f>Rentroll!$Y20*Index!AS28</f>
        <v>0</v>
      </c>
      <c r="AU123" s="75">
        <f>Rentroll!$Y20*Index!AT28</f>
        <v>0</v>
      </c>
      <c r="AV123" s="75">
        <f>Rentroll!$Y20*Index!AU28</f>
        <v>0</v>
      </c>
      <c r="AW123" s="75">
        <f>Rentroll!$Y20*Index!AV28</f>
        <v>0</v>
      </c>
      <c r="AX123" s="75">
        <f>Rentroll!$Y20*Index!AW28</f>
        <v>0</v>
      </c>
      <c r="AY123" s="75">
        <f>Rentroll!$Y20*Index!AX28</f>
        <v>0</v>
      </c>
      <c r="AZ123" s="75">
        <f>Rentroll!$Y20*Index!AY28</f>
        <v>0</v>
      </c>
      <c r="BA123" s="75">
        <f>Rentroll!$Y20*Index!AZ28</f>
        <v>0</v>
      </c>
      <c r="BB123" s="75">
        <f>Rentroll!$Y20*Index!BA28</f>
        <v>0</v>
      </c>
      <c r="BC123" s="75">
        <f>Rentroll!$Y20*Index!BB28</f>
        <v>0</v>
      </c>
      <c r="BD123" s="75">
        <f>Rentroll!$Y20*Index!BC28</f>
        <v>0</v>
      </c>
      <c r="BE123" s="75">
        <f>Rentroll!$Y20*Index!BD28</f>
        <v>0</v>
      </c>
      <c r="BF123" s="75">
        <f>Rentroll!$Y20*Index!BE28</f>
        <v>0</v>
      </c>
      <c r="BG123" s="75">
        <f>Rentroll!$Y20*Index!BF28</f>
        <v>0</v>
      </c>
      <c r="BH123" s="75">
        <f>Rentroll!$Y20*Index!BG28</f>
        <v>0</v>
      </c>
      <c r="BI123" s="75">
        <f>Rentroll!$Y20*Index!BH28</f>
        <v>0</v>
      </c>
      <c r="BJ123" s="75">
        <f>Rentroll!$Y20*Index!BI28</f>
        <v>0</v>
      </c>
      <c r="BK123" s="75">
        <f>Rentroll!$Y20*Index!BJ28</f>
        <v>0</v>
      </c>
      <c r="BL123" s="75">
        <f>Rentroll!$Y20*Index!BK28</f>
        <v>0</v>
      </c>
      <c r="BM123" s="75">
        <f>Rentroll!$Y20*Index!BL28</f>
        <v>0</v>
      </c>
      <c r="BN123" s="75">
        <f>Rentroll!$Y20*Index!BM28</f>
        <v>0</v>
      </c>
      <c r="BO123" s="75">
        <f>Rentroll!$Y20*Index!BN28</f>
        <v>0</v>
      </c>
      <c r="BP123" s="75">
        <f>Rentroll!$Y20*Index!BO28</f>
        <v>0</v>
      </c>
      <c r="BQ123" s="75">
        <f>Rentroll!$Y20*Index!BP28</f>
        <v>0</v>
      </c>
      <c r="BR123" s="75">
        <f>Rentroll!$Y20*Index!BQ28</f>
        <v>0</v>
      </c>
      <c r="BS123" s="75">
        <f>Rentroll!$Y20*Index!BR28</f>
        <v>0</v>
      </c>
      <c r="BT123" s="75">
        <f>Rentroll!$Y20*Index!BS28</f>
        <v>0</v>
      </c>
      <c r="BU123" s="75">
        <f>Rentroll!$Y20*Index!BT28</f>
        <v>0</v>
      </c>
      <c r="BV123" s="75">
        <f>Rentroll!$Y20*Index!BU28</f>
        <v>0</v>
      </c>
      <c r="BW123" s="75">
        <f>Rentroll!$Y20*Index!BV28</f>
        <v>0</v>
      </c>
      <c r="BX123" s="75">
        <f>Rentroll!$Y20*Index!BW28</f>
        <v>0</v>
      </c>
      <c r="BY123" s="75">
        <f>Rentroll!$Y20*Index!BX28</f>
        <v>0</v>
      </c>
      <c r="BZ123" s="75">
        <f>Rentroll!$Y20*Index!BY28</f>
        <v>0</v>
      </c>
      <c r="CA123" s="75">
        <f>Rentroll!$Y20*Index!BZ28</f>
        <v>0</v>
      </c>
      <c r="CB123" s="75">
        <f>Rentroll!$Y20*Index!CA28</f>
        <v>0</v>
      </c>
      <c r="CC123" s="75">
        <f>Rentroll!$Y20*Index!CB28</f>
        <v>0</v>
      </c>
      <c r="CD123" s="75">
        <f>Rentroll!$Y20*Index!CC28</f>
        <v>0</v>
      </c>
      <c r="CE123" s="75">
        <f>Rentroll!$Y20*Index!CD28</f>
        <v>0</v>
      </c>
      <c r="CF123" s="75">
        <f>Rentroll!$Y20*Index!CE28</f>
        <v>0</v>
      </c>
      <c r="CG123" s="75">
        <f>Rentroll!$Y20*Index!CF28</f>
        <v>0</v>
      </c>
      <c r="CH123" s="75">
        <f>Rentroll!$Y20*Index!CG28</f>
        <v>0</v>
      </c>
      <c r="CI123" s="75">
        <f>Rentroll!$Y20*Index!CH28</f>
        <v>0</v>
      </c>
      <c r="CJ123" s="75">
        <f>Rentroll!$Y20*Index!CI28</f>
        <v>0</v>
      </c>
      <c r="CK123" s="75">
        <f>Rentroll!$Y20*Index!CJ28</f>
        <v>0</v>
      </c>
      <c r="CL123" s="75">
        <f>Rentroll!$Y20*Index!CK28</f>
        <v>0</v>
      </c>
      <c r="CM123" s="75">
        <f>Rentroll!$Y20*Index!CL28</f>
        <v>0</v>
      </c>
      <c r="CN123" s="75">
        <f>Rentroll!$Y20*Index!CM28</f>
        <v>0</v>
      </c>
      <c r="CO123" s="75">
        <f>Rentroll!$Y20*Index!CN28</f>
        <v>0</v>
      </c>
      <c r="CP123" s="75">
        <f>Rentroll!$Y20*Index!CO28</f>
        <v>0</v>
      </c>
      <c r="CQ123" s="75">
        <f>Rentroll!$Y20*Index!CP28</f>
        <v>0</v>
      </c>
      <c r="CR123" s="75">
        <f>Rentroll!$Y20*Index!CQ28</f>
        <v>0</v>
      </c>
      <c r="CS123" s="75">
        <f>Rentroll!$Y20*Index!CR28</f>
        <v>0</v>
      </c>
      <c r="CT123" s="75">
        <f>Rentroll!$Y20*Index!CS28</f>
        <v>0</v>
      </c>
      <c r="CU123" s="75">
        <f>Rentroll!$Y20*Index!CT28</f>
        <v>0</v>
      </c>
      <c r="CV123" s="75">
        <f>Rentroll!$Y20*Index!CU28</f>
        <v>0</v>
      </c>
      <c r="CW123" s="75">
        <f>Rentroll!$Y20*Index!CV28</f>
        <v>0</v>
      </c>
      <c r="CX123" s="75">
        <f>Rentroll!$Y20*Index!CW28</f>
        <v>0</v>
      </c>
      <c r="CY123" s="75">
        <f>Rentroll!$Y20*Index!CX28</f>
        <v>0</v>
      </c>
      <c r="CZ123" s="75">
        <f>Rentroll!$Y20*Index!CY28</f>
        <v>0</v>
      </c>
      <c r="DA123" s="75">
        <f>Rentroll!$Y20*Index!CZ28</f>
        <v>0</v>
      </c>
      <c r="DB123" s="75">
        <f>Rentroll!$Y20*Index!DA28</f>
        <v>0</v>
      </c>
      <c r="DC123" s="75">
        <f>Rentroll!$Y20*Index!DB28</f>
        <v>0</v>
      </c>
      <c r="DD123" s="75">
        <f>Rentroll!$Y20*Index!DC28</f>
        <v>0</v>
      </c>
      <c r="DE123" s="75">
        <f>Rentroll!$Y20*Index!DD28</f>
        <v>0</v>
      </c>
      <c r="DF123" s="75">
        <f>Rentroll!$Y20*Index!DE28</f>
        <v>0</v>
      </c>
      <c r="DG123" s="75">
        <f>Rentroll!$Y20*Index!DF28</f>
        <v>0</v>
      </c>
      <c r="DH123" s="75">
        <f>Rentroll!$Y20*Index!DG28</f>
        <v>0</v>
      </c>
      <c r="DI123" s="75">
        <f>Rentroll!$Y20*Index!DH28</f>
        <v>0</v>
      </c>
      <c r="DJ123" s="75">
        <f>Rentroll!$Y20*Index!DI28</f>
        <v>0</v>
      </c>
      <c r="DK123" s="75">
        <f>Rentroll!$Y20*Index!DJ28</f>
        <v>0</v>
      </c>
      <c r="DL123" s="75">
        <f>Rentroll!$Y20*Index!DK28</f>
        <v>0</v>
      </c>
      <c r="DM123" s="75">
        <f>Rentroll!$Y20*Index!DL28</f>
        <v>0</v>
      </c>
    </row>
    <row r="124" spans="2:117">
      <c r="B124" s="27">
        <f>Rentroll!$C$21</f>
        <v>7</v>
      </c>
      <c r="C124" s="69" t="str">
        <f>VLOOKUP($B124,Rentroll!$C$11:$X$29,3,FALSE)</f>
        <v>오토 커머셜</v>
      </c>
      <c r="D124" s="80">
        <f>VLOOKUP($B124,Rentroll!$C$11:$X$29,9,FALSE)</f>
        <v>44651</v>
      </c>
      <c r="E124" s="80">
        <f>VLOOKUP($B124,Rentroll!$C$11:$X$29,10,FALSE)</f>
        <v>46476</v>
      </c>
      <c r="F124" s="81">
        <f>VLOOKUP($B124,Rentroll!$C$11:$X$29,11,FALSE)</f>
        <v>60</v>
      </c>
      <c r="G124" s="69">
        <f>VLOOKUP($B124,Rentroll!$C$11:$X$29,13,FALSE)</f>
        <v>95481</v>
      </c>
      <c r="H124" s="69">
        <f>VLOOKUP($B124,Rentroll!$C$11:$X$29,14,FALSE)</f>
        <v>87524.25</v>
      </c>
      <c r="I124" s="69">
        <f>VLOOKUP($B124,Rentroll!$C$11:$X$29,15,FALSE)</f>
        <v>42436</v>
      </c>
      <c r="J124" s="82">
        <f>VLOOKUP($B124,Rentroll!$C$11:$X$29,19,FALSE)</f>
        <v>0.03</v>
      </c>
      <c r="K124" s="83">
        <f>VLOOKUP($B124,Rentroll!$C$11:$X$29,4,FALSE)</f>
        <v>1385.09</v>
      </c>
      <c r="L124" s="81">
        <f>VLOOKUP($B124,Rentroll!$C$11:$X$29,17,FALSE)</f>
        <v>0</v>
      </c>
      <c r="M124" s="84">
        <f>VLOOKUP($B124,Rentroll!$C$11:$X$29,18,FALSE)</f>
        <v>1</v>
      </c>
      <c r="O124" s="74">
        <f t="shared" si="228"/>
        <v>7</v>
      </c>
      <c r="P124" s="75"/>
      <c r="Q124" s="75"/>
      <c r="R124" s="75"/>
      <c r="S124" s="75">
        <f>Rentroll!$Y21*Index!R29</f>
        <v>0</v>
      </c>
      <c r="T124" s="75">
        <f>Rentroll!$Y21*Index!S29</f>
        <v>377.09075249999995</v>
      </c>
      <c r="U124" s="75">
        <f>Rentroll!$Y21*Index!T29</f>
        <v>377.09075249999995</v>
      </c>
      <c r="V124" s="75">
        <f>Rentroll!$Y21*Index!U29</f>
        <v>377.09075249999995</v>
      </c>
      <c r="W124" s="75">
        <f>Rentroll!$Y21*Index!V29</f>
        <v>377.09075249999995</v>
      </c>
      <c r="X124" s="75">
        <f>Rentroll!$Y21*Index!W29</f>
        <v>377.09075249999995</v>
      </c>
      <c r="Y124" s="75">
        <f>Rentroll!$Y21*Index!X29</f>
        <v>377.09075249999995</v>
      </c>
      <c r="Z124" s="75">
        <f>Rentroll!$Y21*Index!Y29</f>
        <v>377.09075249999995</v>
      </c>
      <c r="AA124" s="75">
        <f>Rentroll!$Y21*Index!Z29</f>
        <v>377.09075249999995</v>
      </c>
      <c r="AB124" s="75">
        <f>Rentroll!$Y21*Index!AA29</f>
        <v>377.09075249999995</v>
      </c>
      <c r="AC124" s="75">
        <f>Rentroll!$Y21*Index!AB29</f>
        <v>377.09075249999995</v>
      </c>
      <c r="AD124" s="75">
        <f>Rentroll!$Y21*Index!AC29</f>
        <v>377.09075249999995</v>
      </c>
      <c r="AE124" s="75">
        <f>Rentroll!$Y21*Index!AD29</f>
        <v>377.09075249999995</v>
      </c>
      <c r="AF124" s="75">
        <f>Rentroll!$Y21*Index!AE29</f>
        <v>377.09075249999995</v>
      </c>
      <c r="AG124" s="75">
        <f>Rentroll!$Y21*Index!AF29</f>
        <v>377.09075249999995</v>
      </c>
      <c r="AH124" s="75">
        <f>Rentroll!$Y21*Index!AG29</f>
        <v>377.09075249999995</v>
      </c>
      <c r="AI124" s="75">
        <f>Rentroll!$Y21*Index!AH29</f>
        <v>377.09075249999995</v>
      </c>
      <c r="AJ124" s="75">
        <f>Rentroll!$Y21*Index!AI29</f>
        <v>377.09075249999995</v>
      </c>
      <c r="AK124" s="75">
        <f>Rentroll!$Y21*Index!AJ29</f>
        <v>377.09075249999995</v>
      </c>
      <c r="AL124" s="75">
        <f>Rentroll!$Y21*Index!AK29</f>
        <v>377.09075249999995</v>
      </c>
      <c r="AM124" s="75">
        <f>Rentroll!$Y21*Index!AL29</f>
        <v>377.09075249999995</v>
      </c>
      <c r="AN124" s="75">
        <f>Rentroll!$Y21*Index!AM29</f>
        <v>377.09075249999995</v>
      </c>
      <c r="AO124" s="75">
        <f>Rentroll!$Y21*Index!AN29</f>
        <v>377.09075249999995</v>
      </c>
      <c r="AP124" s="75">
        <f>Rentroll!$Y21*Index!AO29</f>
        <v>377.09075249999995</v>
      </c>
      <c r="AQ124" s="75">
        <f>Rentroll!$Y21*Index!AP29</f>
        <v>377.09075249999995</v>
      </c>
      <c r="AR124" s="75">
        <f>Rentroll!$Y21*Index!AQ29</f>
        <v>377.09075249999995</v>
      </c>
      <c r="AS124" s="75">
        <f>Rentroll!$Y21*Index!AR29</f>
        <v>377.09075249999995</v>
      </c>
      <c r="AT124" s="75">
        <f>Rentroll!$Y21*Index!AS29</f>
        <v>0</v>
      </c>
      <c r="AU124" s="75">
        <f>Rentroll!$Y21*Index!AT29</f>
        <v>0</v>
      </c>
      <c r="AV124" s="75">
        <f>Rentroll!$Y21*Index!AU29</f>
        <v>0</v>
      </c>
      <c r="AW124" s="75">
        <f>Rentroll!$Y21*Index!AV29</f>
        <v>0</v>
      </c>
      <c r="AX124" s="75">
        <f>Rentroll!$Y21*Index!AW29</f>
        <v>0</v>
      </c>
      <c r="AY124" s="75">
        <f>Rentroll!$Y21*Index!AX29</f>
        <v>0</v>
      </c>
      <c r="AZ124" s="75">
        <f>Rentroll!$Y21*Index!AY29</f>
        <v>0</v>
      </c>
      <c r="BA124" s="75">
        <f>Rentroll!$Y21*Index!AZ29</f>
        <v>0</v>
      </c>
      <c r="BB124" s="75">
        <f>Rentroll!$Y21*Index!BA29</f>
        <v>0</v>
      </c>
      <c r="BC124" s="75">
        <f>Rentroll!$Y21*Index!BB29</f>
        <v>0</v>
      </c>
      <c r="BD124" s="75">
        <f>Rentroll!$Y21*Index!BC29</f>
        <v>0</v>
      </c>
      <c r="BE124" s="75">
        <f>Rentroll!$Y21*Index!BD29</f>
        <v>0</v>
      </c>
      <c r="BF124" s="75">
        <f>Rentroll!$Y21*Index!BE29</f>
        <v>0</v>
      </c>
      <c r="BG124" s="75">
        <f>Rentroll!$Y21*Index!BF29</f>
        <v>0</v>
      </c>
      <c r="BH124" s="75">
        <f>Rentroll!$Y21*Index!BG29</f>
        <v>0</v>
      </c>
      <c r="BI124" s="75">
        <f>Rentroll!$Y21*Index!BH29</f>
        <v>0</v>
      </c>
      <c r="BJ124" s="75">
        <f>Rentroll!$Y21*Index!BI29</f>
        <v>0</v>
      </c>
      <c r="BK124" s="75">
        <f>Rentroll!$Y21*Index!BJ29</f>
        <v>0</v>
      </c>
      <c r="BL124" s="75">
        <f>Rentroll!$Y21*Index!BK29</f>
        <v>0</v>
      </c>
      <c r="BM124" s="75">
        <f>Rentroll!$Y21*Index!BL29</f>
        <v>0</v>
      </c>
      <c r="BN124" s="75">
        <f>Rentroll!$Y21*Index!BM29</f>
        <v>0</v>
      </c>
      <c r="BO124" s="75">
        <f>Rentroll!$Y21*Index!BN29</f>
        <v>0</v>
      </c>
      <c r="BP124" s="75">
        <f>Rentroll!$Y21*Index!BO29</f>
        <v>0</v>
      </c>
      <c r="BQ124" s="75">
        <f>Rentroll!$Y21*Index!BP29</f>
        <v>0</v>
      </c>
      <c r="BR124" s="75">
        <f>Rentroll!$Y21*Index!BQ29</f>
        <v>0</v>
      </c>
      <c r="BS124" s="75">
        <f>Rentroll!$Y21*Index!BR29</f>
        <v>0</v>
      </c>
      <c r="BT124" s="75">
        <f>Rentroll!$Y21*Index!BS29</f>
        <v>0</v>
      </c>
      <c r="BU124" s="75">
        <f>Rentroll!$Y21*Index!BT29</f>
        <v>0</v>
      </c>
      <c r="BV124" s="75">
        <f>Rentroll!$Y21*Index!BU29</f>
        <v>0</v>
      </c>
      <c r="BW124" s="75">
        <f>Rentroll!$Y21*Index!BV29</f>
        <v>0</v>
      </c>
      <c r="BX124" s="75">
        <f>Rentroll!$Y21*Index!BW29</f>
        <v>0</v>
      </c>
      <c r="BY124" s="75">
        <f>Rentroll!$Y21*Index!BX29</f>
        <v>0</v>
      </c>
      <c r="BZ124" s="75">
        <f>Rentroll!$Y21*Index!BY29</f>
        <v>0</v>
      </c>
      <c r="CA124" s="75">
        <f>Rentroll!$Y21*Index!BZ29</f>
        <v>0</v>
      </c>
      <c r="CB124" s="75">
        <f>Rentroll!$Y21*Index!CA29</f>
        <v>0</v>
      </c>
      <c r="CC124" s="75">
        <f>Rentroll!$Y21*Index!CB29</f>
        <v>0</v>
      </c>
      <c r="CD124" s="75">
        <f>Rentroll!$Y21*Index!CC29</f>
        <v>0</v>
      </c>
      <c r="CE124" s="75">
        <f>Rentroll!$Y21*Index!CD29</f>
        <v>0</v>
      </c>
      <c r="CF124" s="75">
        <f>Rentroll!$Y21*Index!CE29</f>
        <v>0</v>
      </c>
      <c r="CG124" s="75">
        <f>Rentroll!$Y21*Index!CF29</f>
        <v>0</v>
      </c>
      <c r="CH124" s="75">
        <f>Rentroll!$Y21*Index!CG29</f>
        <v>0</v>
      </c>
      <c r="CI124" s="75">
        <f>Rentroll!$Y21*Index!CH29</f>
        <v>0</v>
      </c>
      <c r="CJ124" s="75">
        <f>Rentroll!$Y21*Index!CI29</f>
        <v>0</v>
      </c>
      <c r="CK124" s="75">
        <f>Rentroll!$Y21*Index!CJ29</f>
        <v>0</v>
      </c>
      <c r="CL124" s="75">
        <f>Rentroll!$Y21*Index!CK29</f>
        <v>0</v>
      </c>
      <c r="CM124" s="75">
        <f>Rentroll!$Y21*Index!CL29</f>
        <v>0</v>
      </c>
      <c r="CN124" s="75">
        <f>Rentroll!$Y21*Index!CM29</f>
        <v>0</v>
      </c>
      <c r="CO124" s="75">
        <f>Rentroll!$Y21*Index!CN29</f>
        <v>0</v>
      </c>
      <c r="CP124" s="75">
        <f>Rentroll!$Y21*Index!CO29</f>
        <v>0</v>
      </c>
      <c r="CQ124" s="75">
        <f>Rentroll!$Y21*Index!CP29</f>
        <v>0</v>
      </c>
      <c r="CR124" s="75">
        <f>Rentroll!$Y21*Index!CQ29</f>
        <v>0</v>
      </c>
      <c r="CS124" s="75">
        <f>Rentroll!$Y21*Index!CR29</f>
        <v>0</v>
      </c>
      <c r="CT124" s="75">
        <f>Rentroll!$Y21*Index!CS29</f>
        <v>0</v>
      </c>
      <c r="CU124" s="75">
        <f>Rentroll!$Y21*Index!CT29</f>
        <v>0</v>
      </c>
      <c r="CV124" s="75">
        <f>Rentroll!$Y21*Index!CU29</f>
        <v>0</v>
      </c>
      <c r="CW124" s="75">
        <f>Rentroll!$Y21*Index!CV29</f>
        <v>0</v>
      </c>
      <c r="CX124" s="75">
        <f>Rentroll!$Y21*Index!CW29</f>
        <v>0</v>
      </c>
      <c r="CY124" s="75">
        <f>Rentroll!$Y21*Index!CX29</f>
        <v>0</v>
      </c>
      <c r="CZ124" s="75">
        <f>Rentroll!$Y21*Index!CY29</f>
        <v>0</v>
      </c>
      <c r="DA124" s="75">
        <f>Rentroll!$Y21*Index!CZ29</f>
        <v>0</v>
      </c>
      <c r="DB124" s="75">
        <f>Rentroll!$Y21*Index!DA29</f>
        <v>0</v>
      </c>
      <c r="DC124" s="75">
        <f>Rentroll!$Y21*Index!DB29</f>
        <v>0</v>
      </c>
      <c r="DD124" s="75">
        <f>Rentroll!$Y21*Index!DC29</f>
        <v>0</v>
      </c>
      <c r="DE124" s="75">
        <f>Rentroll!$Y21*Index!DD29</f>
        <v>0</v>
      </c>
      <c r="DF124" s="75">
        <f>Rentroll!$Y21*Index!DE29</f>
        <v>0</v>
      </c>
      <c r="DG124" s="75">
        <f>Rentroll!$Y21*Index!DF29</f>
        <v>0</v>
      </c>
      <c r="DH124" s="75">
        <f>Rentroll!$Y21*Index!DG29</f>
        <v>0</v>
      </c>
      <c r="DI124" s="75">
        <f>Rentroll!$Y21*Index!DH29</f>
        <v>0</v>
      </c>
      <c r="DJ124" s="75">
        <f>Rentroll!$Y21*Index!DI29</f>
        <v>0</v>
      </c>
      <c r="DK124" s="75">
        <f>Rentroll!$Y21*Index!DJ29</f>
        <v>0</v>
      </c>
      <c r="DL124" s="75">
        <f>Rentroll!$Y21*Index!DK29</f>
        <v>0</v>
      </c>
      <c r="DM124" s="75">
        <f>Rentroll!$Y21*Index!DL29</f>
        <v>0</v>
      </c>
    </row>
    <row r="125" spans="2:117">
      <c r="B125" s="27">
        <f>Rentroll!$C$22</f>
        <v>6</v>
      </c>
      <c r="C125" s="69" t="str">
        <f>VLOOKUP($B125,Rentroll!$C$11:$X$29,3,FALSE)</f>
        <v>오토 커머셜</v>
      </c>
      <c r="D125" s="80">
        <f>VLOOKUP($B125,Rentroll!$C$11:$X$29,9,FALSE)</f>
        <v>44651</v>
      </c>
      <c r="E125" s="80">
        <f>VLOOKUP($B125,Rentroll!$C$11:$X$29,10,FALSE)</f>
        <v>46476</v>
      </c>
      <c r="F125" s="81">
        <f>VLOOKUP($B125,Rentroll!$C$11:$X$29,11,FALSE)</f>
        <v>60</v>
      </c>
      <c r="G125" s="69">
        <f>VLOOKUP($B125,Rentroll!$C$11:$X$29,13,FALSE)</f>
        <v>95481</v>
      </c>
      <c r="H125" s="69">
        <f>VLOOKUP($B125,Rentroll!$C$11:$X$29,14,FALSE)</f>
        <v>87524.25</v>
      </c>
      <c r="I125" s="69">
        <f>VLOOKUP($B125,Rentroll!$C$11:$X$29,15,FALSE)</f>
        <v>42436</v>
      </c>
      <c r="J125" s="82">
        <f>VLOOKUP($B125,Rentroll!$C$11:$X$29,19,FALSE)</f>
        <v>0.03</v>
      </c>
      <c r="K125" s="83">
        <f>VLOOKUP($B125,Rentroll!$C$11:$X$29,4,FALSE)</f>
        <v>1385.09</v>
      </c>
      <c r="L125" s="81">
        <f>VLOOKUP($B125,Rentroll!$C$11:$X$29,17,FALSE)</f>
        <v>0</v>
      </c>
      <c r="M125" s="84">
        <f>VLOOKUP($B125,Rentroll!$C$11:$X$29,18,FALSE)</f>
        <v>1</v>
      </c>
      <c r="O125" s="74">
        <f t="shared" si="228"/>
        <v>6</v>
      </c>
      <c r="P125" s="75"/>
      <c r="Q125" s="75"/>
      <c r="R125" s="75"/>
      <c r="S125" s="75">
        <f>Rentroll!$Y22*Index!R30</f>
        <v>0</v>
      </c>
      <c r="T125" s="75">
        <f>Rentroll!$Y22*Index!S30</f>
        <v>377.09075249999995</v>
      </c>
      <c r="U125" s="75">
        <f>Rentroll!$Y22*Index!T30</f>
        <v>377.09075249999995</v>
      </c>
      <c r="V125" s="75">
        <f>Rentroll!$Y22*Index!U30</f>
        <v>377.09075249999995</v>
      </c>
      <c r="W125" s="75">
        <f>Rentroll!$Y22*Index!V30</f>
        <v>377.09075249999995</v>
      </c>
      <c r="X125" s="75">
        <f>Rentroll!$Y22*Index!W30</f>
        <v>377.09075249999995</v>
      </c>
      <c r="Y125" s="75">
        <f>Rentroll!$Y22*Index!X30</f>
        <v>377.09075249999995</v>
      </c>
      <c r="Z125" s="75">
        <f>Rentroll!$Y22*Index!Y30</f>
        <v>377.09075249999995</v>
      </c>
      <c r="AA125" s="75">
        <f>Rentroll!$Y22*Index!Z30</f>
        <v>377.09075249999995</v>
      </c>
      <c r="AB125" s="75">
        <f>Rentroll!$Y22*Index!AA30</f>
        <v>377.09075249999995</v>
      </c>
      <c r="AC125" s="75">
        <f>Rentroll!$Y22*Index!AB30</f>
        <v>377.09075249999995</v>
      </c>
      <c r="AD125" s="75">
        <f>Rentroll!$Y22*Index!AC30</f>
        <v>377.09075249999995</v>
      </c>
      <c r="AE125" s="75">
        <f>Rentroll!$Y22*Index!AD30</f>
        <v>377.09075249999995</v>
      </c>
      <c r="AF125" s="75">
        <f>Rentroll!$Y22*Index!AE30</f>
        <v>377.09075249999995</v>
      </c>
      <c r="AG125" s="75">
        <f>Rentroll!$Y22*Index!AF30</f>
        <v>377.09075249999995</v>
      </c>
      <c r="AH125" s="75">
        <f>Rentroll!$Y22*Index!AG30</f>
        <v>377.09075249999995</v>
      </c>
      <c r="AI125" s="75">
        <f>Rentroll!$Y22*Index!AH30</f>
        <v>377.09075249999995</v>
      </c>
      <c r="AJ125" s="75">
        <f>Rentroll!$Y22*Index!AI30</f>
        <v>377.09075249999995</v>
      </c>
      <c r="AK125" s="75">
        <f>Rentroll!$Y22*Index!AJ30</f>
        <v>377.09075249999995</v>
      </c>
      <c r="AL125" s="75">
        <f>Rentroll!$Y22*Index!AK30</f>
        <v>377.09075249999995</v>
      </c>
      <c r="AM125" s="75">
        <f>Rentroll!$Y22*Index!AL30</f>
        <v>377.09075249999995</v>
      </c>
      <c r="AN125" s="75">
        <f>Rentroll!$Y22*Index!AM30</f>
        <v>377.09075249999995</v>
      </c>
      <c r="AO125" s="75">
        <f>Rentroll!$Y22*Index!AN30</f>
        <v>377.09075249999995</v>
      </c>
      <c r="AP125" s="75">
        <f>Rentroll!$Y22*Index!AO30</f>
        <v>377.09075249999995</v>
      </c>
      <c r="AQ125" s="75">
        <f>Rentroll!$Y22*Index!AP30</f>
        <v>377.09075249999995</v>
      </c>
      <c r="AR125" s="75">
        <f>Rentroll!$Y22*Index!AQ30</f>
        <v>377.09075249999995</v>
      </c>
      <c r="AS125" s="75">
        <f>Rentroll!$Y22*Index!AR30</f>
        <v>377.09075249999995</v>
      </c>
      <c r="AT125" s="75">
        <f>Rentroll!$Y22*Index!AS30</f>
        <v>0</v>
      </c>
      <c r="AU125" s="75">
        <f>Rentroll!$Y22*Index!AT30</f>
        <v>0</v>
      </c>
      <c r="AV125" s="75">
        <f>Rentroll!$Y22*Index!AU30</f>
        <v>0</v>
      </c>
      <c r="AW125" s="75">
        <f>Rentroll!$Y22*Index!AV30</f>
        <v>0</v>
      </c>
      <c r="AX125" s="75">
        <f>Rentroll!$Y22*Index!AW30</f>
        <v>0</v>
      </c>
      <c r="AY125" s="75">
        <f>Rentroll!$Y22*Index!AX30</f>
        <v>0</v>
      </c>
      <c r="AZ125" s="75">
        <f>Rentroll!$Y22*Index!AY30</f>
        <v>0</v>
      </c>
      <c r="BA125" s="75">
        <f>Rentroll!$Y22*Index!AZ30</f>
        <v>0</v>
      </c>
      <c r="BB125" s="75">
        <f>Rentroll!$Y22*Index!BA30</f>
        <v>0</v>
      </c>
      <c r="BC125" s="75">
        <f>Rentroll!$Y22*Index!BB30</f>
        <v>0</v>
      </c>
      <c r="BD125" s="75">
        <f>Rentroll!$Y22*Index!BC30</f>
        <v>0</v>
      </c>
      <c r="BE125" s="75">
        <f>Rentroll!$Y22*Index!BD30</f>
        <v>0</v>
      </c>
      <c r="BF125" s="75">
        <f>Rentroll!$Y22*Index!BE30</f>
        <v>0</v>
      </c>
      <c r="BG125" s="75">
        <f>Rentroll!$Y22*Index!BF30</f>
        <v>0</v>
      </c>
      <c r="BH125" s="75">
        <f>Rentroll!$Y22*Index!BG30</f>
        <v>0</v>
      </c>
      <c r="BI125" s="75">
        <f>Rentroll!$Y22*Index!BH30</f>
        <v>0</v>
      </c>
      <c r="BJ125" s="75">
        <f>Rentroll!$Y22*Index!BI30</f>
        <v>0</v>
      </c>
      <c r="BK125" s="75">
        <f>Rentroll!$Y22*Index!BJ30</f>
        <v>0</v>
      </c>
      <c r="BL125" s="75">
        <f>Rentroll!$Y22*Index!BK30</f>
        <v>0</v>
      </c>
      <c r="BM125" s="75">
        <f>Rentroll!$Y22*Index!BL30</f>
        <v>0</v>
      </c>
      <c r="BN125" s="75">
        <f>Rentroll!$Y22*Index!BM30</f>
        <v>0</v>
      </c>
      <c r="BO125" s="75">
        <f>Rentroll!$Y22*Index!BN30</f>
        <v>0</v>
      </c>
      <c r="BP125" s="75">
        <f>Rentroll!$Y22*Index!BO30</f>
        <v>0</v>
      </c>
      <c r="BQ125" s="75">
        <f>Rentroll!$Y22*Index!BP30</f>
        <v>0</v>
      </c>
      <c r="BR125" s="75">
        <f>Rentroll!$Y22*Index!BQ30</f>
        <v>0</v>
      </c>
      <c r="BS125" s="75">
        <f>Rentroll!$Y22*Index!BR30</f>
        <v>0</v>
      </c>
      <c r="BT125" s="75">
        <f>Rentroll!$Y22*Index!BS30</f>
        <v>0</v>
      </c>
      <c r="BU125" s="75">
        <f>Rentroll!$Y22*Index!BT30</f>
        <v>0</v>
      </c>
      <c r="BV125" s="75">
        <f>Rentroll!$Y22*Index!BU30</f>
        <v>0</v>
      </c>
      <c r="BW125" s="75">
        <f>Rentroll!$Y22*Index!BV30</f>
        <v>0</v>
      </c>
      <c r="BX125" s="75">
        <f>Rentroll!$Y22*Index!BW30</f>
        <v>0</v>
      </c>
      <c r="BY125" s="75">
        <f>Rentroll!$Y22*Index!BX30</f>
        <v>0</v>
      </c>
      <c r="BZ125" s="75">
        <f>Rentroll!$Y22*Index!BY30</f>
        <v>0</v>
      </c>
      <c r="CA125" s="75">
        <f>Rentroll!$Y22*Index!BZ30</f>
        <v>0</v>
      </c>
      <c r="CB125" s="75">
        <f>Rentroll!$Y22*Index!CA30</f>
        <v>0</v>
      </c>
      <c r="CC125" s="75">
        <f>Rentroll!$Y22*Index!CB30</f>
        <v>0</v>
      </c>
      <c r="CD125" s="75">
        <f>Rentroll!$Y22*Index!CC30</f>
        <v>0</v>
      </c>
      <c r="CE125" s="75">
        <f>Rentroll!$Y22*Index!CD30</f>
        <v>0</v>
      </c>
      <c r="CF125" s="75">
        <f>Rentroll!$Y22*Index!CE30</f>
        <v>0</v>
      </c>
      <c r="CG125" s="75">
        <f>Rentroll!$Y22*Index!CF30</f>
        <v>0</v>
      </c>
      <c r="CH125" s="75">
        <f>Rentroll!$Y22*Index!CG30</f>
        <v>0</v>
      </c>
      <c r="CI125" s="75">
        <f>Rentroll!$Y22*Index!CH30</f>
        <v>0</v>
      </c>
      <c r="CJ125" s="75">
        <f>Rentroll!$Y22*Index!CI30</f>
        <v>0</v>
      </c>
      <c r="CK125" s="75">
        <f>Rentroll!$Y22*Index!CJ30</f>
        <v>0</v>
      </c>
      <c r="CL125" s="75">
        <f>Rentroll!$Y22*Index!CK30</f>
        <v>0</v>
      </c>
      <c r="CM125" s="75">
        <f>Rentroll!$Y22*Index!CL30</f>
        <v>0</v>
      </c>
      <c r="CN125" s="75">
        <f>Rentroll!$Y22*Index!CM30</f>
        <v>0</v>
      </c>
      <c r="CO125" s="75">
        <f>Rentroll!$Y22*Index!CN30</f>
        <v>0</v>
      </c>
      <c r="CP125" s="75">
        <f>Rentroll!$Y22*Index!CO30</f>
        <v>0</v>
      </c>
      <c r="CQ125" s="75">
        <f>Rentroll!$Y22*Index!CP30</f>
        <v>0</v>
      </c>
      <c r="CR125" s="75">
        <f>Rentroll!$Y22*Index!CQ30</f>
        <v>0</v>
      </c>
      <c r="CS125" s="75">
        <f>Rentroll!$Y22*Index!CR30</f>
        <v>0</v>
      </c>
      <c r="CT125" s="75">
        <f>Rentroll!$Y22*Index!CS30</f>
        <v>0</v>
      </c>
      <c r="CU125" s="75">
        <f>Rentroll!$Y22*Index!CT30</f>
        <v>0</v>
      </c>
      <c r="CV125" s="75">
        <f>Rentroll!$Y22*Index!CU30</f>
        <v>0</v>
      </c>
      <c r="CW125" s="75">
        <f>Rentroll!$Y22*Index!CV30</f>
        <v>0</v>
      </c>
      <c r="CX125" s="75">
        <f>Rentroll!$Y22*Index!CW30</f>
        <v>0</v>
      </c>
      <c r="CY125" s="75">
        <f>Rentroll!$Y22*Index!CX30</f>
        <v>0</v>
      </c>
      <c r="CZ125" s="75">
        <f>Rentroll!$Y22*Index!CY30</f>
        <v>0</v>
      </c>
      <c r="DA125" s="75">
        <f>Rentroll!$Y22*Index!CZ30</f>
        <v>0</v>
      </c>
      <c r="DB125" s="75">
        <f>Rentroll!$Y22*Index!DA30</f>
        <v>0</v>
      </c>
      <c r="DC125" s="75">
        <f>Rentroll!$Y22*Index!DB30</f>
        <v>0</v>
      </c>
      <c r="DD125" s="75">
        <f>Rentroll!$Y22*Index!DC30</f>
        <v>0</v>
      </c>
      <c r="DE125" s="75">
        <f>Rentroll!$Y22*Index!DD30</f>
        <v>0</v>
      </c>
      <c r="DF125" s="75">
        <f>Rentroll!$Y22*Index!DE30</f>
        <v>0</v>
      </c>
      <c r="DG125" s="75">
        <f>Rentroll!$Y22*Index!DF30</f>
        <v>0</v>
      </c>
      <c r="DH125" s="75">
        <f>Rentroll!$Y22*Index!DG30</f>
        <v>0</v>
      </c>
      <c r="DI125" s="75">
        <f>Rentroll!$Y22*Index!DH30</f>
        <v>0</v>
      </c>
      <c r="DJ125" s="75">
        <f>Rentroll!$Y22*Index!DI30</f>
        <v>0</v>
      </c>
      <c r="DK125" s="75">
        <f>Rentroll!$Y22*Index!DJ30</f>
        <v>0</v>
      </c>
      <c r="DL125" s="75">
        <f>Rentroll!$Y22*Index!DK30</f>
        <v>0</v>
      </c>
      <c r="DM125" s="75">
        <f>Rentroll!$Y22*Index!DL30</f>
        <v>0</v>
      </c>
    </row>
    <row r="126" spans="2:117">
      <c r="B126" s="27">
        <f>Rentroll!$C$23</f>
        <v>5</v>
      </c>
      <c r="C126" s="69" t="str">
        <f>VLOOKUP($B126,Rentroll!$C$11:$X$29,3,FALSE)</f>
        <v>공실</v>
      </c>
      <c r="D126" s="80"/>
      <c r="E126" s="80"/>
      <c r="F126" s="81">
        <f>VLOOKUP($B126,Rentroll!$C$11:$X$29,11,FALSE)</f>
        <v>0</v>
      </c>
      <c r="G126" s="69">
        <f>VLOOKUP($B126,Rentroll!$C$11:$X$29,13,FALSE)</f>
        <v>0</v>
      </c>
      <c r="H126" s="69">
        <f>VLOOKUP($B126,Rentroll!$C$11:$X$29,14,FALSE)</f>
        <v>0</v>
      </c>
      <c r="I126" s="69">
        <f>VLOOKUP($B126,Rentroll!$C$11:$X$29,15,FALSE)</f>
        <v>0</v>
      </c>
      <c r="J126" s="82">
        <f>VLOOKUP($B126,Rentroll!$C$11:$X$29,19,FALSE)</f>
        <v>0</v>
      </c>
      <c r="K126" s="83">
        <f>VLOOKUP($B126,Rentroll!$C$11:$X$29,4,FALSE)</f>
        <v>1385.09</v>
      </c>
      <c r="L126" s="81">
        <f>VLOOKUP($B126,Rentroll!$C$11:$X$29,17,FALSE)</f>
        <v>0</v>
      </c>
      <c r="M126" s="84">
        <f>VLOOKUP($B126,Rentroll!$C$11:$X$29,18,FALSE)</f>
        <v>0</v>
      </c>
      <c r="O126" s="74">
        <f t="shared" si="228"/>
        <v>5</v>
      </c>
      <c r="P126" s="75"/>
      <c r="Q126" s="75"/>
      <c r="R126" s="75"/>
      <c r="S126" s="75">
        <f>Rentroll!$Y23*Index!R31</f>
        <v>0</v>
      </c>
      <c r="T126" s="75">
        <f>Rentroll!$Y23*Index!S31</f>
        <v>0</v>
      </c>
      <c r="U126" s="75">
        <f>Rentroll!$Y23*Index!T31</f>
        <v>0</v>
      </c>
      <c r="V126" s="75">
        <f>Rentroll!$Y23*Index!U31</f>
        <v>0</v>
      </c>
      <c r="W126" s="75">
        <f>Rentroll!$Y23*Index!V31</f>
        <v>0</v>
      </c>
      <c r="X126" s="75">
        <f>Rentroll!$Y23*Index!W31</f>
        <v>0</v>
      </c>
      <c r="Y126" s="75">
        <f>Rentroll!$Y23*Index!X31</f>
        <v>0</v>
      </c>
      <c r="Z126" s="75">
        <f>Rentroll!$Y23*Index!Y31</f>
        <v>0</v>
      </c>
      <c r="AA126" s="75">
        <f>Rentroll!$Y23*Index!Z31</f>
        <v>0</v>
      </c>
      <c r="AB126" s="75">
        <f>Rentroll!$Y23*Index!AA31</f>
        <v>0</v>
      </c>
      <c r="AC126" s="75">
        <f>Rentroll!$Y23*Index!AB31</f>
        <v>0</v>
      </c>
      <c r="AD126" s="75">
        <f>Rentroll!$Y23*Index!AC31</f>
        <v>0</v>
      </c>
      <c r="AE126" s="75">
        <f>Rentroll!$Y23*Index!AD31</f>
        <v>0</v>
      </c>
      <c r="AF126" s="75">
        <f>Rentroll!$Y23*Index!AE31</f>
        <v>0</v>
      </c>
      <c r="AG126" s="75">
        <f>Rentroll!$Y23*Index!AF31</f>
        <v>0</v>
      </c>
      <c r="AH126" s="75">
        <f>Rentroll!$Y23*Index!AG31</f>
        <v>0</v>
      </c>
      <c r="AI126" s="75">
        <f>Rentroll!$Y23*Index!AH31</f>
        <v>0</v>
      </c>
      <c r="AJ126" s="75">
        <f>Rentroll!$Y23*Index!AI31</f>
        <v>0</v>
      </c>
      <c r="AK126" s="75">
        <f>Rentroll!$Y23*Index!AJ31</f>
        <v>0</v>
      </c>
      <c r="AL126" s="75">
        <f>Rentroll!$Y23*Index!AK31</f>
        <v>0</v>
      </c>
      <c r="AM126" s="75">
        <f>Rentroll!$Y23*Index!AL31</f>
        <v>0</v>
      </c>
      <c r="AN126" s="75">
        <f>Rentroll!$Y23*Index!AM31</f>
        <v>0</v>
      </c>
      <c r="AO126" s="75">
        <f>Rentroll!$Y23*Index!AN31</f>
        <v>0</v>
      </c>
      <c r="AP126" s="75">
        <f>Rentroll!$Y23*Index!AO31</f>
        <v>0</v>
      </c>
      <c r="AQ126" s="75">
        <f>Rentroll!$Y23*Index!AP31</f>
        <v>0</v>
      </c>
      <c r="AR126" s="75">
        <f>Rentroll!$Y23*Index!AQ31</f>
        <v>0</v>
      </c>
      <c r="AS126" s="75">
        <f>Rentroll!$Y23*Index!AR31</f>
        <v>0</v>
      </c>
      <c r="AT126" s="75">
        <f>Rentroll!$Y23*Index!AS31</f>
        <v>0</v>
      </c>
      <c r="AU126" s="75">
        <f>Rentroll!$Y23*Index!AT31</f>
        <v>0</v>
      </c>
      <c r="AV126" s="75">
        <f>Rentroll!$Y23*Index!AU31</f>
        <v>0</v>
      </c>
      <c r="AW126" s="75">
        <f>Rentroll!$Y23*Index!AV31</f>
        <v>0</v>
      </c>
      <c r="AX126" s="75">
        <f>Rentroll!$Y23*Index!AW31</f>
        <v>0</v>
      </c>
      <c r="AY126" s="75">
        <f>Rentroll!$Y23*Index!AX31</f>
        <v>0</v>
      </c>
      <c r="AZ126" s="75">
        <f>Rentroll!$Y23*Index!AY31</f>
        <v>0</v>
      </c>
      <c r="BA126" s="75">
        <f>Rentroll!$Y23*Index!AZ31</f>
        <v>0</v>
      </c>
      <c r="BB126" s="75">
        <f>Rentroll!$Y23*Index!BA31</f>
        <v>0</v>
      </c>
      <c r="BC126" s="75">
        <f>Rentroll!$Y23*Index!BB31</f>
        <v>0</v>
      </c>
      <c r="BD126" s="75">
        <f>Rentroll!$Y23*Index!BC31</f>
        <v>0</v>
      </c>
      <c r="BE126" s="75">
        <f>Rentroll!$Y23*Index!BD31</f>
        <v>0</v>
      </c>
      <c r="BF126" s="75">
        <f>Rentroll!$Y23*Index!BE31</f>
        <v>0</v>
      </c>
      <c r="BG126" s="75">
        <f>Rentroll!$Y23*Index!BF31</f>
        <v>0</v>
      </c>
      <c r="BH126" s="75">
        <f>Rentroll!$Y23*Index!BG31</f>
        <v>0</v>
      </c>
      <c r="BI126" s="75">
        <f>Rentroll!$Y23*Index!BH31</f>
        <v>0</v>
      </c>
      <c r="BJ126" s="75">
        <f>Rentroll!$Y23*Index!BI31</f>
        <v>0</v>
      </c>
      <c r="BK126" s="75">
        <f>Rentroll!$Y23*Index!BJ31</f>
        <v>0</v>
      </c>
      <c r="BL126" s="75">
        <f>Rentroll!$Y23*Index!BK31</f>
        <v>0</v>
      </c>
      <c r="BM126" s="75">
        <f>Rentroll!$Y23*Index!BL31</f>
        <v>0</v>
      </c>
      <c r="BN126" s="75">
        <f>Rentroll!$Y23*Index!BM31</f>
        <v>0</v>
      </c>
      <c r="BO126" s="75">
        <f>Rentroll!$Y23*Index!BN31</f>
        <v>0</v>
      </c>
      <c r="BP126" s="75">
        <f>Rentroll!$Y23*Index!BO31</f>
        <v>0</v>
      </c>
      <c r="BQ126" s="75">
        <f>Rentroll!$Y23*Index!BP31</f>
        <v>0</v>
      </c>
      <c r="BR126" s="75">
        <f>Rentroll!$Y23*Index!BQ31</f>
        <v>0</v>
      </c>
      <c r="BS126" s="75">
        <f>Rentroll!$Y23*Index!BR31</f>
        <v>0</v>
      </c>
      <c r="BT126" s="75">
        <f>Rentroll!$Y23*Index!BS31</f>
        <v>0</v>
      </c>
      <c r="BU126" s="75">
        <f>Rentroll!$Y23*Index!BT31</f>
        <v>0</v>
      </c>
      <c r="BV126" s="75">
        <f>Rentroll!$Y23*Index!BU31</f>
        <v>0</v>
      </c>
      <c r="BW126" s="75">
        <f>Rentroll!$Y23*Index!BV31</f>
        <v>0</v>
      </c>
      <c r="BX126" s="75">
        <f>Rentroll!$Y23*Index!BW31</f>
        <v>0</v>
      </c>
      <c r="BY126" s="75">
        <f>Rentroll!$Y23*Index!BX31</f>
        <v>0</v>
      </c>
      <c r="BZ126" s="75">
        <f>Rentroll!$Y23*Index!BY31</f>
        <v>0</v>
      </c>
      <c r="CA126" s="75">
        <f>Rentroll!$Y23*Index!BZ31</f>
        <v>0</v>
      </c>
      <c r="CB126" s="75">
        <f>Rentroll!$Y23*Index!CA31</f>
        <v>0</v>
      </c>
      <c r="CC126" s="75">
        <f>Rentroll!$Y23*Index!CB31</f>
        <v>0</v>
      </c>
      <c r="CD126" s="75">
        <f>Rentroll!$Y23*Index!CC31</f>
        <v>0</v>
      </c>
      <c r="CE126" s="75">
        <f>Rentroll!$Y23*Index!CD31</f>
        <v>0</v>
      </c>
      <c r="CF126" s="75">
        <f>Rentroll!$Y23*Index!CE31</f>
        <v>0</v>
      </c>
      <c r="CG126" s="75">
        <f>Rentroll!$Y23*Index!CF31</f>
        <v>0</v>
      </c>
      <c r="CH126" s="75">
        <f>Rentroll!$Y23*Index!CG31</f>
        <v>0</v>
      </c>
      <c r="CI126" s="75">
        <f>Rentroll!$Y23*Index!CH31</f>
        <v>0</v>
      </c>
      <c r="CJ126" s="75">
        <f>Rentroll!$Y23*Index!CI31</f>
        <v>0</v>
      </c>
      <c r="CK126" s="75">
        <f>Rentroll!$Y23*Index!CJ31</f>
        <v>0</v>
      </c>
      <c r="CL126" s="75">
        <f>Rentroll!$Y23*Index!CK31</f>
        <v>0</v>
      </c>
      <c r="CM126" s="75">
        <f>Rentroll!$Y23*Index!CL31</f>
        <v>0</v>
      </c>
      <c r="CN126" s="75">
        <f>Rentroll!$Y23*Index!CM31</f>
        <v>0</v>
      </c>
      <c r="CO126" s="75">
        <f>Rentroll!$Y23*Index!CN31</f>
        <v>0</v>
      </c>
      <c r="CP126" s="75">
        <f>Rentroll!$Y23*Index!CO31</f>
        <v>0</v>
      </c>
      <c r="CQ126" s="75">
        <f>Rentroll!$Y23*Index!CP31</f>
        <v>0</v>
      </c>
      <c r="CR126" s="75">
        <f>Rentroll!$Y23*Index!CQ31</f>
        <v>0</v>
      </c>
      <c r="CS126" s="75">
        <f>Rentroll!$Y23*Index!CR31</f>
        <v>0</v>
      </c>
      <c r="CT126" s="75">
        <f>Rentroll!$Y23*Index!CS31</f>
        <v>0</v>
      </c>
      <c r="CU126" s="75">
        <f>Rentroll!$Y23*Index!CT31</f>
        <v>0</v>
      </c>
      <c r="CV126" s="75">
        <f>Rentroll!$Y23*Index!CU31</f>
        <v>0</v>
      </c>
      <c r="CW126" s="75">
        <f>Rentroll!$Y23*Index!CV31</f>
        <v>0</v>
      </c>
      <c r="CX126" s="75">
        <f>Rentroll!$Y23*Index!CW31</f>
        <v>0</v>
      </c>
      <c r="CY126" s="75">
        <f>Rentroll!$Y23*Index!CX31</f>
        <v>0</v>
      </c>
      <c r="CZ126" s="75">
        <f>Rentroll!$Y23*Index!CY31</f>
        <v>0</v>
      </c>
      <c r="DA126" s="75">
        <f>Rentroll!$Y23*Index!CZ31</f>
        <v>0</v>
      </c>
      <c r="DB126" s="75">
        <f>Rentroll!$Y23*Index!DA31</f>
        <v>0</v>
      </c>
      <c r="DC126" s="75">
        <f>Rentroll!$Y23*Index!DB31</f>
        <v>0</v>
      </c>
      <c r="DD126" s="75">
        <f>Rentroll!$Y23*Index!DC31</f>
        <v>0</v>
      </c>
      <c r="DE126" s="75">
        <f>Rentroll!$Y23*Index!DD31</f>
        <v>0</v>
      </c>
      <c r="DF126" s="75">
        <f>Rentroll!$Y23*Index!DE31</f>
        <v>0</v>
      </c>
      <c r="DG126" s="75">
        <f>Rentroll!$Y23*Index!DF31</f>
        <v>0</v>
      </c>
      <c r="DH126" s="75">
        <f>Rentroll!$Y23*Index!DG31</f>
        <v>0</v>
      </c>
      <c r="DI126" s="75">
        <f>Rentroll!$Y23*Index!DH31</f>
        <v>0</v>
      </c>
      <c r="DJ126" s="75">
        <f>Rentroll!$Y23*Index!DI31</f>
        <v>0</v>
      </c>
      <c r="DK126" s="75">
        <f>Rentroll!$Y23*Index!DJ31</f>
        <v>0</v>
      </c>
      <c r="DL126" s="75">
        <f>Rentroll!$Y23*Index!DK31</f>
        <v>0</v>
      </c>
      <c r="DM126" s="75">
        <f>Rentroll!$Y23*Index!DL31</f>
        <v>0</v>
      </c>
    </row>
    <row r="127" spans="2:117">
      <c r="B127" s="27">
        <f>Rentroll!$C$24</f>
        <v>4</v>
      </c>
      <c r="C127" s="69" t="str">
        <f>VLOOKUP($B127,Rentroll!$C$11:$X$29,3,FALSE)</f>
        <v>공실</v>
      </c>
      <c r="D127" s="80"/>
      <c r="E127" s="80"/>
      <c r="F127" s="81">
        <f>VLOOKUP($B127,Rentroll!$C$11:$X$29,11,FALSE)</f>
        <v>0</v>
      </c>
      <c r="G127" s="69">
        <f>VLOOKUP($B127,Rentroll!$C$11:$X$29,13,FALSE)</f>
        <v>0</v>
      </c>
      <c r="H127" s="69">
        <f>VLOOKUP($B127,Rentroll!$C$11:$X$29,14,FALSE)</f>
        <v>0</v>
      </c>
      <c r="I127" s="69">
        <f>VLOOKUP($B127,Rentroll!$C$11:$X$29,15,FALSE)</f>
        <v>0</v>
      </c>
      <c r="J127" s="82">
        <f>VLOOKUP($B127,Rentroll!$C$11:$X$29,19,FALSE)</f>
        <v>0</v>
      </c>
      <c r="K127" s="83">
        <f>VLOOKUP($B127,Rentroll!$C$11:$X$29,4,FALSE)</f>
        <v>1385.09</v>
      </c>
      <c r="L127" s="81">
        <f>VLOOKUP($B127,Rentroll!$C$11:$X$29,17,FALSE)</f>
        <v>0</v>
      </c>
      <c r="M127" s="84">
        <f>VLOOKUP($B127,Rentroll!$C$11:$X$29,18,FALSE)</f>
        <v>0</v>
      </c>
      <c r="O127" s="74">
        <f t="shared" si="228"/>
        <v>4</v>
      </c>
      <c r="P127" s="75"/>
      <c r="Q127" s="75"/>
      <c r="R127" s="75"/>
      <c r="S127" s="75">
        <f>Rentroll!$Y24*Index!R32</f>
        <v>0</v>
      </c>
      <c r="T127" s="75">
        <f>Rentroll!$Y24*Index!S32</f>
        <v>0</v>
      </c>
      <c r="U127" s="75">
        <f>Rentroll!$Y24*Index!T32</f>
        <v>0</v>
      </c>
      <c r="V127" s="75">
        <f>Rentroll!$Y24*Index!U32</f>
        <v>0</v>
      </c>
      <c r="W127" s="75">
        <f>Rentroll!$Y24*Index!V32</f>
        <v>0</v>
      </c>
      <c r="X127" s="75">
        <f>Rentroll!$Y24*Index!W32</f>
        <v>0</v>
      </c>
      <c r="Y127" s="75">
        <f>Rentroll!$Y24*Index!X32</f>
        <v>0</v>
      </c>
      <c r="Z127" s="75">
        <f>Rentroll!$Y24*Index!Y32</f>
        <v>0</v>
      </c>
      <c r="AA127" s="75">
        <f>Rentroll!$Y24*Index!Z32</f>
        <v>0</v>
      </c>
      <c r="AB127" s="75">
        <f>Rentroll!$Y24*Index!AA32</f>
        <v>0</v>
      </c>
      <c r="AC127" s="75">
        <f>Rentroll!$Y24*Index!AB32</f>
        <v>0</v>
      </c>
      <c r="AD127" s="75">
        <f>Rentroll!$Y24*Index!AC32</f>
        <v>0</v>
      </c>
      <c r="AE127" s="75">
        <f>Rentroll!$Y24*Index!AD32</f>
        <v>0</v>
      </c>
      <c r="AF127" s="75">
        <f>Rentroll!$Y24*Index!AE32</f>
        <v>0</v>
      </c>
      <c r="AG127" s="75">
        <f>Rentroll!$Y24*Index!AF32</f>
        <v>0</v>
      </c>
      <c r="AH127" s="75">
        <f>Rentroll!$Y24*Index!AG32</f>
        <v>0</v>
      </c>
      <c r="AI127" s="75">
        <f>Rentroll!$Y24*Index!AH32</f>
        <v>0</v>
      </c>
      <c r="AJ127" s="75">
        <f>Rentroll!$Y24*Index!AI32</f>
        <v>0</v>
      </c>
      <c r="AK127" s="75">
        <f>Rentroll!$Y24*Index!AJ32</f>
        <v>0</v>
      </c>
      <c r="AL127" s="75">
        <f>Rentroll!$Y24*Index!AK32</f>
        <v>0</v>
      </c>
      <c r="AM127" s="75">
        <f>Rentroll!$Y24*Index!AL32</f>
        <v>0</v>
      </c>
      <c r="AN127" s="75">
        <f>Rentroll!$Y24*Index!AM32</f>
        <v>0</v>
      </c>
      <c r="AO127" s="75">
        <f>Rentroll!$Y24*Index!AN32</f>
        <v>0</v>
      </c>
      <c r="AP127" s="75">
        <f>Rentroll!$Y24*Index!AO32</f>
        <v>0</v>
      </c>
      <c r="AQ127" s="75">
        <f>Rentroll!$Y24*Index!AP32</f>
        <v>0</v>
      </c>
      <c r="AR127" s="75">
        <f>Rentroll!$Y24*Index!AQ32</f>
        <v>0</v>
      </c>
      <c r="AS127" s="75">
        <f>Rentroll!$Y24*Index!AR32</f>
        <v>0</v>
      </c>
      <c r="AT127" s="75">
        <f>Rentroll!$Y24*Index!AS32</f>
        <v>0</v>
      </c>
      <c r="AU127" s="75">
        <f>Rentroll!$Y24*Index!AT32</f>
        <v>0</v>
      </c>
      <c r="AV127" s="75">
        <f>Rentroll!$Y24*Index!AU32</f>
        <v>0</v>
      </c>
      <c r="AW127" s="75">
        <f>Rentroll!$Y24*Index!AV32</f>
        <v>0</v>
      </c>
      <c r="AX127" s="75">
        <f>Rentroll!$Y24*Index!AW32</f>
        <v>0</v>
      </c>
      <c r="AY127" s="75">
        <f>Rentroll!$Y24*Index!AX32</f>
        <v>0</v>
      </c>
      <c r="AZ127" s="75">
        <f>Rentroll!$Y24*Index!AY32</f>
        <v>0</v>
      </c>
      <c r="BA127" s="75">
        <f>Rentroll!$Y24*Index!AZ32</f>
        <v>0</v>
      </c>
      <c r="BB127" s="75">
        <f>Rentroll!$Y24*Index!BA32</f>
        <v>0</v>
      </c>
      <c r="BC127" s="75">
        <f>Rentroll!$Y24*Index!BB32</f>
        <v>0</v>
      </c>
      <c r="BD127" s="75">
        <f>Rentroll!$Y24*Index!BC32</f>
        <v>0</v>
      </c>
      <c r="BE127" s="75">
        <f>Rentroll!$Y24*Index!BD32</f>
        <v>0</v>
      </c>
      <c r="BF127" s="75">
        <f>Rentroll!$Y24*Index!BE32</f>
        <v>0</v>
      </c>
      <c r="BG127" s="75">
        <f>Rentroll!$Y24*Index!BF32</f>
        <v>0</v>
      </c>
      <c r="BH127" s="75">
        <f>Rentroll!$Y24*Index!BG32</f>
        <v>0</v>
      </c>
      <c r="BI127" s="75">
        <f>Rentroll!$Y24*Index!BH32</f>
        <v>0</v>
      </c>
      <c r="BJ127" s="75">
        <f>Rentroll!$Y24*Index!BI32</f>
        <v>0</v>
      </c>
      <c r="BK127" s="75">
        <f>Rentroll!$Y24*Index!BJ32</f>
        <v>0</v>
      </c>
      <c r="BL127" s="75">
        <f>Rentroll!$Y24*Index!BK32</f>
        <v>0</v>
      </c>
      <c r="BM127" s="75">
        <f>Rentroll!$Y24*Index!BL32</f>
        <v>0</v>
      </c>
      <c r="BN127" s="75">
        <f>Rentroll!$Y24*Index!BM32</f>
        <v>0</v>
      </c>
      <c r="BO127" s="75">
        <f>Rentroll!$Y24*Index!BN32</f>
        <v>0</v>
      </c>
      <c r="BP127" s="75">
        <f>Rentroll!$Y24*Index!BO32</f>
        <v>0</v>
      </c>
      <c r="BQ127" s="75">
        <f>Rentroll!$Y24*Index!BP32</f>
        <v>0</v>
      </c>
      <c r="BR127" s="75">
        <f>Rentroll!$Y24*Index!BQ32</f>
        <v>0</v>
      </c>
      <c r="BS127" s="75">
        <f>Rentroll!$Y24*Index!BR32</f>
        <v>0</v>
      </c>
      <c r="BT127" s="75">
        <f>Rentroll!$Y24*Index!BS32</f>
        <v>0</v>
      </c>
      <c r="BU127" s="75">
        <f>Rentroll!$Y24*Index!BT32</f>
        <v>0</v>
      </c>
      <c r="BV127" s="75">
        <f>Rentroll!$Y24*Index!BU32</f>
        <v>0</v>
      </c>
      <c r="BW127" s="75">
        <f>Rentroll!$Y24*Index!BV32</f>
        <v>0</v>
      </c>
      <c r="BX127" s="75">
        <f>Rentroll!$Y24*Index!BW32</f>
        <v>0</v>
      </c>
      <c r="BY127" s="75">
        <f>Rentroll!$Y24*Index!BX32</f>
        <v>0</v>
      </c>
      <c r="BZ127" s="75">
        <f>Rentroll!$Y24*Index!BY32</f>
        <v>0</v>
      </c>
      <c r="CA127" s="75">
        <f>Rentroll!$Y24*Index!BZ32</f>
        <v>0</v>
      </c>
      <c r="CB127" s="75">
        <f>Rentroll!$Y24*Index!CA32</f>
        <v>0</v>
      </c>
      <c r="CC127" s="75">
        <f>Rentroll!$Y24*Index!CB32</f>
        <v>0</v>
      </c>
      <c r="CD127" s="75">
        <f>Rentroll!$Y24*Index!CC32</f>
        <v>0</v>
      </c>
      <c r="CE127" s="75">
        <f>Rentroll!$Y24*Index!CD32</f>
        <v>0</v>
      </c>
      <c r="CF127" s="75">
        <f>Rentroll!$Y24*Index!CE32</f>
        <v>0</v>
      </c>
      <c r="CG127" s="75">
        <f>Rentroll!$Y24*Index!CF32</f>
        <v>0</v>
      </c>
      <c r="CH127" s="75">
        <f>Rentroll!$Y24*Index!CG32</f>
        <v>0</v>
      </c>
      <c r="CI127" s="75">
        <f>Rentroll!$Y24*Index!CH32</f>
        <v>0</v>
      </c>
      <c r="CJ127" s="75">
        <f>Rentroll!$Y24*Index!CI32</f>
        <v>0</v>
      </c>
      <c r="CK127" s="75">
        <f>Rentroll!$Y24*Index!CJ32</f>
        <v>0</v>
      </c>
      <c r="CL127" s="75">
        <f>Rentroll!$Y24*Index!CK32</f>
        <v>0</v>
      </c>
      <c r="CM127" s="75">
        <f>Rentroll!$Y24*Index!CL32</f>
        <v>0</v>
      </c>
      <c r="CN127" s="75">
        <f>Rentroll!$Y24*Index!CM32</f>
        <v>0</v>
      </c>
      <c r="CO127" s="75">
        <f>Rentroll!$Y24*Index!CN32</f>
        <v>0</v>
      </c>
      <c r="CP127" s="75">
        <f>Rentroll!$Y24*Index!CO32</f>
        <v>0</v>
      </c>
      <c r="CQ127" s="75">
        <f>Rentroll!$Y24*Index!CP32</f>
        <v>0</v>
      </c>
      <c r="CR127" s="75">
        <f>Rentroll!$Y24*Index!CQ32</f>
        <v>0</v>
      </c>
      <c r="CS127" s="75">
        <f>Rentroll!$Y24*Index!CR32</f>
        <v>0</v>
      </c>
      <c r="CT127" s="75">
        <f>Rentroll!$Y24*Index!CS32</f>
        <v>0</v>
      </c>
      <c r="CU127" s="75">
        <f>Rentroll!$Y24*Index!CT32</f>
        <v>0</v>
      </c>
      <c r="CV127" s="75">
        <f>Rentroll!$Y24*Index!CU32</f>
        <v>0</v>
      </c>
      <c r="CW127" s="75">
        <f>Rentroll!$Y24*Index!CV32</f>
        <v>0</v>
      </c>
      <c r="CX127" s="75">
        <f>Rentroll!$Y24*Index!CW32</f>
        <v>0</v>
      </c>
      <c r="CY127" s="75">
        <f>Rentroll!$Y24*Index!CX32</f>
        <v>0</v>
      </c>
      <c r="CZ127" s="75">
        <f>Rentroll!$Y24*Index!CY32</f>
        <v>0</v>
      </c>
      <c r="DA127" s="75">
        <f>Rentroll!$Y24*Index!CZ32</f>
        <v>0</v>
      </c>
      <c r="DB127" s="75">
        <f>Rentroll!$Y24*Index!DA32</f>
        <v>0</v>
      </c>
      <c r="DC127" s="75">
        <f>Rentroll!$Y24*Index!DB32</f>
        <v>0</v>
      </c>
      <c r="DD127" s="75">
        <f>Rentroll!$Y24*Index!DC32</f>
        <v>0</v>
      </c>
      <c r="DE127" s="75">
        <f>Rentroll!$Y24*Index!DD32</f>
        <v>0</v>
      </c>
      <c r="DF127" s="75">
        <f>Rentroll!$Y24*Index!DE32</f>
        <v>0</v>
      </c>
      <c r="DG127" s="75">
        <f>Rentroll!$Y24*Index!DF32</f>
        <v>0</v>
      </c>
      <c r="DH127" s="75">
        <f>Rentroll!$Y24*Index!DG32</f>
        <v>0</v>
      </c>
      <c r="DI127" s="75">
        <f>Rentroll!$Y24*Index!DH32</f>
        <v>0</v>
      </c>
      <c r="DJ127" s="75">
        <f>Rentroll!$Y24*Index!DI32</f>
        <v>0</v>
      </c>
      <c r="DK127" s="75">
        <f>Rentroll!$Y24*Index!DJ32</f>
        <v>0</v>
      </c>
      <c r="DL127" s="75">
        <f>Rentroll!$Y24*Index!DK32</f>
        <v>0</v>
      </c>
      <c r="DM127" s="75">
        <f>Rentroll!$Y24*Index!DL32</f>
        <v>0</v>
      </c>
    </row>
    <row r="128" spans="2:117">
      <c r="B128" s="27">
        <f>Rentroll!$C$25</f>
        <v>3</v>
      </c>
      <c r="C128" s="69" t="str">
        <f>VLOOKUP($B128,Rentroll!$C$11:$X$29,3,FALSE)</f>
        <v>공실</v>
      </c>
      <c r="D128" s="80"/>
      <c r="E128" s="80"/>
      <c r="F128" s="81">
        <f>VLOOKUP($B128,Rentroll!$C$11:$X$29,11,FALSE)</f>
        <v>0</v>
      </c>
      <c r="G128" s="69">
        <f>VLOOKUP($B128,Rentroll!$C$11:$X$29,13,FALSE)</f>
        <v>0</v>
      </c>
      <c r="H128" s="69">
        <f>VLOOKUP($B128,Rentroll!$C$11:$X$29,14,FALSE)</f>
        <v>0</v>
      </c>
      <c r="I128" s="69">
        <f>VLOOKUP($B128,Rentroll!$C$11:$X$29,15,FALSE)</f>
        <v>0</v>
      </c>
      <c r="J128" s="82">
        <f>VLOOKUP($B128,Rentroll!$C$11:$X$29,19,FALSE)</f>
        <v>0</v>
      </c>
      <c r="K128" s="83">
        <f>VLOOKUP($B128,Rentroll!$C$11:$X$29,4,FALSE)</f>
        <v>1385.09</v>
      </c>
      <c r="L128" s="81">
        <f>VLOOKUP($B128,Rentroll!$C$11:$X$29,17,FALSE)</f>
        <v>0</v>
      </c>
      <c r="M128" s="84">
        <f>VLOOKUP($B128,Rentroll!$C$11:$X$29,18,FALSE)</f>
        <v>0</v>
      </c>
      <c r="O128" s="74">
        <f t="shared" si="228"/>
        <v>3</v>
      </c>
      <c r="P128" s="75"/>
      <c r="Q128" s="75"/>
      <c r="R128" s="75"/>
      <c r="S128" s="75">
        <f>Rentroll!$Y25*Index!R33</f>
        <v>0</v>
      </c>
      <c r="T128" s="75">
        <f>Rentroll!$Y25*Index!S33</f>
        <v>0</v>
      </c>
      <c r="U128" s="75">
        <f>Rentroll!$Y25*Index!T33</f>
        <v>0</v>
      </c>
      <c r="V128" s="75">
        <f>Rentroll!$Y25*Index!U33</f>
        <v>0</v>
      </c>
      <c r="W128" s="75">
        <f>Rentroll!$Y25*Index!V33</f>
        <v>0</v>
      </c>
      <c r="X128" s="75">
        <f>Rentroll!$Y25*Index!W33</f>
        <v>0</v>
      </c>
      <c r="Y128" s="75">
        <f>Rentroll!$Y25*Index!X33</f>
        <v>0</v>
      </c>
      <c r="Z128" s="75">
        <f>Rentroll!$Y25*Index!Y33</f>
        <v>0</v>
      </c>
      <c r="AA128" s="75">
        <f>Rentroll!$Y25*Index!Z33</f>
        <v>0</v>
      </c>
      <c r="AB128" s="75">
        <f>Rentroll!$Y25*Index!AA33</f>
        <v>0</v>
      </c>
      <c r="AC128" s="75">
        <f>Rentroll!$Y25*Index!AB33</f>
        <v>0</v>
      </c>
      <c r="AD128" s="75">
        <f>Rentroll!$Y25*Index!AC33</f>
        <v>0</v>
      </c>
      <c r="AE128" s="75">
        <f>Rentroll!$Y25*Index!AD33</f>
        <v>0</v>
      </c>
      <c r="AF128" s="75">
        <f>Rentroll!$Y25*Index!AE33</f>
        <v>0</v>
      </c>
      <c r="AG128" s="75">
        <f>Rentroll!$Y25*Index!AF33</f>
        <v>0</v>
      </c>
      <c r="AH128" s="75">
        <f>Rentroll!$Y25*Index!AG33</f>
        <v>0</v>
      </c>
      <c r="AI128" s="75">
        <f>Rentroll!$Y25*Index!AH33</f>
        <v>0</v>
      </c>
      <c r="AJ128" s="75">
        <f>Rentroll!$Y25*Index!AI33</f>
        <v>0</v>
      </c>
      <c r="AK128" s="75">
        <f>Rentroll!$Y25*Index!AJ33</f>
        <v>0</v>
      </c>
      <c r="AL128" s="75">
        <f>Rentroll!$Y25*Index!AK33</f>
        <v>0</v>
      </c>
      <c r="AM128" s="75">
        <f>Rentroll!$Y25*Index!AL33</f>
        <v>0</v>
      </c>
      <c r="AN128" s="75">
        <f>Rentroll!$Y25*Index!AM33</f>
        <v>0</v>
      </c>
      <c r="AO128" s="75">
        <f>Rentroll!$Y25*Index!AN33</f>
        <v>0</v>
      </c>
      <c r="AP128" s="75">
        <f>Rentroll!$Y25*Index!AO33</f>
        <v>0</v>
      </c>
      <c r="AQ128" s="75">
        <f>Rentroll!$Y25*Index!AP33</f>
        <v>0</v>
      </c>
      <c r="AR128" s="75">
        <f>Rentroll!$Y25*Index!AQ33</f>
        <v>0</v>
      </c>
      <c r="AS128" s="75">
        <f>Rentroll!$Y25*Index!AR33</f>
        <v>0</v>
      </c>
      <c r="AT128" s="75">
        <f>Rentroll!$Y25*Index!AS33</f>
        <v>0</v>
      </c>
      <c r="AU128" s="75">
        <f>Rentroll!$Y25*Index!AT33</f>
        <v>0</v>
      </c>
      <c r="AV128" s="75">
        <f>Rentroll!$Y25*Index!AU33</f>
        <v>0</v>
      </c>
      <c r="AW128" s="75">
        <f>Rentroll!$Y25*Index!AV33</f>
        <v>0</v>
      </c>
      <c r="AX128" s="75">
        <f>Rentroll!$Y25*Index!AW33</f>
        <v>0</v>
      </c>
      <c r="AY128" s="75">
        <f>Rentroll!$Y25*Index!AX33</f>
        <v>0</v>
      </c>
      <c r="AZ128" s="75">
        <f>Rentroll!$Y25*Index!AY33</f>
        <v>0</v>
      </c>
      <c r="BA128" s="75">
        <f>Rentroll!$Y25*Index!AZ33</f>
        <v>0</v>
      </c>
      <c r="BB128" s="75">
        <f>Rentroll!$Y25*Index!BA33</f>
        <v>0</v>
      </c>
      <c r="BC128" s="75">
        <f>Rentroll!$Y25*Index!BB33</f>
        <v>0</v>
      </c>
      <c r="BD128" s="75">
        <f>Rentroll!$Y25*Index!BC33</f>
        <v>0</v>
      </c>
      <c r="BE128" s="75">
        <f>Rentroll!$Y25*Index!BD33</f>
        <v>0</v>
      </c>
      <c r="BF128" s="75">
        <f>Rentroll!$Y25*Index!BE33</f>
        <v>0</v>
      </c>
      <c r="BG128" s="75">
        <f>Rentroll!$Y25*Index!BF33</f>
        <v>0</v>
      </c>
      <c r="BH128" s="75">
        <f>Rentroll!$Y25*Index!BG33</f>
        <v>0</v>
      </c>
      <c r="BI128" s="75">
        <f>Rentroll!$Y25*Index!BH33</f>
        <v>0</v>
      </c>
      <c r="BJ128" s="75">
        <f>Rentroll!$Y25*Index!BI33</f>
        <v>0</v>
      </c>
      <c r="BK128" s="75">
        <f>Rentroll!$Y25*Index!BJ33</f>
        <v>0</v>
      </c>
      <c r="BL128" s="75">
        <f>Rentroll!$Y25*Index!BK33</f>
        <v>0</v>
      </c>
      <c r="BM128" s="75">
        <f>Rentroll!$Y25*Index!BL33</f>
        <v>0</v>
      </c>
      <c r="BN128" s="75">
        <f>Rentroll!$Y25*Index!BM33</f>
        <v>0</v>
      </c>
      <c r="BO128" s="75">
        <f>Rentroll!$Y25*Index!BN33</f>
        <v>0</v>
      </c>
      <c r="BP128" s="75">
        <f>Rentroll!$Y25*Index!BO33</f>
        <v>0</v>
      </c>
      <c r="BQ128" s="75">
        <f>Rentroll!$Y25*Index!BP33</f>
        <v>0</v>
      </c>
      <c r="BR128" s="75">
        <f>Rentroll!$Y25*Index!BQ33</f>
        <v>0</v>
      </c>
      <c r="BS128" s="75">
        <f>Rentroll!$Y25*Index!BR33</f>
        <v>0</v>
      </c>
      <c r="BT128" s="75">
        <f>Rentroll!$Y25*Index!BS33</f>
        <v>0</v>
      </c>
      <c r="BU128" s="75">
        <f>Rentroll!$Y25*Index!BT33</f>
        <v>0</v>
      </c>
      <c r="BV128" s="75">
        <f>Rentroll!$Y25*Index!BU33</f>
        <v>0</v>
      </c>
      <c r="BW128" s="75">
        <f>Rentroll!$Y25*Index!BV33</f>
        <v>0</v>
      </c>
      <c r="BX128" s="75">
        <f>Rentroll!$Y25*Index!BW33</f>
        <v>0</v>
      </c>
      <c r="BY128" s="75">
        <f>Rentroll!$Y25*Index!BX33</f>
        <v>0</v>
      </c>
      <c r="BZ128" s="75">
        <f>Rentroll!$Y25*Index!BY33</f>
        <v>0</v>
      </c>
      <c r="CA128" s="75">
        <f>Rentroll!$Y25*Index!BZ33</f>
        <v>0</v>
      </c>
      <c r="CB128" s="75">
        <f>Rentroll!$Y25*Index!CA33</f>
        <v>0</v>
      </c>
      <c r="CC128" s="75">
        <f>Rentroll!$Y25*Index!CB33</f>
        <v>0</v>
      </c>
      <c r="CD128" s="75">
        <f>Rentroll!$Y25*Index!CC33</f>
        <v>0</v>
      </c>
      <c r="CE128" s="75">
        <f>Rentroll!$Y25*Index!CD33</f>
        <v>0</v>
      </c>
      <c r="CF128" s="75">
        <f>Rentroll!$Y25*Index!CE33</f>
        <v>0</v>
      </c>
      <c r="CG128" s="75">
        <f>Rentroll!$Y25*Index!CF33</f>
        <v>0</v>
      </c>
      <c r="CH128" s="75">
        <f>Rentroll!$Y25*Index!CG33</f>
        <v>0</v>
      </c>
      <c r="CI128" s="75">
        <f>Rentroll!$Y25*Index!CH33</f>
        <v>0</v>
      </c>
      <c r="CJ128" s="75">
        <f>Rentroll!$Y25*Index!CI33</f>
        <v>0</v>
      </c>
      <c r="CK128" s="75">
        <f>Rentroll!$Y25*Index!CJ33</f>
        <v>0</v>
      </c>
      <c r="CL128" s="75">
        <f>Rentroll!$Y25*Index!CK33</f>
        <v>0</v>
      </c>
      <c r="CM128" s="75">
        <f>Rentroll!$Y25*Index!CL33</f>
        <v>0</v>
      </c>
      <c r="CN128" s="75">
        <f>Rentroll!$Y25*Index!CM33</f>
        <v>0</v>
      </c>
      <c r="CO128" s="75">
        <f>Rentroll!$Y25*Index!CN33</f>
        <v>0</v>
      </c>
      <c r="CP128" s="75">
        <f>Rentroll!$Y25*Index!CO33</f>
        <v>0</v>
      </c>
      <c r="CQ128" s="75">
        <f>Rentroll!$Y25*Index!CP33</f>
        <v>0</v>
      </c>
      <c r="CR128" s="75">
        <f>Rentroll!$Y25*Index!CQ33</f>
        <v>0</v>
      </c>
      <c r="CS128" s="75">
        <f>Rentroll!$Y25*Index!CR33</f>
        <v>0</v>
      </c>
      <c r="CT128" s="75">
        <f>Rentroll!$Y25*Index!CS33</f>
        <v>0</v>
      </c>
      <c r="CU128" s="75">
        <f>Rentroll!$Y25*Index!CT33</f>
        <v>0</v>
      </c>
      <c r="CV128" s="75">
        <f>Rentroll!$Y25*Index!CU33</f>
        <v>0</v>
      </c>
      <c r="CW128" s="75">
        <f>Rentroll!$Y25*Index!CV33</f>
        <v>0</v>
      </c>
      <c r="CX128" s="75">
        <f>Rentroll!$Y25*Index!CW33</f>
        <v>0</v>
      </c>
      <c r="CY128" s="75">
        <f>Rentroll!$Y25*Index!CX33</f>
        <v>0</v>
      </c>
      <c r="CZ128" s="75">
        <f>Rentroll!$Y25*Index!CY33</f>
        <v>0</v>
      </c>
      <c r="DA128" s="75">
        <f>Rentroll!$Y25*Index!CZ33</f>
        <v>0</v>
      </c>
      <c r="DB128" s="75">
        <f>Rentroll!$Y25*Index!DA33</f>
        <v>0</v>
      </c>
      <c r="DC128" s="75">
        <f>Rentroll!$Y25*Index!DB33</f>
        <v>0</v>
      </c>
      <c r="DD128" s="75">
        <f>Rentroll!$Y25*Index!DC33</f>
        <v>0</v>
      </c>
      <c r="DE128" s="75">
        <f>Rentroll!$Y25*Index!DD33</f>
        <v>0</v>
      </c>
      <c r="DF128" s="75">
        <f>Rentroll!$Y25*Index!DE33</f>
        <v>0</v>
      </c>
      <c r="DG128" s="75">
        <f>Rentroll!$Y25*Index!DF33</f>
        <v>0</v>
      </c>
      <c r="DH128" s="75">
        <f>Rentroll!$Y25*Index!DG33</f>
        <v>0</v>
      </c>
      <c r="DI128" s="75">
        <f>Rentroll!$Y25*Index!DH33</f>
        <v>0</v>
      </c>
      <c r="DJ128" s="75">
        <f>Rentroll!$Y25*Index!DI33</f>
        <v>0</v>
      </c>
      <c r="DK128" s="75">
        <f>Rentroll!$Y25*Index!DJ33</f>
        <v>0</v>
      </c>
      <c r="DL128" s="75">
        <f>Rentroll!$Y25*Index!DK33</f>
        <v>0</v>
      </c>
      <c r="DM128" s="75">
        <f>Rentroll!$Y25*Index!DL33</f>
        <v>0</v>
      </c>
    </row>
    <row r="129" spans="2:117">
      <c r="B129" s="27">
        <f>Rentroll!$C$26</f>
        <v>2</v>
      </c>
      <c r="C129" s="69" t="str">
        <f>VLOOKUP($B129,Rentroll!$C$11:$X$29,3,FALSE)</f>
        <v>공실</v>
      </c>
      <c r="D129" s="80"/>
      <c r="E129" s="80"/>
      <c r="F129" s="81">
        <f>VLOOKUP($B129,Rentroll!$C$11:$X$29,11,FALSE)</f>
        <v>0</v>
      </c>
      <c r="G129" s="69">
        <f>VLOOKUP($B129,Rentroll!$C$11:$X$29,13,FALSE)</f>
        <v>0</v>
      </c>
      <c r="H129" s="69">
        <f>VLOOKUP($B129,Rentroll!$C$11:$X$29,14,FALSE)</f>
        <v>0</v>
      </c>
      <c r="I129" s="69">
        <f>VLOOKUP($B129,Rentroll!$C$11:$X$29,15,FALSE)</f>
        <v>0</v>
      </c>
      <c r="J129" s="82">
        <f>VLOOKUP($B129,Rentroll!$C$11:$X$29,19,FALSE)</f>
        <v>0</v>
      </c>
      <c r="K129" s="83">
        <f>VLOOKUP($B129,Rentroll!$C$11:$X$29,4,FALSE)</f>
        <v>1385.09</v>
      </c>
      <c r="L129" s="81">
        <f>VLOOKUP($B129,Rentroll!$C$11:$X$29,17,FALSE)</f>
        <v>0</v>
      </c>
      <c r="M129" s="84">
        <f>VLOOKUP($B129,Rentroll!$C$11:$X$29,18,FALSE)</f>
        <v>0</v>
      </c>
      <c r="O129" s="74">
        <f t="shared" si="228"/>
        <v>2</v>
      </c>
      <c r="P129" s="75"/>
      <c r="Q129" s="75"/>
      <c r="R129" s="75"/>
      <c r="S129" s="75">
        <f>Rentroll!$Y26*Index!R34</f>
        <v>0</v>
      </c>
      <c r="T129" s="75">
        <f>Rentroll!$Y26*Index!S34</f>
        <v>0</v>
      </c>
      <c r="U129" s="75">
        <f>Rentroll!$Y26*Index!T34</f>
        <v>0</v>
      </c>
      <c r="V129" s="75">
        <f>Rentroll!$Y26*Index!U34</f>
        <v>0</v>
      </c>
      <c r="W129" s="75">
        <f>Rentroll!$Y26*Index!V34</f>
        <v>0</v>
      </c>
      <c r="X129" s="75">
        <f>Rentroll!$Y26*Index!W34</f>
        <v>0</v>
      </c>
      <c r="Y129" s="75">
        <f>Rentroll!$Y26*Index!X34</f>
        <v>0</v>
      </c>
      <c r="Z129" s="75">
        <f>Rentroll!$Y26*Index!Y34</f>
        <v>0</v>
      </c>
      <c r="AA129" s="75">
        <f>Rentroll!$Y26*Index!Z34</f>
        <v>0</v>
      </c>
      <c r="AB129" s="75">
        <f>Rentroll!$Y26*Index!AA34</f>
        <v>0</v>
      </c>
      <c r="AC129" s="75">
        <f>Rentroll!$Y26*Index!AB34</f>
        <v>0</v>
      </c>
      <c r="AD129" s="75">
        <f>Rentroll!$Y26*Index!AC34</f>
        <v>0</v>
      </c>
      <c r="AE129" s="75">
        <f>Rentroll!$Y26*Index!AD34</f>
        <v>0</v>
      </c>
      <c r="AF129" s="75">
        <f>Rentroll!$Y26*Index!AE34</f>
        <v>0</v>
      </c>
      <c r="AG129" s="75">
        <f>Rentroll!$Y26*Index!AF34</f>
        <v>0</v>
      </c>
      <c r="AH129" s="75">
        <f>Rentroll!$Y26*Index!AG34</f>
        <v>0</v>
      </c>
      <c r="AI129" s="75">
        <f>Rentroll!$Y26*Index!AH34</f>
        <v>0</v>
      </c>
      <c r="AJ129" s="75">
        <f>Rentroll!$Y26*Index!AI34</f>
        <v>0</v>
      </c>
      <c r="AK129" s="75">
        <f>Rentroll!$Y26*Index!AJ34</f>
        <v>0</v>
      </c>
      <c r="AL129" s="75">
        <f>Rentroll!$Y26*Index!AK34</f>
        <v>0</v>
      </c>
      <c r="AM129" s="75">
        <f>Rentroll!$Y26*Index!AL34</f>
        <v>0</v>
      </c>
      <c r="AN129" s="75">
        <f>Rentroll!$Y26*Index!AM34</f>
        <v>0</v>
      </c>
      <c r="AO129" s="75">
        <f>Rentroll!$Y26*Index!AN34</f>
        <v>0</v>
      </c>
      <c r="AP129" s="75">
        <f>Rentroll!$Y26*Index!AO34</f>
        <v>0</v>
      </c>
      <c r="AQ129" s="75">
        <f>Rentroll!$Y26*Index!AP34</f>
        <v>0</v>
      </c>
      <c r="AR129" s="75">
        <f>Rentroll!$Y26*Index!AQ34</f>
        <v>0</v>
      </c>
      <c r="AS129" s="75">
        <f>Rentroll!$Y26*Index!AR34</f>
        <v>0</v>
      </c>
      <c r="AT129" s="75">
        <f>Rentroll!$Y26*Index!AS34</f>
        <v>0</v>
      </c>
      <c r="AU129" s="75">
        <f>Rentroll!$Y26*Index!AT34</f>
        <v>0</v>
      </c>
      <c r="AV129" s="75">
        <f>Rentroll!$Y26*Index!AU34</f>
        <v>0</v>
      </c>
      <c r="AW129" s="75">
        <f>Rentroll!$Y26*Index!AV34</f>
        <v>0</v>
      </c>
      <c r="AX129" s="75">
        <f>Rentroll!$Y26*Index!AW34</f>
        <v>0</v>
      </c>
      <c r="AY129" s="75">
        <f>Rentroll!$Y26*Index!AX34</f>
        <v>0</v>
      </c>
      <c r="AZ129" s="75">
        <f>Rentroll!$Y26*Index!AY34</f>
        <v>0</v>
      </c>
      <c r="BA129" s="75">
        <f>Rentroll!$Y26*Index!AZ34</f>
        <v>0</v>
      </c>
      <c r="BB129" s="75">
        <f>Rentroll!$Y26*Index!BA34</f>
        <v>0</v>
      </c>
      <c r="BC129" s="75">
        <f>Rentroll!$Y26*Index!BB34</f>
        <v>0</v>
      </c>
      <c r="BD129" s="75">
        <f>Rentroll!$Y26*Index!BC34</f>
        <v>0</v>
      </c>
      <c r="BE129" s="75">
        <f>Rentroll!$Y26*Index!BD34</f>
        <v>0</v>
      </c>
      <c r="BF129" s="75">
        <f>Rentroll!$Y26*Index!BE34</f>
        <v>0</v>
      </c>
      <c r="BG129" s="75">
        <f>Rentroll!$Y26*Index!BF34</f>
        <v>0</v>
      </c>
      <c r="BH129" s="75">
        <f>Rentroll!$Y26*Index!BG34</f>
        <v>0</v>
      </c>
      <c r="BI129" s="75">
        <f>Rentroll!$Y26*Index!BH34</f>
        <v>0</v>
      </c>
      <c r="BJ129" s="75">
        <f>Rentroll!$Y26*Index!BI34</f>
        <v>0</v>
      </c>
      <c r="BK129" s="75">
        <f>Rentroll!$Y26*Index!BJ34</f>
        <v>0</v>
      </c>
      <c r="BL129" s="75">
        <f>Rentroll!$Y26*Index!BK34</f>
        <v>0</v>
      </c>
      <c r="BM129" s="75">
        <f>Rentroll!$Y26*Index!BL34</f>
        <v>0</v>
      </c>
      <c r="BN129" s="75">
        <f>Rentroll!$Y26*Index!BM34</f>
        <v>0</v>
      </c>
      <c r="BO129" s="75">
        <f>Rentroll!$Y26*Index!BN34</f>
        <v>0</v>
      </c>
      <c r="BP129" s="75">
        <f>Rentroll!$Y26*Index!BO34</f>
        <v>0</v>
      </c>
      <c r="BQ129" s="75">
        <f>Rentroll!$Y26*Index!BP34</f>
        <v>0</v>
      </c>
      <c r="BR129" s="75">
        <f>Rentroll!$Y26*Index!BQ34</f>
        <v>0</v>
      </c>
      <c r="BS129" s="75">
        <f>Rentroll!$Y26*Index!BR34</f>
        <v>0</v>
      </c>
      <c r="BT129" s="75">
        <f>Rentroll!$Y26*Index!BS34</f>
        <v>0</v>
      </c>
      <c r="BU129" s="75">
        <f>Rentroll!$Y26*Index!BT34</f>
        <v>0</v>
      </c>
      <c r="BV129" s="75">
        <f>Rentroll!$Y26*Index!BU34</f>
        <v>0</v>
      </c>
      <c r="BW129" s="75">
        <f>Rentroll!$Y26*Index!BV34</f>
        <v>0</v>
      </c>
      <c r="BX129" s="75">
        <f>Rentroll!$Y26*Index!BW34</f>
        <v>0</v>
      </c>
      <c r="BY129" s="75">
        <f>Rentroll!$Y26*Index!BX34</f>
        <v>0</v>
      </c>
      <c r="BZ129" s="75">
        <f>Rentroll!$Y26*Index!BY34</f>
        <v>0</v>
      </c>
      <c r="CA129" s="75">
        <f>Rentroll!$Y26*Index!BZ34</f>
        <v>0</v>
      </c>
      <c r="CB129" s="75">
        <f>Rentroll!$Y26*Index!CA34</f>
        <v>0</v>
      </c>
      <c r="CC129" s="75">
        <f>Rentroll!$Y26*Index!CB34</f>
        <v>0</v>
      </c>
      <c r="CD129" s="75">
        <f>Rentroll!$Y26*Index!CC34</f>
        <v>0</v>
      </c>
      <c r="CE129" s="75">
        <f>Rentroll!$Y26*Index!CD34</f>
        <v>0</v>
      </c>
      <c r="CF129" s="75">
        <f>Rentroll!$Y26*Index!CE34</f>
        <v>0</v>
      </c>
      <c r="CG129" s="75">
        <f>Rentroll!$Y26*Index!CF34</f>
        <v>0</v>
      </c>
      <c r="CH129" s="75">
        <f>Rentroll!$Y26*Index!CG34</f>
        <v>0</v>
      </c>
      <c r="CI129" s="75">
        <f>Rentroll!$Y26*Index!CH34</f>
        <v>0</v>
      </c>
      <c r="CJ129" s="75">
        <f>Rentroll!$Y26*Index!CI34</f>
        <v>0</v>
      </c>
      <c r="CK129" s="75">
        <f>Rentroll!$Y26*Index!CJ34</f>
        <v>0</v>
      </c>
      <c r="CL129" s="75">
        <f>Rentroll!$Y26*Index!CK34</f>
        <v>0</v>
      </c>
      <c r="CM129" s="75">
        <f>Rentroll!$Y26*Index!CL34</f>
        <v>0</v>
      </c>
      <c r="CN129" s="75">
        <f>Rentroll!$Y26*Index!CM34</f>
        <v>0</v>
      </c>
      <c r="CO129" s="75">
        <f>Rentroll!$Y26*Index!CN34</f>
        <v>0</v>
      </c>
      <c r="CP129" s="75">
        <f>Rentroll!$Y26*Index!CO34</f>
        <v>0</v>
      </c>
      <c r="CQ129" s="75">
        <f>Rentroll!$Y26*Index!CP34</f>
        <v>0</v>
      </c>
      <c r="CR129" s="75">
        <f>Rentroll!$Y26*Index!CQ34</f>
        <v>0</v>
      </c>
      <c r="CS129" s="75">
        <f>Rentroll!$Y26*Index!CR34</f>
        <v>0</v>
      </c>
      <c r="CT129" s="75">
        <f>Rentroll!$Y26*Index!CS34</f>
        <v>0</v>
      </c>
      <c r="CU129" s="75">
        <f>Rentroll!$Y26*Index!CT34</f>
        <v>0</v>
      </c>
      <c r="CV129" s="75">
        <f>Rentroll!$Y26*Index!CU34</f>
        <v>0</v>
      </c>
      <c r="CW129" s="75">
        <f>Rentroll!$Y26*Index!CV34</f>
        <v>0</v>
      </c>
      <c r="CX129" s="75">
        <f>Rentroll!$Y26*Index!CW34</f>
        <v>0</v>
      </c>
      <c r="CY129" s="75">
        <f>Rentroll!$Y26*Index!CX34</f>
        <v>0</v>
      </c>
      <c r="CZ129" s="75">
        <f>Rentroll!$Y26*Index!CY34</f>
        <v>0</v>
      </c>
      <c r="DA129" s="75">
        <f>Rentroll!$Y26*Index!CZ34</f>
        <v>0</v>
      </c>
      <c r="DB129" s="75">
        <f>Rentroll!$Y26*Index!DA34</f>
        <v>0</v>
      </c>
      <c r="DC129" s="75">
        <f>Rentroll!$Y26*Index!DB34</f>
        <v>0</v>
      </c>
      <c r="DD129" s="75">
        <f>Rentroll!$Y26*Index!DC34</f>
        <v>0</v>
      </c>
      <c r="DE129" s="75">
        <f>Rentroll!$Y26*Index!DD34</f>
        <v>0</v>
      </c>
      <c r="DF129" s="75">
        <f>Rentroll!$Y26*Index!DE34</f>
        <v>0</v>
      </c>
      <c r="DG129" s="75">
        <f>Rentroll!$Y26*Index!DF34</f>
        <v>0</v>
      </c>
      <c r="DH129" s="75">
        <f>Rentroll!$Y26*Index!DG34</f>
        <v>0</v>
      </c>
      <c r="DI129" s="75">
        <f>Rentroll!$Y26*Index!DH34</f>
        <v>0</v>
      </c>
      <c r="DJ129" s="75">
        <f>Rentroll!$Y26*Index!DI34</f>
        <v>0</v>
      </c>
      <c r="DK129" s="75">
        <f>Rentroll!$Y26*Index!DJ34</f>
        <v>0</v>
      </c>
      <c r="DL129" s="75">
        <f>Rentroll!$Y26*Index!DK34</f>
        <v>0</v>
      </c>
      <c r="DM129" s="75">
        <f>Rentroll!$Y26*Index!DL34</f>
        <v>0</v>
      </c>
    </row>
    <row r="130" spans="2:117">
      <c r="B130" s="27">
        <f>Rentroll!$C$27</f>
        <v>1</v>
      </c>
      <c r="C130" s="69" t="str">
        <f>VLOOKUP($B130,Rentroll!$C$11:$X$29,3,FALSE)</f>
        <v>파파 커피앤도넛</v>
      </c>
      <c r="D130" s="80">
        <f>VLOOKUP($B130,Rentroll!$C$11:$X$29,9,FALSE)</f>
        <v>42064</v>
      </c>
      <c r="E130" s="80">
        <f>VLOOKUP($B130,Rentroll!$C$11:$X$29,10,FALSE)</f>
        <v>45716</v>
      </c>
      <c r="F130" s="81">
        <f>VLOOKUP($B130,Rentroll!$C$11:$X$29,11,FALSE)</f>
        <v>120</v>
      </c>
      <c r="G130" s="69">
        <f>VLOOKUP($B130,Rentroll!$C$11:$X$29,13,FALSE)</f>
        <v>91334</v>
      </c>
      <c r="H130" s="69">
        <f>VLOOKUP($B130,Rentroll!$C$11:$X$29,14,FALSE)</f>
        <v>83722.833333333328</v>
      </c>
      <c r="I130" s="69">
        <f>VLOOKUP($B130,Rentroll!$C$11:$X$29,15,FALSE)</f>
        <v>39143</v>
      </c>
      <c r="J130" s="82">
        <f>VLOOKUP($B130,Rentroll!$C$11:$X$29,19,FALSE)</f>
        <v>0.03</v>
      </c>
      <c r="K130" s="83">
        <f>VLOOKUP($B130,Rentroll!$C$11:$X$29,4,FALSE)</f>
        <v>969.56</v>
      </c>
      <c r="L130" s="81">
        <f>VLOOKUP($B130,Rentroll!$C$11:$X$29,17,FALSE)</f>
        <v>0</v>
      </c>
      <c r="M130" s="84">
        <f>VLOOKUP($B130,Rentroll!$C$11:$X$29,18,FALSE)</f>
        <v>1</v>
      </c>
      <c r="O130" s="74">
        <f t="shared" si="228"/>
        <v>1</v>
      </c>
      <c r="P130" s="75"/>
      <c r="Q130" s="75"/>
      <c r="R130" s="75"/>
      <c r="S130" s="75">
        <f>Rentroll!$Y27*Index!R35</f>
        <v>0</v>
      </c>
      <c r="T130" s="75">
        <f>Rentroll!$Y27*Index!S35</f>
        <v>205.30432999999999</v>
      </c>
      <c r="U130" s="75">
        <f>Rentroll!$Y27*Index!T35</f>
        <v>0</v>
      </c>
      <c r="V130" s="75">
        <f>Rentroll!$Y27*Index!U35</f>
        <v>0</v>
      </c>
      <c r="W130" s="75">
        <f>Rentroll!$Y27*Index!V35</f>
        <v>0</v>
      </c>
      <c r="X130" s="75">
        <f>Rentroll!$Y27*Index!W35</f>
        <v>0</v>
      </c>
      <c r="Y130" s="75">
        <f>Rentroll!$Y27*Index!X35</f>
        <v>0</v>
      </c>
      <c r="Z130" s="75">
        <f>Rentroll!$Y27*Index!Y35</f>
        <v>0</v>
      </c>
      <c r="AA130" s="75">
        <f>Rentroll!$Y27*Index!Z35</f>
        <v>0</v>
      </c>
      <c r="AB130" s="75">
        <f>Rentroll!$Y27*Index!AA35</f>
        <v>0</v>
      </c>
      <c r="AC130" s="75">
        <f>Rentroll!$Y27*Index!AB35</f>
        <v>0</v>
      </c>
      <c r="AD130" s="75">
        <f>Rentroll!$Y27*Index!AC35</f>
        <v>0</v>
      </c>
      <c r="AE130" s="75">
        <f>Rentroll!$Y27*Index!AD35</f>
        <v>0</v>
      </c>
      <c r="AF130" s="75">
        <f>Rentroll!$Y27*Index!AE35</f>
        <v>0</v>
      </c>
      <c r="AG130" s="75">
        <f>Rentroll!$Y27*Index!AF35</f>
        <v>0</v>
      </c>
      <c r="AH130" s="75">
        <f>Rentroll!$Y27*Index!AG35</f>
        <v>0</v>
      </c>
      <c r="AI130" s="75">
        <f>Rentroll!$Y27*Index!AH35</f>
        <v>0</v>
      </c>
      <c r="AJ130" s="75">
        <f>Rentroll!$Y27*Index!AI35</f>
        <v>0</v>
      </c>
      <c r="AK130" s="75">
        <f>Rentroll!$Y27*Index!AJ35</f>
        <v>0</v>
      </c>
      <c r="AL130" s="75">
        <f>Rentroll!$Y27*Index!AK35</f>
        <v>0</v>
      </c>
      <c r="AM130" s="75">
        <f>Rentroll!$Y27*Index!AL35</f>
        <v>0</v>
      </c>
      <c r="AN130" s="75">
        <f>Rentroll!$Y27*Index!AM35</f>
        <v>0</v>
      </c>
      <c r="AO130" s="75">
        <f>Rentroll!$Y27*Index!AN35</f>
        <v>0</v>
      </c>
      <c r="AP130" s="75">
        <f>Rentroll!$Y27*Index!AO35</f>
        <v>0</v>
      </c>
      <c r="AQ130" s="75">
        <f>Rentroll!$Y27*Index!AP35</f>
        <v>0</v>
      </c>
      <c r="AR130" s="75">
        <f>Rentroll!$Y27*Index!AQ35</f>
        <v>0</v>
      </c>
      <c r="AS130" s="75">
        <f>Rentroll!$Y27*Index!AR35</f>
        <v>0</v>
      </c>
      <c r="AT130" s="75">
        <f>Rentroll!$Y27*Index!AS35</f>
        <v>0</v>
      </c>
      <c r="AU130" s="75">
        <f>Rentroll!$Y27*Index!AT35</f>
        <v>0</v>
      </c>
      <c r="AV130" s="75">
        <f>Rentroll!$Y27*Index!AU35</f>
        <v>0</v>
      </c>
      <c r="AW130" s="75">
        <f>Rentroll!$Y27*Index!AV35</f>
        <v>0</v>
      </c>
      <c r="AX130" s="75">
        <f>Rentroll!$Y27*Index!AW35</f>
        <v>0</v>
      </c>
      <c r="AY130" s="75">
        <f>Rentroll!$Y27*Index!AX35</f>
        <v>0</v>
      </c>
      <c r="AZ130" s="75">
        <f>Rentroll!$Y27*Index!AY35</f>
        <v>0</v>
      </c>
      <c r="BA130" s="75">
        <f>Rentroll!$Y27*Index!AZ35</f>
        <v>0</v>
      </c>
      <c r="BB130" s="75">
        <f>Rentroll!$Y27*Index!BA35</f>
        <v>0</v>
      </c>
      <c r="BC130" s="75">
        <f>Rentroll!$Y27*Index!BB35</f>
        <v>0</v>
      </c>
      <c r="BD130" s="75">
        <f>Rentroll!$Y27*Index!BC35</f>
        <v>0</v>
      </c>
      <c r="BE130" s="75">
        <f>Rentroll!$Y27*Index!BD35</f>
        <v>0</v>
      </c>
      <c r="BF130" s="75">
        <f>Rentroll!$Y27*Index!BE35</f>
        <v>0</v>
      </c>
      <c r="BG130" s="75">
        <f>Rentroll!$Y27*Index!BF35</f>
        <v>0</v>
      </c>
      <c r="BH130" s="75">
        <f>Rentroll!$Y27*Index!BG35</f>
        <v>0</v>
      </c>
      <c r="BI130" s="75">
        <f>Rentroll!$Y27*Index!BH35</f>
        <v>0</v>
      </c>
      <c r="BJ130" s="75">
        <f>Rentroll!$Y27*Index!BI35</f>
        <v>0</v>
      </c>
      <c r="BK130" s="75">
        <f>Rentroll!$Y27*Index!BJ35</f>
        <v>0</v>
      </c>
      <c r="BL130" s="75">
        <f>Rentroll!$Y27*Index!BK35</f>
        <v>0</v>
      </c>
      <c r="BM130" s="75">
        <f>Rentroll!$Y27*Index!BL35</f>
        <v>0</v>
      </c>
      <c r="BN130" s="75">
        <f>Rentroll!$Y27*Index!BM35</f>
        <v>0</v>
      </c>
      <c r="BO130" s="75">
        <f>Rentroll!$Y27*Index!BN35</f>
        <v>0</v>
      </c>
      <c r="BP130" s="75">
        <f>Rentroll!$Y27*Index!BO35</f>
        <v>0</v>
      </c>
      <c r="BQ130" s="75">
        <f>Rentroll!$Y27*Index!BP35</f>
        <v>0</v>
      </c>
      <c r="BR130" s="75">
        <f>Rentroll!$Y27*Index!BQ35</f>
        <v>0</v>
      </c>
      <c r="BS130" s="75">
        <f>Rentroll!$Y27*Index!BR35</f>
        <v>0</v>
      </c>
      <c r="BT130" s="75">
        <f>Rentroll!$Y27*Index!BS35</f>
        <v>0</v>
      </c>
      <c r="BU130" s="75">
        <f>Rentroll!$Y27*Index!BT35</f>
        <v>0</v>
      </c>
      <c r="BV130" s="75">
        <f>Rentroll!$Y27*Index!BU35</f>
        <v>0</v>
      </c>
      <c r="BW130" s="75">
        <f>Rentroll!$Y27*Index!BV35</f>
        <v>0</v>
      </c>
      <c r="BX130" s="75">
        <f>Rentroll!$Y27*Index!BW35</f>
        <v>0</v>
      </c>
      <c r="BY130" s="75">
        <f>Rentroll!$Y27*Index!BX35</f>
        <v>0</v>
      </c>
      <c r="BZ130" s="75">
        <f>Rentroll!$Y27*Index!BY35</f>
        <v>0</v>
      </c>
      <c r="CA130" s="75">
        <f>Rentroll!$Y27*Index!BZ35</f>
        <v>0</v>
      </c>
      <c r="CB130" s="75">
        <f>Rentroll!$Y27*Index!CA35</f>
        <v>0</v>
      </c>
      <c r="CC130" s="75">
        <f>Rentroll!$Y27*Index!CB35</f>
        <v>0</v>
      </c>
      <c r="CD130" s="75">
        <f>Rentroll!$Y27*Index!CC35</f>
        <v>0</v>
      </c>
      <c r="CE130" s="75">
        <f>Rentroll!$Y27*Index!CD35</f>
        <v>0</v>
      </c>
      <c r="CF130" s="75">
        <f>Rentroll!$Y27*Index!CE35</f>
        <v>0</v>
      </c>
      <c r="CG130" s="75">
        <f>Rentroll!$Y27*Index!CF35</f>
        <v>0</v>
      </c>
      <c r="CH130" s="75">
        <f>Rentroll!$Y27*Index!CG35</f>
        <v>0</v>
      </c>
      <c r="CI130" s="75">
        <f>Rentroll!$Y27*Index!CH35</f>
        <v>0</v>
      </c>
      <c r="CJ130" s="75">
        <f>Rentroll!$Y27*Index!CI35</f>
        <v>0</v>
      </c>
      <c r="CK130" s="75">
        <f>Rentroll!$Y27*Index!CJ35</f>
        <v>0</v>
      </c>
      <c r="CL130" s="75">
        <f>Rentroll!$Y27*Index!CK35</f>
        <v>0</v>
      </c>
      <c r="CM130" s="75">
        <f>Rentroll!$Y27*Index!CL35</f>
        <v>0</v>
      </c>
      <c r="CN130" s="75">
        <f>Rentroll!$Y27*Index!CM35</f>
        <v>0</v>
      </c>
      <c r="CO130" s="75">
        <f>Rentroll!$Y27*Index!CN35</f>
        <v>0</v>
      </c>
      <c r="CP130" s="75">
        <f>Rentroll!$Y27*Index!CO35</f>
        <v>0</v>
      </c>
      <c r="CQ130" s="75">
        <f>Rentroll!$Y27*Index!CP35</f>
        <v>0</v>
      </c>
      <c r="CR130" s="75">
        <f>Rentroll!$Y27*Index!CQ35</f>
        <v>0</v>
      </c>
      <c r="CS130" s="75">
        <f>Rentroll!$Y27*Index!CR35</f>
        <v>0</v>
      </c>
      <c r="CT130" s="75">
        <f>Rentroll!$Y27*Index!CS35</f>
        <v>0</v>
      </c>
      <c r="CU130" s="75">
        <f>Rentroll!$Y27*Index!CT35</f>
        <v>0</v>
      </c>
      <c r="CV130" s="75">
        <f>Rentroll!$Y27*Index!CU35</f>
        <v>0</v>
      </c>
      <c r="CW130" s="75">
        <f>Rentroll!$Y27*Index!CV35</f>
        <v>0</v>
      </c>
      <c r="CX130" s="75">
        <f>Rentroll!$Y27*Index!CW35</f>
        <v>0</v>
      </c>
      <c r="CY130" s="75">
        <f>Rentroll!$Y27*Index!CX35</f>
        <v>0</v>
      </c>
      <c r="CZ130" s="75">
        <f>Rentroll!$Y27*Index!CY35</f>
        <v>0</v>
      </c>
      <c r="DA130" s="75">
        <f>Rentroll!$Y27*Index!CZ35</f>
        <v>0</v>
      </c>
      <c r="DB130" s="75">
        <f>Rentroll!$Y27*Index!DA35</f>
        <v>0</v>
      </c>
      <c r="DC130" s="75">
        <f>Rentroll!$Y27*Index!DB35</f>
        <v>0</v>
      </c>
      <c r="DD130" s="75">
        <f>Rentroll!$Y27*Index!DC35</f>
        <v>0</v>
      </c>
      <c r="DE130" s="75">
        <f>Rentroll!$Y27*Index!DD35</f>
        <v>0</v>
      </c>
      <c r="DF130" s="75">
        <f>Rentroll!$Y27*Index!DE35</f>
        <v>0</v>
      </c>
      <c r="DG130" s="75">
        <f>Rentroll!$Y27*Index!DF35</f>
        <v>0</v>
      </c>
      <c r="DH130" s="75">
        <f>Rentroll!$Y27*Index!DG35</f>
        <v>0</v>
      </c>
      <c r="DI130" s="75">
        <f>Rentroll!$Y27*Index!DH35</f>
        <v>0</v>
      </c>
      <c r="DJ130" s="75">
        <f>Rentroll!$Y27*Index!DI35</f>
        <v>0</v>
      </c>
      <c r="DK130" s="75">
        <f>Rentroll!$Y27*Index!DJ35</f>
        <v>0</v>
      </c>
      <c r="DL130" s="75">
        <f>Rentroll!$Y27*Index!DK35</f>
        <v>0</v>
      </c>
      <c r="DM130" s="75">
        <f>Rentroll!$Y27*Index!DL35</f>
        <v>0</v>
      </c>
    </row>
    <row r="131" spans="2:117">
      <c r="B131" s="27" t="str">
        <f>Rentroll!$C$28</f>
        <v>B101호</v>
      </c>
      <c r="C131" s="69" t="str">
        <f>VLOOKUP($B131,Rentroll!$C$11:$X$29,3,FALSE)</f>
        <v>퀸즈 샌드위치</v>
      </c>
      <c r="D131" s="80">
        <f>VLOOKUP($B131,Rentroll!$C$11:$X$29,9,FALSE)</f>
        <v>44926</v>
      </c>
      <c r="E131" s="80">
        <f>VLOOKUP($B131,Rentroll!$C$11:$X$29,10,FALSE)</f>
        <v>46751</v>
      </c>
      <c r="F131" s="81">
        <f>VLOOKUP($B131,Rentroll!$C$11:$X$29,11,FALSE)</f>
        <v>60</v>
      </c>
      <c r="G131" s="69">
        <f>VLOOKUP($B131,Rentroll!$C$11:$X$29,13,FALSE)</f>
        <v>21218</v>
      </c>
      <c r="H131" s="69">
        <f>VLOOKUP($B131,Rentroll!$C$11:$X$29,14,FALSE)</f>
        <v>17681.666666666668</v>
      </c>
      <c r="I131" s="69">
        <f>VLOOKUP($B131,Rentroll!$C$11:$X$29,15,FALSE)</f>
        <v>31827</v>
      </c>
      <c r="J131" s="82">
        <f>VLOOKUP($B131,Rentroll!$C$11:$X$29,19,FALSE)</f>
        <v>0.03</v>
      </c>
      <c r="K131" s="83">
        <f>VLOOKUP($B131,Rentroll!$C$11:$X$29,4,FALSE)</f>
        <v>969.56</v>
      </c>
      <c r="L131" s="81">
        <f>VLOOKUP($B131,Rentroll!$C$11:$X$29,17,FALSE)</f>
        <v>0</v>
      </c>
      <c r="M131" s="84">
        <f>VLOOKUP($B131,Rentroll!$C$11:$X$29,18,FALSE)</f>
        <v>2</v>
      </c>
      <c r="O131" s="74" t="str">
        <f t="shared" si="228"/>
        <v>B101호</v>
      </c>
      <c r="P131" s="75"/>
      <c r="Q131" s="75"/>
      <c r="R131" s="75"/>
      <c r="S131" s="75">
        <f>Rentroll!$Y28*Index!R36</f>
        <v>0</v>
      </c>
      <c r="T131" s="75">
        <f>Rentroll!$Y28*Index!S36</f>
        <v>58.658380000000001</v>
      </c>
      <c r="U131" s="75">
        <f>Rentroll!$Y28*Index!T36</f>
        <v>58.658380000000001</v>
      </c>
      <c r="V131" s="75">
        <f>Rentroll!$Y28*Index!U36</f>
        <v>58.658380000000001</v>
      </c>
      <c r="W131" s="75">
        <f>Rentroll!$Y28*Index!V36</f>
        <v>58.658380000000001</v>
      </c>
      <c r="X131" s="75">
        <f>Rentroll!$Y28*Index!W36</f>
        <v>58.658380000000001</v>
      </c>
      <c r="Y131" s="75">
        <f>Rentroll!$Y28*Index!X36</f>
        <v>58.658380000000001</v>
      </c>
      <c r="Z131" s="75">
        <f>Rentroll!$Y28*Index!Y36</f>
        <v>58.658380000000001</v>
      </c>
      <c r="AA131" s="75">
        <f>Rentroll!$Y28*Index!Z36</f>
        <v>58.658380000000001</v>
      </c>
      <c r="AB131" s="75">
        <f>Rentroll!$Y28*Index!AA36</f>
        <v>58.658380000000001</v>
      </c>
      <c r="AC131" s="75">
        <f>Rentroll!$Y28*Index!AB36</f>
        <v>58.658380000000001</v>
      </c>
      <c r="AD131" s="75">
        <f>Rentroll!$Y28*Index!AC36</f>
        <v>58.658380000000001</v>
      </c>
      <c r="AE131" s="75">
        <f>Rentroll!$Y28*Index!AD36</f>
        <v>58.658380000000001</v>
      </c>
      <c r="AF131" s="75">
        <f>Rentroll!$Y28*Index!AE36</f>
        <v>58.658380000000001</v>
      </c>
      <c r="AG131" s="75">
        <f>Rentroll!$Y28*Index!AF36</f>
        <v>58.658380000000001</v>
      </c>
      <c r="AH131" s="75">
        <f>Rentroll!$Y28*Index!AG36</f>
        <v>58.658380000000001</v>
      </c>
      <c r="AI131" s="75">
        <f>Rentroll!$Y28*Index!AH36</f>
        <v>58.658380000000001</v>
      </c>
      <c r="AJ131" s="75">
        <f>Rentroll!$Y28*Index!AI36</f>
        <v>58.658380000000001</v>
      </c>
      <c r="AK131" s="75">
        <f>Rentroll!$Y28*Index!AJ36</f>
        <v>58.658380000000001</v>
      </c>
      <c r="AL131" s="75">
        <f>Rentroll!$Y28*Index!AK36</f>
        <v>58.658380000000001</v>
      </c>
      <c r="AM131" s="75">
        <f>Rentroll!$Y28*Index!AL36</f>
        <v>58.658380000000001</v>
      </c>
      <c r="AN131" s="75">
        <f>Rentroll!$Y28*Index!AM36</f>
        <v>58.658380000000001</v>
      </c>
      <c r="AO131" s="75">
        <f>Rentroll!$Y28*Index!AN36</f>
        <v>58.658380000000001</v>
      </c>
      <c r="AP131" s="75">
        <f>Rentroll!$Y28*Index!AO36</f>
        <v>58.658380000000001</v>
      </c>
      <c r="AQ131" s="75">
        <f>Rentroll!$Y28*Index!AP36</f>
        <v>58.658380000000001</v>
      </c>
      <c r="AR131" s="75">
        <f>Rentroll!$Y28*Index!AQ36</f>
        <v>58.658380000000001</v>
      </c>
      <c r="AS131" s="75">
        <f>Rentroll!$Y28*Index!AR36</f>
        <v>58.658380000000001</v>
      </c>
      <c r="AT131" s="75">
        <f>Rentroll!$Y28*Index!AS36</f>
        <v>58.658380000000001</v>
      </c>
      <c r="AU131" s="75">
        <f>Rentroll!$Y28*Index!AT36</f>
        <v>58.658380000000001</v>
      </c>
      <c r="AV131" s="75">
        <f>Rentroll!$Y28*Index!AU36</f>
        <v>58.658380000000001</v>
      </c>
      <c r="AW131" s="75">
        <f>Rentroll!$Y28*Index!AV36</f>
        <v>58.658380000000001</v>
      </c>
      <c r="AX131" s="75">
        <f>Rentroll!$Y28*Index!AW36</f>
        <v>58.658380000000001</v>
      </c>
      <c r="AY131" s="75">
        <f>Rentroll!$Y28*Index!AX36</f>
        <v>58.658380000000001</v>
      </c>
      <c r="AZ131" s="75">
        <f>Rentroll!$Y28*Index!AY36</f>
        <v>58.658380000000001</v>
      </c>
      <c r="BA131" s="75">
        <f>Rentroll!$Y28*Index!AZ36</f>
        <v>58.658380000000001</v>
      </c>
      <c r="BB131" s="75">
        <f>Rentroll!$Y28*Index!BA36</f>
        <v>58.658380000000001</v>
      </c>
      <c r="BC131" s="75">
        <f>Rentroll!$Y28*Index!BB36</f>
        <v>0</v>
      </c>
      <c r="BD131" s="75">
        <f>Rentroll!$Y28*Index!BC36</f>
        <v>0</v>
      </c>
      <c r="BE131" s="75">
        <f>Rentroll!$Y28*Index!BD36</f>
        <v>0</v>
      </c>
      <c r="BF131" s="75">
        <f>Rentroll!$Y28*Index!BE36</f>
        <v>0</v>
      </c>
      <c r="BG131" s="75">
        <f>Rentroll!$Y28*Index!BF36</f>
        <v>0</v>
      </c>
      <c r="BH131" s="75">
        <f>Rentroll!$Y28*Index!BG36</f>
        <v>0</v>
      </c>
      <c r="BI131" s="75">
        <f>Rentroll!$Y28*Index!BH36</f>
        <v>0</v>
      </c>
      <c r="BJ131" s="75">
        <f>Rentroll!$Y28*Index!BI36</f>
        <v>0</v>
      </c>
      <c r="BK131" s="75">
        <f>Rentroll!$Y28*Index!BJ36</f>
        <v>0</v>
      </c>
      <c r="BL131" s="75">
        <f>Rentroll!$Y28*Index!BK36</f>
        <v>0</v>
      </c>
      <c r="BM131" s="75">
        <f>Rentroll!$Y28*Index!BL36</f>
        <v>0</v>
      </c>
      <c r="BN131" s="75">
        <f>Rentroll!$Y28*Index!BM36</f>
        <v>0</v>
      </c>
      <c r="BO131" s="75">
        <f>Rentroll!$Y28*Index!BN36</f>
        <v>0</v>
      </c>
      <c r="BP131" s="75">
        <f>Rentroll!$Y28*Index!BO36</f>
        <v>0</v>
      </c>
      <c r="BQ131" s="75">
        <f>Rentroll!$Y28*Index!BP36</f>
        <v>0</v>
      </c>
      <c r="BR131" s="75">
        <f>Rentroll!$Y28*Index!BQ36</f>
        <v>0</v>
      </c>
      <c r="BS131" s="75">
        <f>Rentroll!$Y28*Index!BR36</f>
        <v>0</v>
      </c>
      <c r="BT131" s="75">
        <f>Rentroll!$Y28*Index!BS36</f>
        <v>0</v>
      </c>
      <c r="BU131" s="75">
        <f>Rentroll!$Y28*Index!BT36</f>
        <v>0</v>
      </c>
      <c r="BV131" s="75">
        <f>Rentroll!$Y28*Index!BU36</f>
        <v>0</v>
      </c>
      <c r="BW131" s="75">
        <f>Rentroll!$Y28*Index!BV36</f>
        <v>0</v>
      </c>
      <c r="BX131" s="75">
        <f>Rentroll!$Y28*Index!BW36</f>
        <v>0</v>
      </c>
      <c r="BY131" s="75">
        <f>Rentroll!$Y28*Index!BX36</f>
        <v>0</v>
      </c>
      <c r="BZ131" s="75">
        <f>Rentroll!$Y28*Index!BY36</f>
        <v>0</v>
      </c>
      <c r="CA131" s="75">
        <f>Rentroll!$Y28*Index!BZ36</f>
        <v>0</v>
      </c>
      <c r="CB131" s="75">
        <f>Rentroll!$Y28*Index!CA36</f>
        <v>0</v>
      </c>
      <c r="CC131" s="75">
        <f>Rentroll!$Y28*Index!CB36</f>
        <v>0</v>
      </c>
      <c r="CD131" s="75">
        <f>Rentroll!$Y28*Index!CC36</f>
        <v>0</v>
      </c>
      <c r="CE131" s="75">
        <f>Rentroll!$Y28*Index!CD36</f>
        <v>0</v>
      </c>
      <c r="CF131" s="75">
        <f>Rentroll!$Y28*Index!CE36</f>
        <v>0</v>
      </c>
      <c r="CG131" s="75">
        <f>Rentroll!$Y28*Index!CF36</f>
        <v>0</v>
      </c>
      <c r="CH131" s="75">
        <f>Rentroll!$Y28*Index!CG36</f>
        <v>0</v>
      </c>
      <c r="CI131" s="75">
        <f>Rentroll!$Y28*Index!CH36</f>
        <v>0</v>
      </c>
      <c r="CJ131" s="75">
        <f>Rentroll!$Y28*Index!CI36</f>
        <v>0</v>
      </c>
      <c r="CK131" s="75">
        <f>Rentroll!$Y28*Index!CJ36</f>
        <v>0</v>
      </c>
      <c r="CL131" s="75">
        <f>Rentroll!$Y28*Index!CK36</f>
        <v>0</v>
      </c>
      <c r="CM131" s="75">
        <f>Rentroll!$Y28*Index!CL36</f>
        <v>0</v>
      </c>
      <c r="CN131" s="75">
        <f>Rentroll!$Y28*Index!CM36</f>
        <v>0</v>
      </c>
      <c r="CO131" s="75">
        <f>Rentroll!$Y28*Index!CN36</f>
        <v>0</v>
      </c>
      <c r="CP131" s="75">
        <f>Rentroll!$Y28*Index!CO36</f>
        <v>0</v>
      </c>
      <c r="CQ131" s="75">
        <f>Rentroll!$Y28*Index!CP36</f>
        <v>0</v>
      </c>
      <c r="CR131" s="75">
        <f>Rentroll!$Y28*Index!CQ36</f>
        <v>0</v>
      </c>
      <c r="CS131" s="75">
        <f>Rentroll!$Y28*Index!CR36</f>
        <v>0</v>
      </c>
      <c r="CT131" s="75">
        <f>Rentroll!$Y28*Index!CS36</f>
        <v>0</v>
      </c>
      <c r="CU131" s="75">
        <f>Rentroll!$Y28*Index!CT36</f>
        <v>0</v>
      </c>
      <c r="CV131" s="75">
        <f>Rentroll!$Y28*Index!CU36</f>
        <v>0</v>
      </c>
      <c r="CW131" s="75">
        <f>Rentroll!$Y28*Index!CV36</f>
        <v>0</v>
      </c>
      <c r="CX131" s="75">
        <f>Rentroll!$Y28*Index!CW36</f>
        <v>0</v>
      </c>
      <c r="CY131" s="75">
        <f>Rentroll!$Y28*Index!CX36</f>
        <v>0</v>
      </c>
      <c r="CZ131" s="75">
        <f>Rentroll!$Y28*Index!CY36</f>
        <v>0</v>
      </c>
      <c r="DA131" s="75">
        <f>Rentroll!$Y28*Index!CZ36</f>
        <v>0</v>
      </c>
      <c r="DB131" s="75">
        <f>Rentroll!$Y28*Index!DA36</f>
        <v>0</v>
      </c>
      <c r="DC131" s="75">
        <f>Rentroll!$Y28*Index!DB36</f>
        <v>0</v>
      </c>
      <c r="DD131" s="75">
        <f>Rentroll!$Y28*Index!DC36</f>
        <v>0</v>
      </c>
      <c r="DE131" s="75">
        <f>Rentroll!$Y28*Index!DD36</f>
        <v>0</v>
      </c>
      <c r="DF131" s="75">
        <f>Rentroll!$Y28*Index!DE36</f>
        <v>0</v>
      </c>
      <c r="DG131" s="75">
        <f>Rentroll!$Y28*Index!DF36</f>
        <v>0</v>
      </c>
      <c r="DH131" s="75">
        <f>Rentroll!$Y28*Index!DG36</f>
        <v>0</v>
      </c>
      <c r="DI131" s="75">
        <f>Rentroll!$Y28*Index!DH36</f>
        <v>0</v>
      </c>
      <c r="DJ131" s="75">
        <f>Rentroll!$Y28*Index!DI36</f>
        <v>0</v>
      </c>
      <c r="DK131" s="75">
        <f>Rentroll!$Y28*Index!DJ36</f>
        <v>0</v>
      </c>
      <c r="DL131" s="75">
        <f>Rentroll!$Y28*Index!DK36</f>
        <v>0</v>
      </c>
      <c r="DM131" s="75">
        <f>Rentroll!$Y28*Index!DL36</f>
        <v>0</v>
      </c>
    </row>
    <row r="132" spans="2:117">
      <c r="B132" s="27" t="str">
        <f>Rentroll!$C$29</f>
        <v>B102호</v>
      </c>
      <c r="C132" s="69" t="str">
        <f>VLOOKUP($B132,Rentroll!$C$11:$X$29,3,FALSE)</f>
        <v>로미오 문구점</v>
      </c>
      <c r="D132" s="80">
        <f>VLOOKUP($B132,Rentroll!$C$11:$X$29,9,FALSE)</f>
        <v>44592</v>
      </c>
      <c r="E132" s="80">
        <f>VLOOKUP($B132,Rentroll!$C$11:$X$29,10,FALSE)</f>
        <v>46417</v>
      </c>
      <c r="F132" s="81">
        <f>VLOOKUP($B132,Rentroll!$C$11:$X$29,11,FALSE)</f>
        <v>60</v>
      </c>
      <c r="G132" s="69">
        <f>VLOOKUP($B132,Rentroll!$C$11:$X$29,13,FALSE)</f>
        <v>31827</v>
      </c>
      <c r="H132" s="69">
        <f>VLOOKUP($B132,Rentroll!$C$11:$X$29,14,FALSE)</f>
        <v>23870.25</v>
      </c>
      <c r="I132" s="69">
        <f>VLOOKUP($B132,Rentroll!$C$11:$X$29,15,FALSE)</f>
        <v>31827</v>
      </c>
      <c r="J132" s="82">
        <f>VLOOKUP($B132,Rentroll!$C$11:$X$29,19,FALSE)</f>
        <v>0.03</v>
      </c>
      <c r="K132" s="83">
        <f>VLOOKUP($B132,Rentroll!$C$11:$X$29,4,FALSE)</f>
        <v>969.56</v>
      </c>
      <c r="L132" s="81">
        <f>VLOOKUP($B132,Rentroll!$C$11:$X$29,17,FALSE)</f>
        <v>0</v>
      </c>
      <c r="M132" s="84">
        <f>VLOOKUP($B132,Rentroll!$C$11:$X$29,18,FALSE)</f>
        <v>3</v>
      </c>
      <c r="O132" s="26" t="str">
        <f t="shared" si="228"/>
        <v>B102호</v>
      </c>
      <c r="P132" s="76"/>
      <c r="Q132" s="76"/>
      <c r="R132" s="76"/>
      <c r="S132" s="76">
        <f>Rentroll!$Y29*Index!R37</f>
        <v>0</v>
      </c>
      <c r="T132" s="76">
        <f>Rentroll!$Y29*Index!S37</f>
        <v>87.987570000000005</v>
      </c>
      <c r="U132" s="76">
        <f>Rentroll!$Y29*Index!T37</f>
        <v>87.987570000000005</v>
      </c>
      <c r="V132" s="76">
        <f>Rentroll!$Y29*Index!U37</f>
        <v>87.987570000000005</v>
      </c>
      <c r="W132" s="76">
        <f>Rentroll!$Y29*Index!V37</f>
        <v>87.987570000000005</v>
      </c>
      <c r="X132" s="76">
        <f>Rentroll!$Y29*Index!W37</f>
        <v>87.987570000000005</v>
      </c>
      <c r="Y132" s="76">
        <f>Rentroll!$Y29*Index!X37</f>
        <v>87.987570000000005</v>
      </c>
      <c r="Z132" s="76">
        <f>Rentroll!$Y29*Index!Y37</f>
        <v>87.987570000000005</v>
      </c>
      <c r="AA132" s="76">
        <f>Rentroll!$Y29*Index!Z37</f>
        <v>87.987570000000005</v>
      </c>
      <c r="AB132" s="76">
        <f>Rentroll!$Y29*Index!AA37</f>
        <v>87.987570000000005</v>
      </c>
      <c r="AC132" s="76">
        <f>Rentroll!$Y29*Index!AB37</f>
        <v>87.987570000000005</v>
      </c>
      <c r="AD132" s="76">
        <f>Rentroll!$Y29*Index!AC37</f>
        <v>87.987570000000005</v>
      </c>
      <c r="AE132" s="76">
        <f>Rentroll!$Y29*Index!AD37</f>
        <v>87.987570000000005</v>
      </c>
      <c r="AF132" s="76">
        <f>Rentroll!$Y29*Index!AE37</f>
        <v>87.987570000000005</v>
      </c>
      <c r="AG132" s="76">
        <f>Rentroll!$Y29*Index!AF37</f>
        <v>87.987570000000005</v>
      </c>
      <c r="AH132" s="76">
        <f>Rentroll!$Y29*Index!AG37</f>
        <v>87.987570000000005</v>
      </c>
      <c r="AI132" s="76">
        <f>Rentroll!$Y29*Index!AH37</f>
        <v>87.987570000000005</v>
      </c>
      <c r="AJ132" s="76">
        <f>Rentroll!$Y29*Index!AI37</f>
        <v>87.987570000000005</v>
      </c>
      <c r="AK132" s="76">
        <f>Rentroll!$Y29*Index!AJ37</f>
        <v>87.987570000000005</v>
      </c>
      <c r="AL132" s="76">
        <f>Rentroll!$Y29*Index!AK37</f>
        <v>87.987570000000005</v>
      </c>
      <c r="AM132" s="76">
        <f>Rentroll!$Y29*Index!AL37</f>
        <v>87.987570000000005</v>
      </c>
      <c r="AN132" s="76">
        <f>Rentroll!$Y29*Index!AM37</f>
        <v>87.987570000000005</v>
      </c>
      <c r="AO132" s="76">
        <f>Rentroll!$Y29*Index!AN37</f>
        <v>87.987570000000005</v>
      </c>
      <c r="AP132" s="76">
        <f>Rentroll!$Y29*Index!AO37</f>
        <v>87.987570000000005</v>
      </c>
      <c r="AQ132" s="76">
        <f>Rentroll!$Y29*Index!AP37</f>
        <v>87.987570000000005</v>
      </c>
      <c r="AR132" s="76">
        <f>Rentroll!$Y29*Index!AQ37</f>
        <v>0</v>
      </c>
      <c r="AS132" s="76">
        <f>Rentroll!$Y29*Index!AR37</f>
        <v>0</v>
      </c>
      <c r="AT132" s="76">
        <f>Rentroll!$Y29*Index!AS37</f>
        <v>0</v>
      </c>
      <c r="AU132" s="76">
        <f>Rentroll!$Y29*Index!AT37</f>
        <v>0</v>
      </c>
      <c r="AV132" s="76">
        <f>Rentroll!$Y29*Index!AU37</f>
        <v>0</v>
      </c>
      <c r="AW132" s="76">
        <f>Rentroll!$Y29*Index!AV37</f>
        <v>0</v>
      </c>
      <c r="AX132" s="76">
        <f>Rentroll!$Y29*Index!AW37</f>
        <v>0</v>
      </c>
      <c r="AY132" s="76">
        <f>Rentroll!$Y29*Index!AX37</f>
        <v>0</v>
      </c>
      <c r="AZ132" s="76">
        <f>Rentroll!$Y29*Index!AY37</f>
        <v>0</v>
      </c>
      <c r="BA132" s="76">
        <f>Rentroll!$Y29*Index!AZ37</f>
        <v>0</v>
      </c>
      <c r="BB132" s="76">
        <f>Rentroll!$Y29*Index!BA37</f>
        <v>0</v>
      </c>
      <c r="BC132" s="76">
        <f>Rentroll!$Y29*Index!BB37</f>
        <v>0</v>
      </c>
      <c r="BD132" s="76">
        <f>Rentroll!$Y29*Index!BC37</f>
        <v>0</v>
      </c>
      <c r="BE132" s="76">
        <f>Rentroll!$Y29*Index!BD37</f>
        <v>0</v>
      </c>
      <c r="BF132" s="76">
        <f>Rentroll!$Y29*Index!BE37</f>
        <v>0</v>
      </c>
      <c r="BG132" s="76">
        <f>Rentroll!$Y29*Index!BF37</f>
        <v>0</v>
      </c>
      <c r="BH132" s="76">
        <f>Rentroll!$Y29*Index!BG37</f>
        <v>0</v>
      </c>
      <c r="BI132" s="76">
        <f>Rentroll!$Y29*Index!BH37</f>
        <v>0</v>
      </c>
      <c r="BJ132" s="76">
        <f>Rentroll!$Y29*Index!BI37</f>
        <v>0</v>
      </c>
      <c r="BK132" s="76">
        <f>Rentroll!$Y29*Index!BJ37</f>
        <v>0</v>
      </c>
      <c r="BL132" s="76">
        <f>Rentroll!$Y29*Index!BK37</f>
        <v>0</v>
      </c>
      <c r="BM132" s="76">
        <f>Rentroll!$Y29*Index!BL37</f>
        <v>0</v>
      </c>
      <c r="BN132" s="76">
        <f>Rentroll!$Y29*Index!BM37</f>
        <v>0</v>
      </c>
      <c r="BO132" s="76">
        <f>Rentroll!$Y29*Index!BN37</f>
        <v>0</v>
      </c>
      <c r="BP132" s="76">
        <f>Rentroll!$Y29*Index!BO37</f>
        <v>0</v>
      </c>
      <c r="BQ132" s="76">
        <f>Rentroll!$Y29*Index!BP37</f>
        <v>0</v>
      </c>
      <c r="BR132" s="76">
        <f>Rentroll!$Y29*Index!BQ37</f>
        <v>0</v>
      </c>
      <c r="BS132" s="76">
        <f>Rentroll!$Y29*Index!BR37</f>
        <v>0</v>
      </c>
      <c r="BT132" s="76">
        <f>Rentroll!$Y29*Index!BS37</f>
        <v>0</v>
      </c>
      <c r="BU132" s="76">
        <f>Rentroll!$Y29*Index!BT37</f>
        <v>0</v>
      </c>
      <c r="BV132" s="76">
        <f>Rentroll!$Y29*Index!BU37</f>
        <v>0</v>
      </c>
      <c r="BW132" s="76">
        <f>Rentroll!$Y29*Index!BV37</f>
        <v>0</v>
      </c>
      <c r="BX132" s="76">
        <f>Rentroll!$Y29*Index!BW37</f>
        <v>0</v>
      </c>
      <c r="BY132" s="76">
        <f>Rentroll!$Y29*Index!BX37</f>
        <v>0</v>
      </c>
      <c r="BZ132" s="76">
        <f>Rentroll!$Y29*Index!BY37</f>
        <v>0</v>
      </c>
      <c r="CA132" s="76">
        <f>Rentroll!$Y29*Index!BZ37</f>
        <v>0</v>
      </c>
      <c r="CB132" s="76">
        <f>Rentroll!$Y29*Index!CA37</f>
        <v>0</v>
      </c>
      <c r="CC132" s="76">
        <f>Rentroll!$Y29*Index!CB37</f>
        <v>0</v>
      </c>
      <c r="CD132" s="76">
        <f>Rentroll!$Y29*Index!CC37</f>
        <v>0</v>
      </c>
      <c r="CE132" s="76">
        <f>Rentroll!$Y29*Index!CD37</f>
        <v>0</v>
      </c>
      <c r="CF132" s="76">
        <f>Rentroll!$Y29*Index!CE37</f>
        <v>0</v>
      </c>
      <c r="CG132" s="76">
        <f>Rentroll!$Y29*Index!CF37</f>
        <v>0</v>
      </c>
      <c r="CH132" s="76">
        <f>Rentroll!$Y29*Index!CG37</f>
        <v>0</v>
      </c>
      <c r="CI132" s="76">
        <f>Rentroll!$Y29*Index!CH37</f>
        <v>0</v>
      </c>
      <c r="CJ132" s="76">
        <f>Rentroll!$Y29*Index!CI37</f>
        <v>0</v>
      </c>
      <c r="CK132" s="76">
        <f>Rentroll!$Y29*Index!CJ37</f>
        <v>0</v>
      </c>
      <c r="CL132" s="76">
        <f>Rentroll!$Y29*Index!CK37</f>
        <v>0</v>
      </c>
      <c r="CM132" s="76">
        <f>Rentroll!$Y29*Index!CL37</f>
        <v>0</v>
      </c>
      <c r="CN132" s="76">
        <f>Rentroll!$Y29*Index!CM37</f>
        <v>0</v>
      </c>
      <c r="CO132" s="76">
        <f>Rentroll!$Y29*Index!CN37</f>
        <v>0</v>
      </c>
      <c r="CP132" s="76">
        <f>Rentroll!$Y29*Index!CO37</f>
        <v>0</v>
      </c>
      <c r="CQ132" s="76">
        <f>Rentroll!$Y29*Index!CP37</f>
        <v>0</v>
      </c>
      <c r="CR132" s="76">
        <f>Rentroll!$Y29*Index!CQ37</f>
        <v>0</v>
      </c>
      <c r="CS132" s="76">
        <f>Rentroll!$Y29*Index!CR37</f>
        <v>0</v>
      </c>
      <c r="CT132" s="76">
        <f>Rentroll!$Y29*Index!CS37</f>
        <v>0</v>
      </c>
      <c r="CU132" s="76">
        <f>Rentroll!$Y29*Index!CT37</f>
        <v>0</v>
      </c>
      <c r="CV132" s="76">
        <f>Rentroll!$Y29*Index!CU37</f>
        <v>0</v>
      </c>
      <c r="CW132" s="76">
        <f>Rentroll!$Y29*Index!CV37</f>
        <v>0</v>
      </c>
      <c r="CX132" s="76">
        <f>Rentroll!$Y29*Index!CW37</f>
        <v>0</v>
      </c>
      <c r="CY132" s="76">
        <f>Rentroll!$Y29*Index!CX37</f>
        <v>0</v>
      </c>
      <c r="CZ132" s="76">
        <f>Rentroll!$Y29*Index!CY37</f>
        <v>0</v>
      </c>
      <c r="DA132" s="76">
        <f>Rentroll!$Y29*Index!CZ37</f>
        <v>0</v>
      </c>
      <c r="DB132" s="76">
        <f>Rentroll!$Y29*Index!DA37</f>
        <v>0</v>
      </c>
      <c r="DC132" s="76">
        <f>Rentroll!$Y29*Index!DB37</f>
        <v>0</v>
      </c>
      <c r="DD132" s="76">
        <f>Rentroll!$Y29*Index!DC37</f>
        <v>0</v>
      </c>
      <c r="DE132" s="76">
        <f>Rentroll!$Y29*Index!DD37</f>
        <v>0</v>
      </c>
      <c r="DF132" s="76">
        <f>Rentroll!$Y29*Index!DE37</f>
        <v>0</v>
      </c>
      <c r="DG132" s="76">
        <f>Rentroll!$Y29*Index!DF37</f>
        <v>0</v>
      </c>
      <c r="DH132" s="76">
        <f>Rentroll!$Y29*Index!DG37</f>
        <v>0</v>
      </c>
      <c r="DI132" s="76">
        <f>Rentroll!$Y29*Index!DH37</f>
        <v>0</v>
      </c>
      <c r="DJ132" s="76">
        <f>Rentroll!$Y29*Index!DI37</f>
        <v>0</v>
      </c>
      <c r="DK132" s="76">
        <f>Rentroll!$Y29*Index!DJ37</f>
        <v>0</v>
      </c>
      <c r="DL132" s="76">
        <f>Rentroll!$Y29*Index!DK37</f>
        <v>0</v>
      </c>
      <c r="DM132" s="76">
        <f>Rentroll!$Y29*Index!DL37</f>
        <v>0</v>
      </c>
    </row>
    <row r="133" spans="2:117">
      <c r="B133" s="70" t="s">
        <v>47</v>
      </c>
      <c r="C133" s="71" t="s">
        <v>49</v>
      </c>
      <c r="D133" s="71" t="s">
        <v>97</v>
      </c>
      <c r="E133" s="71" t="s">
        <v>98</v>
      </c>
      <c r="F133" s="71" t="s">
        <v>84</v>
      </c>
      <c r="G133" s="71" t="s">
        <v>104</v>
      </c>
      <c r="H133" s="71" t="s">
        <v>105</v>
      </c>
      <c r="I133" s="71" t="s">
        <v>103</v>
      </c>
      <c r="J133" s="71" t="s">
        <v>99</v>
      </c>
      <c r="K133" s="71" t="s">
        <v>102</v>
      </c>
      <c r="L133" s="71" t="s">
        <v>100</v>
      </c>
      <c r="M133" s="72" t="s">
        <v>101</v>
      </c>
      <c r="O133" s="123" t="s">
        <v>108</v>
      </c>
      <c r="P133" s="123"/>
      <c r="Q133" s="123"/>
      <c r="R133" s="123"/>
      <c r="S133" s="123">
        <f>SUM(S134:S157)</f>
        <v>0</v>
      </c>
      <c r="T133" s="123">
        <f>SUM(T134:T157)</f>
        <v>1294.67825025</v>
      </c>
      <c r="U133" s="123">
        <f t="shared" ref="U133:CE133" si="229">SUM(U134:U157)</f>
        <v>1294.67825025</v>
      </c>
      <c r="V133" s="123">
        <f t="shared" si="229"/>
        <v>1839.3648927499999</v>
      </c>
      <c r="W133" s="123">
        <f t="shared" si="229"/>
        <v>1839.3648927499999</v>
      </c>
      <c r="X133" s="123">
        <f t="shared" si="229"/>
        <v>1839.3648927499999</v>
      </c>
      <c r="Y133" s="123">
        <f t="shared" si="229"/>
        <v>2279.3027427500001</v>
      </c>
      <c r="Z133" s="123">
        <f t="shared" si="229"/>
        <v>4005.5404097500004</v>
      </c>
      <c r="AA133" s="123">
        <f t="shared" si="229"/>
        <v>4005.5404097500004</v>
      </c>
      <c r="AB133" s="123">
        <f t="shared" si="229"/>
        <v>4005.5404097500004</v>
      </c>
      <c r="AC133" s="123">
        <f t="shared" si="229"/>
        <v>4005.5404097500004</v>
      </c>
      <c r="AD133" s="123">
        <f t="shared" si="229"/>
        <v>4005.5404097500004</v>
      </c>
      <c r="AE133" s="123">
        <f t="shared" si="229"/>
        <v>4005.5404097500004</v>
      </c>
      <c r="AF133" s="123">
        <f t="shared" si="229"/>
        <v>4005.5404097500004</v>
      </c>
      <c r="AG133" s="123">
        <f t="shared" si="229"/>
        <v>4005.5404097500004</v>
      </c>
      <c r="AH133" s="123">
        <f t="shared" si="229"/>
        <v>4005.5404097500004</v>
      </c>
      <c r="AI133" s="123">
        <f t="shared" si="229"/>
        <v>4005.5404097500004</v>
      </c>
      <c r="AJ133" s="123">
        <f t="shared" si="229"/>
        <v>4005.5404097500004</v>
      </c>
      <c r="AK133" s="123">
        <f t="shared" si="229"/>
        <v>4005.5404097500004</v>
      </c>
      <c r="AL133" s="123">
        <f t="shared" si="229"/>
        <v>4005.5404097500004</v>
      </c>
      <c r="AM133" s="123">
        <f t="shared" si="229"/>
        <v>4005.5404097500004</v>
      </c>
      <c r="AN133" s="123">
        <f t="shared" si="229"/>
        <v>4005.5404097500004</v>
      </c>
      <c r="AO133" s="123">
        <f t="shared" si="229"/>
        <v>4005.5404097500004</v>
      </c>
      <c r="AP133" s="123">
        <f t="shared" si="229"/>
        <v>4005.5404097500004</v>
      </c>
      <c r="AQ133" s="123">
        <f t="shared" si="229"/>
        <v>4005.5404097500004</v>
      </c>
      <c r="AR133" s="123">
        <f t="shared" si="229"/>
        <v>4158.3945060587876</v>
      </c>
      <c r="AS133" s="123">
        <f t="shared" si="229"/>
        <v>4158.3945060587876</v>
      </c>
      <c r="AT133" s="123">
        <f t="shared" si="229"/>
        <v>5454.2153412888629</v>
      </c>
      <c r="AU133" s="123">
        <f t="shared" si="229"/>
        <v>5454.2153412888629</v>
      </c>
      <c r="AV133" s="123">
        <f t="shared" si="229"/>
        <v>5454.2153412888629</v>
      </c>
      <c r="AW133" s="123">
        <f t="shared" si="229"/>
        <v>5454.2153412888629</v>
      </c>
      <c r="AX133" s="123">
        <f t="shared" si="229"/>
        <v>5454.2153412888629</v>
      </c>
      <c r="AY133" s="123">
        <f t="shared" si="229"/>
        <v>5454.2153412888629</v>
      </c>
      <c r="AZ133" s="123">
        <f t="shared" si="229"/>
        <v>5454.2153412888629</v>
      </c>
      <c r="BA133" s="123">
        <f t="shared" si="229"/>
        <v>5454.2153412888629</v>
      </c>
      <c r="BB133" s="123">
        <f t="shared" si="229"/>
        <v>5454.2153412888629</v>
      </c>
      <c r="BC133" s="123">
        <f t="shared" si="229"/>
        <v>5607.06943759765</v>
      </c>
      <c r="BD133" s="123">
        <f t="shared" si="229"/>
        <v>5607.06943759765</v>
      </c>
      <c r="BE133" s="123">
        <f t="shared" si="229"/>
        <v>5607.06943759765</v>
      </c>
      <c r="BF133" s="123">
        <f t="shared" si="229"/>
        <v>5607.06943759765</v>
      </c>
      <c r="BG133" s="123">
        <f t="shared" si="229"/>
        <v>5607.06943759765</v>
      </c>
      <c r="BH133" s="123">
        <f t="shared" si="229"/>
        <v>6969.2124161716047</v>
      </c>
      <c r="BI133" s="123">
        <f t="shared" si="229"/>
        <v>6969.2124161716047</v>
      </c>
      <c r="BJ133" s="123">
        <f t="shared" si="229"/>
        <v>6969.2124161716047</v>
      </c>
      <c r="BK133" s="123">
        <f t="shared" si="229"/>
        <v>6969.2124161716047</v>
      </c>
      <c r="BL133" s="123">
        <f t="shared" si="229"/>
        <v>6969.2124161716047</v>
      </c>
      <c r="BM133" s="123">
        <f t="shared" si="229"/>
        <v>6969.2124161716047</v>
      </c>
      <c r="BN133" s="123">
        <f t="shared" si="229"/>
        <v>6969.2124161716047</v>
      </c>
      <c r="BO133" s="123">
        <f t="shared" si="229"/>
        <v>6969.2124161716047</v>
      </c>
      <c r="BP133" s="123">
        <f t="shared" si="229"/>
        <v>7940.6602673527777</v>
      </c>
      <c r="BQ133" s="123">
        <f t="shared" si="229"/>
        <v>7940.6602673527777</v>
      </c>
      <c r="BR133" s="123">
        <f t="shared" si="229"/>
        <v>7940.6602673527777</v>
      </c>
      <c r="BS133" s="123">
        <f t="shared" si="229"/>
        <v>7940.6602673527777</v>
      </c>
      <c r="BT133" s="123">
        <f t="shared" si="229"/>
        <v>7940.6602673527777</v>
      </c>
      <c r="BU133" s="123">
        <f t="shared" si="229"/>
        <v>7940.6602673527777</v>
      </c>
      <c r="BV133" s="123">
        <f t="shared" si="229"/>
        <v>7940.6602673527777</v>
      </c>
      <c r="BW133" s="123">
        <f t="shared" si="229"/>
        <v>7940.6602673527777</v>
      </c>
      <c r="BX133" s="123">
        <f t="shared" si="229"/>
        <v>7940.6602673527777</v>
      </c>
      <c r="BY133" s="123">
        <f t="shared" si="229"/>
        <v>7940.6602673527777</v>
      </c>
      <c r="BZ133" s="123">
        <f t="shared" si="229"/>
        <v>7940.6602673527777</v>
      </c>
      <c r="CA133" s="123">
        <f t="shared" si="229"/>
        <v>7940.6602673527777</v>
      </c>
      <c r="CB133" s="123">
        <f t="shared" si="229"/>
        <v>0</v>
      </c>
      <c r="CC133" s="123">
        <f t="shared" si="229"/>
        <v>0</v>
      </c>
      <c r="CD133" s="123">
        <f t="shared" si="229"/>
        <v>0</v>
      </c>
      <c r="CE133" s="123">
        <f t="shared" si="229"/>
        <v>0</v>
      </c>
      <c r="CF133" s="123">
        <f t="shared" ref="CF133:DM133" si="230">SUM(CF134:CF157)</f>
        <v>0</v>
      </c>
      <c r="CG133" s="123">
        <f t="shared" si="230"/>
        <v>0</v>
      </c>
      <c r="CH133" s="123">
        <f t="shared" si="230"/>
        <v>0</v>
      </c>
      <c r="CI133" s="123">
        <f t="shared" si="230"/>
        <v>0</v>
      </c>
      <c r="CJ133" s="123">
        <f t="shared" si="230"/>
        <v>0</v>
      </c>
      <c r="CK133" s="123">
        <f t="shared" si="230"/>
        <v>0</v>
      </c>
      <c r="CL133" s="123">
        <f t="shared" si="230"/>
        <v>0</v>
      </c>
      <c r="CM133" s="123">
        <f t="shared" si="230"/>
        <v>0</v>
      </c>
      <c r="CN133" s="123">
        <f t="shared" si="230"/>
        <v>0</v>
      </c>
      <c r="CO133" s="123">
        <f t="shared" si="230"/>
        <v>0</v>
      </c>
      <c r="CP133" s="123">
        <f t="shared" si="230"/>
        <v>0</v>
      </c>
      <c r="CQ133" s="123">
        <f t="shared" si="230"/>
        <v>0</v>
      </c>
      <c r="CR133" s="123">
        <f t="shared" si="230"/>
        <v>0</v>
      </c>
      <c r="CS133" s="123">
        <f t="shared" si="230"/>
        <v>0</v>
      </c>
      <c r="CT133" s="123">
        <f t="shared" si="230"/>
        <v>0</v>
      </c>
      <c r="CU133" s="123">
        <f t="shared" si="230"/>
        <v>0</v>
      </c>
      <c r="CV133" s="123">
        <f t="shared" si="230"/>
        <v>0</v>
      </c>
      <c r="CW133" s="123">
        <f t="shared" si="230"/>
        <v>0</v>
      </c>
      <c r="CX133" s="123">
        <f t="shared" si="230"/>
        <v>0</v>
      </c>
      <c r="CY133" s="123">
        <f t="shared" si="230"/>
        <v>0</v>
      </c>
      <c r="CZ133" s="123">
        <f t="shared" si="230"/>
        <v>0</v>
      </c>
      <c r="DA133" s="123">
        <f t="shared" si="230"/>
        <v>0</v>
      </c>
      <c r="DB133" s="123">
        <f t="shared" si="230"/>
        <v>0</v>
      </c>
      <c r="DC133" s="123">
        <f t="shared" si="230"/>
        <v>0</v>
      </c>
      <c r="DD133" s="123">
        <f t="shared" si="230"/>
        <v>0</v>
      </c>
      <c r="DE133" s="123">
        <f t="shared" si="230"/>
        <v>0</v>
      </c>
      <c r="DF133" s="123">
        <f t="shared" si="230"/>
        <v>0</v>
      </c>
      <c r="DG133" s="123">
        <f t="shared" si="230"/>
        <v>0</v>
      </c>
      <c r="DH133" s="123">
        <f t="shared" si="230"/>
        <v>0</v>
      </c>
      <c r="DI133" s="123">
        <f t="shared" si="230"/>
        <v>0</v>
      </c>
      <c r="DJ133" s="123">
        <f t="shared" si="230"/>
        <v>0</v>
      </c>
      <c r="DK133" s="123">
        <f t="shared" si="230"/>
        <v>0</v>
      </c>
      <c r="DL133" s="123">
        <f t="shared" si="230"/>
        <v>0</v>
      </c>
      <c r="DM133" s="123">
        <f t="shared" si="230"/>
        <v>0</v>
      </c>
    </row>
    <row r="134" spans="2:117">
      <c r="B134" s="27">
        <f>Rentroll!$C$37</f>
        <v>17</v>
      </c>
      <c r="C134" s="69" t="str">
        <f>VLOOKUP($B134,Rentroll!$C$37:$Z$60,3,FALSE)</f>
        <v>리마 상사</v>
      </c>
      <c r="D134" s="80">
        <f>VLOOKUP($B134,Rentroll!$C$37:$Z$60,9,FALSE)</f>
        <v>47149</v>
      </c>
      <c r="E134" s="80">
        <f>VLOOKUP($B134,Rentroll!$C$37:$Z$60,10,FALSE)</f>
        <v>48975</v>
      </c>
      <c r="F134" s="81">
        <f>VLOOKUP($B134,Rentroll!$C$37:$Z$60,11,FALSE)</f>
        <v>60</v>
      </c>
      <c r="G134" s="69">
        <f>VLOOKUP($B134,Rentroll!$C$37:$Z$60,13,FALSE)</f>
        <v>115927.40742999999</v>
      </c>
      <c r="H134" s="69">
        <f>VLOOKUP($B134,Rentroll!$C$37:$Z$60,14,FALSE)</f>
        <v>106266.79014416666</v>
      </c>
      <c r="I134" s="69">
        <f>VLOOKUP($B134,Rentroll!$C$37:$Z$60,15,FALSE)</f>
        <v>50647.896449999993</v>
      </c>
      <c r="J134" s="82">
        <f>VLOOKUP($B134,Rentroll!$C$37:$Z$60,19,FALSE)</f>
        <v>0.03</v>
      </c>
      <c r="K134" s="83">
        <f>VLOOKUP($B134,Rentroll!$C$37:$Z$60,4,FALSE)</f>
        <v>1385.09</v>
      </c>
      <c r="L134" s="81">
        <f>VLOOKUP($B134,Rentroll!$C$37:$Z$60,17,FALSE)</f>
        <v>0</v>
      </c>
      <c r="M134" s="84">
        <f>VLOOKUP($B134,Rentroll!$C$37:$Z$60,18,FALSE)</f>
        <v>1</v>
      </c>
      <c r="O134" s="46">
        <f>B134</f>
        <v>17</v>
      </c>
      <c r="P134" s="73"/>
      <c r="Q134" s="73"/>
      <c r="R134" s="73"/>
      <c r="S134" s="73">
        <f>Rentroll!$Y37*Index!R39</f>
        <v>0</v>
      </c>
      <c r="T134" s="73">
        <f>Rentroll!$Y37*Index!S39</f>
        <v>0</v>
      </c>
      <c r="U134" s="73">
        <f>Rentroll!$Y37*Index!T39</f>
        <v>0</v>
      </c>
      <c r="V134" s="73">
        <f>Rentroll!$Y37*Index!U39</f>
        <v>0</v>
      </c>
      <c r="W134" s="73">
        <f>Rentroll!$Y37*Index!V39</f>
        <v>0</v>
      </c>
      <c r="X134" s="73">
        <f>Rentroll!$Y37*Index!W39</f>
        <v>0</v>
      </c>
      <c r="Y134" s="73">
        <f>Rentroll!$Y37*Index!X39</f>
        <v>0</v>
      </c>
      <c r="Z134" s="73">
        <f>Rentroll!$Y37*Index!Y39</f>
        <v>0</v>
      </c>
      <c r="AA134" s="73">
        <f>Rentroll!$Y37*Index!Z39</f>
        <v>0</v>
      </c>
      <c r="AB134" s="73">
        <f>Rentroll!$Y37*Index!AA39</f>
        <v>0</v>
      </c>
      <c r="AC134" s="73">
        <f>Rentroll!$Y37*Index!AB39</f>
        <v>0</v>
      </c>
      <c r="AD134" s="73">
        <f>Rentroll!$Y37*Index!AC39</f>
        <v>0</v>
      </c>
      <c r="AE134" s="73">
        <f>Rentroll!$Y37*Index!AD39</f>
        <v>0</v>
      </c>
      <c r="AF134" s="73">
        <f>Rentroll!$Y37*Index!AE39</f>
        <v>0</v>
      </c>
      <c r="AG134" s="73">
        <f>Rentroll!$Y37*Index!AF39</f>
        <v>0</v>
      </c>
      <c r="AH134" s="73">
        <f>Rentroll!$Y37*Index!AG39</f>
        <v>0</v>
      </c>
      <c r="AI134" s="73">
        <f>Rentroll!$Y37*Index!AH39</f>
        <v>0</v>
      </c>
      <c r="AJ134" s="73">
        <f>Rentroll!$Y37*Index!AI39</f>
        <v>0</v>
      </c>
      <c r="AK134" s="73">
        <f>Rentroll!$Y37*Index!AJ39</f>
        <v>0</v>
      </c>
      <c r="AL134" s="73">
        <f>Rentroll!$Y37*Index!AK39</f>
        <v>0</v>
      </c>
      <c r="AM134" s="73">
        <f>Rentroll!$Y37*Index!AL39</f>
        <v>0</v>
      </c>
      <c r="AN134" s="73">
        <f>Rentroll!$Y37*Index!AM39</f>
        <v>0</v>
      </c>
      <c r="AO134" s="73">
        <f>Rentroll!$Y37*Index!AN39</f>
        <v>0</v>
      </c>
      <c r="AP134" s="73">
        <f>Rentroll!$Y37*Index!AO39</f>
        <v>0</v>
      </c>
      <c r="AQ134" s="73">
        <f>Rentroll!$Y37*Index!AP39</f>
        <v>0</v>
      </c>
      <c r="AR134" s="73">
        <f>Rentroll!$Y37*Index!AQ39</f>
        <v>0</v>
      </c>
      <c r="AS134" s="73">
        <f>Rentroll!$Y37*Index!AR39</f>
        <v>0</v>
      </c>
      <c r="AT134" s="73">
        <f>Rentroll!$Y37*Index!AS39</f>
        <v>0</v>
      </c>
      <c r="AU134" s="73">
        <f>Rentroll!$Y37*Index!AT39</f>
        <v>0</v>
      </c>
      <c r="AV134" s="73">
        <f>Rentroll!$Y37*Index!AU39</f>
        <v>0</v>
      </c>
      <c r="AW134" s="73">
        <f>Rentroll!$Y37*Index!AV39</f>
        <v>0</v>
      </c>
      <c r="AX134" s="73">
        <f>Rentroll!$Y37*Index!AW39</f>
        <v>0</v>
      </c>
      <c r="AY134" s="73">
        <f>Rentroll!$Y37*Index!AX39</f>
        <v>0</v>
      </c>
      <c r="AZ134" s="73">
        <f>Rentroll!$Y37*Index!AY39</f>
        <v>0</v>
      </c>
      <c r="BA134" s="73">
        <f>Rentroll!$Y37*Index!AZ39</f>
        <v>0</v>
      </c>
      <c r="BB134" s="73">
        <f>Rentroll!$Y37*Index!BA39</f>
        <v>0</v>
      </c>
      <c r="BC134" s="73">
        <f>Rentroll!$Y37*Index!BB39</f>
        <v>0</v>
      </c>
      <c r="BD134" s="73">
        <f>Rentroll!$Y37*Index!BC39</f>
        <v>0</v>
      </c>
      <c r="BE134" s="73">
        <f>Rentroll!$Y37*Index!BD39</f>
        <v>0</v>
      </c>
      <c r="BF134" s="73">
        <f>Rentroll!$Y37*Index!BE39</f>
        <v>0</v>
      </c>
      <c r="BG134" s="73">
        <f>Rentroll!$Y37*Index!BF39</f>
        <v>0</v>
      </c>
      <c r="BH134" s="73">
        <f>Rentroll!$Y37*Index!BG39</f>
        <v>0</v>
      </c>
      <c r="BI134" s="73">
        <f>Rentroll!$Y37*Index!BH39</f>
        <v>0</v>
      </c>
      <c r="BJ134" s="73">
        <f>Rentroll!$Y37*Index!BI39</f>
        <v>0</v>
      </c>
      <c r="BK134" s="73">
        <f>Rentroll!$Y37*Index!BJ39</f>
        <v>0</v>
      </c>
      <c r="BL134" s="73">
        <f>Rentroll!$Y37*Index!BK39</f>
        <v>0</v>
      </c>
      <c r="BM134" s="73">
        <f>Rentroll!$Y37*Index!BL39</f>
        <v>0</v>
      </c>
      <c r="BN134" s="73">
        <f>Rentroll!$Y37*Index!BM39</f>
        <v>0</v>
      </c>
      <c r="BO134" s="73">
        <f>Rentroll!$Y37*Index!BN39</f>
        <v>0</v>
      </c>
      <c r="BP134" s="73">
        <f>Rentroll!$Y37*Index!BO39</f>
        <v>485.72392559058653</v>
      </c>
      <c r="BQ134" s="73">
        <f>Rentroll!$Y37*Index!BP39</f>
        <v>485.72392559058653</v>
      </c>
      <c r="BR134" s="73">
        <f>Rentroll!$Y37*Index!BQ39</f>
        <v>485.72392559058653</v>
      </c>
      <c r="BS134" s="73">
        <f>Rentroll!$Y37*Index!BR39</f>
        <v>485.72392559058653</v>
      </c>
      <c r="BT134" s="73">
        <f>Rentroll!$Y37*Index!BS39</f>
        <v>485.72392559058653</v>
      </c>
      <c r="BU134" s="73">
        <f>Rentroll!$Y37*Index!BT39</f>
        <v>485.72392559058653</v>
      </c>
      <c r="BV134" s="73">
        <f>Rentroll!$Y37*Index!BU39</f>
        <v>485.72392559058653</v>
      </c>
      <c r="BW134" s="73">
        <f>Rentroll!$Y37*Index!BV39</f>
        <v>485.72392559058653</v>
      </c>
      <c r="BX134" s="73">
        <f>Rentroll!$Y37*Index!BW39</f>
        <v>485.72392559058653</v>
      </c>
      <c r="BY134" s="73">
        <f>Rentroll!$Y37*Index!BX39</f>
        <v>485.72392559058653</v>
      </c>
      <c r="BZ134" s="73">
        <f>Rentroll!$Y37*Index!BY39</f>
        <v>485.72392559058653</v>
      </c>
      <c r="CA134" s="73">
        <f>Rentroll!$Y37*Index!BZ39</f>
        <v>485.72392559058653</v>
      </c>
      <c r="CB134" s="73">
        <f>Rentroll!$Y37*Index!CA39</f>
        <v>0</v>
      </c>
      <c r="CC134" s="73">
        <f>Rentroll!$Y37*Index!CB39</f>
        <v>0</v>
      </c>
      <c r="CD134" s="73">
        <f>Rentroll!$Y37*Index!CC39</f>
        <v>0</v>
      </c>
      <c r="CE134" s="73">
        <f>Rentroll!$Y37*Index!CD39</f>
        <v>0</v>
      </c>
      <c r="CF134" s="73">
        <f>Rentroll!$Y37*Index!CE39</f>
        <v>0</v>
      </c>
      <c r="CG134" s="73">
        <f>Rentroll!$Y37*Index!CF39</f>
        <v>0</v>
      </c>
      <c r="CH134" s="73">
        <f>Rentroll!$Y37*Index!CG39</f>
        <v>0</v>
      </c>
      <c r="CI134" s="73">
        <f>Rentroll!$Y37*Index!CH39</f>
        <v>0</v>
      </c>
      <c r="CJ134" s="73">
        <f>Rentroll!$Y37*Index!CI39</f>
        <v>0</v>
      </c>
      <c r="CK134" s="73">
        <f>Rentroll!$Y37*Index!CJ39</f>
        <v>0</v>
      </c>
      <c r="CL134" s="73">
        <f>Rentroll!$Y37*Index!CK39</f>
        <v>0</v>
      </c>
      <c r="CM134" s="73">
        <f>Rentroll!$Y37*Index!CL39</f>
        <v>0</v>
      </c>
      <c r="CN134" s="73">
        <f>Rentroll!$Y37*Index!CM39</f>
        <v>0</v>
      </c>
      <c r="CO134" s="73">
        <f>Rentroll!$Y37*Index!CN39</f>
        <v>0</v>
      </c>
      <c r="CP134" s="73">
        <f>Rentroll!$Y37*Index!CO39</f>
        <v>0</v>
      </c>
      <c r="CQ134" s="73">
        <f>Rentroll!$Y37*Index!CP39</f>
        <v>0</v>
      </c>
      <c r="CR134" s="73">
        <f>Rentroll!$Y37*Index!CQ39</f>
        <v>0</v>
      </c>
      <c r="CS134" s="73">
        <f>Rentroll!$Y37*Index!CR39</f>
        <v>0</v>
      </c>
      <c r="CT134" s="73">
        <f>Rentroll!$Y37*Index!CS39</f>
        <v>0</v>
      </c>
      <c r="CU134" s="73">
        <f>Rentroll!$Y37*Index!CT39</f>
        <v>0</v>
      </c>
      <c r="CV134" s="73">
        <f>Rentroll!$Y37*Index!CU39</f>
        <v>0</v>
      </c>
      <c r="CW134" s="73">
        <f>Rentroll!$Y37*Index!CV39</f>
        <v>0</v>
      </c>
      <c r="CX134" s="73">
        <f>Rentroll!$Y37*Index!CW39</f>
        <v>0</v>
      </c>
      <c r="CY134" s="73">
        <f>Rentroll!$Y37*Index!CX39</f>
        <v>0</v>
      </c>
      <c r="CZ134" s="73">
        <f>Rentroll!$Y37*Index!CY39</f>
        <v>0</v>
      </c>
      <c r="DA134" s="73">
        <f>Rentroll!$Y37*Index!CZ39</f>
        <v>0</v>
      </c>
      <c r="DB134" s="73">
        <f>Rentroll!$Y37*Index!DA39</f>
        <v>0</v>
      </c>
      <c r="DC134" s="73">
        <f>Rentroll!$Y37*Index!DB39</f>
        <v>0</v>
      </c>
      <c r="DD134" s="73">
        <f>Rentroll!$Y37*Index!DC39</f>
        <v>0</v>
      </c>
      <c r="DE134" s="73">
        <f>Rentroll!$Y37*Index!DD39</f>
        <v>0</v>
      </c>
      <c r="DF134" s="73">
        <f>Rentroll!$Y37*Index!DE39</f>
        <v>0</v>
      </c>
      <c r="DG134" s="73">
        <f>Rentroll!$Y37*Index!DF39</f>
        <v>0</v>
      </c>
      <c r="DH134" s="73">
        <f>Rentroll!$Y37*Index!DG39</f>
        <v>0</v>
      </c>
      <c r="DI134" s="73">
        <f>Rentroll!$Y37*Index!DH39</f>
        <v>0</v>
      </c>
      <c r="DJ134" s="73">
        <f>Rentroll!$Y37*Index!DI39</f>
        <v>0</v>
      </c>
      <c r="DK134" s="73">
        <f>Rentroll!$Y37*Index!DJ39</f>
        <v>0</v>
      </c>
      <c r="DL134" s="73">
        <f>Rentroll!$Y37*Index!DK39</f>
        <v>0</v>
      </c>
      <c r="DM134" s="73">
        <f>Rentroll!$Y37*Index!DL39</f>
        <v>0</v>
      </c>
    </row>
    <row r="135" spans="2:117">
      <c r="B135" s="27">
        <f>Rentroll!$C$38</f>
        <v>16</v>
      </c>
      <c r="C135" s="69" t="str">
        <f>VLOOKUP($B135,Rentroll!$C$37:$Z$60,3,FALSE)</f>
        <v>리마 상사</v>
      </c>
      <c r="D135" s="80">
        <f>VLOOKUP($B135,Rentroll!$C$37:$Z$60,9,FALSE)</f>
        <v>47149</v>
      </c>
      <c r="E135" s="80">
        <f>VLOOKUP($B135,Rentroll!$C$37:$Z$60,10,FALSE)</f>
        <v>48975</v>
      </c>
      <c r="F135" s="81">
        <f>VLOOKUP($B135,Rentroll!$C$37:$Z$60,11,FALSE)</f>
        <v>60</v>
      </c>
      <c r="G135" s="69">
        <f>VLOOKUP($B135,Rentroll!$C$37:$Z$60,13,FALSE)</f>
        <v>115927.40742999999</v>
      </c>
      <c r="H135" s="69">
        <f>VLOOKUP($B135,Rentroll!$C$37:$Z$60,14,FALSE)</f>
        <v>106266.79014416666</v>
      </c>
      <c r="I135" s="69">
        <f>VLOOKUP($B135,Rentroll!$C$37:$Z$60,15,FALSE)</f>
        <v>50647.896449999993</v>
      </c>
      <c r="J135" s="82">
        <f>VLOOKUP($B135,Rentroll!$C$37:$Z$60,19,FALSE)</f>
        <v>0.03</v>
      </c>
      <c r="K135" s="83">
        <f>VLOOKUP($B135,Rentroll!$C$37:$Z$60,4,FALSE)</f>
        <v>1385.09</v>
      </c>
      <c r="L135" s="81">
        <f>VLOOKUP($B135,Rentroll!$C$37:$Z$60,17,FALSE)</f>
        <v>0</v>
      </c>
      <c r="M135" s="84">
        <f>VLOOKUP($B135,Rentroll!$C$37:$Z$60,18,FALSE)</f>
        <v>1</v>
      </c>
      <c r="O135" s="74">
        <f t="shared" ref="O135:O152" si="231">B135</f>
        <v>16</v>
      </c>
      <c r="P135" s="75"/>
      <c r="Q135" s="75"/>
      <c r="R135" s="75"/>
      <c r="S135" s="75">
        <f>Rentroll!$Y38*Index!R40</f>
        <v>0</v>
      </c>
      <c r="T135" s="75">
        <f>Rentroll!$Y38*Index!S40</f>
        <v>0</v>
      </c>
      <c r="U135" s="75">
        <f>Rentroll!$Y38*Index!T40</f>
        <v>0</v>
      </c>
      <c r="V135" s="75">
        <f>Rentroll!$Y38*Index!U40</f>
        <v>0</v>
      </c>
      <c r="W135" s="75">
        <f>Rentroll!$Y38*Index!V40</f>
        <v>0</v>
      </c>
      <c r="X135" s="75">
        <f>Rentroll!$Y38*Index!W40</f>
        <v>0</v>
      </c>
      <c r="Y135" s="75">
        <f>Rentroll!$Y38*Index!X40</f>
        <v>0</v>
      </c>
      <c r="Z135" s="75">
        <f>Rentroll!$Y38*Index!Y40</f>
        <v>0</v>
      </c>
      <c r="AA135" s="75">
        <f>Rentroll!$Y38*Index!Z40</f>
        <v>0</v>
      </c>
      <c r="AB135" s="75">
        <f>Rentroll!$Y38*Index!AA40</f>
        <v>0</v>
      </c>
      <c r="AC135" s="75">
        <f>Rentroll!$Y38*Index!AB40</f>
        <v>0</v>
      </c>
      <c r="AD135" s="75">
        <f>Rentroll!$Y38*Index!AC40</f>
        <v>0</v>
      </c>
      <c r="AE135" s="75">
        <f>Rentroll!$Y38*Index!AD40</f>
        <v>0</v>
      </c>
      <c r="AF135" s="75">
        <f>Rentroll!$Y38*Index!AE40</f>
        <v>0</v>
      </c>
      <c r="AG135" s="75">
        <f>Rentroll!$Y38*Index!AF40</f>
        <v>0</v>
      </c>
      <c r="AH135" s="75">
        <f>Rentroll!$Y38*Index!AG40</f>
        <v>0</v>
      </c>
      <c r="AI135" s="75">
        <f>Rentroll!$Y38*Index!AH40</f>
        <v>0</v>
      </c>
      <c r="AJ135" s="75">
        <f>Rentroll!$Y38*Index!AI40</f>
        <v>0</v>
      </c>
      <c r="AK135" s="75">
        <f>Rentroll!$Y38*Index!AJ40</f>
        <v>0</v>
      </c>
      <c r="AL135" s="75">
        <f>Rentroll!$Y38*Index!AK40</f>
        <v>0</v>
      </c>
      <c r="AM135" s="75">
        <f>Rentroll!$Y38*Index!AL40</f>
        <v>0</v>
      </c>
      <c r="AN135" s="75">
        <f>Rentroll!$Y38*Index!AM40</f>
        <v>0</v>
      </c>
      <c r="AO135" s="75">
        <f>Rentroll!$Y38*Index!AN40</f>
        <v>0</v>
      </c>
      <c r="AP135" s="75">
        <f>Rentroll!$Y38*Index!AO40</f>
        <v>0</v>
      </c>
      <c r="AQ135" s="75">
        <f>Rentroll!$Y38*Index!AP40</f>
        <v>0</v>
      </c>
      <c r="AR135" s="75">
        <f>Rentroll!$Y38*Index!AQ40</f>
        <v>0</v>
      </c>
      <c r="AS135" s="75">
        <f>Rentroll!$Y38*Index!AR40</f>
        <v>0</v>
      </c>
      <c r="AT135" s="75">
        <f>Rentroll!$Y38*Index!AS40</f>
        <v>0</v>
      </c>
      <c r="AU135" s="75">
        <f>Rentroll!$Y38*Index!AT40</f>
        <v>0</v>
      </c>
      <c r="AV135" s="75">
        <f>Rentroll!$Y38*Index!AU40</f>
        <v>0</v>
      </c>
      <c r="AW135" s="75">
        <f>Rentroll!$Y38*Index!AV40</f>
        <v>0</v>
      </c>
      <c r="AX135" s="75">
        <f>Rentroll!$Y38*Index!AW40</f>
        <v>0</v>
      </c>
      <c r="AY135" s="75">
        <f>Rentroll!$Y38*Index!AX40</f>
        <v>0</v>
      </c>
      <c r="AZ135" s="75">
        <f>Rentroll!$Y38*Index!AY40</f>
        <v>0</v>
      </c>
      <c r="BA135" s="75">
        <f>Rentroll!$Y38*Index!AZ40</f>
        <v>0</v>
      </c>
      <c r="BB135" s="75">
        <f>Rentroll!$Y38*Index!BA40</f>
        <v>0</v>
      </c>
      <c r="BC135" s="75">
        <f>Rentroll!$Y38*Index!BB40</f>
        <v>0</v>
      </c>
      <c r="BD135" s="75">
        <f>Rentroll!$Y38*Index!BC40</f>
        <v>0</v>
      </c>
      <c r="BE135" s="75">
        <f>Rentroll!$Y38*Index!BD40</f>
        <v>0</v>
      </c>
      <c r="BF135" s="75">
        <f>Rentroll!$Y38*Index!BE40</f>
        <v>0</v>
      </c>
      <c r="BG135" s="75">
        <f>Rentroll!$Y38*Index!BF40</f>
        <v>0</v>
      </c>
      <c r="BH135" s="75">
        <f>Rentroll!$Y38*Index!BG40</f>
        <v>0</v>
      </c>
      <c r="BI135" s="75">
        <f>Rentroll!$Y38*Index!BH40</f>
        <v>0</v>
      </c>
      <c r="BJ135" s="75">
        <f>Rentroll!$Y38*Index!BI40</f>
        <v>0</v>
      </c>
      <c r="BK135" s="75">
        <f>Rentroll!$Y38*Index!BJ40</f>
        <v>0</v>
      </c>
      <c r="BL135" s="75">
        <f>Rentroll!$Y38*Index!BK40</f>
        <v>0</v>
      </c>
      <c r="BM135" s="75">
        <f>Rentroll!$Y38*Index!BL40</f>
        <v>0</v>
      </c>
      <c r="BN135" s="75">
        <f>Rentroll!$Y38*Index!BM40</f>
        <v>0</v>
      </c>
      <c r="BO135" s="75">
        <f>Rentroll!$Y38*Index!BN40</f>
        <v>0</v>
      </c>
      <c r="BP135" s="75">
        <f>Rentroll!$Y38*Index!BO40</f>
        <v>485.72392559058653</v>
      </c>
      <c r="BQ135" s="75">
        <f>Rentroll!$Y38*Index!BP40</f>
        <v>485.72392559058653</v>
      </c>
      <c r="BR135" s="75">
        <f>Rentroll!$Y38*Index!BQ40</f>
        <v>485.72392559058653</v>
      </c>
      <c r="BS135" s="75">
        <f>Rentroll!$Y38*Index!BR40</f>
        <v>485.72392559058653</v>
      </c>
      <c r="BT135" s="75">
        <f>Rentroll!$Y38*Index!BS40</f>
        <v>485.72392559058653</v>
      </c>
      <c r="BU135" s="75">
        <f>Rentroll!$Y38*Index!BT40</f>
        <v>485.72392559058653</v>
      </c>
      <c r="BV135" s="75">
        <f>Rentroll!$Y38*Index!BU40</f>
        <v>485.72392559058653</v>
      </c>
      <c r="BW135" s="75">
        <f>Rentroll!$Y38*Index!BV40</f>
        <v>485.72392559058653</v>
      </c>
      <c r="BX135" s="75">
        <f>Rentroll!$Y38*Index!BW40</f>
        <v>485.72392559058653</v>
      </c>
      <c r="BY135" s="75">
        <f>Rentroll!$Y38*Index!BX40</f>
        <v>485.72392559058653</v>
      </c>
      <c r="BZ135" s="75">
        <f>Rentroll!$Y38*Index!BY40</f>
        <v>485.72392559058653</v>
      </c>
      <c r="CA135" s="75">
        <f>Rentroll!$Y38*Index!BZ40</f>
        <v>485.72392559058653</v>
      </c>
      <c r="CB135" s="75">
        <f>Rentroll!$Y38*Index!CA40</f>
        <v>0</v>
      </c>
      <c r="CC135" s="75">
        <f>Rentroll!$Y38*Index!CB40</f>
        <v>0</v>
      </c>
      <c r="CD135" s="75">
        <f>Rentroll!$Y38*Index!CC40</f>
        <v>0</v>
      </c>
      <c r="CE135" s="75">
        <f>Rentroll!$Y38*Index!CD40</f>
        <v>0</v>
      </c>
      <c r="CF135" s="75">
        <f>Rentroll!$Y38*Index!CE40</f>
        <v>0</v>
      </c>
      <c r="CG135" s="75">
        <f>Rentroll!$Y38*Index!CF40</f>
        <v>0</v>
      </c>
      <c r="CH135" s="75">
        <f>Rentroll!$Y38*Index!CG40</f>
        <v>0</v>
      </c>
      <c r="CI135" s="75">
        <f>Rentroll!$Y38*Index!CH40</f>
        <v>0</v>
      </c>
      <c r="CJ135" s="75">
        <f>Rentroll!$Y38*Index!CI40</f>
        <v>0</v>
      </c>
      <c r="CK135" s="75">
        <f>Rentroll!$Y38*Index!CJ40</f>
        <v>0</v>
      </c>
      <c r="CL135" s="75">
        <f>Rentroll!$Y38*Index!CK40</f>
        <v>0</v>
      </c>
      <c r="CM135" s="75">
        <f>Rentroll!$Y38*Index!CL40</f>
        <v>0</v>
      </c>
      <c r="CN135" s="75">
        <f>Rentroll!$Y38*Index!CM40</f>
        <v>0</v>
      </c>
      <c r="CO135" s="75">
        <f>Rentroll!$Y38*Index!CN40</f>
        <v>0</v>
      </c>
      <c r="CP135" s="75">
        <f>Rentroll!$Y38*Index!CO40</f>
        <v>0</v>
      </c>
      <c r="CQ135" s="75">
        <f>Rentroll!$Y38*Index!CP40</f>
        <v>0</v>
      </c>
      <c r="CR135" s="75">
        <f>Rentroll!$Y38*Index!CQ40</f>
        <v>0</v>
      </c>
      <c r="CS135" s="75">
        <f>Rentroll!$Y38*Index!CR40</f>
        <v>0</v>
      </c>
      <c r="CT135" s="75">
        <f>Rentroll!$Y38*Index!CS40</f>
        <v>0</v>
      </c>
      <c r="CU135" s="75">
        <f>Rentroll!$Y38*Index!CT40</f>
        <v>0</v>
      </c>
      <c r="CV135" s="75">
        <f>Rentroll!$Y38*Index!CU40</f>
        <v>0</v>
      </c>
      <c r="CW135" s="75">
        <f>Rentroll!$Y38*Index!CV40</f>
        <v>0</v>
      </c>
      <c r="CX135" s="75">
        <f>Rentroll!$Y38*Index!CW40</f>
        <v>0</v>
      </c>
      <c r="CY135" s="75">
        <f>Rentroll!$Y38*Index!CX40</f>
        <v>0</v>
      </c>
      <c r="CZ135" s="75">
        <f>Rentroll!$Y38*Index!CY40</f>
        <v>0</v>
      </c>
      <c r="DA135" s="75">
        <f>Rentroll!$Y38*Index!CZ40</f>
        <v>0</v>
      </c>
      <c r="DB135" s="75">
        <f>Rentroll!$Y38*Index!DA40</f>
        <v>0</v>
      </c>
      <c r="DC135" s="75">
        <f>Rentroll!$Y38*Index!DB40</f>
        <v>0</v>
      </c>
      <c r="DD135" s="75">
        <f>Rentroll!$Y38*Index!DC40</f>
        <v>0</v>
      </c>
      <c r="DE135" s="75">
        <f>Rentroll!$Y38*Index!DD40</f>
        <v>0</v>
      </c>
      <c r="DF135" s="75">
        <f>Rentroll!$Y38*Index!DE40</f>
        <v>0</v>
      </c>
      <c r="DG135" s="75">
        <f>Rentroll!$Y38*Index!DF40</f>
        <v>0</v>
      </c>
      <c r="DH135" s="75">
        <f>Rentroll!$Y38*Index!DG40</f>
        <v>0</v>
      </c>
      <c r="DI135" s="75">
        <f>Rentroll!$Y38*Index!DH40</f>
        <v>0</v>
      </c>
      <c r="DJ135" s="75">
        <f>Rentroll!$Y38*Index!DI40</f>
        <v>0</v>
      </c>
      <c r="DK135" s="75">
        <f>Rentroll!$Y38*Index!DJ40</f>
        <v>0</v>
      </c>
      <c r="DL135" s="75">
        <f>Rentroll!$Y38*Index!DK40</f>
        <v>0</v>
      </c>
      <c r="DM135" s="75">
        <f>Rentroll!$Y38*Index!DL40</f>
        <v>0</v>
      </c>
    </row>
    <row r="136" spans="2:117">
      <c r="B136" s="27">
        <f>Rentroll!$C$39</f>
        <v>15</v>
      </c>
      <c r="C136" s="69" t="str">
        <f>VLOOKUP($B136,Rentroll!$C$37:$Z$60,3,FALSE)</f>
        <v>111퍼센트</v>
      </c>
      <c r="D136" s="80">
        <f>VLOOKUP($B136,Rentroll!$C$37:$Z$60,9,FALSE)</f>
        <v>45869</v>
      </c>
      <c r="E136" s="80">
        <f>VLOOKUP($B136,Rentroll!$C$37:$Z$60,10,FALSE)</f>
        <v>47695</v>
      </c>
      <c r="F136" s="81">
        <f>VLOOKUP($B136,Rentroll!$C$37:$Z$60,11,FALSE)</f>
        <v>60</v>
      </c>
      <c r="G136" s="69">
        <f>VLOOKUP($B136,Rentroll!$C$37:$Z$60,13,FALSE)</f>
        <v>103000</v>
      </c>
      <c r="H136" s="69">
        <f>VLOOKUP($B136,Rentroll!$C$37:$Z$60,14,FALSE)</f>
        <v>94416.666666666672</v>
      </c>
      <c r="I136" s="69">
        <f>VLOOKUP($B136,Rentroll!$C$37:$Z$60,15,FALSE)</f>
        <v>45000</v>
      </c>
      <c r="J136" s="82">
        <f>VLOOKUP($B136,Rentroll!$C$37:$Z$60,19,FALSE)</f>
        <v>0.03</v>
      </c>
      <c r="K136" s="83">
        <f>VLOOKUP($B136,Rentroll!$C$37:$Z$60,4,FALSE)</f>
        <v>1385.09</v>
      </c>
      <c r="L136" s="81">
        <f>VLOOKUP($B136,Rentroll!$C$37:$Z$60,17,FALSE)</f>
        <v>1</v>
      </c>
      <c r="M136" s="84">
        <f>VLOOKUP($B136,Rentroll!$C$37:$Z$60,18,FALSE)</f>
        <v>1</v>
      </c>
      <c r="O136" s="74">
        <f t="shared" si="231"/>
        <v>15</v>
      </c>
      <c r="P136" s="75"/>
      <c r="Q136" s="75"/>
      <c r="R136" s="75"/>
      <c r="S136" s="75">
        <f>Rentroll!$Y39*Index!R41</f>
        <v>0</v>
      </c>
      <c r="T136" s="75">
        <f>Rentroll!$Y39*Index!S41</f>
        <v>0</v>
      </c>
      <c r="U136" s="75">
        <f>Rentroll!$Y39*Index!T41</f>
        <v>0</v>
      </c>
      <c r="V136" s="75">
        <f>Rentroll!$Y39*Index!U41</f>
        <v>0</v>
      </c>
      <c r="W136" s="75">
        <f>Rentroll!$Y39*Index!V41</f>
        <v>0</v>
      </c>
      <c r="X136" s="75">
        <f>Rentroll!$Y39*Index!W41</f>
        <v>0</v>
      </c>
      <c r="Y136" s="75">
        <f>Rentroll!$Y39*Index!X41</f>
        <v>0</v>
      </c>
      <c r="Z136" s="75">
        <f>Rentroll!$Y39*Index!Y41</f>
        <v>431.55941674999997</v>
      </c>
      <c r="AA136" s="75">
        <f>Rentroll!$Y39*Index!Z41</f>
        <v>431.55941674999997</v>
      </c>
      <c r="AB136" s="75">
        <f>Rentroll!$Y39*Index!AA41</f>
        <v>431.55941674999997</v>
      </c>
      <c r="AC136" s="75">
        <f>Rentroll!$Y39*Index!AB41</f>
        <v>431.55941674999997</v>
      </c>
      <c r="AD136" s="75">
        <f>Rentroll!$Y39*Index!AC41</f>
        <v>431.55941674999997</v>
      </c>
      <c r="AE136" s="75">
        <f>Rentroll!$Y39*Index!AD41</f>
        <v>431.55941674999997</v>
      </c>
      <c r="AF136" s="75">
        <f>Rentroll!$Y39*Index!AE41</f>
        <v>431.55941674999997</v>
      </c>
      <c r="AG136" s="75">
        <f>Rentroll!$Y39*Index!AF41</f>
        <v>431.55941674999997</v>
      </c>
      <c r="AH136" s="75">
        <f>Rentroll!$Y39*Index!AG41</f>
        <v>431.55941674999997</v>
      </c>
      <c r="AI136" s="75">
        <f>Rentroll!$Y39*Index!AH41</f>
        <v>431.55941674999997</v>
      </c>
      <c r="AJ136" s="75">
        <f>Rentroll!$Y39*Index!AI41</f>
        <v>431.55941674999997</v>
      </c>
      <c r="AK136" s="75">
        <f>Rentroll!$Y39*Index!AJ41</f>
        <v>431.55941674999997</v>
      </c>
      <c r="AL136" s="75">
        <f>Rentroll!$Y39*Index!AK41</f>
        <v>431.55941674999997</v>
      </c>
      <c r="AM136" s="75">
        <f>Rentroll!$Y39*Index!AL41</f>
        <v>431.55941674999997</v>
      </c>
      <c r="AN136" s="75">
        <f>Rentroll!$Y39*Index!AM41</f>
        <v>431.55941674999997</v>
      </c>
      <c r="AO136" s="75">
        <f>Rentroll!$Y39*Index!AN41</f>
        <v>431.55941674999997</v>
      </c>
      <c r="AP136" s="75">
        <f>Rentroll!$Y39*Index!AO41</f>
        <v>431.55941674999997</v>
      </c>
      <c r="AQ136" s="75">
        <f>Rentroll!$Y39*Index!AP41</f>
        <v>431.55941674999997</v>
      </c>
      <c r="AR136" s="75">
        <f>Rentroll!$Y39*Index!AQ41</f>
        <v>431.55941674999997</v>
      </c>
      <c r="AS136" s="75">
        <f>Rentroll!$Y39*Index!AR41</f>
        <v>431.55941674999997</v>
      </c>
      <c r="AT136" s="75">
        <f>Rentroll!$Y39*Index!AS41</f>
        <v>431.55941674999997</v>
      </c>
      <c r="AU136" s="75">
        <f>Rentroll!$Y39*Index!AT41</f>
        <v>431.55941674999997</v>
      </c>
      <c r="AV136" s="75">
        <f>Rentroll!$Y39*Index!AU41</f>
        <v>431.55941674999997</v>
      </c>
      <c r="AW136" s="75">
        <f>Rentroll!$Y39*Index!AV41</f>
        <v>431.55941674999997</v>
      </c>
      <c r="AX136" s="75">
        <f>Rentroll!$Y39*Index!AW41</f>
        <v>431.55941674999997</v>
      </c>
      <c r="AY136" s="75">
        <f>Rentroll!$Y39*Index!AX41</f>
        <v>431.55941674999997</v>
      </c>
      <c r="AZ136" s="75">
        <f>Rentroll!$Y39*Index!AY41</f>
        <v>431.55941674999997</v>
      </c>
      <c r="BA136" s="75">
        <f>Rentroll!$Y39*Index!AZ41</f>
        <v>431.55941674999997</v>
      </c>
      <c r="BB136" s="75">
        <f>Rentroll!$Y39*Index!BA41</f>
        <v>431.55941674999997</v>
      </c>
      <c r="BC136" s="75">
        <f>Rentroll!$Y39*Index!BB41</f>
        <v>431.55941674999997</v>
      </c>
      <c r="BD136" s="75">
        <f>Rentroll!$Y39*Index!BC41</f>
        <v>431.55941674999997</v>
      </c>
      <c r="BE136" s="75">
        <f>Rentroll!$Y39*Index!BD41</f>
        <v>431.55941674999997</v>
      </c>
      <c r="BF136" s="75">
        <f>Rentroll!$Y39*Index!BE41</f>
        <v>431.55941674999997</v>
      </c>
      <c r="BG136" s="75">
        <f>Rentroll!$Y39*Index!BF41</f>
        <v>431.55941674999997</v>
      </c>
      <c r="BH136" s="75">
        <f>Rentroll!$Y39*Index!BG41</f>
        <v>431.55941674999997</v>
      </c>
      <c r="BI136" s="75">
        <f>Rentroll!$Y39*Index!BH41</f>
        <v>431.55941674999997</v>
      </c>
      <c r="BJ136" s="75">
        <f>Rentroll!$Y39*Index!BI41</f>
        <v>431.55941674999997</v>
      </c>
      <c r="BK136" s="75">
        <f>Rentroll!$Y39*Index!BJ41</f>
        <v>431.55941674999997</v>
      </c>
      <c r="BL136" s="75">
        <f>Rentroll!$Y39*Index!BK41</f>
        <v>431.55941674999997</v>
      </c>
      <c r="BM136" s="75">
        <f>Rentroll!$Y39*Index!BL41</f>
        <v>431.55941674999997</v>
      </c>
      <c r="BN136" s="75">
        <f>Rentroll!$Y39*Index!BM41</f>
        <v>431.55941674999997</v>
      </c>
      <c r="BO136" s="75">
        <f>Rentroll!$Y39*Index!BN41</f>
        <v>431.55941674999997</v>
      </c>
      <c r="BP136" s="75">
        <f>Rentroll!$Y39*Index!BO41</f>
        <v>431.55941674999997</v>
      </c>
      <c r="BQ136" s="75">
        <f>Rentroll!$Y39*Index!BP41</f>
        <v>431.55941674999997</v>
      </c>
      <c r="BR136" s="75">
        <f>Rentroll!$Y39*Index!BQ41</f>
        <v>431.55941674999997</v>
      </c>
      <c r="BS136" s="75">
        <f>Rentroll!$Y39*Index!BR41</f>
        <v>431.55941674999997</v>
      </c>
      <c r="BT136" s="75">
        <f>Rentroll!$Y39*Index!BS41</f>
        <v>431.55941674999997</v>
      </c>
      <c r="BU136" s="75">
        <f>Rentroll!$Y39*Index!BT41</f>
        <v>431.55941674999997</v>
      </c>
      <c r="BV136" s="75">
        <f>Rentroll!$Y39*Index!BU41</f>
        <v>431.55941674999997</v>
      </c>
      <c r="BW136" s="75">
        <f>Rentroll!$Y39*Index!BV41</f>
        <v>431.55941674999997</v>
      </c>
      <c r="BX136" s="75">
        <f>Rentroll!$Y39*Index!BW41</f>
        <v>431.55941674999997</v>
      </c>
      <c r="BY136" s="75">
        <f>Rentroll!$Y39*Index!BX41</f>
        <v>431.55941674999997</v>
      </c>
      <c r="BZ136" s="75">
        <f>Rentroll!$Y39*Index!BY41</f>
        <v>431.55941674999997</v>
      </c>
      <c r="CA136" s="75">
        <f>Rentroll!$Y39*Index!BZ41</f>
        <v>431.55941674999997</v>
      </c>
      <c r="CB136" s="75">
        <f>Rentroll!$Y39*Index!CA41</f>
        <v>0</v>
      </c>
      <c r="CC136" s="75">
        <f>Rentroll!$Y39*Index!CB41</f>
        <v>0</v>
      </c>
      <c r="CD136" s="75">
        <f>Rentroll!$Y39*Index!CC41</f>
        <v>0</v>
      </c>
      <c r="CE136" s="75">
        <f>Rentroll!$Y39*Index!CD41</f>
        <v>0</v>
      </c>
      <c r="CF136" s="75">
        <f>Rentroll!$Y39*Index!CE41</f>
        <v>0</v>
      </c>
      <c r="CG136" s="75">
        <f>Rentroll!$Y39*Index!CF41</f>
        <v>0</v>
      </c>
      <c r="CH136" s="75">
        <f>Rentroll!$Y39*Index!CG41</f>
        <v>0</v>
      </c>
      <c r="CI136" s="75">
        <f>Rentroll!$Y39*Index!CH41</f>
        <v>0</v>
      </c>
      <c r="CJ136" s="75">
        <f>Rentroll!$Y39*Index!CI41</f>
        <v>0</v>
      </c>
      <c r="CK136" s="75">
        <f>Rentroll!$Y39*Index!CJ41</f>
        <v>0</v>
      </c>
      <c r="CL136" s="75">
        <f>Rentroll!$Y39*Index!CK41</f>
        <v>0</v>
      </c>
      <c r="CM136" s="75">
        <f>Rentroll!$Y39*Index!CL41</f>
        <v>0</v>
      </c>
      <c r="CN136" s="75">
        <f>Rentroll!$Y39*Index!CM41</f>
        <v>0</v>
      </c>
      <c r="CO136" s="75">
        <f>Rentroll!$Y39*Index!CN41</f>
        <v>0</v>
      </c>
      <c r="CP136" s="75">
        <f>Rentroll!$Y39*Index!CO41</f>
        <v>0</v>
      </c>
      <c r="CQ136" s="75">
        <f>Rentroll!$Y39*Index!CP41</f>
        <v>0</v>
      </c>
      <c r="CR136" s="75">
        <f>Rentroll!$Y39*Index!CQ41</f>
        <v>0</v>
      </c>
      <c r="CS136" s="75">
        <f>Rentroll!$Y39*Index!CR41</f>
        <v>0</v>
      </c>
      <c r="CT136" s="75">
        <f>Rentroll!$Y39*Index!CS41</f>
        <v>0</v>
      </c>
      <c r="CU136" s="75">
        <f>Rentroll!$Y39*Index!CT41</f>
        <v>0</v>
      </c>
      <c r="CV136" s="75">
        <f>Rentroll!$Y39*Index!CU41</f>
        <v>0</v>
      </c>
      <c r="CW136" s="75">
        <f>Rentroll!$Y39*Index!CV41</f>
        <v>0</v>
      </c>
      <c r="CX136" s="75">
        <f>Rentroll!$Y39*Index!CW41</f>
        <v>0</v>
      </c>
      <c r="CY136" s="75">
        <f>Rentroll!$Y39*Index!CX41</f>
        <v>0</v>
      </c>
      <c r="CZ136" s="75">
        <f>Rentroll!$Y39*Index!CY41</f>
        <v>0</v>
      </c>
      <c r="DA136" s="75">
        <f>Rentroll!$Y39*Index!CZ41</f>
        <v>0</v>
      </c>
      <c r="DB136" s="75">
        <f>Rentroll!$Y39*Index!DA41</f>
        <v>0</v>
      </c>
      <c r="DC136" s="75">
        <f>Rentroll!$Y39*Index!DB41</f>
        <v>0</v>
      </c>
      <c r="DD136" s="75">
        <f>Rentroll!$Y39*Index!DC41</f>
        <v>0</v>
      </c>
      <c r="DE136" s="75">
        <f>Rentroll!$Y39*Index!DD41</f>
        <v>0</v>
      </c>
      <c r="DF136" s="75">
        <f>Rentroll!$Y39*Index!DE41</f>
        <v>0</v>
      </c>
      <c r="DG136" s="75">
        <f>Rentroll!$Y39*Index!DF41</f>
        <v>0</v>
      </c>
      <c r="DH136" s="75">
        <f>Rentroll!$Y39*Index!DG41</f>
        <v>0</v>
      </c>
      <c r="DI136" s="75">
        <f>Rentroll!$Y39*Index!DH41</f>
        <v>0</v>
      </c>
      <c r="DJ136" s="75">
        <f>Rentroll!$Y39*Index!DI41</f>
        <v>0</v>
      </c>
      <c r="DK136" s="75">
        <f>Rentroll!$Y39*Index!DJ41</f>
        <v>0</v>
      </c>
      <c r="DL136" s="75">
        <f>Rentroll!$Y39*Index!DK41</f>
        <v>0</v>
      </c>
      <c r="DM136" s="75">
        <f>Rentroll!$Y39*Index!DL41</f>
        <v>0</v>
      </c>
    </row>
    <row r="137" spans="2:117">
      <c r="B137" s="27">
        <f>Rentroll!$C$40</f>
        <v>14</v>
      </c>
      <c r="C137" s="69" t="str">
        <f>VLOOKUP($B137,Rentroll!$C$37:$Z$60,3,FALSE)</f>
        <v>111퍼센트</v>
      </c>
      <c r="D137" s="80">
        <f>VLOOKUP($B137,Rentroll!$C$37:$Z$60,9,FALSE)</f>
        <v>45869</v>
      </c>
      <c r="E137" s="80">
        <f>VLOOKUP($B137,Rentroll!$C$37:$Z$60,10,FALSE)</f>
        <v>47695</v>
      </c>
      <c r="F137" s="81">
        <f>VLOOKUP($B137,Rentroll!$C$37:$Z$60,11,FALSE)</f>
        <v>60</v>
      </c>
      <c r="G137" s="69">
        <f>VLOOKUP($B137,Rentroll!$C$37:$Z$60,13,FALSE)</f>
        <v>103000</v>
      </c>
      <c r="H137" s="69">
        <f>VLOOKUP($B137,Rentroll!$C$37:$Z$60,14,FALSE)</f>
        <v>94416.666666666672</v>
      </c>
      <c r="I137" s="69">
        <f>VLOOKUP($B137,Rentroll!$C$37:$Z$60,15,FALSE)</f>
        <v>45000</v>
      </c>
      <c r="J137" s="82">
        <f>VLOOKUP($B137,Rentroll!$C$37:$Z$60,19,FALSE)</f>
        <v>0.03</v>
      </c>
      <c r="K137" s="83">
        <f>VLOOKUP($B137,Rentroll!$C$37:$Z$60,4,FALSE)</f>
        <v>1385.09</v>
      </c>
      <c r="L137" s="81">
        <f>VLOOKUP($B137,Rentroll!$C$37:$Z$60,17,FALSE)</f>
        <v>1</v>
      </c>
      <c r="M137" s="84">
        <f>VLOOKUP($B137,Rentroll!$C$37:$Z$60,18,FALSE)</f>
        <v>1</v>
      </c>
      <c r="O137" s="74">
        <f t="shared" si="231"/>
        <v>14</v>
      </c>
      <c r="P137" s="75"/>
      <c r="Q137" s="75"/>
      <c r="R137" s="75"/>
      <c r="S137" s="75">
        <f>Rentroll!$Y40*Index!R42</f>
        <v>0</v>
      </c>
      <c r="T137" s="75">
        <f>Rentroll!$Y40*Index!S42</f>
        <v>0</v>
      </c>
      <c r="U137" s="75">
        <f>Rentroll!$Y40*Index!T42</f>
        <v>0</v>
      </c>
      <c r="V137" s="75">
        <f>Rentroll!$Y40*Index!U42</f>
        <v>0</v>
      </c>
      <c r="W137" s="75">
        <f>Rentroll!$Y40*Index!V42</f>
        <v>0</v>
      </c>
      <c r="X137" s="75">
        <f>Rentroll!$Y40*Index!W42</f>
        <v>0</v>
      </c>
      <c r="Y137" s="75">
        <f>Rentroll!$Y40*Index!X42</f>
        <v>0</v>
      </c>
      <c r="Z137" s="75">
        <f>Rentroll!$Y40*Index!Y42</f>
        <v>431.55941674999997</v>
      </c>
      <c r="AA137" s="75">
        <f>Rentroll!$Y40*Index!Z42</f>
        <v>431.55941674999997</v>
      </c>
      <c r="AB137" s="75">
        <f>Rentroll!$Y40*Index!AA42</f>
        <v>431.55941674999997</v>
      </c>
      <c r="AC137" s="75">
        <f>Rentroll!$Y40*Index!AB42</f>
        <v>431.55941674999997</v>
      </c>
      <c r="AD137" s="75">
        <f>Rentroll!$Y40*Index!AC42</f>
        <v>431.55941674999997</v>
      </c>
      <c r="AE137" s="75">
        <f>Rentroll!$Y40*Index!AD42</f>
        <v>431.55941674999997</v>
      </c>
      <c r="AF137" s="75">
        <f>Rentroll!$Y40*Index!AE42</f>
        <v>431.55941674999997</v>
      </c>
      <c r="AG137" s="75">
        <f>Rentroll!$Y40*Index!AF42</f>
        <v>431.55941674999997</v>
      </c>
      <c r="AH137" s="75">
        <f>Rentroll!$Y40*Index!AG42</f>
        <v>431.55941674999997</v>
      </c>
      <c r="AI137" s="75">
        <f>Rentroll!$Y40*Index!AH42</f>
        <v>431.55941674999997</v>
      </c>
      <c r="AJ137" s="75">
        <f>Rentroll!$Y40*Index!AI42</f>
        <v>431.55941674999997</v>
      </c>
      <c r="AK137" s="75">
        <f>Rentroll!$Y40*Index!AJ42</f>
        <v>431.55941674999997</v>
      </c>
      <c r="AL137" s="75">
        <f>Rentroll!$Y40*Index!AK42</f>
        <v>431.55941674999997</v>
      </c>
      <c r="AM137" s="75">
        <f>Rentroll!$Y40*Index!AL42</f>
        <v>431.55941674999997</v>
      </c>
      <c r="AN137" s="75">
        <f>Rentroll!$Y40*Index!AM42</f>
        <v>431.55941674999997</v>
      </c>
      <c r="AO137" s="75">
        <f>Rentroll!$Y40*Index!AN42</f>
        <v>431.55941674999997</v>
      </c>
      <c r="AP137" s="75">
        <f>Rentroll!$Y40*Index!AO42</f>
        <v>431.55941674999997</v>
      </c>
      <c r="AQ137" s="75">
        <f>Rentroll!$Y40*Index!AP42</f>
        <v>431.55941674999997</v>
      </c>
      <c r="AR137" s="75">
        <f>Rentroll!$Y40*Index!AQ42</f>
        <v>431.55941674999997</v>
      </c>
      <c r="AS137" s="75">
        <f>Rentroll!$Y40*Index!AR42</f>
        <v>431.55941674999997</v>
      </c>
      <c r="AT137" s="75">
        <f>Rentroll!$Y40*Index!AS42</f>
        <v>431.55941674999997</v>
      </c>
      <c r="AU137" s="75">
        <f>Rentroll!$Y40*Index!AT42</f>
        <v>431.55941674999997</v>
      </c>
      <c r="AV137" s="75">
        <f>Rentroll!$Y40*Index!AU42</f>
        <v>431.55941674999997</v>
      </c>
      <c r="AW137" s="75">
        <f>Rentroll!$Y40*Index!AV42</f>
        <v>431.55941674999997</v>
      </c>
      <c r="AX137" s="75">
        <f>Rentroll!$Y40*Index!AW42</f>
        <v>431.55941674999997</v>
      </c>
      <c r="AY137" s="75">
        <f>Rentroll!$Y40*Index!AX42</f>
        <v>431.55941674999997</v>
      </c>
      <c r="AZ137" s="75">
        <f>Rentroll!$Y40*Index!AY42</f>
        <v>431.55941674999997</v>
      </c>
      <c r="BA137" s="75">
        <f>Rentroll!$Y40*Index!AZ42</f>
        <v>431.55941674999997</v>
      </c>
      <c r="BB137" s="75">
        <f>Rentroll!$Y40*Index!BA42</f>
        <v>431.55941674999997</v>
      </c>
      <c r="BC137" s="75">
        <f>Rentroll!$Y40*Index!BB42</f>
        <v>431.55941674999997</v>
      </c>
      <c r="BD137" s="75">
        <f>Rentroll!$Y40*Index!BC42</f>
        <v>431.55941674999997</v>
      </c>
      <c r="BE137" s="75">
        <f>Rentroll!$Y40*Index!BD42</f>
        <v>431.55941674999997</v>
      </c>
      <c r="BF137" s="75">
        <f>Rentroll!$Y40*Index!BE42</f>
        <v>431.55941674999997</v>
      </c>
      <c r="BG137" s="75">
        <f>Rentroll!$Y40*Index!BF42</f>
        <v>431.55941674999997</v>
      </c>
      <c r="BH137" s="75">
        <f>Rentroll!$Y40*Index!BG42</f>
        <v>431.55941674999997</v>
      </c>
      <c r="BI137" s="75">
        <f>Rentroll!$Y40*Index!BH42</f>
        <v>431.55941674999997</v>
      </c>
      <c r="BJ137" s="75">
        <f>Rentroll!$Y40*Index!BI42</f>
        <v>431.55941674999997</v>
      </c>
      <c r="BK137" s="75">
        <f>Rentroll!$Y40*Index!BJ42</f>
        <v>431.55941674999997</v>
      </c>
      <c r="BL137" s="75">
        <f>Rentroll!$Y40*Index!BK42</f>
        <v>431.55941674999997</v>
      </c>
      <c r="BM137" s="75">
        <f>Rentroll!$Y40*Index!BL42</f>
        <v>431.55941674999997</v>
      </c>
      <c r="BN137" s="75">
        <f>Rentroll!$Y40*Index!BM42</f>
        <v>431.55941674999997</v>
      </c>
      <c r="BO137" s="75">
        <f>Rentroll!$Y40*Index!BN42</f>
        <v>431.55941674999997</v>
      </c>
      <c r="BP137" s="75">
        <f>Rentroll!$Y40*Index!BO42</f>
        <v>431.55941674999997</v>
      </c>
      <c r="BQ137" s="75">
        <f>Rentroll!$Y40*Index!BP42</f>
        <v>431.55941674999997</v>
      </c>
      <c r="BR137" s="75">
        <f>Rentroll!$Y40*Index!BQ42</f>
        <v>431.55941674999997</v>
      </c>
      <c r="BS137" s="75">
        <f>Rentroll!$Y40*Index!BR42</f>
        <v>431.55941674999997</v>
      </c>
      <c r="BT137" s="75">
        <f>Rentroll!$Y40*Index!BS42</f>
        <v>431.55941674999997</v>
      </c>
      <c r="BU137" s="75">
        <f>Rentroll!$Y40*Index!BT42</f>
        <v>431.55941674999997</v>
      </c>
      <c r="BV137" s="75">
        <f>Rentroll!$Y40*Index!BU42</f>
        <v>431.55941674999997</v>
      </c>
      <c r="BW137" s="75">
        <f>Rentroll!$Y40*Index!BV42</f>
        <v>431.55941674999997</v>
      </c>
      <c r="BX137" s="75">
        <f>Rentroll!$Y40*Index!BW42</f>
        <v>431.55941674999997</v>
      </c>
      <c r="BY137" s="75">
        <f>Rentroll!$Y40*Index!BX42</f>
        <v>431.55941674999997</v>
      </c>
      <c r="BZ137" s="75">
        <f>Rentroll!$Y40*Index!BY42</f>
        <v>431.55941674999997</v>
      </c>
      <c r="CA137" s="75">
        <f>Rentroll!$Y40*Index!BZ42</f>
        <v>431.55941674999997</v>
      </c>
      <c r="CB137" s="75">
        <f>Rentroll!$Y40*Index!CA42</f>
        <v>0</v>
      </c>
      <c r="CC137" s="75">
        <f>Rentroll!$Y40*Index!CB42</f>
        <v>0</v>
      </c>
      <c r="CD137" s="75">
        <f>Rentroll!$Y40*Index!CC42</f>
        <v>0</v>
      </c>
      <c r="CE137" s="75">
        <f>Rentroll!$Y40*Index!CD42</f>
        <v>0</v>
      </c>
      <c r="CF137" s="75">
        <f>Rentroll!$Y40*Index!CE42</f>
        <v>0</v>
      </c>
      <c r="CG137" s="75">
        <f>Rentroll!$Y40*Index!CF42</f>
        <v>0</v>
      </c>
      <c r="CH137" s="75">
        <f>Rentroll!$Y40*Index!CG42</f>
        <v>0</v>
      </c>
      <c r="CI137" s="75">
        <f>Rentroll!$Y40*Index!CH42</f>
        <v>0</v>
      </c>
      <c r="CJ137" s="75">
        <f>Rentroll!$Y40*Index!CI42</f>
        <v>0</v>
      </c>
      <c r="CK137" s="75">
        <f>Rentroll!$Y40*Index!CJ42</f>
        <v>0</v>
      </c>
      <c r="CL137" s="75">
        <f>Rentroll!$Y40*Index!CK42</f>
        <v>0</v>
      </c>
      <c r="CM137" s="75">
        <f>Rentroll!$Y40*Index!CL42</f>
        <v>0</v>
      </c>
      <c r="CN137" s="75">
        <f>Rentroll!$Y40*Index!CM42</f>
        <v>0</v>
      </c>
      <c r="CO137" s="75">
        <f>Rentroll!$Y40*Index!CN42</f>
        <v>0</v>
      </c>
      <c r="CP137" s="75">
        <f>Rentroll!$Y40*Index!CO42</f>
        <v>0</v>
      </c>
      <c r="CQ137" s="75">
        <f>Rentroll!$Y40*Index!CP42</f>
        <v>0</v>
      </c>
      <c r="CR137" s="75">
        <f>Rentroll!$Y40*Index!CQ42</f>
        <v>0</v>
      </c>
      <c r="CS137" s="75">
        <f>Rentroll!$Y40*Index!CR42</f>
        <v>0</v>
      </c>
      <c r="CT137" s="75">
        <f>Rentroll!$Y40*Index!CS42</f>
        <v>0</v>
      </c>
      <c r="CU137" s="75">
        <f>Rentroll!$Y40*Index!CT42</f>
        <v>0</v>
      </c>
      <c r="CV137" s="75">
        <f>Rentroll!$Y40*Index!CU42</f>
        <v>0</v>
      </c>
      <c r="CW137" s="75">
        <f>Rentroll!$Y40*Index!CV42</f>
        <v>0</v>
      </c>
      <c r="CX137" s="75">
        <f>Rentroll!$Y40*Index!CW42</f>
        <v>0</v>
      </c>
      <c r="CY137" s="75">
        <f>Rentroll!$Y40*Index!CX42</f>
        <v>0</v>
      </c>
      <c r="CZ137" s="75">
        <f>Rentroll!$Y40*Index!CY42</f>
        <v>0</v>
      </c>
      <c r="DA137" s="75">
        <f>Rentroll!$Y40*Index!CZ42</f>
        <v>0</v>
      </c>
      <c r="DB137" s="75">
        <f>Rentroll!$Y40*Index!DA42</f>
        <v>0</v>
      </c>
      <c r="DC137" s="75">
        <f>Rentroll!$Y40*Index!DB42</f>
        <v>0</v>
      </c>
      <c r="DD137" s="75">
        <f>Rentroll!$Y40*Index!DC42</f>
        <v>0</v>
      </c>
      <c r="DE137" s="75">
        <f>Rentroll!$Y40*Index!DD42</f>
        <v>0</v>
      </c>
      <c r="DF137" s="75">
        <f>Rentroll!$Y40*Index!DE42</f>
        <v>0</v>
      </c>
      <c r="DG137" s="75">
        <f>Rentroll!$Y40*Index!DF42</f>
        <v>0</v>
      </c>
      <c r="DH137" s="75">
        <f>Rentroll!$Y40*Index!DG42</f>
        <v>0</v>
      </c>
      <c r="DI137" s="75">
        <f>Rentroll!$Y40*Index!DH42</f>
        <v>0</v>
      </c>
      <c r="DJ137" s="75">
        <f>Rentroll!$Y40*Index!DI42</f>
        <v>0</v>
      </c>
      <c r="DK137" s="75">
        <f>Rentroll!$Y40*Index!DJ42</f>
        <v>0</v>
      </c>
      <c r="DL137" s="75">
        <f>Rentroll!$Y40*Index!DK42</f>
        <v>0</v>
      </c>
      <c r="DM137" s="75">
        <f>Rentroll!$Y40*Index!DL42</f>
        <v>0</v>
      </c>
    </row>
    <row r="138" spans="2:117">
      <c r="B138" s="27">
        <f>Rentroll!$C$41</f>
        <v>13</v>
      </c>
      <c r="C138" s="69" t="str">
        <f>VLOOKUP($B138,Rentroll!$C$37:$Z$60,3,FALSE)</f>
        <v>111퍼센트</v>
      </c>
      <c r="D138" s="80">
        <f>VLOOKUP($B138,Rentroll!$C$37:$Z$60,9,FALSE)</f>
        <v>45869</v>
      </c>
      <c r="E138" s="80">
        <f>VLOOKUP($B138,Rentroll!$C$37:$Z$60,10,FALSE)</f>
        <v>47695</v>
      </c>
      <c r="F138" s="81">
        <f>VLOOKUP($B138,Rentroll!$C$37:$Z$60,11,FALSE)</f>
        <v>60</v>
      </c>
      <c r="G138" s="69">
        <f>VLOOKUP($B138,Rentroll!$C$37:$Z$60,13,FALSE)</f>
        <v>103000</v>
      </c>
      <c r="H138" s="69">
        <f>VLOOKUP($B138,Rentroll!$C$37:$Z$60,14,FALSE)</f>
        <v>94416.666666666672</v>
      </c>
      <c r="I138" s="69">
        <f>VLOOKUP($B138,Rentroll!$C$37:$Z$60,15,FALSE)</f>
        <v>45000</v>
      </c>
      <c r="J138" s="82">
        <f>VLOOKUP($B138,Rentroll!$C$37:$Z$60,19,FALSE)</f>
        <v>0.03</v>
      </c>
      <c r="K138" s="83">
        <f>VLOOKUP($B138,Rentroll!$C$37:$Z$60,4,FALSE)</f>
        <v>1385.09</v>
      </c>
      <c r="L138" s="81">
        <f>VLOOKUP($B138,Rentroll!$C$37:$Z$60,17,FALSE)</f>
        <v>1</v>
      </c>
      <c r="M138" s="84">
        <f>VLOOKUP($B138,Rentroll!$C$37:$Z$60,18,FALSE)</f>
        <v>1</v>
      </c>
      <c r="O138" s="74">
        <f t="shared" si="231"/>
        <v>13</v>
      </c>
      <c r="P138" s="75"/>
      <c r="Q138" s="75"/>
      <c r="R138" s="75"/>
      <c r="S138" s="75">
        <f>Rentroll!$Y41*Index!R43</f>
        <v>0</v>
      </c>
      <c r="T138" s="75">
        <f>Rentroll!$Y41*Index!S43</f>
        <v>0</v>
      </c>
      <c r="U138" s="75">
        <f>Rentroll!$Y41*Index!T43</f>
        <v>0</v>
      </c>
      <c r="V138" s="75">
        <f>Rentroll!$Y41*Index!U43</f>
        <v>0</v>
      </c>
      <c r="W138" s="75">
        <f>Rentroll!$Y41*Index!V43</f>
        <v>0</v>
      </c>
      <c r="X138" s="75">
        <f>Rentroll!$Y41*Index!W43</f>
        <v>0</v>
      </c>
      <c r="Y138" s="75">
        <f>Rentroll!$Y41*Index!X43</f>
        <v>0</v>
      </c>
      <c r="Z138" s="75">
        <f>Rentroll!$Y41*Index!Y43</f>
        <v>431.55941674999997</v>
      </c>
      <c r="AA138" s="75">
        <f>Rentroll!$Y41*Index!Z43</f>
        <v>431.55941674999997</v>
      </c>
      <c r="AB138" s="75">
        <f>Rentroll!$Y41*Index!AA43</f>
        <v>431.55941674999997</v>
      </c>
      <c r="AC138" s="75">
        <f>Rentroll!$Y41*Index!AB43</f>
        <v>431.55941674999997</v>
      </c>
      <c r="AD138" s="75">
        <f>Rentroll!$Y41*Index!AC43</f>
        <v>431.55941674999997</v>
      </c>
      <c r="AE138" s="75">
        <f>Rentroll!$Y41*Index!AD43</f>
        <v>431.55941674999997</v>
      </c>
      <c r="AF138" s="75">
        <f>Rentroll!$Y41*Index!AE43</f>
        <v>431.55941674999997</v>
      </c>
      <c r="AG138" s="75">
        <f>Rentroll!$Y41*Index!AF43</f>
        <v>431.55941674999997</v>
      </c>
      <c r="AH138" s="75">
        <f>Rentroll!$Y41*Index!AG43</f>
        <v>431.55941674999997</v>
      </c>
      <c r="AI138" s="75">
        <f>Rentroll!$Y41*Index!AH43</f>
        <v>431.55941674999997</v>
      </c>
      <c r="AJ138" s="75">
        <f>Rentroll!$Y41*Index!AI43</f>
        <v>431.55941674999997</v>
      </c>
      <c r="AK138" s="75">
        <f>Rentroll!$Y41*Index!AJ43</f>
        <v>431.55941674999997</v>
      </c>
      <c r="AL138" s="75">
        <f>Rentroll!$Y41*Index!AK43</f>
        <v>431.55941674999997</v>
      </c>
      <c r="AM138" s="75">
        <f>Rentroll!$Y41*Index!AL43</f>
        <v>431.55941674999997</v>
      </c>
      <c r="AN138" s="75">
        <f>Rentroll!$Y41*Index!AM43</f>
        <v>431.55941674999997</v>
      </c>
      <c r="AO138" s="75">
        <f>Rentroll!$Y41*Index!AN43</f>
        <v>431.55941674999997</v>
      </c>
      <c r="AP138" s="75">
        <f>Rentroll!$Y41*Index!AO43</f>
        <v>431.55941674999997</v>
      </c>
      <c r="AQ138" s="75">
        <f>Rentroll!$Y41*Index!AP43</f>
        <v>431.55941674999997</v>
      </c>
      <c r="AR138" s="75">
        <f>Rentroll!$Y41*Index!AQ43</f>
        <v>431.55941674999997</v>
      </c>
      <c r="AS138" s="75">
        <f>Rentroll!$Y41*Index!AR43</f>
        <v>431.55941674999997</v>
      </c>
      <c r="AT138" s="75">
        <f>Rentroll!$Y41*Index!AS43</f>
        <v>431.55941674999997</v>
      </c>
      <c r="AU138" s="75">
        <f>Rentroll!$Y41*Index!AT43</f>
        <v>431.55941674999997</v>
      </c>
      <c r="AV138" s="75">
        <f>Rentroll!$Y41*Index!AU43</f>
        <v>431.55941674999997</v>
      </c>
      <c r="AW138" s="75">
        <f>Rentroll!$Y41*Index!AV43</f>
        <v>431.55941674999997</v>
      </c>
      <c r="AX138" s="75">
        <f>Rentroll!$Y41*Index!AW43</f>
        <v>431.55941674999997</v>
      </c>
      <c r="AY138" s="75">
        <f>Rentroll!$Y41*Index!AX43</f>
        <v>431.55941674999997</v>
      </c>
      <c r="AZ138" s="75">
        <f>Rentroll!$Y41*Index!AY43</f>
        <v>431.55941674999997</v>
      </c>
      <c r="BA138" s="75">
        <f>Rentroll!$Y41*Index!AZ43</f>
        <v>431.55941674999997</v>
      </c>
      <c r="BB138" s="75">
        <f>Rentroll!$Y41*Index!BA43</f>
        <v>431.55941674999997</v>
      </c>
      <c r="BC138" s="75">
        <f>Rentroll!$Y41*Index!BB43</f>
        <v>431.55941674999997</v>
      </c>
      <c r="BD138" s="75">
        <f>Rentroll!$Y41*Index!BC43</f>
        <v>431.55941674999997</v>
      </c>
      <c r="BE138" s="75">
        <f>Rentroll!$Y41*Index!BD43</f>
        <v>431.55941674999997</v>
      </c>
      <c r="BF138" s="75">
        <f>Rentroll!$Y41*Index!BE43</f>
        <v>431.55941674999997</v>
      </c>
      <c r="BG138" s="75">
        <f>Rentroll!$Y41*Index!BF43</f>
        <v>431.55941674999997</v>
      </c>
      <c r="BH138" s="75">
        <f>Rentroll!$Y41*Index!BG43</f>
        <v>431.55941674999997</v>
      </c>
      <c r="BI138" s="75">
        <f>Rentroll!$Y41*Index!BH43</f>
        <v>431.55941674999997</v>
      </c>
      <c r="BJ138" s="75">
        <f>Rentroll!$Y41*Index!BI43</f>
        <v>431.55941674999997</v>
      </c>
      <c r="BK138" s="75">
        <f>Rentroll!$Y41*Index!BJ43</f>
        <v>431.55941674999997</v>
      </c>
      <c r="BL138" s="75">
        <f>Rentroll!$Y41*Index!BK43</f>
        <v>431.55941674999997</v>
      </c>
      <c r="BM138" s="75">
        <f>Rentroll!$Y41*Index!BL43</f>
        <v>431.55941674999997</v>
      </c>
      <c r="BN138" s="75">
        <f>Rentroll!$Y41*Index!BM43</f>
        <v>431.55941674999997</v>
      </c>
      <c r="BO138" s="75">
        <f>Rentroll!$Y41*Index!BN43</f>
        <v>431.55941674999997</v>
      </c>
      <c r="BP138" s="75">
        <f>Rentroll!$Y41*Index!BO43</f>
        <v>431.55941674999997</v>
      </c>
      <c r="BQ138" s="75">
        <f>Rentroll!$Y41*Index!BP43</f>
        <v>431.55941674999997</v>
      </c>
      <c r="BR138" s="75">
        <f>Rentroll!$Y41*Index!BQ43</f>
        <v>431.55941674999997</v>
      </c>
      <c r="BS138" s="75">
        <f>Rentroll!$Y41*Index!BR43</f>
        <v>431.55941674999997</v>
      </c>
      <c r="BT138" s="75">
        <f>Rentroll!$Y41*Index!BS43</f>
        <v>431.55941674999997</v>
      </c>
      <c r="BU138" s="75">
        <f>Rentroll!$Y41*Index!BT43</f>
        <v>431.55941674999997</v>
      </c>
      <c r="BV138" s="75">
        <f>Rentroll!$Y41*Index!BU43</f>
        <v>431.55941674999997</v>
      </c>
      <c r="BW138" s="75">
        <f>Rentroll!$Y41*Index!BV43</f>
        <v>431.55941674999997</v>
      </c>
      <c r="BX138" s="75">
        <f>Rentroll!$Y41*Index!BW43</f>
        <v>431.55941674999997</v>
      </c>
      <c r="BY138" s="75">
        <f>Rentroll!$Y41*Index!BX43</f>
        <v>431.55941674999997</v>
      </c>
      <c r="BZ138" s="75">
        <f>Rentroll!$Y41*Index!BY43</f>
        <v>431.55941674999997</v>
      </c>
      <c r="CA138" s="75">
        <f>Rentroll!$Y41*Index!BZ43</f>
        <v>431.55941674999997</v>
      </c>
      <c r="CB138" s="75">
        <f>Rentroll!$Y41*Index!CA43</f>
        <v>0</v>
      </c>
      <c r="CC138" s="75">
        <f>Rentroll!$Y41*Index!CB43</f>
        <v>0</v>
      </c>
      <c r="CD138" s="75">
        <f>Rentroll!$Y41*Index!CC43</f>
        <v>0</v>
      </c>
      <c r="CE138" s="75">
        <f>Rentroll!$Y41*Index!CD43</f>
        <v>0</v>
      </c>
      <c r="CF138" s="75">
        <f>Rentroll!$Y41*Index!CE43</f>
        <v>0</v>
      </c>
      <c r="CG138" s="75">
        <f>Rentroll!$Y41*Index!CF43</f>
        <v>0</v>
      </c>
      <c r="CH138" s="75">
        <f>Rentroll!$Y41*Index!CG43</f>
        <v>0</v>
      </c>
      <c r="CI138" s="75">
        <f>Rentroll!$Y41*Index!CH43</f>
        <v>0</v>
      </c>
      <c r="CJ138" s="75">
        <f>Rentroll!$Y41*Index!CI43</f>
        <v>0</v>
      </c>
      <c r="CK138" s="75">
        <f>Rentroll!$Y41*Index!CJ43</f>
        <v>0</v>
      </c>
      <c r="CL138" s="75">
        <f>Rentroll!$Y41*Index!CK43</f>
        <v>0</v>
      </c>
      <c r="CM138" s="75">
        <f>Rentroll!$Y41*Index!CL43</f>
        <v>0</v>
      </c>
      <c r="CN138" s="75">
        <f>Rentroll!$Y41*Index!CM43</f>
        <v>0</v>
      </c>
      <c r="CO138" s="75">
        <f>Rentroll!$Y41*Index!CN43</f>
        <v>0</v>
      </c>
      <c r="CP138" s="75">
        <f>Rentroll!$Y41*Index!CO43</f>
        <v>0</v>
      </c>
      <c r="CQ138" s="75">
        <f>Rentroll!$Y41*Index!CP43</f>
        <v>0</v>
      </c>
      <c r="CR138" s="75">
        <f>Rentroll!$Y41*Index!CQ43</f>
        <v>0</v>
      </c>
      <c r="CS138" s="75">
        <f>Rentroll!$Y41*Index!CR43</f>
        <v>0</v>
      </c>
      <c r="CT138" s="75">
        <f>Rentroll!$Y41*Index!CS43</f>
        <v>0</v>
      </c>
      <c r="CU138" s="75">
        <f>Rentroll!$Y41*Index!CT43</f>
        <v>0</v>
      </c>
      <c r="CV138" s="75">
        <f>Rentroll!$Y41*Index!CU43</f>
        <v>0</v>
      </c>
      <c r="CW138" s="75">
        <f>Rentroll!$Y41*Index!CV43</f>
        <v>0</v>
      </c>
      <c r="CX138" s="75">
        <f>Rentroll!$Y41*Index!CW43</f>
        <v>0</v>
      </c>
      <c r="CY138" s="75">
        <f>Rentroll!$Y41*Index!CX43</f>
        <v>0</v>
      </c>
      <c r="CZ138" s="75">
        <f>Rentroll!$Y41*Index!CY43</f>
        <v>0</v>
      </c>
      <c r="DA138" s="75">
        <f>Rentroll!$Y41*Index!CZ43</f>
        <v>0</v>
      </c>
      <c r="DB138" s="75">
        <f>Rentroll!$Y41*Index!DA43</f>
        <v>0</v>
      </c>
      <c r="DC138" s="75">
        <f>Rentroll!$Y41*Index!DB43</f>
        <v>0</v>
      </c>
      <c r="DD138" s="75">
        <f>Rentroll!$Y41*Index!DC43</f>
        <v>0</v>
      </c>
      <c r="DE138" s="75">
        <f>Rentroll!$Y41*Index!DD43</f>
        <v>0</v>
      </c>
      <c r="DF138" s="75">
        <f>Rentroll!$Y41*Index!DE43</f>
        <v>0</v>
      </c>
      <c r="DG138" s="75">
        <f>Rentroll!$Y41*Index!DF43</f>
        <v>0</v>
      </c>
      <c r="DH138" s="75">
        <f>Rentroll!$Y41*Index!DG43</f>
        <v>0</v>
      </c>
      <c r="DI138" s="75">
        <f>Rentroll!$Y41*Index!DH43</f>
        <v>0</v>
      </c>
      <c r="DJ138" s="75">
        <f>Rentroll!$Y41*Index!DI43</f>
        <v>0</v>
      </c>
      <c r="DK138" s="75">
        <f>Rentroll!$Y41*Index!DJ43</f>
        <v>0</v>
      </c>
      <c r="DL138" s="75">
        <f>Rentroll!$Y41*Index!DK43</f>
        <v>0</v>
      </c>
      <c r="DM138" s="75">
        <f>Rentroll!$Y41*Index!DL43</f>
        <v>0</v>
      </c>
    </row>
    <row r="139" spans="2:117">
      <c r="B139" s="27">
        <f>Rentroll!$C$42</f>
        <v>12</v>
      </c>
      <c r="C139" s="69" t="str">
        <f>VLOOKUP($B139,Rentroll!$C$37:$Z$60,3,FALSE)</f>
        <v>신라젠</v>
      </c>
      <c r="D139" s="80">
        <f>VLOOKUP($B139,Rentroll!$C$37:$Z$60,9,FALSE)</f>
        <v>45869</v>
      </c>
      <c r="E139" s="80">
        <f>VLOOKUP($B139,Rentroll!$C$37:$Z$60,10,FALSE)</f>
        <v>47695</v>
      </c>
      <c r="F139" s="81">
        <f>VLOOKUP($B139,Rentroll!$C$37:$Z$60,11,FALSE)</f>
        <v>60</v>
      </c>
      <c r="G139" s="69">
        <f>VLOOKUP($B139,Rentroll!$C$37:$Z$60,13,FALSE)</f>
        <v>103000</v>
      </c>
      <c r="H139" s="69">
        <f>VLOOKUP($B139,Rentroll!$C$37:$Z$60,14,FALSE)</f>
        <v>94416.666666666672</v>
      </c>
      <c r="I139" s="69">
        <f>VLOOKUP($B139,Rentroll!$C$37:$Z$60,15,FALSE)</f>
        <v>45000</v>
      </c>
      <c r="J139" s="82">
        <f>VLOOKUP($B139,Rentroll!$C$37:$Z$60,19,FALSE)</f>
        <v>0.03</v>
      </c>
      <c r="K139" s="83">
        <f>VLOOKUP($B139,Rentroll!$C$37:$Z$60,4,FALSE)</f>
        <v>1385.09</v>
      </c>
      <c r="L139" s="81">
        <f>VLOOKUP($B139,Rentroll!$C$37:$Z$60,17,FALSE)</f>
        <v>1</v>
      </c>
      <c r="M139" s="84">
        <f>VLOOKUP($B139,Rentroll!$C$37:$Z$60,18,FALSE)</f>
        <v>1</v>
      </c>
      <c r="O139" s="74">
        <f t="shared" si="231"/>
        <v>12</v>
      </c>
      <c r="P139" s="75"/>
      <c r="Q139" s="75"/>
      <c r="R139" s="75"/>
      <c r="S139" s="75">
        <f>Rentroll!$Y42*Index!R44</f>
        <v>0</v>
      </c>
      <c r="T139" s="75">
        <f>Rentroll!$Y42*Index!S44</f>
        <v>0</v>
      </c>
      <c r="U139" s="75">
        <f>Rentroll!$Y42*Index!T44</f>
        <v>0</v>
      </c>
      <c r="V139" s="75">
        <f>Rentroll!$Y42*Index!U44</f>
        <v>0</v>
      </c>
      <c r="W139" s="75">
        <f>Rentroll!$Y42*Index!V44</f>
        <v>0</v>
      </c>
      <c r="X139" s="75">
        <f>Rentroll!$Y42*Index!W44</f>
        <v>0</v>
      </c>
      <c r="Y139" s="75">
        <f>Rentroll!$Y42*Index!X44</f>
        <v>0</v>
      </c>
      <c r="Z139" s="75">
        <f>Rentroll!$Y42*Index!Y44</f>
        <v>431.55941674999997</v>
      </c>
      <c r="AA139" s="75">
        <f>Rentroll!$Y42*Index!Z44</f>
        <v>431.55941674999997</v>
      </c>
      <c r="AB139" s="75">
        <f>Rentroll!$Y42*Index!AA44</f>
        <v>431.55941674999997</v>
      </c>
      <c r="AC139" s="75">
        <f>Rentroll!$Y42*Index!AB44</f>
        <v>431.55941674999997</v>
      </c>
      <c r="AD139" s="75">
        <f>Rentroll!$Y42*Index!AC44</f>
        <v>431.55941674999997</v>
      </c>
      <c r="AE139" s="75">
        <f>Rentroll!$Y42*Index!AD44</f>
        <v>431.55941674999997</v>
      </c>
      <c r="AF139" s="75">
        <f>Rentroll!$Y42*Index!AE44</f>
        <v>431.55941674999997</v>
      </c>
      <c r="AG139" s="75">
        <f>Rentroll!$Y42*Index!AF44</f>
        <v>431.55941674999997</v>
      </c>
      <c r="AH139" s="75">
        <f>Rentroll!$Y42*Index!AG44</f>
        <v>431.55941674999997</v>
      </c>
      <c r="AI139" s="75">
        <f>Rentroll!$Y42*Index!AH44</f>
        <v>431.55941674999997</v>
      </c>
      <c r="AJ139" s="75">
        <f>Rentroll!$Y42*Index!AI44</f>
        <v>431.55941674999997</v>
      </c>
      <c r="AK139" s="75">
        <f>Rentroll!$Y42*Index!AJ44</f>
        <v>431.55941674999997</v>
      </c>
      <c r="AL139" s="75">
        <f>Rentroll!$Y42*Index!AK44</f>
        <v>431.55941674999997</v>
      </c>
      <c r="AM139" s="75">
        <f>Rentroll!$Y42*Index!AL44</f>
        <v>431.55941674999997</v>
      </c>
      <c r="AN139" s="75">
        <f>Rentroll!$Y42*Index!AM44</f>
        <v>431.55941674999997</v>
      </c>
      <c r="AO139" s="75">
        <f>Rentroll!$Y42*Index!AN44</f>
        <v>431.55941674999997</v>
      </c>
      <c r="AP139" s="75">
        <f>Rentroll!$Y42*Index!AO44</f>
        <v>431.55941674999997</v>
      </c>
      <c r="AQ139" s="75">
        <f>Rentroll!$Y42*Index!AP44</f>
        <v>431.55941674999997</v>
      </c>
      <c r="AR139" s="75">
        <f>Rentroll!$Y42*Index!AQ44</f>
        <v>431.55941674999997</v>
      </c>
      <c r="AS139" s="75">
        <f>Rentroll!$Y42*Index!AR44</f>
        <v>431.55941674999997</v>
      </c>
      <c r="AT139" s="75">
        <f>Rentroll!$Y42*Index!AS44</f>
        <v>431.55941674999997</v>
      </c>
      <c r="AU139" s="75">
        <f>Rentroll!$Y42*Index!AT44</f>
        <v>431.55941674999997</v>
      </c>
      <c r="AV139" s="75">
        <f>Rentroll!$Y42*Index!AU44</f>
        <v>431.55941674999997</v>
      </c>
      <c r="AW139" s="75">
        <f>Rentroll!$Y42*Index!AV44</f>
        <v>431.55941674999997</v>
      </c>
      <c r="AX139" s="75">
        <f>Rentroll!$Y42*Index!AW44</f>
        <v>431.55941674999997</v>
      </c>
      <c r="AY139" s="75">
        <f>Rentroll!$Y42*Index!AX44</f>
        <v>431.55941674999997</v>
      </c>
      <c r="AZ139" s="75">
        <f>Rentroll!$Y42*Index!AY44</f>
        <v>431.55941674999997</v>
      </c>
      <c r="BA139" s="75">
        <f>Rentroll!$Y42*Index!AZ44</f>
        <v>431.55941674999997</v>
      </c>
      <c r="BB139" s="75">
        <f>Rentroll!$Y42*Index!BA44</f>
        <v>431.55941674999997</v>
      </c>
      <c r="BC139" s="75">
        <f>Rentroll!$Y42*Index!BB44</f>
        <v>431.55941674999997</v>
      </c>
      <c r="BD139" s="75">
        <f>Rentroll!$Y42*Index!BC44</f>
        <v>431.55941674999997</v>
      </c>
      <c r="BE139" s="75">
        <f>Rentroll!$Y42*Index!BD44</f>
        <v>431.55941674999997</v>
      </c>
      <c r="BF139" s="75">
        <f>Rentroll!$Y42*Index!BE44</f>
        <v>431.55941674999997</v>
      </c>
      <c r="BG139" s="75">
        <f>Rentroll!$Y42*Index!BF44</f>
        <v>431.55941674999997</v>
      </c>
      <c r="BH139" s="75">
        <f>Rentroll!$Y42*Index!BG44</f>
        <v>431.55941674999997</v>
      </c>
      <c r="BI139" s="75">
        <f>Rentroll!$Y42*Index!BH44</f>
        <v>431.55941674999997</v>
      </c>
      <c r="BJ139" s="75">
        <f>Rentroll!$Y42*Index!BI44</f>
        <v>431.55941674999997</v>
      </c>
      <c r="BK139" s="75">
        <f>Rentroll!$Y42*Index!BJ44</f>
        <v>431.55941674999997</v>
      </c>
      <c r="BL139" s="75">
        <f>Rentroll!$Y42*Index!BK44</f>
        <v>431.55941674999997</v>
      </c>
      <c r="BM139" s="75">
        <f>Rentroll!$Y42*Index!BL44</f>
        <v>431.55941674999997</v>
      </c>
      <c r="BN139" s="75">
        <f>Rentroll!$Y42*Index!BM44</f>
        <v>431.55941674999997</v>
      </c>
      <c r="BO139" s="75">
        <f>Rentroll!$Y42*Index!BN44</f>
        <v>431.55941674999997</v>
      </c>
      <c r="BP139" s="75">
        <f>Rentroll!$Y42*Index!BO44</f>
        <v>431.55941674999997</v>
      </c>
      <c r="BQ139" s="75">
        <f>Rentroll!$Y42*Index!BP44</f>
        <v>431.55941674999997</v>
      </c>
      <c r="BR139" s="75">
        <f>Rentroll!$Y42*Index!BQ44</f>
        <v>431.55941674999997</v>
      </c>
      <c r="BS139" s="75">
        <f>Rentroll!$Y42*Index!BR44</f>
        <v>431.55941674999997</v>
      </c>
      <c r="BT139" s="75">
        <f>Rentroll!$Y42*Index!BS44</f>
        <v>431.55941674999997</v>
      </c>
      <c r="BU139" s="75">
        <f>Rentroll!$Y42*Index!BT44</f>
        <v>431.55941674999997</v>
      </c>
      <c r="BV139" s="75">
        <f>Rentroll!$Y42*Index!BU44</f>
        <v>431.55941674999997</v>
      </c>
      <c r="BW139" s="75">
        <f>Rentroll!$Y42*Index!BV44</f>
        <v>431.55941674999997</v>
      </c>
      <c r="BX139" s="75">
        <f>Rentroll!$Y42*Index!BW44</f>
        <v>431.55941674999997</v>
      </c>
      <c r="BY139" s="75">
        <f>Rentroll!$Y42*Index!BX44</f>
        <v>431.55941674999997</v>
      </c>
      <c r="BZ139" s="75">
        <f>Rentroll!$Y42*Index!BY44</f>
        <v>431.55941674999997</v>
      </c>
      <c r="CA139" s="75">
        <f>Rentroll!$Y42*Index!BZ44</f>
        <v>431.55941674999997</v>
      </c>
      <c r="CB139" s="75">
        <f>Rentroll!$Y42*Index!CA44</f>
        <v>0</v>
      </c>
      <c r="CC139" s="75">
        <f>Rentroll!$Y42*Index!CB44</f>
        <v>0</v>
      </c>
      <c r="CD139" s="75">
        <f>Rentroll!$Y42*Index!CC44</f>
        <v>0</v>
      </c>
      <c r="CE139" s="75">
        <f>Rentroll!$Y42*Index!CD44</f>
        <v>0</v>
      </c>
      <c r="CF139" s="75">
        <f>Rentroll!$Y42*Index!CE44</f>
        <v>0</v>
      </c>
      <c r="CG139" s="75">
        <f>Rentroll!$Y42*Index!CF44</f>
        <v>0</v>
      </c>
      <c r="CH139" s="75">
        <f>Rentroll!$Y42*Index!CG44</f>
        <v>0</v>
      </c>
      <c r="CI139" s="75">
        <f>Rentroll!$Y42*Index!CH44</f>
        <v>0</v>
      </c>
      <c r="CJ139" s="75">
        <f>Rentroll!$Y42*Index!CI44</f>
        <v>0</v>
      </c>
      <c r="CK139" s="75">
        <f>Rentroll!$Y42*Index!CJ44</f>
        <v>0</v>
      </c>
      <c r="CL139" s="75">
        <f>Rentroll!$Y42*Index!CK44</f>
        <v>0</v>
      </c>
      <c r="CM139" s="75">
        <f>Rentroll!$Y42*Index!CL44</f>
        <v>0</v>
      </c>
      <c r="CN139" s="75">
        <f>Rentroll!$Y42*Index!CM44</f>
        <v>0</v>
      </c>
      <c r="CO139" s="75">
        <f>Rentroll!$Y42*Index!CN44</f>
        <v>0</v>
      </c>
      <c r="CP139" s="75">
        <f>Rentroll!$Y42*Index!CO44</f>
        <v>0</v>
      </c>
      <c r="CQ139" s="75">
        <f>Rentroll!$Y42*Index!CP44</f>
        <v>0</v>
      </c>
      <c r="CR139" s="75">
        <f>Rentroll!$Y42*Index!CQ44</f>
        <v>0</v>
      </c>
      <c r="CS139" s="75">
        <f>Rentroll!$Y42*Index!CR44</f>
        <v>0</v>
      </c>
      <c r="CT139" s="75">
        <f>Rentroll!$Y42*Index!CS44</f>
        <v>0</v>
      </c>
      <c r="CU139" s="75">
        <f>Rentroll!$Y42*Index!CT44</f>
        <v>0</v>
      </c>
      <c r="CV139" s="75">
        <f>Rentroll!$Y42*Index!CU44</f>
        <v>0</v>
      </c>
      <c r="CW139" s="75">
        <f>Rentroll!$Y42*Index!CV44</f>
        <v>0</v>
      </c>
      <c r="CX139" s="75">
        <f>Rentroll!$Y42*Index!CW44</f>
        <v>0</v>
      </c>
      <c r="CY139" s="75">
        <f>Rentroll!$Y42*Index!CX44</f>
        <v>0</v>
      </c>
      <c r="CZ139" s="75">
        <f>Rentroll!$Y42*Index!CY44</f>
        <v>0</v>
      </c>
      <c r="DA139" s="75">
        <f>Rentroll!$Y42*Index!CZ44</f>
        <v>0</v>
      </c>
      <c r="DB139" s="75">
        <f>Rentroll!$Y42*Index!DA44</f>
        <v>0</v>
      </c>
      <c r="DC139" s="75">
        <f>Rentroll!$Y42*Index!DB44</f>
        <v>0</v>
      </c>
      <c r="DD139" s="75">
        <f>Rentroll!$Y42*Index!DC44</f>
        <v>0</v>
      </c>
      <c r="DE139" s="75">
        <f>Rentroll!$Y42*Index!DD44</f>
        <v>0</v>
      </c>
      <c r="DF139" s="75">
        <f>Rentroll!$Y42*Index!DE44</f>
        <v>0</v>
      </c>
      <c r="DG139" s="75">
        <f>Rentroll!$Y42*Index!DF44</f>
        <v>0</v>
      </c>
      <c r="DH139" s="75">
        <f>Rentroll!$Y42*Index!DG44</f>
        <v>0</v>
      </c>
      <c r="DI139" s="75">
        <f>Rentroll!$Y42*Index!DH44</f>
        <v>0</v>
      </c>
      <c r="DJ139" s="75">
        <f>Rentroll!$Y42*Index!DI44</f>
        <v>0</v>
      </c>
      <c r="DK139" s="75">
        <f>Rentroll!$Y42*Index!DJ44</f>
        <v>0</v>
      </c>
      <c r="DL139" s="75">
        <f>Rentroll!$Y42*Index!DK44</f>
        <v>0</v>
      </c>
      <c r="DM139" s="75">
        <f>Rentroll!$Y42*Index!DL44</f>
        <v>0</v>
      </c>
    </row>
    <row r="140" spans="2:117">
      <c r="B140" s="27">
        <f>Rentroll!$C$43</f>
        <v>11</v>
      </c>
      <c r="C140" s="69" t="str">
        <f>VLOOKUP($B140,Rentroll!$C$37:$Z$60,3,FALSE)</f>
        <v>노벰버 건설</v>
      </c>
      <c r="D140" s="80">
        <f>VLOOKUP($B140,Rentroll!$C$37:$Z$60,9,FALSE)</f>
        <v>46904</v>
      </c>
      <c r="E140" s="80">
        <f>VLOOKUP($B140,Rentroll!$C$37:$Z$60,10,FALSE)</f>
        <v>48730</v>
      </c>
      <c r="F140" s="81">
        <f>VLOOKUP($B140,Rentroll!$C$37:$Z$60,11,FALSE)</f>
        <v>60</v>
      </c>
      <c r="G140" s="69">
        <f>VLOOKUP($B140,Rentroll!$C$37:$Z$60,13,FALSE)</f>
        <v>112550.88099999999</v>
      </c>
      <c r="H140" s="69">
        <f>VLOOKUP($B140,Rentroll!$C$37:$Z$60,14,FALSE)</f>
        <v>103171.64091666666</v>
      </c>
      <c r="I140" s="69">
        <f>VLOOKUP($B140,Rentroll!$C$37:$Z$60,15,FALSE)</f>
        <v>49172.715000000004</v>
      </c>
      <c r="J140" s="82">
        <f>VLOOKUP($B140,Rentroll!$C$37:$Z$60,19,FALSE)</f>
        <v>0.03</v>
      </c>
      <c r="K140" s="83">
        <f>VLOOKUP($B140,Rentroll!$C$37:$Z$60,4,FALSE)</f>
        <v>1385.09</v>
      </c>
      <c r="L140" s="81">
        <f>VLOOKUP($B140,Rentroll!$C$37:$Z$60,17,FALSE)</f>
        <v>0</v>
      </c>
      <c r="M140" s="84">
        <f>VLOOKUP($B140,Rentroll!$C$37:$Z$60,18,FALSE)</f>
        <v>1</v>
      </c>
      <c r="O140" s="74">
        <f t="shared" si="231"/>
        <v>11</v>
      </c>
      <c r="P140" s="75"/>
      <c r="Q140" s="75"/>
      <c r="R140" s="75"/>
      <c r="S140" s="75">
        <f>Rentroll!$Y43*Index!R45</f>
        <v>0</v>
      </c>
      <c r="T140" s="75">
        <f>Rentroll!$Y43*Index!S45</f>
        <v>0</v>
      </c>
      <c r="U140" s="75">
        <f>Rentroll!$Y43*Index!T45</f>
        <v>0</v>
      </c>
      <c r="V140" s="75">
        <f>Rentroll!$Y43*Index!U45</f>
        <v>0</v>
      </c>
      <c r="W140" s="75">
        <f>Rentroll!$Y43*Index!V45</f>
        <v>0</v>
      </c>
      <c r="X140" s="75">
        <f>Rentroll!$Y43*Index!W45</f>
        <v>0</v>
      </c>
      <c r="Y140" s="75">
        <f>Rentroll!$Y43*Index!X45</f>
        <v>0</v>
      </c>
      <c r="Z140" s="75">
        <f>Rentroll!$Y43*Index!Y45</f>
        <v>0</v>
      </c>
      <c r="AA140" s="75">
        <f>Rentroll!$Y43*Index!Z45</f>
        <v>0</v>
      </c>
      <c r="AB140" s="75">
        <f>Rentroll!$Y43*Index!AA45</f>
        <v>0</v>
      </c>
      <c r="AC140" s="75">
        <f>Rentroll!$Y43*Index!AB45</f>
        <v>0</v>
      </c>
      <c r="AD140" s="75">
        <f>Rentroll!$Y43*Index!AC45</f>
        <v>0</v>
      </c>
      <c r="AE140" s="75">
        <f>Rentroll!$Y43*Index!AD45</f>
        <v>0</v>
      </c>
      <c r="AF140" s="75">
        <f>Rentroll!$Y43*Index!AE45</f>
        <v>0</v>
      </c>
      <c r="AG140" s="75">
        <f>Rentroll!$Y43*Index!AF45</f>
        <v>0</v>
      </c>
      <c r="AH140" s="75">
        <f>Rentroll!$Y43*Index!AG45</f>
        <v>0</v>
      </c>
      <c r="AI140" s="75">
        <f>Rentroll!$Y43*Index!AH45</f>
        <v>0</v>
      </c>
      <c r="AJ140" s="75">
        <f>Rentroll!$Y43*Index!AI45</f>
        <v>0</v>
      </c>
      <c r="AK140" s="75">
        <f>Rentroll!$Y43*Index!AJ45</f>
        <v>0</v>
      </c>
      <c r="AL140" s="75">
        <f>Rentroll!$Y43*Index!AK45</f>
        <v>0</v>
      </c>
      <c r="AM140" s="75">
        <f>Rentroll!$Y43*Index!AL45</f>
        <v>0</v>
      </c>
      <c r="AN140" s="75">
        <f>Rentroll!$Y43*Index!AM45</f>
        <v>0</v>
      </c>
      <c r="AO140" s="75">
        <f>Rentroll!$Y43*Index!AN45</f>
        <v>0</v>
      </c>
      <c r="AP140" s="75">
        <f>Rentroll!$Y43*Index!AO45</f>
        <v>0</v>
      </c>
      <c r="AQ140" s="75">
        <f>Rentroll!$Y43*Index!AP45</f>
        <v>0</v>
      </c>
      <c r="AR140" s="75">
        <f>Rentroll!$Y43*Index!AQ45</f>
        <v>0</v>
      </c>
      <c r="AS140" s="75">
        <f>Rentroll!$Y43*Index!AR45</f>
        <v>0</v>
      </c>
      <c r="AT140" s="75">
        <f>Rentroll!$Y43*Index!AS45</f>
        <v>0</v>
      </c>
      <c r="AU140" s="75">
        <f>Rentroll!$Y43*Index!AT45</f>
        <v>0</v>
      </c>
      <c r="AV140" s="75">
        <f>Rentroll!$Y43*Index!AU45</f>
        <v>0</v>
      </c>
      <c r="AW140" s="75">
        <f>Rentroll!$Y43*Index!AV45</f>
        <v>0</v>
      </c>
      <c r="AX140" s="75">
        <f>Rentroll!$Y43*Index!AW45</f>
        <v>0</v>
      </c>
      <c r="AY140" s="75">
        <f>Rentroll!$Y43*Index!AX45</f>
        <v>0</v>
      </c>
      <c r="AZ140" s="75">
        <f>Rentroll!$Y43*Index!AY45</f>
        <v>0</v>
      </c>
      <c r="BA140" s="75">
        <f>Rentroll!$Y43*Index!AZ45</f>
        <v>0</v>
      </c>
      <c r="BB140" s="75">
        <f>Rentroll!$Y43*Index!BA45</f>
        <v>0</v>
      </c>
      <c r="BC140" s="75">
        <f>Rentroll!$Y43*Index!BB45</f>
        <v>0</v>
      </c>
      <c r="BD140" s="75">
        <f>Rentroll!$Y43*Index!BC45</f>
        <v>0</v>
      </c>
      <c r="BE140" s="75">
        <f>Rentroll!$Y43*Index!BD45</f>
        <v>0</v>
      </c>
      <c r="BF140" s="75">
        <f>Rentroll!$Y43*Index!BE45</f>
        <v>0</v>
      </c>
      <c r="BG140" s="75">
        <f>Rentroll!$Y43*Index!BF45</f>
        <v>0</v>
      </c>
      <c r="BH140" s="75">
        <f>Rentroll!$Y43*Index!BG45</f>
        <v>471.57662678697722</v>
      </c>
      <c r="BI140" s="75">
        <f>Rentroll!$Y43*Index!BH45</f>
        <v>471.57662678697722</v>
      </c>
      <c r="BJ140" s="75">
        <f>Rentroll!$Y43*Index!BI45</f>
        <v>471.57662678697722</v>
      </c>
      <c r="BK140" s="75">
        <f>Rentroll!$Y43*Index!BJ45</f>
        <v>471.57662678697722</v>
      </c>
      <c r="BL140" s="75">
        <f>Rentroll!$Y43*Index!BK45</f>
        <v>471.57662678697722</v>
      </c>
      <c r="BM140" s="75">
        <f>Rentroll!$Y43*Index!BL45</f>
        <v>471.57662678697722</v>
      </c>
      <c r="BN140" s="75">
        <f>Rentroll!$Y43*Index!BM45</f>
        <v>471.57662678697722</v>
      </c>
      <c r="BO140" s="75">
        <f>Rentroll!$Y43*Index!BN45</f>
        <v>471.57662678697722</v>
      </c>
      <c r="BP140" s="75">
        <f>Rentroll!$Y43*Index!BO45</f>
        <v>471.57662678697722</v>
      </c>
      <c r="BQ140" s="75">
        <f>Rentroll!$Y43*Index!BP45</f>
        <v>471.57662678697722</v>
      </c>
      <c r="BR140" s="75">
        <f>Rentroll!$Y43*Index!BQ45</f>
        <v>471.57662678697722</v>
      </c>
      <c r="BS140" s="75">
        <f>Rentroll!$Y43*Index!BR45</f>
        <v>471.57662678697722</v>
      </c>
      <c r="BT140" s="75">
        <f>Rentroll!$Y43*Index!BS45</f>
        <v>471.57662678697722</v>
      </c>
      <c r="BU140" s="75">
        <f>Rentroll!$Y43*Index!BT45</f>
        <v>471.57662678697722</v>
      </c>
      <c r="BV140" s="75">
        <f>Rentroll!$Y43*Index!BU45</f>
        <v>471.57662678697722</v>
      </c>
      <c r="BW140" s="75">
        <f>Rentroll!$Y43*Index!BV45</f>
        <v>471.57662678697722</v>
      </c>
      <c r="BX140" s="75">
        <f>Rentroll!$Y43*Index!BW45</f>
        <v>471.57662678697722</v>
      </c>
      <c r="BY140" s="75">
        <f>Rentroll!$Y43*Index!BX45</f>
        <v>471.57662678697722</v>
      </c>
      <c r="BZ140" s="75">
        <f>Rentroll!$Y43*Index!BY45</f>
        <v>471.57662678697722</v>
      </c>
      <c r="CA140" s="75">
        <f>Rentroll!$Y43*Index!BZ45</f>
        <v>471.57662678697722</v>
      </c>
      <c r="CB140" s="75">
        <f>Rentroll!$Y43*Index!CA45</f>
        <v>0</v>
      </c>
      <c r="CC140" s="75">
        <f>Rentroll!$Y43*Index!CB45</f>
        <v>0</v>
      </c>
      <c r="CD140" s="75">
        <f>Rentroll!$Y43*Index!CC45</f>
        <v>0</v>
      </c>
      <c r="CE140" s="75">
        <f>Rentroll!$Y43*Index!CD45</f>
        <v>0</v>
      </c>
      <c r="CF140" s="75">
        <f>Rentroll!$Y43*Index!CE45</f>
        <v>0</v>
      </c>
      <c r="CG140" s="75">
        <f>Rentroll!$Y43*Index!CF45</f>
        <v>0</v>
      </c>
      <c r="CH140" s="75">
        <f>Rentroll!$Y43*Index!CG45</f>
        <v>0</v>
      </c>
      <c r="CI140" s="75">
        <f>Rentroll!$Y43*Index!CH45</f>
        <v>0</v>
      </c>
      <c r="CJ140" s="75">
        <f>Rentroll!$Y43*Index!CI45</f>
        <v>0</v>
      </c>
      <c r="CK140" s="75">
        <f>Rentroll!$Y43*Index!CJ45</f>
        <v>0</v>
      </c>
      <c r="CL140" s="75">
        <f>Rentroll!$Y43*Index!CK45</f>
        <v>0</v>
      </c>
      <c r="CM140" s="75">
        <f>Rentroll!$Y43*Index!CL45</f>
        <v>0</v>
      </c>
      <c r="CN140" s="75">
        <f>Rentroll!$Y43*Index!CM45</f>
        <v>0</v>
      </c>
      <c r="CO140" s="75">
        <f>Rentroll!$Y43*Index!CN45</f>
        <v>0</v>
      </c>
      <c r="CP140" s="75">
        <f>Rentroll!$Y43*Index!CO45</f>
        <v>0</v>
      </c>
      <c r="CQ140" s="75">
        <f>Rentroll!$Y43*Index!CP45</f>
        <v>0</v>
      </c>
      <c r="CR140" s="75">
        <f>Rentroll!$Y43*Index!CQ45</f>
        <v>0</v>
      </c>
      <c r="CS140" s="75">
        <f>Rentroll!$Y43*Index!CR45</f>
        <v>0</v>
      </c>
      <c r="CT140" s="75">
        <f>Rentroll!$Y43*Index!CS45</f>
        <v>0</v>
      </c>
      <c r="CU140" s="75">
        <f>Rentroll!$Y43*Index!CT45</f>
        <v>0</v>
      </c>
      <c r="CV140" s="75">
        <f>Rentroll!$Y43*Index!CU45</f>
        <v>0</v>
      </c>
      <c r="CW140" s="75">
        <f>Rentroll!$Y43*Index!CV45</f>
        <v>0</v>
      </c>
      <c r="CX140" s="75">
        <f>Rentroll!$Y43*Index!CW45</f>
        <v>0</v>
      </c>
      <c r="CY140" s="75">
        <f>Rentroll!$Y43*Index!CX45</f>
        <v>0</v>
      </c>
      <c r="CZ140" s="75">
        <f>Rentroll!$Y43*Index!CY45</f>
        <v>0</v>
      </c>
      <c r="DA140" s="75">
        <f>Rentroll!$Y43*Index!CZ45</f>
        <v>0</v>
      </c>
      <c r="DB140" s="75">
        <f>Rentroll!$Y43*Index!DA45</f>
        <v>0</v>
      </c>
      <c r="DC140" s="75">
        <f>Rentroll!$Y43*Index!DB45</f>
        <v>0</v>
      </c>
      <c r="DD140" s="75">
        <f>Rentroll!$Y43*Index!DC45</f>
        <v>0</v>
      </c>
      <c r="DE140" s="75">
        <f>Rentroll!$Y43*Index!DD45</f>
        <v>0</v>
      </c>
      <c r="DF140" s="75">
        <f>Rentroll!$Y43*Index!DE45</f>
        <v>0</v>
      </c>
      <c r="DG140" s="75">
        <f>Rentroll!$Y43*Index!DF45</f>
        <v>0</v>
      </c>
      <c r="DH140" s="75">
        <f>Rentroll!$Y43*Index!DG45</f>
        <v>0</v>
      </c>
      <c r="DI140" s="75">
        <f>Rentroll!$Y43*Index!DH45</f>
        <v>0</v>
      </c>
      <c r="DJ140" s="75">
        <f>Rentroll!$Y43*Index!DI45</f>
        <v>0</v>
      </c>
      <c r="DK140" s="75">
        <f>Rentroll!$Y43*Index!DJ45</f>
        <v>0</v>
      </c>
      <c r="DL140" s="75">
        <f>Rentroll!$Y43*Index!DK45</f>
        <v>0</v>
      </c>
      <c r="DM140" s="75">
        <f>Rentroll!$Y43*Index!DL45</f>
        <v>0</v>
      </c>
    </row>
    <row r="141" spans="2:117">
      <c r="B141" s="27">
        <f>Rentroll!$C$44</f>
        <v>10</v>
      </c>
      <c r="C141" s="69" t="str">
        <f>VLOOKUP($B141,Rentroll!$C$37:$Z$60,3,FALSE)</f>
        <v>노벰버 건설</v>
      </c>
      <c r="D141" s="80">
        <f>VLOOKUP($B141,Rentroll!$C$37:$Z$60,9,FALSE)</f>
        <v>46904</v>
      </c>
      <c r="E141" s="80">
        <f>VLOOKUP($B141,Rentroll!$C$37:$Z$60,10,FALSE)</f>
        <v>48730</v>
      </c>
      <c r="F141" s="81">
        <f>VLOOKUP($B141,Rentroll!$C$37:$Z$60,11,FALSE)</f>
        <v>60</v>
      </c>
      <c r="G141" s="69">
        <f>VLOOKUP($B141,Rentroll!$C$37:$Z$60,13,FALSE)</f>
        <v>112550.88099999999</v>
      </c>
      <c r="H141" s="69">
        <f>VLOOKUP($B141,Rentroll!$C$37:$Z$60,14,FALSE)</f>
        <v>103171.64091666666</v>
      </c>
      <c r="I141" s="69">
        <f>VLOOKUP($B141,Rentroll!$C$37:$Z$60,15,FALSE)</f>
        <v>49172.715000000004</v>
      </c>
      <c r="J141" s="82">
        <f>VLOOKUP($B141,Rentroll!$C$37:$Z$60,19,FALSE)</f>
        <v>0.03</v>
      </c>
      <c r="K141" s="83">
        <f>VLOOKUP($B141,Rentroll!$C$37:$Z$60,4,FALSE)</f>
        <v>1385.09</v>
      </c>
      <c r="L141" s="81">
        <f>VLOOKUP($B141,Rentroll!$C$37:$Z$60,17,FALSE)</f>
        <v>0</v>
      </c>
      <c r="M141" s="84">
        <f>VLOOKUP($B141,Rentroll!$C$37:$Z$60,18,FALSE)</f>
        <v>1</v>
      </c>
      <c r="O141" s="74">
        <f t="shared" si="231"/>
        <v>10</v>
      </c>
      <c r="P141" s="75"/>
      <c r="Q141" s="75"/>
      <c r="R141" s="75"/>
      <c r="S141" s="75">
        <f>Rentroll!$Y44*Index!R46</f>
        <v>0</v>
      </c>
      <c r="T141" s="75">
        <f>Rentroll!$Y44*Index!S46</f>
        <v>0</v>
      </c>
      <c r="U141" s="75">
        <f>Rentroll!$Y44*Index!T46</f>
        <v>0</v>
      </c>
      <c r="V141" s="75">
        <f>Rentroll!$Y44*Index!U46</f>
        <v>0</v>
      </c>
      <c r="W141" s="75">
        <f>Rentroll!$Y44*Index!V46</f>
        <v>0</v>
      </c>
      <c r="X141" s="75">
        <f>Rentroll!$Y44*Index!W46</f>
        <v>0</v>
      </c>
      <c r="Y141" s="75">
        <f>Rentroll!$Y44*Index!X46</f>
        <v>0</v>
      </c>
      <c r="Z141" s="75">
        <f>Rentroll!$Y44*Index!Y46</f>
        <v>0</v>
      </c>
      <c r="AA141" s="75">
        <f>Rentroll!$Y44*Index!Z46</f>
        <v>0</v>
      </c>
      <c r="AB141" s="75">
        <f>Rentroll!$Y44*Index!AA46</f>
        <v>0</v>
      </c>
      <c r="AC141" s="75">
        <f>Rentroll!$Y44*Index!AB46</f>
        <v>0</v>
      </c>
      <c r="AD141" s="75">
        <f>Rentroll!$Y44*Index!AC46</f>
        <v>0</v>
      </c>
      <c r="AE141" s="75">
        <f>Rentroll!$Y44*Index!AD46</f>
        <v>0</v>
      </c>
      <c r="AF141" s="75">
        <f>Rentroll!$Y44*Index!AE46</f>
        <v>0</v>
      </c>
      <c r="AG141" s="75">
        <f>Rentroll!$Y44*Index!AF46</f>
        <v>0</v>
      </c>
      <c r="AH141" s="75">
        <f>Rentroll!$Y44*Index!AG46</f>
        <v>0</v>
      </c>
      <c r="AI141" s="75">
        <f>Rentroll!$Y44*Index!AH46</f>
        <v>0</v>
      </c>
      <c r="AJ141" s="75">
        <f>Rentroll!$Y44*Index!AI46</f>
        <v>0</v>
      </c>
      <c r="AK141" s="75">
        <f>Rentroll!$Y44*Index!AJ46</f>
        <v>0</v>
      </c>
      <c r="AL141" s="75">
        <f>Rentroll!$Y44*Index!AK46</f>
        <v>0</v>
      </c>
      <c r="AM141" s="75">
        <f>Rentroll!$Y44*Index!AL46</f>
        <v>0</v>
      </c>
      <c r="AN141" s="75">
        <f>Rentroll!$Y44*Index!AM46</f>
        <v>0</v>
      </c>
      <c r="AO141" s="75">
        <f>Rentroll!$Y44*Index!AN46</f>
        <v>0</v>
      </c>
      <c r="AP141" s="75">
        <f>Rentroll!$Y44*Index!AO46</f>
        <v>0</v>
      </c>
      <c r="AQ141" s="75">
        <f>Rentroll!$Y44*Index!AP46</f>
        <v>0</v>
      </c>
      <c r="AR141" s="75">
        <f>Rentroll!$Y44*Index!AQ46</f>
        <v>0</v>
      </c>
      <c r="AS141" s="75">
        <f>Rentroll!$Y44*Index!AR46</f>
        <v>0</v>
      </c>
      <c r="AT141" s="75">
        <f>Rentroll!$Y44*Index!AS46</f>
        <v>0</v>
      </c>
      <c r="AU141" s="75">
        <f>Rentroll!$Y44*Index!AT46</f>
        <v>0</v>
      </c>
      <c r="AV141" s="75">
        <f>Rentroll!$Y44*Index!AU46</f>
        <v>0</v>
      </c>
      <c r="AW141" s="75">
        <f>Rentroll!$Y44*Index!AV46</f>
        <v>0</v>
      </c>
      <c r="AX141" s="75">
        <f>Rentroll!$Y44*Index!AW46</f>
        <v>0</v>
      </c>
      <c r="AY141" s="75">
        <f>Rentroll!$Y44*Index!AX46</f>
        <v>0</v>
      </c>
      <c r="AZ141" s="75">
        <f>Rentroll!$Y44*Index!AY46</f>
        <v>0</v>
      </c>
      <c r="BA141" s="75">
        <f>Rentroll!$Y44*Index!AZ46</f>
        <v>0</v>
      </c>
      <c r="BB141" s="75">
        <f>Rentroll!$Y44*Index!BA46</f>
        <v>0</v>
      </c>
      <c r="BC141" s="75">
        <f>Rentroll!$Y44*Index!BB46</f>
        <v>0</v>
      </c>
      <c r="BD141" s="75">
        <f>Rentroll!$Y44*Index!BC46</f>
        <v>0</v>
      </c>
      <c r="BE141" s="75">
        <f>Rentroll!$Y44*Index!BD46</f>
        <v>0</v>
      </c>
      <c r="BF141" s="75">
        <f>Rentroll!$Y44*Index!BE46</f>
        <v>0</v>
      </c>
      <c r="BG141" s="75">
        <f>Rentroll!$Y44*Index!BF46</f>
        <v>0</v>
      </c>
      <c r="BH141" s="75">
        <f>Rentroll!$Y44*Index!BG46</f>
        <v>471.57662678697722</v>
      </c>
      <c r="BI141" s="75">
        <f>Rentroll!$Y44*Index!BH46</f>
        <v>471.57662678697722</v>
      </c>
      <c r="BJ141" s="75">
        <f>Rentroll!$Y44*Index!BI46</f>
        <v>471.57662678697722</v>
      </c>
      <c r="BK141" s="75">
        <f>Rentroll!$Y44*Index!BJ46</f>
        <v>471.57662678697722</v>
      </c>
      <c r="BL141" s="75">
        <f>Rentroll!$Y44*Index!BK46</f>
        <v>471.57662678697722</v>
      </c>
      <c r="BM141" s="75">
        <f>Rentroll!$Y44*Index!BL46</f>
        <v>471.57662678697722</v>
      </c>
      <c r="BN141" s="75">
        <f>Rentroll!$Y44*Index!BM46</f>
        <v>471.57662678697722</v>
      </c>
      <c r="BO141" s="75">
        <f>Rentroll!$Y44*Index!BN46</f>
        <v>471.57662678697722</v>
      </c>
      <c r="BP141" s="75">
        <f>Rentroll!$Y44*Index!BO46</f>
        <v>471.57662678697722</v>
      </c>
      <c r="BQ141" s="75">
        <f>Rentroll!$Y44*Index!BP46</f>
        <v>471.57662678697722</v>
      </c>
      <c r="BR141" s="75">
        <f>Rentroll!$Y44*Index!BQ46</f>
        <v>471.57662678697722</v>
      </c>
      <c r="BS141" s="75">
        <f>Rentroll!$Y44*Index!BR46</f>
        <v>471.57662678697722</v>
      </c>
      <c r="BT141" s="75">
        <f>Rentroll!$Y44*Index!BS46</f>
        <v>471.57662678697722</v>
      </c>
      <c r="BU141" s="75">
        <f>Rentroll!$Y44*Index!BT46</f>
        <v>471.57662678697722</v>
      </c>
      <c r="BV141" s="75">
        <f>Rentroll!$Y44*Index!BU46</f>
        <v>471.57662678697722</v>
      </c>
      <c r="BW141" s="75">
        <f>Rentroll!$Y44*Index!BV46</f>
        <v>471.57662678697722</v>
      </c>
      <c r="BX141" s="75">
        <f>Rentroll!$Y44*Index!BW46</f>
        <v>471.57662678697722</v>
      </c>
      <c r="BY141" s="75">
        <f>Rentroll!$Y44*Index!BX46</f>
        <v>471.57662678697722</v>
      </c>
      <c r="BZ141" s="75">
        <f>Rentroll!$Y44*Index!BY46</f>
        <v>471.57662678697722</v>
      </c>
      <c r="CA141" s="75">
        <f>Rentroll!$Y44*Index!BZ46</f>
        <v>471.57662678697722</v>
      </c>
      <c r="CB141" s="75">
        <f>Rentroll!$Y44*Index!CA46</f>
        <v>0</v>
      </c>
      <c r="CC141" s="75">
        <f>Rentroll!$Y44*Index!CB46</f>
        <v>0</v>
      </c>
      <c r="CD141" s="75">
        <f>Rentroll!$Y44*Index!CC46</f>
        <v>0</v>
      </c>
      <c r="CE141" s="75">
        <f>Rentroll!$Y44*Index!CD46</f>
        <v>0</v>
      </c>
      <c r="CF141" s="75">
        <f>Rentroll!$Y44*Index!CE46</f>
        <v>0</v>
      </c>
      <c r="CG141" s="75">
        <f>Rentroll!$Y44*Index!CF46</f>
        <v>0</v>
      </c>
      <c r="CH141" s="75">
        <f>Rentroll!$Y44*Index!CG46</f>
        <v>0</v>
      </c>
      <c r="CI141" s="75">
        <f>Rentroll!$Y44*Index!CH46</f>
        <v>0</v>
      </c>
      <c r="CJ141" s="75">
        <f>Rentroll!$Y44*Index!CI46</f>
        <v>0</v>
      </c>
      <c r="CK141" s="75">
        <f>Rentroll!$Y44*Index!CJ46</f>
        <v>0</v>
      </c>
      <c r="CL141" s="75">
        <f>Rentroll!$Y44*Index!CK46</f>
        <v>0</v>
      </c>
      <c r="CM141" s="75">
        <f>Rentroll!$Y44*Index!CL46</f>
        <v>0</v>
      </c>
      <c r="CN141" s="75">
        <f>Rentroll!$Y44*Index!CM46</f>
        <v>0</v>
      </c>
      <c r="CO141" s="75">
        <f>Rentroll!$Y44*Index!CN46</f>
        <v>0</v>
      </c>
      <c r="CP141" s="75">
        <f>Rentroll!$Y44*Index!CO46</f>
        <v>0</v>
      </c>
      <c r="CQ141" s="75">
        <f>Rentroll!$Y44*Index!CP46</f>
        <v>0</v>
      </c>
      <c r="CR141" s="75">
        <f>Rentroll!$Y44*Index!CQ46</f>
        <v>0</v>
      </c>
      <c r="CS141" s="75">
        <f>Rentroll!$Y44*Index!CR46</f>
        <v>0</v>
      </c>
      <c r="CT141" s="75">
        <f>Rentroll!$Y44*Index!CS46</f>
        <v>0</v>
      </c>
      <c r="CU141" s="75">
        <f>Rentroll!$Y44*Index!CT46</f>
        <v>0</v>
      </c>
      <c r="CV141" s="75">
        <f>Rentroll!$Y44*Index!CU46</f>
        <v>0</v>
      </c>
      <c r="CW141" s="75">
        <f>Rentroll!$Y44*Index!CV46</f>
        <v>0</v>
      </c>
      <c r="CX141" s="75">
        <f>Rentroll!$Y44*Index!CW46</f>
        <v>0</v>
      </c>
      <c r="CY141" s="75">
        <f>Rentroll!$Y44*Index!CX46</f>
        <v>0</v>
      </c>
      <c r="CZ141" s="75">
        <f>Rentroll!$Y44*Index!CY46</f>
        <v>0</v>
      </c>
      <c r="DA141" s="75">
        <f>Rentroll!$Y44*Index!CZ46</f>
        <v>0</v>
      </c>
      <c r="DB141" s="75">
        <f>Rentroll!$Y44*Index!DA46</f>
        <v>0</v>
      </c>
      <c r="DC141" s="75">
        <f>Rentroll!$Y44*Index!DB46</f>
        <v>0</v>
      </c>
      <c r="DD141" s="75">
        <f>Rentroll!$Y44*Index!DC46</f>
        <v>0</v>
      </c>
      <c r="DE141" s="75">
        <f>Rentroll!$Y44*Index!DD46</f>
        <v>0</v>
      </c>
      <c r="DF141" s="75">
        <f>Rentroll!$Y44*Index!DE46</f>
        <v>0</v>
      </c>
      <c r="DG141" s="75">
        <f>Rentroll!$Y44*Index!DF46</f>
        <v>0</v>
      </c>
      <c r="DH141" s="75">
        <f>Rentroll!$Y44*Index!DG46</f>
        <v>0</v>
      </c>
      <c r="DI141" s="75">
        <f>Rentroll!$Y44*Index!DH46</f>
        <v>0</v>
      </c>
      <c r="DJ141" s="75">
        <f>Rentroll!$Y44*Index!DI46</f>
        <v>0</v>
      </c>
      <c r="DK141" s="75">
        <f>Rentroll!$Y44*Index!DJ46</f>
        <v>0</v>
      </c>
      <c r="DL141" s="75">
        <f>Rentroll!$Y44*Index!DK46</f>
        <v>0</v>
      </c>
      <c r="DM141" s="75">
        <f>Rentroll!$Y44*Index!DL46</f>
        <v>0</v>
      </c>
    </row>
    <row r="142" spans="2:117">
      <c r="B142" s="27">
        <f>Rentroll!$C$45</f>
        <v>9</v>
      </c>
      <c r="C142" s="69" t="str">
        <f>VLOOKUP($B142,Rentroll!$C$37:$Z$60,3,FALSE)</f>
        <v>노벰버 건설</v>
      </c>
      <c r="D142" s="80">
        <f>VLOOKUP($B142,Rentroll!$C$37:$Z$60,9,FALSE)</f>
        <v>46904</v>
      </c>
      <c r="E142" s="80">
        <f>VLOOKUP($B142,Rentroll!$C$37:$Z$60,10,FALSE)</f>
        <v>48730</v>
      </c>
      <c r="F142" s="81">
        <f>VLOOKUP($B142,Rentroll!$C$37:$Z$60,11,FALSE)</f>
        <v>60</v>
      </c>
      <c r="G142" s="69">
        <f>VLOOKUP($B142,Rentroll!$C$37:$Z$60,13,FALSE)</f>
        <v>112550.88099999999</v>
      </c>
      <c r="H142" s="69">
        <f>VLOOKUP($B142,Rentroll!$C$37:$Z$60,14,FALSE)</f>
        <v>103171.64091666666</v>
      </c>
      <c r="I142" s="69">
        <f>VLOOKUP($B142,Rentroll!$C$37:$Z$60,15,FALSE)</f>
        <v>49172.715000000004</v>
      </c>
      <c r="J142" s="82">
        <f>VLOOKUP($B142,Rentroll!$C$37:$Z$60,19,FALSE)</f>
        <v>0.03</v>
      </c>
      <c r="K142" s="83">
        <f>VLOOKUP($B142,Rentroll!$C$37:$Z$60,4,FALSE)</f>
        <v>1385.09</v>
      </c>
      <c r="L142" s="81">
        <f>VLOOKUP($B142,Rentroll!$C$37:$Z$60,17,FALSE)</f>
        <v>0</v>
      </c>
      <c r="M142" s="84">
        <f>VLOOKUP($B142,Rentroll!$C$37:$Z$60,18,FALSE)</f>
        <v>1</v>
      </c>
      <c r="O142" s="74">
        <f t="shared" si="231"/>
        <v>9</v>
      </c>
      <c r="P142" s="75"/>
      <c r="Q142" s="75"/>
      <c r="R142" s="75"/>
      <c r="S142" s="75">
        <f>Rentroll!$Y45*Index!R47</f>
        <v>0</v>
      </c>
      <c r="T142" s="75">
        <f>Rentroll!$Y45*Index!S47</f>
        <v>0</v>
      </c>
      <c r="U142" s="75">
        <f>Rentroll!$Y45*Index!T47</f>
        <v>0</v>
      </c>
      <c r="V142" s="75">
        <f>Rentroll!$Y45*Index!U47</f>
        <v>0</v>
      </c>
      <c r="W142" s="75">
        <f>Rentroll!$Y45*Index!V47</f>
        <v>0</v>
      </c>
      <c r="X142" s="75">
        <f>Rentroll!$Y45*Index!W47</f>
        <v>0</v>
      </c>
      <c r="Y142" s="75">
        <f>Rentroll!$Y45*Index!X47</f>
        <v>0</v>
      </c>
      <c r="Z142" s="75">
        <f>Rentroll!$Y45*Index!Y47</f>
        <v>0</v>
      </c>
      <c r="AA142" s="75">
        <f>Rentroll!$Y45*Index!Z47</f>
        <v>0</v>
      </c>
      <c r="AB142" s="75">
        <f>Rentroll!$Y45*Index!AA47</f>
        <v>0</v>
      </c>
      <c r="AC142" s="75">
        <f>Rentroll!$Y45*Index!AB47</f>
        <v>0</v>
      </c>
      <c r="AD142" s="75">
        <f>Rentroll!$Y45*Index!AC47</f>
        <v>0</v>
      </c>
      <c r="AE142" s="75">
        <f>Rentroll!$Y45*Index!AD47</f>
        <v>0</v>
      </c>
      <c r="AF142" s="75">
        <f>Rentroll!$Y45*Index!AE47</f>
        <v>0</v>
      </c>
      <c r="AG142" s="75">
        <f>Rentroll!$Y45*Index!AF47</f>
        <v>0</v>
      </c>
      <c r="AH142" s="75">
        <f>Rentroll!$Y45*Index!AG47</f>
        <v>0</v>
      </c>
      <c r="AI142" s="75">
        <f>Rentroll!$Y45*Index!AH47</f>
        <v>0</v>
      </c>
      <c r="AJ142" s="75">
        <f>Rentroll!$Y45*Index!AI47</f>
        <v>0</v>
      </c>
      <c r="AK142" s="75">
        <f>Rentroll!$Y45*Index!AJ47</f>
        <v>0</v>
      </c>
      <c r="AL142" s="75">
        <f>Rentroll!$Y45*Index!AK47</f>
        <v>0</v>
      </c>
      <c r="AM142" s="75">
        <f>Rentroll!$Y45*Index!AL47</f>
        <v>0</v>
      </c>
      <c r="AN142" s="75">
        <f>Rentroll!$Y45*Index!AM47</f>
        <v>0</v>
      </c>
      <c r="AO142" s="75">
        <f>Rentroll!$Y45*Index!AN47</f>
        <v>0</v>
      </c>
      <c r="AP142" s="75">
        <f>Rentroll!$Y45*Index!AO47</f>
        <v>0</v>
      </c>
      <c r="AQ142" s="75">
        <f>Rentroll!$Y45*Index!AP47</f>
        <v>0</v>
      </c>
      <c r="AR142" s="75">
        <f>Rentroll!$Y45*Index!AQ47</f>
        <v>0</v>
      </c>
      <c r="AS142" s="75">
        <f>Rentroll!$Y45*Index!AR47</f>
        <v>0</v>
      </c>
      <c r="AT142" s="75">
        <f>Rentroll!$Y45*Index!AS47</f>
        <v>0</v>
      </c>
      <c r="AU142" s="75">
        <f>Rentroll!$Y45*Index!AT47</f>
        <v>0</v>
      </c>
      <c r="AV142" s="75">
        <f>Rentroll!$Y45*Index!AU47</f>
        <v>0</v>
      </c>
      <c r="AW142" s="75">
        <f>Rentroll!$Y45*Index!AV47</f>
        <v>0</v>
      </c>
      <c r="AX142" s="75">
        <f>Rentroll!$Y45*Index!AW47</f>
        <v>0</v>
      </c>
      <c r="AY142" s="75">
        <f>Rentroll!$Y45*Index!AX47</f>
        <v>0</v>
      </c>
      <c r="AZ142" s="75">
        <f>Rentroll!$Y45*Index!AY47</f>
        <v>0</v>
      </c>
      <c r="BA142" s="75">
        <f>Rentroll!$Y45*Index!AZ47</f>
        <v>0</v>
      </c>
      <c r="BB142" s="75">
        <f>Rentroll!$Y45*Index!BA47</f>
        <v>0</v>
      </c>
      <c r="BC142" s="75">
        <f>Rentroll!$Y45*Index!BB47</f>
        <v>0</v>
      </c>
      <c r="BD142" s="75">
        <f>Rentroll!$Y45*Index!BC47</f>
        <v>0</v>
      </c>
      <c r="BE142" s="75">
        <f>Rentroll!$Y45*Index!BD47</f>
        <v>0</v>
      </c>
      <c r="BF142" s="75">
        <f>Rentroll!$Y45*Index!BE47</f>
        <v>0</v>
      </c>
      <c r="BG142" s="75">
        <f>Rentroll!$Y45*Index!BF47</f>
        <v>0</v>
      </c>
      <c r="BH142" s="75">
        <f>Rentroll!$Y45*Index!BG47</f>
        <v>418.98972499999996</v>
      </c>
      <c r="BI142" s="75">
        <f>Rentroll!$Y45*Index!BH47</f>
        <v>418.98972499999996</v>
      </c>
      <c r="BJ142" s="75">
        <f>Rentroll!$Y45*Index!BI47</f>
        <v>418.98972499999996</v>
      </c>
      <c r="BK142" s="75">
        <f>Rentroll!$Y45*Index!BJ47</f>
        <v>418.98972499999996</v>
      </c>
      <c r="BL142" s="75">
        <f>Rentroll!$Y45*Index!BK47</f>
        <v>418.98972499999996</v>
      </c>
      <c r="BM142" s="75">
        <f>Rentroll!$Y45*Index!BL47</f>
        <v>418.98972499999996</v>
      </c>
      <c r="BN142" s="75">
        <f>Rentroll!$Y45*Index!BM47</f>
        <v>418.98972499999996</v>
      </c>
      <c r="BO142" s="75">
        <f>Rentroll!$Y45*Index!BN47</f>
        <v>418.98972499999996</v>
      </c>
      <c r="BP142" s="75">
        <f>Rentroll!$Y45*Index!BO47</f>
        <v>418.98972499999996</v>
      </c>
      <c r="BQ142" s="75">
        <f>Rentroll!$Y45*Index!BP47</f>
        <v>418.98972499999996</v>
      </c>
      <c r="BR142" s="75">
        <f>Rentroll!$Y45*Index!BQ47</f>
        <v>418.98972499999996</v>
      </c>
      <c r="BS142" s="75">
        <f>Rentroll!$Y45*Index!BR47</f>
        <v>418.98972499999996</v>
      </c>
      <c r="BT142" s="75">
        <f>Rentroll!$Y45*Index!BS47</f>
        <v>418.98972499999996</v>
      </c>
      <c r="BU142" s="75">
        <f>Rentroll!$Y45*Index!BT47</f>
        <v>418.98972499999996</v>
      </c>
      <c r="BV142" s="75">
        <f>Rentroll!$Y45*Index!BU47</f>
        <v>418.98972499999996</v>
      </c>
      <c r="BW142" s="75">
        <f>Rentroll!$Y45*Index!BV47</f>
        <v>418.98972499999996</v>
      </c>
      <c r="BX142" s="75">
        <f>Rentroll!$Y45*Index!BW47</f>
        <v>418.98972499999996</v>
      </c>
      <c r="BY142" s="75">
        <f>Rentroll!$Y45*Index!BX47</f>
        <v>418.98972499999996</v>
      </c>
      <c r="BZ142" s="75">
        <f>Rentroll!$Y45*Index!BY47</f>
        <v>418.98972499999996</v>
      </c>
      <c r="CA142" s="75">
        <f>Rentroll!$Y45*Index!BZ47</f>
        <v>418.98972499999996</v>
      </c>
      <c r="CB142" s="75">
        <f>Rentroll!$Y45*Index!CA47</f>
        <v>0</v>
      </c>
      <c r="CC142" s="75">
        <f>Rentroll!$Y45*Index!CB47</f>
        <v>0</v>
      </c>
      <c r="CD142" s="75">
        <f>Rentroll!$Y45*Index!CC47</f>
        <v>0</v>
      </c>
      <c r="CE142" s="75">
        <f>Rentroll!$Y45*Index!CD47</f>
        <v>0</v>
      </c>
      <c r="CF142" s="75">
        <f>Rentroll!$Y45*Index!CE47</f>
        <v>0</v>
      </c>
      <c r="CG142" s="75">
        <f>Rentroll!$Y45*Index!CF47</f>
        <v>0</v>
      </c>
      <c r="CH142" s="75">
        <f>Rentroll!$Y45*Index!CG47</f>
        <v>0</v>
      </c>
      <c r="CI142" s="75">
        <f>Rentroll!$Y45*Index!CH47</f>
        <v>0</v>
      </c>
      <c r="CJ142" s="75">
        <f>Rentroll!$Y45*Index!CI47</f>
        <v>0</v>
      </c>
      <c r="CK142" s="75">
        <f>Rentroll!$Y45*Index!CJ47</f>
        <v>0</v>
      </c>
      <c r="CL142" s="75">
        <f>Rentroll!$Y45*Index!CK47</f>
        <v>0</v>
      </c>
      <c r="CM142" s="75">
        <f>Rentroll!$Y45*Index!CL47</f>
        <v>0</v>
      </c>
      <c r="CN142" s="75">
        <f>Rentroll!$Y45*Index!CM47</f>
        <v>0</v>
      </c>
      <c r="CO142" s="75">
        <f>Rentroll!$Y45*Index!CN47</f>
        <v>0</v>
      </c>
      <c r="CP142" s="75">
        <f>Rentroll!$Y45*Index!CO47</f>
        <v>0</v>
      </c>
      <c r="CQ142" s="75">
        <f>Rentroll!$Y45*Index!CP47</f>
        <v>0</v>
      </c>
      <c r="CR142" s="75">
        <f>Rentroll!$Y45*Index!CQ47</f>
        <v>0</v>
      </c>
      <c r="CS142" s="75">
        <f>Rentroll!$Y45*Index!CR47</f>
        <v>0</v>
      </c>
      <c r="CT142" s="75">
        <f>Rentroll!$Y45*Index!CS47</f>
        <v>0</v>
      </c>
      <c r="CU142" s="75">
        <f>Rentroll!$Y45*Index!CT47</f>
        <v>0</v>
      </c>
      <c r="CV142" s="75">
        <f>Rentroll!$Y45*Index!CU47</f>
        <v>0</v>
      </c>
      <c r="CW142" s="75">
        <f>Rentroll!$Y45*Index!CV47</f>
        <v>0</v>
      </c>
      <c r="CX142" s="75">
        <f>Rentroll!$Y45*Index!CW47</f>
        <v>0</v>
      </c>
      <c r="CY142" s="75">
        <f>Rentroll!$Y45*Index!CX47</f>
        <v>0</v>
      </c>
      <c r="CZ142" s="75">
        <f>Rentroll!$Y45*Index!CY47</f>
        <v>0</v>
      </c>
      <c r="DA142" s="75">
        <f>Rentroll!$Y45*Index!CZ47</f>
        <v>0</v>
      </c>
      <c r="DB142" s="75">
        <f>Rentroll!$Y45*Index!DA47</f>
        <v>0</v>
      </c>
      <c r="DC142" s="75">
        <f>Rentroll!$Y45*Index!DB47</f>
        <v>0</v>
      </c>
      <c r="DD142" s="75">
        <f>Rentroll!$Y45*Index!DC47</f>
        <v>0</v>
      </c>
      <c r="DE142" s="75">
        <f>Rentroll!$Y45*Index!DD47</f>
        <v>0</v>
      </c>
      <c r="DF142" s="75">
        <f>Rentroll!$Y45*Index!DE47</f>
        <v>0</v>
      </c>
      <c r="DG142" s="75">
        <f>Rentroll!$Y45*Index!DF47</f>
        <v>0</v>
      </c>
      <c r="DH142" s="75">
        <f>Rentroll!$Y45*Index!DG47</f>
        <v>0</v>
      </c>
      <c r="DI142" s="75">
        <f>Rentroll!$Y45*Index!DH47</f>
        <v>0</v>
      </c>
      <c r="DJ142" s="75">
        <f>Rentroll!$Y45*Index!DI47</f>
        <v>0</v>
      </c>
      <c r="DK142" s="75">
        <f>Rentroll!$Y45*Index!DJ47</f>
        <v>0</v>
      </c>
      <c r="DL142" s="75">
        <f>Rentroll!$Y45*Index!DK47</f>
        <v>0</v>
      </c>
      <c r="DM142" s="75">
        <f>Rentroll!$Y45*Index!DL47</f>
        <v>0</v>
      </c>
    </row>
    <row r="143" spans="2:117">
      <c r="B143" s="27">
        <f>Rentroll!$C$46</f>
        <v>8</v>
      </c>
      <c r="C143" s="69" t="str">
        <f>VLOOKUP($B143,Rentroll!$C$37:$Z$60,3,FALSE)</f>
        <v>오케스트로</v>
      </c>
      <c r="D143" s="80">
        <f>VLOOKUP($B143,Rentroll!$C$37:$Z$60,9,FALSE)</f>
        <v>46477</v>
      </c>
      <c r="E143" s="80">
        <f>VLOOKUP($B143,Rentroll!$C$37:$Z$60,10,FALSE)</f>
        <v>48304</v>
      </c>
      <c r="F143" s="81">
        <f>VLOOKUP($B143,Rentroll!$C$37:$Z$60,11,FALSE)</f>
        <v>60</v>
      </c>
      <c r="G143" s="69">
        <f>VLOOKUP($B143,Rentroll!$C$37:$Z$60,13,FALSE)</f>
        <v>109272.7</v>
      </c>
      <c r="H143" s="69">
        <f>VLOOKUP($B143,Rentroll!$C$37:$Z$60,14,FALSE)</f>
        <v>100166.64166666666</v>
      </c>
      <c r="I143" s="69">
        <f>VLOOKUP($B143,Rentroll!$C$37:$Z$60,15,FALSE)</f>
        <v>47740.5</v>
      </c>
      <c r="J143" s="82">
        <f>VLOOKUP($B143,Rentroll!$C$37:$Z$60,19,FALSE)</f>
        <v>0.03</v>
      </c>
      <c r="K143" s="83">
        <f>VLOOKUP($B143,Rentroll!$C$37:$Z$60,4,FALSE)</f>
        <v>1385.09</v>
      </c>
      <c r="L143" s="81">
        <f>VLOOKUP($B143,Rentroll!$C$37:$Z$60,17,FALSE)</f>
        <v>1</v>
      </c>
      <c r="M143" s="84">
        <f>VLOOKUP($B143,Rentroll!$C$37:$Z$60,18,FALSE)</f>
        <v>1</v>
      </c>
      <c r="O143" s="74">
        <f t="shared" si="231"/>
        <v>8</v>
      </c>
      <c r="P143" s="75"/>
      <c r="Q143" s="75"/>
      <c r="R143" s="75"/>
      <c r="S143" s="75">
        <f>Rentroll!$Y46*Index!R48</f>
        <v>0</v>
      </c>
      <c r="T143" s="75">
        <f>Rentroll!$Y46*Index!S48</f>
        <v>0</v>
      </c>
      <c r="U143" s="75">
        <f>Rentroll!$Y46*Index!T48</f>
        <v>0</v>
      </c>
      <c r="V143" s="75">
        <f>Rentroll!$Y46*Index!U48</f>
        <v>0</v>
      </c>
      <c r="W143" s="75">
        <f>Rentroll!$Y46*Index!V48</f>
        <v>0</v>
      </c>
      <c r="X143" s="75">
        <f>Rentroll!$Y46*Index!W48</f>
        <v>0</v>
      </c>
      <c r="Y143" s="75">
        <f>Rentroll!$Y46*Index!X48</f>
        <v>0</v>
      </c>
      <c r="Z143" s="75">
        <f>Rentroll!$Y46*Index!Y48</f>
        <v>0</v>
      </c>
      <c r="AA143" s="75">
        <f>Rentroll!$Y46*Index!Z48</f>
        <v>0</v>
      </c>
      <c r="AB143" s="75">
        <f>Rentroll!$Y46*Index!AA48</f>
        <v>0</v>
      </c>
      <c r="AC143" s="75">
        <f>Rentroll!$Y46*Index!AB48</f>
        <v>0</v>
      </c>
      <c r="AD143" s="75">
        <f>Rentroll!$Y46*Index!AC48</f>
        <v>0</v>
      </c>
      <c r="AE143" s="75">
        <f>Rentroll!$Y46*Index!AD48</f>
        <v>0</v>
      </c>
      <c r="AF143" s="75">
        <f>Rentroll!$Y46*Index!AE48</f>
        <v>0</v>
      </c>
      <c r="AG143" s="75">
        <f>Rentroll!$Y46*Index!AF48</f>
        <v>0</v>
      </c>
      <c r="AH143" s="75">
        <f>Rentroll!$Y46*Index!AG48</f>
        <v>0</v>
      </c>
      <c r="AI143" s="75">
        <f>Rentroll!$Y46*Index!AH48</f>
        <v>0</v>
      </c>
      <c r="AJ143" s="75">
        <f>Rentroll!$Y46*Index!AI48</f>
        <v>0</v>
      </c>
      <c r="AK143" s="75">
        <f>Rentroll!$Y46*Index!AJ48</f>
        <v>0</v>
      </c>
      <c r="AL143" s="75">
        <f>Rentroll!$Y46*Index!AK48</f>
        <v>0</v>
      </c>
      <c r="AM143" s="75">
        <f>Rentroll!$Y46*Index!AL48</f>
        <v>0</v>
      </c>
      <c r="AN143" s="75">
        <f>Rentroll!$Y46*Index!AM48</f>
        <v>0</v>
      </c>
      <c r="AO143" s="75">
        <f>Rentroll!$Y46*Index!AN48</f>
        <v>0</v>
      </c>
      <c r="AP143" s="75">
        <f>Rentroll!$Y46*Index!AO48</f>
        <v>0</v>
      </c>
      <c r="AQ143" s="75">
        <f>Rentroll!$Y46*Index!AP48</f>
        <v>0</v>
      </c>
      <c r="AR143" s="75">
        <f>Rentroll!$Y46*Index!AQ48</f>
        <v>0</v>
      </c>
      <c r="AS143" s="75">
        <f>Rentroll!$Y46*Index!AR48</f>
        <v>0</v>
      </c>
      <c r="AT143" s="75">
        <f>Rentroll!$Y46*Index!AS48</f>
        <v>418.98972499999996</v>
      </c>
      <c r="AU143" s="75">
        <f>Rentroll!$Y46*Index!AT48</f>
        <v>418.98972499999996</v>
      </c>
      <c r="AV143" s="75">
        <f>Rentroll!$Y46*Index!AU48</f>
        <v>418.98972499999996</v>
      </c>
      <c r="AW143" s="75">
        <f>Rentroll!$Y46*Index!AV48</f>
        <v>418.98972499999996</v>
      </c>
      <c r="AX143" s="75">
        <f>Rentroll!$Y46*Index!AW48</f>
        <v>418.98972499999996</v>
      </c>
      <c r="AY143" s="75">
        <f>Rentroll!$Y46*Index!AX48</f>
        <v>418.98972499999996</v>
      </c>
      <c r="AZ143" s="75">
        <f>Rentroll!$Y46*Index!AY48</f>
        <v>418.98972499999996</v>
      </c>
      <c r="BA143" s="75">
        <f>Rentroll!$Y46*Index!AZ48</f>
        <v>418.98972499999996</v>
      </c>
      <c r="BB143" s="75">
        <f>Rentroll!$Y46*Index!BA48</f>
        <v>418.98972499999996</v>
      </c>
      <c r="BC143" s="75">
        <f>Rentroll!$Y46*Index!BB48</f>
        <v>418.98972499999996</v>
      </c>
      <c r="BD143" s="75">
        <f>Rentroll!$Y46*Index!BC48</f>
        <v>418.98972499999996</v>
      </c>
      <c r="BE143" s="75">
        <f>Rentroll!$Y46*Index!BD48</f>
        <v>418.98972499999996</v>
      </c>
      <c r="BF143" s="75">
        <f>Rentroll!$Y46*Index!BE48</f>
        <v>418.98972499999996</v>
      </c>
      <c r="BG143" s="75">
        <f>Rentroll!$Y46*Index!BF48</f>
        <v>418.98972499999996</v>
      </c>
      <c r="BH143" s="75">
        <f>Rentroll!$Y46*Index!BG48</f>
        <v>418.98972499999996</v>
      </c>
      <c r="BI143" s="75">
        <f>Rentroll!$Y46*Index!BH48</f>
        <v>418.98972499999996</v>
      </c>
      <c r="BJ143" s="75">
        <f>Rentroll!$Y46*Index!BI48</f>
        <v>418.98972499999996</v>
      </c>
      <c r="BK143" s="75">
        <f>Rentroll!$Y46*Index!BJ48</f>
        <v>418.98972499999996</v>
      </c>
      <c r="BL143" s="75">
        <f>Rentroll!$Y46*Index!BK48</f>
        <v>418.98972499999996</v>
      </c>
      <c r="BM143" s="75">
        <f>Rentroll!$Y46*Index!BL48</f>
        <v>418.98972499999996</v>
      </c>
      <c r="BN143" s="75">
        <f>Rentroll!$Y46*Index!BM48</f>
        <v>418.98972499999996</v>
      </c>
      <c r="BO143" s="75">
        <f>Rentroll!$Y46*Index!BN48</f>
        <v>418.98972499999996</v>
      </c>
      <c r="BP143" s="75">
        <f>Rentroll!$Y46*Index!BO48</f>
        <v>418.98972499999996</v>
      </c>
      <c r="BQ143" s="75">
        <f>Rentroll!$Y46*Index!BP48</f>
        <v>418.98972499999996</v>
      </c>
      <c r="BR143" s="75">
        <f>Rentroll!$Y46*Index!BQ48</f>
        <v>418.98972499999996</v>
      </c>
      <c r="BS143" s="75">
        <f>Rentroll!$Y46*Index!BR48</f>
        <v>418.98972499999996</v>
      </c>
      <c r="BT143" s="75">
        <f>Rentroll!$Y46*Index!BS48</f>
        <v>418.98972499999996</v>
      </c>
      <c r="BU143" s="75">
        <f>Rentroll!$Y46*Index!BT48</f>
        <v>418.98972499999996</v>
      </c>
      <c r="BV143" s="75">
        <f>Rentroll!$Y46*Index!BU48</f>
        <v>418.98972499999996</v>
      </c>
      <c r="BW143" s="75">
        <f>Rentroll!$Y46*Index!BV48</f>
        <v>418.98972499999996</v>
      </c>
      <c r="BX143" s="75">
        <f>Rentroll!$Y46*Index!BW48</f>
        <v>418.98972499999996</v>
      </c>
      <c r="BY143" s="75">
        <f>Rentroll!$Y46*Index!BX48</f>
        <v>418.98972499999996</v>
      </c>
      <c r="BZ143" s="75">
        <f>Rentroll!$Y46*Index!BY48</f>
        <v>418.98972499999996</v>
      </c>
      <c r="CA143" s="75">
        <f>Rentroll!$Y46*Index!BZ48</f>
        <v>418.98972499999996</v>
      </c>
      <c r="CB143" s="75">
        <f>Rentroll!$Y46*Index!CA48</f>
        <v>0</v>
      </c>
      <c r="CC143" s="75">
        <f>Rentroll!$Y46*Index!CB48</f>
        <v>0</v>
      </c>
      <c r="CD143" s="75">
        <f>Rentroll!$Y46*Index!CC48</f>
        <v>0</v>
      </c>
      <c r="CE143" s="75">
        <f>Rentroll!$Y46*Index!CD48</f>
        <v>0</v>
      </c>
      <c r="CF143" s="75">
        <f>Rentroll!$Y46*Index!CE48</f>
        <v>0</v>
      </c>
      <c r="CG143" s="75">
        <f>Rentroll!$Y46*Index!CF48</f>
        <v>0</v>
      </c>
      <c r="CH143" s="75">
        <f>Rentroll!$Y46*Index!CG48</f>
        <v>0</v>
      </c>
      <c r="CI143" s="75">
        <f>Rentroll!$Y46*Index!CH48</f>
        <v>0</v>
      </c>
      <c r="CJ143" s="75">
        <f>Rentroll!$Y46*Index!CI48</f>
        <v>0</v>
      </c>
      <c r="CK143" s="75">
        <f>Rentroll!$Y46*Index!CJ48</f>
        <v>0</v>
      </c>
      <c r="CL143" s="75">
        <f>Rentroll!$Y46*Index!CK48</f>
        <v>0</v>
      </c>
      <c r="CM143" s="75">
        <f>Rentroll!$Y46*Index!CL48</f>
        <v>0</v>
      </c>
      <c r="CN143" s="75">
        <f>Rentroll!$Y46*Index!CM48</f>
        <v>0</v>
      </c>
      <c r="CO143" s="75">
        <f>Rentroll!$Y46*Index!CN48</f>
        <v>0</v>
      </c>
      <c r="CP143" s="75">
        <f>Rentroll!$Y46*Index!CO48</f>
        <v>0</v>
      </c>
      <c r="CQ143" s="75">
        <f>Rentroll!$Y46*Index!CP48</f>
        <v>0</v>
      </c>
      <c r="CR143" s="75">
        <f>Rentroll!$Y46*Index!CQ48</f>
        <v>0</v>
      </c>
      <c r="CS143" s="75">
        <f>Rentroll!$Y46*Index!CR48</f>
        <v>0</v>
      </c>
      <c r="CT143" s="75">
        <f>Rentroll!$Y46*Index!CS48</f>
        <v>0</v>
      </c>
      <c r="CU143" s="75">
        <f>Rentroll!$Y46*Index!CT48</f>
        <v>0</v>
      </c>
      <c r="CV143" s="75">
        <f>Rentroll!$Y46*Index!CU48</f>
        <v>0</v>
      </c>
      <c r="CW143" s="75">
        <f>Rentroll!$Y46*Index!CV48</f>
        <v>0</v>
      </c>
      <c r="CX143" s="75">
        <f>Rentroll!$Y46*Index!CW48</f>
        <v>0</v>
      </c>
      <c r="CY143" s="75">
        <f>Rentroll!$Y46*Index!CX48</f>
        <v>0</v>
      </c>
      <c r="CZ143" s="75">
        <f>Rentroll!$Y46*Index!CY48</f>
        <v>0</v>
      </c>
      <c r="DA143" s="75">
        <f>Rentroll!$Y46*Index!CZ48</f>
        <v>0</v>
      </c>
      <c r="DB143" s="75">
        <f>Rentroll!$Y46*Index!DA48</f>
        <v>0</v>
      </c>
      <c r="DC143" s="75">
        <f>Rentroll!$Y46*Index!DB48</f>
        <v>0</v>
      </c>
      <c r="DD143" s="75">
        <f>Rentroll!$Y46*Index!DC48</f>
        <v>0</v>
      </c>
      <c r="DE143" s="75">
        <f>Rentroll!$Y46*Index!DD48</f>
        <v>0</v>
      </c>
      <c r="DF143" s="75">
        <f>Rentroll!$Y46*Index!DE48</f>
        <v>0</v>
      </c>
      <c r="DG143" s="75">
        <f>Rentroll!$Y46*Index!DF48</f>
        <v>0</v>
      </c>
      <c r="DH143" s="75">
        <f>Rentroll!$Y46*Index!DG48</f>
        <v>0</v>
      </c>
      <c r="DI143" s="75">
        <f>Rentroll!$Y46*Index!DH48</f>
        <v>0</v>
      </c>
      <c r="DJ143" s="75">
        <f>Rentroll!$Y46*Index!DI48</f>
        <v>0</v>
      </c>
      <c r="DK143" s="75">
        <f>Rentroll!$Y46*Index!DJ48</f>
        <v>0</v>
      </c>
      <c r="DL143" s="75">
        <f>Rentroll!$Y46*Index!DK48</f>
        <v>0</v>
      </c>
      <c r="DM143" s="75">
        <f>Rentroll!$Y46*Index!DL48</f>
        <v>0</v>
      </c>
    </row>
    <row r="144" spans="2:117">
      <c r="B144" s="27">
        <f>Rentroll!$C$47</f>
        <v>7</v>
      </c>
      <c r="C144" s="69" t="str">
        <f>VLOOKUP($B144,Rentroll!$C$37:$Z$60,3,FALSE)</f>
        <v>오케스트로</v>
      </c>
      <c r="D144" s="80">
        <f>VLOOKUP($B144,Rentroll!$C$37:$Z$60,9,FALSE)</f>
        <v>46477</v>
      </c>
      <c r="E144" s="80">
        <f>VLOOKUP($B144,Rentroll!$C$37:$Z$60,10,FALSE)</f>
        <v>48304</v>
      </c>
      <c r="F144" s="81">
        <f>VLOOKUP($B144,Rentroll!$C$37:$Z$60,11,FALSE)</f>
        <v>60</v>
      </c>
      <c r="G144" s="69">
        <f>VLOOKUP($B144,Rentroll!$C$37:$Z$60,13,FALSE)</f>
        <v>109272.7</v>
      </c>
      <c r="H144" s="69">
        <f>VLOOKUP($B144,Rentroll!$C$37:$Z$60,14,FALSE)</f>
        <v>100166.64166666666</v>
      </c>
      <c r="I144" s="69">
        <f>VLOOKUP($B144,Rentroll!$C$37:$Z$60,15,FALSE)</f>
        <v>47740.5</v>
      </c>
      <c r="J144" s="82">
        <f>VLOOKUP($B144,Rentroll!$C$37:$Z$60,19,FALSE)</f>
        <v>0.03</v>
      </c>
      <c r="K144" s="83">
        <f>VLOOKUP($B144,Rentroll!$C$37:$Z$60,4,FALSE)</f>
        <v>1385.09</v>
      </c>
      <c r="L144" s="81">
        <f>VLOOKUP($B144,Rentroll!$C$37:$Z$60,17,FALSE)</f>
        <v>1</v>
      </c>
      <c r="M144" s="84">
        <f>VLOOKUP($B144,Rentroll!$C$37:$Z$60,18,FALSE)</f>
        <v>1</v>
      </c>
      <c r="O144" s="74">
        <f t="shared" si="231"/>
        <v>7</v>
      </c>
      <c r="P144" s="75"/>
      <c r="Q144" s="75"/>
      <c r="R144" s="75"/>
      <c r="S144" s="75">
        <f>Rentroll!$Y47*Index!R49</f>
        <v>0</v>
      </c>
      <c r="T144" s="75">
        <f>Rentroll!$Y47*Index!S49</f>
        <v>0</v>
      </c>
      <c r="U144" s="75">
        <f>Rentroll!$Y47*Index!T49</f>
        <v>0</v>
      </c>
      <c r="V144" s="75">
        <f>Rentroll!$Y47*Index!U49</f>
        <v>0</v>
      </c>
      <c r="W144" s="75">
        <f>Rentroll!$Y47*Index!V49</f>
        <v>0</v>
      </c>
      <c r="X144" s="75">
        <f>Rentroll!$Y47*Index!W49</f>
        <v>0</v>
      </c>
      <c r="Y144" s="75">
        <f>Rentroll!$Y47*Index!X49</f>
        <v>0</v>
      </c>
      <c r="Z144" s="75">
        <f>Rentroll!$Y47*Index!Y49</f>
        <v>0</v>
      </c>
      <c r="AA144" s="75">
        <f>Rentroll!$Y47*Index!Z49</f>
        <v>0</v>
      </c>
      <c r="AB144" s="75">
        <f>Rentroll!$Y47*Index!AA49</f>
        <v>0</v>
      </c>
      <c r="AC144" s="75">
        <f>Rentroll!$Y47*Index!AB49</f>
        <v>0</v>
      </c>
      <c r="AD144" s="75">
        <f>Rentroll!$Y47*Index!AC49</f>
        <v>0</v>
      </c>
      <c r="AE144" s="75">
        <f>Rentroll!$Y47*Index!AD49</f>
        <v>0</v>
      </c>
      <c r="AF144" s="75">
        <f>Rentroll!$Y47*Index!AE49</f>
        <v>0</v>
      </c>
      <c r="AG144" s="75">
        <f>Rentroll!$Y47*Index!AF49</f>
        <v>0</v>
      </c>
      <c r="AH144" s="75">
        <f>Rentroll!$Y47*Index!AG49</f>
        <v>0</v>
      </c>
      <c r="AI144" s="75">
        <f>Rentroll!$Y47*Index!AH49</f>
        <v>0</v>
      </c>
      <c r="AJ144" s="75">
        <f>Rentroll!$Y47*Index!AI49</f>
        <v>0</v>
      </c>
      <c r="AK144" s="75">
        <f>Rentroll!$Y47*Index!AJ49</f>
        <v>0</v>
      </c>
      <c r="AL144" s="75">
        <f>Rentroll!$Y47*Index!AK49</f>
        <v>0</v>
      </c>
      <c r="AM144" s="75">
        <f>Rentroll!$Y47*Index!AL49</f>
        <v>0</v>
      </c>
      <c r="AN144" s="75">
        <f>Rentroll!$Y47*Index!AM49</f>
        <v>0</v>
      </c>
      <c r="AO144" s="75">
        <f>Rentroll!$Y47*Index!AN49</f>
        <v>0</v>
      </c>
      <c r="AP144" s="75">
        <f>Rentroll!$Y47*Index!AO49</f>
        <v>0</v>
      </c>
      <c r="AQ144" s="75">
        <f>Rentroll!$Y47*Index!AP49</f>
        <v>0</v>
      </c>
      <c r="AR144" s="75">
        <f>Rentroll!$Y47*Index!AQ49</f>
        <v>0</v>
      </c>
      <c r="AS144" s="75">
        <f>Rentroll!$Y47*Index!AR49</f>
        <v>0</v>
      </c>
      <c r="AT144" s="75">
        <f>Rentroll!$Y47*Index!AS49</f>
        <v>418.98972499999996</v>
      </c>
      <c r="AU144" s="75">
        <f>Rentroll!$Y47*Index!AT49</f>
        <v>418.98972499999996</v>
      </c>
      <c r="AV144" s="75">
        <f>Rentroll!$Y47*Index!AU49</f>
        <v>418.98972499999996</v>
      </c>
      <c r="AW144" s="75">
        <f>Rentroll!$Y47*Index!AV49</f>
        <v>418.98972499999996</v>
      </c>
      <c r="AX144" s="75">
        <f>Rentroll!$Y47*Index!AW49</f>
        <v>418.98972499999996</v>
      </c>
      <c r="AY144" s="75">
        <f>Rentroll!$Y47*Index!AX49</f>
        <v>418.98972499999996</v>
      </c>
      <c r="AZ144" s="75">
        <f>Rentroll!$Y47*Index!AY49</f>
        <v>418.98972499999996</v>
      </c>
      <c r="BA144" s="75">
        <f>Rentroll!$Y47*Index!AZ49</f>
        <v>418.98972499999996</v>
      </c>
      <c r="BB144" s="75">
        <f>Rentroll!$Y47*Index!BA49</f>
        <v>418.98972499999996</v>
      </c>
      <c r="BC144" s="75">
        <f>Rentroll!$Y47*Index!BB49</f>
        <v>418.98972499999996</v>
      </c>
      <c r="BD144" s="75">
        <f>Rentroll!$Y47*Index!BC49</f>
        <v>418.98972499999996</v>
      </c>
      <c r="BE144" s="75">
        <f>Rentroll!$Y47*Index!BD49</f>
        <v>418.98972499999996</v>
      </c>
      <c r="BF144" s="75">
        <f>Rentroll!$Y47*Index!BE49</f>
        <v>418.98972499999996</v>
      </c>
      <c r="BG144" s="75">
        <f>Rentroll!$Y47*Index!BF49</f>
        <v>418.98972499999996</v>
      </c>
      <c r="BH144" s="75">
        <f>Rentroll!$Y47*Index!BG49</f>
        <v>418.98972499999996</v>
      </c>
      <c r="BI144" s="75">
        <f>Rentroll!$Y47*Index!BH49</f>
        <v>418.98972499999996</v>
      </c>
      <c r="BJ144" s="75">
        <f>Rentroll!$Y47*Index!BI49</f>
        <v>418.98972499999996</v>
      </c>
      <c r="BK144" s="75">
        <f>Rentroll!$Y47*Index!BJ49</f>
        <v>418.98972499999996</v>
      </c>
      <c r="BL144" s="75">
        <f>Rentroll!$Y47*Index!BK49</f>
        <v>418.98972499999996</v>
      </c>
      <c r="BM144" s="75">
        <f>Rentroll!$Y47*Index!BL49</f>
        <v>418.98972499999996</v>
      </c>
      <c r="BN144" s="75">
        <f>Rentroll!$Y47*Index!BM49</f>
        <v>418.98972499999996</v>
      </c>
      <c r="BO144" s="75">
        <f>Rentroll!$Y47*Index!BN49</f>
        <v>418.98972499999996</v>
      </c>
      <c r="BP144" s="75">
        <f>Rentroll!$Y47*Index!BO49</f>
        <v>418.98972499999996</v>
      </c>
      <c r="BQ144" s="75">
        <f>Rentroll!$Y47*Index!BP49</f>
        <v>418.98972499999996</v>
      </c>
      <c r="BR144" s="75">
        <f>Rentroll!$Y47*Index!BQ49</f>
        <v>418.98972499999996</v>
      </c>
      <c r="BS144" s="75">
        <f>Rentroll!$Y47*Index!BR49</f>
        <v>418.98972499999996</v>
      </c>
      <c r="BT144" s="75">
        <f>Rentroll!$Y47*Index!BS49</f>
        <v>418.98972499999996</v>
      </c>
      <c r="BU144" s="75">
        <f>Rentroll!$Y47*Index!BT49</f>
        <v>418.98972499999996</v>
      </c>
      <c r="BV144" s="75">
        <f>Rentroll!$Y47*Index!BU49</f>
        <v>418.98972499999996</v>
      </c>
      <c r="BW144" s="75">
        <f>Rentroll!$Y47*Index!BV49</f>
        <v>418.98972499999996</v>
      </c>
      <c r="BX144" s="75">
        <f>Rentroll!$Y47*Index!BW49</f>
        <v>418.98972499999996</v>
      </c>
      <c r="BY144" s="75">
        <f>Rentroll!$Y47*Index!BX49</f>
        <v>418.98972499999996</v>
      </c>
      <c r="BZ144" s="75">
        <f>Rentroll!$Y47*Index!BY49</f>
        <v>418.98972499999996</v>
      </c>
      <c r="CA144" s="75">
        <f>Rentroll!$Y47*Index!BZ49</f>
        <v>418.98972499999996</v>
      </c>
      <c r="CB144" s="75">
        <f>Rentroll!$Y47*Index!CA49</f>
        <v>0</v>
      </c>
      <c r="CC144" s="75">
        <f>Rentroll!$Y47*Index!CB49</f>
        <v>0</v>
      </c>
      <c r="CD144" s="75">
        <f>Rentroll!$Y47*Index!CC49</f>
        <v>0</v>
      </c>
      <c r="CE144" s="75">
        <f>Rentroll!$Y47*Index!CD49</f>
        <v>0</v>
      </c>
      <c r="CF144" s="75">
        <f>Rentroll!$Y47*Index!CE49</f>
        <v>0</v>
      </c>
      <c r="CG144" s="75">
        <f>Rentroll!$Y47*Index!CF49</f>
        <v>0</v>
      </c>
      <c r="CH144" s="75">
        <f>Rentroll!$Y47*Index!CG49</f>
        <v>0</v>
      </c>
      <c r="CI144" s="75">
        <f>Rentroll!$Y47*Index!CH49</f>
        <v>0</v>
      </c>
      <c r="CJ144" s="75">
        <f>Rentroll!$Y47*Index!CI49</f>
        <v>0</v>
      </c>
      <c r="CK144" s="75">
        <f>Rentroll!$Y47*Index!CJ49</f>
        <v>0</v>
      </c>
      <c r="CL144" s="75">
        <f>Rentroll!$Y47*Index!CK49</f>
        <v>0</v>
      </c>
      <c r="CM144" s="75">
        <f>Rentroll!$Y47*Index!CL49</f>
        <v>0</v>
      </c>
      <c r="CN144" s="75">
        <f>Rentroll!$Y47*Index!CM49</f>
        <v>0</v>
      </c>
      <c r="CO144" s="75">
        <f>Rentroll!$Y47*Index!CN49</f>
        <v>0</v>
      </c>
      <c r="CP144" s="75">
        <f>Rentroll!$Y47*Index!CO49</f>
        <v>0</v>
      </c>
      <c r="CQ144" s="75">
        <f>Rentroll!$Y47*Index!CP49</f>
        <v>0</v>
      </c>
      <c r="CR144" s="75">
        <f>Rentroll!$Y47*Index!CQ49</f>
        <v>0</v>
      </c>
      <c r="CS144" s="75">
        <f>Rentroll!$Y47*Index!CR49</f>
        <v>0</v>
      </c>
      <c r="CT144" s="75">
        <f>Rentroll!$Y47*Index!CS49</f>
        <v>0</v>
      </c>
      <c r="CU144" s="75">
        <f>Rentroll!$Y47*Index!CT49</f>
        <v>0</v>
      </c>
      <c r="CV144" s="75">
        <f>Rentroll!$Y47*Index!CU49</f>
        <v>0</v>
      </c>
      <c r="CW144" s="75">
        <f>Rentroll!$Y47*Index!CV49</f>
        <v>0</v>
      </c>
      <c r="CX144" s="75">
        <f>Rentroll!$Y47*Index!CW49</f>
        <v>0</v>
      </c>
      <c r="CY144" s="75">
        <f>Rentroll!$Y47*Index!CX49</f>
        <v>0</v>
      </c>
      <c r="CZ144" s="75">
        <f>Rentroll!$Y47*Index!CY49</f>
        <v>0</v>
      </c>
      <c r="DA144" s="75">
        <f>Rentroll!$Y47*Index!CZ49</f>
        <v>0</v>
      </c>
      <c r="DB144" s="75">
        <f>Rentroll!$Y47*Index!DA49</f>
        <v>0</v>
      </c>
      <c r="DC144" s="75">
        <f>Rentroll!$Y47*Index!DB49</f>
        <v>0</v>
      </c>
      <c r="DD144" s="75">
        <f>Rentroll!$Y47*Index!DC49</f>
        <v>0</v>
      </c>
      <c r="DE144" s="75">
        <f>Rentroll!$Y47*Index!DD49</f>
        <v>0</v>
      </c>
      <c r="DF144" s="75">
        <f>Rentroll!$Y47*Index!DE49</f>
        <v>0</v>
      </c>
      <c r="DG144" s="75">
        <f>Rentroll!$Y47*Index!DF49</f>
        <v>0</v>
      </c>
      <c r="DH144" s="75">
        <f>Rentroll!$Y47*Index!DG49</f>
        <v>0</v>
      </c>
      <c r="DI144" s="75">
        <f>Rentroll!$Y47*Index!DH49</f>
        <v>0</v>
      </c>
      <c r="DJ144" s="75">
        <f>Rentroll!$Y47*Index!DI49</f>
        <v>0</v>
      </c>
      <c r="DK144" s="75">
        <f>Rentroll!$Y47*Index!DJ49</f>
        <v>0</v>
      </c>
      <c r="DL144" s="75">
        <f>Rentroll!$Y47*Index!DK49</f>
        <v>0</v>
      </c>
      <c r="DM144" s="75">
        <f>Rentroll!$Y47*Index!DL49</f>
        <v>0</v>
      </c>
    </row>
    <row r="145" spans="2:117">
      <c r="B145" s="27">
        <f>Rentroll!$C$48</f>
        <v>6</v>
      </c>
      <c r="C145" s="69" t="str">
        <f>VLOOKUP($B145,Rentroll!$C$37:$Z$60,3,FALSE)</f>
        <v>오케스트로</v>
      </c>
      <c r="D145" s="80">
        <f>VLOOKUP($B145,Rentroll!$C$37:$Z$60,9,FALSE)</f>
        <v>46477</v>
      </c>
      <c r="E145" s="80">
        <f>VLOOKUP($B145,Rentroll!$C$37:$Z$60,10,FALSE)</f>
        <v>48304</v>
      </c>
      <c r="F145" s="81">
        <f>VLOOKUP($B145,Rentroll!$C$37:$Z$60,11,FALSE)</f>
        <v>60</v>
      </c>
      <c r="G145" s="69">
        <f>VLOOKUP($B145,Rentroll!$C$37:$Z$60,13,FALSE)</f>
        <v>109272.7</v>
      </c>
      <c r="H145" s="69">
        <f>VLOOKUP($B145,Rentroll!$C$37:$Z$60,14,FALSE)</f>
        <v>100166.64166666666</v>
      </c>
      <c r="I145" s="69">
        <f>VLOOKUP($B145,Rentroll!$C$37:$Z$60,15,FALSE)</f>
        <v>47740.5</v>
      </c>
      <c r="J145" s="82">
        <f>VLOOKUP($B145,Rentroll!$C$37:$Z$60,19,FALSE)</f>
        <v>0.03</v>
      </c>
      <c r="K145" s="83">
        <f>VLOOKUP($B145,Rentroll!$C$37:$Z$60,4,FALSE)</f>
        <v>1385.09</v>
      </c>
      <c r="L145" s="81">
        <f>VLOOKUP($B145,Rentroll!$C$37:$Z$60,17,FALSE)</f>
        <v>1</v>
      </c>
      <c r="M145" s="84">
        <f>VLOOKUP($B145,Rentroll!$C$37:$Z$60,18,FALSE)</f>
        <v>1</v>
      </c>
      <c r="O145" s="74">
        <f t="shared" si="231"/>
        <v>6</v>
      </c>
      <c r="P145" s="75"/>
      <c r="Q145" s="75"/>
      <c r="R145" s="75"/>
      <c r="S145" s="75">
        <f>Rentroll!$Y48*Index!R50</f>
        <v>0</v>
      </c>
      <c r="T145" s="75">
        <f>Rentroll!$Y48*Index!S50</f>
        <v>0</v>
      </c>
      <c r="U145" s="75">
        <f>Rentroll!$Y48*Index!T50</f>
        <v>0</v>
      </c>
      <c r="V145" s="75">
        <f>Rentroll!$Y48*Index!U50</f>
        <v>0</v>
      </c>
      <c r="W145" s="75">
        <f>Rentroll!$Y48*Index!V50</f>
        <v>0</v>
      </c>
      <c r="X145" s="75">
        <f>Rentroll!$Y48*Index!W50</f>
        <v>0</v>
      </c>
      <c r="Y145" s="75">
        <f>Rentroll!$Y48*Index!X50</f>
        <v>0</v>
      </c>
      <c r="Z145" s="75">
        <f>Rentroll!$Y48*Index!Y50</f>
        <v>0</v>
      </c>
      <c r="AA145" s="75">
        <f>Rentroll!$Y48*Index!Z50</f>
        <v>0</v>
      </c>
      <c r="AB145" s="75">
        <f>Rentroll!$Y48*Index!AA50</f>
        <v>0</v>
      </c>
      <c r="AC145" s="75">
        <f>Rentroll!$Y48*Index!AB50</f>
        <v>0</v>
      </c>
      <c r="AD145" s="75">
        <f>Rentroll!$Y48*Index!AC50</f>
        <v>0</v>
      </c>
      <c r="AE145" s="75">
        <f>Rentroll!$Y48*Index!AD50</f>
        <v>0</v>
      </c>
      <c r="AF145" s="75">
        <f>Rentroll!$Y48*Index!AE50</f>
        <v>0</v>
      </c>
      <c r="AG145" s="75">
        <f>Rentroll!$Y48*Index!AF50</f>
        <v>0</v>
      </c>
      <c r="AH145" s="75">
        <f>Rentroll!$Y48*Index!AG50</f>
        <v>0</v>
      </c>
      <c r="AI145" s="75">
        <f>Rentroll!$Y48*Index!AH50</f>
        <v>0</v>
      </c>
      <c r="AJ145" s="75">
        <f>Rentroll!$Y48*Index!AI50</f>
        <v>0</v>
      </c>
      <c r="AK145" s="75">
        <f>Rentroll!$Y48*Index!AJ50</f>
        <v>0</v>
      </c>
      <c r="AL145" s="75">
        <f>Rentroll!$Y48*Index!AK50</f>
        <v>0</v>
      </c>
      <c r="AM145" s="75">
        <f>Rentroll!$Y48*Index!AL50</f>
        <v>0</v>
      </c>
      <c r="AN145" s="75">
        <f>Rentroll!$Y48*Index!AM50</f>
        <v>0</v>
      </c>
      <c r="AO145" s="75">
        <f>Rentroll!$Y48*Index!AN50</f>
        <v>0</v>
      </c>
      <c r="AP145" s="75">
        <f>Rentroll!$Y48*Index!AO50</f>
        <v>0</v>
      </c>
      <c r="AQ145" s="75">
        <f>Rentroll!$Y48*Index!AP50</f>
        <v>0</v>
      </c>
      <c r="AR145" s="75">
        <f>Rentroll!$Y48*Index!AQ50</f>
        <v>0</v>
      </c>
      <c r="AS145" s="75">
        <f>Rentroll!$Y48*Index!AR50</f>
        <v>0</v>
      </c>
      <c r="AT145" s="75">
        <f>Rentroll!$Y48*Index!AS50</f>
        <v>457.84138523007493</v>
      </c>
      <c r="AU145" s="75">
        <f>Rentroll!$Y48*Index!AT50</f>
        <v>457.84138523007493</v>
      </c>
      <c r="AV145" s="75">
        <f>Rentroll!$Y48*Index!AU50</f>
        <v>457.84138523007493</v>
      </c>
      <c r="AW145" s="75">
        <f>Rentroll!$Y48*Index!AV50</f>
        <v>457.84138523007493</v>
      </c>
      <c r="AX145" s="75">
        <f>Rentroll!$Y48*Index!AW50</f>
        <v>457.84138523007493</v>
      </c>
      <c r="AY145" s="75">
        <f>Rentroll!$Y48*Index!AX50</f>
        <v>457.84138523007493</v>
      </c>
      <c r="AZ145" s="75">
        <f>Rentroll!$Y48*Index!AY50</f>
        <v>457.84138523007493</v>
      </c>
      <c r="BA145" s="75">
        <f>Rentroll!$Y48*Index!AZ50</f>
        <v>457.84138523007493</v>
      </c>
      <c r="BB145" s="75">
        <f>Rentroll!$Y48*Index!BA50</f>
        <v>457.84138523007493</v>
      </c>
      <c r="BC145" s="75">
        <f>Rentroll!$Y48*Index!BB50</f>
        <v>457.84138523007493</v>
      </c>
      <c r="BD145" s="75">
        <f>Rentroll!$Y48*Index!BC50</f>
        <v>457.84138523007493</v>
      </c>
      <c r="BE145" s="75">
        <f>Rentroll!$Y48*Index!BD50</f>
        <v>457.84138523007493</v>
      </c>
      <c r="BF145" s="75">
        <f>Rentroll!$Y48*Index!BE50</f>
        <v>457.84138523007493</v>
      </c>
      <c r="BG145" s="75">
        <f>Rentroll!$Y48*Index!BF50</f>
        <v>457.84138523007493</v>
      </c>
      <c r="BH145" s="75">
        <f>Rentroll!$Y48*Index!BG50</f>
        <v>457.84138523007493</v>
      </c>
      <c r="BI145" s="75">
        <f>Rentroll!$Y48*Index!BH50</f>
        <v>457.84138523007493</v>
      </c>
      <c r="BJ145" s="75">
        <f>Rentroll!$Y48*Index!BI50</f>
        <v>457.84138523007493</v>
      </c>
      <c r="BK145" s="75">
        <f>Rentroll!$Y48*Index!BJ50</f>
        <v>457.84138523007493</v>
      </c>
      <c r="BL145" s="75">
        <f>Rentroll!$Y48*Index!BK50</f>
        <v>457.84138523007493</v>
      </c>
      <c r="BM145" s="75">
        <f>Rentroll!$Y48*Index!BL50</f>
        <v>457.84138523007493</v>
      </c>
      <c r="BN145" s="75">
        <f>Rentroll!$Y48*Index!BM50</f>
        <v>457.84138523007493</v>
      </c>
      <c r="BO145" s="75">
        <f>Rentroll!$Y48*Index!BN50</f>
        <v>457.84138523007493</v>
      </c>
      <c r="BP145" s="75">
        <f>Rentroll!$Y48*Index!BO50</f>
        <v>457.84138523007493</v>
      </c>
      <c r="BQ145" s="75">
        <f>Rentroll!$Y48*Index!BP50</f>
        <v>457.84138523007493</v>
      </c>
      <c r="BR145" s="75">
        <f>Rentroll!$Y48*Index!BQ50</f>
        <v>457.84138523007493</v>
      </c>
      <c r="BS145" s="75">
        <f>Rentroll!$Y48*Index!BR50</f>
        <v>457.84138523007493</v>
      </c>
      <c r="BT145" s="75">
        <f>Rentroll!$Y48*Index!BS50</f>
        <v>457.84138523007493</v>
      </c>
      <c r="BU145" s="75">
        <f>Rentroll!$Y48*Index!BT50</f>
        <v>457.84138523007493</v>
      </c>
      <c r="BV145" s="75">
        <f>Rentroll!$Y48*Index!BU50</f>
        <v>457.84138523007493</v>
      </c>
      <c r="BW145" s="75">
        <f>Rentroll!$Y48*Index!BV50</f>
        <v>457.84138523007493</v>
      </c>
      <c r="BX145" s="75">
        <f>Rentroll!$Y48*Index!BW50</f>
        <v>457.84138523007493</v>
      </c>
      <c r="BY145" s="75">
        <f>Rentroll!$Y48*Index!BX50</f>
        <v>457.84138523007493</v>
      </c>
      <c r="BZ145" s="75">
        <f>Rentroll!$Y48*Index!BY50</f>
        <v>457.84138523007493</v>
      </c>
      <c r="CA145" s="75">
        <f>Rentroll!$Y48*Index!BZ50</f>
        <v>457.84138523007493</v>
      </c>
      <c r="CB145" s="75">
        <f>Rentroll!$Y48*Index!CA50</f>
        <v>0</v>
      </c>
      <c r="CC145" s="75">
        <f>Rentroll!$Y48*Index!CB50</f>
        <v>0</v>
      </c>
      <c r="CD145" s="75">
        <f>Rentroll!$Y48*Index!CC50</f>
        <v>0</v>
      </c>
      <c r="CE145" s="75">
        <f>Rentroll!$Y48*Index!CD50</f>
        <v>0</v>
      </c>
      <c r="CF145" s="75">
        <f>Rentroll!$Y48*Index!CE50</f>
        <v>0</v>
      </c>
      <c r="CG145" s="75">
        <f>Rentroll!$Y48*Index!CF50</f>
        <v>0</v>
      </c>
      <c r="CH145" s="75">
        <f>Rentroll!$Y48*Index!CG50</f>
        <v>0</v>
      </c>
      <c r="CI145" s="75">
        <f>Rentroll!$Y48*Index!CH50</f>
        <v>0</v>
      </c>
      <c r="CJ145" s="75">
        <f>Rentroll!$Y48*Index!CI50</f>
        <v>0</v>
      </c>
      <c r="CK145" s="75">
        <f>Rentroll!$Y48*Index!CJ50</f>
        <v>0</v>
      </c>
      <c r="CL145" s="75">
        <f>Rentroll!$Y48*Index!CK50</f>
        <v>0</v>
      </c>
      <c r="CM145" s="75">
        <f>Rentroll!$Y48*Index!CL50</f>
        <v>0</v>
      </c>
      <c r="CN145" s="75">
        <f>Rentroll!$Y48*Index!CM50</f>
        <v>0</v>
      </c>
      <c r="CO145" s="75">
        <f>Rentroll!$Y48*Index!CN50</f>
        <v>0</v>
      </c>
      <c r="CP145" s="75">
        <f>Rentroll!$Y48*Index!CO50</f>
        <v>0</v>
      </c>
      <c r="CQ145" s="75">
        <f>Rentroll!$Y48*Index!CP50</f>
        <v>0</v>
      </c>
      <c r="CR145" s="75">
        <f>Rentroll!$Y48*Index!CQ50</f>
        <v>0</v>
      </c>
      <c r="CS145" s="75">
        <f>Rentroll!$Y48*Index!CR50</f>
        <v>0</v>
      </c>
      <c r="CT145" s="75">
        <f>Rentroll!$Y48*Index!CS50</f>
        <v>0</v>
      </c>
      <c r="CU145" s="75">
        <f>Rentroll!$Y48*Index!CT50</f>
        <v>0</v>
      </c>
      <c r="CV145" s="75">
        <f>Rentroll!$Y48*Index!CU50</f>
        <v>0</v>
      </c>
      <c r="CW145" s="75">
        <f>Rentroll!$Y48*Index!CV50</f>
        <v>0</v>
      </c>
      <c r="CX145" s="75">
        <f>Rentroll!$Y48*Index!CW50</f>
        <v>0</v>
      </c>
      <c r="CY145" s="75">
        <f>Rentroll!$Y48*Index!CX50</f>
        <v>0</v>
      </c>
      <c r="CZ145" s="75">
        <f>Rentroll!$Y48*Index!CY50</f>
        <v>0</v>
      </c>
      <c r="DA145" s="75">
        <f>Rentroll!$Y48*Index!CZ50</f>
        <v>0</v>
      </c>
      <c r="DB145" s="75">
        <f>Rentroll!$Y48*Index!DA50</f>
        <v>0</v>
      </c>
      <c r="DC145" s="75">
        <f>Rentroll!$Y48*Index!DB50</f>
        <v>0</v>
      </c>
      <c r="DD145" s="75">
        <f>Rentroll!$Y48*Index!DC50</f>
        <v>0</v>
      </c>
      <c r="DE145" s="75">
        <f>Rentroll!$Y48*Index!DD50</f>
        <v>0</v>
      </c>
      <c r="DF145" s="75">
        <f>Rentroll!$Y48*Index!DE50</f>
        <v>0</v>
      </c>
      <c r="DG145" s="75">
        <f>Rentroll!$Y48*Index!DF50</f>
        <v>0</v>
      </c>
      <c r="DH145" s="75">
        <f>Rentroll!$Y48*Index!DG50</f>
        <v>0</v>
      </c>
      <c r="DI145" s="75">
        <f>Rentroll!$Y48*Index!DH50</f>
        <v>0</v>
      </c>
      <c r="DJ145" s="75">
        <f>Rentroll!$Y48*Index!DI50</f>
        <v>0</v>
      </c>
      <c r="DK145" s="75">
        <f>Rentroll!$Y48*Index!DJ50</f>
        <v>0</v>
      </c>
      <c r="DL145" s="75">
        <f>Rentroll!$Y48*Index!DK50</f>
        <v>0</v>
      </c>
      <c r="DM145" s="75">
        <f>Rentroll!$Y48*Index!DL50</f>
        <v>0</v>
      </c>
    </row>
    <row r="146" spans="2:117">
      <c r="B146" s="27">
        <f>Rentroll!$C$49</f>
        <v>5</v>
      </c>
      <c r="C146" s="69" t="str">
        <f>VLOOKUP($B146,Rentroll!$C$37:$Z$60,3,FALSE)</f>
        <v>타이거로켓</v>
      </c>
      <c r="D146" s="80">
        <f>VLOOKUP($B146,Rentroll!$C$37:$Z$60,9,FALSE)</f>
        <v>45688</v>
      </c>
      <c r="E146" s="80">
        <f>VLOOKUP($B146,Rentroll!$C$37:$Z$60,10,FALSE)</f>
        <v>47514</v>
      </c>
      <c r="F146" s="81">
        <f>VLOOKUP($B146,Rentroll!$C$37:$Z$60,11,FALSE)</f>
        <v>60</v>
      </c>
      <c r="G146" s="69">
        <f>VLOOKUP($B146,Rentroll!$C$37:$Z$60,13,FALSE)</f>
        <v>103000</v>
      </c>
      <c r="H146" s="69">
        <f>VLOOKUP($B146,Rentroll!$C$37:$Z$60,14,FALSE)</f>
        <v>90125</v>
      </c>
      <c r="I146" s="69">
        <f>VLOOKUP($B146,Rentroll!$C$37:$Z$60,15,FALSE)</f>
        <v>45000</v>
      </c>
      <c r="J146" s="82">
        <f>VLOOKUP($B146,Rentroll!$C$37:$Z$60,19,FALSE)</f>
        <v>0.03</v>
      </c>
      <c r="K146" s="83">
        <f>VLOOKUP($B146,Rentroll!$C$37:$Z$60,4,FALSE)</f>
        <v>1385.09</v>
      </c>
      <c r="L146" s="81">
        <f>VLOOKUP($B146,Rentroll!$C$37:$Z$60,17,FALSE)</f>
        <v>1</v>
      </c>
      <c r="M146" s="84">
        <f>VLOOKUP($B146,Rentroll!$C$37:$Z$60,18,FALSE)</f>
        <v>1.5</v>
      </c>
      <c r="O146" s="74">
        <f t="shared" si="231"/>
        <v>5</v>
      </c>
      <c r="P146" s="75"/>
      <c r="Q146" s="75"/>
      <c r="R146" s="75"/>
      <c r="S146" s="75">
        <f>Rentroll!$Y49*Index!R51</f>
        <v>0</v>
      </c>
      <c r="T146" s="75">
        <f>Rentroll!$Y49*Index!S51</f>
        <v>431.55941674999997</v>
      </c>
      <c r="U146" s="75">
        <f>Rentroll!$Y49*Index!T51</f>
        <v>431.55941674999997</v>
      </c>
      <c r="V146" s="75">
        <f>Rentroll!$Y49*Index!U51</f>
        <v>431.55941674999997</v>
      </c>
      <c r="W146" s="75">
        <f>Rentroll!$Y49*Index!V51</f>
        <v>431.55941674999997</v>
      </c>
      <c r="X146" s="75">
        <f>Rentroll!$Y49*Index!W51</f>
        <v>431.55941674999997</v>
      </c>
      <c r="Y146" s="75">
        <f>Rentroll!$Y49*Index!X51</f>
        <v>431.55941674999997</v>
      </c>
      <c r="Z146" s="75">
        <f>Rentroll!$Y49*Index!Y51</f>
        <v>431.55941674999997</v>
      </c>
      <c r="AA146" s="75">
        <f>Rentroll!$Y49*Index!Z51</f>
        <v>431.55941674999997</v>
      </c>
      <c r="AB146" s="75">
        <f>Rentroll!$Y49*Index!AA51</f>
        <v>431.55941674999997</v>
      </c>
      <c r="AC146" s="75">
        <f>Rentroll!$Y49*Index!AB51</f>
        <v>431.55941674999997</v>
      </c>
      <c r="AD146" s="75">
        <f>Rentroll!$Y49*Index!AC51</f>
        <v>431.55941674999997</v>
      </c>
      <c r="AE146" s="75">
        <f>Rentroll!$Y49*Index!AD51</f>
        <v>431.55941674999997</v>
      </c>
      <c r="AF146" s="75">
        <f>Rentroll!$Y49*Index!AE51</f>
        <v>431.55941674999997</v>
      </c>
      <c r="AG146" s="75">
        <f>Rentroll!$Y49*Index!AF51</f>
        <v>431.55941674999997</v>
      </c>
      <c r="AH146" s="75">
        <f>Rentroll!$Y49*Index!AG51</f>
        <v>431.55941674999997</v>
      </c>
      <c r="AI146" s="75">
        <f>Rentroll!$Y49*Index!AH51</f>
        <v>431.55941674999997</v>
      </c>
      <c r="AJ146" s="75">
        <f>Rentroll!$Y49*Index!AI51</f>
        <v>431.55941674999997</v>
      </c>
      <c r="AK146" s="75">
        <f>Rentroll!$Y49*Index!AJ51</f>
        <v>431.55941674999997</v>
      </c>
      <c r="AL146" s="75">
        <f>Rentroll!$Y49*Index!AK51</f>
        <v>431.55941674999997</v>
      </c>
      <c r="AM146" s="75">
        <f>Rentroll!$Y49*Index!AL51</f>
        <v>431.55941674999997</v>
      </c>
      <c r="AN146" s="75">
        <f>Rentroll!$Y49*Index!AM51</f>
        <v>431.55941674999997</v>
      </c>
      <c r="AO146" s="75">
        <f>Rentroll!$Y49*Index!AN51</f>
        <v>431.55941674999997</v>
      </c>
      <c r="AP146" s="75">
        <f>Rentroll!$Y49*Index!AO51</f>
        <v>431.55941674999997</v>
      </c>
      <c r="AQ146" s="75">
        <f>Rentroll!$Y49*Index!AP51</f>
        <v>431.55941674999997</v>
      </c>
      <c r="AR146" s="75">
        <f>Rentroll!$Y49*Index!AQ51</f>
        <v>431.55941674999997</v>
      </c>
      <c r="AS146" s="75">
        <f>Rentroll!$Y49*Index!AR51</f>
        <v>431.55941674999997</v>
      </c>
      <c r="AT146" s="75">
        <f>Rentroll!$Y49*Index!AS51</f>
        <v>431.55941674999997</v>
      </c>
      <c r="AU146" s="75">
        <f>Rentroll!$Y49*Index!AT51</f>
        <v>431.55941674999997</v>
      </c>
      <c r="AV146" s="75">
        <f>Rentroll!$Y49*Index!AU51</f>
        <v>431.55941674999997</v>
      </c>
      <c r="AW146" s="75">
        <f>Rentroll!$Y49*Index!AV51</f>
        <v>431.55941674999997</v>
      </c>
      <c r="AX146" s="75">
        <f>Rentroll!$Y49*Index!AW51</f>
        <v>431.55941674999997</v>
      </c>
      <c r="AY146" s="75">
        <f>Rentroll!$Y49*Index!AX51</f>
        <v>431.55941674999997</v>
      </c>
      <c r="AZ146" s="75">
        <f>Rentroll!$Y49*Index!AY51</f>
        <v>431.55941674999997</v>
      </c>
      <c r="BA146" s="75">
        <f>Rentroll!$Y49*Index!AZ51</f>
        <v>431.55941674999997</v>
      </c>
      <c r="BB146" s="75">
        <f>Rentroll!$Y49*Index!BA51</f>
        <v>431.55941674999997</v>
      </c>
      <c r="BC146" s="75">
        <f>Rentroll!$Y49*Index!BB51</f>
        <v>431.55941674999997</v>
      </c>
      <c r="BD146" s="75">
        <f>Rentroll!$Y49*Index!BC51</f>
        <v>431.55941674999997</v>
      </c>
      <c r="BE146" s="75">
        <f>Rentroll!$Y49*Index!BD51</f>
        <v>431.55941674999997</v>
      </c>
      <c r="BF146" s="75">
        <f>Rentroll!$Y49*Index!BE51</f>
        <v>431.55941674999997</v>
      </c>
      <c r="BG146" s="75">
        <f>Rentroll!$Y49*Index!BF51</f>
        <v>431.55941674999997</v>
      </c>
      <c r="BH146" s="75">
        <f>Rentroll!$Y49*Index!BG51</f>
        <v>431.55941674999997</v>
      </c>
      <c r="BI146" s="75">
        <f>Rentroll!$Y49*Index!BH51</f>
        <v>431.55941674999997</v>
      </c>
      <c r="BJ146" s="75">
        <f>Rentroll!$Y49*Index!BI51</f>
        <v>431.55941674999997</v>
      </c>
      <c r="BK146" s="75">
        <f>Rentroll!$Y49*Index!BJ51</f>
        <v>431.55941674999997</v>
      </c>
      <c r="BL146" s="75">
        <f>Rentroll!$Y49*Index!BK51</f>
        <v>431.55941674999997</v>
      </c>
      <c r="BM146" s="75">
        <f>Rentroll!$Y49*Index!BL51</f>
        <v>431.55941674999997</v>
      </c>
      <c r="BN146" s="75">
        <f>Rentroll!$Y49*Index!BM51</f>
        <v>431.55941674999997</v>
      </c>
      <c r="BO146" s="75">
        <f>Rentroll!$Y49*Index!BN51</f>
        <v>431.55941674999997</v>
      </c>
      <c r="BP146" s="75">
        <f>Rentroll!$Y49*Index!BO51</f>
        <v>431.55941674999997</v>
      </c>
      <c r="BQ146" s="75">
        <f>Rentroll!$Y49*Index!BP51</f>
        <v>431.55941674999997</v>
      </c>
      <c r="BR146" s="75">
        <f>Rentroll!$Y49*Index!BQ51</f>
        <v>431.55941674999997</v>
      </c>
      <c r="BS146" s="75">
        <f>Rentroll!$Y49*Index!BR51</f>
        <v>431.55941674999997</v>
      </c>
      <c r="BT146" s="75">
        <f>Rentroll!$Y49*Index!BS51</f>
        <v>431.55941674999997</v>
      </c>
      <c r="BU146" s="75">
        <f>Rentroll!$Y49*Index!BT51</f>
        <v>431.55941674999997</v>
      </c>
      <c r="BV146" s="75">
        <f>Rentroll!$Y49*Index!BU51</f>
        <v>431.55941674999997</v>
      </c>
      <c r="BW146" s="75">
        <f>Rentroll!$Y49*Index!BV51</f>
        <v>431.55941674999997</v>
      </c>
      <c r="BX146" s="75">
        <f>Rentroll!$Y49*Index!BW51</f>
        <v>431.55941674999997</v>
      </c>
      <c r="BY146" s="75">
        <f>Rentroll!$Y49*Index!BX51</f>
        <v>431.55941674999997</v>
      </c>
      <c r="BZ146" s="75">
        <f>Rentroll!$Y49*Index!BY51</f>
        <v>431.55941674999997</v>
      </c>
      <c r="CA146" s="75">
        <f>Rentroll!$Y49*Index!BZ51</f>
        <v>431.55941674999997</v>
      </c>
      <c r="CB146" s="75">
        <f>Rentroll!$Y49*Index!CA51</f>
        <v>0</v>
      </c>
      <c r="CC146" s="75">
        <f>Rentroll!$Y49*Index!CB51</f>
        <v>0</v>
      </c>
      <c r="CD146" s="75">
        <f>Rentroll!$Y49*Index!CC51</f>
        <v>0</v>
      </c>
      <c r="CE146" s="75">
        <f>Rentroll!$Y49*Index!CD51</f>
        <v>0</v>
      </c>
      <c r="CF146" s="75">
        <f>Rentroll!$Y49*Index!CE51</f>
        <v>0</v>
      </c>
      <c r="CG146" s="75">
        <f>Rentroll!$Y49*Index!CF51</f>
        <v>0</v>
      </c>
      <c r="CH146" s="75">
        <f>Rentroll!$Y49*Index!CG51</f>
        <v>0</v>
      </c>
      <c r="CI146" s="75">
        <f>Rentroll!$Y49*Index!CH51</f>
        <v>0</v>
      </c>
      <c r="CJ146" s="75">
        <f>Rentroll!$Y49*Index!CI51</f>
        <v>0</v>
      </c>
      <c r="CK146" s="75">
        <f>Rentroll!$Y49*Index!CJ51</f>
        <v>0</v>
      </c>
      <c r="CL146" s="75">
        <f>Rentroll!$Y49*Index!CK51</f>
        <v>0</v>
      </c>
      <c r="CM146" s="75">
        <f>Rentroll!$Y49*Index!CL51</f>
        <v>0</v>
      </c>
      <c r="CN146" s="75">
        <f>Rentroll!$Y49*Index!CM51</f>
        <v>0</v>
      </c>
      <c r="CO146" s="75">
        <f>Rentroll!$Y49*Index!CN51</f>
        <v>0</v>
      </c>
      <c r="CP146" s="75">
        <f>Rentroll!$Y49*Index!CO51</f>
        <v>0</v>
      </c>
      <c r="CQ146" s="75">
        <f>Rentroll!$Y49*Index!CP51</f>
        <v>0</v>
      </c>
      <c r="CR146" s="75">
        <f>Rentroll!$Y49*Index!CQ51</f>
        <v>0</v>
      </c>
      <c r="CS146" s="75">
        <f>Rentroll!$Y49*Index!CR51</f>
        <v>0</v>
      </c>
      <c r="CT146" s="75">
        <f>Rentroll!$Y49*Index!CS51</f>
        <v>0</v>
      </c>
      <c r="CU146" s="75">
        <f>Rentroll!$Y49*Index!CT51</f>
        <v>0</v>
      </c>
      <c r="CV146" s="75">
        <f>Rentroll!$Y49*Index!CU51</f>
        <v>0</v>
      </c>
      <c r="CW146" s="75">
        <f>Rentroll!$Y49*Index!CV51</f>
        <v>0</v>
      </c>
      <c r="CX146" s="75">
        <f>Rentroll!$Y49*Index!CW51</f>
        <v>0</v>
      </c>
      <c r="CY146" s="75">
        <f>Rentroll!$Y49*Index!CX51</f>
        <v>0</v>
      </c>
      <c r="CZ146" s="75">
        <f>Rentroll!$Y49*Index!CY51</f>
        <v>0</v>
      </c>
      <c r="DA146" s="75">
        <f>Rentroll!$Y49*Index!CZ51</f>
        <v>0</v>
      </c>
      <c r="DB146" s="75">
        <f>Rentroll!$Y49*Index!DA51</f>
        <v>0</v>
      </c>
      <c r="DC146" s="75">
        <f>Rentroll!$Y49*Index!DB51</f>
        <v>0</v>
      </c>
      <c r="DD146" s="75">
        <f>Rentroll!$Y49*Index!DC51</f>
        <v>0</v>
      </c>
      <c r="DE146" s="75">
        <f>Rentroll!$Y49*Index!DD51</f>
        <v>0</v>
      </c>
      <c r="DF146" s="75">
        <f>Rentroll!$Y49*Index!DE51</f>
        <v>0</v>
      </c>
      <c r="DG146" s="75">
        <f>Rentroll!$Y49*Index!DF51</f>
        <v>0</v>
      </c>
      <c r="DH146" s="75">
        <f>Rentroll!$Y49*Index!DG51</f>
        <v>0</v>
      </c>
      <c r="DI146" s="75">
        <f>Rentroll!$Y49*Index!DH51</f>
        <v>0</v>
      </c>
      <c r="DJ146" s="75">
        <f>Rentroll!$Y49*Index!DI51</f>
        <v>0</v>
      </c>
      <c r="DK146" s="75">
        <f>Rentroll!$Y49*Index!DJ51</f>
        <v>0</v>
      </c>
      <c r="DL146" s="75">
        <f>Rentroll!$Y49*Index!DK51</f>
        <v>0</v>
      </c>
      <c r="DM146" s="75">
        <f>Rentroll!$Y49*Index!DL51</f>
        <v>0</v>
      </c>
    </row>
    <row r="147" spans="2:117">
      <c r="B147" s="27">
        <f>Rentroll!$C$50</f>
        <v>4</v>
      </c>
      <c r="C147" s="69" t="str">
        <f>VLOOKUP($B147,Rentroll!$C$37:$Z$60,3,FALSE)</f>
        <v>타이거로켓</v>
      </c>
      <c r="D147" s="80">
        <f>VLOOKUP($B147,Rentroll!$C$37:$Z$60,9,FALSE)</f>
        <v>45688</v>
      </c>
      <c r="E147" s="80">
        <f>VLOOKUP($B147,Rentroll!$C$37:$Z$60,10,FALSE)</f>
        <v>47514</v>
      </c>
      <c r="F147" s="81">
        <f>VLOOKUP($B147,Rentroll!$C$37:$Z$60,11,FALSE)</f>
        <v>60</v>
      </c>
      <c r="G147" s="69">
        <f>VLOOKUP($B147,Rentroll!$C$37:$Z$60,13,FALSE)</f>
        <v>103000</v>
      </c>
      <c r="H147" s="69">
        <f>VLOOKUP($B147,Rentroll!$C$37:$Z$60,14,FALSE)</f>
        <v>90125</v>
      </c>
      <c r="I147" s="69">
        <f>VLOOKUP($B147,Rentroll!$C$37:$Z$60,15,FALSE)</f>
        <v>45000</v>
      </c>
      <c r="J147" s="82">
        <f>VLOOKUP($B147,Rentroll!$C$37:$Z$60,19,FALSE)</f>
        <v>0.03</v>
      </c>
      <c r="K147" s="83">
        <f>VLOOKUP($B147,Rentroll!$C$37:$Z$60,4,FALSE)</f>
        <v>1385.09</v>
      </c>
      <c r="L147" s="81">
        <f>VLOOKUP($B147,Rentroll!$C$37:$Z$60,17,FALSE)</f>
        <v>1</v>
      </c>
      <c r="M147" s="84">
        <f>VLOOKUP($B147,Rentroll!$C$37:$Z$60,18,FALSE)</f>
        <v>1.5</v>
      </c>
      <c r="O147" s="74">
        <f t="shared" si="231"/>
        <v>4</v>
      </c>
      <c r="P147" s="75"/>
      <c r="Q147" s="75"/>
      <c r="R147" s="75"/>
      <c r="S147" s="75">
        <f>Rentroll!$Y50*Index!R52</f>
        <v>0</v>
      </c>
      <c r="T147" s="75">
        <f>Rentroll!$Y50*Index!S52</f>
        <v>431.55941674999997</v>
      </c>
      <c r="U147" s="75">
        <f>Rentroll!$Y50*Index!T52</f>
        <v>431.55941674999997</v>
      </c>
      <c r="V147" s="75">
        <f>Rentroll!$Y50*Index!U52</f>
        <v>431.55941674999997</v>
      </c>
      <c r="W147" s="75">
        <f>Rentroll!$Y50*Index!V52</f>
        <v>431.55941674999997</v>
      </c>
      <c r="X147" s="75">
        <f>Rentroll!$Y50*Index!W52</f>
        <v>431.55941674999997</v>
      </c>
      <c r="Y147" s="75">
        <f>Rentroll!$Y50*Index!X52</f>
        <v>431.55941674999997</v>
      </c>
      <c r="Z147" s="75">
        <f>Rentroll!$Y50*Index!Y52</f>
        <v>431.55941674999997</v>
      </c>
      <c r="AA147" s="75">
        <f>Rentroll!$Y50*Index!Z52</f>
        <v>431.55941674999997</v>
      </c>
      <c r="AB147" s="75">
        <f>Rentroll!$Y50*Index!AA52</f>
        <v>431.55941674999997</v>
      </c>
      <c r="AC147" s="75">
        <f>Rentroll!$Y50*Index!AB52</f>
        <v>431.55941674999997</v>
      </c>
      <c r="AD147" s="75">
        <f>Rentroll!$Y50*Index!AC52</f>
        <v>431.55941674999997</v>
      </c>
      <c r="AE147" s="75">
        <f>Rentroll!$Y50*Index!AD52</f>
        <v>431.55941674999997</v>
      </c>
      <c r="AF147" s="75">
        <f>Rentroll!$Y50*Index!AE52</f>
        <v>431.55941674999997</v>
      </c>
      <c r="AG147" s="75">
        <f>Rentroll!$Y50*Index!AF52</f>
        <v>431.55941674999997</v>
      </c>
      <c r="AH147" s="75">
        <f>Rentroll!$Y50*Index!AG52</f>
        <v>431.55941674999997</v>
      </c>
      <c r="AI147" s="75">
        <f>Rentroll!$Y50*Index!AH52</f>
        <v>431.55941674999997</v>
      </c>
      <c r="AJ147" s="75">
        <f>Rentroll!$Y50*Index!AI52</f>
        <v>431.55941674999997</v>
      </c>
      <c r="AK147" s="75">
        <f>Rentroll!$Y50*Index!AJ52</f>
        <v>431.55941674999997</v>
      </c>
      <c r="AL147" s="75">
        <f>Rentroll!$Y50*Index!AK52</f>
        <v>431.55941674999997</v>
      </c>
      <c r="AM147" s="75">
        <f>Rentroll!$Y50*Index!AL52</f>
        <v>431.55941674999997</v>
      </c>
      <c r="AN147" s="75">
        <f>Rentroll!$Y50*Index!AM52</f>
        <v>431.55941674999997</v>
      </c>
      <c r="AO147" s="75">
        <f>Rentroll!$Y50*Index!AN52</f>
        <v>431.55941674999997</v>
      </c>
      <c r="AP147" s="75">
        <f>Rentroll!$Y50*Index!AO52</f>
        <v>431.55941674999997</v>
      </c>
      <c r="AQ147" s="75">
        <f>Rentroll!$Y50*Index!AP52</f>
        <v>431.55941674999997</v>
      </c>
      <c r="AR147" s="75">
        <f>Rentroll!$Y50*Index!AQ52</f>
        <v>431.55941674999997</v>
      </c>
      <c r="AS147" s="75">
        <f>Rentroll!$Y50*Index!AR52</f>
        <v>431.55941674999997</v>
      </c>
      <c r="AT147" s="75">
        <f>Rentroll!$Y50*Index!AS52</f>
        <v>431.55941674999997</v>
      </c>
      <c r="AU147" s="75">
        <f>Rentroll!$Y50*Index!AT52</f>
        <v>431.55941674999997</v>
      </c>
      <c r="AV147" s="75">
        <f>Rentroll!$Y50*Index!AU52</f>
        <v>431.55941674999997</v>
      </c>
      <c r="AW147" s="75">
        <f>Rentroll!$Y50*Index!AV52</f>
        <v>431.55941674999997</v>
      </c>
      <c r="AX147" s="75">
        <f>Rentroll!$Y50*Index!AW52</f>
        <v>431.55941674999997</v>
      </c>
      <c r="AY147" s="75">
        <f>Rentroll!$Y50*Index!AX52</f>
        <v>431.55941674999997</v>
      </c>
      <c r="AZ147" s="75">
        <f>Rentroll!$Y50*Index!AY52</f>
        <v>431.55941674999997</v>
      </c>
      <c r="BA147" s="75">
        <f>Rentroll!$Y50*Index!AZ52</f>
        <v>431.55941674999997</v>
      </c>
      <c r="BB147" s="75">
        <f>Rentroll!$Y50*Index!BA52</f>
        <v>431.55941674999997</v>
      </c>
      <c r="BC147" s="75">
        <f>Rentroll!$Y50*Index!BB52</f>
        <v>431.55941674999997</v>
      </c>
      <c r="BD147" s="75">
        <f>Rentroll!$Y50*Index!BC52</f>
        <v>431.55941674999997</v>
      </c>
      <c r="BE147" s="75">
        <f>Rentroll!$Y50*Index!BD52</f>
        <v>431.55941674999997</v>
      </c>
      <c r="BF147" s="75">
        <f>Rentroll!$Y50*Index!BE52</f>
        <v>431.55941674999997</v>
      </c>
      <c r="BG147" s="75">
        <f>Rentroll!$Y50*Index!BF52</f>
        <v>431.55941674999997</v>
      </c>
      <c r="BH147" s="75">
        <f>Rentroll!$Y50*Index!BG52</f>
        <v>431.55941674999997</v>
      </c>
      <c r="BI147" s="75">
        <f>Rentroll!$Y50*Index!BH52</f>
        <v>431.55941674999997</v>
      </c>
      <c r="BJ147" s="75">
        <f>Rentroll!$Y50*Index!BI52</f>
        <v>431.55941674999997</v>
      </c>
      <c r="BK147" s="75">
        <f>Rentroll!$Y50*Index!BJ52</f>
        <v>431.55941674999997</v>
      </c>
      <c r="BL147" s="75">
        <f>Rentroll!$Y50*Index!BK52</f>
        <v>431.55941674999997</v>
      </c>
      <c r="BM147" s="75">
        <f>Rentroll!$Y50*Index!BL52</f>
        <v>431.55941674999997</v>
      </c>
      <c r="BN147" s="75">
        <f>Rentroll!$Y50*Index!BM52</f>
        <v>431.55941674999997</v>
      </c>
      <c r="BO147" s="75">
        <f>Rentroll!$Y50*Index!BN52</f>
        <v>431.55941674999997</v>
      </c>
      <c r="BP147" s="75">
        <f>Rentroll!$Y50*Index!BO52</f>
        <v>431.55941674999997</v>
      </c>
      <c r="BQ147" s="75">
        <f>Rentroll!$Y50*Index!BP52</f>
        <v>431.55941674999997</v>
      </c>
      <c r="BR147" s="75">
        <f>Rentroll!$Y50*Index!BQ52</f>
        <v>431.55941674999997</v>
      </c>
      <c r="BS147" s="75">
        <f>Rentroll!$Y50*Index!BR52</f>
        <v>431.55941674999997</v>
      </c>
      <c r="BT147" s="75">
        <f>Rentroll!$Y50*Index!BS52</f>
        <v>431.55941674999997</v>
      </c>
      <c r="BU147" s="75">
        <f>Rentroll!$Y50*Index!BT52</f>
        <v>431.55941674999997</v>
      </c>
      <c r="BV147" s="75">
        <f>Rentroll!$Y50*Index!BU52</f>
        <v>431.55941674999997</v>
      </c>
      <c r="BW147" s="75">
        <f>Rentroll!$Y50*Index!BV52</f>
        <v>431.55941674999997</v>
      </c>
      <c r="BX147" s="75">
        <f>Rentroll!$Y50*Index!BW52</f>
        <v>431.55941674999997</v>
      </c>
      <c r="BY147" s="75">
        <f>Rentroll!$Y50*Index!BX52</f>
        <v>431.55941674999997</v>
      </c>
      <c r="BZ147" s="75">
        <f>Rentroll!$Y50*Index!BY52</f>
        <v>431.55941674999997</v>
      </c>
      <c r="CA147" s="75">
        <f>Rentroll!$Y50*Index!BZ52</f>
        <v>431.55941674999997</v>
      </c>
      <c r="CB147" s="75">
        <f>Rentroll!$Y50*Index!CA52</f>
        <v>0</v>
      </c>
      <c r="CC147" s="75">
        <f>Rentroll!$Y50*Index!CB52</f>
        <v>0</v>
      </c>
      <c r="CD147" s="75">
        <f>Rentroll!$Y50*Index!CC52</f>
        <v>0</v>
      </c>
      <c r="CE147" s="75">
        <f>Rentroll!$Y50*Index!CD52</f>
        <v>0</v>
      </c>
      <c r="CF147" s="75">
        <f>Rentroll!$Y50*Index!CE52</f>
        <v>0</v>
      </c>
      <c r="CG147" s="75">
        <f>Rentroll!$Y50*Index!CF52</f>
        <v>0</v>
      </c>
      <c r="CH147" s="75">
        <f>Rentroll!$Y50*Index!CG52</f>
        <v>0</v>
      </c>
      <c r="CI147" s="75">
        <f>Rentroll!$Y50*Index!CH52</f>
        <v>0</v>
      </c>
      <c r="CJ147" s="75">
        <f>Rentroll!$Y50*Index!CI52</f>
        <v>0</v>
      </c>
      <c r="CK147" s="75">
        <f>Rentroll!$Y50*Index!CJ52</f>
        <v>0</v>
      </c>
      <c r="CL147" s="75">
        <f>Rentroll!$Y50*Index!CK52</f>
        <v>0</v>
      </c>
      <c r="CM147" s="75">
        <f>Rentroll!$Y50*Index!CL52</f>
        <v>0</v>
      </c>
      <c r="CN147" s="75">
        <f>Rentroll!$Y50*Index!CM52</f>
        <v>0</v>
      </c>
      <c r="CO147" s="75">
        <f>Rentroll!$Y50*Index!CN52</f>
        <v>0</v>
      </c>
      <c r="CP147" s="75">
        <f>Rentroll!$Y50*Index!CO52</f>
        <v>0</v>
      </c>
      <c r="CQ147" s="75">
        <f>Rentroll!$Y50*Index!CP52</f>
        <v>0</v>
      </c>
      <c r="CR147" s="75">
        <f>Rentroll!$Y50*Index!CQ52</f>
        <v>0</v>
      </c>
      <c r="CS147" s="75">
        <f>Rentroll!$Y50*Index!CR52</f>
        <v>0</v>
      </c>
      <c r="CT147" s="75">
        <f>Rentroll!$Y50*Index!CS52</f>
        <v>0</v>
      </c>
      <c r="CU147" s="75">
        <f>Rentroll!$Y50*Index!CT52</f>
        <v>0</v>
      </c>
      <c r="CV147" s="75">
        <f>Rentroll!$Y50*Index!CU52</f>
        <v>0</v>
      </c>
      <c r="CW147" s="75">
        <f>Rentroll!$Y50*Index!CV52</f>
        <v>0</v>
      </c>
      <c r="CX147" s="75">
        <f>Rentroll!$Y50*Index!CW52</f>
        <v>0</v>
      </c>
      <c r="CY147" s="75">
        <f>Rentroll!$Y50*Index!CX52</f>
        <v>0</v>
      </c>
      <c r="CZ147" s="75">
        <f>Rentroll!$Y50*Index!CY52</f>
        <v>0</v>
      </c>
      <c r="DA147" s="75">
        <f>Rentroll!$Y50*Index!CZ52</f>
        <v>0</v>
      </c>
      <c r="DB147" s="75">
        <f>Rentroll!$Y50*Index!DA52</f>
        <v>0</v>
      </c>
      <c r="DC147" s="75">
        <f>Rentroll!$Y50*Index!DB52</f>
        <v>0</v>
      </c>
      <c r="DD147" s="75">
        <f>Rentroll!$Y50*Index!DC52</f>
        <v>0</v>
      </c>
      <c r="DE147" s="75">
        <f>Rentroll!$Y50*Index!DD52</f>
        <v>0</v>
      </c>
      <c r="DF147" s="75">
        <f>Rentroll!$Y50*Index!DE52</f>
        <v>0</v>
      </c>
      <c r="DG147" s="75">
        <f>Rentroll!$Y50*Index!DF52</f>
        <v>0</v>
      </c>
      <c r="DH147" s="75">
        <f>Rentroll!$Y50*Index!DG52</f>
        <v>0</v>
      </c>
      <c r="DI147" s="75">
        <f>Rentroll!$Y50*Index!DH52</f>
        <v>0</v>
      </c>
      <c r="DJ147" s="75">
        <f>Rentroll!$Y50*Index!DI52</f>
        <v>0</v>
      </c>
      <c r="DK147" s="75">
        <f>Rentroll!$Y50*Index!DJ52</f>
        <v>0</v>
      </c>
      <c r="DL147" s="75">
        <f>Rentroll!$Y50*Index!DK52</f>
        <v>0</v>
      </c>
      <c r="DM147" s="75">
        <f>Rentroll!$Y50*Index!DL52</f>
        <v>0</v>
      </c>
    </row>
    <row r="148" spans="2:117">
      <c r="B148" s="27">
        <f>Rentroll!$C$51</f>
        <v>3</v>
      </c>
      <c r="C148" s="69" t="str">
        <f>VLOOKUP($B148,Rentroll!$C$37:$Z$60,3,FALSE)</f>
        <v>타이거로켓</v>
      </c>
      <c r="D148" s="80">
        <f>VLOOKUP($B148,Rentroll!$C$37:$Z$60,9,FALSE)</f>
        <v>45688</v>
      </c>
      <c r="E148" s="80">
        <f>VLOOKUP($B148,Rentroll!$C$37:$Z$60,10,FALSE)</f>
        <v>47514</v>
      </c>
      <c r="F148" s="81">
        <f>VLOOKUP($B148,Rentroll!$C$37:$Z$60,11,FALSE)</f>
        <v>60</v>
      </c>
      <c r="G148" s="69">
        <f>VLOOKUP($B148,Rentroll!$C$37:$Z$60,13,FALSE)</f>
        <v>103000</v>
      </c>
      <c r="H148" s="69">
        <f>VLOOKUP($B148,Rentroll!$C$37:$Z$60,14,FALSE)</f>
        <v>90125</v>
      </c>
      <c r="I148" s="69">
        <f>VLOOKUP($B148,Rentroll!$C$37:$Z$60,15,FALSE)</f>
        <v>45000</v>
      </c>
      <c r="J148" s="82">
        <f>VLOOKUP($B148,Rentroll!$C$37:$Z$60,19,FALSE)</f>
        <v>0.03</v>
      </c>
      <c r="K148" s="83">
        <f>VLOOKUP($B148,Rentroll!$C$37:$Z$60,4,FALSE)</f>
        <v>1385.09</v>
      </c>
      <c r="L148" s="81">
        <f>VLOOKUP($B148,Rentroll!$C$37:$Z$60,17,FALSE)</f>
        <v>1</v>
      </c>
      <c r="M148" s="84">
        <f>VLOOKUP($B148,Rentroll!$C$37:$Z$60,18,FALSE)</f>
        <v>1.5</v>
      </c>
      <c r="O148" s="74">
        <f t="shared" si="231"/>
        <v>3</v>
      </c>
      <c r="P148" s="75"/>
      <c r="Q148" s="75"/>
      <c r="R148" s="75"/>
      <c r="S148" s="75">
        <f>Rentroll!$Y51*Index!R53</f>
        <v>0</v>
      </c>
      <c r="T148" s="75">
        <f>Rentroll!$Y51*Index!S53</f>
        <v>431.55941674999997</v>
      </c>
      <c r="U148" s="75">
        <f>Rentroll!$Y51*Index!T53</f>
        <v>431.55941674999997</v>
      </c>
      <c r="V148" s="75">
        <f>Rentroll!$Y51*Index!U53</f>
        <v>431.55941674999997</v>
      </c>
      <c r="W148" s="75">
        <f>Rentroll!$Y51*Index!V53</f>
        <v>431.55941674999997</v>
      </c>
      <c r="X148" s="75">
        <f>Rentroll!$Y51*Index!W53</f>
        <v>431.55941674999997</v>
      </c>
      <c r="Y148" s="75">
        <f>Rentroll!$Y51*Index!X53</f>
        <v>431.55941674999997</v>
      </c>
      <c r="Z148" s="75">
        <f>Rentroll!$Y51*Index!Y53</f>
        <v>431.55941674999997</v>
      </c>
      <c r="AA148" s="75">
        <f>Rentroll!$Y51*Index!Z53</f>
        <v>431.55941674999997</v>
      </c>
      <c r="AB148" s="75">
        <f>Rentroll!$Y51*Index!AA53</f>
        <v>431.55941674999997</v>
      </c>
      <c r="AC148" s="75">
        <f>Rentroll!$Y51*Index!AB53</f>
        <v>431.55941674999997</v>
      </c>
      <c r="AD148" s="75">
        <f>Rentroll!$Y51*Index!AC53</f>
        <v>431.55941674999997</v>
      </c>
      <c r="AE148" s="75">
        <f>Rentroll!$Y51*Index!AD53</f>
        <v>431.55941674999997</v>
      </c>
      <c r="AF148" s="75">
        <f>Rentroll!$Y51*Index!AE53</f>
        <v>431.55941674999997</v>
      </c>
      <c r="AG148" s="75">
        <f>Rentroll!$Y51*Index!AF53</f>
        <v>431.55941674999997</v>
      </c>
      <c r="AH148" s="75">
        <f>Rentroll!$Y51*Index!AG53</f>
        <v>431.55941674999997</v>
      </c>
      <c r="AI148" s="75">
        <f>Rentroll!$Y51*Index!AH53</f>
        <v>431.55941674999997</v>
      </c>
      <c r="AJ148" s="75">
        <f>Rentroll!$Y51*Index!AI53</f>
        <v>431.55941674999997</v>
      </c>
      <c r="AK148" s="75">
        <f>Rentroll!$Y51*Index!AJ53</f>
        <v>431.55941674999997</v>
      </c>
      <c r="AL148" s="75">
        <f>Rentroll!$Y51*Index!AK53</f>
        <v>431.55941674999997</v>
      </c>
      <c r="AM148" s="75">
        <f>Rentroll!$Y51*Index!AL53</f>
        <v>431.55941674999997</v>
      </c>
      <c r="AN148" s="75">
        <f>Rentroll!$Y51*Index!AM53</f>
        <v>431.55941674999997</v>
      </c>
      <c r="AO148" s="75">
        <f>Rentroll!$Y51*Index!AN53</f>
        <v>431.55941674999997</v>
      </c>
      <c r="AP148" s="75">
        <f>Rentroll!$Y51*Index!AO53</f>
        <v>431.55941674999997</v>
      </c>
      <c r="AQ148" s="75">
        <f>Rentroll!$Y51*Index!AP53</f>
        <v>431.55941674999997</v>
      </c>
      <c r="AR148" s="75">
        <f>Rentroll!$Y51*Index!AQ53</f>
        <v>431.55941674999997</v>
      </c>
      <c r="AS148" s="75">
        <f>Rentroll!$Y51*Index!AR53</f>
        <v>431.55941674999997</v>
      </c>
      <c r="AT148" s="75">
        <f>Rentroll!$Y51*Index!AS53</f>
        <v>431.55941674999997</v>
      </c>
      <c r="AU148" s="75">
        <f>Rentroll!$Y51*Index!AT53</f>
        <v>431.55941674999997</v>
      </c>
      <c r="AV148" s="75">
        <f>Rentroll!$Y51*Index!AU53</f>
        <v>431.55941674999997</v>
      </c>
      <c r="AW148" s="75">
        <f>Rentroll!$Y51*Index!AV53</f>
        <v>431.55941674999997</v>
      </c>
      <c r="AX148" s="75">
        <f>Rentroll!$Y51*Index!AW53</f>
        <v>431.55941674999997</v>
      </c>
      <c r="AY148" s="75">
        <f>Rentroll!$Y51*Index!AX53</f>
        <v>431.55941674999997</v>
      </c>
      <c r="AZ148" s="75">
        <f>Rentroll!$Y51*Index!AY53</f>
        <v>431.55941674999997</v>
      </c>
      <c r="BA148" s="75">
        <f>Rentroll!$Y51*Index!AZ53</f>
        <v>431.55941674999997</v>
      </c>
      <c r="BB148" s="75">
        <f>Rentroll!$Y51*Index!BA53</f>
        <v>431.55941674999997</v>
      </c>
      <c r="BC148" s="75">
        <f>Rentroll!$Y51*Index!BB53</f>
        <v>431.55941674999997</v>
      </c>
      <c r="BD148" s="75">
        <f>Rentroll!$Y51*Index!BC53</f>
        <v>431.55941674999997</v>
      </c>
      <c r="BE148" s="75">
        <f>Rentroll!$Y51*Index!BD53</f>
        <v>431.55941674999997</v>
      </c>
      <c r="BF148" s="75">
        <f>Rentroll!$Y51*Index!BE53</f>
        <v>431.55941674999997</v>
      </c>
      <c r="BG148" s="75">
        <f>Rentroll!$Y51*Index!BF53</f>
        <v>431.55941674999997</v>
      </c>
      <c r="BH148" s="75">
        <f>Rentroll!$Y51*Index!BG53</f>
        <v>431.55941674999997</v>
      </c>
      <c r="BI148" s="75">
        <f>Rentroll!$Y51*Index!BH53</f>
        <v>431.55941674999997</v>
      </c>
      <c r="BJ148" s="75">
        <f>Rentroll!$Y51*Index!BI53</f>
        <v>431.55941674999997</v>
      </c>
      <c r="BK148" s="75">
        <f>Rentroll!$Y51*Index!BJ53</f>
        <v>431.55941674999997</v>
      </c>
      <c r="BL148" s="75">
        <f>Rentroll!$Y51*Index!BK53</f>
        <v>431.55941674999997</v>
      </c>
      <c r="BM148" s="75">
        <f>Rentroll!$Y51*Index!BL53</f>
        <v>431.55941674999997</v>
      </c>
      <c r="BN148" s="75">
        <f>Rentroll!$Y51*Index!BM53</f>
        <v>431.55941674999997</v>
      </c>
      <c r="BO148" s="75">
        <f>Rentroll!$Y51*Index!BN53</f>
        <v>431.55941674999997</v>
      </c>
      <c r="BP148" s="75">
        <f>Rentroll!$Y51*Index!BO53</f>
        <v>431.55941674999997</v>
      </c>
      <c r="BQ148" s="75">
        <f>Rentroll!$Y51*Index!BP53</f>
        <v>431.55941674999997</v>
      </c>
      <c r="BR148" s="75">
        <f>Rentroll!$Y51*Index!BQ53</f>
        <v>431.55941674999997</v>
      </c>
      <c r="BS148" s="75">
        <f>Rentroll!$Y51*Index!BR53</f>
        <v>431.55941674999997</v>
      </c>
      <c r="BT148" s="75">
        <f>Rentroll!$Y51*Index!BS53</f>
        <v>431.55941674999997</v>
      </c>
      <c r="BU148" s="75">
        <f>Rentroll!$Y51*Index!BT53</f>
        <v>431.55941674999997</v>
      </c>
      <c r="BV148" s="75">
        <f>Rentroll!$Y51*Index!BU53</f>
        <v>431.55941674999997</v>
      </c>
      <c r="BW148" s="75">
        <f>Rentroll!$Y51*Index!BV53</f>
        <v>431.55941674999997</v>
      </c>
      <c r="BX148" s="75">
        <f>Rentroll!$Y51*Index!BW53</f>
        <v>431.55941674999997</v>
      </c>
      <c r="BY148" s="75">
        <f>Rentroll!$Y51*Index!BX53</f>
        <v>431.55941674999997</v>
      </c>
      <c r="BZ148" s="75">
        <f>Rentroll!$Y51*Index!BY53</f>
        <v>431.55941674999997</v>
      </c>
      <c r="CA148" s="75">
        <f>Rentroll!$Y51*Index!BZ53</f>
        <v>431.55941674999997</v>
      </c>
      <c r="CB148" s="75">
        <f>Rentroll!$Y51*Index!CA53</f>
        <v>0</v>
      </c>
      <c r="CC148" s="75">
        <f>Rentroll!$Y51*Index!CB53</f>
        <v>0</v>
      </c>
      <c r="CD148" s="75">
        <f>Rentroll!$Y51*Index!CC53</f>
        <v>0</v>
      </c>
      <c r="CE148" s="75">
        <f>Rentroll!$Y51*Index!CD53</f>
        <v>0</v>
      </c>
      <c r="CF148" s="75">
        <f>Rentroll!$Y51*Index!CE53</f>
        <v>0</v>
      </c>
      <c r="CG148" s="75">
        <f>Rentroll!$Y51*Index!CF53</f>
        <v>0</v>
      </c>
      <c r="CH148" s="75">
        <f>Rentroll!$Y51*Index!CG53</f>
        <v>0</v>
      </c>
      <c r="CI148" s="75">
        <f>Rentroll!$Y51*Index!CH53</f>
        <v>0</v>
      </c>
      <c r="CJ148" s="75">
        <f>Rentroll!$Y51*Index!CI53</f>
        <v>0</v>
      </c>
      <c r="CK148" s="75">
        <f>Rentroll!$Y51*Index!CJ53</f>
        <v>0</v>
      </c>
      <c r="CL148" s="75">
        <f>Rentroll!$Y51*Index!CK53</f>
        <v>0</v>
      </c>
      <c r="CM148" s="75">
        <f>Rentroll!$Y51*Index!CL53</f>
        <v>0</v>
      </c>
      <c r="CN148" s="75">
        <f>Rentroll!$Y51*Index!CM53</f>
        <v>0</v>
      </c>
      <c r="CO148" s="75">
        <f>Rentroll!$Y51*Index!CN53</f>
        <v>0</v>
      </c>
      <c r="CP148" s="75">
        <f>Rentroll!$Y51*Index!CO53</f>
        <v>0</v>
      </c>
      <c r="CQ148" s="75">
        <f>Rentroll!$Y51*Index!CP53</f>
        <v>0</v>
      </c>
      <c r="CR148" s="75">
        <f>Rentroll!$Y51*Index!CQ53</f>
        <v>0</v>
      </c>
      <c r="CS148" s="75">
        <f>Rentroll!$Y51*Index!CR53</f>
        <v>0</v>
      </c>
      <c r="CT148" s="75">
        <f>Rentroll!$Y51*Index!CS53</f>
        <v>0</v>
      </c>
      <c r="CU148" s="75">
        <f>Rentroll!$Y51*Index!CT53</f>
        <v>0</v>
      </c>
      <c r="CV148" s="75">
        <f>Rentroll!$Y51*Index!CU53</f>
        <v>0</v>
      </c>
      <c r="CW148" s="75">
        <f>Rentroll!$Y51*Index!CV53</f>
        <v>0</v>
      </c>
      <c r="CX148" s="75">
        <f>Rentroll!$Y51*Index!CW53</f>
        <v>0</v>
      </c>
      <c r="CY148" s="75">
        <f>Rentroll!$Y51*Index!CX53</f>
        <v>0</v>
      </c>
      <c r="CZ148" s="75">
        <f>Rentroll!$Y51*Index!CY53</f>
        <v>0</v>
      </c>
      <c r="DA148" s="75">
        <f>Rentroll!$Y51*Index!CZ53</f>
        <v>0</v>
      </c>
      <c r="DB148" s="75">
        <f>Rentroll!$Y51*Index!DA53</f>
        <v>0</v>
      </c>
      <c r="DC148" s="75">
        <f>Rentroll!$Y51*Index!DB53</f>
        <v>0</v>
      </c>
      <c r="DD148" s="75">
        <f>Rentroll!$Y51*Index!DC53</f>
        <v>0</v>
      </c>
      <c r="DE148" s="75">
        <f>Rentroll!$Y51*Index!DD53</f>
        <v>0</v>
      </c>
      <c r="DF148" s="75">
        <f>Rentroll!$Y51*Index!DE53</f>
        <v>0</v>
      </c>
      <c r="DG148" s="75">
        <f>Rentroll!$Y51*Index!DF53</f>
        <v>0</v>
      </c>
      <c r="DH148" s="75">
        <f>Rentroll!$Y51*Index!DG53</f>
        <v>0</v>
      </c>
      <c r="DI148" s="75">
        <f>Rentroll!$Y51*Index!DH53</f>
        <v>0</v>
      </c>
      <c r="DJ148" s="75">
        <f>Rentroll!$Y51*Index!DI53</f>
        <v>0</v>
      </c>
      <c r="DK148" s="75">
        <f>Rentroll!$Y51*Index!DJ53</f>
        <v>0</v>
      </c>
      <c r="DL148" s="75">
        <f>Rentroll!$Y51*Index!DK53</f>
        <v>0</v>
      </c>
      <c r="DM148" s="75">
        <f>Rentroll!$Y51*Index!DL53</f>
        <v>0</v>
      </c>
    </row>
    <row r="149" spans="2:117">
      <c r="B149" s="27" t="str">
        <f>Rentroll!$C$52</f>
        <v>201호</v>
      </c>
      <c r="C149" s="69" t="str">
        <f>VLOOKUP($B149,Rentroll!$C$37:$Z$60,3,FALSE)</f>
        <v>RMW CARNE</v>
      </c>
      <c r="D149" s="80">
        <f>VLOOKUP($B149,Rentroll!$C$37:$Z$60,9,FALSE)</f>
        <v>45747</v>
      </c>
      <c r="E149" s="80">
        <f>VLOOKUP($B149,Rentroll!$C$37:$Z$60,10,FALSE)</f>
        <v>47573</v>
      </c>
      <c r="F149" s="81">
        <f>VLOOKUP($B149,Rentroll!$C$37:$Z$60,11,FALSE)</f>
        <v>60</v>
      </c>
      <c r="G149" s="69">
        <f>VLOOKUP($B149,Rentroll!$C$37:$Z$60,13,FALSE)</f>
        <v>130000</v>
      </c>
      <c r="H149" s="69">
        <f>VLOOKUP($B149,Rentroll!$C$37:$Z$60,14,FALSE)</f>
        <v>130000</v>
      </c>
      <c r="I149" s="69">
        <f>VLOOKUP($B149,Rentroll!$C$37:$Z$60,15,FALSE)</f>
        <v>45000</v>
      </c>
      <c r="J149" s="82">
        <f>VLOOKUP($B149,Rentroll!$C$37:$Z$60,19,FALSE)</f>
        <v>0.03</v>
      </c>
      <c r="K149" s="83">
        <f>VLOOKUP($B149,Rentroll!$C$37:$Z$60,4,FALSE)</f>
        <v>346.27249999999998</v>
      </c>
      <c r="L149" s="81">
        <f>VLOOKUP($B149,Rentroll!$C$37:$Z$60,17,FALSE)</f>
        <v>2</v>
      </c>
      <c r="M149" s="84">
        <f>VLOOKUP($B149,Rentroll!$C$37:$Z$60,18,FALSE)</f>
        <v>0</v>
      </c>
      <c r="O149" s="74" t="str">
        <f t="shared" si="231"/>
        <v>201호</v>
      </c>
      <c r="P149" s="75"/>
      <c r="Q149" s="75"/>
      <c r="R149" s="75"/>
      <c r="S149" s="75">
        <f>Rentroll!$Y52*Index!R54</f>
        <v>0</v>
      </c>
      <c r="T149" s="75">
        <f>Rentroll!$Y52*Index!S54</f>
        <v>0</v>
      </c>
      <c r="U149" s="75">
        <f>Rentroll!$Y52*Index!T54</f>
        <v>0</v>
      </c>
      <c r="V149" s="75">
        <f>Rentroll!$Y52*Index!U54</f>
        <v>136.17166062499999</v>
      </c>
      <c r="W149" s="75">
        <f>Rentroll!$Y52*Index!V54</f>
        <v>136.17166062499999</v>
      </c>
      <c r="X149" s="75">
        <f>Rentroll!$Y52*Index!W54</f>
        <v>136.17166062499999</v>
      </c>
      <c r="Y149" s="75">
        <f>Rentroll!$Y52*Index!X54</f>
        <v>136.17166062499999</v>
      </c>
      <c r="Z149" s="75">
        <f>Rentroll!$Y52*Index!Y54</f>
        <v>136.17166062499999</v>
      </c>
      <c r="AA149" s="75">
        <f>Rentroll!$Y52*Index!Z54</f>
        <v>136.17166062499999</v>
      </c>
      <c r="AB149" s="75">
        <f>Rentroll!$Y52*Index!AA54</f>
        <v>136.17166062499999</v>
      </c>
      <c r="AC149" s="75">
        <f>Rentroll!$Y52*Index!AB54</f>
        <v>136.17166062499999</v>
      </c>
      <c r="AD149" s="75">
        <f>Rentroll!$Y52*Index!AC54</f>
        <v>136.17166062499999</v>
      </c>
      <c r="AE149" s="75">
        <f>Rentroll!$Y52*Index!AD54</f>
        <v>136.17166062499999</v>
      </c>
      <c r="AF149" s="75">
        <f>Rentroll!$Y52*Index!AE54</f>
        <v>136.17166062499999</v>
      </c>
      <c r="AG149" s="75">
        <f>Rentroll!$Y52*Index!AF54</f>
        <v>136.17166062499999</v>
      </c>
      <c r="AH149" s="75">
        <f>Rentroll!$Y52*Index!AG54</f>
        <v>136.17166062499999</v>
      </c>
      <c r="AI149" s="75">
        <f>Rentroll!$Y52*Index!AH54</f>
        <v>136.17166062499999</v>
      </c>
      <c r="AJ149" s="75">
        <f>Rentroll!$Y52*Index!AI54</f>
        <v>136.17166062499999</v>
      </c>
      <c r="AK149" s="75">
        <f>Rentroll!$Y52*Index!AJ54</f>
        <v>136.17166062499999</v>
      </c>
      <c r="AL149" s="75">
        <f>Rentroll!$Y52*Index!AK54</f>
        <v>136.17166062499999</v>
      </c>
      <c r="AM149" s="75">
        <f>Rentroll!$Y52*Index!AL54</f>
        <v>136.17166062499999</v>
      </c>
      <c r="AN149" s="75">
        <f>Rentroll!$Y52*Index!AM54</f>
        <v>136.17166062499999</v>
      </c>
      <c r="AO149" s="75">
        <f>Rentroll!$Y52*Index!AN54</f>
        <v>136.17166062499999</v>
      </c>
      <c r="AP149" s="75">
        <f>Rentroll!$Y52*Index!AO54</f>
        <v>136.17166062499999</v>
      </c>
      <c r="AQ149" s="75">
        <f>Rentroll!$Y52*Index!AP54</f>
        <v>136.17166062499999</v>
      </c>
      <c r="AR149" s="75">
        <f>Rentroll!$Y52*Index!AQ54</f>
        <v>136.17166062499999</v>
      </c>
      <c r="AS149" s="75">
        <f>Rentroll!$Y52*Index!AR54</f>
        <v>136.17166062499999</v>
      </c>
      <c r="AT149" s="75">
        <f>Rentroll!$Y52*Index!AS54</f>
        <v>136.17166062499999</v>
      </c>
      <c r="AU149" s="75">
        <f>Rentroll!$Y52*Index!AT54</f>
        <v>136.17166062499999</v>
      </c>
      <c r="AV149" s="75">
        <f>Rentroll!$Y52*Index!AU54</f>
        <v>136.17166062499999</v>
      </c>
      <c r="AW149" s="75">
        <f>Rentroll!$Y52*Index!AV54</f>
        <v>136.17166062499999</v>
      </c>
      <c r="AX149" s="75">
        <f>Rentroll!$Y52*Index!AW54</f>
        <v>136.17166062499999</v>
      </c>
      <c r="AY149" s="75">
        <f>Rentroll!$Y52*Index!AX54</f>
        <v>136.17166062499999</v>
      </c>
      <c r="AZ149" s="75">
        <f>Rentroll!$Y52*Index!AY54</f>
        <v>136.17166062499999</v>
      </c>
      <c r="BA149" s="75">
        <f>Rentroll!$Y52*Index!AZ54</f>
        <v>136.17166062499999</v>
      </c>
      <c r="BB149" s="75">
        <f>Rentroll!$Y52*Index!BA54</f>
        <v>136.17166062499999</v>
      </c>
      <c r="BC149" s="75">
        <f>Rentroll!$Y52*Index!BB54</f>
        <v>136.17166062499999</v>
      </c>
      <c r="BD149" s="75">
        <f>Rentroll!$Y52*Index!BC54</f>
        <v>136.17166062499999</v>
      </c>
      <c r="BE149" s="75">
        <f>Rentroll!$Y52*Index!BD54</f>
        <v>136.17166062499999</v>
      </c>
      <c r="BF149" s="75">
        <f>Rentroll!$Y52*Index!BE54</f>
        <v>136.17166062499999</v>
      </c>
      <c r="BG149" s="75">
        <f>Rentroll!$Y52*Index!BF54</f>
        <v>136.17166062499999</v>
      </c>
      <c r="BH149" s="75">
        <f>Rentroll!$Y52*Index!BG54</f>
        <v>136.17166062499999</v>
      </c>
      <c r="BI149" s="75">
        <f>Rentroll!$Y52*Index!BH54</f>
        <v>136.17166062499999</v>
      </c>
      <c r="BJ149" s="75">
        <f>Rentroll!$Y52*Index!BI54</f>
        <v>136.17166062499999</v>
      </c>
      <c r="BK149" s="75">
        <f>Rentroll!$Y52*Index!BJ54</f>
        <v>136.17166062499999</v>
      </c>
      <c r="BL149" s="75">
        <f>Rentroll!$Y52*Index!BK54</f>
        <v>136.17166062499999</v>
      </c>
      <c r="BM149" s="75">
        <f>Rentroll!$Y52*Index!BL54</f>
        <v>136.17166062499999</v>
      </c>
      <c r="BN149" s="75">
        <f>Rentroll!$Y52*Index!BM54</f>
        <v>136.17166062499999</v>
      </c>
      <c r="BO149" s="75">
        <f>Rentroll!$Y52*Index!BN54</f>
        <v>136.17166062499999</v>
      </c>
      <c r="BP149" s="75">
        <f>Rentroll!$Y52*Index!BO54</f>
        <v>136.17166062499999</v>
      </c>
      <c r="BQ149" s="75">
        <f>Rentroll!$Y52*Index!BP54</f>
        <v>136.17166062499999</v>
      </c>
      <c r="BR149" s="75">
        <f>Rentroll!$Y52*Index!BQ54</f>
        <v>136.17166062499999</v>
      </c>
      <c r="BS149" s="75">
        <f>Rentroll!$Y52*Index!BR54</f>
        <v>136.17166062499999</v>
      </c>
      <c r="BT149" s="75">
        <f>Rentroll!$Y52*Index!BS54</f>
        <v>136.17166062499999</v>
      </c>
      <c r="BU149" s="75">
        <f>Rentroll!$Y52*Index!BT54</f>
        <v>136.17166062499999</v>
      </c>
      <c r="BV149" s="75">
        <f>Rentroll!$Y52*Index!BU54</f>
        <v>136.17166062499999</v>
      </c>
      <c r="BW149" s="75">
        <f>Rentroll!$Y52*Index!BV54</f>
        <v>136.17166062499999</v>
      </c>
      <c r="BX149" s="75">
        <f>Rentroll!$Y52*Index!BW54</f>
        <v>136.17166062499999</v>
      </c>
      <c r="BY149" s="75">
        <f>Rentroll!$Y52*Index!BX54</f>
        <v>136.17166062499999</v>
      </c>
      <c r="BZ149" s="75">
        <f>Rentroll!$Y52*Index!BY54</f>
        <v>136.17166062499999</v>
      </c>
      <c r="CA149" s="75">
        <f>Rentroll!$Y52*Index!BZ54</f>
        <v>136.17166062499999</v>
      </c>
      <c r="CB149" s="75">
        <f>Rentroll!$Y52*Index!CA54</f>
        <v>0</v>
      </c>
      <c r="CC149" s="75">
        <f>Rentroll!$Y52*Index!CB54</f>
        <v>0</v>
      </c>
      <c r="CD149" s="75">
        <f>Rentroll!$Y52*Index!CC54</f>
        <v>0</v>
      </c>
      <c r="CE149" s="75">
        <f>Rentroll!$Y52*Index!CD54</f>
        <v>0</v>
      </c>
      <c r="CF149" s="75">
        <f>Rentroll!$Y52*Index!CE54</f>
        <v>0</v>
      </c>
      <c r="CG149" s="75">
        <f>Rentroll!$Y52*Index!CF54</f>
        <v>0</v>
      </c>
      <c r="CH149" s="75">
        <f>Rentroll!$Y52*Index!CG54</f>
        <v>0</v>
      </c>
      <c r="CI149" s="75">
        <f>Rentroll!$Y52*Index!CH54</f>
        <v>0</v>
      </c>
      <c r="CJ149" s="75">
        <f>Rentroll!$Y52*Index!CI54</f>
        <v>0</v>
      </c>
      <c r="CK149" s="75">
        <f>Rentroll!$Y52*Index!CJ54</f>
        <v>0</v>
      </c>
      <c r="CL149" s="75">
        <f>Rentroll!$Y52*Index!CK54</f>
        <v>0</v>
      </c>
      <c r="CM149" s="75">
        <f>Rentroll!$Y52*Index!CL54</f>
        <v>0</v>
      </c>
      <c r="CN149" s="75">
        <f>Rentroll!$Y52*Index!CM54</f>
        <v>0</v>
      </c>
      <c r="CO149" s="75">
        <f>Rentroll!$Y52*Index!CN54</f>
        <v>0</v>
      </c>
      <c r="CP149" s="75">
        <f>Rentroll!$Y52*Index!CO54</f>
        <v>0</v>
      </c>
      <c r="CQ149" s="75">
        <f>Rentroll!$Y52*Index!CP54</f>
        <v>0</v>
      </c>
      <c r="CR149" s="75">
        <f>Rentroll!$Y52*Index!CQ54</f>
        <v>0</v>
      </c>
      <c r="CS149" s="75">
        <f>Rentroll!$Y52*Index!CR54</f>
        <v>0</v>
      </c>
      <c r="CT149" s="75">
        <f>Rentroll!$Y52*Index!CS54</f>
        <v>0</v>
      </c>
      <c r="CU149" s="75">
        <f>Rentroll!$Y52*Index!CT54</f>
        <v>0</v>
      </c>
      <c r="CV149" s="75">
        <f>Rentroll!$Y52*Index!CU54</f>
        <v>0</v>
      </c>
      <c r="CW149" s="75">
        <f>Rentroll!$Y52*Index!CV54</f>
        <v>0</v>
      </c>
      <c r="CX149" s="75">
        <f>Rentroll!$Y52*Index!CW54</f>
        <v>0</v>
      </c>
      <c r="CY149" s="75">
        <f>Rentroll!$Y52*Index!CX54</f>
        <v>0</v>
      </c>
      <c r="CZ149" s="75">
        <f>Rentroll!$Y52*Index!CY54</f>
        <v>0</v>
      </c>
      <c r="DA149" s="75">
        <f>Rentroll!$Y52*Index!CZ54</f>
        <v>0</v>
      </c>
      <c r="DB149" s="75">
        <f>Rentroll!$Y52*Index!DA54</f>
        <v>0</v>
      </c>
      <c r="DC149" s="75">
        <f>Rentroll!$Y52*Index!DB54</f>
        <v>0</v>
      </c>
      <c r="DD149" s="75">
        <f>Rentroll!$Y52*Index!DC54</f>
        <v>0</v>
      </c>
      <c r="DE149" s="75">
        <f>Rentroll!$Y52*Index!DD54</f>
        <v>0</v>
      </c>
      <c r="DF149" s="75">
        <f>Rentroll!$Y52*Index!DE54</f>
        <v>0</v>
      </c>
      <c r="DG149" s="75">
        <f>Rentroll!$Y52*Index!DF54</f>
        <v>0</v>
      </c>
      <c r="DH149" s="75">
        <f>Rentroll!$Y52*Index!DG54</f>
        <v>0</v>
      </c>
      <c r="DI149" s="75">
        <f>Rentroll!$Y52*Index!DH54</f>
        <v>0</v>
      </c>
      <c r="DJ149" s="75">
        <f>Rentroll!$Y52*Index!DI54</f>
        <v>0</v>
      </c>
      <c r="DK149" s="75">
        <f>Rentroll!$Y52*Index!DJ54</f>
        <v>0</v>
      </c>
      <c r="DL149" s="75">
        <f>Rentroll!$Y52*Index!DK54</f>
        <v>0</v>
      </c>
      <c r="DM149" s="75">
        <f>Rentroll!$Y52*Index!DL54</f>
        <v>0</v>
      </c>
    </row>
    <row r="150" spans="2:117">
      <c r="B150" s="27" t="str">
        <f>Rentroll!$C$53</f>
        <v>202호</v>
      </c>
      <c r="C150" s="69" t="str">
        <f>VLOOKUP($B150,Rentroll!$C$37:$Z$60,3,FALSE)</f>
        <v>키이로</v>
      </c>
      <c r="D150" s="80">
        <f>VLOOKUP($B150,Rentroll!$C$37:$Z$60,9,FALSE)</f>
        <v>45747</v>
      </c>
      <c r="E150" s="80">
        <f>VLOOKUP($B150,Rentroll!$C$37:$Z$60,10,FALSE)</f>
        <v>47573</v>
      </c>
      <c r="F150" s="81">
        <f>VLOOKUP($B150,Rentroll!$C$37:$Z$60,11,FALSE)</f>
        <v>60</v>
      </c>
      <c r="G150" s="69">
        <f>VLOOKUP($B150,Rentroll!$C$37:$Z$60,13,FALSE)</f>
        <v>130000</v>
      </c>
      <c r="H150" s="69">
        <f>VLOOKUP($B150,Rentroll!$C$37:$Z$60,14,FALSE)</f>
        <v>130000</v>
      </c>
      <c r="I150" s="69">
        <f>VLOOKUP($B150,Rentroll!$C$37:$Z$60,15,FALSE)</f>
        <v>45000</v>
      </c>
      <c r="J150" s="82">
        <f>VLOOKUP($B150,Rentroll!$C$37:$Z$60,19,FALSE)</f>
        <v>0.03</v>
      </c>
      <c r="K150" s="83">
        <f>VLOOKUP($B150,Rentroll!$C$37:$Z$60,4,FALSE)</f>
        <v>346.27249999999998</v>
      </c>
      <c r="L150" s="81">
        <f>VLOOKUP($B150,Rentroll!$C$37:$Z$60,17,FALSE)</f>
        <v>2</v>
      </c>
      <c r="M150" s="84">
        <f>VLOOKUP($B150,Rentroll!$C$37:$Z$60,18,FALSE)</f>
        <v>0</v>
      </c>
      <c r="O150" s="74" t="str">
        <f t="shared" si="231"/>
        <v>202호</v>
      </c>
      <c r="P150" s="75"/>
      <c r="Q150" s="75"/>
      <c r="R150" s="75"/>
      <c r="S150" s="75">
        <f>Rentroll!$Y53*Index!R55</f>
        <v>0</v>
      </c>
      <c r="T150" s="75">
        <f>Rentroll!$Y53*Index!S55</f>
        <v>0</v>
      </c>
      <c r="U150" s="75">
        <f>Rentroll!$Y53*Index!T55</f>
        <v>0</v>
      </c>
      <c r="V150" s="75">
        <f>Rentroll!$Y53*Index!U55</f>
        <v>136.17166062499999</v>
      </c>
      <c r="W150" s="75">
        <f>Rentroll!$Y53*Index!V55</f>
        <v>136.17166062499999</v>
      </c>
      <c r="X150" s="75">
        <f>Rentroll!$Y53*Index!W55</f>
        <v>136.17166062499999</v>
      </c>
      <c r="Y150" s="75">
        <f>Rentroll!$Y53*Index!X55</f>
        <v>136.17166062499999</v>
      </c>
      <c r="Z150" s="75">
        <f>Rentroll!$Y53*Index!Y55</f>
        <v>136.17166062499999</v>
      </c>
      <c r="AA150" s="75">
        <f>Rentroll!$Y53*Index!Z55</f>
        <v>136.17166062499999</v>
      </c>
      <c r="AB150" s="75">
        <f>Rentroll!$Y53*Index!AA55</f>
        <v>136.17166062499999</v>
      </c>
      <c r="AC150" s="75">
        <f>Rentroll!$Y53*Index!AB55</f>
        <v>136.17166062499999</v>
      </c>
      <c r="AD150" s="75">
        <f>Rentroll!$Y53*Index!AC55</f>
        <v>136.17166062499999</v>
      </c>
      <c r="AE150" s="75">
        <f>Rentroll!$Y53*Index!AD55</f>
        <v>136.17166062499999</v>
      </c>
      <c r="AF150" s="75">
        <f>Rentroll!$Y53*Index!AE55</f>
        <v>136.17166062499999</v>
      </c>
      <c r="AG150" s="75">
        <f>Rentroll!$Y53*Index!AF55</f>
        <v>136.17166062499999</v>
      </c>
      <c r="AH150" s="75">
        <f>Rentroll!$Y53*Index!AG55</f>
        <v>136.17166062499999</v>
      </c>
      <c r="AI150" s="75">
        <f>Rentroll!$Y53*Index!AH55</f>
        <v>136.17166062499999</v>
      </c>
      <c r="AJ150" s="75">
        <f>Rentroll!$Y53*Index!AI55</f>
        <v>136.17166062499999</v>
      </c>
      <c r="AK150" s="75">
        <f>Rentroll!$Y53*Index!AJ55</f>
        <v>136.17166062499999</v>
      </c>
      <c r="AL150" s="75">
        <f>Rentroll!$Y53*Index!AK55</f>
        <v>136.17166062499999</v>
      </c>
      <c r="AM150" s="75">
        <f>Rentroll!$Y53*Index!AL55</f>
        <v>136.17166062499999</v>
      </c>
      <c r="AN150" s="75">
        <f>Rentroll!$Y53*Index!AM55</f>
        <v>136.17166062499999</v>
      </c>
      <c r="AO150" s="75">
        <f>Rentroll!$Y53*Index!AN55</f>
        <v>136.17166062499999</v>
      </c>
      <c r="AP150" s="75">
        <f>Rentroll!$Y53*Index!AO55</f>
        <v>136.17166062499999</v>
      </c>
      <c r="AQ150" s="75">
        <f>Rentroll!$Y53*Index!AP55</f>
        <v>136.17166062499999</v>
      </c>
      <c r="AR150" s="75">
        <f>Rentroll!$Y53*Index!AQ55</f>
        <v>136.17166062499999</v>
      </c>
      <c r="AS150" s="75">
        <f>Rentroll!$Y53*Index!AR55</f>
        <v>136.17166062499999</v>
      </c>
      <c r="AT150" s="75">
        <f>Rentroll!$Y53*Index!AS55</f>
        <v>136.17166062499999</v>
      </c>
      <c r="AU150" s="75">
        <f>Rentroll!$Y53*Index!AT55</f>
        <v>136.17166062499999</v>
      </c>
      <c r="AV150" s="75">
        <f>Rentroll!$Y53*Index!AU55</f>
        <v>136.17166062499999</v>
      </c>
      <c r="AW150" s="75">
        <f>Rentroll!$Y53*Index!AV55</f>
        <v>136.17166062499999</v>
      </c>
      <c r="AX150" s="75">
        <f>Rentroll!$Y53*Index!AW55</f>
        <v>136.17166062499999</v>
      </c>
      <c r="AY150" s="75">
        <f>Rentroll!$Y53*Index!AX55</f>
        <v>136.17166062499999</v>
      </c>
      <c r="AZ150" s="75">
        <f>Rentroll!$Y53*Index!AY55</f>
        <v>136.17166062499999</v>
      </c>
      <c r="BA150" s="75">
        <f>Rentroll!$Y53*Index!AZ55</f>
        <v>136.17166062499999</v>
      </c>
      <c r="BB150" s="75">
        <f>Rentroll!$Y53*Index!BA55</f>
        <v>136.17166062499999</v>
      </c>
      <c r="BC150" s="75">
        <f>Rentroll!$Y53*Index!BB55</f>
        <v>136.17166062499999</v>
      </c>
      <c r="BD150" s="75">
        <f>Rentroll!$Y53*Index!BC55</f>
        <v>136.17166062499999</v>
      </c>
      <c r="BE150" s="75">
        <f>Rentroll!$Y53*Index!BD55</f>
        <v>136.17166062499999</v>
      </c>
      <c r="BF150" s="75">
        <f>Rentroll!$Y53*Index!BE55</f>
        <v>136.17166062499999</v>
      </c>
      <c r="BG150" s="75">
        <f>Rentroll!$Y53*Index!BF55</f>
        <v>136.17166062499999</v>
      </c>
      <c r="BH150" s="75">
        <f>Rentroll!$Y53*Index!BG55</f>
        <v>136.17166062499999</v>
      </c>
      <c r="BI150" s="75">
        <f>Rentroll!$Y53*Index!BH55</f>
        <v>136.17166062499999</v>
      </c>
      <c r="BJ150" s="75">
        <f>Rentroll!$Y53*Index!BI55</f>
        <v>136.17166062499999</v>
      </c>
      <c r="BK150" s="75">
        <f>Rentroll!$Y53*Index!BJ55</f>
        <v>136.17166062499999</v>
      </c>
      <c r="BL150" s="75">
        <f>Rentroll!$Y53*Index!BK55</f>
        <v>136.17166062499999</v>
      </c>
      <c r="BM150" s="75">
        <f>Rentroll!$Y53*Index!BL55</f>
        <v>136.17166062499999</v>
      </c>
      <c r="BN150" s="75">
        <f>Rentroll!$Y53*Index!BM55</f>
        <v>136.17166062499999</v>
      </c>
      <c r="BO150" s="75">
        <f>Rentroll!$Y53*Index!BN55</f>
        <v>136.17166062499999</v>
      </c>
      <c r="BP150" s="75">
        <f>Rentroll!$Y53*Index!BO55</f>
        <v>136.17166062499999</v>
      </c>
      <c r="BQ150" s="75">
        <f>Rentroll!$Y53*Index!BP55</f>
        <v>136.17166062499999</v>
      </c>
      <c r="BR150" s="75">
        <f>Rentroll!$Y53*Index!BQ55</f>
        <v>136.17166062499999</v>
      </c>
      <c r="BS150" s="75">
        <f>Rentroll!$Y53*Index!BR55</f>
        <v>136.17166062499999</v>
      </c>
      <c r="BT150" s="75">
        <f>Rentroll!$Y53*Index!BS55</f>
        <v>136.17166062499999</v>
      </c>
      <c r="BU150" s="75">
        <f>Rentroll!$Y53*Index!BT55</f>
        <v>136.17166062499999</v>
      </c>
      <c r="BV150" s="75">
        <f>Rentroll!$Y53*Index!BU55</f>
        <v>136.17166062499999</v>
      </c>
      <c r="BW150" s="75">
        <f>Rentroll!$Y53*Index!BV55</f>
        <v>136.17166062499999</v>
      </c>
      <c r="BX150" s="75">
        <f>Rentroll!$Y53*Index!BW55</f>
        <v>136.17166062499999</v>
      </c>
      <c r="BY150" s="75">
        <f>Rentroll!$Y53*Index!BX55</f>
        <v>136.17166062499999</v>
      </c>
      <c r="BZ150" s="75">
        <f>Rentroll!$Y53*Index!BY55</f>
        <v>136.17166062499999</v>
      </c>
      <c r="CA150" s="75">
        <f>Rentroll!$Y53*Index!BZ55</f>
        <v>136.17166062499999</v>
      </c>
      <c r="CB150" s="75">
        <f>Rentroll!$Y53*Index!CA55</f>
        <v>0</v>
      </c>
      <c r="CC150" s="75">
        <f>Rentroll!$Y53*Index!CB55</f>
        <v>0</v>
      </c>
      <c r="CD150" s="75">
        <f>Rentroll!$Y53*Index!CC55</f>
        <v>0</v>
      </c>
      <c r="CE150" s="75">
        <f>Rentroll!$Y53*Index!CD55</f>
        <v>0</v>
      </c>
      <c r="CF150" s="75">
        <f>Rentroll!$Y53*Index!CE55</f>
        <v>0</v>
      </c>
      <c r="CG150" s="75">
        <f>Rentroll!$Y53*Index!CF55</f>
        <v>0</v>
      </c>
      <c r="CH150" s="75">
        <f>Rentroll!$Y53*Index!CG55</f>
        <v>0</v>
      </c>
      <c r="CI150" s="75">
        <f>Rentroll!$Y53*Index!CH55</f>
        <v>0</v>
      </c>
      <c r="CJ150" s="75">
        <f>Rentroll!$Y53*Index!CI55</f>
        <v>0</v>
      </c>
      <c r="CK150" s="75">
        <f>Rentroll!$Y53*Index!CJ55</f>
        <v>0</v>
      </c>
      <c r="CL150" s="75">
        <f>Rentroll!$Y53*Index!CK55</f>
        <v>0</v>
      </c>
      <c r="CM150" s="75">
        <f>Rentroll!$Y53*Index!CL55</f>
        <v>0</v>
      </c>
      <c r="CN150" s="75">
        <f>Rentroll!$Y53*Index!CM55</f>
        <v>0</v>
      </c>
      <c r="CO150" s="75">
        <f>Rentroll!$Y53*Index!CN55</f>
        <v>0</v>
      </c>
      <c r="CP150" s="75">
        <f>Rentroll!$Y53*Index!CO55</f>
        <v>0</v>
      </c>
      <c r="CQ150" s="75">
        <f>Rentroll!$Y53*Index!CP55</f>
        <v>0</v>
      </c>
      <c r="CR150" s="75">
        <f>Rentroll!$Y53*Index!CQ55</f>
        <v>0</v>
      </c>
      <c r="CS150" s="75">
        <f>Rentroll!$Y53*Index!CR55</f>
        <v>0</v>
      </c>
      <c r="CT150" s="75">
        <f>Rentroll!$Y53*Index!CS55</f>
        <v>0</v>
      </c>
      <c r="CU150" s="75">
        <f>Rentroll!$Y53*Index!CT55</f>
        <v>0</v>
      </c>
      <c r="CV150" s="75">
        <f>Rentroll!$Y53*Index!CU55</f>
        <v>0</v>
      </c>
      <c r="CW150" s="75">
        <f>Rentroll!$Y53*Index!CV55</f>
        <v>0</v>
      </c>
      <c r="CX150" s="75">
        <f>Rentroll!$Y53*Index!CW55</f>
        <v>0</v>
      </c>
      <c r="CY150" s="75">
        <f>Rentroll!$Y53*Index!CX55</f>
        <v>0</v>
      </c>
      <c r="CZ150" s="75">
        <f>Rentroll!$Y53*Index!CY55</f>
        <v>0</v>
      </c>
      <c r="DA150" s="75">
        <f>Rentroll!$Y53*Index!CZ55</f>
        <v>0</v>
      </c>
      <c r="DB150" s="75">
        <f>Rentroll!$Y53*Index!DA55</f>
        <v>0</v>
      </c>
      <c r="DC150" s="75">
        <f>Rentroll!$Y53*Index!DB55</f>
        <v>0</v>
      </c>
      <c r="DD150" s="75">
        <f>Rentroll!$Y53*Index!DC55</f>
        <v>0</v>
      </c>
      <c r="DE150" s="75">
        <f>Rentroll!$Y53*Index!DD55</f>
        <v>0</v>
      </c>
      <c r="DF150" s="75">
        <f>Rentroll!$Y53*Index!DE55</f>
        <v>0</v>
      </c>
      <c r="DG150" s="75">
        <f>Rentroll!$Y53*Index!DF55</f>
        <v>0</v>
      </c>
      <c r="DH150" s="75">
        <f>Rentroll!$Y53*Index!DG55</f>
        <v>0</v>
      </c>
      <c r="DI150" s="75">
        <f>Rentroll!$Y53*Index!DH55</f>
        <v>0</v>
      </c>
      <c r="DJ150" s="75">
        <f>Rentroll!$Y53*Index!DI55</f>
        <v>0</v>
      </c>
      <c r="DK150" s="75">
        <f>Rentroll!$Y53*Index!DJ55</f>
        <v>0</v>
      </c>
      <c r="DL150" s="75">
        <f>Rentroll!$Y53*Index!DK55</f>
        <v>0</v>
      </c>
      <c r="DM150" s="75">
        <f>Rentroll!$Y53*Index!DL55</f>
        <v>0</v>
      </c>
    </row>
    <row r="151" spans="2:117">
      <c r="B151" s="27" t="str">
        <f>Rentroll!$C$54</f>
        <v>203호</v>
      </c>
      <c r="C151" s="69" t="str">
        <f>VLOOKUP($B151,Rentroll!$C$37:$Z$60,3,FALSE)</f>
        <v>주 052</v>
      </c>
      <c r="D151" s="80">
        <f>VLOOKUP($B151,Rentroll!$C$37:$Z$60,9,FALSE)</f>
        <v>45747</v>
      </c>
      <c r="E151" s="80">
        <f>VLOOKUP($B151,Rentroll!$C$37:$Z$60,10,FALSE)</f>
        <v>47573</v>
      </c>
      <c r="F151" s="81">
        <f>VLOOKUP($B151,Rentroll!$C$37:$Z$60,11,FALSE)</f>
        <v>60</v>
      </c>
      <c r="G151" s="69">
        <f>VLOOKUP($B151,Rentroll!$C$37:$Z$60,13,FALSE)</f>
        <v>130000</v>
      </c>
      <c r="H151" s="69">
        <f>VLOOKUP($B151,Rentroll!$C$37:$Z$60,14,FALSE)</f>
        <v>130000</v>
      </c>
      <c r="I151" s="69">
        <f>VLOOKUP($B151,Rentroll!$C$37:$Z$60,15,FALSE)</f>
        <v>45000</v>
      </c>
      <c r="J151" s="82">
        <f>VLOOKUP($B151,Rentroll!$C$37:$Z$60,19,FALSE)</f>
        <v>0.03</v>
      </c>
      <c r="K151" s="83">
        <f>VLOOKUP($B151,Rentroll!$C$37:$Z$60,4,FALSE)</f>
        <v>346.27249999999998</v>
      </c>
      <c r="L151" s="81">
        <f>VLOOKUP($B151,Rentroll!$C$37:$Z$60,17,FALSE)</f>
        <v>2</v>
      </c>
      <c r="M151" s="84">
        <f>VLOOKUP($B151,Rentroll!$C$37:$Z$60,18,FALSE)</f>
        <v>0</v>
      </c>
      <c r="O151" s="74" t="str">
        <f t="shared" si="231"/>
        <v>203호</v>
      </c>
      <c r="P151" s="75"/>
      <c r="Q151" s="75"/>
      <c r="R151" s="75"/>
      <c r="S151" s="75">
        <f>Rentroll!$Y54*Index!R56</f>
        <v>0</v>
      </c>
      <c r="T151" s="75">
        <f>Rentroll!$Y54*Index!S56</f>
        <v>0</v>
      </c>
      <c r="U151" s="75">
        <f>Rentroll!$Y54*Index!T56</f>
        <v>0</v>
      </c>
      <c r="V151" s="75">
        <f>Rentroll!$Y54*Index!U56</f>
        <v>136.17166062499999</v>
      </c>
      <c r="W151" s="75">
        <f>Rentroll!$Y54*Index!V56</f>
        <v>136.17166062499999</v>
      </c>
      <c r="X151" s="75">
        <f>Rentroll!$Y54*Index!W56</f>
        <v>136.17166062499999</v>
      </c>
      <c r="Y151" s="75">
        <f>Rentroll!$Y54*Index!X56</f>
        <v>136.17166062499999</v>
      </c>
      <c r="Z151" s="75">
        <f>Rentroll!$Y54*Index!Y56</f>
        <v>136.17166062499999</v>
      </c>
      <c r="AA151" s="75">
        <f>Rentroll!$Y54*Index!Z56</f>
        <v>136.17166062499999</v>
      </c>
      <c r="AB151" s="75">
        <f>Rentroll!$Y54*Index!AA56</f>
        <v>136.17166062499999</v>
      </c>
      <c r="AC151" s="75">
        <f>Rentroll!$Y54*Index!AB56</f>
        <v>136.17166062499999</v>
      </c>
      <c r="AD151" s="75">
        <f>Rentroll!$Y54*Index!AC56</f>
        <v>136.17166062499999</v>
      </c>
      <c r="AE151" s="75">
        <f>Rentroll!$Y54*Index!AD56</f>
        <v>136.17166062499999</v>
      </c>
      <c r="AF151" s="75">
        <f>Rentroll!$Y54*Index!AE56</f>
        <v>136.17166062499999</v>
      </c>
      <c r="AG151" s="75">
        <f>Rentroll!$Y54*Index!AF56</f>
        <v>136.17166062499999</v>
      </c>
      <c r="AH151" s="75">
        <f>Rentroll!$Y54*Index!AG56</f>
        <v>136.17166062499999</v>
      </c>
      <c r="AI151" s="75">
        <f>Rentroll!$Y54*Index!AH56</f>
        <v>136.17166062499999</v>
      </c>
      <c r="AJ151" s="75">
        <f>Rentroll!$Y54*Index!AI56</f>
        <v>136.17166062499999</v>
      </c>
      <c r="AK151" s="75">
        <f>Rentroll!$Y54*Index!AJ56</f>
        <v>136.17166062499999</v>
      </c>
      <c r="AL151" s="75">
        <f>Rentroll!$Y54*Index!AK56</f>
        <v>136.17166062499999</v>
      </c>
      <c r="AM151" s="75">
        <f>Rentroll!$Y54*Index!AL56</f>
        <v>136.17166062499999</v>
      </c>
      <c r="AN151" s="75">
        <f>Rentroll!$Y54*Index!AM56</f>
        <v>136.17166062499999</v>
      </c>
      <c r="AO151" s="75">
        <f>Rentroll!$Y54*Index!AN56</f>
        <v>136.17166062499999</v>
      </c>
      <c r="AP151" s="75">
        <f>Rentroll!$Y54*Index!AO56</f>
        <v>136.17166062499999</v>
      </c>
      <c r="AQ151" s="75">
        <f>Rentroll!$Y54*Index!AP56</f>
        <v>136.17166062499999</v>
      </c>
      <c r="AR151" s="75">
        <f>Rentroll!$Y54*Index!AQ56</f>
        <v>136.17166062499999</v>
      </c>
      <c r="AS151" s="75">
        <f>Rentroll!$Y54*Index!AR56</f>
        <v>136.17166062499999</v>
      </c>
      <c r="AT151" s="75">
        <f>Rentroll!$Y54*Index!AS56</f>
        <v>136.17166062499999</v>
      </c>
      <c r="AU151" s="75">
        <f>Rentroll!$Y54*Index!AT56</f>
        <v>136.17166062499999</v>
      </c>
      <c r="AV151" s="75">
        <f>Rentroll!$Y54*Index!AU56</f>
        <v>136.17166062499999</v>
      </c>
      <c r="AW151" s="75">
        <f>Rentroll!$Y54*Index!AV56</f>
        <v>136.17166062499999</v>
      </c>
      <c r="AX151" s="75">
        <f>Rentroll!$Y54*Index!AW56</f>
        <v>136.17166062499999</v>
      </c>
      <c r="AY151" s="75">
        <f>Rentroll!$Y54*Index!AX56</f>
        <v>136.17166062499999</v>
      </c>
      <c r="AZ151" s="75">
        <f>Rentroll!$Y54*Index!AY56</f>
        <v>136.17166062499999</v>
      </c>
      <c r="BA151" s="75">
        <f>Rentroll!$Y54*Index!AZ56</f>
        <v>136.17166062499999</v>
      </c>
      <c r="BB151" s="75">
        <f>Rentroll!$Y54*Index!BA56</f>
        <v>136.17166062499999</v>
      </c>
      <c r="BC151" s="75">
        <f>Rentroll!$Y54*Index!BB56</f>
        <v>136.17166062499999</v>
      </c>
      <c r="BD151" s="75">
        <f>Rentroll!$Y54*Index!BC56</f>
        <v>136.17166062499999</v>
      </c>
      <c r="BE151" s="75">
        <f>Rentroll!$Y54*Index!BD56</f>
        <v>136.17166062499999</v>
      </c>
      <c r="BF151" s="75">
        <f>Rentroll!$Y54*Index!BE56</f>
        <v>136.17166062499999</v>
      </c>
      <c r="BG151" s="75">
        <f>Rentroll!$Y54*Index!BF56</f>
        <v>136.17166062499999</v>
      </c>
      <c r="BH151" s="75">
        <f>Rentroll!$Y54*Index!BG56</f>
        <v>136.17166062499999</v>
      </c>
      <c r="BI151" s="75">
        <f>Rentroll!$Y54*Index!BH56</f>
        <v>136.17166062499999</v>
      </c>
      <c r="BJ151" s="75">
        <f>Rentroll!$Y54*Index!BI56</f>
        <v>136.17166062499999</v>
      </c>
      <c r="BK151" s="75">
        <f>Rentroll!$Y54*Index!BJ56</f>
        <v>136.17166062499999</v>
      </c>
      <c r="BL151" s="75">
        <f>Rentroll!$Y54*Index!BK56</f>
        <v>136.17166062499999</v>
      </c>
      <c r="BM151" s="75">
        <f>Rentroll!$Y54*Index!BL56</f>
        <v>136.17166062499999</v>
      </c>
      <c r="BN151" s="75">
        <f>Rentroll!$Y54*Index!BM56</f>
        <v>136.17166062499999</v>
      </c>
      <c r="BO151" s="75">
        <f>Rentroll!$Y54*Index!BN56</f>
        <v>136.17166062499999</v>
      </c>
      <c r="BP151" s="75">
        <f>Rentroll!$Y54*Index!BO56</f>
        <v>136.17166062499999</v>
      </c>
      <c r="BQ151" s="75">
        <f>Rentroll!$Y54*Index!BP56</f>
        <v>136.17166062499999</v>
      </c>
      <c r="BR151" s="75">
        <f>Rentroll!$Y54*Index!BQ56</f>
        <v>136.17166062499999</v>
      </c>
      <c r="BS151" s="75">
        <f>Rentroll!$Y54*Index!BR56</f>
        <v>136.17166062499999</v>
      </c>
      <c r="BT151" s="75">
        <f>Rentroll!$Y54*Index!BS56</f>
        <v>136.17166062499999</v>
      </c>
      <c r="BU151" s="75">
        <f>Rentroll!$Y54*Index!BT56</f>
        <v>136.17166062499999</v>
      </c>
      <c r="BV151" s="75">
        <f>Rentroll!$Y54*Index!BU56</f>
        <v>136.17166062499999</v>
      </c>
      <c r="BW151" s="75">
        <f>Rentroll!$Y54*Index!BV56</f>
        <v>136.17166062499999</v>
      </c>
      <c r="BX151" s="75">
        <f>Rentroll!$Y54*Index!BW56</f>
        <v>136.17166062499999</v>
      </c>
      <c r="BY151" s="75">
        <f>Rentroll!$Y54*Index!BX56</f>
        <v>136.17166062499999</v>
      </c>
      <c r="BZ151" s="75">
        <f>Rentroll!$Y54*Index!BY56</f>
        <v>136.17166062499999</v>
      </c>
      <c r="CA151" s="75">
        <f>Rentroll!$Y54*Index!BZ56</f>
        <v>136.17166062499999</v>
      </c>
      <c r="CB151" s="75">
        <f>Rentroll!$Y54*Index!CA56</f>
        <v>0</v>
      </c>
      <c r="CC151" s="75">
        <f>Rentroll!$Y54*Index!CB56</f>
        <v>0</v>
      </c>
      <c r="CD151" s="75">
        <f>Rentroll!$Y54*Index!CC56</f>
        <v>0</v>
      </c>
      <c r="CE151" s="75">
        <f>Rentroll!$Y54*Index!CD56</f>
        <v>0</v>
      </c>
      <c r="CF151" s="75">
        <f>Rentroll!$Y54*Index!CE56</f>
        <v>0</v>
      </c>
      <c r="CG151" s="75">
        <f>Rentroll!$Y54*Index!CF56</f>
        <v>0</v>
      </c>
      <c r="CH151" s="75">
        <f>Rentroll!$Y54*Index!CG56</f>
        <v>0</v>
      </c>
      <c r="CI151" s="75">
        <f>Rentroll!$Y54*Index!CH56</f>
        <v>0</v>
      </c>
      <c r="CJ151" s="75">
        <f>Rentroll!$Y54*Index!CI56</f>
        <v>0</v>
      </c>
      <c r="CK151" s="75">
        <f>Rentroll!$Y54*Index!CJ56</f>
        <v>0</v>
      </c>
      <c r="CL151" s="75">
        <f>Rentroll!$Y54*Index!CK56</f>
        <v>0</v>
      </c>
      <c r="CM151" s="75">
        <f>Rentroll!$Y54*Index!CL56</f>
        <v>0</v>
      </c>
      <c r="CN151" s="75">
        <f>Rentroll!$Y54*Index!CM56</f>
        <v>0</v>
      </c>
      <c r="CO151" s="75">
        <f>Rentroll!$Y54*Index!CN56</f>
        <v>0</v>
      </c>
      <c r="CP151" s="75">
        <f>Rentroll!$Y54*Index!CO56</f>
        <v>0</v>
      </c>
      <c r="CQ151" s="75">
        <f>Rentroll!$Y54*Index!CP56</f>
        <v>0</v>
      </c>
      <c r="CR151" s="75">
        <f>Rentroll!$Y54*Index!CQ56</f>
        <v>0</v>
      </c>
      <c r="CS151" s="75">
        <f>Rentroll!$Y54*Index!CR56</f>
        <v>0</v>
      </c>
      <c r="CT151" s="75">
        <f>Rentroll!$Y54*Index!CS56</f>
        <v>0</v>
      </c>
      <c r="CU151" s="75">
        <f>Rentroll!$Y54*Index!CT56</f>
        <v>0</v>
      </c>
      <c r="CV151" s="75">
        <f>Rentroll!$Y54*Index!CU56</f>
        <v>0</v>
      </c>
      <c r="CW151" s="75">
        <f>Rentroll!$Y54*Index!CV56</f>
        <v>0</v>
      </c>
      <c r="CX151" s="75">
        <f>Rentroll!$Y54*Index!CW56</f>
        <v>0</v>
      </c>
      <c r="CY151" s="75">
        <f>Rentroll!$Y54*Index!CX56</f>
        <v>0</v>
      </c>
      <c r="CZ151" s="75">
        <f>Rentroll!$Y54*Index!CY56</f>
        <v>0</v>
      </c>
      <c r="DA151" s="75">
        <f>Rentroll!$Y54*Index!CZ56</f>
        <v>0</v>
      </c>
      <c r="DB151" s="75">
        <f>Rentroll!$Y54*Index!DA56</f>
        <v>0</v>
      </c>
      <c r="DC151" s="75">
        <f>Rentroll!$Y54*Index!DB56</f>
        <v>0</v>
      </c>
      <c r="DD151" s="75">
        <f>Rentroll!$Y54*Index!DC56</f>
        <v>0</v>
      </c>
      <c r="DE151" s="75">
        <f>Rentroll!$Y54*Index!DD56</f>
        <v>0</v>
      </c>
      <c r="DF151" s="75">
        <f>Rentroll!$Y54*Index!DE56</f>
        <v>0</v>
      </c>
      <c r="DG151" s="75">
        <f>Rentroll!$Y54*Index!DF56</f>
        <v>0</v>
      </c>
      <c r="DH151" s="75">
        <f>Rentroll!$Y54*Index!DG56</f>
        <v>0</v>
      </c>
      <c r="DI151" s="75">
        <f>Rentroll!$Y54*Index!DH56</f>
        <v>0</v>
      </c>
      <c r="DJ151" s="75">
        <f>Rentroll!$Y54*Index!DI56</f>
        <v>0</v>
      </c>
      <c r="DK151" s="75">
        <f>Rentroll!$Y54*Index!DJ56</f>
        <v>0</v>
      </c>
      <c r="DL151" s="75">
        <f>Rentroll!$Y54*Index!DK56</f>
        <v>0</v>
      </c>
      <c r="DM151" s="75">
        <f>Rentroll!$Y54*Index!DL56</f>
        <v>0</v>
      </c>
    </row>
    <row r="152" spans="2:117">
      <c r="B152" s="27" t="str">
        <f>Rentroll!$C$55</f>
        <v>204호</v>
      </c>
      <c r="C152" s="69" t="str">
        <f>VLOOKUP($B152,Rentroll!$C$37:$Z$60,3,FALSE)</f>
        <v>바이닐 청계</v>
      </c>
      <c r="D152" s="80">
        <f>VLOOKUP($B152,Rentroll!$C$37:$Z$60,9,FALSE)</f>
        <v>45747</v>
      </c>
      <c r="E152" s="80">
        <f>VLOOKUP($B152,Rentroll!$C$37:$Z$60,10,FALSE)</f>
        <v>47573</v>
      </c>
      <c r="F152" s="81">
        <f>VLOOKUP($B152,Rentroll!$C$37:$Z$60,11,FALSE)</f>
        <v>60</v>
      </c>
      <c r="G152" s="69">
        <f>VLOOKUP($B152,Rentroll!$C$37:$Z$60,13,FALSE)</f>
        <v>130000</v>
      </c>
      <c r="H152" s="69">
        <f>VLOOKUP($B152,Rentroll!$C$37:$Z$60,14,FALSE)</f>
        <v>130000</v>
      </c>
      <c r="I152" s="69">
        <f>VLOOKUP($B152,Rentroll!$C$37:$Z$60,15,FALSE)</f>
        <v>45000</v>
      </c>
      <c r="J152" s="82">
        <f>VLOOKUP($B152,Rentroll!$C$37:$Z$60,19,FALSE)</f>
        <v>0.03</v>
      </c>
      <c r="K152" s="83">
        <f>VLOOKUP($B152,Rentroll!$C$37:$Z$60,4,FALSE)</f>
        <v>346.27249999999998</v>
      </c>
      <c r="L152" s="81">
        <f>VLOOKUP($B152,Rentroll!$C$37:$Z$60,17,FALSE)</f>
        <v>2</v>
      </c>
      <c r="M152" s="84">
        <f>VLOOKUP($B152,Rentroll!$C$37:$Z$60,18,FALSE)</f>
        <v>0</v>
      </c>
      <c r="O152" s="26" t="str">
        <f t="shared" si="231"/>
        <v>204호</v>
      </c>
      <c r="P152" s="76"/>
      <c r="Q152" s="76"/>
      <c r="R152" s="76"/>
      <c r="S152" s="76">
        <f>Rentroll!$Y55*Index!R57</f>
        <v>0</v>
      </c>
      <c r="T152" s="76">
        <f>Rentroll!$Y55*Index!S57</f>
        <v>0</v>
      </c>
      <c r="U152" s="76">
        <f>Rentroll!$Y55*Index!T57</f>
        <v>0</v>
      </c>
      <c r="V152" s="76">
        <f>Rentroll!$Y55*Index!U57</f>
        <v>136.17166062499999</v>
      </c>
      <c r="W152" s="76">
        <f>Rentroll!$Y55*Index!V57</f>
        <v>136.17166062499999</v>
      </c>
      <c r="X152" s="76">
        <f>Rentroll!$Y55*Index!W57</f>
        <v>136.17166062499999</v>
      </c>
      <c r="Y152" s="76">
        <f>Rentroll!$Y55*Index!X57</f>
        <v>136.17166062499999</v>
      </c>
      <c r="Z152" s="76">
        <f>Rentroll!$Y55*Index!Y57</f>
        <v>136.17166062499999</v>
      </c>
      <c r="AA152" s="76">
        <f>Rentroll!$Y55*Index!Z57</f>
        <v>136.17166062499999</v>
      </c>
      <c r="AB152" s="76">
        <f>Rentroll!$Y55*Index!AA57</f>
        <v>136.17166062499999</v>
      </c>
      <c r="AC152" s="76">
        <f>Rentroll!$Y55*Index!AB57</f>
        <v>136.17166062499999</v>
      </c>
      <c r="AD152" s="76">
        <f>Rentroll!$Y55*Index!AC57</f>
        <v>136.17166062499999</v>
      </c>
      <c r="AE152" s="76">
        <f>Rentroll!$Y55*Index!AD57</f>
        <v>136.17166062499999</v>
      </c>
      <c r="AF152" s="76">
        <f>Rentroll!$Y55*Index!AE57</f>
        <v>136.17166062499999</v>
      </c>
      <c r="AG152" s="76">
        <f>Rentroll!$Y55*Index!AF57</f>
        <v>136.17166062499999</v>
      </c>
      <c r="AH152" s="76">
        <f>Rentroll!$Y55*Index!AG57</f>
        <v>136.17166062499999</v>
      </c>
      <c r="AI152" s="76">
        <f>Rentroll!$Y55*Index!AH57</f>
        <v>136.17166062499999</v>
      </c>
      <c r="AJ152" s="76">
        <f>Rentroll!$Y55*Index!AI57</f>
        <v>136.17166062499999</v>
      </c>
      <c r="AK152" s="76">
        <f>Rentroll!$Y55*Index!AJ57</f>
        <v>136.17166062499999</v>
      </c>
      <c r="AL152" s="76">
        <f>Rentroll!$Y55*Index!AK57</f>
        <v>136.17166062499999</v>
      </c>
      <c r="AM152" s="76">
        <f>Rentroll!$Y55*Index!AL57</f>
        <v>136.17166062499999</v>
      </c>
      <c r="AN152" s="76">
        <f>Rentroll!$Y55*Index!AM57</f>
        <v>136.17166062499999</v>
      </c>
      <c r="AO152" s="76">
        <f>Rentroll!$Y55*Index!AN57</f>
        <v>136.17166062499999</v>
      </c>
      <c r="AP152" s="76">
        <f>Rentroll!$Y55*Index!AO57</f>
        <v>136.17166062499999</v>
      </c>
      <c r="AQ152" s="76">
        <f>Rentroll!$Y55*Index!AP57</f>
        <v>136.17166062499999</v>
      </c>
      <c r="AR152" s="76">
        <f>Rentroll!$Y55*Index!AQ57</f>
        <v>136.17166062499999</v>
      </c>
      <c r="AS152" s="76">
        <f>Rentroll!$Y55*Index!AR57</f>
        <v>136.17166062499999</v>
      </c>
      <c r="AT152" s="76">
        <f>Rentroll!$Y55*Index!AS57</f>
        <v>136.17166062499999</v>
      </c>
      <c r="AU152" s="76">
        <f>Rentroll!$Y55*Index!AT57</f>
        <v>136.17166062499999</v>
      </c>
      <c r="AV152" s="76">
        <f>Rentroll!$Y55*Index!AU57</f>
        <v>136.17166062499999</v>
      </c>
      <c r="AW152" s="76">
        <f>Rentroll!$Y55*Index!AV57</f>
        <v>136.17166062499999</v>
      </c>
      <c r="AX152" s="76">
        <f>Rentroll!$Y55*Index!AW57</f>
        <v>136.17166062499999</v>
      </c>
      <c r="AY152" s="76">
        <f>Rentroll!$Y55*Index!AX57</f>
        <v>136.17166062499999</v>
      </c>
      <c r="AZ152" s="76">
        <f>Rentroll!$Y55*Index!AY57</f>
        <v>136.17166062499999</v>
      </c>
      <c r="BA152" s="76">
        <f>Rentroll!$Y55*Index!AZ57</f>
        <v>136.17166062499999</v>
      </c>
      <c r="BB152" s="76">
        <f>Rentroll!$Y55*Index!BA57</f>
        <v>136.17166062499999</v>
      </c>
      <c r="BC152" s="76">
        <f>Rentroll!$Y55*Index!BB57</f>
        <v>136.17166062499999</v>
      </c>
      <c r="BD152" s="76">
        <f>Rentroll!$Y55*Index!BC57</f>
        <v>136.17166062499999</v>
      </c>
      <c r="BE152" s="76">
        <f>Rentroll!$Y55*Index!BD57</f>
        <v>136.17166062499999</v>
      </c>
      <c r="BF152" s="76">
        <f>Rentroll!$Y55*Index!BE57</f>
        <v>136.17166062499999</v>
      </c>
      <c r="BG152" s="76">
        <f>Rentroll!$Y55*Index!BF57</f>
        <v>136.17166062499999</v>
      </c>
      <c r="BH152" s="76">
        <f>Rentroll!$Y55*Index!BG57</f>
        <v>136.17166062499999</v>
      </c>
      <c r="BI152" s="76">
        <f>Rentroll!$Y55*Index!BH57</f>
        <v>136.17166062499999</v>
      </c>
      <c r="BJ152" s="76">
        <f>Rentroll!$Y55*Index!BI57</f>
        <v>136.17166062499999</v>
      </c>
      <c r="BK152" s="76">
        <f>Rentroll!$Y55*Index!BJ57</f>
        <v>136.17166062499999</v>
      </c>
      <c r="BL152" s="76">
        <f>Rentroll!$Y55*Index!BK57</f>
        <v>136.17166062499999</v>
      </c>
      <c r="BM152" s="76">
        <f>Rentroll!$Y55*Index!BL57</f>
        <v>136.17166062499999</v>
      </c>
      <c r="BN152" s="76">
        <f>Rentroll!$Y55*Index!BM57</f>
        <v>136.17166062499999</v>
      </c>
      <c r="BO152" s="76">
        <f>Rentroll!$Y55*Index!BN57</f>
        <v>136.17166062499999</v>
      </c>
      <c r="BP152" s="76">
        <f>Rentroll!$Y55*Index!BO57</f>
        <v>136.17166062499999</v>
      </c>
      <c r="BQ152" s="76">
        <f>Rentroll!$Y55*Index!BP57</f>
        <v>136.17166062499999</v>
      </c>
      <c r="BR152" s="76">
        <f>Rentroll!$Y55*Index!BQ57</f>
        <v>136.17166062499999</v>
      </c>
      <c r="BS152" s="76">
        <f>Rentroll!$Y55*Index!BR57</f>
        <v>136.17166062499999</v>
      </c>
      <c r="BT152" s="76">
        <f>Rentroll!$Y55*Index!BS57</f>
        <v>136.17166062499999</v>
      </c>
      <c r="BU152" s="76">
        <f>Rentroll!$Y55*Index!BT57</f>
        <v>136.17166062499999</v>
      </c>
      <c r="BV152" s="76">
        <f>Rentroll!$Y55*Index!BU57</f>
        <v>136.17166062499999</v>
      </c>
      <c r="BW152" s="76">
        <f>Rentroll!$Y55*Index!BV57</f>
        <v>136.17166062499999</v>
      </c>
      <c r="BX152" s="76">
        <f>Rentroll!$Y55*Index!BW57</f>
        <v>136.17166062499999</v>
      </c>
      <c r="BY152" s="76">
        <f>Rentroll!$Y55*Index!BX57</f>
        <v>136.17166062499999</v>
      </c>
      <c r="BZ152" s="76">
        <f>Rentroll!$Y55*Index!BY57</f>
        <v>136.17166062499999</v>
      </c>
      <c r="CA152" s="76">
        <f>Rentroll!$Y55*Index!BZ57</f>
        <v>136.17166062499999</v>
      </c>
      <c r="CB152" s="76">
        <f>Rentroll!$Y55*Index!CA57</f>
        <v>0</v>
      </c>
      <c r="CC152" s="76">
        <f>Rentroll!$Y55*Index!CB57</f>
        <v>0</v>
      </c>
      <c r="CD152" s="76">
        <f>Rentroll!$Y55*Index!CC57</f>
        <v>0</v>
      </c>
      <c r="CE152" s="76">
        <f>Rentroll!$Y55*Index!CD57</f>
        <v>0</v>
      </c>
      <c r="CF152" s="76">
        <f>Rentroll!$Y55*Index!CE57</f>
        <v>0</v>
      </c>
      <c r="CG152" s="76">
        <f>Rentroll!$Y55*Index!CF57</f>
        <v>0</v>
      </c>
      <c r="CH152" s="76">
        <f>Rentroll!$Y55*Index!CG57</f>
        <v>0</v>
      </c>
      <c r="CI152" s="76">
        <f>Rentroll!$Y55*Index!CH57</f>
        <v>0</v>
      </c>
      <c r="CJ152" s="76">
        <f>Rentroll!$Y55*Index!CI57</f>
        <v>0</v>
      </c>
      <c r="CK152" s="76">
        <f>Rentroll!$Y55*Index!CJ57</f>
        <v>0</v>
      </c>
      <c r="CL152" s="76">
        <f>Rentroll!$Y55*Index!CK57</f>
        <v>0</v>
      </c>
      <c r="CM152" s="76">
        <f>Rentroll!$Y55*Index!CL57</f>
        <v>0</v>
      </c>
      <c r="CN152" s="76">
        <f>Rentroll!$Y55*Index!CM57</f>
        <v>0</v>
      </c>
      <c r="CO152" s="76">
        <f>Rentroll!$Y55*Index!CN57</f>
        <v>0</v>
      </c>
      <c r="CP152" s="76">
        <f>Rentroll!$Y55*Index!CO57</f>
        <v>0</v>
      </c>
      <c r="CQ152" s="76">
        <f>Rentroll!$Y55*Index!CP57</f>
        <v>0</v>
      </c>
      <c r="CR152" s="76">
        <f>Rentroll!$Y55*Index!CQ57</f>
        <v>0</v>
      </c>
      <c r="CS152" s="76">
        <f>Rentroll!$Y55*Index!CR57</f>
        <v>0</v>
      </c>
      <c r="CT152" s="76">
        <f>Rentroll!$Y55*Index!CS57</f>
        <v>0</v>
      </c>
      <c r="CU152" s="76">
        <f>Rentroll!$Y55*Index!CT57</f>
        <v>0</v>
      </c>
      <c r="CV152" s="76">
        <f>Rentroll!$Y55*Index!CU57</f>
        <v>0</v>
      </c>
      <c r="CW152" s="76">
        <f>Rentroll!$Y55*Index!CV57</f>
        <v>0</v>
      </c>
      <c r="CX152" s="76">
        <f>Rentroll!$Y55*Index!CW57</f>
        <v>0</v>
      </c>
      <c r="CY152" s="76">
        <f>Rentroll!$Y55*Index!CX57</f>
        <v>0</v>
      </c>
      <c r="CZ152" s="76">
        <f>Rentroll!$Y55*Index!CY57</f>
        <v>0</v>
      </c>
      <c r="DA152" s="76">
        <f>Rentroll!$Y55*Index!CZ57</f>
        <v>0</v>
      </c>
      <c r="DB152" s="76">
        <f>Rentroll!$Y55*Index!DA57</f>
        <v>0</v>
      </c>
      <c r="DC152" s="76">
        <f>Rentroll!$Y55*Index!DB57</f>
        <v>0</v>
      </c>
      <c r="DD152" s="76">
        <f>Rentroll!$Y55*Index!DC57</f>
        <v>0</v>
      </c>
      <c r="DE152" s="76">
        <f>Rentroll!$Y55*Index!DD57</f>
        <v>0</v>
      </c>
      <c r="DF152" s="76">
        <f>Rentroll!$Y55*Index!DE57</f>
        <v>0</v>
      </c>
      <c r="DG152" s="76">
        <f>Rentroll!$Y55*Index!DF57</f>
        <v>0</v>
      </c>
      <c r="DH152" s="76">
        <f>Rentroll!$Y55*Index!DG57</f>
        <v>0</v>
      </c>
      <c r="DI152" s="76">
        <f>Rentroll!$Y55*Index!DH57</f>
        <v>0</v>
      </c>
      <c r="DJ152" s="76">
        <f>Rentroll!$Y55*Index!DI57</f>
        <v>0</v>
      </c>
      <c r="DK152" s="76">
        <f>Rentroll!$Y55*Index!DJ57</f>
        <v>0</v>
      </c>
      <c r="DL152" s="76">
        <f>Rentroll!$Y55*Index!DK57</f>
        <v>0</v>
      </c>
      <c r="DM152" s="76">
        <f>Rentroll!$Y55*Index!DL57</f>
        <v>0</v>
      </c>
    </row>
    <row r="153" spans="2:117">
      <c r="B153" s="28" t="str">
        <f>Rentroll!$C$56</f>
        <v>101호</v>
      </c>
      <c r="C153" s="69" t="str">
        <f>VLOOKUP($B153,Rentroll!$C$37:$Z$60,3,FALSE)</f>
        <v>카페 1리터</v>
      </c>
      <c r="D153" s="80">
        <f>VLOOKUP($B153,Rentroll!$C$37:$Z$60,9,FALSE)</f>
        <v>45838</v>
      </c>
      <c r="E153" s="80">
        <f>VLOOKUP($B153,Rentroll!$C$37:$Z$60,10,FALSE)</f>
        <v>47634</v>
      </c>
      <c r="F153" s="81">
        <f>VLOOKUP($B153,Rentroll!$C$37:$Z$60,11,FALSE)</f>
        <v>60</v>
      </c>
      <c r="G153" s="69">
        <f>VLOOKUP($B153,Rentroll!$C$37:$Z$60,13,FALSE)</f>
        <v>150000</v>
      </c>
      <c r="H153" s="69">
        <f>VLOOKUP($B153,Rentroll!$C$37:$Z$60,14,FALSE)</f>
        <v>150000</v>
      </c>
      <c r="I153" s="69">
        <f>VLOOKUP($B153,Rentroll!$C$37:$Z$60,15,FALSE)</f>
        <v>45000</v>
      </c>
      <c r="J153" s="82">
        <f>VLOOKUP($B153,Rentroll!$C$37:$Z$60,19,FALSE)</f>
        <v>0.03</v>
      </c>
      <c r="K153" s="83">
        <f>VLOOKUP($B153,Rentroll!$C$37:$Z$60,4,FALSE)</f>
        <v>484.78</v>
      </c>
      <c r="L153" s="81">
        <f>VLOOKUP($B153,Rentroll!$C$37:$Z$60,17,FALSE)</f>
        <v>1</v>
      </c>
      <c r="M153" s="84">
        <f>VLOOKUP($B153,Rentroll!$C$37:$Z$60,18,FALSE)</f>
        <v>0</v>
      </c>
      <c r="O153" s="74" t="str">
        <f t="shared" ref="O153:O157" si="232">B153</f>
        <v>101호</v>
      </c>
      <c r="P153" s="75"/>
      <c r="Q153" s="75"/>
      <c r="R153" s="75"/>
      <c r="S153" s="75">
        <f>Rentroll!$Y56*Index!R58</f>
        <v>0</v>
      </c>
      <c r="T153" s="75">
        <f>Rentroll!$Y56*Index!S58</f>
        <v>0</v>
      </c>
      <c r="U153" s="75">
        <f>Rentroll!$Y56*Index!T58</f>
        <v>0</v>
      </c>
      <c r="V153" s="75">
        <f>Rentroll!$Y56*Index!U58</f>
        <v>0</v>
      </c>
      <c r="W153" s="75">
        <f>Rentroll!$Y56*Index!V58</f>
        <v>0</v>
      </c>
      <c r="X153" s="75">
        <f>Rentroll!$Y56*Index!W58</f>
        <v>0</v>
      </c>
      <c r="Y153" s="75">
        <f>Rentroll!$Y56*Index!X58</f>
        <v>219.96892500000001</v>
      </c>
      <c r="Z153" s="75">
        <f>Rentroll!$Y56*Index!Y58</f>
        <v>219.96892500000001</v>
      </c>
      <c r="AA153" s="75">
        <f>Rentroll!$Y56*Index!Z58</f>
        <v>219.96892500000001</v>
      </c>
      <c r="AB153" s="75">
        <f>Rentroll!$Y56*Index!AA58</f>
        <v>219.96892500000001</v>
      </c>
      <c r="AC153" s="75">
        <f>Rentroll!$Y56*Index!AB58</f>
        <v>219.96892500000001</v>
      </c>
      <c r="AD153" s="75">
        <f>Rentroll!$Y56*Index!AC58</f>
        <v>219.96892500000001</v>
      </c>
      <c r="AE153" s="75">
        <f>Rentroll!$Y56*Index!AD58</f>
        <v>219.96892500000001</v>
      </c>
      <c r="AF153" s="75">
        <f>Rentroll!$Y56*Index!AE58</f>
        <v>219.96892500000001</v>
      </c>
      <c r="AG153" s="75">
        <f>Rentroll!$Y56*Index!AF58</f>
        <v>219.96892500000001</v>
      </c>
      <c r="AH153" s="75">
        <f>Rentroll!$Y56*Index!AG58</f>
        <v>219.96892500000001</v>
      </c>
      <c r="AI153" s="75">
        <f>Rentroll!$Y56*Index!AH58</f>
        <v>219.96892500000001</v>
      </c>
      <c r="AJ153" s="75">
        <f>Rentroll!$Y56*Index!AI58</f>
        <v>219.96892500000001</v>
      </c>
      <c r="AK153" s="75">
        <f>Rentroll!$Y56*Index!AJ58</f>
        <v>219.96892500000001</v>
      </c>
      <c r="AL153" s="75">
        <f>Rentroll!$Y56*Index!AK58</f>
        <v>219.96892500000001</v>
      </c>
      <c r="AM153" s="75">
        <f>Rentroll!$Y56*Index!AL58</f>
        <v>219.96892500000001</v>
      </c>
      <c r="AN153" s="75">
        <f>Rentroll!$Y56*Index!AM58</f>
        <v>219.96892500000001</v>
      </c>
      <c r="AO153" s="75">
        <f>Rentroll!$Y56*Index!AN58</f>
        <v>219.96892500000001</v>
      </c>
      <c r="AP153" s="75">
        <f>Rentroll!$Y56*Index!AO58</f>
        <v>219.96892500000001</v>
      </c>
      <c r="AQ153" s="75">
        <f>Rentroll!$Y56*Index!AP58</f>
        <v>219.96892500000001</v>
      </c>
      <c r="AR153" s="75">
        <f>Rentroll!$Y56*Index!AQ58</f>
        <v>219.96892500000001</v>
      </c>
      <c r="AS153" s="75">
        <f>Rentroll!$Y56*Index!AR58</f>
        <v>219.96892500000001</v>
      </c>
      <c r="AT153" s="75">
        <f>Rentroll!$Y56*Index!AS58</f>
        <v>219.96892500000001</v>
      </c>
      <c r="AU153" s="75">
        <f>Rentroll!$Y56*Index!AT58</f>
        <v>219.96892500000001</v>
      </c>
      <c r="AV153" s="75">
        <f>Rentroll!$Y56*Index!AU58</f>
        <v>219.96892500000001</v>
      </c>
      <c r="AW153" s="75">
        <f>Rentroll!$Y56*Index!AV58</f>
        <v>219.96892500000001</v>
      </c>
      <c r="AX153" s="75">
        <f>Rentroll!$Y56*Index!AW58</f>
        <v>219.96892500000001</v>
      </c>
      <c r="AY153" s="75">
        <f>Rentroll!$Y56*Index!AX58</f>
        <v>219.96892500000001</v>
      </c>
      <c r="AZ153" s="75">
        <f>Rentroll!$Y56*Index!AY58</f>
        <v>219.96892500000001</v>
      </c>
      <c r="BA153" s="75">
        <f>Rentroll!$Y56*Index!AZ58</f>
        <v>219.96892500000001</v>
      </c>
      <c r="BB153" s="75">
        <f>Rentroll!$Y56*Index!BA58</f>
        <v>219.96892500000001</v>
      </c>
      <c r="BC153" s="75">
        <f>Rentroll!$Y56*Index!BB58</f>
        <v>219.96892500000001</v>
      </c>
      <c r="BD153" s="75">
        <f>Rentroll!$Y56*Index!BC58</f>
        <v>219.96892500000001</v>
      </c>
      <c r="BE153" s="75">
        <f>Rentroll!$Y56*Index!BD58</f>
        <v>219.96892500000001</v>
      </c>
      <c r="BF153" s="75">
        <f>Rentroll!$Y56*Index!BE58</f>
        <v>219.96892500000001</v>
      </c>
      <c r="BG153" s="75">
        <f>Rentroll!$Y56*Index!BF58</f>
        <v>219.96892500000001</v>
      </c>
      <c r="BH153" s="75">
        <f>Rentroll!$Y56*Index!BG58</f>
        <v>219.96892500000001</v>
      </c>
      <c r="BI153" s="75">
        <f>Rentroll!$Y56*Index!BH58</f>
        <v>219.96892500000001</v>
      </c>
      <c r="BJ153" s="75">
        <f>Rentroll!$Y56*Index!BI58</f>
        <v>219.96892500000001</v>
      </c>
      <c r="BK153" s="75">
        <f>Rentroll!$Y56*Index!BJ58</f>
        <v>219.96892500000001</v>
      </c>
      <c r="BL153" s="75">
        <f>Rentroll!$Y56*Index!BK58</f>
        <v>219.96892500000001</v>
      </c>
      <c r="BM153" s="75">
        <f>Rentroll!$Y56*Index!BL58</f>
        <v>219.96892500000001</v>
      </c>
      <c r="BN153" s="75">
        <f>Rentroll!$Y56*Index!BM58</f>
        <v>219.96892500000001</v>
      </c>
      <c r="BO153" s="75">
        <f>Rentroll!$Y56*Index!BN58</f>
        <v>219.96892500000001</v>
      </c>
      <c r="BP153" s="75">
        <f>Rentroll!$Y56*Index!BO58</f>
        <v>219.96892500000001</v>
      </c>
      <c r="BQ153" s="75">
        <f>Rentroll!$Y56*Index!BP58</f>
        <v>219.96892500000001</v>
      </c>
      <c r="BR153" s="75">
        <f>Rentroll!$Y56*Index!BQ58</f>
        <v>219.96892500000001</v>
      </c>
      <c r="BS153" s="75">
        <f>Rentroll!$Y56*Index!BR58</f>
        <v>219.96892500000001</v>
      </c>
      <c r="BT153" s="75">
        <f>Rentroll!$Y56*Index!BS58</f>
        <v>219.96892500000001</v>
      </c>
      <c r="BU153" s="75">
        <f>Rentroll!$Y56*Index!BT58</f>
        <v>219.96892500000001</v>
      </c>
      <c r="BV153" s="75">
        <f>Rentroll!$Y56*Index!BU58</f>
        <v>219.96892500000001</v>
      </c>
      <c r="BW153" s="75">
        <f>Rentroll!$Y56*Index!BV58</f>
        <v>219.96892500000001</v>
      </c>
      <c r="BX153" s="75">
        <f>Rentroll!$Y56*Index!BW58</f>
        <v>219.96892500000001</v>
      </c>
      <c r="BY153" s="75">
        <f>Rentroll!$Y56*Index!BX58</f>
        <v>219.96892500000001</v>
      </c>
      <c r="BZ153" s="75">
        <f>Rentroll!$Y56*Index!BY58</f>
        <v>219.96892500000001</v>
      </c>
      <c r="CA153" s="75">
        <f>Rentroll!$Y56*Index!BZ58</f>
        <v>219.96892500000001</v>
      </c>
      <c r="CB153" s="75">
        <f>Rentroll!$Y56*Index!CA58</f>
        <v>0</v>
      </c>
      <c r="CC153" s="75">
        <f>Rentroll!$Y56*Index!CB58</f>
        <v>0</v>
      </c>
      <c r="CD153" s="75">
        <f>Rentroll!$Y56*Index!CC58</f>
        <v>0</v>
      </c>
      <c r="CE153" s="75">
        <f>Rentroll!$Y56*Index!CD58</f>
        <v>0</v>
      </c>
      <c r="CF153" s="75">
        <f>Rentroll!$Y56*Index!CE58</f>
        <v>0</v>
      </c>
      <c r="CG153" s="75">
        <f>Rentroll!$Y56*Index!CF58</f>
        <v>0</v>
      </c>
      <c r="CH153" s="75">
        <f>Rentroll!$Y56*Index!CG58</f>
        <v>0</v>
      </c>
      <c r="CI153" s="75">
        <f>Rentroll!$Y56*Index!CH58</f>
        <v>0</v>
      </c>
      <c r="CJ153" s="75">
        <f>Rentroll!$Y56*Index!CI58</f>
        <v>0</v>
      </c>
      <c r="CK153" s="75">
        <f>Rentroll!$Y56*Index!CJ58</f>
        <v>0</v>
      </c>
      <c r="CL153" s="75">
        <f>Rentroll!$Y56*Index!CK58</f>
        <v>0</v>
      </c>
      <c r="CM153" s="75">
        <f>Rentroll!$Y56*Index!CL58</f>
        <v>0</v>
      </c>
      <c r="CN153" s="75">
        <f>Rentroll!$Y56*Index!CM58</f>
        <v>0</v>
      </c>
      <c r="CO153" s="75">
        <f>Rentroll!$Y56*Index!CN58</f>
        <v>0</v>
      </c>
      <c r="CP153" s="75">
        <f>Rentroll!$Y56*Index!CO58</f>
        <v>0</v>
      </c>
      <c r="CQ153" s="75">
        <f>Rentroll!$Y56*Index!CP58</f>
        <v>0</v>
      </c>
      <c r="CR153" s="75">
        <f>Rentroll!$Y56*Index!CQ58</f>
        <v>0</v>
      </c>
      <c r="CS153" s="75">
        <f>Rentroll!$Y56*Index!CR58</f>
        <v>0</v>
      </c>
      <c r="CT153" s="75">
        <f>Rentroll!$Y56*Index!CS58</f>
        <v>0</v>
      </c>
      <c r="CU153" s="75">
        <f>Rentroll!$Y56*Index!CT58</f>
        <v>0</v>
      </c>
      <c r="CV153" s="75">
        <f>Rentroll!$Y56*Index!CU58</f>
        <v>0</v>
      </c>
      <c r="CW153" s="75">
        <f>Rentroll!$Y56*Index!CV58</f>
        <v>0</v>
      </c>
      <c r="CX153" s="75">
        <f>Rentroll!$Y56*Index!CW58</f>
        <v>0</v>
      </c>
      <c r="CY153" s="75">
        <f>Rentroll!$Y56*Index!CX58</f>
        <v>0</v>
      </c>
      <c r="CZ153" s="75">
        <f>Rentroll!$Y56*Index!CY58</f>
        <v>0</v>
      </c>
      <c r="DA153" s="75">
        <f>Rentroll!$Y56*Index!CZ58</f>
        <v>0</v>
      </c>
      <c r="DB153" s="75">
        <f>Rentroll!$Y56*Index!DA58</f>
        <v>0</v>
      </c>
      <c r="DC153" s="75">
        <f>Rentroll!$Y56*Index!DB58</f>
        <v>0</v>
      </c>
      <c r="DD153" s="75">
        <f>Rentroll!$Y56*Index!DC58</f>
        <v>0</v>
      </c>
      <c r="DE153" s="75">
        <f>Rentroll!$Y56*Index!DD58</f>
        <v>0</v>
      </c>
      <c r="DF153" s="75">
        <f>Rentroll!$Y56*Index!DE58</f>
        <v>0</v>
      </c>
      <c r="DG153" s="75">
        <f>Rentroll!$Y56*Index!DF58</f>
        <v>0</v>
      </c>
      <c r="DH153" s="75">
        <f>Rentroll!$Y56*Index!DG58</f>
        <v>0</v>
      </c>
      <c r="DI153" s="75">
        <f>Rentroll!$Y56*Index!DH58</f>
        <v>0</v>
      </c>
      <c r="DJ153" s="75">
        <f>Rentroll!$Y56*Index!DI58</f>
        <v>0</v>
      </c>
      <c r="DK153" s="75">
        <f>Rentroll!$Y56*Index!DJ58</f>
        <v>0</v>
      </c>
      <c r="DL153" s="75">
        <f>Rentroll!$Y56*Index!DK58</f>
        <v>0</v>
      </c>
      <c r="DM153" s="75">
        <f>Rentroll!$Y56*Index!DL58</f>
        <v>0</v>
      </c>
    </row>
    <row r="154" spans="2:117">
      <c r="B154" s="28" t="str">
        <f>Rentroll!$C$57</f>
        <v>102호</v>
      </c>
      <c r="C154" s="69" t="str">
        <f>VLOOKUP($B154,Rentroll!$C$37:$Z$60,3,FALSE)</f>
        <v>DOTZ</v>
      </c>
      <c r="D154" s="80">
        <f>VLOOKUP($B154,Rentroll!$C$37:$Z$60,9,FALSE)</f>
        <v>45838</v>
      </c>
      <c r="E154" s="80">
        <f>VLOOKUP($B154,Rentroll!$C$37:$Z$60,10,FALSE)</f>
        <v>47634</v>
      </c>
      <c r="F154" s="81">
        <f>VLOOKUP($B154,Rentroll!$C$37:$Z$60,11,FALSE)</f>
        <v>60</v>
      </c>
      <c r="G154" s="69">
        <f>VLOOKUP($B154,Rentroll!$C$37:$Z$60,13,FALSE)</f>
        <v>150000</v>
      </c>
      <c r="H154" s="69">
        <f>VLOOKUP($B154,Rentroll!$C$37:$Z$60,14,FALSE)</f>
        <v>150000</v>
      </c>
      <c r="I154" s="69">
        <f>VLOOKUP($B154,Rentroll!$C$37:$Z$60,15,FALSE)</f>
        <v>45000</v>
      </c>
      <c r="J154" s="82">
        <f>VLOOKUP($B154,Rentroll!$C$37:$Z$60,19,FALSE)</f>
        <v>0.03</v>
      </c>
      <c r="K154" s="83">
        <f>VLOOKUP($B154,Rentroll!$C$37:$Z$60,4,FALSE)</f>
        <v>484.78</v>
      </c>
      <c r="L154" s="81">
        <f>VLOOKUP($B154,Rentroll!$C$37:$Z$60,17,FALSE)</f>
        <v>1</v>
      </c>
      <c r="M154" s="84">
        <f>VLOOKUP($B154,Rentroll!$C$37:$Z$60,18,FALSE)</f>
        <v>0</v>
      </c>
      <c r="O154" s="74" t="str">
        <f t="shared" si="232"/>
        <v>102호</v>
      </c>
      <c r="P154" s="75"/>
      <c r="Q154" s="75"/>
      <c r="R154" s="75"/>
      <c r="S154" s="75">
        <f>Rentroll!$Y57*Index!R59</f>
        <v>0</v>
      </c>
      <c r="T154" s="75">
        <f>Rentroll!$Y57*Index!S59</f>
        <v>0</v>
      </c>
      <c r="U154" s="75">
        <f>Rentroll!$Y57*Index!T59</f>
        <v>0</v>
      </c>
      <c r="V154" s="75">
        <f>Rentroll!$Y57*Index!U59</f>
        <v>0</v>
      </c>
      <c r="W154" s="75">
        <f>Rentroll!$Y57*Index!V59</f>
        <v>0</v>
      </c>
      <c r="X154" s="75">
        <f>Rentroll!$Y57*Index!W59</f>
        <v>0</v>
      </c>
      <c r="Y154" s="75">
        <f>Rentroll!$Y57*Index!X59</f>
        <v>219.96892500000001</v>
      </c>
      <c r="Z154" s="75">
        <f>Rentroll!$Y57*Index!Y59</f>
        <v>219.96892500000001</v>
      </c>
      <c r="AA154" s="75">
        <f>Rentroll!$Y57*Index!Z59</f>
        <v>219.96892500000001</v>
      </c>
      <c r="AB154" s="75">
        <f>Rentroll!$Y57*Index!AA59</f>
        <v>219.96892500000001</v>
      </c>
      <c r="AC154" s="75">
        <f>Rentroll!$Y57*Index!AB59</f>
        <v>219.96892500000001</v>
      </c>
      <c r="AD154" s="75">
        <f>Rentroll!$Y57*Index!AC59</f>
        <v>219.96892500000001</v>
      </c>
      <c r="AE154" s="75">
        <f>Rentroll!$Y57*Index!AD59</f>
        <v>219.96892500000001</v>
      </c>
      <c r="AF154" s="75">
        <f>Rentroll!$Y57*Index!AE59</f>
        <v>219.96892500000001</v>
      </c>
      <c r="AG154" s="75">
        <f>Rentroll!$Y57*Index!AF59</f>
        <v>219.96892500000001</v>
      </c>
      <c r="AH154" s="75">
        <f>Rentroll!$Y57*Index!AG59</f>
        <v>219.96892500000001</v>
      </c>
      <c r="AI154" s="75">
        <f>Rentroll!$Y57*Index!AH59</f>
        <v>219.96892500000001</v>
      </c>
      <c r="AJ154" s="75">
        <f>Rentroll!$Y57*Index!AI59</f>
        <v>219.96892500000001</v>
      </c>
      <c r="AK154" s="75">
        <f>Rentroll!$Y57*Index!AJ59</f>
        <v>219.96892500000001</v>
      </c>
      <c r="AL154" s="75">
        <f>Rentroll!$Y57*Index!AK59</f>
        <v>219.96892500000001</v>
      </c>
      <c r="AM154" s="75">
        <f>Rentroll!$Y57*Index!AL59</f>
        <v>219.96892500000001</v>
      </c>
      <c r="AN154" s="75">
        <f>Rentroll!$Y57*Index!AM59</f>
        <v>219.96892500000001</v>
      </c>
      <c r="AO154" s="75">
        <f>Rentroll!$Y57*Index!AN59</f>
        <v>219.96892500000001</v>
      </c>
      <c r="AP154" s="75">
        <f>Rentroll!$Y57*Index!AO59</f>
        <v>219.96892500000001</v>
      </c>
      <c r="AQ154" s="75">
        <f>Rentroll!$Y57*Index!AP59</f>
        <v>219.96892500000001</v>
      </c>
      <c r="AR154" s="75">
        <f>Rentroll!$Y57*Index!AQ59</f>
        <v>219.96892500000001</v>
      </c>
      <c r="AS154" s="75">
        <f>Rentroll!$Y57*Index!AR59</f>
        <v>219.96892500000001</v>
      </c>
      <c r="AT154" s="75">
        <f>Rentroll!$Y57*Index!AS59</f>
        <v>219.96892500000001</v>
      </c>
      <c r="AU154" s="75">
        <f>Rentroll!$Y57*Index!AT59</f>
        <v>219.96892500000001</v>
      </c>
      <c r="AV154" s="75">
        <f>Rentroll!$Y57*Index!AU59</f>
        <v>219.96892500000001</v>
      </c>
      <c r="AW154" s="75">
        <f>Rentroll!$Y57*Index!AV59</f>
        <v>219.96892500000001</v>
      </c>
      <c r="AX154" s="75">
        <f>Rentroll!$Y57*Index!AW59</f>
        <v>219.96892500000001</v>
      </c>
      <c r="AY154" s="75">
        <f>Rentroll!$Y57*Index!AX59</f>
        <v>219.96892500000001</v>
      </c>
      <c r="AZ154" s="75">
        <f>Rentroll!$Y57*Index!AY59</f>
        <v>219.96892500000001</v>
      </c>
      <c r="BA154" s="75">
        <f>Rentroll!$Y57*Index!AZ59</f>
        <v>219.96892500000001</v>
      </c>
      <c r="BB154" s="75">
        <f>Rentroll!$Y57*Index!BA59</f>
        <v>219.96892500000001</v>
      </c>
      <c r="BC154" s="75">
        <f>Rentroll!$Y57*Index!BB59</f>
        <v>219.96892500000001</v>
      </c>
      <c r="BD154" s="75">
        <f>Rentroll!$Y57*Index!BC59</f>
        <v>219.96892500000001</v>
      </c>
      <c r="BE154" s="75">
        <f>Rentroll!$Y57*Index!BD59</f>
        <v>219.96892500000001</v>
      </c>
      <c r="BF154" s="75">
        <f>Rentroll!$Y57*Index!BE59</f>
        <v>219.96892500000001</v>
      </c>
      <c r="BG154" s="75">
        <f>Rentroll!$Y57*Index!BF59</f>
        <v>219.96892500000001</v>
      </c>
      <c r="BH154" s="75">
        <f>Rentroll!$Y57*Index!BG59</f>
        <v>219.96892500000001</v>
      </c>
      <c r="BI154" s="75">
        <f>Rentroll!$Y57*Index!BH59</f>
        <v>219.96892500000001</v>
      </c>
      <c r="BJ154" s="75">
        <f>Rentroll!$Y57*Index!BI59</f>
        <v>219.96892500000001</v>
      </c>
      <c r="BK154" s="75">
        <f>Rentroll!$Y57*Index!BJ59</f>
        <v>219.96892500000001</v>
      </c>
      <c r="BL154" s="75">
        <f>Rentroll!$Y57*Index!BK59</f>
        <v>219.96892500000001</v>
      </c>
      <c r="BM154" s="75">
        <f>Rentroll!$Y57*Index!BL59</f>
        <v>219.96892500000001</v>
      </c>
      <c r="BN154" s="75">
        <f>Rentroll!$Y57*Index!BM59</f>
        <v>219.96892500000001</v>
      </c>
      <c r="BO154" s="75">
        <f>Rentroll!$Y57*Index!BN59</f>
        <v>219.96892500000001</v>
      </c>
      <c r="BP154" s="75">
        <f>Rentroll!$Y57*Index!BO59</f>
        <v>219.96892500000001</v>
      </c>
      <c r="BQ154" s="75">
        <f>Rentroll!$Y57*Index!BP59</f>
        <v>219.96892500000001</v>
      </c>
      <c r="BR154" s="75">
        <f>Rentroll!$Y57*Index!BQ59</f>
        <v>219.96892500000001</v>
      </c>
      <c r="BS154" s="75">
        <f>Rentroll!$Y57*Index!BR59</f>
        <v>219.96892500000001</v>
      </c>
      <c r="BT154" s="75">
        <f>Rentroll!$Y57*Index!BS59</f>
        <v>219.96892500000001</v>
      </c>
      <c r="BU154" s="75">
        <f>Rentroll!$Y57*Index!BT59</f>
        <v>219.96892500000001</v>
      </c>
      <c r="BV154" s="75">
        <f>Rentroll!$Y57*Index!BU59</f>
        <v>219.96892500000001</v>
      </c>
      <c r="BW154" s="75">
        <f>Rentroll!$Y57*Index!BV59</f>
        <v>219.96892500000001</v>
      </c>
      <c r="BX154" s="75">
        <f>Rentroll!$Y57*Index!BW59</f>
        <v>219.96892500000001</v>
      </c>
      <c r="BY154" s="75">
        <f>Rentroll!$Y57*Index!BX59</f>
        <v>219.96892500000001</v>
      </c>
      <c r="BZ154" s="75">
        <f>Rentroll!$Y57*Index!BY59</f>
        <v>219.96892500000001</v>
      </c>
      <c r="CA154" s="75">
        <f>Rentroll!$Y57*Index!BZ59</f>
        <v>219.96892500000001</v>
      </c>
      <c r="CB154" s="75">
        <f>Rentroll!$Y57*Index!CA59</f>
        <v>0</v>
      </c>
      <c r="CC154" s="75">
        <f>Rentroll!$Y57*Index!CB59</f>
        <v>0</v>
      </c>
      <c r="CD154" s="75">
        <f>Rentroll!$Y57*Index!CC59</f>
        <v>0</v>
      </c>
      <c r="CE154" s="75">
        <f>Rentroll!$Y57*Index!CD59</f>
        <v>0</v>
      </c>
      <c r="CF154" s="75">
        <f>Rentroll!$Y57*Index!CE59</f>
        <v>0</v>
      </c>
      <c r="CG154" s="75">
        <f>Rentroll!$Y57*Index!CF59</f>
        <v>0</v>
      </c>
      <c r="CH154" s="75">
        <f>Rentroll!$Y57*Index!CG59</f>
        <v>0</v>
      </c>
      <c r="CI154" s="75">
        <f>Rentroll!$Y57*Index!CH59</f>
        <v>0</v>
      </c>
      <c r="CJ154" s="75">
        <f>Rentroll!$Y57*Index!CI59</f>
        <v>0</v>
      </c>
      <c r="CK154" s="75">
        <f>Rentroll!$Y57*Index!CJ59</f>
        <v>0</v>
      </c>
      <c r="CL154" s="75">
        <f>Rentroll!$Y57*Index!CK59</f>
        <v>0</v>
      </c>
      <c r="CM154" s="75">
        <f>Rentroll!$Y57*Index!CL59</f>
        <v>0</v>
      </c>
      <c r="CN154" s="75">
        <f>Rentroll!$Y57*Index!CM59</f>
        <v>0</v>
      </c>
      <c r="CO154" s="75">
        <f>Rentroll!$Y57*Index!CN59</f>
        <v>0</v>
      </c>
      <c r="CP154" s="75">
        <f>Rentroll!$Y57*Index!CO59</f>
        <v>0</v>
      </c>
      <c r="CQ154" s="75">
        <f>Rentroll!$Y57*Index!CP59</f>
        <v>0</v>
      </c>
      <c r="CR154" s="75">
        <f>Rentroll!$Y57*Index!CQ59</f>
        <v>0</v>
      </c>
      <c r="CS154" s="75">
        <f>Rentroll!$Y57*Index!CR59</f>
        <v>0</v>
      </c>
      <c r="CT154" s="75">
        <f>Rentroll!$Y57*Index!CS59</f>
        <v>0</v>
      </c>
      <c r="CU154" s="75">
        <f>Rentroll!$Y57*Index!CT59</f>
        <v>0</v>
      </c>
      <c r="CV154" s="75">
        <f>Rentroll!$Y57*Index!CU59</f>
        <v>0</v>
      </c>
      <c r="CW154" s="75">
        <f>Rentroll!$Y57*Index!CV59</f>
        <v>0</v>
      </c>
      <c r="CX154" s="75">
        <f>Rentroll!$Y57*Index!CW59</f>
        <v>0</v>
      </c>
      <c r="CY154" s="75">
        <f>Rentroll!$Y57*Index!CX59</f>
        <v>0</v>
      </c>
      <c r="CZ154" s="75">
        <f>Rentroll!$Y57*Index!CY59</f>
        <v>0</v>
      </c>
      <c r="DA154" s="75">
        <f>Rentroll!$Y57*Index!CZ59</f>
        <v>0</v>
      </c>
      <c r="DB154" s="75">
        <f>Rentroll!$Y57*Index!DA59</f>
        <v>0</v>
      </c>
      <c r="DC154" s="75">
        <f>Rentroll!$Y57*Index!DB59</f>
        <v>0</v>
      </c>
      <c r="DD154" s="75">
        <f>Rentroll!$Y57*Index!DC59</f>
        <v>0</v>
      </c>
      <c r="DE154" s="75">
        <f>Rentroll!$Y57*Index!DD59</f>
        <v>0</v>
      </c>
      <c r="DF154" s="75">
        <f>Rentroll!$Y57*Index!DE59</f>
        <v>0</v>
      </c>
      <c r="DG154" s="75">
        <f>Rentroll!$Y57*Index!DF59</f>
        <v>0</v>
      </c>
      <c r="DH154" s="75">
        <f>Rentroll!$Y57*Index!DG59</f>
        <v>0</v>
      </c>
      <c r="DI154" s="75">
        <f>Rentroll!$Y57*Index!DH59</f>
        <v>0</v>
      </c>
      <c r="DJ154" s="75">
        <f>Rentroll!$Y57*Index!DI59</f>
        <v>0</v>
      </c>
      <c r="DK154" s="75">
        <f>Rentroll!$Y57*Index!DJ59</f>
        <v>0</v>
      </c>
      <c r="DL154" s="75">
        <f>Rentroll!$Y57*Index!DK59</f>
        <v>0</v>
      </c>
      <c r="DM154" s="75">
        <f>Rentroll!$Y57*Index!DL59</f>
        <v>0</v>
      </c>
    </row>
    <row r="155" spans="2:117">
      <c r="B155" s="28" t="str">
        <f>Rentroll!$C$58</f>
        <v>B101호</v>
      </c>
      <c r="C155" s="69" t="str">
        <f>VLOOKUP($B155,Rentroll!$C$37:$Z$60,3,FALSE)</f>
        <v>편안창고 스토리지</v>
      </c>
      <c r="D155" s="80">
        <f>VLOOKUP($B155,Rentroll!$C$37:$Z$60,9,FALSE)</f>
        <v>46752</v>
      </c>
      <c r="E155" s="80">
        <f>VLOOKUP($B155,Rentroll!$C$37:$Z$60,10,FALSE)</f>
        <v>48579</v>
      </c>
      <c r="F155" s="81">
        <f>VLOOKUP($B155,Rentroll!$C$37:$Z$60,11,FALSE)</f>
        <v>60</v>
      </c>
      <c r="G155" s="69">
        <f>VLOOKUP($B155,Rentroll!$C$37:$Z$60,13,FALSE)</f>
        <v>52116.712499999994</v>
      </c>
      <c r="H155" s="69">
        <f>VLOOKUP($B155,Rentroll!$C$37:$Z$60,14,FALSE)</f>
        <v>52116.712499999994</v>
      </c>
      <c r="I155" s="69">
        <f>VLOOKUP($B155,Rentroll!$C$37:$Z$60,15,FALSE)</f>
        <v>40000</v>
      </c>
      <c r="J155" s="82">
        <f>VLOOKUP($B155,Rentroll!$C$37:$Z$60,19,FALSE)</f>
        <v>0.03</v>
      </c>
      <c r="K155" s="83">
        <f>VLOOKUP($B155,Rentroll!$C$37:$Z$60,4,FALSE)</f>
        <v>969.56</v>
      </c>
      <c r="L155" s="81">
        <f>VLOOKUP($B155,Rentroll!$C$37:$Z$60,17,FALSE)</f>
        <v>1</v>
      </c>
      <c r="M155" s="84">
        <f>VLOOKUP($B155,Rentroll!$C$37:$Z$60,18,FALSE)</f>
        <v>0</v>
      </c>
      <c r="O155" s="74" t="str">
        <f t="shared" ref="O155" si="233">B155</f>
        <v>B101호</v>
      </c>
      <c r="P155" s="75"/>
      <c r="Q155" s="75"/>
      <c r="R155" s="75"/>
      <c r="S155" s="75">
        <f>Rentroll!$Y58*Index!R60</f>
        <v>0</v>
      </c>
      <c r="T155" s="75">
        <f>Rentroll!$Y58*Index!S60</f>
        <v>0</v>
      </c>
      <c r="U155" s="75">
        <f>Rentroll!$Y58*Index!T60</f>
        <v>0</v>
      </c>
      <c r="V155" s="75">
        <f>Rentroll!$Y58*Index!U60</f>
        <v>0</v>
      </c>
      <c r="W155" s="75">
        <f>Rentroll!$Y58*Index!V60</f>
        <v>0</v>
      </c>
      <c r="X155" s="75">
        <f>Rentroll!$Y58*Index!W60</f>
        <v>0</v>
      </c>
      <c r="Y155" s="75">
        <f>Rentroll!$Y58*Index!X60</f>
        <v>0</v>
      </c>
      <c r="Z155" s="75">
        <f>Rentroll!$Y58*Index!Y60</f>
        <v>0</v>
      </c>
      <c r="AA155" s="75">
        <f>Rentroll!$Y58*Index!Z60</f>
        <v>0</v>
      </c>
      <c r="AB155" s="75">
        <f>Rentroll!$Y58*Index!AA60</f>
        <v>0</v>
      </c>
      <c r="AC155" s="75">
        <f>Rentroll!$Y58*Index!AB60</f>
        <v>0</v>
      </c>
      <c r="AD155" s="75">
        <f>Rentroll!$Y58*Index!AC60</f>
        <v>0</v>
      </c>
      <c r="AE155" s="75">
        <f>Rentroll!$Y58*Index!AD60</f>
        <v>0</v>
      </c>
      <c r="AF155" s="75">
        <f>Rentroll!$Y58*Index!AE60</f>
        <v>0</v>
      </c>
      <c r="AG155" s="75">
        <f>Rentroll!$Y58*Index!AF60</f>
        <v>0</v>
      </c>
      <c r="AH155" s="75">
        <f>Rentroll!$Y58*Index!AG60</f>
        <v>0</v>
      </c>
      <c r="AI155" s="75">
        <f>Rentroll!$Y58*Index!AH60</f>
        <v>0</v>
      </c>
      <c r="AJ155" s="75">
        <f>Rentroll!$Y58*Index!AI60</f>
        <v>0</v>
      </c>
      <c r="AK155" s="75">
        <f>Rentroll!$Y58*Index!AJ60</f>
        <v>0</v>
      </c>
      <c r="AL155" s="75">
        <f>Rentroll!$Y58*Index!AK60</f>
        <v>0</v>
      </c>
      <c r="AM155" s="75">
        <f>Rentroll!$Y58*Index!AL60</f>
        <v>0</v>
      </c>
      <c r="AN155" s="75">
        <f>Rentroll!$Y58*Index!AM60</f>
        <v>0</v>
      </c>
      <c r="AO155" s="75">
        <f>Rentroll!$Y58*Index!AN60</f>
        <v>0</v>
      </c>
      <c r="AP155" s="75">
        <f>Rentroll!$Y58*Index!AO60</f>
        <v>0</v>
      </c>
      <c r="AQ155" s="75">
        <f>Rentroll!$Y58*Index!AP60</f>
        <v>0</v>
      </c>
      <c r="AR155" s="75">
        <f>Rentroll!$Y58*Index!AQ60</f>
        <v>0</v>
      </c>
      <c r="AS155" s="75">
        <f>Rentroll!$Y58*Index!AR60</f>
        <v>0</v>
      </c>
      <c r="AT155" s="75">
        <f>Rentroll!$Y58*Index!AS60</f>
        <v>0</v>
      </c>
      <c r="AU155" s="75">
        <f>Rentroll!$Y58*Index!AT60</f>
        <v>0</v>
      </c>
      <c r="AV155" s="75">
        <f>Rentroll!$Y58*Index!AU60</f>
        <v>0</v>
      </c>
      <c r="AW155" s="75">
        <f>Rentroll!$Y58*Index!AV60</f>
        <v>0</v>
      </c>
      <c r="AX155" s="75">
        <f>Rentroll!$Y58*Index!AW60</f>
        <v>0</v>
      </c>
      <c r="AY155" s="75">
        <f>Rentroll!$Y58*Index!AX60</f>
        <v>0</v>
      </c>
      <c r="AZ155" s="75">
        <f>Rentroll!$Y58*Index!AY60</f>
        <v>0</v>
      </c>
      <c r="BA155" s="75">
        <f>Rentroll!$Y58*Index!AZ60</f>
        <v>0</v>
      </c>
      <c r="BB155" s="75">
        <f>Rentroll!$Y58*Index!BA60</f>
        <v>0</v>
      </c>
      <c r="BC155" s="75">
        <f>Rentroll!$Y58*Index!BB60</f>
        <v>152.85409630878749</v>
      </c>
      <c r="BD155" s="75">
        <f>Rentroll!$Y58*Index!BC60</f>
        <v>152.85409630878749</v>
      </c>
      <c r="BE155" s="75">
        <f>Rentroll!$Y58*Index!BD60</f>
        <v>152.85409630878749</v>
      </c>
      <c r="BF155" s="75">
        <f>Rentroll!$Y58*Index!BE60</f>
        <v>152.85409630878749</v>
      </c>
      <c r="BG155" s="75">
        <f>Rentroll!$Y58*Index!BF60</f>
        <v>152.85409630878749</v>
      </c>
      <c r="BH155" s="75">
        <f>Rentroll!$Y58*Index!BG60</f>
        <v>152.85409630878749</v>
      </c>
      <c r="BI155" s="75">
        <f>Rentroll!$Y58*Index!BH60</f>
        <v>152.85409630878749</v>
      </c>
      <c r="BJ155" s="75">
        <f>Rentroll!$Y58*Index!BI60</f>
        <v>152.85409630878749</v>
      </c>
      <c r="BK155" s="75">
        <f>Rentroll!$Y58*Index!BJ60</f>
        <v>152.85409630878749</v>
      </c>
      <c r="BL155" s="75">
        <f>Rentroll!$Y58*Index!BK60</f>
        <v>152.85409630878749</v>
      </c>
      <c r="BM155" s="75">
        <f>Rentroll!$Y58*Index!BL60</f>
        <v>152.85409630878749</v>
      </c>
      <c r="BN155" s="75">
        <f>Rentroll!$Y58*Index!BM60</f>
        <v>152.85409630878749</v>
      </c>
      <c r="BO155" s="75">
        <f>Rentroll!$Y58*Index!BN60</f>
        <v>152.85409630878749</v>
      </c>
      <c r="BP155" s="75">
        <f>Rentroll!$Y58*Index!BO60</f>
        <v>152.85409630878749</v>
      </c>
      <c r="BQ155" s="75">
        <f>Rentroll!$Y58*Index!BP60</f>
        <v>152.85409630878749</v>
      </c>
      <c r="BR155" s="75">
        <f>Rentroll!$Y58*Index!BQ60</f>
        <v>152.85409630878749</v>
      </c>
      <c r="BS155" s="75">
        <f>Rentroll!$Y58*Index!BR60</f>
        <v>152.85409630878749</v>
      </c>
      <c r="BT155" s="75">
        <f>Rentroll!$Y58*Index!BS60</f>
        <v>152.85409630878749</v>
      </c>
      <c r="BU155" s="75">
        <f>Rentroll!$Y58*Index!BT60</f>
        <v>152.85409630878749</v>
      </c>
      <c r="BV155" s="75">
        <f>Rentroll!$Y58*Index!BU60</f>
        <v>152.85409630878749</v>
      </c>
      <c r="BW155" s="75">
        <f>Rentroll!$Y58*Index!BV60</f>
        <v>152.85409630878749</v>
      </c>
      <c r="BX155" s="75">
        <f>Rentroll!$Y58*Index!BW60</f>
        <v>152.85409630878749</v>
      </c>
      <c r="BY155" s="75">
        <f>Rentroll!$Y58*Index!BX60</f>
        <v>152.85409630878749</v>
      </c>
      <c r="BZ155" s="75">
        <f>Rentroll!$Y58*Index!BY60</f>
        <v>152.85409630878749</v>
      </c>
      <c r="CA155" s="75">
        <f>Rentroll!$Y58*Index!BZ60</f>
        <v>152.85409630878749</v>
      </c>
      <c r="CB155" s="75">
        <f>Rentroll!$Y58*Index!CA60</f>
        <v>0</v>
      </c>
      <c r="CC155" s="75">
        <f>Rentroll!$Y58*Index!CB60</f>
        <v>0</v>
      </c>
      <c r="CD155" s="75">
        <f>Rentroll!$Y58*Index!CC60</f>
        <v>0</v>
      </c>
      <c r="CE155" s="75">
        <f>Rentroll!$Y58*Index!CD60</f>
        <v>0</v>
      </c>
      <c r="CF155" s="75">
        <f>Rentroll!$Y58*Index!CE60</f>
        <v>0</v>
      </c>
      <c r="CG155" s="75">
        <f>Rentroll!$Y58*Index!CF60</f>
        <v>0</v>
      </c>
      <c r="CH155" s="75">
        <f>Rentroll!$Y58*Index!CG60</f>
        <v>0</v>
      </c>
      <c r="CI155" s="75">
        <f>Rentroll!$Y58*Index!CH60</f>
        <v>0</v>
      </c>
      <c r="CJ155" s="75">
        <f>Rentroll!$Y58*Index!CI60</f>
        <v>0</v>
      </c>
      <c r="CK155" s="75">
        <f>Rentroll!$Y58*Index!CJ60</f>
        <v>0</v>
      </c>
      <c r="CL155" s="75">
        <f>Rentroll!$Y58*Index!CK60</f>
        <v>0</v>
      </c>
      <c r="CM155" s="75">
        <f>Rentroll!$Y58*Index!CL60</f>
        <v>0</v>
      </c>
      <c r="CN155" s="75">
        <f>Rentroll!$Y58*Index!CM60</f>
        <v>0</v>
      </c>
      <c r="CO155" s="75">
        <f>Rentroll!$Y58*Index!CN60</f>
        <v>0</v>
      </c>
      <c r="CP155" s="75">
        <f>Rentroll!$Y58*Index!CO60</f>
        <v>0</v>
      </c>
      <c r="CQ155" s="75">
        <f>Rentroll!$Y58*Index!CP60</f>
        <v>0</v>
      </c>
      <c r="CR155" s="75">
        <f>Rentroll!$Y58*Index!CQ60</f>
        <v>0</v>
      </c>
      <c r="CS155" s="75">
        <f>Rentroll!$Y58*Index!CR60</f>
        <v>0</v>
      </c>
      <c r="CT155" s="75">
        <f>Rentroll!$Y58*Index!CS60</f>
        <v>0</v>
      </c>
      <c r="CU155" s="75">
        <f>Rentroll!$Y58*Index!CT60</f>
        <v>0</v>
      </c>
      <c r="CV155" s="75">
        <f>Rentroll!$Y58*Index!CU60</f>
        <v>0</v>
      </c>
      <c r="CW155" s="75">
        <f>Rentroll!$Y58*Index!CV60</f>
        <v>0</v>
      </c>
      <c r="CX155" s="75">
        <f>Rentroll!$Y58*Index!CW60</f>
        <v>0</v>
      </c>
      <c r="CY155" s="75">
        <f>Rentroll!$Y58*Index!CX60</f>
        <v>0</v>
      </c>
      <c r="CZ155" s="75">
        <f>Rentroll!$Y58*Index!CY60</f>
        <v>0</v>
      </c>
      <c r="DA155" s="75">
        <f>Rentroll!$Y58*Index!CZ60</f>
        <v>0</v>
      </c>
      <c r="DB155" s="75">
        <f>Rentroll!$Y58*Index!DA60</f>
        <v>0</v>
      </c>
      <c r="DC155" s="75">
        <f>Rentroll!$Y58*Index!DB60</f>
        <v>0</v>
      </c>
      <c r="DD155" s="75">
        <f>Rentroll!$Y58*Index!DC60</f>
        <v>0</v>
      </c>
      <c r="DE155" s="75">
        <f>Rentroll!$Y58*Index!DD60</f>
        <v>0</v>
      </c>
      <c r="DF155" s="75">
        <f>Rentroll!$Y58*Index!DE60</f>
        <v>0</v>
      </c>
      <c r="DG155" s="75">
        <f>Rentroll!$Y58*Index!DF60</f>
        <v>0</v>
      </c>
      <c r="DH155" s="75">
        <f>Rentroll!$Y58*Index!DG60</f>
        <v>0</v>
      </c>
      <c r="DI155" s="75">
        <f>Rentroll!$Y58*Index!DH60</f>
        <v>0</v>
      </c>
      <c r="DJ155" s="75">
        <f>Rentroll!$Y58*Index!DI60</f>
        <v>0</v>
      </c>
      <c r="DK155" s="75">
        <f>Rentroll!$Y58*Index!DJ60</f>
        <v>0</v>
      </c>
      <c r="DL155" s="75">
        <f>Rentroll!$Y58*Index!DK60</f>
        <v>0</v>
      </c>
      <c r="DM155" s="75">
        <f>Rentroll!$Y58*Index!DL60</f>
        <v>0</v>
      </c>
    </row>
    <row r="156" spans="2:117">
      <c r="B156" s="28" t="str">
        <f>Rentroll!$C$59</f>
        <v>B102호</v>
      </c>
      <c r="C156" s="69" t="str">
        <f>VLOOKUP($B156,Rentroll!$C$37:$Z$60,3,FALSE)</f>
        <v>스크린 퀀텀</v>
      </c>
      <c r="D156" s="80">
        <f>VLOOKUP($B156,Rentroll!$C$37:$Z$60,9,FALSE)</f>
        <v>46418</v>
      </c>
      <c r="E156" s="80">
        <f>VLOOKUP($B156,Rentroll!$C$37:$Z$60,10,FALSE)</f>
        <v>48244</v>
      </c>
      <c r="F156" s="81">
        <f>VLOOKUP($B156,Rentroll!$C$37:$Z$60,11,FALSE)</f>
        <v>60</v>
      </c>
      <c r="G156" s="69">
        <f>VLOOKUP($B156,Rentroll!$C$37:$Z$60,13,FALSE)</f>
        <v>52116.712499999994</v>
      </c>
      <c r="H156" s="69">
        <f>VLOOKUP($B156,Rentroll!$C$37:$Z$60,14,FALSE)</f>
        <v>52116.712499999994</v>
      </c>
      <c r="I156" s="69">
        <f>VLOOKUP($B156,Rentroll!$C$37:$Z$60,15,FALSE)</f>
        <v>40000</v>
      </c>
      <c r="J156" s="82">
        <f>VLOOKUP($B156,Rentroll!$C$37:$Z$60,19,FALSE)</f>
        <v>0.03</v>
      </c>
      <c r="K156" s="83">
        <f>VLOOKUP($B156,Rentroll!$C$37:$Z$60,4,FALSE)</f>
        <v>969.56</v>
      </c>
      <c r="L156" s="81">
        <f>VLOOKUP($B156,Rentroll!$C$37:$Z$60,17,FALSE)</f>
        <v>1</v>
      </c>
      <c r="M156" s="84">
        <f>VLOOKUP($B156,Rentroll!$C$37:$Z$60,18,FALSE)</f>
        <v>0</v>
      </c>
      <c r="O156" s="74" t="str">
        <f t="shared" si="232"/>
        <v>B102호</v>
      </c>
      <c r="P156" s="75"/>
      <c r="Q156" s="75"/>
      <c r="R156" s="75"/>
      <c r="S156" s="75">
        <f>Rentroll!$Y59*Index!R61</f>
        <v>0</v>
      </c>
      <c r="T156" s="75">
        <f>Rentroll!$Y59*Index!S61</f>
        <v>0</v>
      </c>
      <c r="U156" s="75">
        <f>Rentroll!$Y59*Index!T61</f>
        <v>0</v>
      </c>
      <c r="V156" s="75">
        <f>Rentroll!$Y59*Index!U61</f>
        <v>0</v>
      </c>
      <c r="W156" s="75">
        <f>Rentroll!$Y59*Index!V61</f>
        <v>0</v>
      </c>
      <c r="X156" s="75">
        <f>Rentroll!$Y59*Index!W61</f>
        <v>0</v>
      </c>
      <c r="Y156" s="75">
        <f>Rentroll!$Y59*Index!X61</f>
        <v>0</v>
      </c>
      <c r="Z156" s="75">
        <f>Rentroll!$Y59*Index!Y61</f>
        <v>0</v>
      </c>
      <c r="AA156" s="75">
        <f>Rentroll!$Y59*Index!Z61</f>
        <v>0</v>
      </c>
      <c r="AB156" s="75">
        <f>Rentroll!$Y59*Index!AA61</f>
        <v>0</v>
      </c>
      <c r="AC156" s="75">
        <f>Rentroll!$Y59*Index!AB61</f>
        <v>0</v>
      </c>
      <c r="AD156" s="75">
        <f>Rentroll!$Y59*Index!AC61</f>
        <v>0</v>
      </c>
      <c r="AE156" s="75">
        <f>Rentroll!$Y59*Index!AD61</f>
        <v>0</v>
      </c>
      <c r="AF156" s="75">
        <f>Rentroll!$Y59*Index!AE61</f>
        <v>0</v>
      </c>
      <c r="AG156" s="75">
        <f>Rentroll!$Y59*Index!AF61</f>
        <v>0</v>
      </c>
      <c r="AH156" s="75">
        <f>Rentroll!$Y59*Index!AG61</f>
        <v>0</v>
      </c>
      <c r="AI156" s="75">
        <f>Rentroll!$Y59*Index!AH61</f>
        <v>0</v>
      </c>
      <c r="AJ156" s="75">
        <f>Rentroll!$Y59*Index!AI61</f>
        <v>0</v>
      </c>
      <c r="AK156" s="75">
        <f>Rentroll!$Y59*Index!AJ61</f>
        <v>0</v>
      </c>
      <c r="AL156" s="75">
        <f>Rentroll!$Y59*Index!AK61</f>
        <v>0</v>
      </c>
      <c r="AM156" s="75">
        <f>Rentroll!$Y59*Index!AL61</f>
        <v>0</v>
      </c>
      <c r="AN156" s="75">
        <f>Rentroll!$Y59*Index!AM61</f>
        <v>0</v>
      </c>
      <c r="AO156" s="75">
        <f>Rentroll!$Y59*Index!AN61</f>
        <v>0</v>
      </c>
      <c r="AP156" s="75">
        <f>Rentroll!$Y59*Index!AO61</f>
        <v>0</v>
      </c>
      <c r="AQ156" s="75">
        <f>Rentroll!$Y59*Index!AP61</f>
        <v>0</v>
      </c>
      <c r="AR156" s="75">
        <f>Rentroll!$Y59*Index!AQ61</f>
        <v>152.85409630878749</v>
      </c>
      <c r="AS156" s="75">
        <f>Rentroll!$Y59*Index!AR61</f>
        <v>152.85409630878749</v>
      </c>
      <c r="AT156" s="75">
        <f>Rentroll!$Y59*Index!AS61</f>
        <v>152.85409630878749</v>
      </c>
      <c r="AU156" s="75">
        <f>Rentroll!$Y59*Index!AT61</f>
        <v>152.85409630878749</v>
      </c>
      <c r="AV156" s="75">
        <f>Rentroll!$Y59*Index!AU61</f>
        <v>152.85409630878749</v>
      </c>
      <c r="AW156" s="75">
        <f>Rentroll!$Y59*Index!AV61</f>
        <v>152.85409630878749</v>
      </c>
      <c r="AX156" s="75">
        <f>Rentroll!$Y59*Index!AW61</f>
        <v>152.85409630878749</v>
      </c>
      <c r="AY156" s="75">
        <f>Rentroll!$Y59*Index!AX61</f>
        <v>152.85409630878749</v>
      </c>
      <c r="AZ156" s="75">
        <f>Rentroll!$Y59*Index!AY61</f>
        <v>152.85409630878749</v>
      </c>
      <c r="BA156" s="75">
        <f>Rentroll!$Y59*Index!AZ61</f>
        <v>152.85409630878749</v>
      </c>
      <c r="BB156" s="75">
        <f>Rentroll!$Y59*Index!BA61</f>
        <v>152.85409630878749</v>
      </c>
      <c r="BC156" s="75">
        <f>Rentroll!$Y59*Index!BB61</f>
        <v>152.85409630878749</v>
      </c>
      <c r="BD156" s="75">
        <f>Rentroll!$Y59*Index!BC61</f>
        <v>152.85409630878749</v>
      </c>
      <c r="BE156" s="75">
        <f>Rentroll!$Y59*Index!BD61</f>
        <v>152.85409630878749</v>
      </c>
      <c r="BF156" s="75">
        <f>Rentroll!$Y59*Index!BE61</f>
        <v>152.85409630878749</v>
      </c>
      <c r="BG156" s="75">
        <f>Rentroll!$Y59*Index!BF61</f>
        <v>152.85409630878749</v>
      </c>
      <c r="BH156" s="75">
        <f>Rentroll!$Y59*Index!BG61</f>
        <v>152.85409630878749</v>
      </c>
      <c r="BI156" s="75">
        <f>Rentroll!$Y59*Index!BH61</f>
        <v>152.85409630878749</v>
      </c>
      <c r="BJ156" s="75">
        <f>Rentroll!$Y59*Index!BI61</f>
        <v>152.85409630878749</v>
      </c>
      <c r="BK156" s="75">
        <f>Rentroll!$Y59*Index!BJ61</f>
        <v>152.85409630878749</v>
      </c>
      <c r="BL156" s="75">
        <f>Rentroll!$Y59*Index!BK61</f>
        <v>152.85409630878749</v>
      </c>
      <c r="BM156" s="75">
        <f>Rentroll!$Y59*Index!BL61</f>
        <v>152.85409630878749</v>
      </c>
      <c r="BN156" s="75">
        <f>Rentroll!$Y59*Index!BM61</f>
        <v>152.85409630878749</v>
      </c>
      <c r="BO156" s="75">
        <f>Rentroll!$Y59*Index!BN61</f>
        <v>152.85409630878749</v>
      </c>
      <c r="BP156" s="75">
        <f>Rentroll!$Y59*Index!BO61</f>
        <v>152.85409630878749</v>
      </c>
      <c r="BQ156" s="75">
        <f>Rentroll!$Y59*Index!BP61</f>
        <v>152.85409630878749</v>
      </c>
      <c r="BR156" s="75">
        <f>Rentroll!$Y59*Index!BQ61</f>
        <v>152.85409630878749</v>
      </c>
      <c r="BS156" s="75">
        <f>Rentroll!$Y59*Index!BR61</f>
        <v>152.85409630878749</v>
      </c>
      <c r="BT156" s="75">
        <f>Rentroll!$Y59*Index!BS61</f>
        <v>152.85409630878749</v>
      </c>
      <c r="BU156" s="75">
        <f>Rentroll!$Y59*Index!BT61</f>
        <v>152.85409630878749</v>
      </c>
      <c r="BV156" s="75">
        <f>Rentroll!$Y59*Index!BU61</f>
        <v>152.85409630878749</v>
      </c>
      <c r="BW156" s="75">
        <f>Rentroll!$Y59*Index!BV61</f>
        <v>152.85409630878749</v>
      </c>
      <c r="BX156" s="75">
        <f>Rentroll!$Y59*Index!BW61</f>
        <v>152.85409630878749</v>
      </c>
      <c r="BY156" s="75">
        <f>Rentroll!$Y59*Index!BX61</f>
        <v>152.85409630878749</v>
      </c>
      <c r="BZ156" s="75">
        <f>Rentroll!$Y59*Index!BY61</f>
        <v>152.85409630878749</v>
      </c>
      <c r="CA156" s="75">
        <f>Rentroll!$Y59*Index!BZ61</f>
        <v>152.85409630878749</v>
      </c>
      <c r="CB156" s="75">
        <f>Rentroll!$Y59*Index!CA61</f>
        <v>0</v>
      </c>
      <c r="CC156" s="75">
        <f>Rentroll!$Y59*Index!CB61</f>
        <v>0</v>
      </c>
      <c r="CD156" s="75">
        <f>Rentroll!$Y59*Index!CC61</f>
        <v>0</v>
      </c>
      <c r="CE156" s="75">
        <f>Rentroll!$Y59*Index!CD61</f>
        <v>0</v>
      </c>
      <c r="CF156" s="75">
        <f>Rentroll!$Y59*Index!CE61</f>
        <v>0</v>
      </c>
      <c r="CG156" s="75">
        <f>Rentroll!$Y59*Index!CF61</f>
        <v>0</v>
      </c>
      <c r="CH156" s="75">
        <f>Rentroll!$Y59*Index!CG61</f>
        <v>0</v>
      </c>
      <c r="CI156" s="75">
        <f>Rentroll!$Y59*Index!CH61</f>
        <v>0</v>
      </c>
      <c r="CJ156" s="75">
        <f>Rentroll!$Y59*Index!CI61</f>
        <v>0</v>
      </c>
      <c r="CK156" s="75">
        <f>Rentroll!$Y59*Index!CJ61</f>
        <v>0</v>
      </c>
      <c r="CL156" s="75">
        <f>Rentroll!$Y59*Index!CK61</f>
        <v>0</v>
      </c>
      <c r="CM156" s="75">
        <f>Rentroll!$Y59*Index!CL61</f>
        <v>0</v>
      </c>
      <c r="CN156" s="75">
        <f>Rentroll!$Y59*Index!CM61</f>
        <v>0</v>
      </c>
      <c r="CO156" s="75">
        <f>Rentroll!$Y59*Index!CN61</f>
        <v>0</v>
      </c>
      <c r="CP156" s="75">
        <f>Rentroll!$Y59*Index!CO61</f>
        <v>0</v>
      </c>
      <c r="CQ156" s="75">
        <f>Rentroll!$Y59*Index!CP61</f>
        <v>0</v>
      </c>
      <c r="CR156" s="75">
        <f>Rentroll!$Y59*Index!CQ61</f>
        <v>0</v>
      </c>
      <c r="CS156" s="75">
        <f>Rentroll!$Y59*Index!CR61</f>
        <v>0</v>
      </c>
      <c r="CT156" s="75">
        <f>Rentroll!$Y59*Index!CS61</f>
        <v>0</v>
      </c>
      <c r="CU156" s="75">
        <f>Rentroll!$Y59*Index!CT61</f>
        <v>0</v>
      </c>
      <c r="CV156" s="75">
        <f>Rentroll!$Y59*Index!CU61</f>
        <v>0</v>
      </c>
      <c r="CW156" s="75">
        <f>Rentroll!$Y59*Index!CV61</f>
        <v>0</v>
      </c>
      <c r="CX156" s="75">
        <f>Rentroll!$Y59*Index!CW61</f>
        <v>0</v>
      </c>
      <c r="CY156" s="75">
        <f>Rentroll!$Y59*Index!CX61</f>
        <v>0</v>
      </c>
      <c r="CZ156" s="75">
        <f>Rentroll!$Y59*Index!CY61</f>
        <v>0</v>
      </c>
      <c r="DA156" s="75">
        <f>Rentroll!$Y59*Index!CZ61</f>
        <v>0</v>
      </c>
      <c r="DB156" s="75">
        <f>Rentroll!$Y59*Index!DA61</f>
        <v>0</v>
      </c>
      <c r="DC156" s="75">
        <f>Rentroll!$Y59*Index!DB61</f>
        <v>0</v>
      </c>
      <c r="DD156" s="75">
        <f>Rentroll!$Y59*Index!DC61</f>
        <v>0</v>
      </c>
      <c r="DE156" s="75">
        <f>Rentroll!$Y59*Index!DD61</f>
        <v>0</v>
      </c>
      <c r="DF156" s="75">
        <f>Rentroll!$Y59*Index!DE61</f>
        <v>0</v>
      </c>
      <c r="DG156" s="75">
        <f>Rentroll!$Y59*Index!DF61</f>
        <v>0</v>
      </c>
      <c r="DH156" s="75">
        <f>Rentroll!$Y59*Index!DG61</f>
        <v>0</v>
      </c>
      <c r="DI156" s="75">
        <f>Rentroll!$Y59*Index!DH61</f>
        <v>0</v>
      </c>
      <c r="DJ156" s="75">
        <f>Rentroll!$Y59*Index!DI61</f>
        <v>0</v>
      </c>
      <c r="DK156" s="75">
        <f>Rentroll!$Y59*Index!DJ61</f>
        <v>0</v>
      </c>
      <c r="DL156" s="75">
        <f>Rentroll!$Y59*Index!DK61</f>
        <v>0</v>
      </c>
      <c r="DM156" s="75">
        <f>Rentroll!$Y59*Index!DL61</f>
        <v>0</v>
      </c>
    </row>
    <row r="157" spans="2:117">
      <c r="B157" s="28">
        <f>Rentroll!$C$60</f>
        <v>0</v>
      </c>
      <c r="C157" s="69">
        <f>VLOOKUP($B157,Rentroll!$C$37:$Z$60,3,FALSE)</f>
        <v>0</v>
      </c>
      <c r="D157" s="80">
        <f>VLOOKUP($B157,Rentroll!$C$37:$Z$60,9,FALSE)</f>
        <v>0</v>
      </c>
      <c r="E157" s="80">
        <f>VLOOKUP($B157,Rentroll!$C$37:$Z$60,10,FALSE)</f>
        <v>0</v>
      </c>
      <c r="F157" s="81">
        <f>VLOOKUP($B157,Rentroll!$C$37:$Z$60,11,FALSE)</f>
        <v>0</v>
      </c>
      <c r="G157" s="69">
        <f>VLOOKUP($B157,Rentroll!$C$37:$Z$60,13,FALSE)</f>
        <v>0</v>
      </c>
      <c r="H157" s="69">
        <f>VLOOKUP($B157,Rentroll!$C$37:$Z$60,14,FALSE)</f>
        <v>0</v>
      </c>
      <c r="I157" s="69">
        <f>VLOOKUP($B157,Rentroll!$C$37:$Z$60,15,FALSE)</f>
        <v>0</v>
      </c>
      <c r="J157" s="82">
        <f>VLOOKUP($B157,Rentroll!$C$37:$Z$60,19,FALSE)</f>
        <v>0</v>
      </c>
      <c r="K157" s="83">
        <f>VLOOKUP($B157,Rentroll!$C$37:$Z$60,4,FALSE)</f>
        <v>0</v>
      </c>
      <c r="L157" s="81">
        <f>VLOOKUP($B157,Rentroll!$C$37:$Z$60,17,FALSE)</f>
        <v>0</v>
      </c>
      <c r="M157" s="84">
        <f>VLOOKUP($B157,Rentroll!$C$37:$Z$60,18,FALSE)</f>
        <v>0</v>
      </c>
      <c r="O157" s="132">
        <f t="shared" si="232"/>
        <v>0</v>
      </c>
      <c r="P157" s="133"/>
      <c r="Q157" s="133"/>
      <c r="R157" s="133"/>
      <c r="S157" s="133">
        <f>Rentroll!$Y60*Index!R62</f>
        <v>0</v>
      </c>
      <c r="T157" s="133">
        <f>Rentroll!$Y60*Index!S62</f>
        <v>0</v>
      </c>
      <c r="U157" s="133">
        <f>Rentroll!$Y60*Index!T62</f>
        <v>0</v>
      </c>
      <c r="V157" s="133">
        <f>Rentroll!$Y60*Index!U62</f>
        <v>0</v>
      </c>
      <c r="W157" s="133">
        <f>Rentroll!$Y60*Index!V62</f>
        <v>0</v>
      </c>
      <c r="X157" s="133">
        <f>Rentroll!$Y60*Index!W62</f>
        <v>0</v>
      </c>
      <c r="Y157" s="133">
        <f>Rentroll!$Y60*Index!X62</f>
        <v>0</v>
      </c>
      <c r="Z157" s="133">
        <f>Rentroll!$Y60*Index!Y62</f>
        <v>0</v>
      </c>
      <c r="AA157" s="133">
        <f>Rentroll!$Y60*Index!Z62</f>
        <v>0</v>
      </c>
      <c r="AB157" s="133">
        <f>Rentroll!$Y60*Index!AA62</f>
        <v>0</v>
      </c>
      <c r="AC157" s="133">
        <f>Rentroll!$Y60*Index!AB62</f>
        <v>0</v>
      </c>
      <c r="AD157" s="133">
        <f>Rentroll!$Y60*Index!AC62</f>
        <v>0</v>
      </c>
      <c r="AE157" s="133">
        <f>Rentroll!$Y60*Index!AD62</f>
        <v>0</v>
      </c>
      <c r="AF157" s="133">
        <f>Rentroll!$Y60*Index!AE62</f>
        <v>0</v>
      </c>
      <c r="AG157" s="133">
        <f>Rentroll!$Y60*Index!AF62</f>
        <v>0</v>
      </c>
      <c r="AH157" s="133">
        <f>Rentroll!$Y60*Index!AG62</f>
        <v>0</v>
      </c>
      <c r="AI157" s="133">
        <f>Rentroll!$Y60*Index!AH62</f>
        <v>0</v>
      </c>
      <c r="AJ157" s="133">
        <f>Rentroll!$Y60*Index!AI62</f>
        <v>0</v>
      </c>
      <c r="AK157" s="133">
        <f>Rentroll!$Y60*Index!AJ62</f>
        <v>0</v>
      </c>
      <c r="AL157" s="133">
        <f>Rentroll!$Y60*Index!AK62</f>
        <v>0</v>
      </c>
      <c r="AM157" s="133">
        <f>Rentroll!$Y60*Index!AL62</f>
        <v>0</v>
      </c>
      <c r="AN157" s="133">
        <f>Rentroll!$Y60*Index!AM62</f>
        <v>0</v>
      </c>
      <c r="AO157" s="133">
        <f>Rentroll!$Y60*Index!AN62</f>
        <v>0</v>
      </c>
      <c r="AP157" s="133">
        <f>Rentroll!$Y60*Index!AO62</f>
        <v>0</v>
      </c>
      <c r="AQ157" s="133">
        <f>Rentroll!$Y60*Index!AP62</f>
        <v>0</v>
      </c>
      <c r="AR157" s="133">
        <f>Rentroll!$Y60*Index!AQ62</f>
        <v>0</v>
      </c>
      <c r="AS157" s="133">
        <f>Rentroll!$Y60*Index!AR62</f>
        <v>0</v>
      </c>
      <c r="AT157" s="133">
        <f>Rentroll!$Y60*Index!AS62</f>
        <v>0</v>
      </c>
      <c r="AU157" s="133">
        <f>Rentroll!$Y60*Index!AT62</f>
        <v>0</v>
      </c>
      <c r="AV157" s="133">
        <f>Rentroll!$Y60*Index!AU62</f>
        <v>0</v>
      </c>
      <c r="AW157" s="133">
        <f>Rentroll!$Y60*Index!AV62</f>
        <v>0</v>
      </c>
      <c r="AX157" s="133">
        <f>Rentroll!$Y60*Index!AW62</f>
        <v>0</v>
      </c>
      <c r="AY157" s="133">
        <f>Rentroll!$Y60*Index!AX62</f>
        <v>0</v>
      </c>
      <c r="AZ157" s="133">
        <f>Rentroll!$Y60*Index!AY62</f>
        <v>0</v>
      </c>
      <c r="BA157" s="133">
        <f>Rentroll!$Y60*Index!AZ62</f>
        <v>0</v>
      </c>
      <c r="BB157" s="133">
        <f>Rentroll!$Y60*Index!BA62</f>
        <v>0</v>
      </c>
      <c r="BC157" s="133">
        <f>Rentroll!$Y60*Index!BB62</f>
        <v>0</v>
      </c>
      <c r="BD157" s="133">
        <f>Rentroll!$Y60*Index!BC62</f>
        <v>0</v>
      </c>
      <c r="BE157" s="133">
        <f>Rentroll!$Y60*Index!BD62</f>
        <v>0</v>
      </c>
      <c r="BF157" s="133">
        <f>Rentroll!$Y60*Index!BE62</f>
        <v>0</v>
      </c>
      <c r="BG157" s="133">
        <f>Rentroll!$Y60*Index!BF62</f>
        <v>0</v>
      </c>
      <c r="BH157" s="133">
        <f>Rentroll!$Y60*Index!BG62</f>
        <v>0</v>
      </c>
      <c r="BI157" s="133">
        <f>Rentroll!$Y60*Index!BH62</f>
        <v>0</v>
      </c>
      <c r="BJ157" s="133">
        <f>Rentroll!$Y60*Index!BI62</f>
        <v>0</v>
      </c>
      <c r="BK157" s="133">
        <f>Rentroll!$Y60*Index!BJ62</f>
        <v>0</v>
      </c>
      <c r="BL157" s="133">
        <f>Rentroll!$Y60*Index!BK62</f>
        <v>0</v>
      </c>
      <c r="BM157" s="133">
        <f>Rentroll!$Y60*Index!BL62</f>
        <v>0</v>
      </c>
      <c r="BN157" s="133">
        <f>Rentroll!$Y60*Index!BM62</f>
        <v>0</v>
      </c>
      <c r="BO157" s="133">
        <f>Rentroll!$Y60*Index!BN62</f>
        <v>0</v>
      </c>
      <c r="BP157" s="133">
        <f>Rentroll!$Y60*Index!BO62</f>
        <v>0</v>
      </c>
      <c r="BQ157" s="133">
        <f>Rentroll!$Y60*Index!BP62</f>
        <v>0</v>
      </c>
      <c r="BR157" s="133">
        <f>Rentroll!$Y60*Index!BQ62</f>
        <v>0</v>
      </c>
      <c r="BS157" s="133">
        <f>Rentroll!$Y60*Index!BR62</f>
        <v>0</v>
      </c>
      <c r="BT157" s="133">
        <f>Rentroll!$Y60*Index!BS62</f>
        <v>0</v>
      </c>
      <c r="BU157" s="133">
        <f>Rentroll!$Y60*Index!BT62</f>
        <v>0</v>
      </c>
      <c r="BV157" s="133">
        <f>Rentroll!$Y60*Index!BU62</f>
        <v>0</v>
      </c>
      <c r="BW157" s="133">
        <f>Rentroll!$Y60*Index!BV62</f>
        <v>0</v>
      </c>
      <c r="BX157" s="133">
        <f>Rentroll!$Y60*Index!BW62</f>
        <v>0</v>
      </c>
      <c r="BY157" s="133">
        <f>Rentroll!$Y60*Index!BX62</f>
        <v>0</v>
      </c>
      <c r="BZ157" s="133">
        <f>Rentroll!$Y60*Index!BY62</f>
        <v>0</v>
      </c>
      <c r="CA157" s="133">
        <f>Rentroll!$Y60*Index!BZ62</f>
        <v>0</v>
      </c>
      <c r="CB157" s="133">
        <f>Rentroll!$Y60*Index!CA62</f>
        <v>0</v>
      </c>
      <c r="CC157" s="133">
        <f>Rentroll!$Y60*Index!CB62</f>
        <v>0</v>
      </c>
      <c r="CD157" s="133">
        <f>Rentroll!$Y60*Index!CC62</f>
        <v>0</v>
      </c>
      <c r="CE157" s="133">
        <f>Rentroll!$Y60*Index!CD62</f>
        <v>0</v>
      </c>
      <c r="CF157" s="133">
        <f>Rentroll!$Y60*Index!CE62</f>
        <v>0</v>
      </c>
      <c r="CG157" s="133">
        <f>Rentroll!$Y60*Index!CF62</f>
        <v>0</v>
      </c>
      <c r="CH157" s="133">
        <f>Rentroll!$Y60*Index!CG62</f>
        <v>0</v>
      </c>
      <c r="CI157" s="133">
        <f>Rentroll!$Y60*Index!CH62</f>
        <v>0</v>
      </c>
      <c r="CJ157" s="133">
        <f>Rentroll!$Y60*Index!CI62</f>
        <v>0</v>
      </c>
      <c r="CK157" s="133">
        <f>Rentroll!$Y60*Index!CJ62</f>
        <v>0</v>
      </c>
      <c r="CL157" s="133">
        <f>Rentroll!$Y60*Index!CK62</f>
        <v>0</v>
      </c>
      <c r="CM157" s="133">
        <f>Rentroll!$Y60*Index!CL62</f>
        <v>0</v>
      </c>
      <c r="CN157" s="133">
        <f>Rentroll!$Y60*Index!CM62</f>
        <v>0</v>
      </c>
      <c r="CO157" s="133">
        <f>Rentroll!$Y60*Index!CN62</f>
        <v>0</v>
      </c>
      <c r="CP157" s="133">
        <f>Rentroll!$Y60*Index!CO62</f>
        <v>0</v>
      </c>
      <c r="CQ157" s="133">
        <f>Rentroll!$Y60*Index!CP62</f>
        <v>0</v>
      </c>
      <c r="CR157" s="133">
        <f>Rentroll!$Y60*Index!CQ62</f>
        <v>0</v>
      </c>
      <c r="CS157" s="133">
        <f>Rentroll!$Y60*Index!CR62</f>
        <v>0</v>
      </c>
      <c r="CT157" s="133">
        <f>Rentroll!$Y60*Index!CS62</f>
        <v>0</v>
      </c>
      <c r="CU157" s="133">
        <f>Rentroll!$Y60*Index!CT62</f>
        <v>0</v>
      </c>
      <c r="CV157" s="133">
        <f>Rentroll!$Y60*Index!CU62</f>
        <v>0</v>
      </c>
      <c r="CW157" s="133">
        <f>Rentroll!$Y60*Index!CV62</f>
        <v>0</v>
      </c>
      <c r="CX157" s="133">
        <f>Rentroll!$Y60*Index!CW62</f>
        <v>0</v>
      </c>
      <c r="CY157" s="133">
        <f>Rentroll!$Y60*Index!CX62</f>
        <v>0</v>
      </c>
      <c r="CZ157" s="133">
        <f>Rentroll!$Y60*Index!CY62</f>
        <v>0</v>
      </c>
      <c r="DA157" s="133">
        <f>Rentroll!$Y60*Index!CZ62</f>
        <v>0</v>
      </c>
      <c r="DB157" s="133">
        <f>Rentroll!$Y60*Index!DA62</f>
        <v>0</v>
      </c>
      <c r="DC157" s="133">
        <f>Rentroll!$Y60*Index!DB62</f>
        <v>0</v>
      </c>
      <c r="DD157" s="133">
        <f>Rentroll!$Y60*Index!DC62</f>
        <v>0</v>
      </c>
      <c r="DE157" s="133">
        <f>Rentroll!$Y60*Index!DD62</f>
        <v>0</v>
      </c>
      <c r="DF157" s="133">
        <f>Rentroll!$Y60*Index!DE62</f>
        <v>0</v>
      </c>
      <c r="DG157" s="133">
        <f>Rentroll!$Y60*Index!DF62</f>
        <v>0</v>
      </c>
      <c r="DH157" s="133">
        <f>Rentroll!$Y60*Index!DG62</f>
        <v>0</v>
      </c>
      <c r="DI157" s="133">
        <f>Rentroll!$Y60*Index!DH62</f>
        <v>0</v>
      </c>
      <c r="DJ157" s="133">
        <f>Rentroll!$Y60*Index!DI62</f>
        <v>0</v>
      </c>
      <c r="DK157" s="133">
        <f>Rentroll!$Y60*Index!DJ62</f>
        <v>0</v>
      </c>
      <c r="DL157" s="133">
        <f>Rentroll!$Y60*Index!DK62</f>
        <v>0</v>
      </c>
      <c r="DM157" s="133">
        <f>Rentroll!$Y60*Index!DL62</f>
        <v>0</v>
      </c>
    </row>
    <row r="159" spans="2:117">
      <c r="N159" s="2" t="s">
        <v>209</v>
      </c>
    </row>
    <row r="160" spans="2:117">
      <c r="O160" s="13" t="s">
        <v>210</v>
      </c>
      <c r="S160" s="13">
        <f>Rentroll!$Y$32</f>
        <v>4918.9382825000002</v>
      </c>
      <c r="T160" s="13">
        <f>S163</f>
        <v>4918.9382825000002</v>
      </c>
      <c r="U160" s="13">
        <f t="shared" ref="U160:CF160" si="234">T163</f>
        <v>6213.6165327500003</v>
      </c>
      <c r="V160" s="13">
        <f t="shared" si="234"/>
        <v>6008.3122027500003</v>
      </c>
      <c r="W160" s="13">
        <f t="shared" si="234"/>
        <v>6552.9988452500002</v>
      </c>
      <c r="X160" s="13">
        <f t="shared" si="234"/>
        <v>6552.9988452500002</v>
      </c>
      <c r="Y160" s="13">
        <f t="shared" si="234"/>
        <v>6552.9988452500002</v>
      </c>
      <c r="Z160" s="13">
        <f t="shared" si="234"/>
        <v>6992.9366952500004</v>
      </c>
      <c r="AA160" s="13">
        <f t="shared" si="234"/>
        <v>7378.4072422499994</v>
      </c>
      <c r="AB160" s="13">
        <f t="shared" si="234"/>
        <v>7378.4072422499994</v>
      </c>
      <c r="AC160" s="13">
        <f t="shared" si="234"/>
        <v>7378.4072422499994</v>
      </c>
      <c r="AD160" s="13">
        <f t="shared" si="234"/>
        <v>7378.4072422499994</v>
      </c>
      <c r="AE160" s="13">
        <f t="shared" si="234"/>
        <v>7378.4072422499994</v>
      </c>
      <c r="AF160" s="13">
        <f t="shared" si="234"/>
        <v>7378.4072422499994</v>
      </c>
      <c r="AG160" s="13">
        <f t="shared" si="234"/>
        <v>7378.4072422499994</v>
      </c>
      <c r="AH160" s="13">
        <f t="shared" si="234"/>
        <v>7378.4072422499994</v>
      </c>
      <c r="AI160" s="13">
        <f t="shared" si="234"/>
        <v>7378.4072422499994</v>
      </c>
      <c r="AJ160" s="13">
        <f t="shared" si="234"/>
        <v>7378.4072422499994</v>
      </c>
      <c r="AK160" s="13">
        <f t="shared" si="234"/>
        <v>7378.4072422499994</v>
      </c>
      <c r="AL160" s="13">
        <f t="shared" si="234"/>
        <v>7378.4072422499994</v>
      </c>
      <c r="AM160" s="13">
        <f t="shared" si="234"/>
        <v>7378.4072422499994</v>
      </c>
      <c r="AN160" s="13">
        <f t="shared" si="234"/>
        <v>7378.4072422499994</v>
      </c>
      <c r="AO160" s="13">
        <f t="shared" si="234"/>
        <v>7378.4072422499994</v>
      </c>
      <c r="AP160" s="13">
        <f t="shared" si="234"/>
        <v>7378.4072422499994</v>
      </c>
      <c r="AQ160" s="13">
        <f t="shared" si="234"/>
        <v>7378.4072422499994</v>
      </c>
      <c r="AR160" s="13">
        <f t="shared" si="234"/>
        <v>7378.4072422499994</v>
      </c>
      <c r="AS160" s="13">
        <f t="shared" si="234"/>
        <v>7443.2737685587872</v>
      </c>
      <c r="AT160" s="13">
        <f t="shared" si="234"/>
        <v>7443.2737685587872</v>
      </c>
      <c r="AU160" s="13">
        <f t="shared" si="234"/>
        <v>7607.8223462888627</v>
      </c>
      <c r="AV160" s="13">
        <f t="shared" si="234"/>
        <v>7607.8223462888627</v>
      </c>
      <c r="AW160" s="13">
        <f t="shared" si="234"/>
        <v>7607.8223462888627</v>
      </c>
      <c r="AX160" s="13">
        <f t="shared" si="234"/>
        <v>7607.8223462888627</v>
      </c>
      <c r="AY160" s="13">
        <f t="shared" si="234"/>
        <v>7607.8223462888627</v>
      </c>
      <c r="AZ160" s="13">
        <f t="shared" si="234"/>
        <v>7607.8223462888627</v>
      </c>
      <c r="BA160" s="13">
        <f t="shared" si="234"/>
        <v>7607.8223462888627</v>
      </c>
      <c r="BB160" s="13">
        <f t="shared" si="234"/>
        <v>7607.8223462888627</v>
      </c>
      <c r="BC160" s="13">
        <f t="shared" si="234"/>
        <v>7607.8223462888627</v>
      </c>
      <c r="BD160" s="13">
        <f t="shared" si="234"/>
        <v>7702.01806259765</v>
      </c>
      <c r="BE160" s="13">
        <f t="shared" si="234"/>
        <v>7702.01806259765</v>
      </c>
      <c r="BF160" s="13">
        <f t="shared" si="234"/>
        <v>7702.01806259765</v>
      </c>
      <c r="BG160" s="13">
        <f t="shared" si="234"/>
        <v>7702.01806259765</v>
      </c>
      <c r="BH160" s="13">
        <f t="shared" si="234"/>
        <v>7702.01806259765</v>
      </c>
      <c r="BI160" s="13">
        <f t="shared" si="234"/>
        <v>7807.1918661716045</v>
      </c>
      <c r="BJ160" s="13">
        <f t="shared" si="234"/>
        <v>7807.1918661716045</v>
      </c>
      <c r="BK160" s="13">
        <f t="shared" si="234"/>
        <v>7807.1918661716045</v>
      </c>
      <c r="BL160" s="13">
        <f t="shared" si="234"/>
        <v>7807.1918661716045</v>
      </c>
      <c r="BM160" s="13">
        <f t="shared" si="234"/>
        <v>7807.1918661716045</v>
      </c>
      <c r="BN160" s="13">
        <f t="shared" si="234"/>
        <v>7807.1918661716045</v>
      </c>
      <c r="BO160" s="13">
        <f t="shared" si="234"/>
        <v>7807.1918661716045</v>
      </c>
      <c r="BP160" s="13">
        <f t="shared" si="234"/>
        <v>7807.1918661716045</v>
      </c>
      <c r="BQ160" s="13">
        <f t="shared" si="234"/>
        <v>7940.6602673527777</v>
      </c>
      <c r="BR160" s="13">
        <f t="shared" si="234"/>
        <v>7940.6602673527777</v>
      </c>
      <c r="BS160" s="13">
        <f t="shared" si="234"/>
        <v>7940.6602673527777</v>
      </c>
      <c r="BT160" s="13">
        <f t="shared" si="234"/>
        <v>7940.6602673527777</v>
      </c>
      <c r="BU160" s="13">
        <f t="shared" si="234"/>
        <v>7940.6602673527777</v>
      </c>
      <c r="BV160" s="13">
        <f t="shared" si="234"/>
        <v>7940.6602673527777</v>
      </c>
      <c r="BW160" s="13">
        <f t="shared" si="234"/>
        <v>7940.6602673527777</v>
      </c>
      <c r="BX160" s="13">
        <f t="shared" si="234"/>
        <v>7940.6602673527777</v>
      </c>
      <c r="BY160" s="13">
        <f t="shared" si="234"/>
        <v>7940.6602673527777</v>
      </c>
      <c r="BZ160" s="13">
        <f t="shared" si="234"/>
        <v>7940.6602673527777</v>
      </c>
      <c r="CA160" s="13">
        <f t="shared" si="234"/>
        <v>7940.6602673527777</v>
      </c>
      <c r="CB160" s="13">
        <f t="shared" si="234"/>
        <v>0</v>
      </c>
      <c r="CC160" s="13">
        <f t="shared" si="234"/>
        <v>0</v>
      </c>
      <c r="CD160" s="13">
        <f t="shared" si="234"/>
        <v>0</v>
      </c>
      <c r="CE160" s="13">
        <f t="shared" si="234"/>
        <v>0</v>
      </c>
      <c r="CF160" s="13">
        <f t="shared" si="234"/>
        <v>0</v>
      </c>
      <c r="CG160" s="13">
        <f t="shared" ref="CG160:DM160" si="235">CF163</f>
        <v>0</v>
      </c>
      <c r="CH160" s="13">
        <f t="shared" si="235"/>
        <v>0</v>
      </c>
      <c r="CI160" s="13">
        <f t="shared" si="235"/>
        <v>0</v>
      </c>
      <c r="CJ160" s="13">
        <f t="shared" si="235"/>
        <v>0</v>
      </c>
      <c r="CK160" s="13">
        <f t="shared" si="235"/>
        <v>0</v>
      </c>
      <c r="CL160" s="13">
        <f t="shared" si="235"/>
        <v>0</v>
      </c>
      <c r="CM160" s="13">
        <f t="shared" si="235"/>
        <v>0</v>
      </c>
      <c r="CN160" s="13">
        <f t="shared" si="235"/>
        <v>0</v>
      </c>
      <c r="CO160" s="13">
        <f t="shared" si="235"/>
        <v>0</v>
      </c>
      <c r="CP160" s="13">
        <f t="shared" si="235"/>
        <v>0</v>
      </c>
      <c r="CQ160" s="13">
        <f t="shared" si="235"/>
        <v>0</v>
      </c>
      <c r="CR160" s="13">
        <f t="shared" si="235"/>
        <v>0</v>
      </c>
      <c r="CS160" s="13">
        <f t="shared" si="235"/>
        <v>0</v>
      </c>
      <c r="CT160" s="13">
        <f t="shared" si="235"/>
        <v>0</v>
      </c>
      <c r="CU160" s="13">
        <f t="shared" si="235"/>
        <v>0</v>
      </c>
      <c r="CV160" s="13">
        <f t="shared" si="235"/>
        <v>0</v>
      </c>
      <c r="CW160" s="13">
        <f t="shared" si="235"/>
        <v>0</v>
      </c>
      <c r="CX160" s="13">
        <f t="shared" si="235"/>
        <v>0</v>
      </c>
      <c r="CY160" s="13">
        <f t="shared" si="235"/>
        <v>0</v>
      </c>
      <c r="CZ160" s="13">
        <f t="shared" si="235"/>
        <v>0</v>
      </c>
      <c r="DA160" s="13">
        <f t="shared" si="235"/>
        <v>0</v>
      </c>
      <c r="DB160" s="13">
        <f t="shared" si="235"/>
        <v>0</v>
      </c>
      <c r="DC160" s="13">
        <f t="shared" si="235"/>
        <v>0</v>
      </c>
      <c r="DD160" s="13">
        <f t="shared" si="235"/>
        <v>0</v>
      </c>
      <c r="DE160" s="13">
        <f t="shared" si="235"/>
        <v>0</v>
      </c>
      <c r="DF160" s="13">
        <f t="shared" si="235"/>
        <v>0</v>
      </c>
      <c r="DG160" s="13">
        <f t="shared" si="235"/>
        <v>0</v>
      </c>
      <c r="DH160" s="13">
        <f t="shared" si="235"/>
        <v>0</v>
      </c>
      <c r="DI160" s="13">
        <f t="shared" si="235"/>
        <v>0</v>
      </c>
      <c r="DJ160" s="13">
        <f t="shared" si="235"/>
        <v>0</v>
      </c>
      <c r="DK160" s="13">
        <f t="shared" si="235"/>
        <v>0</v>
      </c>
      <c r="DL160" s="13">
        <f t="shared" si="235"/>
        <v>0</v>
      </c>
      <c r="DM160" s="13">
        <f t="shared" si="235"/>
        <v>0</v>
      </c>
    </row>
    <row r="161" spans="14:117">
      <c r="O161" s="13" t="s">
        <v>212</v>
      </c>
      <c r="S161" s="13">
        <v>0</v>
      </c>
      <c r="T161" s="13">
        <f>IF(T163-T160&gt;0,T163-T160,0)</f>
        <v>1294.67825025</v>
      </c>
      <c r="U161" s="13">
        <f t="shared" ref="U161:CF161" si="236">IF(U163-U160&gt;0,U163-U160,0)</f>
        <v>0</v>
      </c>
      <c r="V161" s="13">
        <f t="shared" si="236"/>
        <v>544.68664249999983</v>
      </c>
      <c r="W161" s="13">
        <f t="shared" si="236"/>
        <v>0</v>
      </c>
      <c r="X161" s="13">
        <f t="shared" si="236"/>
        <v>0</v>
      </c>
      <c r="Y161" s="13">
        <f t="shared" si="236"/>
        <v>439.93785000000025</v>
      </c>
      <c r="Z161" s="13">
        <f t="shared" si="236"/>
        <v>385.47054699999899</v>
      </c>
      <c r="AA161" s="13">
        <f t="shared" si="236"/>
        <v>0</v>
      </c>
      <c r="AB161" s="13">
        <f t="shared" si="236"/>
        <v>0</v>
      </c>
      <c r="AC161" s="13">
        <f t="shared" si="236"/>
        <v>0</v>
      </c>
      <c r="AD161" s="13">
        <f t="shared" si="236"/>
        <v>0</v>
      </c>
      <c r="AE161" s="13">
        <f t="shared" si="236"/>
        <v>0</v>
      </c>
      <c r="AF161" s="13">
        <f t="shared" si="236"/>
        <v>0</v>
      </c>
      <c r="AG161" s="13">
        <f t="shared" si="236"/>
        <v>0</v>
      </c>
      <c r="AH161" s="13">
        <f t="shared" si="236"/>
        <v>0</v>
      </c>
      <c r="AI161" s="13">
        <f t="shared" si="236"/>
        <v>0</v>
      </c>
      <c r="AJ161" s="13">
        <f t="shared" si="236"/>
        <v>0</v>
      </c>
      <c r="AK161" s="13">
        <f t="shared" si="236"/>
        <v>0</v>
      </c>
      <c r="AL161" s="13">
        <f t="shared" si="236"/>
        <v>0</v>
      </c>
      <c r="AM161" s="13">
        <f t="shared" si="236"/>
        <v>0</v>
      </c>
      <c r="AN161" s="13">
        <f t="shared" si="236"/>
        <v>0</v>
      </c>
      <c r="AO161" s="13">
        <f t="shared" si="236"/>
        <v>0</v>
      </c>
      <c r="AP161" s="13">
        <f t="shared" si="236"/>
        <v>0</v>
      </c>
      <c r="AQ161" s="13">
        <f t="shared" si="236"/>
        <v>0</v>
      </c>
      <c r="AR161" s="13">
        <f t="shared" si="236"/>
        <v>64.866526308787797</v>
      </c>
      <c r="AS161" s="13">
        <f t="shared" si="236"/>
        <v>0</v>
      </c>
      <c r="AT161" s="13">
        <f t="shared" si="236"/>
        <v>164.54857773007552</v>
      </c>
      <c r="AU161" s="13">
        <f t="shared" si="236"/>
        <v>0</v>
      </c>
      <c r="AV161" s="13">
        <f t="shared" si="236"/>
        <v>0</v>
      </c>
      <c r="AW161" s="13">
        <f t="shared" si="236"/>
        <v>0</v>
      </c>
      <c r="AX161" s="13">
        <f t="shared" si="236"/>
        <v>0</v>
      </c>
      <c r="AY161" s="13">
        <f t="shared" si="236"/>
        <v>0</v>
      </c>
      <c r="AZ161" s="13">
        <f t="shared" si="236"/>
        <v>0</v>
      </c>
      <c r="BA161" s="13">
        <f t="shared" si="236"/>
        <v>0</v>
      </c>
      <c r="BB161" s="13">
        <f t="shared" si="236"/>
        <v>0</v>
      </c>
      <c r="BC161" s="13">
        <f t="shared" si="236"/>
        <v>94.195716308787269</v>
      </c>
      <c r="BD161" s="13">
        <f t="shared" si="236"/>
        <v>0</v>
      </c>
      <c r="BE161" s="13">
        <f t="shared" si="236"/>
        <v>0</v>
      </c>
      <c r="BF161" s="13">
        <f t="shared" si="236"/>
        <v>0</v>
      </c>
      <c r="BG161" s="13">
        <f t="shared" si="236"/>
        <v>0</v>
      </c>
      <c r="BH161" s="13">
        <f t="shared" si="236"/>
        <v>105.1738035739545</v>
      </c>
      <c r="BI161" s="13">
        <f t="shared" si="236"/>
        <v>0</v>
      </c>
      <c r="BJ161" s="13">
        <f t="shared" si="236"/>
        <v>0</v>
      </c>
      <c r="BK161" s="13">
        <f t="shared" si="236"/>
        <v>0</v>
      </c>
      <c r="BL161" s="13">
        <f t="shared" si="236"/>
        <v>0</v>
      </c>
      <c r="BM161" s="13">
        <f t="shared" si="236"/>
        <v>0</v>
      </c>
      <c r="BN161" s="13">
        <f t="shared" si="236"/>
        <v>0</v>
      </c>
      <c r="BO161" s="13">
        <f t="shared" si="236"/>
        <v>0</v>
      </c>
      <c r="BP161" s="13">
        <f t="shared" si="236"/>
        <v>133.46840118117325</v>
      </c>
      <c r="BQ161" s="13">
        <f t="shared" si="236"/>
        <v>0</v>
      </c>
      <c r="BR161" s="13">
        <f t="shared" si="236"/>
        <v>0</v>
      </c>
      <c r="BS161" s="13">
        <f t="shared" si="236"/>
        <v>0</v>
      </c>
      <c r="BT161" s="13">
        <f t="shared" si="236"/>
        <v>0</v>
      </c>
      <c r="BU161" s="13">
        <f t="shared" si="236"/>
        <v>0</v>
      </c>
      <c r="BV161" s="13">
        <f t="shared" si="236"/>
        <v>0</v>
      </c>
      <c r="BW161" s="13">
        <f t="shared" si="236"/>
        <v>0</v>
      </c>
      <c r="BX161" s="13">
        <f t="shared" si="236"/>
        <v>0</v>
      </c>
      <c r="BY161" s="13">
        <f t="shared" si="236"/>
        <v>0</v>
      </c>
      <c r="BZ161" s="13">
        <f t="shared" si="236"/>
        <v>0</v>
      </c>
      <c r="CA161" s="13">
        <f t="shared" si="236"/>
        <v>0</v>
      </c>
      <c r="CB161" s="13">
        <f t="shared" si="236"/>
        <v>0</v>
      </c>
      <c r="CC161" s="13">
        <f t="shared" si="236"/>
        <v>0</v>
      </c>
      <c r="CD161" s="13">
        <f t="shared" si="236"/>
        <v>0</v>
      </c>
      <c r="CE161" s="13">
        <f t="shared" si="236"/>
        <v>0</v>
      </c>
      <c r="CF161" s="13">
        <f t="shared" si="236"/>
        <v>0</v>
      </c>
      <c r="CG161" s="13">
        <f t="shared" ref="CG161:DM161" si="237">IF(CG163-CG160&gt;0,CG163-CG160,0)</f>
        <v>0</v>
      </c>
      <c r="CH161" s="13">
        <f t="shared" si="237"/>
        <v>0</v>
      </c>
      <c r="CI161" s="13">
        <f t="shared" si="237"/>
        <v>0</v>
      </c>
      <c r="CJ161" s="13">
        <f t="shared" si="237"/>
        <v>0</v>
      </c>
      <c r="CK161" s="13">
        <f t="shared" si="237"/>
        <v>0</v>
      </c>
      <c r="CL161" s="13">
        <f t="shared" si="237"/>
        <v>0</v>
      </c>
      <c r="CM161" s="13">
        <f t="shared" si="237"/>
        <v>0</v>
      </c>
      <c r="CN161" s="13">
        <f t="shared" si="237"/>
        <v>0</v>
      </c>
      <c r="CO161" s="13">
        <f t="shared" si="237"/>
        <v>0</v>
      </c>
      <c r="CP161" s="13">
        <f t="shared" si="237"/>
        <v>0</v>
      </c>
      <c r="CQ161" s="13">
        <f t="shared" si="237"/>
        <v>0</v>
      </c>
      <c r="CR161" s="13">
        <f t="shared" si="237"/>
        <v>0</v>
      </c>
      <c r="CS161" s="13">
        <f t="shared" si="237"/>
        <v>0</v>
      </c>
      <c r="CT161" s="13">
        <f t="shared" si="237"/>
        <v>0</v>
      </c>
      <c r="CU161" s="13">
        <f t="shared" si="237"/>
        <v>0</v>
      </c>
      <c r="CV161" s="13">
        <f t="shared" si="237"/>
        <v>0</v>
      </c>
      <c r="CW161" s="13">
        <f t="shared" si="237"/>
        <v>0</v>
      </c>
      <c r="CX161" s="13">
        <f t="shared" si="237"/>
        <v>0</v>
      </c>
      <c r="CY161" s="13">
        <f t="shared" si="237"/>
        <v>0</v>
      </c>
      <c r="CZ161" s="13">
        <f t="shared" si="237"/>
        <v>0</v>
      </c>
      <c r="DA161" s="13">
        <f t="shared" si="237"/>
        <v>0</v>
      </c>
      <c r="DB161" s="13">
        <f t="shared" si="237"/>
        <v>0</v>
      </c>
      <c r="DC161" s="13">
        <f t="shared" si="237"/>
        <v>0</v>
      </c>
      <c r="DD161" s="13">
        <f t="shared" si="237"/>
        <v>0</v>
      </c>
      <c r="DE161" s="13">
        <f t="shared" si="237"/>
        <v>0</v>
      </c>
      <c r="DF161" s="13">
        <f t="shared" si="237"/>
        <v>0</v>
      </c>
      <c r="DG161" s="13">
        <f t="shared" si="237"/>
        <v>0</v>
      </c>
      <c r="DH161" s="13">
        <f t="shared" si="237"/>
        <v>0</v>
      </c>
      <c r="DI161" s="13">
        <f t="shared" si="237"/>
        <v>0</v>
      </c>
      <c r="DJ161" s="13">
        <f t="shared" si="237"/>
        <v>0</v>
      </c>
      <c r="DK161" s="13">
        <f t="shared" si="237"/>
        <v>0</v>
      </c>
      <c r="DL161" s="13">
        <f t="shared" si="237"/>
        <v>0</v>
      </c>
      <c r="DM161" s="13">
        <f t="shared" si="237"/>
        <v>0</v>
      </c>
    </row>
    <row r="162" spans="14:117">
      <c r="O162" s="13" t="s">
        <v>213</v>
      </c>
      <c r="S162" s="13">
        <v>0</v>
      </c>
      <c r="T162" s="13">
        <f>IF(T163-T160&lt;0,T163-T160,0)</f>
        <v>0</v>
      </c>
      <c r="U162" s="13">
        <f t="shared" ref="U162:CF162" si="238">IF(U163-U160&lt;0,U163-U160,0)</f>
        <v>-205.30432999999994</v>
      </c>
      <c r="V162" s="13">
        <f t="shared" si="238"/>
        <v>0</v>
      </c>
      <c r="W162" s="13">
        <f t="shared" si="238"/>
        <v>0</v>
      </c>
      <c r="X162" s="13">
        <f t="shared" si="238"/>
        <v>0</v>
      </c>
      <c r="Y162" s="13">
        <f t="shared" si="238"/>
        <v>0</v>
      </c>
      <c r="Z162" s="13">
        <f t="shared" si="238"/>
        <v>0</v>
      </c>
      <c r="AA162" s="13">
        <f t="shared" si="238"/>
        <v>0</v>
      </c>
      <c r="AB162" s="13">
        <f t="shared" si="238"/>
        <v>0</v>
      </c>
      <c r="AC162" s="13">
        <f t="shared" si="238"/>
        <v>0</v>
      </c>
      <c r="AD162" s="13">
        <f t="shared" si="238"/>
        <v>0</v>
      </c>
      <c r="AE162" s="13">
        <f t="shared" si="238"/>
        <v>0</v>
      </c>
      <c r="AF162" s="13">
        <f t="shared" si="238"/>
        <v>0</v>
      </c>
      <c r="AG162" s="13">
        <f t="shared" si="238"/>
        <v>0</v>
      </c>
      <c r="AH162" s="13">
        <f t="shared" si="238"/>
        <v>0</v>
      </c>
      <c r="AI162" s="13">
        <f t="shared" si="238"/>
        <v>0</v>
      </c>
      <c r="AJ162" s="13">
        <f t="shared" si="238"/>
        <v>0</v>
      </c>
      <c r="AK162" s="13">
        <f t="shared" si="238"/>
        <v>0</v>
      </c>
      <c r="AL162" s="13">
        <f t="shared" si="238"/>
        <v>0</v>
      </c>
      <c r="AM162" s="13">
        <f t="shared" si="238"/>
        <v>0</v>
      </c>
      <c r="AN162" s="13">
        <f t="shared" si="238"/>
        <v>0</v>
      </c>
      <c r="AO162" s="13">
        <f t="shared" si="238"/>
        <v>0</v>
      </c>
      <c r="AP162" s="13">
        <f t="shared" si="238"/>
        <v>0</v>
      </c>
      <c r="AQ162" s="13">
        <f t="shared" si="238"/>
        <v>0</v>
      </c>
      <c r="AR162" s="13">
        <f t="shared" si="238"/>
        <v>0</v>
      </c>
      <c r="AS162" s="13">
        <f t="shared" si="238"/>
        <v>0</v>
      </c>
      <c r="AT162" s="13">
        <f t="shared" si="238"/>
        <v>0</v>
      </c>
      <c r="AU162" s="13">
        <f t="shared" si="238"/>
        <v>0</v>
      </c>
      <c r="AV162" s="13">
        <f t="shared" si="238"/>
        <v>0</v>
      </c>
      <c r="AW162" s="13">
        <f t="shared" si="238"/>
        <v>0</v>
      </c>
      <c r="AX162" s="13">
        <f t="shared" si="238"/>
        <v>0</v>
      </c>
      <c r="AY162" s="13">
        <f t="shared" si="238"/>
        <v>0</v>
      </c>
      <c r="AZ162" s="13">
        <f t="shared" si="238"/>
        <v>0</v>
      </c>
      <c r="BA162" s="13">
        <f t="shared" si="238"/>
        <v>0</v>
      </c>
      <c r="BB162" s="13">
        <f t="shared" si="238"/>
        <v>0</v>
      </c>
      <c r="BC162" s="13">
        <f t="shared" si="238"/>
        <v>0</v>
      </c>
      <c r="BD162" s="13">
        <f t="shared" si="238"/>
        <v>0</v>
      </c>
      <c r="BE162" s="13">
        <f t="shared" si="238"/>
        <v>0</v>
      </c>
      <c r="BF162" s="13">
        <f t="shared" si="238"/>
        <v>0</v>
      </c>
      <c r="BG162" s="13">
        <f t="shared" si="238"/>
        <v>0</v>
      </c>
      <c r="BH162" s="13">
        <f t="shared" si="238"/>
        <v>0</v>
      </c>
      <c r="BI162" s="13">
        <f t="shared" si="238"/>
        <v>0</v>
      </c>
      <c r="BJ162" s="13">
        <f t="shared" si="238"/>
        <v>0</v>
      </c>
      <c r="BK162" s="13">
        <f t="shared" si="238"/>
        <v>0</v>
      </c>
      <c r="BL162" s="13">
        <f t="shared" si="238"/>
        <v>0</v>
      </c>
      <c r="BM162" s="13">
        <f t="shared" si="238"/>
        <v>0</v>
      </c>
      <c r="BN162" s="13">
        <f t="shared" si="238"/>
        <v>0</v>
      </c>
      <c r="BO162" s="13">
        <f t="shared" si="238"/>
        <v>0</v>
      </c>
      <c r="BP162" s="13">
        <f t="shared" si="238"/>
        <v>0</v>
      </c>
      <c r="BQ162" s="13">
        <f t="shared" si="238"/>
        <v>0</v>
      </c>
      <c r="BR162" s="13">
        <f t="shared" si="238"/>
        <v>0</v>
      </c>
      <c r="BS162" s="13">
        <f t="shared" si="238"/>
        <v>0</v>
      </c>
      <c r="BT162" s="13">
        <f t="shared" si="238"/>
        <v>0</v>
      </c>
      <c r="BU162" s="13">
        <f t="shared" si="238"/>
        <v>0</v>
      </c>
      <c r="BV162" s="13">
        <f t="shared" si="238"/>
        <v>0</v>
      </c>
      <c r="BW162" s="13">
        <f t="shared" si="238"/>
        <v>0</v>
      </c>
      <c r="BX162" s="13">
        <f t="shared" si="238"/>
        <v>0</v>
      </c>
      <c r="BY162" s="13">
        <f t="shared" si="238"/>
        <v>0</v>
      </c>
      <c r="BZ162" s="13">
        <f t="shared" si="238"/>
        <v>0</v>
      </c>
      <c r="CA162" s="13">
        <f t="shared" si="238"/>
        <v>-7940.6602673527777</v>
      </c>
      <c r="CB162" s="13">
        <f t="shared" si="238"/>
        <v>0</v>
      </c>
      <c r="CC162" s="13">
        <f t="shared" si="238"/>
        <v>0</v>
      </c>
      <c r="CD162" s="13">
        <f t="shared" si="238"/>
        <v>0</v>
      </c>
      <c r="CE162" s="13">
        <f t="shared" si="238"/>
        <v>0</v>
      </c>
      <c r="CF162" s="13">
        <f t="shared" si="238"/>
        <v>0</v>
      </c>
      <c r="CG162" s="13">
        <f t="shared" ref="CG162:DM162" si="239">IF(CG163-CG160&lt;0,CG163-CG160,0)</f>
        <v>0</v>
      </c>
      <c r="CH162" s="13">
        <f t="shared" si="239"/>
        <v>0</v>
      </c>
      <c r="CI162" s="13">
        <f t="shared" si="239"/>
        <v>0</v>
      </c>
      <c r="CJ162" s="13">
        <f t="shared" si="239"/>
        <v>0</v>
      </c>
      <c r="CK162" s="13">
        <f t="shared" si="239"/>
        <v>0</v>
      </c>
      <c r="CL162" s="13">
        <f t="shared" si="239"/>
        <v>0</v>
      </c>
      <c r="CM162" s="13">
        <f t="shared" si="239"/>
        <v>0</v>
      </c>
      <c r="CN162" s="13">
        <f t="shared" si="239"/>
        <v>0</v>
      </c>
      <c r="CO162" s="13">
        <f t="shared" si="239"/>
        <v>0</v>
      </c>
      <c r="CP162" s="13">
        <f t="shared" si="239"/>
        <v>0</v>
      </c>
      <c r="CQ162" s="13">
        <f t="shared" si="239"/>
        <v>0</v>
      </c>
      <c r="CR162" s="13">
        <f t="shared" si="239"/>
        <v>0</v>
      </c>
      <c r="CS162" s="13">
        <f t="shared" si="239"/>
        <v>0</v>
      </c>
      <c r="CT162" s="13">
        <f t="shared" si="239"/>
        <v>0</v>
      </c>
      <c r="CU162" s="13">
        <f t="shared" si="239"/>
        <v>0</v>
      </c>
      <c r="CV162" s="13">
        <f t="shared" si="239"/>
        <v>0</v>
      </c>
      <c r="CW162" s="13">
        <f t="shared" si="239"/>
        <v>0</v>
      </c>
      <c r="CX162" s="13">
        <f t="shared" si="239"/>
        <v>0</v>
      </c>
      <c r="CY162" s="13">
        <f t="shared" si="239"/>
        <v>0</v>
      </c>
      <c r="CZ162" s="13">
        <f t="shared" si="239"/>
        <v>0</v>
      </c>
      <c r="DA162" s="13">
        <f t="shared" si="239"/>
        <v>0</v>
      </c>
      <c r="DB162" s="13">
        <f t="shared" si="239"/>
        <v>0</v>
      </c>
      <c r="DC162" s="13">
        <f t="shared" si="239"/>
        <v>0</v>
      </c>
      <c r="DD162" s="13">
        <f t="shared" si="239"/>
        <v>0</v>
      </c>
      <c r="DE162" s="13">
        <f t="shared" si="239"/>
        <v>0</v>
      </c>
      <c r="DF162" s="13">
        <f t="shared" si="239"/>
        <v>0</v>
      </c>
      <c r="DG162" s="13">
        <f t="shared" si="239"/>
        <v>0</v>
      </c>
      <c r="DH162" s="13">
        <f t="shared" si="239"/>
        <v>0</v>
      </c>
      <c r="DI162" s="13">
        <f t="shared" si="239"/>
        <v>0</v>
      </c>
      <c r="DJ162" s="13">
        <f t="shared" si="239"/>
        <v>0</v>
      </c>
      <c r="DK162" s="13">
        <f t="shared" si="239"/>
        <v>0</v>
      </c>
      <c r="DL162" s="13">
        <f t="shared" si="239"/>
        <v>0</v>
      </c>
      <c r="DM162" s="13">
        <f t="shared" si="239"/>
        <v>0</v>
      </c>
    </row>
    <row r="163" spans="14:117">
      <c r="O163" s="141" t="s">
        <v>211</v>
      </c>
      <c r="P163" s="141"/>
      <c r="Q163" s="141"/>
      <c r="R163" s="141"/>
      <c r="S163" s="141">
        <f>S160</f>
        <v>4918.9382825000002</v>
      </c>
      <c r="T163" s="141">
        <f t="shared" ref="T163:AY163" si="240">IF(T$14=exit,0,T112)</f>
        <v>6213.6165327500003</v>
      </c>
      <c r="U163" s="141">
        <f t="shared" si="240"/>
        <v>6008.3122027500003</v>
      </c>
      <c r="V163" s="141">
        <f t="shared" si="240"/>
        <v>6552.9988452500002</v>
      </c>
      <c r="W163" s="141">
        <f t="shared" si="240"/>
        <v>6552.9988452500002</v>
      </c>
      <c r="X163" s="141">
        <f t="shared" si="240"/>
        <v>6552.9988452500002</v>
      </c>
      <c r="Y163" s="141">
        <f t="shared" si="240"/>
        <v>6992.9366952500004</v>
      </c>
      <c r="Z163" s="141">
        <f t="shared" si="240"/>
        <v>7378.4072422499994</v>
      </c>
      <c r="AA163" s="141">
        <f t="shared" si="240"/>
        <v>7378.4072422499994</v>
      </c>
      <c r="AB163" s="141">
        <f t="shared" si="240"/>
        <v>7378.4072422499994</v>
      </c>
      <c r="AC163" s="141">
        <f t="shared" si="240"/>
        <v>7378.4072422499994</v>
      </c>
      <c r="AD163" s="141">
        <f t="shared" si="240"/>
        <v>7378.4072422499994</v>
      </c>
      <c r="AE163" s="141">
        <f t="shared" si="240"/>
        <v>7378.4072422499994</v>
      </c>
      <c r="AF163" s="141">
        <f t="shared" si="240"/>
        <v>7378.4072422499994</v>
      </c>
      <c r="AG163" s="141">
        <f t="shared" si="240"/>
        <v>7378.4072422499994</v>
      </c>
      <c r="AH163" s="141">
        <f t="shared" si="240"/>
        <v>7378.4072422499994</v>
      </c>
      <c r="AI163" s="141">
        <f t="shared" si="240"/>
        <v>7378.4072422499994</v>
      </c>
      <c r="AJ163" s="141">
        <f t="shared" si="240"/>
        <v>7378.4072422499994</v>
      </c>
      <c r="AK163" s="141">
        <f t="shared" si="240"/>
        <v>7378.4072422499994</v>
      </c>
      <c r="AL163" s="141">
        <f t="shared" si="240"/>
        <v>7378.4072422499994</v>
      </c>
      <c r="AM163" s="141">
        <f t="shared" si="240"/>
        <v>7378.4072422499994</v>
      </c>
      <c r="AN163" s="141">
        <f t="shared" si="240"/>
        <v>7378.4072422499994</v>
      </c>
      <c r="AO163" s="141">
        <f t="shared" si="240"/>
        <v>7378.4072422499994</v>
      </c>
      <c r="AP163" s="141">
        <f t="shared" si="240"/>
        <v>7378.4072422499994</v>
      </c>
      <c r="AQ163" s="141">
        <f t="shared" si="240"/>
        <v>7378.4072422499994</v>
      </c>
      <c r="AR163" s="141">
        <f t="shared" si="240"/>
        <v>7443.2737685587872</v>
      </c>
      <c r="AS163" s="141">
        <f t="shared" si="240"/>
        <v>7443.2737685587872</v>
      </c>
      <c r="AT163" s="141">
        <f t="shared" si="240"/>
        <v>7607.8223462888627</v>
      </c>
      <c r="AU163" s="141">
        <f t="shared" si="240"/>
        <v>7607.8223462888627</v>
      </c>
      <c r="AV163" s="141">
        <f t="shared" si="240"/>
        <v>7607.8223462888627</v>
      </c>
      <c r="AW163" s="141">
        <f t="shared" si="240"/>
        <v>7607.8223462888627</v>
      </c>
      <c r="AX163" s="141">
        <f t="shared" si="240"/>
        <v>7607.8223462888627</v>
      </c>
      <c r="AY163" s="141">
        <f t="shared" si="240"/>
        <v>7607.8223462888627</v>
      </c>
      <c r="AZ163" s="141">
        <f t="shared" ref="AZ163:CE163" si="241">IF(AZ$14=exit,0,AZ112)</f>
        <v>7607.8223462888627</v>
      </c>
      <c r="BA163" s="141">
        <f t="shared" si="241"/>
        <v>7607.8223462888627</v>
      </c>
      <c r="BB163" s="141">
        <f t="shared" si="241"/>
        <v>7607.8223462888627</v>
      </c>
      <c r="BC163" s="141">
        <f t="shared" si="241"/>
        <v>7702.01806259765</v>
      </c>
      <c r="BD163" s="141">
        <f t="shared" si="241"/>
        <v>7702.01806259765</v>
      </c>
      <c r="BE163" s="141">
        <f t="shared" si="241"/>
        <v>7702.01806259765</v>
      </c>
      <c r="BF163" s="141">
        <f t="shared" si="241"/>
        <v>7702.01806259765</v>
      </c>
      <c r="BG163" s="141">
        <f t="shared" si="241"/>
        <v>7702.01806259765</v>
      </c>
      <c r="BH163" s="141">
        <f t="shared" si="241"/>
        <v>7807.1918661716045</v>
      </c>
      <c r="BI163" s="141">
        <f t="shared" si="241"/>
        <v>7807.1918661716045</v>
      </c>
      <c r="BJ163" s="141">
        <f t="shared" si="241"/>
        <v>7807.1918661716045</v>
      </c>
      <c r="BK163" s="141">
        <f t="shared" si="241"/>
        <v>7807.1918661716045</v>
      </c>
      <c r="BL163" s="141">
        <f t="shared" si="241"/>
        <v>7807.1918661716045</v>
      </c>
      <c r="BM163" s="141">
        <f t="shared" si="241"/>
        <v>7807.1918661716045</v>
      </c>
      <c r="BN163" s="141">
        <f t="shared" si="241"/>
        <v>7807.1918661716045</v>
      </c>
      <c r="BO163" s="141">
        <f t="shared" si="241"/>
        <v>7807.1918661716045</v>
      </c>
      <c r="BP163" s="141">
        <f t="shared" si="241"/>
        <v>7940.6602673527777</v>
      </c>
      <c r="BQ163" s="141">
        <f t="shared" si="241"/>
        <v>7940.6602673527777</v>
      </c>
      <c r="BR163" s="141">
        <f t="shared" si="241"/>
        <v>7940.6602673527777</v>
      </c>
      <c r="BS163" s="141">
        <f t="shared" si="241"/>
        <v>7940.6602673527777</v>
      </c>
      <c r="BT163" s="141">
        <f t="shared" si="241"/>
        <v>7940.6602673527777</v>
      </c>
      <c r="BU163" s="141">
        <f t="shared" si="241"/>
        <v>7940.6602673527777</v>
      </c>
      <c r="BV163" s="141">
        <f t="shared" si="241"/>
        <v>7940.6602673527777</v>
      </c>
      <c r="BW163" s="141">
        <f t="shared" si="241"/>
        <v>7940.6602673527777</v>
      </c>
      <c r="BX163" s="141">
        <f t="shared" si="241"/>
        <v>7940.6602673527777</v>
      </c>
      <c r="BY163" s="141">
        <f t="shared" si="241"/>
        <v>7940.6602673527777</v>
      </c>
      <c r="BZ163" s="141">
        <f t="shared" si="241"/>
        <v>7940.6602673527777</v>
      </c>
      <c r="CA163" s="141">
        <f t="shared" si="241"/>
        <v>0</v>
      </c>
      <c r="CB163" s="141">
        <f t="shared" si="241"/>
        <v>0</v>
      </c>
      <c r="CC163" s="141">
        <f t="shared" si="241"/>
        <v>0</v>
      </c>
      <c r="CD163" s="141">
        <f t="shared" si="241"/>
        <v>0</v>
      </c>
      <c r="CE163" s="141">
        <f t="shared" si="241"/>
        <v>0</v>
      </c>
      <c r="CF163" s="141">
        <f t="shared" ref="CF163:DM163" si="242">IF(CF$14=exit,0,CF112)</f>
        <v>0</v>
      </c>
      <c r="CG163" s="141">
        <f t="shared" si="242"/>
        <v>0</v>
      </c>
      <c r="CH163" s="141">
        <f t="shared" si="242"/>
        <v>0</v>
      </c>
      <c r="CI163" s="141">
        <f t="shared" si="242"/>
        <v>0</v>
      </c>
      <c r="CJ163" s="141">
        <f t="shared" si="242"/>
        <v>0</v>
      </c>
      <c r="CK163" s="141">
        <f t="shared" si="242"/>
        <v>0</v>
      </c>
      <c r="CL163" s="141">
        <f t="shared" si="242"/>
        <v>0</v>
      </c>
      <c r="CM163" s="141">
        <f t="shared" si="242"/>
        <v>0</v>
      </c>
      <c r="CN163" s="141">
        <f t="shared" si="242"/>
        <v>0</v>
      </c>
      <c r="CO163" s="141">
        <f t="shared" si="242"/>
        <v>0</v>
      </c>
      <c r="CP163" s="141">
        <f t="shared" si="242"/>
        <v>0</v>
      </c>
      <c r="CQ163" s="141">
        <f t="shared" si="242"/>
        <v>0</v>
      </c>
      <c r="CR163" s="141">
        <f t="shared" si="242"/>
        <v>0</v>
      </c>
      <c r="CS163" s="141">
        <f t="shared" si="242"/>
        <v>0</v>
      </c>
      <c r="CT163" s="141">
        <f t="shared" si="242"/>
        <v>0</v>
      </c>
      <c r="CU163" s="141">
        <f t="shared" si="242"/>
        <v>0</v>
      </c>
      <c r="CV163" s="141">
        <f t="shared" si="242"/>
        <v>0</v>
      </c>
      <c r="CW163" s="141">
        <f t="shared" si="242"/>
        <v>0</v>
      </c>
      <c r="CX163" s="141">
        <f t="shared" si="242"/>
        <v>0</v>
      </c>
      <c r="CY163" s="141">
        <f t="shared" si="242"/>
        <v>0</v>
      </c>
      <c r="CZ163" s="141">
        <f t="shared" si="242"/>
        <v>0</v>
      </c>
      <c r="DA163" s="141">
        <f t="shared" si="242"/>
        <v>0</v>
      </c>
      <c r="DB163" s="141">
        <f t="shared" si="242"/>
        <v>0</v>
      </c>
      <c r="DC163" s="141">
        <f t="shared" si="242"/>
        <v>0</v>
      </c>
      <c r="DD163" s="141">
        <f t="shared" si="242"/>
        <v>0</v>
      </c>
      <c r="DE163" s="141">
        <f t="shared" si="242"/>
        <v>0</v>
      </c>
      <c r="DF163" s="141">
        <f t="shared" si="242"/>
        <v>0</v>
      </c>
      <c r="DG163" s="141">
        <f t="shared" si="242"/>
        <v>0</v>
      </c>
      <c r="DH163" s="141">
        <f t="shared" si="242"/>
        <v>0</v>
      </c>
      <c r="DI163" s="141">
        <f t="shared" si="242"/>
        <v>0</v>
      </c>
      <c r="DJ163" s="141">
        <f t="shared" si="242"/>
        <v>0</v>
      </c>
      <c r="DK163" s="141">
        <f t="shared" si="242"/>
        <v>0</v>
      </c>
      <c r="DL163" s="141">
        <f t="shared" si="242"/>
        <v>0</v>
      </c>
      <c r="DM163" s="141">
        <f t="shared" si="242"/>
        <v>0</v>
      </c>
    </row>
    <row r="164" spans="14:117" s="63" customFormat="1">
      <c r="O164" s="63" t="s">
        <v>215</v>
      </c>
      <c r="S164" s="63">
        <f>AVERAGE(S160,S163)</f>
        <v>4918.9382825000002</v>
      </c>
      <c r="T164" s="63">
        <f t="shared" ref="T164:CE164" si="243">AVERAGE(T160,T163)</f>
        <v>5566.2774076250007</v>
      </c>
      <c r="U164" s="63">
        <f t="shared" si="243"/>
        <v>6110.9643677500007</v>
      </c>
      <c r="V164" s="63">
        <f t="shared" si="243"/>
        <v>6280.6555239999998</v>
      </c>
      <c r="W164" s="63">
        <f t="shared" si="243"/>
        <v>6552.9988452500002</v>
      </c>
      <c r="X164" s="63">
        <f t="shared" si="243"/>
        <v>6552.9988452500002</v>
      </c>
      <c r="Y164" s="63">
        <f t="shared" si="243"/>
        <v>6772.9677702500003</v>
      </c>
      <c r="Z164" s="63">
        <f t="shared" si="243"/>
        <v>7185.6719687499999</v>
      </c>
      <c r="AA164" s="63">
        <f t="shared" si="243"/>
        <v>7378.4072422499994</v>
      </c>
      <c r="AB164" s="63">
        <f t="shared" si="243"/>
        <v>7378.4072422499994</v>
      </c>
      <c r="AC164" s="63">
        <f t="shared" si="243"/>
        <v>7378.4072422499994</v>
      </c>
      <c r="AD164" s="63">
        <f t="shared" si="243"/>
        <v>7378.4072422499994</v>
      </c>
      <c r="AE164" s="63">
        <f t="shared" si="243"/>
        <v>7378.4072422499994</v>
      </c>
      <c r="AF164" s="63">
        <f t="shared" si="243"/>
        <v>7378.4072422499994</v>
      </c>
      <c r="AG164" s="63">
        <f t="shared" si="243"/>
        <v>7378.4072422499994</v>
      </c>
      <c r="AH164" s="63">
        <f t="shared" si="243"/>
        <v>7378.4072422499994</v>
      </c>
      <c r="AI164" s="63">
        <f t="shared" si="243"/>
        <v>7378.4072422499994</v>
      </c>
      <c r="AJ164" s="63">
        <f t="shared" si="243"/>
        <v>7378.4072422499994</v>
      </c>
      <c r="AK164" s="63">
        <f t="shared" si="243"/>
        <v>7378.4072422499994</v>
      </c>
      <c r="AL164" s="63">
        <f t="shared" si="243"/>
        <v>7378.4072422499994</v>
      </c>
      <c r="AM164" s="63">
        <f t="shared" si="243"/>
        <v>7378.4072422499994</v>
      </c>
      <c r="AN164" s="63">
        <f t="shared" si="243"/>
        <v>7378.4072422499994</v>
      </c>
      <c r="AO164" s="63">
        <f t="shared" si="243"/>
        <v>7378.4072422499994</v>
      </c>
      <c r="AP164" s="63">
        <f t="shared" si="243"/>
        <v>7378.4072422499994</v>
      </c>
      <c r="AQ164" s="63">
        <f t="shared" si="243"/>
        <v>7378.4072422499994</v>
      </c>
      <c r="AR164" s="63">
        <f t="shared" si="243"/>
        <v>7410.8405054043933</v>
      </c>
      <c r="AS164" s="63">
        <f t="shared" si="243"/>
        <v>7443.2737685587872</v>
      </c>
      <c r="AT164" s="63">
        <f t="shared" si="243"/>
        <v>7525.5480574238245</v>
      </c>
      <c r="AU164" s="63">
        <f t="shared" si="243"/>
        <v>7607.8223462888627</v>
      </c>
      <c r="AV164" s="63">
        <f t="shared" si="243"/>
        <v>7607.8223462888627</v>
      </c>
      <c r="AW164" s="63">
        <f t="shared" si="243"/>
        <v>7607.8223462888627</v>
      </c>
      <c r="AX164" s="63">
        <f t="shared" si="243"/>
        <v>7607.8223462888627</v>
      </c>
      <c r="AY164" s="63">
        <f t="shared" si="243"/>
        <v>7607.8223462888627</v>
      </c>
      <c r="AZ164" s="63">
        <f t="shared" si="243"/>
        <v>7607.8223462888627</v>
      </c>
      <c r="BA164" s="63">
        <f t="shared" si="243"/>
        <v>7607.8223462888627</v>
      </c>
      <c r="BB164" s="63">
        <f t="shared" si="243"/>
        <v>7607.8223462888627</v>
      </c>
      <c r="BC164" s="63">
        <f t="shared" si="243"/>
        <v>7654.9202044432568</v>
      </c>
      <c r="BD164" s="63">
        <f t="shared" si="243"/>
        <v>7702.01806259765</v>
      </c>
      <c r="BE164" s="63">
        <f t="shared" si="243"/>
        <v>7702.01806259765</v>
      </c>
      <c r="BF164" s="63">
        <f t="shared" si="243"/>
        <v>7702.01806259765</v>
      </c>
      <c r="BG164" s="63">
        <f t="shared" si="243"/>
        <v>7702.01806259765</v>
      </c>
      <c r="BH164" s="63">
        <f t="shared" si="243"/>
        <v>7754.6049643846272</v>
      </c>
      <c r="BI164" s="63">
        <f t="shared" si="243"/>
        <v>7807.1918661716045</v>
      </c>
      <c r="BJ164" s="63">
        <f t="shared" si="243"/>
        <v>7807.1918661716045</v>
      </c>
      <c r="BK164" s="63">
        <f t="shared" si="243"/>
        <v>7807.1918661716045</v>
      </c>
      <c r="BL164" s="63">
        <f t="shared" si="243"/>
        <v>7807.1918661716045</v>
      </c>
      <c r="BM164" s="63">
        <f t="shared" si="243"/>
        <v>7807.1918661716045</v>
      </c>
      <c r="BN164" s="63">
        <f t="shared" si="243"/>
        <v>7807.1918661716045</v>
      </c>
      <c r="BO164" s="63">
        <f t="shared" si="243"/>
        <v>7807.1918661716045</v>
      </c>
      <c r="BP164" s="63">
        <f t="shared" si="243"/>
        <v>7873.9260667621911</v>
      </c>
      <c r="BQ164" s="63">
        <f t="shared" si="243"/>
        <v>7940.6602673527777</v>
      </c>
      <c r="BR164" s="63">
        <f t="shared" si="243"/>
        <v>7940.6602673527777</v>
      </c>
      <c r="BS164" s="63">
        <f t="shared" si="243"/>
        <v>7940.6602673527777</v>
      </c>
      <c r="BT164" s="63">
        <f t="shared" si="243"/>
        <v>7940.6602673527777</v>
      </c>
      <c r="BU164" s="63">
        <f t="shared" si="243"/>
        <v>7940.6602673527777</v>
      </c>
      <c r="BV164" s="63">
        <f t="shared" si="243"/>
        <v>7940.6602673527777</v>
      </c>
      <c r="BW164" s="63">
        <f t="shared" si="243"/>
        <v>7940.6602673527777</v>
      </c>
      <c r="BX164" s="63">
        <f t="shared" si="243"/>
        <v>7940.6602673527777</v>
      </c>
      <c r="BY164" s="63">
        <f t="shared" si="243"/>
        <v>7940.6602673527777</v>
      </c>
      <c r="BZ164" s="63">
        <f t="shared" si="243"/>
        <v>7940.6602673527777</v>
      </c>
      <c r="CA164" s="63">
        <f t="shared" si="243"/>
        <v>3970.3301336763889</v>
      </c>
      <c r="CB164" s="63">
        <f t="shared" si="243"/>
        <v>0</v>
      </c>
      <c r="CC164" s="63">
        <f t="shared" si="243"/>
        <v>0</v>
      </c>
      <c r="CD164" s="63">
        <f t="shared" si="243"/>
        <v>0</v>
      </c>
      <c r="CE164" s="63">
        <f t="shared" si="243"/>
        <v>0</v>
      </c>
      <c r="CF164" s="63">
        <f t="shared" ref="CF164:DM164" si="244">AVERAGE(CF160,CF163)</f>
        <v>0</v>
      </c>
      <c r="CG164" s="63">
        <f t="shared" si="244"/>
        <v>0</v>
      </c>
      <c r="CH164" s="63">
        <f t="shared" si="244"/>
        <v>0</v>
      </c>
      <c r="CI164" s="63">
        <f t="shared" si="244"/>
        <v>0</v>
      </c>
      <c r="CJ164" s="63">
        <f t="shared" si="244"/>
        <v>0</v>
      </c>
      <c r="CK164" s="63">
        <f t="shared" si="244"/>
        <v>0</v>
      </c>
      <c r="CL164" s="63">
        <f t="shared" si="244"/>
        <v>0</v>
      </c>
      <c r="CM164" s="63">
        <f t="shared" si="244"/>
        <v>0</v>
      </c>
      <c r="CN164" s="63">
        <f t="shared" si="244"/>
        <v>0</v>
      </c>
      <c r="CO164" s="63">
        <f t="shared" si="244"/>
        <v>0</v>
      </c>
      <c r="CP164" s="63">
        <f t="shared" si="244"/>
        <v>0</v>
      </c>
      <c r="CQ164" s="63">
        <f t="shared" si="244"/>
        <v>0</v>
      </c>
      <c r="CR164" s="63">
        <f t="shared" si="244"/>
        <v>0</v>
      </c>
      <c r="CS164" s="63">
        <f t="shared" si="244"/>
        <v>0</v>
      </c>
      <c r="CT164" s="63">
        <f t="shared" si="244"/>
        <v>0</v>
      </c>
      <c r="CU164" s="63">
        <f t="shared" si="244"/>
        <v>0</v>
      </c>
      <c r="CV164" s="63">
        <f t="shared" si="244"/>
        <v>0</v>
      </c>
      <c r="CW164" s="63">
        <f t="shared" si="244"/>
        <v>0</v>
      </c>
      <c r="CX164" s="63">
        <f t="shared" si="244"/>
        <v>0</v>
      </c>
      <c r="CY164" s="63">
        <f t="shared" si="244"/>
        <v>0</v>
      </c>
      <c r="CZ164" s="63">
        <f t="shared" si="244"/>
        <v>0</v>
      </c>
      <c r="DA164" s="63">
        <f t="shared" si="244"/>
        <v>0</v>
      </c>
      <c r="DB164" s="63">
        <f t="shared" si="244"/>
        <v>0</v>
      </c>
      <c r="DC164" s="63">
        <f t="shared" si="244"/>
        <v>0</v>
      </c>
      <c r="DD164" s="63">
        <f t="shared" si="244"/>
        <v>0</v>
      </c>
      <c r="DE164" s="63">
        <f t="shared" si="244"/>
        <v>0</v>
      </c>
      <c r="DF164" s="63">
        <f t="shared" si="244"/>
        <v>0</v>
      </c>
      <c r="DG164" s="63">
        <f t="shared" si="244"/>
        <v>0</v>
      </c>
      <c r="DH164" s="63">
        <f t="shared" si="244"/>
        <v>0</v>
      </c>
      <c r="DI164" s="63">
        <f t="shared" si="244"/>
        <v>0</v>
      </c>
      <c r="DJ164" s="63">
        <f t="shared" si="244"/>
        <v>0</v>
      </c>
      <c r="DK164" s="63">
        <f t="shared" si="244"/>
        <v>0</v>
      </c>
      <c r="DL164" s="63">
        <f t="shared" si="244"/>
        <v>0</v>
      </c>
      <c r="DM164" s="63">
        <f t="shared" si="244"/>
        <v>0</v>
      </c>
    </row>
    <row r="165" spans="14:117">
      <c r="O165" s="96" t="s">
        <v>214</v>
      </c>
      <c r="P165" s="96"/>
      <c r="Q165" s="96"/>
      <c r="R165" s="96"/>
      <c r="S165" s="96">
        <f t="shared" ref="S165:AX165" si="245">SUM(S161:S162)</f>
        <v>0</v>
      </c>
      <c r="T165" s="96">
        <f t="shared" si="245"/>
        <v>1294.67825025</v>
      </c>
      <c r="U165" s="96">
        <f t="shared" si="245"/>
        <v>-205.30432999999994</v>
      </c>
      <c r="V165" s="96">
        <f t="shared" si="245"/>
        <v>544.68664249999983</v>
      </c>
      <c r="W165" s="96">
        <f t="shared" si="245"/>
        <v>0</v>
      </c>
      <c r="X165" s="96">
        <f t="shared" si="245"/>
        <v>0</v>
      </c>
      <c r="Y165" s="96">
        <f t="shared" si="245"/>
        <v>439.93785000000025</v>
      </c>
      <c r="Z165" s="96">
        <f t="shared" si="245"/>
        <v>385.47054699999899</v>
      </c>
      <c r="AA165" s="96">
        <f t="shared" si="245"/>
        <v>0</v>
      </c>
      <c r="AB165" s="96">
        <f t="shared" si="245"/>
        <v>0</v>
      </c>
      <c r="AC165" s="96">
        <f t="shared" si="245"/>
        <v>0</v>
      </c>
      <c r="AD165" s="96">
        <f t="shared" si="245"/>
        <v>0</v>
      </c>
      <c r="AE165" s="96">
        <f t="shared" si="245"/>
        <v>0</v>
      </c>
      <c r="AF165" s="96">
        <f t="shared" si="245"/>
        <v>0</v>
      </c>
      <c r="AG165" s="96">
        <f t="shared" si="245"/>
        <v>0</v>
      </c>
      <c r="AH165" s="96">
        <f t="shared" si="245"/>
        <v>0</v>
      </c>
      <c r="AI165" s="96">
        <f t="shared" si="245"/>
        <v>0</v>
      </c>
      <c r="AJ165" s="96">
        <f t="shared" si="245"/>
        <v>0</v>
      </c>
      <c r="AK165" s="96">
        <f t="shared" si="245"/>
        <v>0</v>
      </c>
      <c r="AL165" s="96">
        <f t="shared" si="245"/>
        <v>0</v>
      </c>
      <c r="AM165" s="96">
        <f t="shared" si="245"/>
        <v>0</v>
      </c>
      <c r="AN165" s="96">
        <f t="shared" si="245"/>
        <v>0</v>
      </c>
      <c r="AO165" s="96">
        <f t="shared" si="245"/>
        <v>0</v>
      </c>
      <c r="AP165" s="96">
        <f t="shared" si="245"/>
        <v>0</v>
      </c>
      <c r="AQ165" s="96">
        <f t="shared" si="245"/>
        <v>0</v>
      </c>
      <c r="AR165" s="96">
        <f t="shared" si="245"/>
        <v>64.866526308787797</v>
      </c>
      <c r="AS165" s="96">
        <f t="shared" si="245"/>
        <v>0</v>
      </c>
      <c r="AT165" s="96">
        <f t="shared" si="245"/>
        <v>164.54857773007552</v>
      </c>
      <c r="AU165" s="96">
        <f t="shared" si="245"/>
        <v>0</v>
      </c>
      <c r="AV165" s="96">
        <f t="shared" si="245"/>
        <v>0</v>
      </c>
      <c r="AW165" s="96">
        <f t="shared" si="245"/>
        <v>0</v>
      </c>
      <c r="AX165" s="96">
        <f t="shared" si="245"/>
        <v>0</v>
      </c>
      <c r="AY165" s="96">
        <f t="shared" ref="AY165:CD165" si="246">SUM(AY161:AY162)</f>
        <v>0</v>
      </c>
      <c r="AZ165" s="96">
        <f t="shared" si="246"/>
        <v>0</v>
      </c>
      <c r="BA165" s="96">
        <f t="shared" si="246"/>
        <v>0</v>
      </c>
      <c r="BB165" s="96">
        <f t="shared" si="246"/>
        <v>0</v>
      </c>
      <c r="BC165" s="96">
        <f t="shared" si="246"/>
        <v>94.195716308787269</v>
      </c>
      <c r="BD165" s="96">
        <f t="shared" si="246"/>
        <v>0</v>
      </c>
      <c r="BE165" s="96">
        <f t="shared" si="246"/>
        <v>0</v>
      </c>
      <c r="BF165" s="96">
        <f t="shared" si="246"/>
        <v>0</v>
      </c>
      <c r="BG165" s="96">
        <f t="shared" si="246"/>
        <v>0</v>
      </c>
      <c r="BH165" s="96">
        <f t="shared" si="246"/>
        <v>105.1738035739545</v>
      </c>
      <c r="BI165" s="96">
        <f t="shared" si="246"/>
        <v>0</v>
      </c>
      <c r="BJ165" s="96">
        <f t="shared" si="246"/>
        <v>0</v>
      </c>
      <c r="BK165" s="96">
        <f t="shared" si="246"/>
        <v>0</v>
      </c>
      <c r="BL165" s="96">
        <f t="shared" si="246"/>
        <v>0</v>
      </c>
      <c r="BM165" s="96">
        <f t="shared" si="246"/>
        <v>0</v>
      </c>
      <c r="BN165" s="96">
        <f t="shared" si="246"/>
        <v>0</v>
      </c>
      <c r="BO165" s="96">
        <f t="shared" si="246"/>
        <v>0</v>
      </c>
      <c r="BP165" s="96">
        <f t="shared" si="246"/>
        <v>133.46840118117325</v>
      </c>
      <c r="BQ165" s="96">
        <f t="shared" si="246"/>
        <v>0</v>
      </c>
      <c r="BR165" s="96">
        <f t="shared" si="246"/>
        <v>0</v>
      </c>
      <c r="BS165" s="96">
        <f t="shared" si="246"/>
        <v>0</v>
      </c>
      <c r="BT165" s="96">
        <f t="shared" si="246"/>
        <v>0</v>
      </c>
      <c r="BU165" s="96">
        <f t="shared" si="246"/>
        <v>0</v>
      </c>
      <c r="BV165" s="96">
        <f t="shared" si="246"/>
        <v>0</v>
      </c>
      <c r="BW165" s="96">
        <f t="shared" si="246"/>
        <v>0</v>
      </c>
      <c r="BX165" s="96">
        <f t="shared" si="246"/>
        <v>0</v>
      </c>
      <c r="BY165" s="96">
        <f t="shared" si="246"/>
        <v>0</v>
      </c>
      <c r="BZ165" s="96">
        <f t="shared" si="246"/>
        <v>0</v>
      </c>
      <c r="CA165" s="96">
        <f t="shared" si="246"/>
        <v>-7940.6602673527777</v>
      </c>
      <c r="CB165" s="96">
        <f t="shared" si="246"/>
        <v>0</v>
      </c>
      <c r="CC165" s="96">
        <f t="shared" si="246"/>
        <v>0</v>
      </c>
      <c r="CD165" s="96">
        <f t="shared" si="246"/>
        <v>0</v>
      </c>
      <c r="CE165" s="96">
        <f t="shared" ref="CE165:DM165" si="247">SUM(CE161:CE162)</f>
        <v>0</v>
      </c>
      <c r="CF165" s="96">
        <f t="shared" si="247"/>
        <v>0</v>
      </c>
      <c r="CG165" s="96">
        <f t="shared" si="247"/>
        <v>0</v>
      </c>
      <c r="CH165" s="96">
        <f t="shared" si="247"/>
        <v>0</v>
      </c>
      <c r="CI165" s="96">
        <f t="shared" si="247"/>
        <v>0</v>
      </c>
      <c r="CJ165" s="96">
        <f t="shared" si="247"/>
        <v>0</v>
      </c>
      <c r="CK165" s="96">
        <f t="shared" si="247"/>
        <v>0</v>
      </c>
      <c r="CL165" s="96">
        <f t="shared" si="247"/>
        <v>0</v>
      </c>
      <c r="CM165" s="96">
        <f t="shared" si="247"/>
        <v>0</v>
      </c>
      <c r="CN165" s="96">
        <f t="shared" si="247"/>
        <v>0</v>
      </c>
      <c r="CO165" s="96">
        <f t="shared" si="247"/>
        <v>0</v>
      </c>
      <c r="CP165" s="96">
        <f t="shared" si="247"/>
        <v>0</v>
      </c>
      <c r="CQ165" s="96">
        <f t="shared" si="247"/>
        <v>0</v>
      </c>
      <c r="CR165" s="96">
        <f t="shared" si="247"/>
        <v>0</v>
      </c>
      <c r="CS165" s="96">
        <f t="shared" si="247"/>
        <v>0</v>
      </c>
      <c r="CT165" s="96">
        <f t="shared" si="247"/>
        <v>0</v>
      </c>
      <c r="CU165" s="96">
        <f t="shared" si="247"/>
        <v>0</v>
      </c>
      <c r="CV165" s="96">
        <f t="shared" si="247"/>
        <v>0</v>
      </c>
      <c r="CW165" s="96">
        <f t="shared" si="247"/>
        <v>0</v>
      </c>
      <c r="CX165" s="96">
        <f t="shared" si="247"/>
        <v>0</v>
      </c>
      <c r="CY165" s="96">
        <f t="shared" si="247"/>
        <v>0</v>
      </c>
      <c r="CZ165" s="96">
        <f t="shared" si="247"/>
        <v>0</v>
      </c>
      <c r="DA165" s="96">
        <f t="shared" si="247"/>
        <v>0</v>
      </c>
      <c r="DB165" s="96">
        <f t="shared" si="247"/>
        <v>0</v>
      </c>
      <c r="DC165" s="96">
        <f t="shared" si="247"/>
        <v>0</v>
      </c>
      <c r="DD165" s="96">
        <f t="shared" si="247"/>
        <v>0</v>
      </c>
      <c r="DE165" s="96">
        <f t="shared" si="247"/>
        <v>0</v>
      </c>
      <c r="DF165" s="96">
        <f t="shared" si="247"/>
        <v>0</v>
      </c>
      <c r="DG165" s="96">
        <f t="shared" si="247"/>
        <v>0</v>
      </c>
      <c r="DH165" s="96">
        <f t="shared" si="247"/>
        <v>0</v>
      </c>
      <c r="DI165" s="96">
        <f t="shared" si="247"/>
        <v>0</v>
      </c>
      <c r="DJ165" s="96">
        <f t="shared" si="247"/>
        <v>0</v>
      </c>
      <c r="DK165" s="96">
        <f t="shared" si="247"/>
        <v>0</v>
      </c>
      <c r="DL165" s="96">
        <f t="shared" si="247"/>
        <v>0</v>
      </c>
      <c r="DM165" s="96">
        <f t="shared" si="247"/>
        <v>0</v>
      </c>
    </row>
    <row r="167" spans="14:117">
      <c r="N167" s="2" t="str">
        <f>'A&amp;R'!AC16</f>
        <v>주차수입</v>
      </c>
    </row>
    <row r="168" spans="14:117">
      <c r="N168" s="2"/>
      <c r="O168" s="13" t="s">
        <v>193</v>
      </c>
      <c r="P168" s="131">
        <f>'A&amp;R'!$AE$16</f>
        <v>40</v>
      </c>
      <c r="S168" s="13">
        <f t="shared" ref="S168:AX168" si="248">$P$168*S$11</f>
        <v>0</v>
      </c>
      <c r="T168" s="13">
        <f t="shared" si="248"/>
        <v>40</v>
      </c>
      <c r="U168" s="13">
        <f t="shared" si="248"/>
        <v>40</v>
      </c>
      <c r="V168" s="13">
        <f t="shared" si="248"/>
        <v>40</v>
      </c>
      <c r="W168" s="13">
        <f t="shared" si="248"/>
        <v>40</v>
      </c>
      <c r="X168" s="13">
        <f t="shared" si="248"/>
        <v>40</v>
      </c>
      <c r="Y168" s="13">
        <f t="shared" si="248"/>
        <v>40</v>
      </c>
      <c r="Z168" s="13">
        <f t="shared" si="248"/>
        <v>40</v>
      </c>
      <c r="AA168" s="13">
        <f t="shared" si="248"/>
        <v>40</v>
      </c>
      <c r="AB168" s="13">
        <f t="shared" si="248"/>
        <v>40</v>
      </c>
      <c r="AC168" s="13">
        <f t="shared" si="248"/>
        <v>40</v>
      </c>
      <c r="AD168" s="13">
        <f t="shared" si="248"/>
        <v>40</v>
      </c>
      <c r="AE168" s="13">
        <f t="shared" si="248"/>
        <v>40</v>
      </c>
      <c r="AF168" s="13">
        <f t="shared" si="248"/>
        <v>40</v>
      </c>
      <c r="AG168" s="13">
        <f t="shared" si="248"/>
        <v>40</v>
      </c>
      <c r="AH168" s="13">
        <f t="shared" si="248"/>
        <v>40</v>
      </c>
      <c r="AI168" s="13">
        <f t="shared" si="248"/>
        <v>40</v>
      </c>
      <c r="AJ168" s="13">
        <f t="shared" si="248"/>
        <v>40</v>
      </c>
      <c r="AK168" s="13">
        <f t="shared" si="248"/>
        <v>40</v>
      </c>
      <c r="AL168" s="13">
        <f t="shared" si="248"/>
        <v>40</v>
      </c>
      <c r="AM168" s="13">
        <f t="shared" si="248"/>
        <v>40</v>
      </c>
      <c r="AN168" s="13">
        <f t="shared" si="248"/>
        <v>40</v>
      </c>
      <c r="AO168" s="13">
        <f t="shared" si="248"/>
        <v>40</v>
      </c>
      <c r="AP168" s="13">
        <f t="shared" si="248"/>
        <v>40</v>
      </c>
      <c r="AQ168" s="13">
        <f t="shared" si="248"/>
        <v>40</v>
      </c>
      <c r="AR168" s="13">
        <f t="shared" si="248"/>
        <v>40</v>
      </c>
      <c r="AS168" s="13">
        <f t="shared" si="248"/>
        <v>40</v>
      </c>
      <c r="AT168" s="13">
        <f t="shared" si="248"/>
        <v>40</v>
      </c>
      <c r="AU168" s="13">
        <f t="shared" si="248"/>
        <v>40</v>
      </c>
      <c r="AV168" s="13">
        <f t="shared" si="248"/>
        <v>40</v>
      </c>
      <c r="AW168" s="13">
        <f t="shared" si="248"/>
        <v>40</v>
      </c>
      <c r="AX168" s="13">
        <f t="shared" si="248"/>
        <v>40</v>
      </c>
      <c r="AY168" s="13">
        <f t="shared" ref="AY168:CD168" si="249">$P$168*AY$11</f>
        <v>40</v>
      </c>
      <c r="AZ168" s="13">
        <f t="shared" si="249"/>
        <v>40</v>
      </c>
      <c r="BA168" s="13">
        <f t="shared" si="249"/>
        <v>40</v>
      </c>
      <c r="BB168" s="13">
        <f t="shared" si="249"/>
        <v>40</v>
      </c>
      <c r="BC168" s="13">
        <f t="shared" si="249"/>
        <v>40</v>
      </c>
      <c r="BD168" s="13">
        <f t="shared" si="249"/>
        <v>40</v>
      </c>
      <c r="BE168" s="13">
        <f t="shared" si="249"/>
        <v>40</v>
      </c>
      <c r="BF168" s="13">
        <f t="shared" si="249"/>
        <v>40</v>
      </c>
      <c r="BG168" s="13">
        <f t="shared" si="249"/>
        <v>40</v>
      </c>
      <c r="BH168" s="13">
        <f t="shared" si="249"/>
        <v>40</v>
      </c>
      <c r="BI168" s="13">
        <f t="shared" si="249"/>
        <v>40</v>
      </c>
      <c r="BJ168" s="13">
        <f t="shared" si="249"/>
        <v>40</v>
      </c>
      <c r="BK168" s="13">
        <f t="shared" si="249"/>
        <v>40</v>
      </c>
      <c r="BL168" s="13">
        <f t="shared" si="249"/>
        <v>40</v>
      </c>
      <c r="BM168" s="13">
        <f t="shared" si="249"/>
        <v>40</v>
      </c>
      <c r="BN168" s="13">
        <f t="shared" si="249"/>
        <v>40</v>
      </c>
      <c r="BO168" s="13">
        <f t="shared" si="249"/>
        <v>40</v>
      </c>
      <c r="BP168" s="13">
        <f t="shared" si="249"/>
        <v>40</v>
      </c>
      <c r="BQ168" s="13">
        <f t="shared" si="249"/>
        <v>40</v>
      </c>
      <c r="BR168" s="13">
        <f t="shared" si="249"/>
        <v>40</v>
      </c>
      <c r="BS168" s="13">
        <f t="shared" si="249"/>
        <v>40</v>
      </c>
      <c r="BT168" s="13">
        <f t="shared" si="249"/>
        <v>40</v>
      </c>
      <c r="BU168" s="13">
        <f t="shared" si="249"/>
        <v>40</v>
      </c>
      <c r="BV168" s="13">
        <f t="shared" si="249"/>
        <v>40</v>
      </c>
      <c r="BW168" s="13">
        <f t="shared" si="249"/>
        <v>40</v>
      </c>
      <c r="BX168" s="13">
        <f t="shared" si="249"/>
        <v>40</v>
      </c>
      <c r="BY168" s="13">
        <f t="shared" si="249"/>
        <v>40</v>
      </c>
      <c r="BZ168" s="13">
        <f t="shared" si="249"/>
        <v>40</v>
      </c>
      <c r="CA168" s="13">
        <f t="shared" si="249"/>
        <v>40</v>
      </c>
      <c r="CB168" s="13">
        <f t="shared" si="249"/>
        <v>0</v>
      </c>
      <c r="CC168" s="13">
        <f t="shared" si="249"/>
        <v>0</v>
      </c>
      <c r="CD168" s="13">
        <f t="shared" si="249"/>
        <v>0</v>
      </c>
      <c r="CE168" s="13">
        <f t="shared" ref="CE168:DM168" si="250">$P$168*CE$11</f>
        <v>0</v>
      </c>
      <c r="CF168" s="13">
        <f t="shared" si="250"/>
        <v>0</v>
      </c>
      <c r="CG168" s="13">
        <f t="shared" si="250"/>
        <v>0</v>
      </c>
      <c r="CH168" s="13">
        <f t="shared" si="250"/>
        <v>0</v>
      </c>
      <c r="CI168" s="13">
        <f t="shared" si="250"/>
        <v>0</v>
      </c>
      <c r="CJ168" s="13">
        <f t="shared" si="250"/>
        <v>0</v>
      </c>
      <c r="CK168" s="13">
        <f t="shared" si="250"/>
        <v>0</v>
      </c>
      <c r="CL168" s="13">
        <f t="shared" si="250"/>
        <v>0</v>
      </c>
      <c r="CM168" s="13">
        <f t="shared" si="250"/>
        <v>0</v>
      </c>
      <c r="CN168" s="13">
        <f t="shared" si="250"/>
        <v>0</v>
      </c>
      <c r="CO168" s="13">
        <f t="shared" si="250"/>
        <v>0</v>
      </c>
      <c r="CP168" s="13">
        <f t="shared" si="250"/>
        <v>0</v>
      </c>
      <c r="CQ168" s="13">
        <f t="shared" si="250"/>
        <v>0</v>
      </c>
      <c r="CR168" s="13">
        <f t="shared" si="250"/>
        <v>0</v>
      </c>
      <c r="CS168" s="13">
        <f t="shared" si="250"/>
        <v>0</v>
      </c>
      <c r="CT168" s="13">
        <f t="shared" si="250"/>
        <v>0</v>
      </c>
      <c r="CU168" s="13">
        <f t="shared" si="250"/>
        <v>0</v>
      </c>
      <c r="CV168" s="13">
        <f t="shared" si="250"/>
        <v>0</v>
      </c>
      <c r="CW168" s="13">
        <f t="shared" si="250"/>
        <v>0</v>
      </c>
      <c r="CX168" s="13">
        <f t="shared" si="250"/>
        <v>0</v>
      </c>
      <c r="CY168" s="13">
        <f t="shared" si="250"/>
        <v>0</v>
      </c>
      <c r="CZ168" s="13">
        <f t="shared" si="250"/>
        <v>0</v>
      </c>
      <c r="DA168" s="13">
        <f t="shared" si="250"/>
        <v>0</v>
      </c>
      <c r="DB168" s="13">
        <f t="shared" si="250"/>
        <v>0</v>
      </c>
      <c r="DC168" s="13">
        <f t="shared" si="250"/>
        <v>0</v>
      </c>
      <c r="DD168" s="13">
        <f t="shared" si="250"/>
        <v>0</v>
      </c>
      <c r="DE168" s="13">
        <f t="shared" si="250"/>
        <v>0</v>
      </c>
      <c r="DF168" s="13">
        <f t="shared" si="250"/>
        <v>0</v>
      </c>
      <c r="DG168" s="13">
        <f t="shared" si="250"/>
        <v>0</v>
      </c>
      <c r="DH168" s="13">
        <f t="shared" si="250"/>
        <v>0</v>
      </c>
      <c r="DI168" s="13">
        <f t="shared" si="250"/>
        <v>0</v>
      </c>
      <c r="DJ168" s="13">
        <f t="shared" si="250"/>
        <v>0</v>
      </c>
      <c r="DK168" s="13">
        <f t="shared" si="250"/>
        <v>0</v>
      </c>
      <c r="DL168" s="13">
        <f t="shared" si="250"/>
        <v>0</v>
      </c>
      <c r="DM168" s="13">
        <f t="shared" si="250"/>
        <v>0</v>
      </c>
    </row>
    <row r="169" spans="14:117">
      <c r="O169" s="13" t="s">
        <v>99</v>
      </c>
      <c r="P169" s="90">
        <f>'A&amp;R'!$AH$16</f>
        <v>2.5000000000000001E-2</v>
      </c>
      <c r="Q169" s="118"/>
      <c r="R169" s="118"/>
      <c r="S169" s="90">
        <f t="shared" ref="S169:AX169" si="251">(1+$P$169)^(S$16-1)*S$11</f>
        <v>0</v>
      </c>
      <c r="T169" s="90">
        <f t="shared" si="251"/>
        <v>1</v>
      </c>
      <c r="U169" s="90">
        <f t="shared" si="251"/>
        <v>1</v>
      </c>
      <c r="V169" s="90">
        <f t="shared" si="251"/>
        <v>1</v>
      </c>
      <c r="W169" s="90">
        <f t="shared" si="251"/>
        <v>1</v>
      </c>
      <c r="X169" s="90">
        <f t="shared" si="251"/>
        <v>1</v>
      </c>
      <c r="Y169" s="90">
        <f t="shared" si="251"/>
        <v>1</v>
      </c>
      <c r="Z169" s="90">
        <f t="shared" si="251"/>
        <v>1</v>
      </c>
      <c r="AA169" s="90">
        <f t="shared" si="251"/>
        <v>1</v>
      </c>
      <c r="AB169" s="90">
        <f t="shared" si="251"/>
        <v>1</v>
      </c>
      <c r="AC169" s="90">
        <f t="shared" si="251"/>
        <v>1</v>
      </c>
      <c r="AD169" s="90">
        <f t="shared" si="251"/>
        <v>1</v>
      </c>
      <c r="AE169" s="90">
        <f t="shared" si="251"/>
        <v>1</v>
      </c>
      <c r="AF169" s="90">
        <f t="shared" si="251"/>
        <v>1.0249999999999999</v>
      </c>
      <c r="AG169" s="90">
        <f t="shared" si="251"/>
        <v>1.0249999999999999</v>
      </c>
      <c r="AH169" s="90">
        <f t="shared" si="251"/>
        <v>1.0249999999999999</v>
      </c>
      <c r="AI169" s="90">
        <f t="shared" si="251"/>
        <v>1.0249999999999999</v>
      </c>
      <c r="AJ169" s="90">
        <f t="shared" si="251"/>
        <v>1.0249999999999999</v>
      </c>
      <c r="AK169" s="90">
        <f t="shared" si="251"/>
        <v>1.0249999999999999</v>
      </c>
      <c r="AL169" s="90">
        <f t="shared" si="251"/>
        <v>1.0249999999999999</v>
      </c>
      <c r="AM169" s="90">
        <f t="shared" si="251"/>
        <v>1.0249999999999999</v>
      </c>
      <c r="AN169" s="90">
        <f t="shared" si="251"/>
        <v>1.0249999999999999</v>
      </c>
      <c r="AO169" s="90">
        <f t="shared" si="251"/>
        <v>1.0249999999999999</v>
      </c>
      <c r="AP169" s="90">
        <f t="shared" si="251"/>
        <v>1.0249999999999999</v>
      </c>
      <c r="AQ169" s="90">
        <f t="shared" si="251"/>
        <v>1.0249999999999999</v>
      </c>
      <c r="AR169" s="90">
        <f t="shared" si="251"/>
        <v>1.0506249999999999</v>
      </c>
      <c r="AS169" s="90">
        <f t="shared" si="251"/>
        <v>1.0506249999999999</v>
      </c>
      <c r="AT169" s="90">
        <f t="shared" si="251"/>
        <v>1.0506249999999999</v>
      </c>
      <c r="AU169" s="90">
        <f t="shared" si="251"/>
        <v>1.0506249999999999</v>
      </c>
      <c r="AV169" s="90">
        <f t="shared" si="251"/>
        <v>1.0506249999999999</v>
      </c>
      <c r="AW169" s="90">
        <f t="shared" si="251"/>
        <v>1.0506249999999999</v>
      </c>
      <c r="AX169" s="90">
        <f t="shared" si="251"/>
        <v>1.0506249999999999</v>
      </c>
      <c r="AY169" s="90">
        <f t="shared" ref="AY169:CD169" si="252">(1+$P$169)^(AY$16-1)*AY$11</f>
        <v>1.0506249999999999</v>
      </c>
      <c r="AZ169" s="90">
        <f t="shared" si="252"/>
        <v>1.0506249999999999</v>
      </c>
      <c r="BA169" s="90">
        <f t="shared" si="252"/>
        <v>1.0506249999999999</v>
      </c>
      <c r="BB169" s="90">
        <f t="shared" si="252"/>
        <v>1.0506249999999999</v>
      </c>
      <c r="BC169" s="90">
        <f t="shared" si="252"/>
        <v>1.0506249999999999</v>
      </c>
      <c r="BD169" s="90">
        <f t="shared" si="252"/>
        <v>1.0768906249999999</v>
      </c>
      <c r="BE169" s="90">
        <f t="shared" si="252"/>
        <v>1.0768906249999999</v>
      </c>
      <c r="BF169" s="90">
        <f t="shared" si="252"/>
        <v>1.0768906249999999</v>
      </c>
      <c r="BG169" s="90">
        <f t="shared" si="252"/>
        <v>1.0768906249999999</v>
      </c>
      <c r="BH169" s="90">
        <f t="shared" si="252"/>
        <v>1.0768906249999999</v>
      </c>
      <c r="BI169" s="90">
        <f t="shared" si="252"/>
        <v>1.0768906249999999</v>
      </c>
      <c r="BJ169" s="90">
        <f t="shared" si="252"/>
        <v>1.0768906249999999</v>
      </c>
      <c r="BK169" s="90">
        <f t="shared" si="252"/>
        <v>1.0768906249999999</v>
      </c>
      <c r="BL169" s="90">
        <f t="shared" si="252"/>
        <v>1.0768906249999999</v>
      </c>
      <c r="BM169" s="90">
        <f t="shared" si="252"/>
        <v>1.0768906249999999</v>
      </c>
      <c r="BN169" s="90">
        <f t="shared" si="252"/>
        <v>1.0768906249999999</v>
      </c>
      <c r="BO169" s="90">
        <f t="shared" si="252"/>
        <v>1.0768906249999999</v>
      </c>
      <c r="BP169" s="90">
        <f t="shared" si="252"/>
        <v>1.1038128906249998</v>
      </c>
      <c r="BQ169" s="90">
        <f t="shared" si="252"/>
        <v>1.1038128906249998</v>
      </c>
      <c r="BR169" s="90">
        <f t="shared" si="252"/>
        <v>1.1038128906249998</v>
      </c>
      <c r="BS169" s="90">
        <f t="shared" si="252"/>
        <v>1.1038128906249998</v>
      </c>
      <c r="BT169" s="90">
        <f t="shared" si="252"/>
        <v>1.1038128906249998</v>
      </c>
      <c r="BU169" s="90">
        <f t="shared" si="252"/>
        <v>1.1038128906249998</v>
      </c>
      <c r="BV169" s="90">
        <f t="shared" si="252"/>
        <v>1.1038128906249998</v>
      </c>
      <c r="BW169" s="90">
        <f t="shared" si="252"/>
        <v>1.1038128906249998</v>
      </c>
      <c r="BX169" s="90">
        <f t="shared" si="252"/>
        <v>1.1038128906249998</v>
      </c>
      <c r="BY169" s="90">
        <f t="shared" si="252"/>
        <v>1.1038128906249998</v>
      </c>
      <c r="BZ169" s="90">
        <f t="shared" si="252"/>
        <v>1.1038128906249998</v>
      </c>
      <c r="CA169" s="90">
        <f t="shared" si="252"/>
        <v>1.1038128906249998</v>
      </c>
      <c r="CB169" s="90">
        <f t="shared" si="252"/>
        <v>0</v>
      </c>
      <c r="CC169" s="90">
        <f t="shared" si="252"/>
        <v>0</v>
      </c>
      <c r="CD169" s="90">
        <f t="shared" si="252"/>
        <v>0</v>
      </c>
      <c r="CE169" s="90">
        <f t="shared" ref="CE169:DM169" si="253">(1+$P$169)^(CE$16-1)*CE$11</f>
        <v>0</v>
      </c>
      <c r="CF169" s="90">
        <f t="shared" si="253"/>
        <v>0</v>
      </c>
      <c r="CG169" s="90">
        <f t="shared" si="253"/>
        <v>0</v>
      </c>
      <c r="CH169" s="90">
        <f t="shared" si="253"/>
        <v>0</v>
      </c>
      <c r="CI169" s="90">
        <f t="shared" si="253"/>
        <v>0</v>
      </c>
      <c r="CJ169" s="90">
        <f t="shared" si="253"/>
        <v>0</v>
      </c>
      <c r="CK169" s="90">
        <f t="shared" si="253"/>
        <v>0</v>
      </c>
      <c r="CL169" s="90">
        <f t="shared" si="253"/>
        <v>0</v>
      </c>
      <c r="CM169" s="90">
        <f t="shared" si="253"/>
        <v>0</v>
      </c>
      <c r="CN169" s="90">
        <f t="shared" si="253"/>
        <v>0</v>
      </c>
      <c r="CO169" s="90">
        <f t="shared" si="253"/>
        <v>0</v>
      </c>
      <c r="CP169" s="90">
        <f t="shared" si="253"/>
        <v>0</v>
      </c>
      <c r="CQ169" s="90">
        <f t="shared" si="253"/>
        <v>0</v>
      </c>
      <c r="CR169" s="90">
        <f t="shared" si="253"/>
        <v>0</v>
      </c>
      <c r="CS169" s="90">
        <f t="shared" si="253"/>
        <v>0</v>
      </c>
      <c r="CT169" s="90">
        <f t="shared" si="253"/>
        <v>0</v>
      </c>
      <c r="CU169" s="90">
        <f t="shared" si="253"/>
        <v>0</v>
      </c>
      <c r="CV169" s="90">
        <f t="shared" si="253"/>
        <v>0</v>
      </c>
      <c r="CW169" s="90">
        <f t="shared" si="253"/>
        <v>0</v>
      </c>
      <c r="CX169" s="90">
        <f t="shared" si="253"/>
        <v>0</v>
      </c>
      <c r="CY169" s="90">
        <f t="shared" si="253"/>
        <v>0</v>
      </c>
      <c r="CZ169" s="90">
        <f t="shared" si="253"/>
        <v>0</v>
      </c>
      <c r="DA169" s="90">
        <f t="shared" si="253"/>
        <v>0</v>
      </c>
      <c r="DB169" s="90">
        <f t="shared" si="253"/>
        <v>0</v>
      </c>
      <c r="DC169" s="90">
        <f t="shared" si="253"/>
        <v>0</v>
      </c>
      <c r="DD169" s="90">
        <f t="shared" si="253"/>
        <v>0</v>
      </c>
      <c r="DE169" s="90">
        <f t="shared" si="253"/>
        <v>0</v>
      </c>
      <c r="DF169" s="90">
        <f t="shared" si="253"/>
        <v>0</v>
      </c>
      <c r="DG169" s="90">
        <f t="shared" si="253"/>
        <v>0</v>
      </c>
      <c r="DH169" s="90">
        <f t="shared" si="253"/>
        <v>0</v>
      </c>
      <c r="DI169" s="90">
        <f t="shared" si="253"/>
        <v>0</v>
      </c>
      <c r="DJ169" s="90">
        <f t="shared" si="253"/>
        <v>0</v>
      </c>
      <c r="DK169" s="90">
        <f t="shared" si="253"/>
        <v>0</v>
      </c>
      <c r="DL169" s="90">
        <f t="shared" si="253"/>
        <v>0</v>
      </c>
      <c r="DM169" s="90">
        <f t="shared" si="253"/>
        <v>0</v>
      </c>
    </row>
    <row r="170" spans="14:117">
      <c r="O170" s="96" t="s">
        <v>187</v>
      </c>
      <c r="P170" s="96"/>
      <c r="Q170" s="96">
        <f>SUM(S170:DM170)</f>
        <v>2523.0376875000002</v>
      </c>
      <c r="R170" s="96"/>
      <c r="S170" s="96">
        <f>S168*S169</f>
        <v>0</v>
      </c>
      <c r="T170" s="96">
        <f t="shared" ref="T170:CE170" si="254">T168*T169</f>
        <v>40</v>
      </c>
      <c r="U170" s="96">
        <f t="shared" si="254"/>
        <v>40</v>
      </c>
      <c r="V170" s="96">
        <f t="shared" si="254"/>
        <v>40</v>
      </c>
      <c r="W170" s="96">
        <f t="shared" si="254"/>
        <v>40</v>
      </c>
      <c r="X170" s="96">
        <f t="shared" si="254"/>
        <v>40</v>
      </c>
      <c r="Y170" s="96">
        <f t="shared" si="254"/>
        <v>40</v>
      </c>
      <c r="Z170" s="96">
        <f t="shared" si="254"/>
        <v>40</v>
      </c>
      <c r="AA170" s="96">
        <f t="shared" si="254"/>
        <v>40</v>
      </c>
      <c r="AB170" s="96">
        <f t="shared" si="254"/>
        <v>40</v>
      </c>
      <c r="AC170" s="96">
        <f t="shared" si="254"/>
        <v>40</v>
      </c>
      <c r="AD170" s="96">
        <f t="shared" si="254"/>
        <v>40</v>
      </c>
      <c r="AE170" s="96">
        <f t="shared" si="254"/>
        <v>40</v>
      </c>
      <c r="AF170" s="96">
        <f t="shared" si="254"/>
        <v>41</v>
      </c>
      <c r="AG170" s="96">
        <f t="shared" si="254"/>
        <v>41</v>
      </c>
      <c r="AH170" s="96">
        <f t="shared" si="254"/>
        <v>41</v>
      </c>
      <c r="AI170" s="96">
        <f t="shared" si="254"/>
        <v>41</v>
      </c>
      <c r="AJ170" s="96">
        <f t="shared" si="254"/>
        <v>41</v>
      </c>
      <c r="AK170" s="96">
        <f t="shared" si="254"/>
        <v>41</v>
      </c>
      <c r="AL170" s="96">
        <f t="shared" si="254"/>
        <v>41</v>
      </c>
      <c r="AM170" s="96">
        <f t="shared" si="254"/>
        <v>41</v>
      </c>
      <c r="AN170" s="96">
        <f t="shared" si="254"/>
        <v>41</v>
      </c>
      <c r="AO170" s="96">
        <f t="shared" si="254"/>
        <v>41</v>
      </c>
      <c r="AP170" s="96">
        <f t="shared" si="254"/>
        <v>41</v>
      </c>
      <c r="AQ170" s="96">
        <f t="shared" si="254"/>
        <v>41</v>
      </c>
      <c r="AR170" s="96">
        <f t="shared" si="254"/>
        <v>42.024999999999999</v>
      </c>
      <c r="AS170" s="96">
        <f t="shared" si="254"/>
        <v>42.024999999999999</v>
      </c>
      <c r="AT170" s="96">
        <f t="shared" si="254"/>
        <v>42.024999999999999</v>
      </c>
      <c r="AU170" s="96">
        <f t="shared" si="254"/>
        <v>42.024999999999999</v>
      </c>
      <c r="AV170" s="96">
        <f t="shared" si="254"/>
        <v>42.024999999999999</v>
      </c>
      <c r="AW170" s="96">
        <f t="shared" si="254"/>
        <v>42.024999999999999</v>
      </c>
      <c r="AX170" s="96">
        <f t="shared" si="254"/>
        <v>42.024999999999999</v>
      </c>
      <c r="AY170" s="96">
        <f t="shared" si="254"/>
        <v>42.024999999999999</v>
      </c>
      <c r="AZ170" s="96">
        <f t="shared" si="254"/>
        <v>42.024999999999999</v>
      </c>
      <c r="BA170" s="96">
        <f t="shared" si="254"/>
        <v>42.024999999999999</v>
      </c>
      <c r="BB170" s="96">
        <f t="shared" si="254"/>
        <v>42.024999999999999</v>
      </c>
      <c r="BC170" s="96">
        <f t="shared" si="254"/>
        <v>42.024999999999999</v>
      </c>
      <c r="BD170" s="96">
        <f t="shared" si="254"/>
        <v>43.075624999999995</v>
      </c>
      <c r="BE170" s="96">
        <f t="shared" si="254"/>
        <v>43.075624999999995</v>
      </c>
      <c r="BF170" s="96">
        <f t="shared" si="254"/>
        <v>43.075624999999995</v>
      </c>
      <c r="BG170" s="96">
        <f t="shared" si="254"/>
        <v>43.075624999999995</v>
      </c>
      <c r="BH170" s="96">
        <f t="shared" si="254"/>
        <v>43.075624999999995</v>
      </c>
      <c r="BI170" s="96">
        <f t="shared" si="254"/>
        <v>43.075624999999995</v>
      </c>
      <c r="BJ170" s="96">
        <f t="shared" si="254"/>
        <v>43.075624999999995</v>
      </c>
      <c r="BK170" s="96">
        <f t="shared" si="254"/>
        <v>43.075624999999995</v>
      </c>
      <c r="BL170" s="96">
        <f t="shared" si="254"/>
        <v>43.075624999999995</v>
      </c>
      <c r="BM170" s="96">
        <f t="shared" si="254"/>
        <v>43.075624999999995</v>
      </c>
      <c r="BN170" s="96">
        <f t="shared" si="254"/>
        <v>43.075624999999995</v>
      </c>
      <c r="BO170" s="96">
        <f t="shared" si="254"/>
        <v>43.075624999999995</v>
      </c>
      <c r="BP170" s="96">
        <f t="shared" si="254"/>
        <v>44.152515624999992</v>
      </c>
      <c r="BQ170" s="96">
        <f t="shared" si="254"/>
        <v>44.152515624999992</v>
      </c>
      <c r="BR170" s="96">
        <f t="shared" si="254"/>
        <v>44.152515624999992</v>
      </c>
      <c r="BS170" s="96">
        <f t="shared" si="254"/>
        <v>44.152515624999992</v>
      </c>
      <c r="BT170" s="96">
        <f t="shared" si="254"/>
        <v>44.152515624999992</v>
      </c>
      <c r="BU170" s="96">
        <f t="shared" si="254"/>
        <v>44.152515624999992</v>
      </c>
      <c r="BV170" s="96">
        <f t="shared" si="254"/>
        <v>44.152515624999992</v>
      </c>
      <c r="BW170" s="96">
        <f t="shared" si="254"/>
        <v>44.152515624999992</v>
      </c>
      <c r="BX170" s="96">
        <f t="shared" si="254"/>
        <v>44.152515624999992</v>
      </c>
      <c r="BY170" s="96">
        <f t="shared" si="254"/>
        <v>44.152515624999992</v>
      </c>
      <c r="BZ170" s="96">
        <f t="shared" si="254"/>
        <v>44.152515624999992</v>
      </c>
      <c r="CA170" s="96">
        <f t="shared" si="254"/>
        <v>44.152515624999992</v>
      </c>
      <c r="CB170" s="96">
        <f t="shared" si="254"/>
        <v>0</v>
      </c>
      <c r="CC170" s="96">
        <f t="shared" si="254"/>
        <v>0</v>
      </c>
      <c r="CD170" s="96">
        <f t="shared" si="254"/>
        <v>0</v>
      </c>
      <c r="CE170" s="96">
        <f t="shared" si="254"/>
        <v>0</v>
      </c>
      <c r="CF170" s="96">
        <f t="shared" ref="CF170:DM170" si="255">CF168*CF169</f>
        <v>0</v>
      </c>
      <c r="CG170" s="96">
        <f t="shared" si="255"/>
        <v>0</v>
      </c>
      <c r="CH170" s="96">
        <f t="shared" si="255"/>
        <v>0</v>
      </c>
      <c r="CI170" s="96">
        <f t="shared" si="255"/>
        <v>0</v>
      </c>
      <c r="CJ170" s="96">
        <f t="shared" si="255"/>
        <v>0</v>
      </c>
      <c r="CK170" s="96">
        <f t="shared" si="255"/>
        <v>0</v>
      </c>
      <c r="CL170" s="96">
        <f t="shared" si="255"/>
        <v>0</v>
      </c>
      <c r="CM170" s="96">
        <f t="shared" si="255"/>
        <v>0</v>
      </c>
      <c r="CN170" s="96">
        <f t="shared" si="255"/>
        <v>0</v>
      </c>
      <c r="CO170" s="96">
        <f t="shared" si="255"/>
        <v>0</v>
      </c>
      <c r="CP170" s="96">
        <f t="shared" si="255"/>
        <v>0</v>
      </c>
      <c r="CQ170" s="96">
        <f t="shared" si="255"/>
        <v>0</v>
      </c>
      <c r="CR170" s="96">
        <f t="shared" si="255"/>
        <v>0</v>
      </c>
      <c r="CS170" s="96">
        <f t="shared" si="255"/>
        <v>0</v>
      </c>
      <c r="CT170" s="96">
        <f t="shared" si="255"/>
        <v>0</v>
      </c>
      <c r="CU170" s="96">
        <f t="shared" si="255"/>
        <v>0</v>
      </c>
      <c r="CV170" s="96">
        <f t="shared" si="255"/>
        <v>0</v>
      </c>
      <c r="CW170" s="96">
        <f t="shared" si="255"/>
        <v>0</v>
      </c>
      <c r="CX170" s="96">
        <f t="shared" si="255"/>
        <v>0</v>
      </c>
      <c r="CY170" s="96">
        <f t="shared" si="255"/>
        <v>0</v>
      </c>
      <c r="CZ170" s="96">
        <f t="shared" si="255"/>
        <v>0</v>
      </c>
      <c r="DA170" s="96">
        <f t="shared" si="255"/>
        <v>0</v>
      </c>
      <c r="DB170" s="96">
        <f t="shared" si="255"/>
        <v>0</v>
      </c>
      <c r="DC170" s="96">
        <f t="shared" si="255"/>
        <v>0</v>
      </c>
      <c r="DD170" s="96">
        <f t="shared" si="255"/>
        <v>0</v>
      </c>
      <c r="DE170" s="96">
        <f t="shared" si="255"/>
        <v>0</v>
      </c>
      <c r="DF170" s="96">
        <f t="shared" si="255"/>
        <v>0</v>
      </c>
      <c r="DG170" s="96">
        <f t="shared" si="255"/>
        <v>0</v>
      </c>
      <c r="DH170" s="96">
        <f t="shared" si="255"/>
        <v>0</v>
      </c>
      <c r="DI170" s="96">
        <f t="shared" si="255"/>
        <v>0</v>
      </c>
      <c r="DJ170" s="96">
        <f t="shared" si="255"/>
        <v>0</v>
      </c>
      <c r="DK170" s="96">
        <f t="shared" si="255"/>
        <v>0</v>
      </c>
      <c r="DL170" s="96">
        <f t="shared" si="255"/>
        <v>0</v>
      </c>
      <c r="DM170" s="96">
        <f t="shared" si="255"/>
        <v>0</v>
      </c>
    </row>
    <row r="172" spans="14:117">
      <c r="N172" s="2" t="str">
        <f>'A&amp;R'!AC17</f>
        <v>기타수입</v>
      </c>
    </row>
    <row r="173" spans="14:117">
      <c r="N173" s="2"/>
      <c r="O173" s="13" t="s">
        <v>174</v>
      </c>
      <c r="P173" s="118">
        <f>'A&amp;R'!$M$20</f>
        <v>7585.49</v>
      </c>
      <c r="S173" s="13">
        <f t="shared" ref="S173:AX173" si="256">$P$173*S$11</f>
        <v>0</v>
      </c>
      <c r="T173" s="13">
        <f t="shared" si="256"/>
        <v>7585.49</v>
      </c>
      <c r="U173" s="13">
        <f t="shared" si="256"/>
        <v>7585.49</v>
      </c>
      <c r="V173" s="13">
        <f t="shared" si="256"/>
        <v>7585.49</v>
      </c>
      <c r="W173" s="13">
        <f t="shared" si="256"/>
        <v>7585.49</v>
      </c>
      <c r="X173" s="13">
        <f t="shared" si="256"/>
        <v>7585.49</v>
      </c>
      <c r="Y173" s="13">
        <f t="shared" si="256"/>
        <v>7585.49</v>
      </c>
      <c r="Z173" s="13">
        <f t="shared" si="256"/>
        <v>7585.49</v>
      </c>
      <c r="AA173" s="13">
        <f t="shared" si="256"/>
        <v>7585.49</v>
      </c>
      <c r="AB173" s="13">
        <f t="shared" si="256"/>
        <v>7585.49</v>
      </c>
      <c r="AC173" s="13">
        <f t="shared" si="256"/>
        <v>7585.49</v>
      </c>
      <c r="AD173" s="13">
        <f t="shared" si="256"/>
        <v>7585.49</v>
      </c>
      <c r="AE173" s="13">
        <f t="shared" si="256"/>
        <v>7585.49</v>
      </c>
      <c r="AF173" s="13">
        <f t="shared" si="256"/>
        <v>7585.49</v>
      </c>
      <c r="AG173" s="13">
        <f t="shared" si="256"/>
        <v>7585.49</v>
      </c>
      <c r="AH173" s="13">
        <f t="shared" si="256"/>
        <v>7585.49</v>
      </c>
      <c r="AI173" s="13">
        <f t="shared" si="256"/>
        <v>7585.49</v>
      </c>
      <c r="AJ173" s="13">
        <f t="shared" si="256"/>
        <v>7585.49</v>
      </c>
      <c r="AK173" s="13">
        <f t="shared" si="256"/>
        <v>7585.49</v>
      </c>
      <c r="AL173" s="13">
        <f t="shared" si="256"/>
        <v>7585.49</v>
      </c>
      <c r="AM173" s="13">
        <f t="shared" si="256"/>
        <v>7585.49</v>
      </c>
      <c r="AN173" s="13">
        <f t="shared" si="256"/>
        <v>7585.49</v>
      </c>
      <c r="AO173" s="13">
        <f t="shared" si="256"/>
        <v>7585.49</v>
      </c>
      <c r="AP173" s="13">
        <f t="shared" si="256"/>
        <v>7585.49</v>
      </c>
      <c r="AQ173" s="13">
        <f t="shared" si="256"/>
        <v>7585.49</v>
      </c>
      <c r="AR173" s="13">
        <f t="shared" si="256"/>
        <v>7585.49</v>
      </c>
      <c r="AS173" s="13">
        <f t="shared" si="256"/>
        <v>7585.49</v>
      </c>
      <c r="AT173" s="13">
        <f t="shared" si="256"/>
        <v>7585.49</v>
      </c>
      <c r="AU173" s="13">
        <f t="shared" si="256"/>
        <v>7585.49</v>
      </c>
      <c r="AV173" s="13">
        <f t="shared" si="256"/>
        <v>7585.49</v>
      </c>
      <c r="AW173" s="13">
        <f t="shared" si="256"/>
        <v>7585.49</v>
      </c>
      <c r="AX173" s="13">
        <f t="shared" si="256"/>
        <v>7585.49</v>
      </c>
      <c r="AY173" s="13">
        <f t="shared" ref="AY173:CD173" si="257">$P$173*AY$11</f>
        <v>7585.49</v>
      </c>
      <c r="AZ173" s="13">
        <f t="shared" si="257"/>
        <v>7585.49</v>
      </c>
      <c r="BA173" s="13">
        <f t="shared" si="257"/>
        <v>7585.49</v>
      </c>
      <c r="BB173" s="13">
        <f t="shared" si="257"/>
        <v>7585.49</v>
      </c>
      <c r="BC173" s="13">
        <f t="shared" si="257"/>
        <v>7585.49</v>
      </c>
      <c r="BD173" s="13">
        <f t="shared" si="257"/>
        <v>7585.49</v>
      </c>
      <c r="BE173" s="13">
        <f t="shared" si="257"/>
        <v>7585.49</v>
      </c>
      <c r="BF173" s="13">
        <f t="shared" si="257"/>
        <v>7585.49</v>
      </c>
      <c r="BG173" s="13">
        <f t="shared" si="257"/>
        <v>7585.49</v>
      </c>
      <c r="BH173" s="13">
        <f t="shared" si="257"/>
        <v>7585.49</v>
      </c>
      <c r="BI173" s="13">
        <f t="shared" si="257"/>
        <v>7585.49</v>
      </c>
      <c r="BJ173" s="13">
        <f t="shared" si="257"/>
        <v>7585.49</v>
      </c>
      <c r="BK173" s="13">
        <f t="shared" si="257"/>
        <v>7585.49</v>
      </c>
      <c r="BL173" s="13">
        <f t="shared" si="257"/>
        <v>7585.49</v>
      </c>
      <c r="BM173" s="13">
        <f t="shared" si="257"/>
        <v>7585.49</v>
      </c>
      <c r="BN173" s="13">
        <f t="shared" si="257"/>
        <v>7585.49</v>
      </c>
      <c r="BO173" s="13">
        <f t="shared" si="257"/>
        <v>7585.49</v>
      </c>
      <c r="BP173" s="13">
        <f t="shared" si="257"/>
        <v>7585.49</v>
      </c>
      <c r="BQ173" s="13">
        <f t="shared" si="257"/>
        <v>7585.49</v>
      </c>
      <c r="BR173" s="13">
        <f t="shared" si="257"/>
        <v>7585.49</v>
      </c>
      <c r="BS173" s="13">
        <f t="shared" si="257"/>
        <v>7585.49</v>
      </c>
      <c r="BT173" s="13">
        <f t="shared" si="257"/>
        <v>7585.49</v>
      </c>
      <c r="BU173" s="13">
        <f t="shared" si="257"/>
        <v>7585.49</v>
      </c>
      <c r="BV173" s="13">
        <f t="shared" si="257"/>
        <v>7585.49</v>
      </c>
      <c r="BW173" s="13">
        <f t="shared" si="257"/>
        <v>7585.49</v>
      </c>
      <c r="BX173" s="13">
        <f t="shared" si="257"/>
        <v>7585.49</v>
      </c>
      <c r="BY173" s="13">
        <f t="shared" si="257"/>
        <v>7585.49</v>
      </c>
      <c r="BZ173" s="13">
        <f t="shared" si="257"/>
        <v>7585.49</v>
      </c>
      <c r="CA173" s="13">
        <f t="shared" si="257"/>
        <v>7585.49</v>
      </c>
      <c r="CB173" s="13">
        <f t="shared" si="257"/>
        <v>0</v>
      </c>
      <c r="CC173" s="13">
        <f t="shared" si="257"/>
        <v>0</v>
      </c>
      <c r="CD173" s="13">
        <f t="shared" si="257"/>
        <v>0</v>
      </c>
      <c r="CE173" s="13">
        <f t="shared" ref="CE173:DM173" si="258">$P$173*CE$11</f>
        <v>0</v>
      </c>
      <c r="CF173" s="13">
        <f t="shared" si="258"/>
        <v>0</v>
      </c>
      <c r="CG173" s="13">
        <f t="shared" si="258"/>
        <v>0</v>
      </c>
      <c r="CH173" s="13">
        <f t="shared" si="258"/>
        <v>0</v>
      </c>
      <c r="CI173" s="13">
        <f t="shared" si="258"/>
        <v>0</v>
      </c>
      <c r="CJ173" s="13">
        <f t="shared" si="258"/>
        <v>0</v>
      </c>
      <c r="CK173" s="13">
        <f t="shared" si="258"/>
        <v>0</v>
      </c>
      <c r="CL173" s="13">
        <f t="shared" si="258"/>
        <v>0</v>
      </c>
      <c r="CM173" s="13">
        <f t="shared" si="258"/>
        <v>0</v>
      </c>
      <c r="CN173" s="13">
        <f t="shared" si="258"/>
        <v>0</v>
      </c>
      <c r="CO173" s="13">
        <f t="shared" si="258"/>
        <v>0</v>
      </c>
      <c r="CP173" s="13">
        <f t="shared" si="258"/>
        <v>0</v>
      </c>
      <c r="CQ173" s="13">
        <f t="shared" si="258"/>
        <v>0</v>
      </c>
      <c r="CR173" s="13">
        <f t="shared" si="258"/>
        <v>0</v>
      </c>
      <c r="CS173" s="13">
        <f t="shared" si="258"/>
        <v>0</v>
      </c>
      <c r="CT173" s="13">
        <f t="shared" si="258"/>
        <v>0</v>
      </c>
      <c r="CU173" s="13">
        <f t="shared" si="258"/>
        <v>0</v>
      </c>
      <c r="CV173" s="13">
        <f t="shared" si="258"/>
        <v>0</v>
      </c>
      <c r="CW173" s="13">
        <f t="shared" si="258"/>
        <v>0</v>
      </c>
      <c r="CX173" s="13">
        <f t="shared" si="258"/>
        <v>0</v>
      </c>
      <c r="CY173" s="13">
        <f t="shared" si="258"/>
        <v>0</v>
      </c>
      <c r="CZ173" s="13">
        <f t="shared" si="258"/>
        <v>0</v>
      </c>
      <c r="DA173" s="13">
        <f t="shared" si="258"/>
        <v>0</v>
      </c>
      <c r="DB173" s="13">
        <f t="shared" si="258"/>
        <v>0</v>
      </c>
      <c r="DC173" s="13">
        <f t="shared" si="258"/>
        <v>0</v>
      </c>
      <c r="DD173" s="13">
        <f t="shared" si="258"/>
        <v>0</v>
      </c>
      <c r="DE173" s="13">
        <f t="shared" si="258"/>
        <v>0</v>
      </c>
      <c r="DF173" s="13">
        <f t="shared" si="258"/>
        <v>0</v>
      </c>
      <c r="DG173" s="13">
        <f t="shared" si="258"/>
        <v>0</v>
      </c>
      <c r="DH173" s="13">
        <f t="shared" si="258"/>
        <v>0</v>
      </c>
      <c r="DI173" s="13">
        <f t="shared" si="258"/>
        <v>0</v>
      </c>
      <c r="DJ173" s="13">
        <f t="shared" si="258"/>
        <v>0</v>
      </c>
      <c r="DK173" s="13">
        <f t="shared" si="258"/>
        <v>0</v>
      </c>
      <c r="DL173" s="13">
        <f t="shared" si="258"/>
        <v>0</v>
      </c>
      <c r="DM173" s="13">
        <f t="shared" si="258"/>
        <v>0</v>
      </c>
    </row>
    <row r="174" spans="14:117">
      <c r="O174" s="13" t="s">
        <v>198</v>
      </c>
      <c r="P174" s="119">
        <f>'A&amp;R'!$AF$17</f>
        <v>2000</v>
      </c>
      <c r="Q174" s="118"/>
      <c r="R174" s="118"/>
      <c r="S174" s="13">
        <f>$P$174*(1+'A&amp;R'!$AH$17)^(S$16-1)*S$11</f>
        <v>0</v>
      </c>
      <c r="T174" s="13">
        <f>$P$174*(1+'A&amp;R'!$AH$17)^(T$16-1)*T$11</f>
        <v>2000</v>
      </c>
      <c r="U174" s="13">
        <f>$P$174*(1+'A&amp;R'!$AH$17)^(U$16-1)*U$11</f>
        <v>2000</v>
      </c>
      <c r="V174" s="13">
        <f>$P$174*(1+'A&amp;R'!$AH$17)^(V$16-1)*V$11</f>
        <v>2000</v>
      </c>
      <c r="W174" s="13">
        <f>$P$174*(1+'A&amp;R'!$AH$17)^(W$16-1)*W$11</f>
        <v>2000</v>
      </c>
      <c r="X174" s="13">
        <f>$P$174*(1+'A&amp;R'!$AH$17)^(X$16-1)*X$11</f>
        <v>2000</v>
      </c>
      <c r="Y174" s="13">
        <f>$P$174*(1+'A&amp;R'!$AH$17)^(Y$16-1)*Y$11</f>
        <v>2000</v>
      </c>
      <c r="Z174" s="13">
        <f>$P$174*(1+'A&amp;R'!$AH$17)^(Z$16-1)*Z$11</f>
        <v>2000</v>
      </c>
      <c r="AA174" s="13">
        <f>$P$174*(1+'A&amp;R'!$AH$17)^(AA$16-1)*AA$11</f>
        <v>2000</v>
      </c>
      <c r="AB174" s="13">
        <f>$P$174*(1+'A&amp;R'!$AH$17)^(AB$16-1)*AB$11</f>
        <v>2000</v>
      </c>
      <c r="AC174" s="13">
        <f>$P$174*(1+'A&amp;R'!$AH$17)^(AC$16-1)*AC$11</f>
        <v>2000</v>
      </c>
      <c r="AD174" s="13">
        <f>$P$174*(1+'A&amp;R'!$AH$17)^(AD$16-1)*AD$11</f>
        <v>2000</v>
      </c>
      <c r="AE174" s="13">
        <f>$P$174*(1+'A&amp;R'!$AH$17)^(AE$16-1)*AE$11</f>
        <v>2000</v>
      </c>
      <c r="AF174" s="13">
        <f>$P$174*(1+'A&amp;R'!$AH$17)^(AF$16-1)*AF$11</f>
        <v>2050</v>
      </c>
      <c r="AG174" s="13">
        <f>$P$174*(1+'A&amp;R'!$AH$17)^(AG$16-1)*AG$11</f>
        <v>2050</v>
      </c>
      <c r="AH174" s="13">
        <f>$P$174*(1+'A&amp;R'!$AH$17)^(AH$16-1)*AH$11</f>
        <v>2050</v>
      </c>
      <c r="AI174" s="13">
        <f>$P$174*(1+'A&amp;R'!$AH$17)^(AI$16-1)*AI$11</f>
        <v>2050</v>
      </c>
      <c r="AJ174" s="13">
        <f>$P$174*(1+'A&amp;R'!$AH$17)^(AJ$16-1)*AJ$11</f>
        <v>2050</v>
      </c>
      <c r="AK174" s="13">
        <f>$P$174*(1+'A&amp;R'!$AH$17)^(AK$16-1)*AK$11</f>
        <v>2050</v>
      </c>
      <c r="AL174" s="13">
        <f>$P$174*(1+'A&amp;R'!$AH$17)^(AL$16-1)*AL$11</f>
        <v>2050</v>
      </c>
      <c r="AM174" s="13">
        <f>$P$174*(1+'A&amp;R'!$AH$17)^(AM$16-1)*AM$11</f>
        <v>2050</v>
      </c>
      <c r="AN174" s="13">
        <f>$P$174*(1+'A&amp;R'!$AH$17)^(AN$16-1)*AN$11</f>
        <v>2050</v>
      </c>
      <c r="AO174" s="13">
        <f>$P$174*(1+'A&amp;R'!$AH$17)^(AO$16-1)*AO$11</f>
        <v>2050</v>
      </c>
      <c r="AP174" s="13">
        <f>$P$174*(1+'A&amp;R'!$AH$17)^(AP$16-1)*AP$11</f>
        <v>2050</v>
      </c>
      <c r="AQ174" s="13">
        <f>$P$174*(1+'A&amp;R'!$AH$17)^(AQ$16-1)*AQ$11</f>
        <v>2050</v>
      </c>
      <c r="AR174" s="13">
        <f>$P$174*(1+'A&amp;R'!$AH$17)^(AR$16-1)*AR$11</f>
        <v>2101.25</v>
      </c>
      <c r="AS174" s="13">
        <f>$P$174*(1+'A&amp;R'!$AH$17)^(AS$16-1)*AS$11</f>
        <v>2101.25</v>
      </c>
      <c r="AT174" s="13">
        <f>$P$174*(1+'A&amp;R'!$AH$17)^(AT$16-1)*AT$11</f>
        <v>2101.25</v>
      </c>
      <c r="AU174" s="13">
        <f>$P$174*(1+'A&amp;R'!$AH$17)^(AU$16-1)*AU$11</f>
        <v>2101.25</v>
      </c>
      <c r="AV174" s="13">
        <f>$P$174*(1+'A&amp;R'!$AH$17)^(AV$16-1)*AV$11</f>
        <v>2101.25</v>
      </c>
      <c r="AW174" s="13">
        <f>$P$174*(1+'A&amp;R'!$AH$17)^(AW$16-1)*AW$11</f>
        <v>2101.25</v>
      </c>
      <c r="AX174" s="13">
        <f>$P$174*(1+'A&amp;R'!$AH$17)^(AX$16-1)*AX$11</f>
        <v>2101.25</v>
      </c>
      <c r="AY174" s="13">
        <f>$P$174*(1+'A&amp;R'!$AH$17)^(AY$16-1)*AY$11</f>
        <v>2101.25</v>
      </c>
      <c r="AZ174" s="13">
        <f>$P$174*(1+'A&amp;R'!$AH$17)^(AZ$16-1)*AZ$11</f>
        <v>2101.25</v>
      </c>
      <c r="BA174" s="13">
        <f>$P$174*(1+'A&amp;R'!$AH$17)^(BA$16-1)*BA$11</f>
        <v>2101.25</v>
      </c>
      <c r="BB174" s="13">
        <f>$P$174*(1+'A&amp;R'!$AH$17)^(BB$16-1)*BB$11</f>
        <v>2101.25</v>
      </c>
      <c r="BC174" s="13">
        <f>$P$174*(1+'A&amp;R'!$AH$17)^(BC$16-1)*BC$11</f>
        <v>2101.25</v>
      </c>
      <c r="BD174" s="13">
        <f>$P$174*(1+'A&amp;R'!$AH$17)^(BD$16-1)*BD$11</f>
        <v>2153.7812499999995</v>
      </c>
      <c r="BE174" s="13">
        <f>$P$174*(1+'A&amp;R'!$AH$17)^(BE$16-1)*BE$11</f>
        <v>2153.7812499999995</v>
      </c>
      <c r="BF174" s="13">
        <f>$P$174*(1+'A&amp;R'!$AH$17)^(BF$16-1)*BF$11</f>
        <v>2153.7812499999995</v>
      </c>
      <c r="BG174" s="13">
        <f>$P$174*(1+'A&amp;R'!$AH$17)^(BG$16-1)*BG$11</f>
        <v>2153.7812499999995</v>
      </c>
      <c r="BH174" s="13">
        <f>$P$174*(1+'A&amp;R'!$AH$17)^(BH$16-1)*BH$11</f>
        <v>2153.7812499999995</v>
      </c>
      <c r="BI174" s="13">
        <f>$P$174*(1+'A&amp;R'!$AH$17)^(BI$16-1)*BI$11</f>
        <v>2153.7812499999995</v>
      </c>
      <c r="BJ174" s="13">
        <f>$P$174*(1+'A&amp;R'!$AH$17)^(BJ$16-1)*BJ$11</f>
        <v>2153.7812499999995</v>
      </c>
      <c r="BK174" s="13">
        <f>$P$174*(1+'A&amp;R'!$AH$17)^(BK$16-1)*BK$11</f>
        <v>2153.7812499999995</v>
      </c>
      <c r="BL174" s="13">
        <f>$P$174*(1+'A&amp;R'!$AH$17)^(BL$16-1)*BL$11</f>
        <v>2153.7812499999995</v>
      </c>
      <c r="BM174" s="13">
        <f>$P$174*(1+'A&amp;R'!$AH$17)^(BM$16-1)*BM$11</f>
        <v>2153.7812499999995</v>
      </c>
      <c r="BN174" s="13">
        <f>$P$174*(1+'A&amp;R'!$AH$17)^(BN$16-1)*BN$11</f>
        <v>2153.7812499999995</v>
      </c>
      <c r="BO174" s="13">
        <f>$P$174*(1+'A&amp;R'!$AH$17)^(BO$16-1)*BO$11</f>
        <v>2153.7812499999995</v>
      </c>
      <c r="BP174" s="13">
        <f>$P$174*(1+'A&amp;R'!$AH$17)^(BP$16-1)*BP$11</f>
        <v>2207.6257812499994</v>
      </c>
      <c r="BQ174" s="13">
        <f>$P$174*(1+'A&amp;R'!$AH$17)^(BQ$16-1)*BQ$11</f>
        <v>2207.6257812499994</v>
      </c>
      <c r="BR174" s="13">
        <f>$P$174*(1+'A&amp;R'!$AH$17)^(BR$16-1)*BR$11</f>
        <v>2207.6257812499994</v>
      </c>
      <c r="BS174" s="13">
        <f>$P$174*(1+'A&amp;R'!$AH$17)^(BS$16-1)*BS$11</f>
        <v>2207.6257812499994</v>
      </c>
      <c r="BT174" s="13">
        <f>$P$174*(1+'A&amp;R'!$AH$17)^(BT$16-1)*BT$11</f>
        <v>2207.6257812499994</v>
      </c>
      <c r="BU174" s="13">
        <f>$P$174*(1+'A&amp;R'!$AH$17)^(BU$16-1)*BU$11</f>
        <v>2207.6257812499994</v>
      </c>
      <c r="BV174" s="13">
        <f>$P$174*(1+'A&amp;R'!$AH$17)^(BV$16-1)*BV$11</f>
        <v>2207.6257812499994</v>
      </c>
      <c r="BW174" s="13">
        <f>$P$174*(1+'A&amp;R'!$AH$17)^(BW$16-1)*BW$11</f>
        <v>2207.6257812499994</v>
      </c>
      <c r="BX174" s="13">
        <f>$P$174*(1+'A&amp;R'!$AH$17)^(BX$16-1)*BX$11</f>
        <v>2207.6257812499994</v>
      </c>
      <c r="BY174" s="13">
        <f>$P$174*(1+'A&amp;R'!$AH$17)^(BY$16-1)*BY$11</f>
        <v>2207.6257812499994</v>
      </c>
      <c r="BZ174" s="13">
        <f>$P$174*(1+'A&amp;R'!$AH$17)^(BZ$16-1)*BZ$11</f>
        <v>2207.6257812499994</v>
      </c>
      <c r="CA174" s="13">
        <f>$P$174*(1+'A&amp;R'!$AH$17)^(CA$16-1)*CA$11</f>
        <v>2207.6257812499994</v>
      </c>
      <c r="CB174" s="13">
        <f>$P$174*(1+'A&amp;R'!$AH$17)^(CB$16-1)*CB$11</f>
        <v>0</v>
      </c>
      <c r="CC174" s="13">
        <f>$P$174*(1+'A&amp;R'!$AH$17)^(CC$16-1)*CC$11</f>
        <v>0</v>
      </c>
      <c r="CD174" s="13">
        <f>$P$174*(1+'A&amp;R'!$AH$17)^(CD$16-1)*CD$11</f>
        <v>0</v>
      </c>
      <c r="CE174" s="13">
        <f>$P$174*(1+'A&amp;R'!$AH$17)^(CE$16-1)*CE$11</f>
        <v>0</v>
      </c>
      <c r="CF174" s="13">
        <f>$P$174*(1+'A&amp;R'!$AH$17)^(CF$16-1)*CF$11</f>
        <v>0</v>
      </c>
      <c r="CG174" s="13">
        <f>$P$174*(1+'A&amp;R'!$AH$17)^(CG$16-1)*CG$11</f>
        <v>0</v>
      </c>
      <c r="CH174" s="13">
        <f>$P$174*(1+'A&amp;R'!$AH$17)^(CH$16-1)*CH$11</f>
        <v>0</v>
      </c>
      <c r="CI174" s="13">
        <f>$P$174*(1+'A&amp;R'!$AH$17)^(CI$16-1)*CI$11</f>
        <v>0</v>
      </c>
      <c r="CJ174" s="13">
        <f>$P$174*(1+'A&amp;R'!$AH$17)^(CJ$16-1)*CJ$11</f>
        <v>0</v>
      </c>
      <c r="CK174" s="13">
        <f>$P$174*(1+'A&amp;R'!$AH$17)^(CK$16-1)*CK$11</f>
        <v>0</v>
      </c>
      <c r="CL174" s="13">
        <f>$P$174*(1+'A&amp;R'!$AH$17)^(CL$16-1)*CL$11</f>
        <v>0</v>
      </c>
      <c r="CM174" s="13">
        <f>$P$174*(1+'A&amp;R'!$AH$17)^(CM$16-1)*CM$11</f>
        <v>0</v>
      </c>
      <c r="CN174" s="13">
        <f>$P$174*(1+'A&amp;R'!$AH$17)^(CN$16-1)*CN$11</f>
        <v>0</v>
      </c>
      <c r="CO174" s="13">
        <f>$P$174*(1+'A&amp;R'!$AH$17)^(CO$16-1)*CO$11</f>
        <v>0</v>
      </c>
      <c r="CP174" s="13">
        <f>$P$174*(1+'A&amp;R'!$AH$17)^(CP$16-1)*CP$11</f>
        <v>0</v>
      </c>
      <c r="CQ174" s="13">
        <f>$P$174*(1+'A&amp;R'!$AH$17)^(CQ$16-1)*CQ$11</f>
        <v>0</v>
      </c>
      <c r="CR174" s="13">
        <f>$P$174*(1+'A&amp;R'!$AH$17)^(CR$16-1)*CR$11</f>
        <v>0</v>
      </c>
      <c r="CS174" s="13">
        <f>$P$174*(1+'A&amp;R'!$AH$17)^(CS$16-1)*CS$11</f>
        <v>0</v>
      </c>
      <c r="CT174" s="13">
        <f>$P$174*(1+'A&amp;R'!$AH$17)^(CT$16-1)*CT$11</f>
        <v>0</v>
      </c>
      <c r="CU174" s="13">
        <f>$P$174*(1+'A&amp;R'!$AH$17)^(CU$16-1)*CU$11</f>
        <v>0</v>
      </c>
      <c r="CV174" s="13">
        <f>$P$174*(1+'A&amp;R'!$AH$17)^(CV$16-1)*CV$11</f>
        <v>0</v>
      </c>
      <c r="CW174" s="13">
        <f>$P$174*(1+'A&amp;R'!$AH$17)^(CW$16-1)*CW$11</f>
        <v>0</v>
      </c>
      <c r="CX174" s="13">
        <f>$P$174*(1+'A&amp;R'!$AH$17)^(CX$16-1)*CX$11</f>
        <v>0</v>
      </c>
      <c r="CY174" s="13">
        <f>$P$174*(1+'A&amp;R'!$AH$17)^(CY$16-1)*CY$11</f>
        <v>0</v>
      </c>
      <c r="CZ174" s="13">
        <f>$P$174*(1+'A&amp;R'!$AH$17)^(CZ$16-1)*CZ$11</f>
        <v>0</v>
      </c>
      <c r="DA174" s="13">
        <f>$P$174*(1+'A&amp;R'!$AH$17)^(DA$16-1)*DA$11</f>
        <v>0</v>
      </c>
      <c r="DB174" s="13">
        <f>$P$174*(1+'A&amp;R'!$AH$17)^(DB$16-1)*DB$11</f>
        <v>0</v>
      </c>
      <c r="DC174" s="13">
        <f>$P$174*(1+'A&amp;R'!$AH$17)^(DC$16-1)*DC$11</f>
        <v>0</v>
      </c>
      <c r="DD174" s="13">
        <f>$P$174*(1+'A&amp;R'!$AH$17)^(DD$16-1)*DD$11</f>
        <v>0</v>
      </c>
      <c r="DE174" s="13">
        <f>$P$174*(1+'A&amp;R'!$AH$17)^(DE$16-1)*DE$11</f>
        <v>0</v>
      </c>
      <c r="DF174" s="13">
        <f>$P$174*(1+'A&amp;R'!$AH$17)^(DF$16-1)*DF$11</f>
        <v>0</v>
      </c>
      <c r="DG174" s="13">
        <f>$P$174*(1+'A&amp;R'!$AH$17)^(DG$16-1)*DG$11</f>
        <v>0</v>
      </c>
      <c r="DH174" s="13">
        <f>$P$174*(1+'A&amp;R'!$AH$17)^(DH$16-1)*DH$11</f>
        <v>0</v>
      </c>
      <c r="DI174" s="13">
        <f>$P$174*(1+'A&amp;R'!$AH$17)^(DI$16-1)*DI$11</f>
        <v>0</v>
      </c>
      <c r="DJ174" s="13">
        <f>$P$174*(1+'A&amp;R'!$AH$17)^(DJ$16-1)*DJ$11</f>
        <v>0</v>
      </c>
      <c r="DK174" s="13">
        <f>$P$174*(1+'A&amp;R'!$AH$17)^(DK$16-1)*DK$11</f>
        <v>0</v>
      </c>
      <c r="DL174" s="13">
        <f>$P$174*(1+'A&amp;R'!$AH$17)^(DL$16-1)*DL$11</f>
        <v>0</v>
      </c>
      <c r="DM174" s="13">
        <f>$P$174*(1+'A&amp;R'!$AH$17)^(DM$16-1)*DM$11</f>
        <v>0</v>
      </c>
    </row>
    <row r="175" spans="14:117">
      <c r="O175" s="96" t="s">
        <v>197</v>
      </c>
      <c r="P175" s="96"/>
      <c r="Q175" s="96">
        <f>SUM(S175:DM175)</f>
        <v>956.9238574077184</v>
      </c>
      <c r="R175" s="96"/>
      <c r="S175" s="96">
        <f t="shared" ref="S175:AX175" si="259">S173*S174/unit</f>
        <v>0</v>
      </c>
      <c r="T175" s="96">
        <f t="shared" si="259"/>
        <v>15.17098</v>
      </c>
      <c r="U175" s="96">
        <f t="shared" si="259"/>
        <v>15.17098</v>
      </c>
      <c r="V175" s="96">
        <f t="shared" si="259"/>
        <v>15.17098</v>
      </c>
      <c r="W175" s="96">
        <f t="shared" si="259"/>
        <v>15.17098</v>
      </c>
      <c r="X175" s="96">
        <f t="shared" si="259"/>
        <v>15.17098</v>
      </c>
      <c r="Y175" s="96">
        <f t="shared" si="259"/>
        <v>15.17098</v>
      </c>
      <c r="Z175" s="96">
        <f t="shared" si="259"/>
        <v>15.17098</v>
      </c>
      <c r="AA175" s="96">
        <f t="shared" si="259"/>
        <v>15.17098</v>
      </c>
      <c r="AB175" s="96">
        <f t="shared" si="259"/>
        <v>15.17098</v>
      </c>
      <c r="AC175" s="96">
        <f t="shared" si="259"/>
        <v>15.17098</v>
      </c>
      <c r="AD175" s="96">
        <f t="shared" si="259"/>
        <v>15.17098</v>
      </c>
      <c r="AE175" s="96">
        <f t="shared" si="259"/>
        <v>15.17098</v>
      </c>
      <c r="AF175" s="96">
        <f t="shared" si="259"/>
        <v>15.550254499999999</v>
      </c>
      <c r="AG175" s="96">
        <f t="shared" si="259"/>
        <v>15.550254499999999</v>
      </c>
      <c r="AH175" s="96">
        <f t="shared" si="259"/>
        <v>15.550254499999999</v>
      </c>
      <c r="AI175" s="96">
        <f t="shared" si="259"/>
        <v>15.550254499999999</v>
      </c>
      <c r="AJ175" s="96">
        <f t="shared" si="259"/>
        <v>15.550254499999999</v>
      </c>
      <c r="AK175" s="96">
        <f t="shared" si="259"/>
        <v>15.550254499999999</v>
      </c>
      <c r="AL175" s="96">
        <f t="shared" si="259"/>
        <v>15.550254499999999</v>
      </c>
      <c r="AM175" s="96">
        <f t="shared" si="259"/>
        <v>15.550254499999999</v>
      </c>
      <c r="AN175" s="96">
        <f t="shared" si="259"/>
        <v>15.550254499999999</v>
      </c>
      <c r="AO175" s="96">
        <f t="shared" si="259"/>
        <v>15.550254499999999</v>
      </c>
      <c r="AP175" s="96">
        <f t="shared" si="259"/>
        <v>15.550254499999999</v>
      </c>
      <c r="AQ175" s="96">
        <f t="shared" si="259"/>
        <v>15.550254499999999</v>
      </c>
      <c r="AR175" s="96">
        <f t="shared" si="259"/>
        <v>15.939010862499998</v>
      </c>
      <c r="AS175" s="96">
        <f t="shared" si="259"/>
        <v>15.939010862499998</v>
      </c>
      <c r="AT175" s="96">
        <f t="shared" si="259"/>
        <v>15.939010862499998</v>
      </c>
      <c r="AU175" s="96">
        <f t="shared" si="259"/>
        <v>15.939010862499998</v>
      </c>
      <c r="AV175" s="96">
        <f t="shared" si="259"/>
        <v>15.939010862499998</v>
      </c>
      <c r="AW175" s="96">
        <f t="shared" si="259"/>
        <v>15.939010862499998</v>
      </c>
      <c r="AX175" s="96">
        <f t="shared" si="259"/>
        <v>15.939010862499998</v>
      </c>
      <c r="AY175" s="96">
        <f t="shared" ref="AY175:CD175" si="260">AY173*AY174/unit</f>
        <v>15.939010862499998</v>
      </c>
      <c r="AZ175" s="96">
        <f t="shared" si="260"/>
        <v>15.939010862499998</v>
      </c>
      <c r="BA175" s="96">
        <f t="shared" si="260"/>
        <v>15.939010862499998</v>
      </c>
      <c r="BB175" s="96">
        <f t="shared" si="260"/>
        <v>15.939010862499998</v>
      </c>
      <c r="BC175" s="96">
        <f t="shared" si="260"/>
        <v>15.939010862499998</v>
      </c>
      <c r="BD175" s="96">
        <f t="shared" si="260"/>
        <v>16.337486134062498</v>
      </c>
      <c r="BE175" s="96">
        <f t="shared" si="260"/>
        <v>16.337486134062498</v>
      </c>
      <c r="BF175" s="96">
        <f t="shared" si="260"/>
        <v>16.337486134062498</v>
      </c>
      <c r="BG175" s="96">
        <f t="shared" si="260"/>
        <v>16.337486134062498</v>
      </c>
      <c r="BH175" s="96">
        <f t="shared" si="260"/>
        <v>16.337486134062498</v>
      </c>
      <c r="BI175" s="96">
        <f t="shared" si="260"/>
        <v>16.337486134062498</v>
      </c>
      <c r="BJ175" s="96">
        <f t="shared" si="260"/>
        <v>16.337486134062498</v>
      </c>
      <c r="BK175" s="96">
        <f t="shared" si="260"/>
        <v>16.337486134062498</v>
      </c>
      <c r="BL175" s="96">
        <f t="shared" si="260"/>
        <v>16.337486134062498</v>
      </c>
      <c r="BM175" s="96">
        <f t="shared" si="260"/>
        <v>16.337486134062498</v>
      </c>
      <c r="BN175" s="96">
        <f t="shared" si="260"/>
        <v>16.337486134062498</v>
      </c>
      <c r="BO175" s="96">
        <f t="shared" si="260"/>
        <v>16.337486134062498</v>
      </c>
      <c r="BP175" s="96">
        <f t="shared" si="260"/>
        <v>16.745923287414058</v>
      </c>
      <c r="BQ175" s="96">
        <f t="shared" si="260"/>
        <v>16.745923287414058</v>
      </c>
      <c r="BR175" s="96">
        <f t="shared" si="260"/>
        <v>16.745923287414058</v>
      </c>
      <c r="BS175" s="96">
        <f t="shared" si="260"/>
        <v>16.745923287414058</v>
      </c>
      <c r="BT175" s="96">
        <f t="shared" si="260"/>
        <v>16.745923287414058</v>
      </c>
      <c r="BU175" s="96">
        <f t="shared" si="260"/>
        <v>16.745923287414058</v>
      </c>
      <c r="BV175" s="96">
        <f t="shared" si="260"/>
        <v>16.745923287414058</v>
      </c>
      <c r="BW175" s="96">
        <f t="shared" si="260"/>
        <v>16.745923287414058</v>
      </c>
      <c r="BX175" s="96">
        <f t="shared" si="260"/>
        <v>16.745923287414058</v>
      </c>
      <c r="BY175" s="96">
        <f t="shared" si="260"/>
        <v>16.745923287414058</v>
      </c>
      <c r="BZ175" s="96">
        <f t="shared" si="260"/>
        <v>16.745923287414058</v>
      </c>
      <c r="CA175" s="96">
        <f t="shared" si="260"/>
        <v>16.745923287414058</v>
      </c>
      <c r="CB175" s="96">
        <f t="shared" si="260"/>
        <v>0</v>
      </c>
      <c r="CC175" s="96">
        <f t="shared" si="260"/>
        <v>0</v>
      </c>
      <c r="CD175" s="96">
        <f t="shared" si="260"/>
        <v>0</v>
      </c>
      <c r="CE175" s="96">
        <f t="shared" ref="CE175:DJ175" si="261">CE173*CE174/unit</f>
        <v>0</v>
      </c>
      <c r="CF175" s="96">
        <f t="shared" si="261"/>
        <v>0</v>
      </c>
      <c r="CG175" s="96">
        <f t="shared" si="261"/>
        <v>0</v>
      </c>
      <c r="CH175" s="96">
        <f t="shared" si="261"/>
        <v>0</v>
      </c>
      <c r="CI175" s="96">
        <f t="shared" si="261"/>
        <v>0</v>
      </c>
      <c r="CJ175" s="96">
        <f t="shared" si="261"/>
        <v>0</v>
      </c>
      <c r="CK175" s="96">
        <f t="shared" si="261"/>
        <v>0</v>
      </c>
      <c r="CL175" s="96">
        <f t="shared" si="261"/>
        <v>0</v>
      </c>
      <c r="CM175" s="96">
        <f t="shared" si="261"/>
        <v>0</v>
      </c>
      <c r="CN175" s="96">
        <f t="shared" si="261"/>
        <v>0</v>
      </c>
      <c r="CO175" s="96">
        <f t="shared" si="261"/>
        <v>0</v>
      </c>
      <c r="CP175" s="96">
        <f t="shared" si="261"/>
        <v>0</v>
      </c>
      <c r="CQ175" s="96">
        <f t="shared" si="261"/>
        <v>0</v>
      </c>
      <c r="CR175" s="96">
        <f t="shared" si="261"/>
        <v>0</v>
      </c>
      <c r="CS175" s="96">
        <f t="shared" si="261"/>
        <v>0</v>
      </c>
      <c r="CT175" s="96">
        <f t="shared" si="261"/>
        <v>0</v>
      </c>
      <c r="CU175" s="96">
        <f t="shared" si="261"/>
        <v>0</v>
      </c>
      <c r="CV175" s="96">
        <f t="shared" si="261"/>
        <v>0</v>
      </c>
      <c r="CW175" s="96">
        <f t="shared" si="261"/>
        <v>0</v>
      </c>
      <c r="CX175" s="96">
        <f t="shared" si="261"/>
        <v>0</v>
      </c>
      <c r="CY175" s="96">
        <f t="shared" si="261"/>
        <v>0</v>
      </c>
      <c r="CZ175" s="96">
        <f t="shared" si="261"/>
        <v>0</v>
      </c>
      <c r="DA175" s="96">
        <f t="shared" si="261"/>
        <v>0</v>
      </c>
      <c r="DB175" s="96">
        <f t="shared" si="261"/>
        <v>0</v>
      </c>
      <c r="DC175" s="96">
        <f t="shared" si="261"/>
        <v>0</v>
      </c>
      <c r="DD175" s="96">
        <f t="shared" si="261"/>
        <v>0</v>
      </c>
      <c r="DE175" s="96">
        <f t="shared" si="261"/>
        <v>0</v>
      </c>
      <c r="DF175" s="96">
        <f t="shared" si="261"/>
        <v>0</v>
      </c>
      <c r="DG175" s="96">
        <f t="shared" si="261"/>
        <v>0</v>
      </c>
      <c r="DH175" s="96">
        <f t="shared" si="261"/>
        <v>0</v>
      </c>
      <c r="DI175" s="96">
        <f t="shared" si="261"/>
        <v>0</v>
      </c>
      <c r="DJ175" s="96">
        <f t="shared" si="261"/>
        <v>0</v>
      </c>
      <c r="DK175" s="96">
        <f t="shared" ref="DK175:DM175" si="262">DK173*DK174/unit</f>
        <v>0</v>
      </c>
      <c r="DL175" s="96">
        <f t="shared" si="262"/>
        <v>0</v>
      </c>
      <c r="DM175" s="96">
        <f t="shared" si="262"/>
        <v>0</v>
      </c>
    </row>
    <row r="177" spans="14:117">
      <c r="N177" s="2" t="str">
        <f>'A&amp;R'!AC18</f>
        <v>전광판수입</v>
      </c>
    </row>
    <row r="178" spans="14:117">
      <c r="N178" s="2"/>
      <c r="O178" s="13" t="s">
        <v>174</v>
      </c>
      <c r="P178" s="131">
        <f>'A&amp;R'!$AE$18</f>
        <v>240</v>
      </c>
      <c r="S178" s="13">
        <f t="shared" ref="S178:AX178" si="263">IF(S$14=start,0,$P$178*S$11)</f>
        <v>0</v>
      </c>
      <c r="T178" s="13">
        <f t="shared" si="263"/>
        <v>0</v>
      </c>
      <c r="U178" s="13">
        <f t="shared" si="263"/>
        <v>240</v>
      </c>
      <c r="V178" s="13">
        <f t="shared" si="263"/>
        <v>240</v>
      </c>
      <c r="W178" s="13">
        <f t="shared" si="263"/>
        <v>240</v>
      </c>
      <c r="X178" s="13">
        <f t="shared" si="263"/>
        <v>240</v>
      </c>
      <c r="Y178" s="13">
        <f t="shared" si="263"/>
        <v>240</v>
      </c>
      <c r="Z178" s="13">
        <f t="shared" si="263"/>
        <v>240</v>
      </c>
      <c r="AA178" s="13">
        <f t="shared" si="263"/>
        <v>240</v>
      </c>
      <c r="AB178" s="13">
        <f t="shared" si="263"/>
        <v>240</v>
      </c>
      <c r="AC178" s="13">
        <f t="shared" si="263"/>
        <v>240</v>
      </c>
      <c r="AD178" s="13">
        <f t="shared" si="263"/>
        <v>240</v>
      </c>
      <c r="AE178" s="13">
        <f t="shared" si="263"/>
        <v>240</v>
      </c>
      <c r="AF178" s="13">
        <f t="shared" si="263"/>
        <v>240</v>
      </c>
      <c r="AG178" s="13">
        <f t="shared" si="263"/>
        <v>240</v>
      </c>
      <c r="AH178" s="13">
        <f t="shared" si="263"/>
        <v>240</v>
      </c>
      <c r="AI178" s="13">
        <f t="shared" si="263"/>
        <v>240</v>
      </c>
      <c r="AJ178" s="13">
        <f t="shared" si="263"/>
        <v>240</v>
      </c>
      <c r="AK178" s="13">
        <f t="shared" si="263"/>
        <v>240</v>
      </c>
      <c r="AL178" s="13">
        <f t="shared" si="263"/>
        <v>240</v>
      </c>
      <c r="AM178" s="13">
        <f t="shared" si="263"/>
        <v>240</v>
      </c>
      <c r="AN178" s="13">
        <f t="shared" si="263"/>
        <v>240</v>
      </c>
      <c r="AO178" s="13">
        <f t="shared" si="263"/>
        <v>240</v>
      </c>
      <c r="AP178" s="13">
        <f t="shared" si="263"/>
        <v>240</v>
      </c>
      <c r="AQ178" s="13">
        <f t="shared" si="263"/>
        <v>240</v>
      </c>
      <c r="AR178" s="13">
        <f t="shared" si="263"/>
        <v>240</v>
      </c>
      <c r="AS178" s="13">
        <f t="shared" si="263"/>
        <v>240</v>
      </c>
      <c r="AT178" s="13">
        <f t="shared" si="263"/>
        <v>240</v>
      </c>
      <c r="AU178" s="13">
        <f t="shared" si="263"/>
        <v>240</v>
      </c>
      <c r="AV178" s="13">
        <f t="shared" si="263"/>
        <v>240</v>
      </c>
      <c r="AW178" s="13">
        <f t="shared" si="263"/>
        <v>240</v>
      </c>
      <c r="AX178" s="13">
        <f t="shared" si="263"/>
        <v>240</v>
      </c>
      <c r="AY178" s="13">
        <f t="shared" ref="AY178:CD178" si="264">IF(AY$14=start,0,$P$178*AY$11)</f>
        <v>240</v>
      </c>
      <c r="AZ178" s="13">
        <f t="shared" si="264"/>
        <v>240</v>
      </c>
      <c r="BA178" s="13">
        <f t="shared" si="264"/>
        <v>240</v>
      </c>
      <c r="BB178" s="13">
        <f t="shared" si="264"/>
        <v>240</v>
      </c>
      <c r="BC178" s="13">
        <f t="shared" si="264"/>
        <v>240</v>
      </c>
      <c r="BD178" s="13">
        <f t="shared" si="264"/>
        <v>240</v>
      </c>
      <c r="BE178" s="13">
        <f t="shared" si="264"/>
        <v>240</v>
      </c>
      <c r="BF178" s="13">
        <f t="shared" si="264"/>
        <v>240</v>
      </c>
      <c r="BG178" s="13">
        <f t="shared" si="264"/>
        <v>240</v>
      </c>
      <c r="BH178" s="13">
        <f t="shared" si="264"/>
        <v>240</v>
      </c>
      <c r="BI178" s="13">
        <f t="shared" si="264"/>
        <v>240</v>
      </c>
      <c r="BJ178" s="13">
        <f t="shared" si="264"/>
        <v>240</v>
      </c>
      <c r="BK178" s="13">
        <f t="shared" si="264"/>
        <v>240</v>
      </c>
      <c r="BL178" s="13">
        <f t="shared" si="264"/>
        <v>240</v>
      </c>
      <c r="BM178" s="13">
        <f t="shared" si="264"/>
        <v>240</v>
      </c>
      <c r="BN178" s="13">
        <f t="shared" si="264"/>
        <v>240</v>
      </c>
      <c r="BO178" s="13">
        <f t="shared" si="264"/>
        <v>240</v>
      </c>
      <c r="BP178" s="13">
        <f t="shared" si="264"/>
        <v>240</v>
      </c>
      <c r="BQ178" s="13">
        <f t="shared" si="264"/>
        <v>240</v>
      </c>
      <c r="BR178" s="13">
        <f t="shared" si="264"/>
        <v>240</v>
      </c>
      <c r="BS178" s="13">
        <f t="shared" si="264"/>
        <v>240</v>
      </c>
      <c r="BT178" s="13">
        <f t="shared" si="264"/>
        <v>240</v>
      </c>
      <c r="BU178" s="13">
        <f t="shared" si="264"/>
        <v>240</v>
      </c>
      <c r="BV178" s="13">
        <f t="shared" si="264"/>
        <v>240</v>
      </c>
      <c r="BW178" s="13">
        <f t="shared" si="264"/>
        <v>240</v>
      </c>
      <c r="BX178" s="13">
        <f t="shared" si="264"/>
        <v>240</v>
      </c>
      <c r="BY178" s="13">
        <f t="shared" si="264"/>
        <v>240</v>
      </c>
      <c r="BZ178" s="13">
        <f t="shared" si="264"/>
        <v>240</v>
      </c>
      <c r="CA178" s="13">
        <f t="shared" si="264"/>
        <v>240</v>
      </c>
      <c r="CB178" s="13">
        <f t="shared" si="264"/>
        <v>0</v>
      </c>
      <c r="CC178" s="13">
        <f t="shared" si="264"/>
        <v>0</v>
      </c>
      <c r="CD178" s="13">
        <f t="shared" si="264"/>
        <v>0</v>
      </c>
      <c r="CE178" s="13">
        <f t="shared" ref="CE178:DM178" si="265">IF(CE$14=start,0,$P$178*CE$11)</f>
        <v>0</v>
      </c>
      <c r="CF178" s="13">
        <f t="shared" si="265"/>
        <v>0</v>
      </c>
      <c r="CG178" s="13">
        <f t="shared" si="265"/>
        <v>0</v>
      </c>
      <c r="CH178" s="13">
        <f t="shared" si="265"/>
        <v>0</v>
      </c>
      <c r="CI178" s="13">
        <f t="shared" si="265"/>
        <v>0</v>
      </c>
      <c r="CJ178" s="13">
        <f t="shared" si="265"/>
        <v>0</v>
      </c>
      <c r="CK178" s="13">
        <f t="shared" si="265"/>
        <v>0</v>
      </c>
      <c r="CL178" s="13">
        <f t="shared" si="265"/>
        <v>0</v>
      </c>
      <c r="CM178" s="13">
        <f t="shared" si="265"/>
        <v>0</v>
      </c>
      <c r="CN178" s="13">
        <f t="shared" si="265"/>
        <v>0</v>
      </c>
      <c r="CO178" s="13">
        <f t="shared" si="265"/>
        <v>0</v>
      </c>
      <c r="CP178" s="13">
        <f t="shared" si="265"/>
        <v>0</v>
      </c>
      <c r="CQ178" s="13">
        <f t="shared" si="265"/>
        <v>0</v>
      </c>
      <c r="CR178" s="13">
        <f t="shared" si="265"/>
        <v>0</v>
      </c>
      <c r="CS178" s="13">
        <f t="shared" si="265"/>
        <v>0</v>
      </c>
      <c r="CT178" s="13">
        <f t="shared" si="265"/>
        <v>0</v>
      </c>
      <c r="CU178" s="13">
        <f t="shared" si="265"/>
        <v>0</v>
      </c>
      <c r="CV178" s="13">
        <f t="shared" si="265"/>
        <v>0</v>
      </c>
      <c r="CW178" s="13">
        <f t="shared" si="265"/>
        <v>0</v>
      </c>
      <c r="CX178" s="13">
        <f t="shared" si="265"/>
        <v>0</v>
      </c>
      <c r="CY178" s="13">
        <f t="shared" si="265"/>
        <v>0</v>
      </c>
      <c r="CZ178" s="13">
        <f t="shared" si="265"/>
        <v>0</v>
      </c>
      <c r="DA178" s="13">
        <f t="shared" si="265"/>
        <v>0</v>
      </c>
      <c r="DB178" s="13">
        <f t="shared" si="265"/>
        <v>0</v>
      </c>
      <c r="DC178" s="13">
        <f t="shared" si="265"/>
        <v>0</v>
      </c>
      <c r="DD178" s="13">
        <f t="shared" si="265"/>
        <v>0</v>
      </c>
      <c r="DE178" s="13">
        <f t="shared" si="265"/>
        <v>0</v>
      </c>
      <c r="DF178" s="13">
        <f t="shared" si="265"/>
        <v>0</v>
      </c>
      <c r="DG178" s="13">
        <f t="shared" si="265"/>
        <v>0</v>
      </c>
      <c r="DH178" s="13">
        <f t="shared" si="265"/>
        <v>0</v>
      </c>
      <c r="DI178" s="13">
        <f t="shared" si="265"/>
        <v>0</v>
      </c>
      <c r="DJ178" s="13">
        <f t="shared" si="265"/>
        <v>0</v>
      </c>
      <c r="DK178" s="13">
        <f t="shared" si="265"/>
        <v>0</v>
      </c>
      <c r="DL178" s="13">
        <f t="shared" si="265"/>
        <v>0</v>
      </c>
      <c r="DM178" s="13">
        <f t="shared" si="265"/>
        <v>0</v>
      </c>
    </row>
    <row r="179" spans="14:117">
      <c r="O179" s="13" t="s">
        <v>99</v>
      </c>
      <c r="P179" s="90">
        <f>'A&amp;R'!$AH$18</f>
        <v>2.5000000000000001E-2</v>
      </c>
      <c r="Q179" s="118"/>
      <c r="R179" s="118"/>
      <c r="S179" s="90">
        <f t="shared" ref="S179:AX179" si="266">IF(S$14=start,0,(1+$P$179)^(R$16-1)*S$11)</f>
        <v>0</v>
      </c>
      <c r="T179" s="90">
        <f t="shared" si="266"/>
        <v>0</v>
      </c>
      <c r="U179" s="90">
        <f t="shared" si="266"/>
        <v>1</v>
      </c>
      <c r="V179" s="90">
        <f t="shared" si="266"/>
        <v>1</v>
      </c>
      <c r="W179" s="90">
        <f t="shared" si="266"/>
        <v>1</v>
      </c>
      <c r="X179" s="90">
        <f t="shared" si="266"/>
        <v>1</v>
      </c>
      <c r="Y179" s="90">
        <f t="shared" si="266"/>
        <v>1</v>
      </c>
      <c r="Z179" s="90">
        <f t="shared" si="266"/>
        <v>1</v>
      </c>
      <c r="AA179" s="90">
        <f t="shared" si="266"/>
        <v>1</v>
      </c>
      <c r="AB179" s="90">
        <f t="shared" si="266"/>
        <v>1</v>
      </c>
      <c r="AC179" s="90">
        <f t="shared" si="266"/>
        <v>1</v>
      </c>
      <c r="AD179" s="90">
        <f t="shared" si="266"/>
        <v>1</v>
      </c>
      <c r="AE179" s="90">
        <f t="shared" si="266"/>
        <v>1</v>
      </c>
      <c r="AF179" s="90">
        <f t="shared" si="266"/>
        <v>1</v>
      </c>
      <c r="AG179" s="90">
        <f t="shared" si="266"/>
        <v>1.0249999999999999</v>
      </c>
      <c r="AH179" s="90">
        <f t="shared" si="266"/>
        <v>1.0249999999999999</v>
      </c>
      <c r="AI179" s="90">
        <f t="shared" si="266"/>
        <v>1.0249999999999999</v>
      </c>
      <c r="AJ179" s="90">
        <f t="shared" si="266"/>
        <v>1.0249999999999999</v>
      </c>
      <c r="AK179" s="90">
        <f t="shared" si="266"/>
        <v>1.0249999999999999</v>
      </c>
      <c r="AL179" s="90">
        <f t="shared" si="266"/>
        <v>1.0249999999999999</v>
      </c>
      <c r="AM179" s="90">
        <f t="shared" si="266"/>
        <v>1.0249999999999999</v>
      </c>
      <c r="AN179" s="90">
        <f t="shared" si="266"/>
        <v>1.0249999999999999</v>
      </c>
      <c r="AO179" s="90">
        <f t="shared" si="266"/>
        <v>1.0249999999999999</v>
      </c>
      <c r="AP179" s="90">
        <f t="shared" si="266"/>
        <v>1.0249999999999999</v>
      </c>
      <c r="AQ179" s="90">
        <f t="shared" si="266"/>
        <v>1.0249999999999999</v>
      </c>
      <c r="AR179" s="90">
        <f t="shared" si="266"/>
        <v>1.0249999999999999</v>
      </c>
      <c r="AS179" s="90">
        <f t="shared" si="266"/>
        <v>1.0506249999999999</v>
      </c>
      <c r="AT179" s="90">
        <f t="shared" si="266"/>
        <v>1.0506249999999999</v>
      </c>
      <c r="AU179" s="90">
        <f t="shared" si="266"/>
        <v>1.0506249999999999</v>
      </c>
      <c r="AV179" s="90">
        <f t="shared" si="266"/>
        <v>1.0506249999999999</v>
      </c>
      <c r="AW179" s="90">
        <f t="shared" si="266"/>
        <v>1.0506249999999999</v>
      </c>
      <c r="AX179" s="90">
        <f t="shared" si="266"/>
        <v>1.0506249999999999</v>
      </c>
      <c r="AY179" s="90">
        <f t="shared" ref="AY179:CD179" si="267">IF(AY$14=start,0,(1+$P$179)^(AX$16-1)*AY$11)</f>
        <v>1.0506249999999999</v>
      </c>
      <c r="AZ179" s="90">
        <f t="shared" si="267"/>
        <v>1.0506249999999999</v>
      </c>
      <c r="BA179" s="90">
        <f t="shared" si="267"/>
        <v>1.0506249999999999</v>
      </c>
      <c r="BB179" s="90">
        <f t="shared" si="267"/>
        <v>1.0506249999999999</v>
      </c>
      <c r="BC179" s="90">
        <f t="shared" si="267"/>
        <v>1.0506249999999999</v>
      </c>
      <c r="BD179" s="90">
        <f t="shared" si="267"/>
        <v>1.0506249999999999</v>
      </c>
      <c r="BE179" s="90">
        <f t="shared" si="267"/>
        <v>1.0768906249999999</v>
      </c>
      <c r="BF179" s="90">
        <f t="shared" si="267"/>
        <v>1.0768906249999999</v>
      </c>
      <c r="BG179" s="90">
        <f t="shared" si="267"/>
        <v>1.0768906249999999</v>
      </c>
      <c r="BH179" s="90">
        <f t="shared" si="267"/>
        <v>1.0768906249999999</v>
      </c>
      <c r="BI179" s="90">
        <f t="shared" si="267"/>
        <v>1.0768906249999999</v>
      </c>
      <c r="BJ179" s="90">
        <f t="shared" si="267"/>
        <v>1.0768906249999999</v>
      </c>
      <c r="BK179" s="90">
        <f t="shared" si="267"/>
        <v>1.0768906249999999</v>
      </c>
      <c r="BL179" s="90">
        <f t="shared" si="267"/>
        <v>1.0768906249999999</v>
      </c>
      <c r="BM179" s="90">
        <f t="shared" si="267"/>
        <v>1.0768906249999999</v>
      </c>
      <c r="BN179" s="90">
        <f t="shared" si="267"/>
        <v>1.0768906249999999</v>
      </c>
      <c r="BO179" s="90">
        <f t="shared" si="267"/>
        <v>1.0768906249999999</v>
      </c>
      <c r="BP179" s="90">
        <f t="shared" si="267"/>
        <v>1.0768906249999999</v>
      </c>
      <c r="BQ179" s="90">
        <f t="shared" si="267"/>
        <v>1.1038128906249998</v>
      </c>
      <c r="BR179" s="90">
        <f t="shared" si="267"/>
        <v>1.1038128906249998</v>
      </c>
      <c r="BS179" s="90">
        <f t="shared" si="267"/>
        <v>1.1038128906249998</v>
      </c>
      <c r="BT179" s="90">
        <f t="shared" si="267"/>
        <v>1.1038128906249998</v>
      </c>
      <c r="BU179" s="90">
        <f t="shared" si="267"/>
        <v>1.1038128906249998</v>
      </c>
      <c r="BV179" s="90">
        <f t="shared" si="267"/>
        <v>1.1038128906249998</v>
      </c>
      <c r="BW179" s="90">
        <f t="shared" si="267"/>
        <v>1.1038128906249998</v>
      </c>
      <c r="BX179" s="90">
        <f t="shared" si="267"/>
        <v>1.1038128906249998</v>
      </c>
      <c r="BY179" s="90">
        <f t="shared" si="267"/>
        <v>1.1038128906249998</v>
      </c>
      <c r="BZ179" s="90">
        <f t="shared" si="267"/>
        <v>1.1038128906249998</v>
      </c>
      <c r="CA179" s="90">
        <f t="shared" si="267"/>
        <v>1.1038128906249998</v>
      </c>
      <c r="CB179" s="90">
        <f t="shared" si="267"/>
        <v>0</v>
      </c>
      <c r="CC179" s="90">
        <f t="shared" si="267"/>
        <v>0</v>
      </c>
      <c r="CD179" s="90">
        <f t="shared" si="267"/>
        <v>0</v>
      </c>
      <c r="CE179" s="90">
        <f t="shared" ref="CE179:DM179" si="268">IF(CE$14=start,0,(1+$P$179)^(CD$16-1)*CE$11)</f>
        <v>0</v>
      </c>
      <c r="CF179" s="90">
        <f t="shared" si="268"/>
        <v>0</v>
      </c>
      <c r="CG179" s="90">
        <f t="shared" si="268"/>
        <v>0</v>
      </c>
      <c r="CH179" s="90">
        <f t="shared" si="268"/>
        <v>0</v>
      </c>
      <c r="CI179" s="90">
        <f t="shared" si="268"/>
        <v>0</v>
      </c>
      <c r="CJ179" s="90">
        <f t="shared" si="268"/>
        <v>0</v>
      </c>
      <c r="CK179" s="90">
        <f t="shared" si="268"/>
        <v>0</v>
      </c>
      <c r="CL179" s="90">
        <f t="shared" si="268"/>
        <v>0</v>
      </c>
      <c r="CM179" s="90">
        <f t="shared" si="268"/>
        <v>0</v>
      </c>
      <c r="CN179" s="90">
        <f t="shared" si="268"/>
        <v>0</v>
      </c>
      <c r="CO179" s="90">
        <f t="shared" si="268"/>
        <v>0</v>
      </c>
      <c r="CP179" s="90">
        <f t="shared" si="268"/>
        <v>0</v>
      </c>
      <c r="CQ179" s="90">
        <f t="shared" si="268"/>
        <v>0</v>
      </c>
      <c r="CR179" s="90">
        <f t="shared" si="268"/>
        <v>0</v>
      </c>
      <c r="CS179" s="90">
        <f t="shared" si="268"/>
        <v>0</v>
      </c>
      <c r="CT179" s="90">
        <f t="shared" si="268"/>
        <v>0</v>
      </c>
      <c r="CU179" s="90">
        <f t="shared" si="268"/>
        <v>0</v>
      </c>
      <c r="CV179" s="90">
        <f t="shared" si="268"/>
        <v>0</v>
      </c>
      <c r="CW179" s="90">
        <f t="shared" si="268"/>
        <v>0</v>
      </c>
      <c r="CX179" s="90">
        <f t="shared" si="268"/>
        <v>0</v>
      </c>
      <c r="CY179" s="90">
        <f t="shared" si="268"/>
        <v>0</v>
      </c>
      <c r="CZ179" s="90">
        <f t="shared" si="268"/>
        <v>0</v>
      </c>
      <c r="DA179" s="90">
        <f t="shared" si="268"/>
        <v>0</v>
      </c>
      <c r="DB179" s="90">
        <f t="shared" si="268"/>
        <v>0</v>
      </c>
      <c r="DC179" s="90">
        <f t="shared" si="268"/>
        <v>0</v>
      </c>
      <c r="DD179" s="90">
        <f t="shared" si="268"/>
        <v>0</v>
      </c>
      <c r="DE179" s="90">
        <f t="shared" si="268"/>
        <v>0</v>
      </c>
      <c r="DF179" s="90">
        <f t="shared" si="268"/>
        <v>0</v>
      </c>
      <c r="DG179" s="90">
        <f t="shared" si="268"/>
        <v>0</v>
      </c>
      <c r="DH179" s="90">
        <f t="shared" si="268"/>
        <v>0</v>
      </c>
      <c r="DI179" s="90">
        <f t="shared" si="268"/>
        <v>0</v>
      </c>
      <c r="DJ179" s="90">
        <f t="shared" si="268"/>
        <v>0</v>
      </c>
      <c r="DK179" s="90">
        <f t="shared" si="268"/>
        <v>0</v>
      </c>
      <c r="DL179" s="90">
        <f t="shared" si="268"/>
        <v>0</v>
      </c>
      <c r="DM179" s="90">
        <f t="shared" si="268"/>
        <v>0</v>
      </c>
    </row>
    <row r="180" spans="14:117">
      <c r="O180" s="96" t="s">
        <v>433</v>
      </c>
      <c r="P180" s="96"/>
      <c r="Q180" s="96">
        <f>SUM(S180:DM180)</f>
        <v>14873.311031250001</v>
      </c>
      <c r="R180" s="96"/>
      <c r="S180" s="96">
        <f>S178*S179</f>
        <v>0</v>
      </c>
      <c r="T180" s="96">
        <f t="shared" ref="T180:CE180" si="269">T178*T179</f>
        <v>0</v>
      </c>
      <c r="U180" s="96">
        <f t="shared" si="269"/>
        <v>240</v>
      </c>
      <c r="V180" s="96">
        <f t="shared" si="269"/>
        <v>240</v>
      </c>
      <c r="W180" s="96">
        <f t="shared" si="269"/>
        <v>240</v>
      </c>
      <c r="X180" s="96">
        <f t="shared" si="269"/>
        <v>240</v>
      </c>
      <c r="Y180" s="96">
        <f t="shared" si="269"/>
        <v>240</v>
      </c>
      <c r="Z180" s="96">
        <f t="shared" si="269"/>
        <v>240</v>
      </c>
      <c r="AA180" s="96">
        <f t="shared" si="269"/>
        <v>240</v>
      </c>
      <c r="AB180" s="96">
        <f t="shared" si="269"/>
        <v>240</v>
      </c>
      <c r="AC180" s="96">
        <f t="shared" si="269"/>
        <v>240</v>
      </c>
      <c r="AD180" s="96">
        <f t="shared" si="269"/>
        <v>240</v>
      </c>
      <c r="AE180" s="96">
        <f t="shared" si="269"/>
        <v>240</v>
      </c>
      <c r="AF180" s="96">
        <f t="shared" si="269"/>
        <v>240</v>
      </c>
      <c r="AG180" s="96">
        <f t="shared" si="269"/>
        <v>245.99999999999997</v>
      </c>
      <c r="AH180" s="96">
        <f t="shared" si="269"/>
        <v>245.99999999999997</v>
      </c>
      <c r="AI180" s="96">
        <f t="shared" si="269"/>
        <v>245.99999999999997</v>
      </c>
      <c r="AJ180" s="96">
        <f t="shared" si="269"/>
        <v>245.99999999999997</v>
      </c>
      <c r="AK180" s="96">
        <f t="shared" si="269"/>
        <v>245.99999999999997</v>
      </c>
      <c r="AL180" s="96">
        <f t="shared" si="269"/>
        <v>245.99999999999997</v>
      </c>
      <c r="AM180" s="96">
        <f t="shared" si="269"/>
        <v>245.99999999999997</v>
      </c>
      <c r="AN180" s="96">
        <f t="shared" si="269"/>
        <v>245.99999999999997</v>
      </c>
      <c r="AO180" s="96">
        <f t="shared" si="269"/>
        <v>245.99999999999997</v>
      </c>
      <c r="AP180" s="96">
        <f t="shared" si="269"/>
        <v>245.99999999999997</v>
      </c>
      <c r="AQ180" s="96">
        <f t="shared" si="269"/>
        <v>245.99999999999997</v>
      </c>
      <c r="AR180" s="96">
        <f t="shared" si="269"/>
        <v>245.99999999999997</v>
      </c>
      <c r="AS180" s="96">
        <f t="shared" si="269"/>
        <v>252.14999999999998</v>
      </c>
      <c r="AT180" s="96">
        <f t="shared" si="269"/>
        <v>252.14999999999998</v>
      </c>
      <c r="AU180" s="96">
        <f t="shared" si="269"/>
        <v>252.14999999999998</v>
      </c>
      <c r="AV180" s="96">
        <f t="shared" si="269"/>
        <v>252.14999999999998</v>
      </c>
      <c r="AW180" s="96">
        <f t="shared" si="269"/>
        <v>252.14999999999998</v>
      </c>
      <c r="AX180" s="96">
        <f t="shared" si="269"/>
        <v>252.14999999999998</v>
      </c>
      <c r="AY180" s="96">
        <f t="shared" si="269"/>
        <v>252.14999999999998</v>
      </c>
      <c r="AZ180" s="96">
        <f t="shared" si="269"/>
        <v>252.14999999999998</v>
      </c>
      <c r="BA180" s="96">
        <f t="shared" si="269"/>
        <v>252.14999999999998</v>
      </c>
      <c r="BB180" s="96">
        <f t="shared" si="269"/>
        <v>252.14999999999998</v>
      </c>
      <c r="BC180" s="96">
        <f t="shared" si="269"/>
        <v>252.14999999999998</v>
      </c>
      <c r="BD180" s="96">
        <f t="shared" si="269"/>
        <v>252.14999999999998</v>
      </c>
      <c r="BE180" s="96">
        <f t="shared" si="269"/>
        <v>258.45374999999996</v>
      </c>
      <c r="BF180" s="96">
        <f t="shared" si="269"/>
        <v>258.45374999999996</v>
      </c>
      <c r="BG180" s="96">
        <f t="shared" si="269"/>
        <v>258.45374999999996</v>
      </c>
      <c r="BH180" s="96">
        <f t="shared" si="269"/>
        <v>258.45374999999996</v>
      </c>
      <c r="BI180" s="96">
        <f t="shared" si="269"/>
        <v>258.45374999999996</v>
      </c>
      <c r="BJ180" s="96">
        <f t="shared" si="269"/>
        <v>258.45374999999996</v>
      </c>
      <c r="BK180" s="96">
        <f t="shared" si="269"/>
        <v>258.45374999999996</v>
      </c>
      <c r="BL180" s="96">
        <f t="shared" si="269"/>
        <v>258.45374999999996</v>
      </c>
      <c r="BM180" s="96">
        <f t="shared" si="269"/>
        <v>258.45374999999996</v>
      </c>
      <c r="BN180" s="96">
        <f t="shared" si="269"/>
        <v>258.45374999999996</v>
      </c>
      <c r="BO180" s="96">
        <f t="shared" si="269"/>
        <v>258.45374999999996</v>
      </c>
      <c r="BP180" s="96">
        <f t="shared" si="269"/>
        <v>258.45374999999996</v>
      </c>
      <c r="BQ180" s="96">
        <f t="shared" si="269"/>
        <v>264.91509374999993</v>
      </c>
      <c r="BR180" s="96">
        <f t="shared" si="269"/>
        <v>264.91509374999993</v>
      </c>
      <c r="BS180" s="96">
        <f t="shared" si="269"/>
        <v>264.91509374999993</v>
      </c>
      <c r="BT180" s="96">
        <f t="shared" si="269"/>
        <v>264.91509374999993</v>
      </c>
      <c r="BU180" s="96">
        <f t="shared" si="269"/>
        <v>264.91509374999993</v>
      </c>
      <c r="BV180" s="96">
        <f t="shared" si="269"/>
        <v>264.91509374999993</v>
      </c>
      <c r="BW180" s="96">
        <f t="shared" si="269"/>
        <v>264.91509374999993</v>
      </c>
      <c r="BX180" s="96">
        <f t="shared" si="269"/>
        <v>264.91509374999993</v>
      </c>
      <c r="BY180" s="96">
        <f t="shared" si="269"/>
        <v>264.91509374999993</v>
      </c>
      <c r="BZ180" s="96">
        <f t="shared" si="269"/>
        <v>264.91509374999993</v>
      </c>
      <c r="CA180" s="96">
        <f t="shared" si="269"/>
        <v>264.91509374999993</v>
      </c>
      <c r="CB180" s="96">
        <f t="shared" si="269"/>
        <v>0</v>
      </c>
      <c r="CC180" s="96">
        <f t="shared" si="269"/>
        <v>0</v>
      </c>
      <c r="CD180" s="96">
        <f t="shared" si="269"/>
        <v>0</v>
      </c>
      <c r="CE180" s="96">
        <f t="shared" si="269"/>
        <v>0</v>
      </c>
      <c r="CF180" s="96">
        <f t="shared" ref="CF180:DM180" si="270">CF178*CF179</f>
        <v>0</v>
      </c>
      <c r="CG180" s="96">
        <f t="shared" si="270"/>
        <v>0</v>
      </c>
      <c r="CH180" s="96">
        <f t="shared" si="270"/>
        <v>0</v>
      </c>
      <c r="CI180" s="96">
        <f t="shared" si="270"/>
        <v>0</v>
      </c>
      <c r="CJ180" s="96">
        <f t="shared" si="270"/>
        <v>0</v>
      </c>
      <c r="CK180" s="96">
        <f t="shared" si="270"/>
        <v>0</v>
      </c>
      <c r="CL180" s="96">
        <f t="shared" si="270"/>
        <v>0</v>
      </c>
      <c r="CM180" s="96">
        <f t="shared" si="270"/>
        <v>0</v>
      </c>
      <c r="CN180" s="96">
        <f t="shared" si="270"/>
        <v>0</v>
      </c>
      <c r="CO180" s="96">
        <f t="shared" si="270"/>
        <v>0</v>
      </c>
      <c r="CP180" s="96">
        <f t="shared" si="270"/>
        <v>0</v>
      </c>
      <c r="CQ180" s="96">
        <f t="shared" si="270"/>
        <v>0</v>
      </c>
      <c r="CR180" s="96">
        <f t="shared" si="270"/>
        <v>0</v>
      </c>
      <c r="CS180" s="96">
        <f t="shared" si="270"/>
        <v>0</v>
      </c>
      <c r="CT180" s="96">
        <f t="shared" si="270"/>
        <v>0</v>
      </c>
      <c r="CU180" s="96">
        <f t="shared" si="270"/>
        <v>0</v>
      </c>
      <c r="CV180" s="96">
        <f t="shared" si="270"/>
        <v>0</v>
      </c>
      <c r="CW180" s="96">
        <f t="shared" si="270"/>
        <v>0</v>
      </c>
      <c r="CX180" s="96">
        <f t="shared" si="270"/>
        <v>0</v>
      </c>
      <c r="CY180" s="96">
        <f t="shared" si="270"/>
        <v>0</v>
      </c>
      <c r="CZ180" s="96">
        <f t="shared" si="270"/>
        <v>0</v>
      </c>
      <c r="DA180" s="96">
        <f t="shared" si="270"/>
        <v>0</v>
      </c>
      <c r="DB180" s="96">
        <f t="shared" si="270"/>
        <v>0</v>
      </c>
      <c r="DC180" s="96">
        <f t="shared" si="270"/>
        <v>0</v>
      </c>
      <c r="DD180" s="96">
        <f t="shared" si="270"/>
        <v>0</v>
      </c>
      <c r="DE180" s="96">
        <f t="shared" si="270"/>
        <v>0</v>
      </c>
      <c r="DF180" s="96">
        <f t="shared" si="270"/>
        <v>0</v>
      </c>
      <c r="DG180" s="96">
        <f t="shared" si="270"/>
        <v>0</v>
      </c>
      <c r="DH180" s="96">
        <f t="shared" si="270"/>
        <v>0</v>
      </c>
      <c r="DI180" s="96">
        <f t="shared" si="270"/>
        <v>0</v>
      </c>
      <c r="DJ180" s="96">
        <f t="shared" si="270"/>
        <v>0</v>
      </c>
      <c r="DK180" s="96">
        <f t="shared" si="270"/>
        <v>0</v>
      </c>
      <c r="DL180" s="96">
        <f t="shared" si="270"/>
        <v>0</v>
      </c>
      <c r="DM180" s="96">
        <f t="shared" si="270"/>
        <v>0</v>
      </c>
    </row>
    <row r="182" spans="14:117">
      <c r="O182" s="146" t="s">
        <v>236</v>
      </c>
      <c r="P182" s="146"/>
      <c r="Q182" s="146">
        <f>SUM(S182:DM182)</f>
        <v>81962.917953115844</v>
      </c>
      <c r="R182" s="146"/>
      <c r="S182" s="146">
        <f>S18+S65+S170+S175+S180</f>
        <v>0</v>
      </c>
      <c r="T182" s="146">
        <f>T18+T65+T170+T175+T180</f>
        <v>797.32055860704384</v>
      </c>
      <c r="U182" s="146">
        <f t="shared" ref="U182:CE182" si="271">U18+U65+U170+U175+U180</f>
        <v>1114.5693518005021</v>
      </c>
      <c r="V182" s="146">
        <f t="shared" si="271"/>
        <v>1138.3245702722606</v>
      </c>
      <c r="W182" s="146">
        <f t="shared" si="271"/>
        <v>1151.9417363347607</v>
      </c>
      <c r="X182" s="146">
        <f t="shared" si="271"/>
        <v>1197.7777457857233</v>
      </c>
      <c r="Y182" s="146">
        <f t="shared" si="271"/>
        <v>1210.9758812857235</v>
      </c>
      <c r="Z182" s="146">
        <f t="shared" si="271"/>
        <v>1141.7573856215486</v>
      </c>
      <c r="AA182" s="146">
        <f t="shared" si="271"/>
        <v>1299.9958384298818</v>
      </c>
      <c r="AB182" s="146">
        <f t="shared" si="271"/>
        <v>1299.9958384298818</v>
      </c>
      <c r="AC182" s="146">
        <f t="shared" si="271"/>
        <v>1299.9958384298818</v>
      </c>
      <c r="AD182" s="146">
        <f t="shared" si="271"/>
        <v>1299.9958384298818</v>
      </c>
      <c r="AE182" s="146">
        <f t="shared" si="271"/>
        <v>1300.4314531572759</v>
      </c>
      <c r="AF182" s="146">
        <f t="shared" si="271"/>
        <v>1310.4129590387502</v>
      </c>
      <c r="AG182" s="146">
        <f t="shared" si="271"/>
        <v>1316.4129590387502</v>
      </c>
      <c r="AH182" s="146">
        <f t="shared" si="271"/>
        <v>1323.6603563671615</v>
      </c>
      <c r="AI182" s="146">
        <f t="shared" si="271"/>
        <v>1323.6603563671615</v>
      </c>
      <c r="AJ182" s="146">
        <f t="shared" si="271"/>
        <v>1328.7944029685282</v>
      </c>
      <c r="AK182" s="146">
        <f t="shared" si="271"/>
        <v>1330.5101605835282</v>
      </c>
      <c r="AL182" s="146">
        <f t="shared" si="271"/>
        <v>1337.5198586827782</v>
      </c>
      <c r="AM182" s="146">
        <f t="shared" si="271"/>
        <v>1337.5198586827782</v>
      </c>
      <c r="AN182" s="146">
        <f t="shared" si="271"/>
        <v>1337.5198586827782</v>
      </c>
      <c r="AO182" s="146">
        <f t="shared" si="271"/>
        <v>1337.5198586827782</v>
      </c>
      <c r="AP182" s="146">
        <f t="shared" si="271"/>
        <v>1337.5198586827782</v>
      </c>
      <c r="AQ182" s="146">
        <f t="shared" si="271"/>
        <v>1337.9685418519939</v>
      </c>
      <c r="AR182" s="146">
        <f t="shared" si="271"/>
        <v>1342.6438851264518</v>
      </c>
      <c r="AS182" s="146">
        <f t="shared" si="271"/>
        <v>1364.0792947573304</v>
      </c>
      <c r="AT182" s="146">
        <f t="shared" si="271"/>
        <v>1253.0489082501413</v>
      </c>
      <c r="AU182" s="146">
        <f t="shared" si="271"/>
        <v>1378.9552891884118</v>
      </c>
      <c r="AV182" s="146">
        <f t="shared" si="271"/>
        <v>1384.2433571878191</v>
      </c>
      <c r="AW182" s="146">
        <f t="shared" si="271"/>
        <v>1386.0105875312693</v>
      </c>
      <c r="AX182" s="146">
        <f t="shared" si="271"/>
        <v>1393.2305765734968</v>
      </c>
      <c r="AY182" s="146">
        <f t="shared" si="271"/>
        <v>1393.2305765734968</v>
      </c>
      <c r="AZ182" s="146">
        <f t="shared" si="271"/>
        <v>1393.2305765734968</v>
      </c>
      <c r="BA182" s="146">
        <f t="shared" si="271"/>
        <v>1393.2305765734968</v>
      </c>
      <c r="BB182" s="146">
        <f t="shared" si="271"/>
        <v>1393.2305765734968</v>
      </c>
      <c r="BC182" s="146">
        <f t="shared" si="271"/>
        <v>1389.5574637637533</v>
      </c>
      <c r="BD182" s="146">
        <f t="shared" si="271"/>
        <v>1415.7086818853986</v>
      </c>
      <c r="BE182" s="146">
        <f t="shared" si="271"/>
        <v>1422.0124318853984</v>
      </c>
      <c r="BF182" s="146">
        <f t="shared" si="271"/>
        <v>1429.9235309665949</v>
      </c>
      <c r="BG182" s="146">
        <f t="shared" si="271"/>
        <v>1429.9235309665949</v>
      </c>
      <c r="BH182" s="146">
        <f t="shared" si="271"/>
        <v>1439.8586890260876</v>
      </c>
      <c r="BI182" s="146">
        <f t="shared" si="271"/>
        <v>1441.6789362798411</v>
      </c>
      <c r="BJ182" s="146">
        <f t="shared" si="271"/>
        <v>1449.1155249933352</v>
      </c>
      <c r="BK182" s="146">
        <f t="shared" si="271"/>
        <v>1449.1155249933352</v>
      </c>
      <c r="BL182" s="146">
        <f t="shared" si="271"/>
        <v>1449.1155249933352</v>
      </c>
      <c r="BM182" s="146">
        <f t="shared" si="271"/>
        <v>1449.1155249933352</v>
      </c>
      <c r="BN182" s="146">
        <f t="shared" si="271"/>
        <v>1449.1155249933352</v>
      </c>
      <c r="BO182" s="146">
        <f t="shared" si="271"/>
        <v>1449.9260375622616</v>
      </c>
      <c r="BP182" s="146">
        <f t="shared" si="271"/>
        <v>1479.4234671466209</v>
      </c>
      <c r="BQ182" s="146">
        <f t="shared" si="271"/>
        <v>1485.8848108966208</v>
      </c>
      <c r="BR182" s="146">
        <f t="shared" si="271"/>
        <v>1494.0332429502532</v>
      </c>
      <c r="BS182" s="146">
        <f t="shared" si="271"/>
        <v>1494.0332429502532</v>
      </c>
      <c r="BT182" s="146">
        <f t="shared" si="271"/>
        <v>1499.7780077314276</v>
      </c>
      <c r="BU182" s="146">
        <f t="shared" si="271"/>
        <v>1501.6528624027935</v>
      </c>
      <c r="BV182" s="146">
        <f t="shared" si="271"/>
        <v>1509.3125487776929</v>
      </c>
      <c r="BW182" s="146">
        <f t="shared" si="271"/>
        <v>1509.3125487776929</v>
      </c>
      <c r="BX182" s="146">
        <f t="shared" si="271"/>
        <v>1509.3125487776929</v>
      </c>
      <c r="BY182" s="146">
        <f t="shared" si="271"/>
        <v>1509.3125487776929</v>
      </c>
      <c r="BZ182" s="146">
        <f t="shared" si="271"/>
        <v>1509.3125487776929</v>
      </c>
      <c r="CA182" s="146">
        <f t="shared" si="271"/>
        <v>1510.1473767236871</v>
      </c>
      <c r="CB182" s="146">
        <f t="shared" si="271"/>
        <v>0</v>
      </c>
      <c r="CC182" s="146">
        <f t="shared" si="271"/>
        <v>0</v>
      </c>
      <c r="CD182" s="146">
        <f t="shared" si="271"/>
        <v>0</v>
      </c>
      <c r="CE182" s="146">
        <f t="shared" si="271"/>
        <v>0</v>
      </c>
      <c r="CF182" s="146">
        <f t="shared" ref="CF182:DM182" si="272">CF18+CF65+CF170+CF175+CF180</f>
        <v>0</v>
      </c>
      <c r="CG182" s="146">
        <f t="shared" si="272"/>
        <v>0</v>
      </c>
      <c r="CH182" s="146">
        <f t="shared" si="272"/>
        <v>0</v>
      </c>
      <c r="CI182" s="146">
        <f t="shared" si="272"/>
        <v>0</v>
      </c>
      <c r="CJ182" s="146">
        <f t="shared" si="272"/>
        <v>0</v>
      </c>
      <c r="CK182" s="146">
        <f t="shared" si="272"/>
        <v>0</v>
      </c>
      <c r="CL182" s="146">
        <f t="shared" si="272"/>
        <v>0</v>
      </c>
      <c r="CM182" s="146">
        <f t="shared" si="272"/>
        <v>0</v>
      </c>
      <c r="CN182" s="146">
        <f t="shared" si="272"/>
        <v>0</v>
      </c>
      <c r="CO182" s="146">
        <f t="shared" si="272"/>
        <v>0</v>
      </c>
      <c r="CP182" s="146">
        <f t="shared" si="272"/>
        <v>0</v>
      </c>
      <c r="CQ182" s="146">
        <f t="shared" si="272"/>
        <v>0</v>
      </c>
      <c r="CR182" s="146">
        <f t="shared" si="272"/>
        <v>0</v>
      </c>
      <c r="CS182" s="146">
        <f t="shared" si="272"/>
        <v>0</v>
      </c>
      <c r="CT182" s="146">
        <f t="shared" si="272"/>
        <v>0</v>
      </c>
      <c r="CU182" s="146">
        <f t="shared" si="272"/>
        <v>0</v>
      </c>
      <c r="CV182" s="146">
        <f t="shared" si="272"/>
        <v>0</v>
      </c>
      <c r="CW182" s="146">
        <f t="shared" si="272"/>
        <v>0</v>
      </c>
      <c r="CX182" s="146">
        <f t="shared" si="272"/>
        <v>0</v>
      </c>
      <c r="CY182" s="146">
        <f>CY18+CY65+CY170+CY175+CY180</f>
        <v>0</v>
      </c>
      <c r="CZ182" s="146">
        <f t="shared" si="272"/>
        <v>0</v>
      </c>
      <c r="DA182" s="146">
        <f t="shared" si="272"/>
        <v>0</v>
      </c>
      <c r="DB182" s="146">
        <f t="shared" si="272"/>
        <v>0</v>
      </c>
      <c r="DC182" s="146">
        <f t="shared" si="272"/>
        <v>0</v>
      </c>
      <c r="DD182" s="146">
        <f t="shared" si="272"/>
        <v>0</v>
      </c>
      <c r="DE182" s="146">
        <f t="shared" si="272"/>
        <v>0</v>
      </c>
      <c r="DF182" s="146">
        <f t="shared" si="272"/>
        <v>0</v>
      </c>
      <c r="DG182" s="146">
        <f t="shared" si="272"/>
        <v>0</v>
      </c>
      <c r="DH182" s="146">
        <f t="shared" si="272"/>
        <v>0</v>
      </c>
      <c r="DI182" s="146">
        <f t="shared" si="272"/>
        <v>0</v>
      </c>
      <c r="DJ182" s="146">
        <f t="shared" si="272"/>
        <v>0</v>
      </c>
      <c r="DK182" s="146">
        <f t="shared" si="272"/>
        <v>0</v>
      </c>
      <c r="DL182" s="146">
        <f t="shared" si="272"/>
        <v>0</v>
      </c>
      <c r="DM182" s="146">
        <f t="shared" si="27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7852-1429-7247-BA7A-1333948C061B}">
  <dimension ref="A1:DB105"/>
  <sheetViews>
    <sheetView showGridLines="0" zoomScale="65" workbookViewId="0">
      <pane xSplit="7" ySplit="16" topLeftCell="H63" activePane="bottomRight" state="frozen"/>
      <selection pane="topRight" activeCell="H1" sqref="H1"/>
      <selection pane="bottomLeft" activeCell="A17" sqref="A17"/>
      <selection pane="bottomRight" activeCell="F75" sqref="F75"/>
    </sheetView>
  </sheetViews>
  <sheetFormatPr baseColWidth="10" defaultRowHeight="15" outlineLevelRow="1"/>
  <cols>
    <col min="1" max="1" width="3.5" style="13" customWidth="1"/>
    <col min="2" max="2" width="4.6640625" style="13" customWidth="1"/>
    <col min="3" max="4" width="13.5" style="13" customWidth="1"/>
    <col min="5" max="5" width="14.83203125" style="13" bestFit="1" customWidth="1"/>
    <col min="6" max="6" width="10.83203125" style="13"/>
    <col min="7" max="7" width="4.1640625" style="13" customWidth="1"/>
    <col min="8" max="16384" width="10.83203125" style="13"/>
  </cols>
  <sheetData>
    <row r="1" spans="1:106" s="1" customFormat="1" ht="17" customHeight="1"/>
    <row r="2" spans="1:106" s="1" customFormat="1" ht="17" customHeight="1">
      <c r="B2" s="2" t="s">
        <v>10</v>
      </c>
      <c r="I2" s="3" t="s">
        <v>0</v>
      </c>
      <c r="J2" s="4" t="s">
        <v>1</v>
      </c>
      <c r="K2" s="5" t="s">
        <v>2</v>
      </c>
    </row>
    <row r="3" spans="1:106" s="1" customFormat="1" ht="17" customHeight="1">
      <c r="B3" s="2" t="s">
        <v>11</v>
      </c>
      <c r="I3" s="6" t="s">
        <v>3</v>
      </c>
      <c r="J3" s="7" t="s">
        <v>4</v>
      </c>
      <c r="K3" s="8" t="s">
        <v>5</v>
      </c>
    </row>
    <row r="4" spans="1:106" s="1" customFormat="1" ht="17" customHeight="1">
      <c r="B4" s="14"/>
      <c r="I4" s="9" t="s">
        <v>6</v>
      </c>
      <c r="J4" s="10" t="s">
        <v>7</v>
      </c>
      <c r="K4" s="63" t="s">
        <v>8</v>
      </c>
    </row>
    <row r="5" spans="1:106" s="12" customFormat="1" ht="17" customHeight="1" thickBot="1"/>
    <row r="6" spans="1:106" ht="16" thickTop="1">
      <c r="A6" s="13" t="s">
        <v>9</v>
      </c>
    </row>
    <row r="7" spans="1:106">
      <c r="A7" s="2" t="s">
        <v>173</v>
      </c>
    </row>
    <row r="8" spans="1:106" ht="17" customHeight="1" outlineLevel="1">
      <c r="H8" s="60" t="s">
        <v>89</v>
      </c>
      <c r="I8" s="61">
        <v>1</v>
      </c>
      <c r="J8" s="61">
        <v>2</v>
      </c>
      <c r="K8" s="61">
        <v>3</v>
      </c>
      <c r="L8" s="61">
        <v>4</v>
      </c>
      <c r="M8" s="61">
        <v>5</v>
      </c>
      <c r="N8" s="61">
        <v>6</v>
      </c>
      <c r="O8" s="61">
        <v>7</v>
      </c>
      <c r="P8" s="61">
        <v>8</v>
      </c>
      <c r="Q8" s="61">
        <v>9</v>
      </c>
      <c r="R8" s="61">
        <v>10</v>
      </c>
      <c r="S8" s="61">
        <v>11</v>
      </c>
      <c r="T8" s="61">
        <v>12</v>
      </c>
      <c r="U8" s="61">
        <v>13</v>
      </c>
      <c r="V8" s="61">
        <v>14</v>
      </c>
      <c r="W8" s="61">
        <v>15</v>
      </c>
      <c r="X8" s="61">
        <v>16</v>
      </c>
    </row>
    <row r="9" spans="1:106" ht="17" customHeight="1" outlineLevel="1">
      <c r="H9" s="60" t="s">
        <v>60</v>
      </c>
      <c r="I9" s="62">
        <f>start</f>
        <v>45716</v>
      </c>
      <c r="J9" s="62">
        <f>EOMONTH(I10,1)</f>
        <v>45900</v>
      </c>
      <c r="K9" s="62">
        <f t="shared" ref="K9:X9" si="0">EOMONTH(J10,1)</f>
        <v>46081</v>
      </c>
      <c r="L9" s="62">
        <f t="shared" si="0"/>
        <v>46265</v>
      </c>
      <c r="M9" s="62">
        <f t="shared" si="0"/>
        <v>46446</v>
      </c>
      <c r="N9" s="62">
        <f t="shared" si="0"/>
        <v>46630</v>
      </c>
      <c r="O9" s="62">
        <f t="shared" si="0"/>
        <v>46812</v>
      </c>
      <c r="P9" s="62">
        <f t="shared" si="0"/>
        <v>46996</v>
      </c>
      <c r="Q9" s="62">
        <f t="shared" si="0"/>
        <v>47177</v>
      </c>
      <c r="R9" s="62">
        <f t="shared" si="0"/>
        <v>47361</v>
      </c>
      <c r="S9" s="62">
        <f t="shared" si="0"/>
        <v>47542</v>
      </c>
      <c r="T9" s="62">
        <f t="shared" si="0"/>
        <v>47726</v>
      </c>
      <c r="U9" s="62">
        <f t="shared" si="0"/>
        <v>47907</v>
      </c>
      <c r="V9" s="62">
        <f t="shared" si="0"/>
        <v>48091</v>
      </c>
      <c r="W9" s="62">
        <f t="shared" si="0"/>
        <v>48273</v>
      </c>
      <c r="X9" s="62">
        <f t="shared" si="0"/>
        <v>48457</v>
      </c>
    </row>
    <row r="10" spans="1:106" ht="17" customHeight="1" outlineLevel="1">
      <c r="H10" s="60" t="s">
        <v>61</v>
      </c>
      <c r="I10" s="62">
        <f t="shared" ref="I10:X10" si="1">EOMONTH(I9,period-1)</f>
        <v>45869</v>
      </c>
      <c r="J10" s="62">
        <f t="shared" si="1"/>
        <v>46053</v>
      </c>
      <c r="K10" s="62">
        <f t="shared" si="1"/>
        <v>46234</v>
      </c>
      <c r="L10" s="62">
        <f t="shared" si="1"/>
        <v>46418</v>
      </c>
      <c r="M10" s="62">
        <f t="shared" si="1"/>
        <v>46599</v>
      </c>
      <c r="N10" s="62">
        <f t="shared" si="1"/>
        <v>46783</v>
      </c>
      <c r="O10" s="62">
        <f t="shared" si="1"/>
        <v>46965</v>
      </c>
      <c r="P10" s="62">
        <f t="shared" si="1"/>
        <v>47149</v>
      </c>
      <c r="Q10" s="62">
        <f t="shared" si="1"/>
        <v>47330</v>
      </c>
      <c r="R10" s="62">
        <f t="shared" si="1"/>
        <v>47514</v>
      </c>
      <c r="S10" s="62">
        <f t="shared" si="1"/>
        <v>47695</v>
      </c>
      <c r="T10" s="62">
        <f t="shared" si="1"/>
        <v>47879</v>
      </c>
      <c r="U10" s="62">
        <f t="shared" si="1"/>
        <v>48060</v>
      </c>
      <c r="V10" s="62">
        <f t="shared" si="1"/>
        <v>48244</v>
      </c>
      <c r="W10" s="62">
        <f t="shared" si="1"/>
        <v>48426</v>
      </c>
      <c r="X10" s="62">
        <f t="shared" si="1"/>
        <v>48610</v>
      </c>
    </row>
    <row r="11" spans="1:106" s="63" customFormat="1" ht="17" customHeight="1" outlineLevel="1">
      <c r="F11" s="63" t="s">
        <v>90</v>
      </c>
      <c r="H11" s="63">
        <f>(H14&gt;=[0]!start)*(H14&lt;=[0]!exit)*1</f>
        <v>0</v>
      </c>
      <c r="I11" s="63">
        <f>(I14&gt;=[0]!start)*(I14&lt;=[0]!exit)*1</f>
        <v>1</v>
      </c>
      <c r="J11" s="63">
        <f>(J14&gt;=[0]!start)*(J14&lt;=[0]!exit)*1</f>
        <v>1</v>
      </c>
      <c r="K11" s="63">
        <f>(K14&gt;=[0]!start)*(K14&lt;=[0]!exit)*1</f>
        <v>1</v>
      </c>
      <c r="L11" s="63">
        <f>(L14&gt;=[0]!start)*(L14&lt;=[0]!exit)*1</f>
        <v>1</v>
      </c>
      <c r="M11" s="63">
        <f>(M14&gt;=[0]!start)*(M14&lt;=[0]!exit)*1</f>
        <v>1</v>
      </c>
      <c r="N11" s="63">
        <f>(N14&gt;=[0]!start)*(N14&lt;=[0]!exit)*1</f>
        <v>1</v>
      </c>
      <c r="O11" s="63">
        <f>(O14&gt;=[0]!start)*(O14&lt;=[0]!exit)*1</f>
        <v>1</v>
      </c>
      <c r="P11" s="63">
        <f>(P14&gt;=[0]!start)*(P14&lt;=[0]!exit)*1</f>
        <v>1</v>
      </c>
      <c r="Q11" s="63">
        <f>(Q14&gt;=[0]!start)*(Q14&lt;=[0]!exit)*1</f>
        <v>1</v>
      </c>
      <c r="R11" s="63">
        <f>(R14&gt;=[0]!start)*(R14&lt;=[0]!exit)*1</f>
        <v>1</v>
      </c>
      <c r="S11" s="63">
        <f>(S14&gt;=[0]!start)*(S14&lt;=[0]!exit)*1</f>
        <v>1</v>
      </c>
      <c r="T11" s="63">
        <f>(T14&gt;=[0]!start)*(T14&lt;=[0]!exit)*1</f>
        <v>1</v>
      </c>
      <c r="U11" s="63">
        <f>(U14&gt;=[0]!start)*(U14&lt;=[0]!exit)*1</f>
        <v>1</v>
      </c>
      <c r="V11" s="63">
        <f>(V14&gt;=[0]!start)*(V14&lt;=[0]!exit)*1</f>
        <v>1</v>
      </c>
      <c r="W11" s="63">
        <f>(W14&gt;=[0]!start)*(W14&lt;=[0]!exit)*1</f>
        <v>1</v>
      </c>
      <c r="X11" s="63">
        <f>(X14&gt;=[0]!start)*(X14&lt;=[0]!exit)*1</f>
        <v>1</v>
      </c>
      <c r="Y11" s="63">
        <f>(Y14&gt;=[0]!start)*(Y14&lt;=[0]!exit)*1</f>
        <v>1</v>
      </c>
      <c r="Z11" s="63">
        <f>(Z14&gt;=[0]!start)*(Z14&lt;=[0]!exit)*1</f>
        <v>1</v>
      </c>
      <c r="AA11" s="63">
        <f>(AA14&gt;=[0]!start)*(AA14&lt;=[0]!exit)*1</f>
        <v>1</v>
      </c>
      <c r="AB11" s="63">
        <f>(AB14&gt;=[0]!start)*(AB14&lt;=[0]!exit)*1</f>
        <v>1</v>
      </c>
      <c r="AC11" s="63">
        <f>(AC14&gt;=[0]!start)*(AC14&lt;=[0]!exit)*1</f>
        <v>1</v>
      </c>
      <c r="AD11" s="63">
        <f>(AD14&gt;=[0]!start)*(AD14&lt;=[0]!exit)*1</f>
        <v>1</v>
      </c>
      <c r="AE11" s="63">
        <f>(AE14&gt;=[0]!start)*(AE14&lt;=[0]!exit)*1</f>
        <v>1</v>
      </c>
      <c r="AF11" s="63">
        <f>(AF14&gt;=[0]!start)*(AF14&lt;=[0]!exit)*1</f>
        <v>1</v>
      </c>
      <c r="AG11" s="63">
        <f>(AG14&gt;=[0]!start)*(AG14&lt;=[0]!exit)*1</f>
        <v>1</v>
      </c>
      <c r="AH11" s="63">
        <f>(AH14&gt;=[0]!start)*(AH14&lt;=[0]!exit)*1</f>
        <v>1</v>
      </c>
      <c r="AI11" s="63">
        <f>(AI14&gt;=[0]!start)*(AI14&lt;=[0]!exit)*1</f>
        <v>1</v>
      </c>
      <c r="AJ11" s="63">
        <f>(AJ14&gt;=[0]!start)*(AJ14&lt;=[0]!exit)*1</f>
        <v>1</v>
      </c>
      <c r="AK11" s="63">
        <f>(AK14&gt;=[0]!start)*(AK14&lt;=[0]!exit)*1</f>
        <v>1</v>
      </c>
      <c r="AL11" s="63">
        <f>(AL14&gt;=[0]!start)*(AL14&lt;=[0]!exit)*1</f>
        <v>1</v>
      </c>
      <c r="AM11" s="63">
        <f>(AM14&gt;=[0]!start)*(AM14&lt;=[0]!exit)*1</f>
        <v>1</v>
      </c>
      <c r="AN11" s="63">
        <f>(AN14&gt;=[0]!start)*(AN14&lt;=[0]!exit)*1</f>
        <v>1</v>
      </c>
      <c r="AO11" s="63">
        <f>(AO14&gt;=[0]!start)*(AO14&lt;=[0]!exit)*1</f>
        <v>1</v>
      </c>
      <c r="AP11" s="63">
        <f>(AP14&gt;=[0]!start)*(AP14&lt;=[0]!exit)*1</f>
        <v>1</v>
      </c>
      <c r="AQ11" s="63">
        <f>(AQ14&gt;=[0]!start)*(AQ14&lt;=[0]!exit)*1</f>
        <v>1</v>
      </c>
      <c r="AR11" s="63">
        <f>(AR14&gt;=[0]!start)*(AR14&lt;=[0]!exit)*1</f>
        <v>1</v>
      </c>
      <c r="AS11" s="63">
        <f>(AS14&gt;=[0]!start)*(AS14&lt;=[0]!exit)*1</f>
        <v>1</v>
      </c>
      <c r="AT11" s="63">
        <f>(AT14&gt;=[0]!start)*(AT14&lt;=[0]!exit)*1</f>
        <v>1</v>
      </c>
      <c r="AU11" s="63">
        <f>(AU14&gt;=[0]!start)*(AU14&lt;=[0]!exit)*1</f>
        <v>1</v>
      </c>
      <c r="AV11" s="63">
        <f>(AV14&gt;=[0]!start)*(AV14&lt;=[0]!exit)*1</f>
        <v>1</v>
      </c>
      <c r="AW11" s="63">
        <f>(AW14&gt;=[0]!start)*(AW14&lt;=[0]!exit)*1</f>
        <v>1</v>
      </c>
      <c r="AX11" s="63">
        <f>(AX14&gt;=[0]!start)*(AX14&lt;=[0]!exit)*1</f>
        <v>1</v>
      </c>
      <c r="AY11" s="63">
        <f>(AY14&gt;=[0]!start)*(AY14&lt;=[0]!exit)*1</f>
        <v>1</v>
      </c>
      <c r="AZ11" s="63">
        <f>(AZ14&gt;=[0]!start)*(AZ14&lt;=[0]!exit)*1</f>
        <v>1</v>
      </c>
      <c r="BA11" s="63">
        <f>(BA14&gt;=[0]!start)*(BA14&lt;=[0]!exit)*1</f>
        <v>1</v>
      </c>
      <c r="BB11" s="63">
        <f>(BB14&gt;=[0]!start)*(BB14&lt;=[0]!exit)*1</f>
        <v>1</v>
      </c>
      <c r="BC11" s="63">
        <f>(BC14&gt;=[0]!start)*(BC14&lt;=[0]!exit)*1</f>
        <v>1</v>
      </c>
      <c r="BD11" s="63">
        <f>(BD14&gt;=[0]!start)*(BD14&lt;=[0]!exit)*1</f>
        <v>1</v>
      </c>
      <c r="BE11" s="63">
        <f>(BE14&gt;=[0]!start)*(BE14&lt;=[0]!exit)*1</f>
        <v>1</v>
      </c>
      <c r="BF11" s="63">
        <f>(BF14&gt;=[0]!start)*(BF14&lt;=[0]!exit)*1</f>
        <v>1</v>
      </c>
      <c r="BG11" s="63">
        <f>(BG14&gt;=[0]!start)*(BG14&lt;=[0]!exit)*1</f>
        <v>1</v>
      </c>
      <c r="BH11" s="63">
        <f>(BH14&gt;=[0]!start)*(BH14&lt;=[0]!exit)*1</f>
        <v>1</v>
      </c>
      <c r="BI11" s="63">
        <f>(BI14&gt;=[0]!start)*(BI14&lt;=[0]!exit)*1</f>
        <v>1</v>
      </c>
      <c r="BJ11" s="63">
        <f>(BJ14&gt;=[0]!start)*(BJ14&lt;=[0]!exit)*1</f>
        <v>1</v>
      </c>
      <c r="BK11" s="63">
        <f>(BK14&gt;=[0]!start)*(BK14&lt;=[0]!exit)*1</f>
        <v>1</v>
      </c>
      <c r="BL11" s="63">
        <f>(BL14&gt;=[0]!start)*(BL14&lt;=[0]!exit)*1</f>
        <v>1</v>
      </c>
      <c r="BM11" s="63">
        <f>(BM14&gt;=[0]!start)*(BM14&lt;=[0]!exit)*1</f>
        <v>1</v>
      </c>
      <c r="BN11" s="63">
        <f>(BN14&gt;=[0]!start)*(BN14&lt;=[0]!exit)*1</f>
        <v>1</v>
      </c>
      <c r="BO11" s="63">
        <f>(BO14&gt;=[0]!start)*(BO14&lt;=[0]!exit)*1</f>
        <v>1</v>
      </c>
      <c r="BP11" s="63">
        <f>(BP14&gt;=[0]!start)*(BP14&lt;=[0]!exit)*1</f>
        <v>1</v>
      </c>
      <c r="BQ11" s="63">
        <f>(BQ14&gt;=[0]!start)*(BQ14&lt;=[0]!exit)*1</f>
        <v>0</v>
      </c>
      <c r="BR11" s="63">
        <f>(BR14&gt;=[0]!start)*(BR14&lt;=[0]!exit)*1</f>
        <v>0</v>
      </c>
      <c r="BS11" s="63">
        <f>(BS14&gt;=[0]!start)*(BS14&lt;=[0]!exit)*1</f>
        <v>0</v>
      </c>
      <c r="BT11" s="63">
        <f>(BT14&gt;=[0]!start)*(BT14&lt;=[0]!exit)*1</f>
        <v>0</v>
      </c>
      <c r="BU11" s="63">
        <f>(BU14&gt;=[0]!start)*(BU14&lt;=[0]!exit)*1</f>
        <v>0</v>
      </c>
      <c r="BV11" s="63">
        <f>(BV14&gt;=[0]!start)*(BV14&lt;=[0]!exit)*1</f>
        <v>0</v>
      </c>
      <c r="BW11" s="63">
        <f>(BW14&gt;=[0]!start)*(BW14&lt;=[0]!exit)*1</f>
        <v>0</v>
      </c>
      <c r="BX11" s="63">
        <f>(BX14&gt;=[0]!start)*(BX14&lt;=[0]!exit)*1</f>
        <v>0</v>
      </c>
      <c r="BY11" s="63">
        <f>(BY14&gt;=[0]!start)*(BY14&lt;=[0]!exit)*1</f>
        <v>0</v>
      </c>
      <c r="BZ11" s="63">
        <f>(BZ14&gt;=[0]!start)*(BZ14&lt;=[0]!exit)*1</f>
        <v>0</v>
      </c>
      <c r="CA11" s="63">
        <f>(CA14&gt;=[0]!start)*(CA14&lt;=[0]!exit)*1</f>
        <v>0</v>
      </c>
      <c r="CB11" s="63">
        <f>(CB14&gt;=[0]!start)*(CB14&lt;=[0]!exit)*1</f>
        <v>0</v>
      </c>
      <c r="CC11" s="63">
        <f>(CC14&gt;=[0]!start)*(CC14&lt;=[0]!exit)*1</f>
        <v>0</v>
      </c>
      <c r="CD11" s="63">
        <f>(CD14&gt;=[0]!start)*(CD14&lt;=[0]!exit)*1</f>
        <v>0</v>
      </c>
      <c r="CE11" s="63">
        <f>(CE14&gt;=[0]!start)*(CE14&lt;=[0]!exit)*1</f>
        <v>0</v>
      </c>
      <c r="CF11" s="63">
        <f>(CF14&gt;=[0]!start)*(CF14&lt;=[0]!exit)*1</f>
        <v>0</v>
      </c>
      <c r="CG11" s="63">
        <f>(CG14&gt;=[0]!start)*(CG14&lt;=[0]!exit)*1</f>
        <v>0</v>
      </c>
      <c r="CH11" s="63">
        <f>(CH14&gt;=[0]!start)*(CH14&lt;=[0]!exit)*1</f>
        <v>0</v>
      </c>
      <c r="CI11" s="63">
        <f>(CI14&gt;=[0]!start)*(CI14&lt;=[0]!exit)*1</f>
        <v>0</v>
      </c>
      <c r="CJ11" s="63">
        <f>(CJ14&gt;=[0]!start)*(CJ14&lt;=[0]!exit)*1</f>
        <v>0</v>
      </c>
      <c r="CK11" s="63">
        <f>(CK14&gt;=[0]!start)*(CK14&lt;=[0]!exit)*1</f>
        <v>0</v>
      </c>
      <c r="CL11" s="63">
        <f>(CL14&gt;=[0]!start)*(CL14&lt;=[0]!exit)*1</f>
        <v>0</v>
      </c>
      <c r="CM11" s="63">
        <f>(CM14&gt;=[0]!start)*(CM14&lt;=[0]!exit)*1</f>
        <v>0</v>
      </c>
      <c r="CN11" s="63">
        <f>(CN14&gt;=[0]!start)*(CN14&lt;=[0]!exit)*1</f>
        <v>0</v>
      </c>
      <c r="CO11" s="63">
        <f>(CO14&gt;=[0]!start)*(CO14&lt;=[0]!exit)*1</f>
        <v>0</v>
      </c>
      <c r="CP11" s="63">
        <f>(CP14&gt;=[0]!start)*(CP14&lt;=[0]!exit)*1</f>
        <v>0</v>
      </c>
      <c r="CQ11" s="63">
        <f>(CQ14&gt;=[0]!start)*(CQ14&lt;=[0]!exit)*1</f>
        <v>0</v>
      </c>
      <c r="CR11" s="63">
        <f>(CR14&gt;=[0]!start)*(CR14&lt;=[0]!exit)*1</f>
        <v>0</v>
      </c>
      <c r="CS11" s="63">
        <f>(CS14&gt;=[0]!start)*(CS14&lt;=[0]!exit)*1</f>
        <v>0</v>
      </c>
      <c r="CT11" s="63">
        <f>(CT14&gt;=[0]!start)*(CT14&lt;=[0]!exit)*1</f>
        <v>0</v>
      </c>
      <c r="CU11" s="63">
        <f>(CU14&gt;=[0]!start)*(CU14&lt;=[0]!exit)*1</f>
        <v>0</v>
      </c>
      <c r="CV11" s="63">
        <f>(CV14&gt;=[0]!start)*(CV14&lt;=[0]!exit)*1</f>
        <v>0</v>
      </c>
      <c r="CW11" s="63">
        <f>(CW14&gt;=[0]!start)*(CW14&lt;=[0]!exit)*1</f>
        <v>0</v>
      </c>
      <c r="CX11" s="63">
        <f>(CX14&gt;=[0]!start)*(CX14&lt;=[0]!exit)*1</f>
        <v>0</v>
      </c>
      <c r="CY11" s="63">
        <f>(CY14&gt;=[0]!start)*(CY14&lt;=[0]!exit)*1</f>
        <v>0</v>
      </c>
      <c r="CZ11" s="63">
        <f>(CZ14&gt;=[0]!start)*(CZ14&lt;=[0]!exit)*1</f>
        <v>0</v>
      </c>
      <c r="DA11" s="63">
        <f>(DA14&gt;=[0]!start)*(DA14&lt;=[0]!exit)*1</f>
        <v>0</v>
      </c>
      <c r="DB11" s="63">
        <f>(DB14&gt;=[0]!start)*(DB14&lt;=[0]!exit)*1</f>
        <v>0</v>
      </c>
    </row>
    <row r="12" spans="1:106" s="63" customFormat="1" ht="17" customHeight="1" outlineLevel="1">
      <c r="F12" s="63" t="s">
        <v>91</v>
      </c>
      <c r="H12" s="63">
        <f>SUM($H$11:H11)*H11</f>
        <v>0</v>
      </c>
      <c r="I12" s="63">
        <f>SUM($H$11:I11)*I11</f>
        <v>1</v>
      </c>
      <c r="J12" s="63">
        <f>SUM($H$11:J11)*J11</f>
        <v>2</v>
      </c>
      <c r="K12" s="63">
        <f>SUM($H$11:K11)*K11</f>
        <v>3</v>
      </c>
      <c r="L12" s="63">
        <f>SUM($H$11:L11)*L11</f>
        <v>4</v>
      </c>
      <c r="M12" s="63">
        <f>SUM($H$11:M11)*M11</f>
        <v>5</v>
      </c>
      <c r="N12" s="63">
        <f>SUM($H$11:N11)*N11</f>
        <v>6</v>
      </c>
      <c r="O12" s="63">
        <f>SUM($H$11:O11)*O11</f>
        <v>7</v>
      </c>
      <c r="P12" s="63">
        <f>SUM($H$11:P11)*P11</f>
        <v>8</v>
      </c>
      <c r="Q12" s="63">
        <f>SUM($H$11:Q11)*Q11</f>
        <v>9</v>
      </c>
      <c r="R12" s="63">
        <f>SUM($H$11:R11)*R11</f>
        <v>10</v>
      </c>
      <c r="S12" s="63">
        <f>SUM($H$11:S11)*S11</f>
        <v>11</v>
      </c>
      <c r="T12" s="63">
        <f>SUM($H$11:T11)*T11</f>
        <v>12</v>
      </c>
      <c r="U12" s="63">
        <f>SUM($H$11:U11)*U11</f>
        <v>13</v>
      </c>
      <c r="V12" s="63">
        <f>SUM($H$11:V11)*V11</f>
        <v>14</v>
      </c>
      <c r="W12" s="63">
        <f>SUM($H$11:W11)*W11</f>
        <v>15</v>
      </c>
      <c r="X12" s="63">
        <f>SUM($H$11:X11)*X11</f>
        <v>16</v>
      </c>
      <c r="Y12" s="63">
        <f>SUM($H$11:Y11)*Y11</f>
        <v>17</v>
      </c>
      <c r="Z12" s="63">
        <f>SUM($H$11:Z11)*Z11</f>
        <v>18</v>
      </c>
      <c r="AA12" s="63">
        <f>SUM($H$11:AA11)*AA11</f>
        <v>19</v>
      </c>
      <c r="AB12" s="63">
        <f>SUM($H$11:AB11)*AB11</f>
        <v>20</v>
      </c>
      <c r="AC12" s="63">
        <f>SUM($H$11:AC11)*AC11</f>
        <v>21</v>
      </c>
      <c r="AD12" s="63">
        <f>SUM($H$11:AD11)*AD11</f>
        <v>22</v>
      </c>
      <c r="AE12" s="63">
        <f>SUM($H$11:AE11)*AE11</f>
        <v>23</v>
      </c>
      <c r="AF12" s="63">
        <f>SUM($H$11:AF11)*AF11</f>
        <v>24</v>
      </c>
      <c r="AG12" s="63">
        <f>SUM($H$11:AG11)*AG11</f>
        <v>25</v>
      </c>
      <c r="AH12" s="63">
        <f>SUM($H$11:AH11)*AH11</f>
        <v>26</v>
      </c>
      <c r="AI12" s="63">
        <f>SUM($H$11:AI11)*AI11</f>
        <v>27</v>
      </c>
      <c r="AJ12" s="63">
        <f>SUM($H$11:AJ11)*AJ11</f>
        <v>28</v>
      </c>
      <c r="AK12" s="63">
        <f>SUM($H$11:AK11)*AK11</f>
        <v>29</v>
      </c>
      <c r="AL12" s="63">
        <f>SUM($H$11:AL11)*AL11</f>
        <v>30</v>
      </c>
      <c r="AM12" s="63">
        <f>SUM($H$11:AM11)*AM11</f>
        <v>31</v>
      </c>
      <c r="AN12" s="63">
        <f>SUM($H$11:AN11)*AN11</f>
        <v>32</v>
      </c>
      <c r="AO12" s="63">
        <f>SUM($H$11:AO11)*AO11</f>
        <v>33</v>
      </c>
      <c r="AP12" s="63">
        <f>SUM($H$11:AP11)*AP11</f>
        <v>34</v>
      </c>
      <c r="AQ12" s="63">
        <f>SUM($H$11:AQ11)*AQ11</f>
        <v>35</v>
      </c>
      <c r="AR12" s="63">
        <f>SUM($H$11:AR11)*AR11</f>
        <v>36</v>
      </c>
      <c r="AS12" s="63">
        <f>SUM($H$11:AS11)*AS11</f>
        <v>37</v>
      </c>
      <c r="AT12" s="63">
        <f>SUM($H$11:AT11)*AT11</f>
        <v>38</v>
      </c>
      <c r="AU12" s="63">
        <f>SUM($H$11:AU11)*AU11</f>
        <v>39</v>
      </c>
      <c r="AV12" s="63">
        <f>SUM($H$11:AV11)*AV11</f>
        <v>40</v>
      </c>
      <c r="AW12" s="63">
        <f>SUM($H$11:AW11)*AW11</f>
        <v>41</v>
      </c>
      <c r="AX12" s="63">
        <f>SUM($H$11:AX11)*AX11</f>
        <v>42</v>
      </c>
      <c r="AY12" s="63">
        <f>SUM($H$11:AY11)*AY11</f>
        <v>43</v>
      </c>
      <c r="AZ12" s="63">
        <f>SUM($H$11:AZ11)*AZ11</f>
        <v>44</v>
      </c>
      <c r="BA12" s="63">
        <f>SUM($H$11:BA11)*BA11</f>
        <v>45</v>
      </c>
      <c r="BB12" s="63">
        <f>SUM($H$11:BB11)*BB11</f>
        <v>46</v>
      </c>
      <c r="BC12" s="63">
        <f>SUM($H$11:BC11)*BC11</f>
        <v>47</v>
      </c>
      <c r="BD12" s="63">
        <f>SUM($H$11:BD11)*BD11</f>
        <v>48</v>
      </c>
      <c r="BE12" s="63">
        <f>SUM($H$11:BE11)*BE11</f>
        <v>49</v>
      </c>
      <c r="BF12" s="63">
        <f>SUM($H$11:BF11)*BF11</f>
        <v>50</v>
      </c>
      <c r="BG12" s="63">
        <f>SUM($H$11:BG11)*BG11</f>
        <v>51</v>
      </c>
      <c r="BH12" s="63">
        <f>SUM($H$11:BH11)*BH11</f>
        <v>52</v>
      </c>
      <c r="BI12" s="63">
        <f>SUM($H$11:BI11)*BI11</f>
        <v>53</v>
      </c>
      <c r="BJ12" s="63">
        <f>SUM($H$11:BJ11)*BJ11</f>
        <v>54</v>
      </c>
      <c r="BK12" s="63">
        <f>SUM($H$11:BK11)*BK11</f>
        <v>55</v>
      </c>
      <c r="BL12" s="63">
        <f>SUM($H$11:BL11)*BL11</f>
        <v>56</v>
      </c>
      <c r="BM12" s="63">
        <f>SUM($H$11:BM11)*BM11</f>
        <v>57</v>
      </c>
      <c r="BN12" s="63">
        <f>SUM($H$11:BN11)*BN11</f>
        <v>58</v>
      </c>
      <c r="BO12" s="63">
        <f>SUM($H$11:BO11)*BO11</f>
        <v>59</v>
      </c>
      <c r="BP12" s="63">
        <f>SUM($H$11:BP11)*BP11</f>
        <v>60</v>
      </c>
      <c r="BQ12" s="63">
        <f>SUM($H$11:BQ11)*BQ11</f>
        <v>0</v>
      </c>
      <c r="BR12" s="63">
        <f>SUM($H$11:BR11)*BR11</f>
        <v>0</v>
      </c>
      <c r="BS12" s="63">
        <f>SUM($H$11:BS11)*BS11</f>
        <v>0</v>
      </c>
      <c r="BT12" s="63">
        <f>SUM($H$11:BT11)*BT11</f>
        <v>0</v>
      </c>
      <c r="BU12" s="63">
        <f>SUM($H$11:BU11)*BU11</f>
        <v>0</v>
      </c>
      <c r="BV12" s="63">
        <f>SUM($H$11:BV11)*BV11</f>
        <v>0</v>
      </c>
      <c r="BW12" s="63">
        <f>SUM($H$11:BW11)*BW11</f>
        <v>0</v>
      </c>
      <c r="BX12" s="63">
        <f>SUM($H$11:BX11)*BX11</f>
        <v>0</v>
      </c>
      <c r="BY12" s="63">
        <f>SUM($H$11:BY11)*BY11</f>
        <v>0</v>
      </c>
      <c r="BZ12" s="63">
        <f>SUM($H$11:BZ11)*BZ11</f>
        <v>0</v>
      </c>
      <c r="CA12" s="63">
        <f>SUM($H$11:CA11)*CA11</f>
        <v>0</v>
      </c>
      <c r="CB12" s="63">
        <f>SUM($H$11:CB11)*CB11</f>
        <v>0</v>
      </c>
      <c r="CC12" s="63">
        <f>SUM($H$11:CC11)*CC11</f>
        <v>0</v>
      </c>
      <c r="CD12" s="63">
        <f>SUM($H$11:CD11)*CD11</f>
        <v>0</v>
      </c>
      <c r="CE12" s="63">
        <f>SUM($H$11:CE11)*CE11</f>
        <v>0</v>
      </c>
      <c r="CF12" s="63">
        <f>SUM($H$11:CF11)*CF11</f>
        <v>0</v>
      </c>
      <c r="CG12" s="63">
        <f>SUM($H$11:CG11)*CG11</f>
        <v>0</v>
      </c>
      <c r="CH12" s="63">
        <f>SUM($H$11:CH11)*CH11</f>
        <v>0</v>
      </c>
      <c r="CI12" s="63">
        <f>SUM($H$11:CI11)*CI11</f>
        <v>0</v>
      </c>
      <c r="CJ12" s="63">
        <f>SUM($H$11:CJ11)*CJ11</f>
        <v>0</v>
      </c>
      <c r="CK12" s="63">
        <f>SUM($H$11:CK11)*CK11</f>
        <v>0</v>
      </c>
      <c r="CL12" s="63">
        <f>SUM($H$11:CL11)*CL11</f>
        <v>0</v>
      </c>
      <c r="CM12" s="63">
        <f>SUM($H$11:CM11)*CM11</f>
        <v>0</v>
      </c>
      <c r="CN12" s="63">
        <f>SUM($H$11:CN11)*CN11</f>
        <v>0</v>
      </c>
      <c r="CO12" s="63">
        <f>SUM($H$11:CO11)*CO11</f>
        <v>0</v>
      </c>
      <c r="CP12" s="63">
        <f>SUM($H$11:CP11)*CP11</f>
        <v>0</v>
      </c>
      <c r="CQ12" s="63">
        <f>SUM($H$11:CQ11)*CQ11</f>
        <v>0</v>
      </c>
      <c r="CR12" s="63">
        <f>SUM($H$11:CR11)*CR11</f>
        <v>0</v>
      </c>
      <c r="CS12" s="63">
        <f>SUM($H$11:CS11)*CS11</f>
        <v>0</v>
      </c>
      <c r="CT12" s="63">
        <f>SUM($H$11:CT11)*CT11</f>
        <v>0</v>
      </c>
      <c r="CU12" s="63">
        <f>SUM($H$11:CU11)*CU11</f>
        <v>0</v>
      </c>
      <c r="CV12" s="63">
        <f>SUM($H$11:CV11)*CV11</f>
        <v>0</v>
      </c>
      <c r="CW12" s="63">
        <f>SUM($H$11:CW11)*CW11</f>
        <v>0</v>
      </c>
      <c r="CX12" s="63">
        <f>SUM($H$11:CX11)*CX11</f>
        <v>0</v>
      </c>
      <c r="CY12" s="63">
        <f>SUM($H$11:CY11)*CY11</f>
        <v>0</v>
      </c>
      <c r="CZ12" s="63">
        <f>SUM($H$11:CZ11)*CZ11</f>
        <v>0</v>
      </c>
      <c r="DA12" s="63">
        <f>SUM($H$11:DA11)*DA11</f>
        <v>0</v>
      </c>
      <c r="DB12" s="63">
        <f>SUM($H$11:DB11)*DB11</f>
        <v>0</v>
      </c>
    </row>
    <row r="13" spans="1:106" s="63" customFormat="1" ht="17" customHeight="1" outlineLevel="1">
      <c r="F13" s="63" t="s">
        <v>92</v>
      </c>
      <c r="H13" s="63">
        <f>(MOD(H12,12)=1)*1</f>
        <v>0</v>
      </c>
      <c r="I13" s="63">
        <f t="shared" ref="I13:BT13" si="2">(MOD(I12,12)=1)*1</f>
        <v>1</v>
      </c>
      <c r="J13" s="63">
        <f t="shared" si="2"/>
        <v>0</v>
      </c>
      <c r="K13" s="63">
        <f t="shared" si="2"/>
        <v>0</v>
      </c>
      <c r="L13" s="63">
        <f t="shared" si="2"/>
        <v>0</v>
      </c>
      <c r="M13" s="63">
        <f t="shared" si="2"/>
        <v>0</v>
      </c>
      <c r="N13" s="63">
        <f t="shared" si="2"/>
        <v>0</v>
      </c>
      <c r="O13" s="63">
        <f t="shared" si="2"/>
        <v>0</v>
      </c>
      <c r="P13" s="63">
        <f t="shared" si="2"/>
        <v>0</v>
      </c>
      <c r="Q13" s="63">
        <f t="shared" si="2"/>
        <v>0</v>
      </c>
      <c r="R13" s="63">
        <f t="shared" si="2"/>
        <v>0</v>
      </c>
      <c r="S13" s="63">
        <f t="shared" si="2"/>
        <v>0</v>
      </c>
      <c r="T13" s="63">
        <f t="shared" si="2"/>
        <v>0</v>
      </c>
      <c r="U13" s="63">
        <f t="shared" si="2"/>
        <v>1</v>
      </c>
      <c r="V13" s="63">
        <f t="shared" si="2"/>
        <v>0</v>
      </c>
      <c r="W13" s="63">
        <f t="shared" si="2"/>
        <v>0</v>
      </c>
      <c r="X13" s="63">
        <f t="shared" si="2"/>
        <v>0</v>
      </c>
      <c r="Y13" s="63">
        <f t="shared" si="2"/>
        <v>0</v>
      </c>
      <c r="Z13" s="63">
        <f t="shared" si="2"/>
        <v>0</v>
      </c>
      <c r="AA13" s="63">
        <f t="shared" si="2"/>
        <v>0</v>
      </c>
      <c r="AB13" s="63">
        <f t="shared" si="2"/>
        <v>0</v>
      </c>
      <c r="AC13" s="63">
        <f t="shared" si="2"/>
        <v>0</v>
      </c>
      <c r="AD13" s="63">
        <f t="shared" si="2"/>
        <v>0</v>
      </c>
      <c r="AE13" s="63">
        <f t="shared" si="2"/>
        <v>0</v>
      </c>
      <c r="AF13" s="63">
        <f t="shared" si="2"/>
        <v>0</v>
      </c>
      <c r="AG13" s="63">
        <f t="shared" si="2"/>
        <v>1</v>
      </c>
      <c r="AH13" s="63">
        <f t="shared" si="2"/>
        <v>0</v>
      </c>
      <c r="AI13" s="63">
        <f t="shared" si="2"/>
        <v>0</v>
      </c>
      <c r="AJ13" s="63">
        <f t="shared" si="2"/>
        <v>0</v>
      </c>
      <c r="AK13" s="63">
        <f t="shared" si="2"/>
        <v>0</v>
      </c>
      <c r="AL13" s="63">
        <f t="shared" si="2"/>
        <v>0</v>
      </c>
      <c r="AM13" s="63">
        <f t="shared" si="2"/>
        <v>0</v>
      </c>
      <c r="AN13" s="63">
        <f t="shared" si="2"/>
        <v>0</v>
      </c>
      <c r="AO13" s="63">
        <f t="shared" si="2"/>
        <v>0</v>
      </c>
      <c r="AP13" s="63">
        <f t="shared" si="2"/>
        <v>0</v>
      </c>
      <c r="AQ13" s="63">
        <f t="shared" si="2"/>
        <v>0</v>
      </c>
      <c r="AR13" s="63">
        <f t="shared" si="2"/>
        <v>0</v>
      </c>
      <c r="AS13" s="63">
        <f t="shared" si="2"/>
        <v>1</v>
      </c>
      <c r="AT13" s="63">
        <f t="shared" si="2"/>
        <v>0</v>
      </c>
      <c r="AU13" s="63">
        <f t="shared" si="2"/>
        <v>0</v>
      </c>
      <c r="AV13" s="63">
        <f t="shared" si="2"/>
        <v>0</v>
      </c>
      <c r="AW13" s="63">
        <f t="shared" si="2"/>
        <v>0</v>
      </c>
      <c r="AX13" s="63">
        <f t="shared" si="2"/>
        <v>0</v>
      </c>
      <c r="AY13" s="63">
        <f t="shared" si="2"/>
        <v>0</v>
      </c>
      <c r="AZ13" s="63">
        <f t="shared" si="2"/>
        <v>0</v>
      </c>
      <c r="BA13" s="63">
        <f t="shared" si="2"/>
        <v>0</v>
      </c>
      <c r="BB13" s="63">
        <f t="shared" si="2"/>
        <v>0</v>
      </c>
      <c r="BC13" s="63">
        <f t="shared" si="2"/>
        <v>0</v>
      </c>
      <c r="BD13" s="63">
        <f t="shared" si="2"/>
        <v>0</v>
      </c>
      <c r="BE13" s="63">
        <f t="shared" si="2"/>
        <v>1</v>
      </c>
      <c r="BF13" s="63">
        <f t="shared" si="2"/>
        <v>0</v>
      </c>
      <c r="BG13" s="63">
        <f t="shared" si="2"/>
        <v>0</v>
      </c>
      <c r="BH13" s="63">
        <f t="shared" si="2"/>
        <v>0</v>
      </c>
      <c r="BI13" s="63">
        <f t="shared" si="2"/>
        <v>0</v>
      </c>
      <c r="BJ13" s="63">
        <f t="shared" si="2"/>
        <v>0</v>
      </c>
      <c r="BK13" s="63">
        <f t="shared" si="2"/>
        <v>0</v>
      </c>
      <c r="BL13" s="63">
        <f t="shared" si="2"/>
        <v>0</v>
      </c>
      <c r="BM13" s="63">
        <f t="shared" si="2"/>
        <v>0</v>
      </c>
      <c r="BN13" s="63">
        <f t="shared" si="2"/>
        <v>0</v>
      </c>
      <c r="BO13" s="63">
        <f t="shared" si="2"/>
        <v>0</v>
      </c>
      <c r="BP13" s="63">
        <f t="shared" si="2"/>
        <v>0</v>
      </c>
      <c r="BQ13" s="63">
        <f t="shared" si="2"/>
        <v>0</v>
      </c>
      <c r="BR13" s="63">
        <f t="shared" si="2"/>
        <v>0</v>
      </c>
      <c r="BS13" s="63">
        <f t="shared" si="2"/>
        <v>0</v>
      </c>
      <c r="BT13" s="63">
        <f t="shared" si="2"/>
        <v>0</v>
      </c>
      <c r="BU13" s="63">
        <f t="shared" ref="BU13:DB13" si="3">(MOD(BU12,12)=1)*1</f>
        <v>0</v>
      </c>
      <c r="BV13" s="63">
        <f t="shared" si="3"/>
        <v>0</v>
      </c>
      <c r="BW13" s="63">
        <f t="shared" si="3"/>
        <v>0</v>
      </c>
      <c r="BX13" s="63">
        <f t="shared" si="3"/>
        <v>0</v>
      </c>
      <c r="BY13" s="63">
        <f t="shared" si="3"/>
        <v>0</v>
      </c>
      <c r="BZ13" s="63">
        <f t="shared" si="3"/>
        <v>0</v>
      </c>
      <c r="CA13" s="63">
        <f t="shared" si="3"/>
        <v>0</v>
      </c>
      <c r="CB13" s="63">
        <f t="shared" si="3"/>
        <v>0</v>
      </c>
      <c r="CC13" s="63">
        <f t="shared" si="3"/>
        <v>0</v>
      </c>
      <c r="CD13" s="63">
        <f t="shared" si="3"/>
        <v>0</v>
      </c>
      <c r="CE13" s="63">
        <f t="shared" si="3"/>
        <v>0</v>
      </c>
      <c r="CF13" s="63">
        <f t="shared" si="3"/>
        <v>0</v>
      </c>
      <c r="CG13" s="63">
        <f t="shared" si="3"/>
        <v>0</v>
      </c>
      <c r="CH13" s="63">
        <f t="shared" si="3"/>
        <v>0</v>
      </c>
      <c r="CI13" s="63">
        <f t="shared" si="3"/>
        <v>0</v>
      </c>
      <c r="CJ13" s="63">
        <f t="shared" si="3"/>
        <v>0</v>
      </c>
      <c r="CK13" s="63">
        <f t="shared" si="3"/>
        <v>0</v>
      </c>
      <c r="CL13" s="63">
        <f t="shared" si="3"/>
        <v>0</v>
      </c>
      <c r="CM13" s="63">
        <f t="shared" si="3"/>
        <v>0</v>
      </c>
      <c r="CN13" s="63">
        <f t="shared" si="3"/>
        <v>0</v>
      </c>
      <c r="CO13" s="63">
        <f t="shared" si="3"/>
        <v>0</v>
      </c>
      <c r="CP13" s="63">
        <f t="shared" si="3"/>
        <v>0</v>
      </c>
      <c r="CQ13" s="63">
        <f t="shared" si="3"/>
        <v>0</v>
      </c>
      <c r="CR13" s="63">
        <f t="shared" si="3"/>
        <v>0</v>
      </c>
      <c r="CS13" s="63">
        <f t="shared" si="3"/>
        <v>0</v>
      </c>
      <c r="CT13" s="63">
        <f t="shared" si="3"/>
        <v>0</v>
      </c>
      <c r="CU13" s="63">
        <f t="shared" si="3"/>
        <v>0</v>
      </c>
      <c r="CV13" s="63">
        <f t="shared" si="3"/>
        <v>0</v>
      </c>
      <c r="CW13" s="63">
        <f t="shared" si="3"/>
        <v>0</v>
      </c>
      <c r="CX13" s="63">
        <f t="shared" si="3"/>
        <v>0</v>
      </c>
      <c r="CY13" s="63">
        <f t="shared" si="3"/>
        <v>0</v>
      </c>
      <c r="CZ13" s="63">
        <f t="shared" si="3"/>
        <v>0</v>
      </c>
      <c r="DA13" s="63">
        <f t="shared" si="3"/>
        <v>0</v>
      </c>
      <c r="DB13" s="63">
        <f t="shared" si="3"/>
        <v>0</v>
      </c>
    </row>
    <row r="14" spans="1:106" ht="17" customHeight="1">
      <c r="B14" s="64"/>
      <c r="C14" s="64"/>
      <c r="D14" s="64"/>
      <c r="E14" s="64"/>
      <c r="F14" s="64" t="s">
        <v>93</v>
      </c>
      <c r="G14" s="64"/>
      <c r="H14" s="65">
        <f>acq</f>
        <v>45688</v>
      </c>
      <c r="I14" s="65">
        <f>EOMONTH(H14,1)</f>
        <v>45716</v>
      </c>
      <c r="J14" s="65">
        <f t="shared" ref="J14:BU14" si="4">EOMONTH(I14,1)</f>
        <v>45747</v>
      </c>
      <c r="K14" s="65">
        <f t="shared" si="4"/>
        <v>45777</v>
      </c>
      <c r="L14" s="65">
        <f t="shared" si="4"/>
        <v>45808</v>
      </c>
      <c r="M14" s="65">
        <f t="shared" si="4"/>
        <v>45838</v>
      </c>
      <c r="N14" s="65">
        <f t="shared" si="4"/>
        <v>45869</v>
      </c>
      <c r="O14" s="65">
        <f t="shared" si="4"/>
        <v>45900</v>
      </c>
      <c r="P14" s="65">
        <f t="shared" si="4"/>
        <v>45930</v>
      </c>
      <c r="Q14" s="65">
        <f t="shared" si="4"/>
        <v>45961</v>
      </c>
      <c r="R14" s="65">
        <f t="shared" si="4"/>
        <v>45991</v>
      </c>
      <c r="S14" s="65">
        <f t="shared" si="4"/>
        <v>46022</v>
      </c>
      <c r="T14" s="65">
        <f t="shared" si="4"/>
        <v>46053</v>
      </c>
      <c r="U14" s="65">
        <f t="shared" si="4"/>
        <v>46081</v>
      </c>
      <c r="V14" s="65">
        <f t="shared" si="4"/>
        <v>46112</v>
      </c>
      <c r="W14" s="65">
        <f t="shared" si="4"/>
        <v>46142</v>
      </c>
      <c r="X14" s="65">
        <f t="shared" si="4"/>
        <v>46173</v>
      </c>
      <c r="Y14" s="65">
        <f t="shared" si="4"/>
        <v>46203</v>
      </c>
      <c r="Z14" s="65">
        <f t="shared" si="4"/>
        <v>46234</v>
      </c>
      <c r="AA14" s="65">
        <f t="shared" si="4"/>
        <v>46265</v>
      </c>
      <c r="AB14" s="65">
        <f t="shared" si="4"/>
        <v>46295</v>
      </c>
      <c r="AC14" s="65">
        <f t="shared" si="4"/>
        <v>46326</v>
      </c>
      <c r="AD14" s="65">
        <f t="shared" si="4"/>
        <v>46356</v>
      </c>
      <c r="AE14" s="65">
        <f t="shared" si="4"/>
        <v>46387</v>
      </c>
      <c r="AF14" s="65">
        <f t="shared" si="4"/>
        <v>46418</v>
      </c>
      <c r="AG14" s="65">
        <f t="shared" si="4"/>
        <v>46446</v>
      </c>
      <c r="AH14" s="65">
        <f t="shared" si="4"/>
        <v>46477</v>
      </c>
      <c r="AI14" s="65">
        <f t="shared" si="4"/>
        <v>46507</v>
      </c>
      <c r="AJ14" s="65">
        <f t="shared" si="4"/>
        <v>46538</v>
      </c>
      <c r="AK14" s="65">
        <f t="shared" si="4"/>
        <v>46568</v>
      </c>
      <c r="AL14" s="65">
        <f t="shared" si="4"/>
        <v>46599</v>
      </c>
      <c r="AM14" s="65">
        <f t="shared" si="4"/>
        <v>46630</v>
      </c>
      <c r="AN14" s="65">
        <f t="shared" si="4"/>
        <v>46660</v>
      </c>
      <c r="AO14" s="65">
        <f t="shared" si="4"/>
        <v>46691</v>
      </c>
      <c r="AP14" s="65">
        <f t="shared" si="4"/>
        <v>46721</v>
      </c>
      <c r="AQ14" s="65">
        <f t="shared" si="4"/>
        <v>46752</v>
      </c>
      <c r="AR14" s="65">
        <f t="shared" si="4"/>
        <v>46783</v>
      </c>
      <c r="AS14" s="65">
        <f t="shared" si="4"/>
        <v>46812</v>
      </c>
      <c r="AT14" s="65">
        <f t="shared" si="4"/>
        <v>46843</v>
      </c>
      <c r="AU14" s="65">
        <f t="shared" si="4"/>
        <v>46873</v>
      </c>
      <c r="AV14" s="65">
        <f t="shared" si="4"/>
        <v>46904</v>
      </c>
      <c r="AW14" s="65">
        <f t="shared" si="4"/>
        <v>46934</v>
      </c>
      <c r="AX14" s="65">
        <f t="shared" si="4"/>
        <v>46965</v>
      </c>
      <c r="AY14" s="65">
        <f t="shared" si="4"/>
        <v>46996</v>
      </c>
      <c r="AZ14" s="65">
        <f t="shared" si="4"/>
        <v>47026</v>
      </c>
      <c r="BA14" s="65">
        <f t="shared" si="4"/>
        <v>47057</v>
      </c>
      <c r="BB14" s="65">
        <f t="shared" si="4"/>
        <v>47087</v>
      </c>
      <c r="BC14" s="65">
        <f t="shared" si="4"/>
        <v>47118</v>
      </c>
      <c r="BD14" s="65">
        <f t="shared" si="4"/>
        <v>47149</v>
      </c>
      <c r="BE14" s="65">
        <f t="shared" si="4"/>
        <v>47177</v>
      </c>
      <c r="BF14" s="65">
        <f t="shared" si="4"/>
        <v>47208</v>
      </c>
      <c r="BG14" s="65">
        <f t="shared" si="4"/>
        <v>47238</v>
      </c>
      <c r="BH14" s="65">
        <f t="shared" si="4"/>
        <v>47269</v>
      </c>
      <c r="BI14" s="65">
        <f t="shared" si="4"/>
        <v>47299</v>
      </c>
      <c r="BJ14" s="65">
        <f t="shared" si="4"/>
        <v>47330</v>
      </c>
      <c r="BK14" s="65">
        <f t="shared" si="4"/>
        <v>47361</v>
      </c>
      <c r="BL14" s="65">
        <f t="shared" si="4"/>
        <v>47391</v>
      </c>
      <c r="BM14" s="65">
        <f t="shared" si="4"/>
        <v>47422</v>
      </c>
      <c r="BN14" s="65">
        <f t="shared" si="4"/>
        <v>47452</v>
      </c>
      <c r="BO14" s="65">
        <f t="shared" si="4"/>
        <v>47483</v>
      </c>
      <c r="BP14" s="65">
        <f t="shared" si="4"/>
        <v>47514</v>
      </c>
      <c r="BQ14" s="65">
        <f t="shared" si="4"/>
        <v>47542</v>
      </c>
      <c r="BR14" s="65">
        <f t="shared" si="4"/>
        <v>47573</v>
      </c>
      <c r="BS14" s="65">
        <f t="shared" si="4"/>
        <v>47603</v>
      </c>
      <c r="BT14" s="65">
        <f t="shared" si="4"/>
        <v>47634</v>
      </c>
      <c r="BU14" s="65">
        <f t="shared" si="4"/>
        <v>47664</v>
      </c>
      <c r="BV14" s="65">
        <f t="shared" ref="BV14:DB14" si="5">EOMONTH(BU14,1)</f>
        <v>47695</v>
      </c>
      <c r="BW14" s="65">
        <f t="shared" si="5"/>
        <v>47726</v>
      </c>
      <c r="BX14" s="65">
        <f t="shared" si="5"/>
        <v>47756</v>
      </c>
      <c r="BY14" s="65">
        <f t="shared" si="5"/>
        <v>47787</v>
      </c>
      <c r="BZ14" s="65">
        <f t="shared" si="5"/>
        <v>47817</v>
      </c>
      <c r="CA14" s="65">
        <f t="shared" si="5"/>
        <v>47848</v>
      </c>
      <c r="CB14" s="65">
        <f t="shared" si="5"/>
        <v>47879</v>
      </c>
      <c r="CC14" s="65">
        <f t="shared" si="5"/>
        <v>47907</v>
      </c>
      <c r="CD14" s="65">
        <f t="shared" si="5"/>
        <v>47938</v>
      </c>
      <c r="CE14" s="65">
        <f t="shared" si="5"/>
        <v>47968</v>
      </c>
      <c r="CF14" s="65">
        <f t="shared" si="5"/>
        <v>47999</v>
      </c>
      <c r="CG14" s="65">
        <f t="shared" si="5"/>
        <v>48029</v>
      </c>
      <c r="CH14" s="65">
        <f t="shared" si="5"/>
        <v>48060</v>
      </c>
      <c r="CI14" s="65">
        <f t="shared" si="5"/>
        <v>48091</v>
      </c>
      <c r="CJ14" s="65">
        <f t="shared" si="5"/>
        <v>48121</v>
      </c>
      <c r="CK14" s="65">
        <f t="shared" si="5"/>
        <v>48152</v>
      </c>
      <c r="CL14" s="65">
        <f t="shared" si="5"/>
        <v>48182</v>
      </c>
      <c r="CM14" s="65">
        <f t="shared" si="5"/>
        <v>48213</v>
      </c>
      <c r="CN14" s="65">
        <f t="shared" si="5"/>
        <v>48244</v>
      </c>
      <c r="CO14" s="65">
        <f t="shared" si="5"/>
        <v>48273</v>
      </c>
      <c r="CP14" s="65">
        <f t="shared" si="5"/>
        <v>48304</v>
      </c>
      <c r="CQ14" s="65">
        <f t="shared" si="5"/>
        <v>48334</v>
      </c>
      <c r="CR14" s="65">
        <f t="shared" si="5"/>
        <v>48365</v>
      </c>
      <c r="CS14" s="65">
        <f t="shared" si="5"/>
        <v>48395</v>
      </c>
      <c r="CT14" s="65">
        <f t="shared" si="5"/>
        <v>48426</v>
      </c>
      <c r="CU14" s="65">
        <f t="shared" si="5"/>
        <v>48457</v>
      </c>
      <c r="CV14" s="65">
        <f t="shared" si="5"/>
        <v>48487</v>
      </c>
      <c r="CW14" s="65">
        <f t="shared" si="5"/>
        <v>48518</v>
      </c>
      <c r="CX14" s="65">
        <f t="shared" si="5"/>
        <v>48548</v>
      </c>
      <c r="CY14" s="65">
        <f t="shared" si="5"/>
        <v>48579</v>
      </c>
      <c r="CZ14" s="65">
        <f t="shared" si="5"/>
        <v>48610</v>
      </c>
      <c r="DA14" s="65">
        <f t="shared" si="5"/>
        <v>48638</v>
      </c>
      <c r="DB14" s="65">
        <f t="shared" si="5"/>
        <v>48669</v>
      </c>
    </row>
    <row r="15" spans="1:106" ht="17" customHeight="1">
      <c r="B15" s="64"/>
      <c r="C15" s="64"/>
      <c r="D15" s="64"/>
      <c r="E15" s="64"/>
      <c r="F15" s="64" t="s">
        <v>94</v>
      </c>
      <c r="G15" s="64"/>
      <c r="H15" s="66">
        <f>SUMIFS($I$8:$X$8,$I$9:$X$9,"&lt;="&amp;H$14,$I$10:$X$10,"&gt;="&amp;H$14)</f>
        <v>0</v>
      </c>
      <c r="I15" s="66">
        <f t="shared" ref="I15:BT15" si="6">SUMIFS($I$8:$X$8,$I$9:$X$9,"&lt;="&amp;I$14,$I$10:$X$10,"&gt;="&amp;I$14)</f>
        <v>1</v>
      </c>
      <c r="J15" s="66">
        <f t="shared" si="6"/>
        <v>1</v>
      </c>
      <c r="K15" s="66">
        <f t="shared" si="6"/>
        <v>1</v>
      </c>
      <c r="L15" s="66">
        <f t="shared" si="6"/>
        <v>1</v>
      </c>
      <c r="M15" s="66">
        <f t="shared" si="6"/>
        <v>1</v>
      </c>
      <c r="N15" s="66">
        <f t="shared" si="6"/>
        <v>1</v>
      </c>
      <c r="O15" s="66">
        <f t="shared" si="6"/>
        <v>2</v>
      </c>
      <c r="P15" s="66">
        <f t="shared" si="6"/>
        <v>2</v>
      </c>
      <c r="Q15" s="66">
        <f t="shared" si="6"/>
        <v>2</v>
      </c>
      <c r="R15" s="66">
        <f t="shared" si="6"/>
        <v>2</v>
      </c>
      <c r="S15" s="66">
        <f t="shared" si="6"/>
        <v>2</v>
      </c>
      <c r="T15" s="66">
        <f t="shared" si="6"/>
        <v>2</v>
      </c>
      <c r="U15" s="66">
        <f t="shared" si="6"/>
        <v>3</v>
      </c>
      <c r="V15" s="66">
        <f t="shared" si="6"/>
        <v>3</v>
      </c>
      <c r="W15" s="66">
        <f t="shared" si="6"/>
        <v>3</v>
      </c>
      <c r="X15" s="66">
        <f t="shared" si="6"/>
        <v>3</v>
      </c>
      <c r="Y15" s="66">
        <f t="shared" si="6"/>
        <v>3</v>
      </c>
      <c r="Z15" s="66">
        <f t="shared" si="6"/>
        <v>3</v>
      </c>
      <c r="AA15" s="66">
        <f t="shared" si="6"/>
        <v>4</v>
      </c>
      <c r="AB15" s="66">
        <f t="shared" si="6"/>
        <v>4</v>
      </c>
      <c r="AC15" s="66">
        <f t="shared" si="6"/>
        <v>4</v>
      </c>
      <c r="AD15" s="66">
        <f t="shared" si="6"/>
        <v>4</v>
      </c>
      <c r="AE15" s="66">
        <f t="shared" si="6"/>
        <v>4</v>
      </c>
      <c r="AF15" s="66">
        <f t="shared" si="6"/>
        <v>4</v>
      </c>
      <c r="AG15" s="66">
        <f t="shared" si="6"/>
        <v>5</v>
      </c>
      <c r="AH15" s="66">
        <f t="shared" si="6"/>
        <v>5</v>
      </c>
      <c r="AI15" s="66">
        <f t="shared" si="6"/>
        <v>5</v>
      </c>
      <c r="AJ15" s="66">
        <f t="shared" si="6"/>
        <v>5</v>
      </c>
      <c r="AK15" s="66">
        <f t="shared" si="6"/>
        <v>5</v>
      </c>
      <c r="AL15" s="66">
        <f t="shared" si="6"/>
        <v>5</v>
      </c>
      <c r="AM15" s="66">
        <f t="shared" si="6"/>
        <v>6</v>
      </c>
      <c r="AN15" s="66">
        <f t="shared" si="6"/>
        <v>6</v>
      </c>
      <c r="AO15" s="66">
        <f t="shared" si="6"/>
        <v>6</v>
      </c>
      <c r="AP15" s="66">
        <f t="shared" si="6"/>
        <v>6</v>
      </c>
      <c r="AQ15" s="66">
        <f t="shared" si="6"/>
        <v>6</v>
      </c>
      <c r="AR15" s="66">
        <f t="shared" si="6"/>
        <v>6</v>
      </c>
      <c r="AS15" s="66">
        <f t="shared" si="6"/>
        <v>7</v>
      </c>
      <c r="AT15" s="66">
        <f t="shared" si="6"/>
        <v>7</v>
      </c>
      <c r="AU15" s="66">
        <f t="shared" si="6"/>
        <v>7</v>
      </c>
      <c r="AV15" s="66">
        <f t="shared" si="6"/>
        <v>7</v>
      </c>
      <c r="AW15" s="66">
        <f t="shared" si="6"/>
        <v>7</v>
      </c>
      <c r="AX15" s="66">
        <f t="shared" si="6"/>
        <v>7</v>
      </c>
      <c r="AY15" s="66">
        <f t="shared" si="6"/>
        <v>8</v>
      </c>
      <c r="AZ15" s="66">
        <f t="shared" si="6"/>
        <v>8</v>
      </c>
      <c r="BA15" s="66">
        <f t="shared" si="6"/>
        <v>8</v>
      </c>
      <c r="BB15" s="66">
        <f t="shared" si="6"/>
        <v>8</v>
      </c>
      <c r="BC15" s="66">
        <f t="shared" si="6"/>
        <v>8</v>
      </c>
      <c r="BD15" s="66">
        <f t="shared" si="6"/>
        <v>8</v>
      </c>
      <c r="BE15" s="66">
        <f t="shared" si="6"/>
        <v>9</v>
      </c>
      <c r="BF15" s="66">
        <f t="shared" si="6"/>
        <v>9</v>
      </c>
      <c r="BG15" s="66">
        <f t="shared" si="6"/>
        <v>9</v>
      </c>
      <c r="BH15" s="66">
        <f t="shared" si="6"/>
        <v>9</v>
      </c>
      <c r="BI15" s="66">
        <f t="shared" si="6"/>
        <v>9</v>
      </c>
      <c r="BJ15" s="66">
        <f t="shared" si="6"/>
        <v>9</v>
      </c>
      <c r="BK15" s="66">
        <f t="shared" si="6"/>
        <v>10</v>
      </c>
      <c r="BL15" s="66">
        <f t="shared" si="6"/>
        <v>10</v>
      </c>
      <c r="BM15" s="66">
        <f t="shared" si="6"/>
        <v>10</v>
      </c>
      <c r="BN15" s="66">
        <f t="shared" si="6"/>
        <v>10</v>
      </c>
      <c r="BO15" s="66">
        <f t="shared" si="6"/>
        <v>10</v>
      </c>
      <c r="BP15" s="66">
        <f t="shared" si="6"/>
        <v>10</v>
      </c>
      <c r="BQ15" s="66">
        <f t="shared" si="6"/>
        <v>11</v>
      </c>
      <c r="BR15" s="66">
        <f t="shared" si="6"/>
        <v>11</v>
      </c>
      <c r="BS15" s="66">
        <f t="shared" si="6"/>
        <v>11</v>
      </c>
      <c r="BT15" s="66">
        <f t="shared" si="6"/>
        <v>11</v>
      </c>
      <c r="BU15" s="66">
        <f t="shared" ref="BU15:DB15" si="7">SUMIFS($I$8:$X$8,$I$9:$X$9,"&lt;="&amp;BU$14,$I$10:$X$10,"&gt;="&amp;BU$14)</f>
        <v>11</v>
      </c>
      <c r="BV15" s="66">
        <f t="shared" si="7"/>
        <v>11</v>
      </c>
      <c r="BW15" s="66">
        <f t="shared" si="7"/>
        <v>12</v>
      </c>
      <c r="BX15" s="66">
        <f t="shared" si="7"/>
        <v>12</v>
      </c>
      <c r="BY15" s="66">
        <f t="shared" si="7"/>
        <v>12</v>
      </c>
      <c r="BZ15" s="66">
        <f t="shared" si="7"/>
        <v>12</v>
      </c>
      <c r="CA15" s="66">
        <f t="shared" si="7"/>
        <v>12</v>
      </c>
      <c r="CB15" s="66">
        <f t="shared" si="7"/>
        <v>12</v>
      </c>
      <c r="CC15" s="66">
        <f t="shared" si="7"/>
        <v>13</v>
      </c>
      <c r="CD15" s="66">
        <f t="shared" si="7"/>
        <v>13</v>
      </c>
      <c r="CE15" s="66">
        <f t="shared" si="7"/>
        <v>13</v>
      </c>
      <c r="CF15" s="66">
        <f t="shared" si="7"/>
        <v>13</v>
      </c>
      <c r="CG15" s="66">
        <f t="shared" si="7"/>
        <v>13</v>
      </c>
      <c r="CH15" s="66">
        <f t="shared" si="7"/>
        <v>13</v>
      </c>
      <c r="CI15" s="66">
        <f t="shared" si="7"/>
        <v>14</v>
      </c>
      <c r="CJ15" s="66">
        <f t="shared" si="7"/>
        <v>14</v>
      </c>
      <c r="CK15" s="66">
        <f t="shared" si="7"/>
        <v>14</v>
      </c>
      <c r="CL15" s="66">
        <f t="shared" si="7"/>
        <v>14</v>
      </c>
      <c r="CM15" s="66">
        <f t="shared" si="7"/>
        <v>14</v>
      </c>
      <c r="CN15" s="66">
        <f t="shared" si="7"/>
        <v>14</v>
      </c>
      <c r="CO15" s="66">
        <f t="shared" si="7"/>
        <v>15</v>
      </c>
      <c r="CP15" s="66">
        <f t="shared" si="7"/>
        <v>15</v>
      </c>
      <c r="CQ15" s="66">
        <f t="shared" si="7"/>
        <v>15</v>
      </c>
      <c r="CR15" s="66">
        <f t="shared" si="7"/>
        <v>15</v>
      </c>
      <c r="CS15" s="66">
        <f t="shared" si="7"/>
        <v>15</v>
      </c>
      <c r="CT15" s="66">
        <f t="shared" si="7"/>
        <v>15</v>
      </c>
      <c r="CU15" s="66">
        <f t="shared" si="7"/>
        <v>16</v>
      </c>
      <c r="CV15" s="66">
        <f t="shared" si="7"/>
        <v>16</v>
      </c>
      <c r="CW15" s="66">
        <f t="shared" si="7"/>
        <v>16</v>
      </c>
      <c r="CX15" s="66">
        <f t="shared" si="7"/>
        <v>16</v>
      </c>
      <c r="CY15" s="66">
        <f t="shared" si="7"/>
        <v>16</v>
      </c>
      <c r="CZ15" s="66">
        <f t="shared" si="7"/>
        <v>16</v>
      </c>
      <c r="DA15" s="66">
        <f t="shared" si="7"/>
        <v>0</v>
      </c>
      <c r="DB15" s="66">
        <f t="shared" si="7"/>
        <v>0</v>
      </c>
    </row>
    <row r="16" spans="1:106" ht="17" customHeight="1">
      <c r="B16" s="67"/>
      <c r="C16" s="67"/>
      <c r="D16" s="67"/>
      <c r="E16" s="67"/>
      <c r="F16" s="67" t="s">
        <v>95</v>
      </c>
      <c r="G16" s="67"/>
      <c r="H16" s="68">
        <f>SUM($H$13:H13)*H11</f>
        <v>0</v>
      </c>
      <c r="I16" s="68">
        <f>SUM($H$13:I13)*I11</f>
        <v>1</v>
      </c>
      <c r="J16" s="68">
        <f>SUM($H$13:J13)*J11</f>
        <v>1</v>
      </c>
      <c r="K16" s="68">
        <f>SUM($H$13:K13)*K11</f>
        <v>1</v>
      </c>
      <c r="L16" s="68">
        <f>SUM($H$13:L13)*L11</f>
        <v>1</v>
      </c>
      <c r="M16" s="68">
        <f>SUM($H$13:M13)*M11</f>
        <v>1</v>
      </c>
      <c r="N16" s="68">
        <f>SUM($H$13:N13)*N11</f>
        <v>1</v>
      </c>
      <c r="O16" s="68">
        <f>SUM($H$13:O13)*O11</f>
        <v>1</v>
      </c>
      <c r="P16" s="68">
        <f>SUM($H$13:P13)*P11</f>
        <v>1</v>
      </c>
      <c r="Q16" s="68">
        <f>SUM($H$13:Q13)*Q11</f>
        <v>1</v>
      </c>
      <c r="R16" s="68">
        <f>SUM($H$13:R13)*R11</f>
        <v>1</v>
      </c>
      <c r="S16" s="68">
        <f>SUM($H$13:S13)*S11</f>
        <v>1</v>
      </c>
      <c r="T16" s="68">
        <f>SUM($H$13:T13)*T11</f>
        <v>1</v>
      </c>
      <c r="U16" s="68">
        <f>SUM($H$13:U13)*U11</f>
        <v>2</v>
      </c>
      <c r="V16" s="68">
        <f>SUM($H$13:V13)*V11</f>
        <v>2</v>
      </c>
      <c r="W16" s="68">
        <f>SUM($H$13:W13)*W11</f>
        <v>2</v>
      </c>
      <c r="X16" s="68">
        <f>SUM($H$13:X13)*X11</f>
        <v>2</v>
      </c>
      <c r="Y16" s="68">
        <f>SUM($H$13:Y13)*Y11</f>
        <v>2</v>
      </c>
      <c r="Z16" s="68">
        <f>SUM($H$13:Z13)*Z11</f>
        <v>2</v>
      </c>
      <c r="AA16" s="68">
        <f>SUM($H$13:AA13)*AA11</f>
        <v>2</v>
      </c>
      <c r="AB16" s="68">
        <f>SUM($H$13:AB13)*AB11</f>
        <v>2</v>
      </c>
      <c r="AC16" s="68">
        <f>SUM($H$13:AC13)*AC11</f>
        <v>2</v>
      </c>
      <c r="AD16" s="68">
        <f>SUM($H$13:AD13)*AD11</f>
        <v>2</v>
      </c>
      <c r="AE16" s="68">
        <f>SUM($H$13:AE13)*AE11</f>
        <v>2</v>
      </c>
      <c r="AF16" s="68">
        <f>SUM($H$13:AF13)*AF11</f>
        <v>2</v>
      </c>
      <c r="AG16" s="68">
        <f>SUM($H$13:AG13)*AG11</f>
        <v>3</v>
      </c>
      <c r="AH16" s="68">
        <f>SUM($H$13:AH13)*AH11</f>
        <v>3</v>
      </c>
      <c r="AI16" s="68">
        <f>SUM($H$13:AI13)*AI11</f>
        <v>3</v>
      </c>
      <c r="AJ16" s="68">
        <f>SUM($H$13:AJ13)*AJ11</f>
        <v>3</v>
      </c>
      <c r="AK16" s="68">
        <f>SUM($H$13:AK13)*AK11</f>
        <v>3</v>
      </c>
      <c r="AL16" s="68">
        <f>SUM($H$13:AL13)*AL11</f>
        <v>3</v>
      </c>
      <c r="AM16" s="68">
        <f>SUM($H$13:AM13)*AM11</f>
        <v>3</v>
      </c>
      <c r="AN16" s="68">
        <f>SUM($H$13:AN13)*AN11</f>
        <v>3</v>
      </c>
      <c r="AO16" s="68">
        <f>SUM($H$13:AO13)*AO11</f>
        <v>3</v>
      </c>
      <c r="AP16" s="68">
        <f>SUM($H$13:AP13)*AP11</f>
        <v>3</v>
      </c>
      <c r="AQ16" s="68">
        <f>SUM($H$13:AQ13)*AQ11</f>
        <v>3</v>
      </c>
      <c r="AR16" s="68">
        <f>SUM($H$13:AR13)*AR11</f>
        <v>3</v>
      </c>
      <c r="AS16" s="68">
        <f>SUM($H$13:AS13)*AS11</f>
        <v>4</v>
      </c>
      <c r="AT16" s="68">
        <f>SUM($H$13:AT13)*AT11</f>
        <v>4</v>
      </c>
      <c r="AU16" s="68">
        <f>SUM($H$13:AU13)*AU11</f>
        <v>4</v>
      </c>
      <c r="AV16" s="68">
        <f>SUM($H$13:AV13)*AV11</f>
        <v>4</v>
      </c>
      <c r="AW16" s="68">
        <f>SUM($H$13:AW13)*AW11</f>
        <v>4</v>
      </c>
      <c r="AX16" s="68">
        <f>SUM($H$13:AX13)*AX11</f>
        <v>4</v>
      </c>
      <c r="AY16" s="68">
        <f>SUM($H$13:AY13)*AY11</f>
        <v>4</v>
      </c>
      <c r="AZ16" s="68">
        <f>SUM($H$13:AZ13)*AZ11</f>
        <v>4</v>
      </c>
      <c r="BA16" s="68">
        <f>SUM($H$13:BA13)*BA11</f>
        <v>4</v>
      </c>
      <c r="BB16" s="68">
        <f>SUM($H$13:BB13)*BB11</f>
        <v>4</v>
      </c>
      <c r="BC16" s="68">
        <f>SUM($H$13:BC13)*BC11</f>
        <v>4</v>
      </c>
      <c r="BD16" s="68">
        <f>SUM($H$13:BD13)*BD11</f>
        <v>4</v>
      </c>
      <c r="BE16" s="68">
        <f>SUM($H$13:BE13)*BE11</f>
        <v>5</v>
      </c>
      <c r="BF16" s="68">
        <f>SUM($H$13:BF13)*BF11</f>
        <v>5</v>
      </c>
      <c r="BG16" s="68">
        <f>SUM($H$13:BG13)*BG11</f>
        <v>5</v>
      </c>
      <c r="BH16" s="68">
        <f>SUM($H$13:BH13)*BH11</f>
        <v>5</v>
      </c>
      <c r="BI16" s="68">
        <f>SUM($H$13:BI13)*BI11</f>
        <v>5</v>
      </c>
      <c r="BJ16" s="68">
        <f>SUM($H$13:BJ13)*BJ11</f>
        <v>5</v>
      </c>
      <c r="BK16" s="68">
        <f>SUM($H$13:BK13)*BK11</f>
        <v>5</v>
      </c>
      <c r="BL16" s="68">
        <f>SUM($H$13:BL13)*BL11</f>
        <v>5</v>
      </c>
      <c r="BM16" s="68">
        <f>SUM($H$13:BM13)*BM11</f>
        <v>5</v>
      </c>
      <c r="BN16" s="68">
        <f>SUM($H$13:BN13)*BN11</f>
        <v>5</v>
      </c>
      <c r="BO16" s="68">
        <f>SUM($H$13:BO13)*BO11</f>
        <v>5</v>
      </c>
      <c r="BP16" s="68">
        <f>SUM($H$13:BP13)*BP11</f>
        <v>5</v>
      </c>
      <c r="BQ16" s="68">
        <f>SUM($H$13:BQ13)*BQ11</f>
        <v>0</v>
      </c>
      <c r="BR16" s="68">
        <f>SUM($H$13:BR13)*BR11</f>
        <v>0</v>
      </c>
      <c r="BS16" s="68">
        <f>SUM($H$13:BS13)*BS11</f>
        <v>0</v>
      </c>
      <c r="BT16" s="68">
        <f>SUM($H$13:BT13)*BT11</f>
        <v>0</v>
      </c>
      <c r="BU16" s="68">
        <f>SUM($H$13:BU13)*BU11</f>
        <v>0</v>
      </c>
      <c r="BV16" s="68">
        <f>SUM($H$13:BV13)*BV11</f>
        <v>0</v>
      </c>
      <c r="BW16" s="68">
        <f>SUM($H$13:BW13)*BW11</f>
        <v>0</v>
      </c>
      <c r="BX16" s="68">
        <f>SUM($H$13:BX13)*BX11</f>
        <v>0</v>
      </c>
      <c r="BY16" s="68">
        <f>SUM($H$13:BY13)*BY11</f>
        <v>0</v>
      </c>
      <c r="BZ16" s="68">
        <f>SUM($H$13:BZ13)*BZ11</f>
        <v>0</v>
      </c>
      <c r="CA16" s="68">
        <f>SUM($H$13:CA13)*CA11</f>
        <v>0</v>
      </c>
      <c r="CB16" s="68">
        <f>SUM($H$13:CB13)*CB11</f>
        <v>0</v>
      </c>
      <c r="CC16" s="68">
        <f>SUM($H$13:CC13)*CC11</f>
        <v>0</v>
      </c>
      <c r="CD16" s="68">
        <f>SUM($H$13:CD13)*CD11</f>
        <v>0</v>
      </c>
      <c r="CE16" s="68">
        <f>SUM($H$13:CE13)*CE11</f>
        <v>0</v>
      </c>
      <c r="CF16" s="68">
        <f>SUM($H$13:CF13)*CF11</f>
        <v>0</v>
      </c>
      <c r="CG16" s="68">
        <f>SUM($H$13:CG13)*CG11</f>
        <v>0</v>
      </c>
      <c r="CH16" s="68">
        <f>SUM($H$13:CH13)*CH11</f>
        <v>0</v>
      </c>
      <c r="CI16" s="68">
        <f>SUM($H$13:CI13)*CI11</f>
        <v>0</v>
      </c>
      <c r="CJ16" s="68">
        <f>SUM($H$13:CJ13)*CJ11</f>
        <v>0</v>
      </c>
      <c r="CK16" s="68">
        <f>SUM($H$13:CK13)*CK11</f>
        <v>0</v>
      </c>
      <c r="CL16" s="68">
        <f>SUM($H$13:CL13)*CL11</f>
        <v>0</v>
      </c>
      <c r="CM16" s="68">
        <f>SUM($H$13:CM13)*CM11</f>
        <v>0</v>
      </c>
      <c r="CN16" s="68">
        <f>SUM($H$13:CN13)*CN11</f>
        <v>0</v>
      </c>
      <c r="CO16" s="68">
        <f>SUM($H$13:CO13)*CO11</f>
        <v>0</v>
      </c>
      <c r="CP16" s="68">
        <f>SUM($H$13:CP13)*CP11</f>
        <v>0</v>
      </c>
      <c r="CQ16" s="68">
        <f>SUM($H$13:CQ13)*CQ11</f>
        <v>0</v>
      </c>
      <c r="CR16" s="68">
        <f>SUM($H$13:CR13)*CR11</f>
        <v>0</v>
      </c>
      <c r="CS16" s="68">
        <f>SUM($H$13:CS13)*CS11</f>
        <v>0</v>
      </c>
      <c r="CT16" s="68">
        <f>SUM($H$13:CT13)*CT11</f>
        <v>0</v>
      </c>
      <c r="CU16" s="68">
        <f>SUM($H$13:CU13)*CU11</f>
        <v>0</v>
      </c>
      <c r="CV16" s="68">
        <f>SUM($H$13:CV13)*CV11</f>
        <v>0</v>
      </c>
      <c r="CW16" s="68">
        <f>SUM($H$13:CW13)*CW11</f>
        <v>0</v>
      </c>
      <c r="CX16" s="68">
        <f>SUM($H$13:CX13)*CX11</f>
        <v>0</v>
      </c>
      <c r="CY16" s="68">
        <f>SUM($H$13:CY13)*CY11</f>
        <v>0</v>
      </c>
      <c r="CZ16" s="68">
        <f>SUM($H$13:CZ13)*CZ11</f>
        <v>0</v>
      </c>
      <c r="DA16" s="68">
        <f>SUM($H$13:DA13)*DA11</f>
        <v>0</v>
      </c>
      <c r="DB16" s="68">
        <f>SUM($H$13:DB13)*DB11</f>
        <v>0</v>
      </c>
    </row>
    <row r="17" spans="2:106">
      <c r="B17" s="2" t="str">
        <f>'A&amp;R'!U11</f>
        <v>PM Fee</v>
      </c>
    </row>
    <row r="18" spans="2:106">
      <c r="C18" s="13" t="s">
        <v>174</v>
      </c>
      <c r="E18" s="118">
        <f>'A&amp;R'!$M$20</f>
        <v>7585.49</v>
      </c>
      <c r="H18" s="13">
        <f>$E$18*H$11</f>
        <v>0</v>
      </c>
      <c r="I18" s="13">
        <f t="shared" ref="I18:BT18" si="8">$E$18*I$11</f>
        <v>7585.49</v>
      </c>
      <c r="J18" s="13">
        <f t="shared" si="8"/>
        <v>7585.49</v>
      </c>
      <c r="K18" s="13">
        <f t="shared" si="8"/>
        <v>7585.49</v>
      </c>
      <c r="L18" s="13">
        <f t="shared" si="8"/>
        <v>7585.49</v>
      </c>
      <c r="M18" s="13">
        <f t="shared" si="8"/>
        <v>7585.49</v>
      </c>
      <c r="N18" s="13">
        <f t="shared" si="8"/>
        <v>7585.49</v>
      </c>
      <c r="O18" s="13">
        <f t="shared" si="8"/>
        <v>7585.49</v>
      </c>
      <c r="P18" s="13">
        <f t="shared" si="8"/>
        <v>7585.49</v>
      </c>
      <c r="Q18" s="13">
        <f t="shared" si="8"/>
        <v>7585.49</v>
      </c>
      <c r="R18" s="13">
        <f t="shared" si="8"/>
        <v>7585.49</v>
      </c>
      <c r="S18" s="13">
        <f t="shared" si="8"/>
        <v>7585.49</v>
      </c>
      <c r="T18" s="13">
        <f t="shared" si="8"/>
        <v>7585.49</v>
      </c>
      <c r="U18" s="13">
        <f t="shared" si="8"/>
        <v>7585.49</v>
      </c>
      <c r="V18" s="13">
        <f t="shared" si="8"/>
        <v>7585.49</v>
      </c>
      <c r="W18" s="13">
        <f t="shared" si="8"/>
        <v>7585.49</v>
      </c>
      <c r="X18" s="13">
        <f t="shared" si="8"/>
        <v>7585.49</v>
      </c>
      <c r="Y18" s="13">
        <f t="shared" si="8"/>
        <v>7585.49</v>
      </c>
      <c r="Z18" s="13">
        <f t="shared" si="8"/>
        <v>7585.49</v>
      </c>
      <c r="AA18" s="13">
        <f t="shared" si="8"/>
        <v>7585.49</v>
      </c>
      <c r="AB18" s="13">
        <f t="shared" si="8"/>
        <v>7585.49</v>
      </c>
      <c r="AC18" s="13">
        <f t="shared" si="8"/>
        <v>7585.49</v>
      </c>
      <c r="AD18" s="13">
        <f t="shared" si="8"/>
        <v>7585.49</v>
      </c>
      <c r="AE18" s="13">
        <f t="shared" si="8"/>
        <v>7585.49</v>
      </c>
      <c r="AF18" s="13">
        <f t="shared" si="8"/>
        <v>7585.49</v>
      </c>
      <c r="AG18" s="13">
        <f t="shared" si="8"/>
        <v>7585.49</v>
      </c>
      <c r="AH18" s="13">
        <f t="shared" si="8"/>
        <v>7585.49</v>
      </c>
      <c r="AI18" s="13">
        <f t="shared" si="8"/>
        <v>7585.49</v>
      </c>
      <c r="AJ18" s="13">
        <f t="shared" si="8"/>
        <v>7585.49</v>
      </c>
      <c r="AK18" s="13">
        <f t="shared" si="8"/>
        <v>7585.49</v>
      </c>
      <c r="AL18" s="13">
        <f t="shared" si="8"/>
        <v>7585.49</v>
      </c>
      <c r="AM18" s="13">
        <f t="shared" si="8"/>
        <v>7585.49</v>
      </c>
      <c r="AN18" s="13">
        <f t="shared" si="8"/>
        <v>7585.49</v>
      </c>
      <c r="AO18" s="13">
        <f t="shared" si="8"/>
        <v>7585.49</v>
      </c>
      <c r="AP18" s="13">
        <f t="shared" si="8"/>
        <v>7585.49</v>
      </c>
      <c r="AQ18" s="13">
        <f t="shared" si="8"/>
        <v>7585.49</v>
      </c>
      <c r="AR18" s="13">
        <f t="shared" si="8"/>
        <v>7585.49</v>
      </c>
      <c r="AS18" s="13">
        <f t="shared" si="8"/>
        <v>7585.49</v>
      </c>
      <c r="AT18" s="13">
        <f t="shared" si="8"/>
        <v>7585.49</v>
      </c>
      <c r="AU18" s="13">
        <f t="shared" si="8"/>
        <v>7585.49</v>
      </c>
      <c r="AV18" s="13">
        <f t="shared" si="8"/>
        <v>7585.49</v>
      </c>
      <c r="AW18" s="13">
        <f t="shared" si="8"/>
        <v>7585.49</v>
      </c>
      <c r="AX18" s="13">
        <f t="shared" si="8"/>
        <v>7585.49</v>
      </c>
      <c r="AY18" s="13">
        <f t="shared" si="8"/>
        <v>7585.49</v>
      </c>
      <c r="AZ18" s="13">
        <f t="shared" si="8"/>
        <v>7585.49</v>
      </c>
      <c r="BA18" s="13">
        <f t="shared" si="8"/>
        <v>7585.49</v>
      </c>
      <c r="BB18" s="13">
        <f t="shared" si="8"/>
        <v>7585.49</v>
      </c>
      <c r="BC18" s="13">
        <f t="shared" si="8"/>
        <v>7585.49</v>
      </c>
      <c r="BD18" s="13">
        <f t="shared" si="8"/>
        <v>7585.49</v>
      </c>
      <c r="BE18" s="13">
        <f t="shared" si="8"/>
        <v>7585.49</v>
      </c>
      <c r="BF18" s="13">
        <f t="shared" si="8"/>
        <v>7585.49</v>
      </c>
      <c r="BG18" s="13">
        <f t="shared" si="8"/>
        <v>7585.49</v>
      </c>
      <c r="BH18" s="13">
        <f t="shared" si="8"/>
        <v>7585.49</v>
      </c>
      <c r="BI18" s="13">
        <f t="shared" si="8"/>
        <v>7585.49</v>
      </c>
      <c r="BJ18" s="13">
        <f t="shared" si="8"/>
        <v>7585.49</v>
      </c>
      <c r="BK18" s="13">
        <f t="shared" si="8"/>
        <v>7585.49</v>
      </c>
      <c r="BL18" s="13">
        <f t="shared" si="8"/>
        <v>7585.49</v>
      </c>
      <c r="BM18" s="13">
        <f t="shared" si="8"/>
        <v>7585.49</v>
      </c>
      <c r="BN18" s="13">
        <f t="shared" si="8"/>
        <v>7585.49</v>
      </c>
      <c r="BO18" s="13">
        <f t="shared" si="8"/>
        <v>7585.49</v>
      </c>
      <c r="BP18" s="13">
        <f t="shared" si="8"/>
        <v>7585.49</v>
      </c>
      <c r="BQ18" s="13">
        <f t="shared" si="8"/>
        <v>0</v>
      </c>
      <c r="BR18" s="13">
        <f t="shared" si="8"/>
        <v>0</v>
      </c>
      <c r="BS18" s="13">
        <f t="shared" si="8"/>
        <v>0</v>
      </c>
      <c r="BT18" s="13">
        <f t="shared" si="8"/>
        <v>0</v>
      </c>
      <c r="BU18" s="13">
        <f t="shared" ref="BU18:DB18" si="9">$E$18*BU$11</f>
        <v>0</v>
      </c>
      <c r="BV18" s="13">
        <f t="shared" si="9"/>
        <v>0</v>
      </c>
      <c r="BW18" s="13">
        <f t="shared" si="9"/>
        <v>0</v>
      </c>
      <c r="BX18" s="13">
        <f t="shared" si="9"/>
        <v>0</v>
      </c>
      <c r="BY18" s="13">
        <f t="shared" si="9"/>
        <v>0</v>
      </c>
      <c r="BZ18" s="13">
        <f t="shared" si="9"/>
        <v>0</v>
      </c>
      <c r="CA18" s="13">
        <f t="shared" si="9"/>
        <v>0</v>
      </c>
      <c r="CB18" s="13">
        <f t="shared" si="9"/>
        <v>0</v>
      </c>
      <c r="CC18" s="13">
        <f t="shared" si="9"/>
        <v>0</v>
      </c>
      <c r="CD18" s="13">
        <f t="shared" si="9"/>
        <v>0</v>
      </c>
      <c r="CE18" s="13">
        <f t="shared" si="9"/>
        <v>0</v>
      </c>
      <c r="CF18" s="13">
        <f t="shared" si="9"/>
        <v>0</v>
      </c>
      <c r="CG18" s="13">
        <f t="shared" si="9"/>
        <v>0</v>
      </c>
      <c r="CH18" s="13">
        <f t="shared" si="9"/>
        <v>0</v>
      </c>
      <c r="CI18" s="13">
        <f t="shared" si="9"/>
        <v>0</v>
      </c>
      <c r="CJ18" s="13">
        <f t="shared" si="9"/>
        <v>0</v>
      </c>
      <c r="CK18" s="13">
        <f t="shared" si="9"/>
        <v>0</v>
      </c>
      <c r="CL18" s="13">
        <f t="shared" si="9"/>
        <v>0</v>
      </c>
      <c r="CM18" s="13">
        <f t="shared" si="9"/>
        <v>0</v>
      </c>
      <c r="CN18" s="13">
        <f t="shared" si="9"/>
        <v>0</v>
      </c>
      <c r="CO18" s="13">
        <f t="shared" si="9"/>
        <v>0</v>
      </c>
      <c r="CP18" s="13">
        <f t="shared" si="9"/>
        <v>0</v>
      </c>
      <c r="CQ18" s="13">
        <f t="shared" si="9"/>
        <v>0</v>
      </c>
      <c r="CR18" s="13">
        <f t="shared" si="9"/>
        <v>0</v>
      </c>
      <c r="CS18" s="13">
        <f t="shared" si="9"/>
        <v>0</v>
      </c>
      <c r="CT18" s="13">
        <f t="shared" si="9"/>
        <v>0</v>
      </c>
      <c r="CU18" s="13">
        <f t="shared" si="9"/>
        <v>0</v>
      </c>
      <c r="CV18" s="13">
        <f t="shared" si="9"/>
        <v>0</v>
      </c>
      <c r="CW18" s="13">
        <f t="shared" si="9"/>
        <v>0</v>
      </c>
      <c r="CX18" s="13">
        <f t="shared" si="9"/>
        <v>0</v>
      </c>
      <c r="CY18" s="13">
        <f t="shared" si="9"/>
        <v>0</v>
      </c>
      <c r="CZ18" s="13">
        <f t="shared" si="9"/>
        <v>0</v>
      </c>
      <c r="DA18" s="13">
        <f t="shared" si="9"/>
        <v>0</v>
      </c>
      <c r="DB18" s="13">
        <f t="shared" si="9"/>
        <v>0</v>
      </c>
    </row>
    <row r="19" spans="2:106">
      <c r="C19" s="13" t="s">
        <v>175</v>
      </c>
      <c r="E19" s="119">
        <f>'A&amp;R'!$W$11</f>
        <v>900</v>
      </c>
      <c r="H19" s="13">
        <f>$E$19*(1+'A&amp;R'!$Y$11)^(H$16-1)*H$11</f>
        <v>0</v>
      </c>
      <c r="I19" s="13">
        <f>$E$19*(1+'A&amp;R'!$Y$11)^(I$16-1)*I$11</f>
        <v>900</v>
      </c>
      <c r="J19" s="13">
        <f>$E$19*(1+'A&amp;R'!$Y$11)^(J$16-1)*J$11</f>
        <v>900</v>
      </c>
      <c r="K19" s="13">
        <f>$E$19*(1+'A&amp;R'!$Y$11)^(K$16-1)*K$11</f>
        <v>900</v>
      </c>
      <c r="L19" s="13">
        <f>$E$19*(1+'A&amp;R'!$Y$11)^(L$16-1)*L$11</f>
        <v>900</v>
      </c>
      <c r="M19" s="13">
        <f>$E$19*(1+'A&amp;R'!$Y$11)^(M$16-1)*M$11</f>
        <v>900</v>
      </c>
      <c r="N19" s="13">
        <f>$E$19*(1+'A&amp;R'!$Y$11)^(N$16-1)*N$11</f>
        <v>900</v>
      </c>
      <c r="O19" s="13">
        <f>$E$19*(1+'A&amp;R'!$Y$11)^(O$16-1)*O$11</f>
        <v>900</v>
      </c>
      <c r="P19" s="13">
        <f>$E$19*(1+'A&amp;R'!$Y$11)^(P$16-1)*P$11</f>
        <v>900</v>
      </c>
      <c r="Q19" s="13">
        <f>$E$19*(1+'A&amp;R'!$Y$11)^(Q$16-1)*Q$11</f>
        <v>900</v>
      </c>
      <c r="R19" s="13">
        <f>$E$19*(1+'A&amp;R'!$Y$11)^(R$16-1)*R$11</f>
        <v>900</v>
      </c>
      <c r="S19" s="13">
        <f>$E$19*(1+'A&amp;R'!$Y$11)^(S$16-1)*S$11</f>
        <v>900</v>
      </c>
      <c r="T19" s="13">
        <f>$E$19*(1+'A&amp;R'!$Y$11)^(T$16-1)*T$11</f>
        <v>900</v>
      </c>
      <c r="U19" s="13">
        <f>$E$19*(1+'A&amp;R'!$Y$11)^(U$16-1)*U$11</f>
        <v>922.49999999999989</v>
      </c>
      <c r="V19" s="13">
        <f>$E$19*(1+'A&amp;R'!$Y$11)^(V$16-1)*V$11</f>
        <v>922.49999999999989</v>
      </c>
      <c r="W19" s="13">
        <f>$E$19*(1+'A&amp;R'!$Y$11)^(W$16-1)*W$11</f>
        <v>922.49999999999989</v>
      </c>
      <c r="X19" s="13">
        <f>$E$19*(1+'A&amp;R'!$Y$11)^(X$16-1)*X$11</f>
        <v>922.49999999999989</v>
      </c>
      <c r="Y19" s="13">
        <f>$E$19*(1+'A&amp;R'!$Y$11)^(Y$16-1)*Y$11</f>
        <v>922.49999999999989</v>
      </c>
      <c r="Z19" s="13">
        <f>$E$19*(1+'A&amp;R'!$Y$11)^(Z$16-1)*Z$11</f>
        <v>922.49999999999989</v>
      </c>
      <c r="AA19" s="13">
        <f>$E$19*(1+'A&amp;R'!$Y$11)^(AA$16-1)*AA$11</f>
        <v>922.49999999999989</v>
      </c>
      <c r="AB19" s="13">
        <f>$E$19*(1+'A&amp;R'!$Y$11)^(AB$16-1)*AB$11</f>
        <v>922.49999999999989</v>
      </c>
      <c r="AC19" s="13">
        <f>$E$19*(1+'A&amp;R'!$Y$11)^(AC$16-1)*AC$11</f>
        <v>922.49999999999989</v>
      </c>
      <c r="AD19" s="13">
        <f>$E$19*(1+'A&amp;R'!$Y$11)^(AD$16-1)*AD$11</f>
        <v>922.49999999999989</v>
      </c>
      <c r="AE19" s="13">
        <f>$E$19*(1+'A&amp;R'!$Y$11)^(AE$16-1)*AE$11</f>
        <v>922.49999999999989</v>
      </c>
      <c r="AF19" s="13">
        <f>$E$19*(1+'A&amp;R'!$Y$11)^(AF$16-1)*AF$11</f>
        <v>922.49999999999989</v>
      </c>
      <c r="AG19" s="13">
        <f>$E$19*(1+'A&amp;R'!$Y$11)^(AG$16-1)*AG$11</f>
        <v>945.56249999999989</v>
      </c>
      <c r="AH19" s="13">
        <f>$E$19*(1+'A&amp;R'!$Y$11)^(AH$16-1)*AH$11</f>
        <v>945.56249999999989</v>
      </c>
      <c r="AI19" s="13">
        <f>$E$19*(1+'A&amp;R'!$Y$11)^(AI$16-1)*AI$11</f>
        <v>945.56249999999989</v>
      </c>
      <c r="AJ19" s="13">
        <f>$E$19*(1+'A&amp;R'!$Y$11)^(AJ$16-1)*AJ$11</f>
        <v>945.56249999999989</v>
      </c>
      <c r="AK19" s="13">
        <f>$E$19*(1+'A&amp;R'!$Y$11)^(AK$16-1)*AK$11</f>
        <v>945.56249999999989</v>
      </c>
      <c r="AL19" s="13">
        <f>$E$19*(1+'A&amp;R'!$Y$11)^(AL$16-1)*AL$11</f>
        <v>945.56249999999989</v>
      </c>
      <c r="AM19" s="13">
        <f>$E$19*(1+'A&amp;R'!$Y$11)^(AM$16-1)*AM$11</f>
        <v>945.56249999999989</v>
      </c>
      <c r="AN19" s="13">
        <f>$E$19*(1+'A&amp;R'!$Y$11)^(AN$16-1)*AN$11</f>
        <v>945.56249999999989</v>
      </c>
      <c r="AO19" s="13">
        <f>$E$19*(1+'A&amp;R'!$Y$11)^(AO$16-1)*AO$11</f>
        <v>945.56249999999989</v>
      </c>
      <c r="AP19" s="13">
        <f>$E$19*(1+'A&amp;R'!$Y$11)^(AP$16-1)*AP$11</f>
        <v>945.56249999999989</v>
      </c>
      <c r="AQ19" s="13">
        <f>$E$19*(1+'A&amp;R'!$Y$11)^(AQ$16-1)*AQ$11</f>
        <v>945.56249999999989</v>
      </c>
      <c r="AR19" s="13">
        <f>$E$19*(1+'A&amp;R'!$Y$11)^(AR$16-1)*AR$11</f>
        <v>945.56249999999989</v>
      </c>
      <c r="AS19" s="13">
        <f>$E$19*(1+'A&amp;R'!$Y$11)^(AS$16-1)*AS$11</f>
        <v>969.20156249999991</v>
      </c>
      <c r="AT19" s="13">
        <f>$E$19*(1+'A&amp;R'!$Y$11)^(AT$16-1)*AT$11</f>
        <v>969.20156249999991</v>
      </c>
      <c r="AU19" s="13">
        <f>$E$19*(1+'A&amp;R'!$Y$11)^(AU$16-1)*AU$11</f>
        <v>969.20156249999991</v>
      </c>
      <c r="AV19" s="13">
        <f>$E$19*(1+'A&amp;R'!$Y$11)^(AV$16-1)*AV$11</f>
        <v>969.20156249999991</v>
      </c>
      <c r="AW19" s="13">
        <f>$E$19*(1+'A&amp;R'!$Y$11)^(AW$16-1)*AW$11</f>
        <v>969.20156249999991</v>
      </c>
      <c r="AX19" s="13">
        <f>$E$19*(1+'A&amp;R'!$Y$11)^(AX$16-1)*AX$11</f>
        <v>969.20156249999991</v>
      </c>
      <c r="AY19" s="13">
        <f>$E$19*(1+'A&amp;R'!$Y$11)^(AY$16-1)*AY$11</f>
        <v>969.20156249999991</v>
      </c>
      <c r="AZ19" s="13">
        <f>$E$19*(1+'A&amp;R'!$Y$11)^(AZ$16-1)*AZ$11</f>
        <v>969.20156249999991</v>
      </c>
      <c r="BA19" s="13">
        <f>$E$19*(1+'A&amp;R'!$Y$11)^(BA$16-1)*BA$11</f>
        <v>969.20156249999991</v>
      </c>
      <c r="BB19" s="13">
        <f>$E$19*(1+'A&amp;R'!$Y$11)^(BB$16-1)*BB$11</f>
        <v>969.20156249999991</v>
      </c>
      <c r="BC19" s="13">
        <f>$E$19*(1+'A&amp;R'!$Y$11)^(BC$16-1)*BC$11</f>
        <v>969.20156249999991</v>
      </c>
      <c r="BD19" s="13">
        <f>$E$19*(1+'A&amp;R'!$Y$11)^(BD$16-1)*BD$11</f>
        <v>969.20156249999991</v>
      </c>
      <c r="BE19" s="13">
        <f>$E$19*(1+'A&amp;R'!$Y$11)^(BE$16-1)*BE$11</f>
        <v>993.43160156249974</v>
      </c>
      <c r="BF19" s="13">
        <f>$E$19*(1+'A&amp;R'!$Y$11)^(BF$16-1)*BF$11</f>
        <v>993.43160156249974</v>
      </c>
      <c r="BG19" s="13">
        <f>$E$19*(1+'A&amp;R'!$Y$11)^(BG$16-1)*BG$11</f>
        <v>993.43160156249974</v>
      </c>
      <c r="BH19" s="13">
        <f>$E$19*(1+'A&amp;R'!$Y$11)^(BH$16-1)*BH$11</f>
        <v>993.43160156249974</v>
      </c>
      <c r="BI19" s="13">
        <f>$E$19*(1+'A&amp;R'!$Y$11)^(BI$16-1)*BI$11</f>
        <v>993.43160156249974</v>
      </c>
      <c r="BJ19" s="13">
        <f>$E$19*(1+'A&amp;R'!$Y$11)^(BJ$16-1)*BJ$11</f>
        <v>993.43160156249974</v>
      </c>
      <c r="BK19" s="13">
        <f>$E$19*(1+'A&amp;R'!$Y$11)^(BK$16-1)*BK$11</f>
        <v>993.43160156249974</v>
      </c>
      <c r="BL19" s="13">
        <f>$E$19*(1+'A&amp;R'!$Y$11)^(BL$16-1)*BL$11</f>
        <v>993.43160156249974</v>
      </c>
      <c r="BM19" s="13">
        <f>$E$19*(1+'A&amp;R'!$Y$11)^(BM$16-1)*BM$11</f>
        <v>993.43160156249974</v>
      </c>
      <c r="BN19" s="13">
        <f>$E$19*(1+'A&amp;R'!$Y$11)^(BN$16-1)*BN$11</f>
        <v>993.43160156249974</v>
      </c>
      <c r="BO19" s="13">
        <f>$E$19*(1+'A&amp;R'!$Y$11)^(BO$16-1)*BO$11</f>
        <v>993.43160156249974</v>
      </c>
      <c r="BP19" s="13">
        <f>$E$19*(1+'A&amp;R'!$Y$11)^(BP$16-1)*BP$11</f>
        <v>993.43160156249974</v>
      </c>
      <c r="BQ19" s="13">
        <f>$E$19*(1+'A&amp;R'!$Y$11)^(BQ$16-1)*BQ$11</f>
        <v>0</v>
      </c>
      <c r="BR19" s="13">
        <f>$E$19*(1+'A&amp;R'!$Y$11)^(BR$16-1)*BR$11</f>
        <v>0</v>
      </c>
      <c r="BS19" s="13">
        <f>$E$19*(1+'A&amp;R'!$Y$11)^(BS$16-1)*BS$11</f>
        <v>0</v>
      </c>
      <c r="BT19" s="13">
        <f>$E$19*(1+'A&amp;R'!$Y$11)^(BT$16-1)*BT$11</f>
        <v>0</v>
      </c>
      <c r="BU19" s="13">
        <f>$E$19*(1+'A&amp;R'!$Y$11)^(BU$16-1)*BU$11</f>
        <v>0</v>
      </c>
      <c r="BV19" s="13">
        <f>$E$19*(1+'A&amp;R'!$Y$11)^(BV$16-1)*BV$11</f>
        <v>0</v>
      </c>
      <c r="BW19" s="13">
        <f>$E$19*(1+'A&amp;R'!$Y$11)^(BW$16-1)*BW$11</f>
        <v>0</v>
      </c>
      <c r="BX19" s="13">
        <f>$E$19*(1+'A&amp;R'!$Y$11)^(BX$16-1)*BX$11</f>
        <v>0</v>
      </c>
      <c r="BY19" s="13">
        <f>$E$19*(1+'A&amp;R'!$Y$11)^(BY$16-1)*BY$11</f>
        <v>0</v>
      </c>
      <c r="BZ19" s="13">
        <f>$E$19*(1+'A&amp;R'!$Y$11)^(BZ$16-1)*BZ$11</f>
        <v>0</v>
      </c>
      <c r="CA19" s="13">
        <f>$E$19*(1+'A&amp;R'!$Y$11)^(CA$16-1)*CA$11</f>
        <v>0</v>
      </c>
      <c r="CB19" s="13">
        <f>$E$19*(1+'A&amp;R'!$Y$11)^(CB$16-1)*CB$11</f>
        <v>0</v>
      </c>
      <c r="CC19" s="13">
        <f>$E$19*(1+'A&amp;R'!$Y$11)^(CC$16-1)*CC$11</f>
        <v>0</v>
      </c>
      <c r="CD19" s="13">
        <f>$E$19*(1+'A&amp;R'!$Y$11)^(CD$16-1)*CD$11</f>
        <v>0</v>
      </c>
      <c r="CE19" s="13">
        <f>$E$19*(1+'A&amp;R'!$Y$11)^(CE$16-1)*CE$11</f>
        <v>0</v>
      </c>
      <c r="CF19" s="13">
        <f>$E$19*(1+'A&amp;R'!$Y$11)^(CF$16-1)*CF$11</f>
        <v>0</v>
      </c>
      <c r="CG19" s="13">
        <f>$E$19*(1+'A&amp;R'!$Y$11)^(CG$16-1)*CG$11</f>
        <v>0</v>
      </c>
      <c r="CH19" s="13">
        <f>$E$19*(1+'A&amp;R'!$Y$11)^(CH$16-1)*CH$11</f>
        <v>0</v>
      </c>
      <c r="CI19" s="13">
        <f>$E$19*(1+'A&amp;R'!$Y$11)^(CI$16-1)*CI$11</f>
        <v>0</v>
      </c>
      <c r="CJ19" s="13">
        <f>$E$19*(1+'A&amp;R'!$Y$11)^(CJ$16-1)*CJ$11</f>
        <v>0</v>
      </c>
      <c r="CK19" s="13">
        <f>$E$19*(1+'A&amp;R'!$Y$11)^(CK$16-1)*CK$11</f>
        <v>0</v>
      </c>
      <c r="CL19" s="13">
        <f>$E$19*(1+'A&amp;R'!$Y$11)^(CL$16-1)*CL$11</f>
        <v>0</v>
      </c>
      <c r="CM19" s="13">
        <f>$E$19*(1+'A&amp;R'!$Y$11)^(CM$16-1)*CM$11</f>
        <v>0</v>
      </c>
      <c r="CN19" s="13">
        <f>$E$19*(1+'A&amp;R'!$Y$11)^(CN$16-1)*CN$11</f>
        <v>0</v>
      </c>
      <c r="CO19" s="13">
        <f>$E$19*(1+'A&amp;R'!$Y$11)^(CO$16-1)*CO$11</f>
        <v>0</v>
      </c>
      <c r="CP19" s="13">
        <f>$E$19*(1+'A&amp;R'!$Y$11)^(CP$16-1)*CP$11</f>
        <v>0</v>
      </c>
      <c r="CQ19" s="13">
        <f>$E$19*(1+'A&amp;R'!$Y$11)^(CQ$16-1)*CQ$11</f>
        <v>0</v>
      </c>
      <c r="CR19" s="13">
        <f>$E$19*(1+'A&amp;R'!$Y$11)^(CR$16-1)*CR$11</f>
        <v>0</v>
      </c>
      <c r="CS19" s="13">
        <f>$E$19*(1+'A&amp;R'!$Y$11)^(CS$16-1)*CS$11</f>
        <v>0</v>
      </c>
      <c r="CT19" s="13">
        <f>$E$19*(1+'A&amp;R'!$Y$11)^(CT$16-1)*CT$11</f>
        <v>0</v>
      </c>
      <c r="CU19" s="13">
        <f>$E$19*(1+'A&amp;R'!$Y$11)^(CU$16-1)*CU$11</f>
        <v>0</v>
      </c>
      <c r="CV19" s="13">
        <f>$E$19*(1+'A&amp;R'!$Y$11)^(CV$16-1)*CV$11</f>
        <v>0</v>
      </c>
      <c r="CW19" s="13">
        <f>$E$19*(1+'A&amp;R'!$Y$11)^(CW$16-1)*CW$11</f>
        <v>0</v>
      </c>
      <c r="CX19" s="13">
        <f>$E$19*(1+'A&amp;R'!$Y$11)^(CX$16-1)*CX$11</f>
        <v>0</v>
      </c>
      <c r="CY19" s="13">
        <f>$E$19*(1+'A&amp;R'!$Y$11)^(CY$16-1)*CY$11</f>
        <v>0</v>
      </c>
      <c r="CZ19" s="13">
        <f>$E$19*(1+'A&amp;R'!$Y$11)^(CZ$16-1)*CZ$11</f>
        <v>0</v>
      </c>
      <c r="DA19" s="13">
        <f>$E$19*(1+'A&amp;R'!$Y$11)^(DA$16-1)*DA$11</f>
        <v>0</v>
      </c>
      <c r="DB19" s="13">
        <f>$E$19*(1+'A&amp;R'!$Y$11)^(DB$16-1)*DB$11</f>
        <v>0</v>
      </c>
    </row>
    <row r="20" spans="2:106">
      <c r="C20" s="96" t="s">
        <v>176</v>
      </c>
      <c r="D20" s="96"/>
      <c r="E20" s="96"/>
      <c r="F20" s="96">
        <f>SUM(H20:DB20)</f>
        <v>430.61573583347325</v>
      </c>
      <c r="G20" s="96"/>
      <c r="H20" s="96">
        <f t="shared" ref="H20:AM20" si="10">H18*H19/unit</f>
        <v>0</v>
      </c>
      <c r="I20" s="96">
        <f>I18*I19/unit</f>
        <v>6.8269409999999997</v>
      </c>
      <c r="J20" s="96">
        <f t="shared" si="10"/>
        <v>6.8269409999999997</v>
      </c>
      <c r="K20" s="96">
        <f t="shared" si="10"/>
        <v>6.8269409999999997</v>
      </c>
      <c r="L20" s="96">
        <f t="shared" si="10"/>
        <v>6.8269409999999997</v>
      </c>
      <c r="M20" s="96">
        <f t="shared" si="10"/>
        <v>6.8269409999999997</v>
      </c>
      <c r="N20" s="96">
        <f t="shared" si="10"/>
        <v>6.8269409999999997</v>
      </c>
      <c r="O20" s="96">
        <f t="shared" si="10"/>
        <v>6.8269409999999997</v>
      </c>
      <c r="P20" s="96">
        <f t="shared" si="10"/>
        <v>6.8269409999999997</v>
      </c>
      <c r="Q20" s="96">
        <f t="shared" si="10"/>
        <v>6.8269409999999997</v>
      </c>
      <c r="R20" s="96">
        <f t="shared" si="10"/>
        <v>6.8269409999999997</v>
      </c>
      <c r="S20" s="96">
        <f t="shared" si="10"/>
        <v>6.8269409999999997</v>
      </c>
      <c r="T20" s="96">
        <f t="shared" si="10"/>
        <v>6.8269409999999997</v>
      </c>
      <c r="U20" s="96">
        <f t="shared" si="10"/>
        <v>6.9976145249999986</v>
      </c>
      <c r="V20" s="96">
        <f t="shared" si="10"/>
        <v>6.9976145249999986</v>
      </c>
      <c r="W20" s="96">
        <f t="shared" si="10"/>
        <v>6.9976145249999986</v>
      </c>
      <c r="X20" s="96">
        <f t="shared" si="10"/>
        <v>6.9976145249999986</v>
      </c>
      <c r="Y20" s="96">
        <f t="shared" si="10"/>
        <v>6.9976145249999986</v>
      </c>
      <c r="Z20" s="96">
        <f t="shared" si="10"/>
        <v>6.9976145249999986</v>
      </c>
      <c r="AA20" s="96">
        <f t="shared" si="10"/>
        <v>6.9976145249999986</v>
      </c>
      <c r="AB20" s="96">
        <f t="shared" si="10"/>
        <v>6.9976145249999986</v>
      </c>
      <c r="AC20" s="96">
        <f t="shared" si="10"/>
        <v>6.9976145249999986</v>
      </c>
      <c r="AD20" s="96">
        <f t="shared" si="10"/>
        <v>6.9976145249999986</v>
      </c>
      <c r="AE20" s="96">
        <f t="shared" si="10"/>
        <v>6.9976145249999986</v>
      </c>
      <c r="AF20" s="96">
        <f t="shared" si="10"/>
        <v>6.9976145249999986</v>
      </c>
      <c r="AG20" s="96">
        <f t="shared" si="10"/>
        <v>7.1725548881249983</v>
      </c>
      <c r="AH20" s="96">
        <f t="shared" si="10"/>
        <v>7.1725548881249983</v>
      </c>
      <c r="AI20" s="96">
        <f t="shared" si="10"/>
        <v>7.1725548881249983</v>
      </c>
      <c r="AJ20" s="96">
        <f t="shared" si="10"/>
        <v>7.1725548881249983</v>
      </c>
      <c r="AK20" s="96">
        <f t="shared" si="10"/>
        <v>7.1725548881249983</v>
      </c>
      <c r="AL20" s="96">
        <f t="shared" si="10"/>
        <v>7.1725548881249983</v>
      </c>
      <c r="AM20" s="96">
        <f t="shared" si="10"/>
        <v>7.1725548881249983</v>
      </c>
      <c r="AN20" s="96">
        <f t="shared" ref="AN20:BS20" si="11">AN18*AN19/unit</f>
        <v>7.1725548881249983</v>
      </c>
      <c r="AO20" s="96">
        <f t="shared" si="11"/>
        <v>7.1725548881249983</v>
      </c>
      <c r="AP20" s="96">
        <f t="shared" si="11"/>
        <v>7.1725548881249983</v>
      </c>
      <c r="AQ20" s="96">
        <f t="shared" si="11"/>
        <v>7.1725548881249983</v>
      </c>
      <c r="AR20" s="96">
        <f t="shared" si="11"/>
        <v>7.1725548881249983</v>
      </c>
      <c r="AS20" s="96">
        <f t="shared" si="11"/>
        <v>7.3518687603281245</v>
      </c>
      <c r="AT20" s="96">
        <f t="shared" si="11"/>
        <v>7.3518687603281245</v>
      </c>
      <c r="AU20" s="96">
        <f t="shared" si="11"/>
        <v>7.3518687603281245</v>
      </c>
      <c r="AV20" s="96">
        <f t="shared" si="11"/>
        <v>7.3518687603281245</v>
      </c>
      <c r="AW20" s="96">
        <f t="shared" si="11"/>
        <v>7.3518687603281245</v>
      </c>
      <c r="AX20" s="96">
        <f t="shared" si="11"/>
        <v>7.3518687603281245</v>
      </c>
      <c r="AY20" s="96">
        <f t="shared" si="11"/>
        <v>7.3518687603281245</v>
      </c>
      <c r="AZ20" s="96">
        <f t="shared" si="11"/>
        <v>7.3518687603281245</v>
      </c>
      <c r="BA20" s="96">
        <f t="shared" si="11"/>
        <v>7.3518687603281245</v>
      </c>
      <c r="BB20" s="96">
        <f t="shared" si="11"/>
        <v>7.3518687603281245</v>
      </c>
      <c r="BC20" s="96">
        <f t="shared" si="11"/>
        <v>7.3518687603281245</v>
      </c>
      <c r="BD20" s="96">
        <f t="shared" si="11"/>
        <v>7.3518687603281245</v>
      </c>
      <c r="BE20" s="96">
        <f t="shared" si="11"/>
        <v>7.535665479336326</v>
      </c>
      <c r="BF20" s="96">
        <f t="shared" si="11"/>
        <v>7.535665479336326</v>
      </c>
      <c r="BG20" s="96">
        <f t="shared" si="11"/>
        <v>7.535665479336326</v>
      </c>
      <c r="BH20" s="96">
        <f t="shared" si="11"/>
        <v>7.535665479336326</v>
      </c>
      <c r="BI20" s="96">
        <f t="shared" si="11"/>
        <v>7.535665479336326</v>
      </c>
      <c r="BJ20" s="96">
        <f t="shared" si="11"/>
        <v>7.535665479336326</v>
      </c>
      <c r="BK20" s="96">
        <f t="shared" si="11"/>
        <v>7.535665479336326</v>
      </c>
      <c r="BL20" s="96">
        <f t="shared" si="11"/>
        <v>7.535665479336326</v>
      </c>
      <c r="BM20" s="96">
        <f t="shared" si="11"/>
        <v>7.535665479336326</v>
      </c>
      <c r="BN20" s="96">
        <f t="shared" si="11"/>
        <v>7.535665479336326</v>
      </c>
      <c r="BO20" s="96">
        <f t="shared" si="11"/>
        <v>7.535665479336326</v>
      </c>
      <c r="BP20" s="96">
        <f t="shared" si="11"/>
        <v>7.535665479336326</v>
      </c>
      <c r="BQ20" s="96">
        <f t="shared" si="11"/>
        <v>0</v>
      </c>
      <c r="BR20" s="96">
        <f t="shared" si="11"/>
        <v>0</v>
      </c>
      <c r="BS20" s="96">
        <f t="shared" si="11"/>
        <v>0</v>
      </c>
      <c r="BT20" s="96">
        <f t="shared" ref="BT20:CY20" si="12">BT18*BT19/unit</f>
        <v>0</v>
      </c>
      <c r="BU20" s="96">
        <f t="shared" si="12"/>
        <v>0</v>
      </c>
      <c r="BV20" s="96">
        <f t="shared" si="12"/>
        <v>0</v>
      </c>
      <c r="BW20" s="96">
        <f t="shared" si="12"/>
        <v>0</v>
      </c>
      <c r="BX20" s="96">
        <f t="shared" si="12"/>
        <v>0</v>
      </c>
      <c r="BY20" s="96">
        <f t="shared" si="12"/>
        <v>0</v>
      </c>
      <c r="BZ20" s="96">
        <f t="shared" si="12"/>
        <v>0</v>
      </c>
      <c r="CA20" s="96">
        <f t="shared" si="12"/>
        <v>0</v>
      </c>
      <c r="CB20" s="96">
        <f t="shared" si="12"/>
        <v>0</v>
      </c>
      <c r="CC20" s="96">
        <f t="shared" si="12"/>
        <v>0</v>
      </c>
      <c r="CD20" s="96">
        <f t="shared" si="12"/>
        <v>0</v>
      </c>
      <c r="CE20" s="96">
        <f t="shared" si="12"/>
        <v>0</v>
      </c>
      <c r="CF20" s="96">
        <f t="shared" si="12"/>
        <v>0</v>
      </c>
      <c r="CG20" s="96">
        <f t="shared" si="12"/>
        <v>0</v>
      </c>
      <c r="CH20" s="96">
        <f t="shared" si="12"/>
        <v>0</v>
      </c>
      <c r="CI20" s="96">
        <f t="shared" si="12"/>
        <v>0</v>
      </c>
      <c r="CJ20" s="96">
        <f t="shared" si="12"/>
        <v>0</v>
      </c>
      <c r="CK20" s="96">
        <f t="shared" si="12"/>
        <v>0</v>
      </c>
      <c r="CL20" s="96">
        <f t="shared" si="12"/>
        <v>0</v>
      </c>
      <c r="CM20" s="96">
        <f t="shared" si="12"/>
        <v>0</v>
      </c>
      <c r="CN20" s="96">
        <f t="shared" si="12"/>
        <v>0</v>
      </c>
      <c r="CO20" s="96">
        <f t="shared" si="12"/>
        <v>0</v>
      </c>
      <c r="CP20" s="96">
        <f t="shared" si="12"/>
        <v>0</v>
      </c>
      <c r="CQ20" s="96">
        <f t="shared" si="12"/>
        <v>0</v>
      </c>
      <c r="CR20" s="96">
        <f t="shared" si="12"/>
        <v>0</v>
      </c>
      <c r="CS20" s="96">
        <f t="shared" si="12"/>
        <v>0</v>
      </c>
      <c r="CT20" s="96">
        <f t="shared" si="12"/>
        <v>0</v>
      </c>
      <c r="CU20" s="96">
        <f t="shared" si="12"/>
        <v>0</v>
      </c>
      <c r="CV20" s="96">
        <f t="shared" si="12"/>
        <v>0</v>
      </c>
      <c r="CW20" s="96">
        <f t="shared" si="12"/>
        <v>0</v>
      </c>
      <c r="CX20" s="96">
        <f t="shared" si="12"/>
        <v>0</v>
      </c>
      <c r="CY20" s="96">
        <f t="shared" si="12"/>
        <v>0</v>
      </c>
      <c r="CZ20" s="96">
        <f t="shared" ref="CZ20:DB20" si="13">CZ18*CZ19/unit</f>
        <v>0</v>
      </c>
      <c r="DA20" s="96">
        <f t="shared" si="13"/>
        <v>0</v>
      </c>
      <c r="DB20" s="96">
        <f t="shared" si="13"/>
        <v>0</v>
      </c>
    </row>
    <row r="22" spans="2:106">
      <c r="B22" s="2" t="str">
        <f>'A&amp;R'!U12</f>
        <v>FM Fee</v>
      </c>
    </row>
    <row r="23" spans="2:106">
      <c r="C23" s="13" t="s">
        <v>174</v>
      </c>
      <c r="E23" s="118">
        <f>'A&amp;R'!$M$20</f>
        <v>7585.49</v>
      </c>
      <c r="H23" s="13">
        <f>$E$18*H$11</f>
        <v>0</v>
      </c>
      <c r="I23" s="13">
        <f t="shared" ref="I23:BT23" si="14">$E$18*I$11</f>
        <v>7585.49</v>
      </c>
      <c r="J23" s="13">
        <f t="shared" si="14"/>
        <v>7585.49</v>
      </c>
      <c r="K23" s="13">
        <f t="shared" si="14"/>
        <v>7585.49</v>
      </c>
      <c r="L23" s="13">
        <f t="shared" si="14"/>
        <v>7585.49</v>
      </c>
      <c r="M23" s="13">
        <f t="shared" si="14"/>
        <v>7585.49</v>
      </c>
      <c r="N23" s="13">
        <f t="shared" si="14"/>
        <v>7585.49</v>
      </c>
      <c r="O23" s="13">
        <f t="shared" si="14"/>
        <v>7585.49</v>
      </c>
      <c r="P23" s="13">
        <f t="shared" si="14"/>
        <v>7585.49</v>
      </c>
      <c r="Q23" s="13">
        <f t="shared" si="14"/>
        <v>7585.49</v>
      </c>
      <c r="R23" s="13">
        <f t="shared" si="14"/>
        <v>7585.49</v>
      </c>
      <c r="S23" s="13">
        <f t="shared" si="14"/>
        <v>7585.49</v>
      </c>
      <c r="T23" s="13">
        <f t="shared" si="14"/>
        <v>7585.49</v>
      </c>
      <c r="U23" s="13">
        <f t="shared" si="14"/>
        <v>7585.49</v>
      </c>
      <c r="V23" s="13">
        <f t="shared" si="14"/>
        <v>7585.49</v>
      </c>
      <c r="W23" s="13">
        <f t="shared" si="14"/>
        <v>7585.49</v>
      </c>
      <c r="X23" s="13">
        <f t="shared" si="14"/>
        <v>7585.49</v>
      </c>
      <c r="Y23" s="13">
        <f t="shared" si="14"/>
        <v>7585.49</v>
      </c>
      <c r="Z23" s="13">
        <f t="shared" si="14"/>
        <v>7585.49</v>
      </c>
      <c r="AA23" s="13">
        <f t="shared" si="14"/>
        <v>7585.49</v>
      </c>
      <c r="AB23" s="13">
        <f t="shared" si="14"/>
        <v>7585.49</v>
      </c>
      <c r="AC23" s="13">
        <f t="shared" si="14"/>
        <v>7585.49</v>
      </c>
      <c r="AD23" s="13">
        <f t="shared" si="14"/>
        <v>7585.49</v>
      </c>
      <c r="AE23" s="13">
        <f t="shared" si="14"/>
        <v>7585.49</v>
      </c>
      <c r="AF23" s="13">
        <f t="shared" si="14"/>
        <v>7585.49</v>
      </c>
      <c r="AG23" s="13">
        <f t="shared" si="14"/>
        <v>7585.49</v>
      </c>
      <c r="AH23" s="13">
        <f t="shared" si="14"/>
        <v>7585.49</v>
      </c>
      <c r="AI23" s="13">
        <f t="shared" si="14"/>
        <v>7585.49</v>
      </c>
      <c r="AJ23" s="13">
        <f t="shared" si="14"/>
        <v>7585.49</v>
      </c>
      <c r="AK23" s="13">
        <f t="shared" si="14"/>
        <v>7585.49</v>
      </c>
      <c r="AL23" s="13">
        <f t="shared" si="14"/>
        <v>7585.49</v>
      </c>
      <c r="AM23" s="13">
        <f t="shared" si="14"/>
        <v>7585.49</v>
      </c>
      <c r="AN23" s="13">
        <f t="shared" si="14"/>
        <v>7585.49</v>
      </c>
      <c r="AO23" s="13">
        <f t="shared" si="14"/>
        <v>7585.49</v>
      </c>
      <c r="AP23" s="13">
        <f t="shared" si="14"/>
        <v>7585.49</v>
      </c>
      <c r="AQ23" s="13">
        <f t="shared" si="14"/>
        <v>7585.49</v>
      </c>
      <c r="AR23" s="13">
        <f t="shared" si="14"/>
        <v>7585.49</v>
      </c>
      <c r="AS23" s="13">
        <f t="shared" si="14"/>
        <v>7585.49</v>
      </c>
      <c r="AT23" s="13">
        <f t="shared" si="14"/>
        <v>7585.49</v>
      </c>
      <c r="AU23" s="13">
        <f t="shared" si="14"/>
        <v>7585.49</v>
      </c>
      <c r="AV23" s="13">
        <f t="shared" si="14"/>
        <v>7585.49</v>
      </c>
      <c r="AW23" s="13">
        <f t="shared" si="14"/>
        <v>7585.49</v>
      </c>
      <c r="AX23" s="13">
        <f t="shared" si="14"/>
        <v>7585.49</v>
      </c>
      <c r="AY23" s="13">
        <f t="shared" si="14"/>
        <v>7585.49</v>
      </c>
      <c r="AZ23" s="13">
        <f t="shared" si="14"/>
        <v>7585.49</v>
      </c>
      <c r="BA23" s="13">
        <f t="shared" si="14"/>
        <v>7585.49</v>
      </c>
      <c r="BB23" s="13">
        <f t="shared" si="14"/>
        <v>7585.49</v>
      </c>
      <c r="BC23" s="13">
        <f t="shared" si="14"/>
        <v>7585.49</v>
      </c>
      <c r="BD23" s="13">
        <f t="shared" si="14"/>
        <v>7585.49</v>
      </c>
      <c r="BE23" s="13">
        <f t="shared" si="14"/>
        <v>7585.49</v>
      </c>
      <c r="BF23" s="13">
        <f t="shared" si="14"/>
        <v>7585.49</v>
      </c>
      <c r="BG23" s="13">
        <f t="shared" si="14"/>
        <v>7585.49</v>
      </c>
      <c r="BH23" s="13">
        <f t="shared" si="14"/>
        <v>7585.49</v>
      </c>
      <c r="BI23" s="13">
        <f t="shared" si="14"/>
        <v>7585.49</v>
      </c>
      <c r="BJ23" s="13">
        <f t="shared" si="14"/>
        <v>7585.49</v>
      </c>
      <c r="BK23" s="13">
        <f t="shared" si="14"/>
        <v>7585.49</v>
      </c>
      <c r="BL23" s="13">
        <f t="shared" si="14"/>
        <v>7585.49</v>
      </c>
      <c r="BM23" s="13">
        <f t="shared" si="14"/>
        <v>7585.49</v>
      </c>
      <c r="BN23" s="13">
        <f t="shared" si="14"/>
        <v>7585.49</v>
      </c>
      <c r="BO23" s="13">
        <f t="shared" si="14"/>
        <v>7585.49</v>
      </c>
      <c r="BP23" s="13">
        <f t="shared" si="14"/>
        <v>7585.49</v>
      </c>
      <c r="BQ23" s="13">
        <f t="shared" si="14"/>
        <v>0</v>
      </c>
      <c r="BR23" s="13">
        <f t="shared" si="14"/>
        <v>0</v>
      </c>
      <c r="BS23" s="13">
        <f t="shared" si="14"/>
        <v>0</v>
      </c>
      <c r="BT23" s="13">
        <f t="shared" si="14"/>
        <v>0</v>
      </c>
      <c r="BU23" s="13">
        <f t="shared" ref="BU23:DB23" si="15">$E$18*BU$11</f>
        <v>0</v>
      </c>
      <c r="BV23" s="13">
        <f t="shared" si="15"/>
        <v>0</v>
      </c>
      <c r="BW23" s="13">
        <f t="shared" si="15"/>
        <v>0</v>
      </c>
      <c r="BX23" s="13">
        <f t="shared" si="15"/>
        <v>0</v>
      </c>
      <c r="BY23" s="13">
        <f t="shared" si="15"/>
        <v>0</v>
      </c>
      <c r="BZ23" s="13">
        <f t="shared" si="15"/>
        <v>0</v>
      </c>
      <c r="CA23" s="13">
        <f t="shared" si="15"/>
        <v>0</v>
      </c>
      <c r="CB23" s="13">
        <f t="shared" si="15"/>
        <v>0</v>
      </c>
      <c r="CC23" s="13">
        <f t="shared" si="15"/>
        <v>0</v>
      </c>
      <c r="CD23" s="13">
        <f t="shared" si="15"/>
        <v>0</v>
      </c>
      <c r="CE23" s="13">
        <f t="shared" si="15"/>
        <v>0</v>
      </c>
      <c r="CF23" s="13">
        <f t="shared" si="15"/>
        <v>0</v>
      </c>
      <c r="CG23" s="13">
        <f t="shared" si="15"/>
        <v>0</v>
      </c>
      <c r="CH23" s="13">
        <f t="shared" si="15"/>
        <v>0</v>
      </c>
      <c r="CI23" s="13">
        <f t="shared" si="15"/>
        <v>0</v>
      </c>
      <c r="CJ23" s="13">
        <f t="shared" si="15"/>
        <v>0</v>
      </c>
      <c r="CK23" s="13">
        <f t="shared" si="15"/>
        <v>0</v>
      </c>
      <c r="CL23" s="13">
        <f t="shared" si="15"/>
        <v>0</v>
      </c>
      <c r="CM23" s="13">
        <f t="shared" si="15"/>
        <v>0</v>
      </c>
      <c r="CN23" s="13">
        <f t="shared" si="15"/>
        <v>0</v>
      </c>
      <c r="CO23" s="13">
        <f t="shared" si="15"/>
        <v>0</v>
      </c>
      <c r="CP23" s="13">
        <f t="shared" si="15"/>
        <v>0</v>
      </c>
      <c r="CQ23" s="13">
        <f t="shared" si="15"/>
        <v>0</v>
      </c>
      <c r="CR23" s="13">
        <f t="shared" si="15"/>
        <v>0</v>
      </c>
      <c r="CS23" s="13">
        <f t="shared" si="15"/>
        <v>0</v>
      </c>
      <c r="CT23" s="13">
        <f t="shared" si="15"/>
        <v>0</v>
      </c>
      <c r="CU23" s="13">
        <f t="shared" si="15"/>
        <v>0</v>
      </c>
      <c r="CV23" s="13">
        <f t="shared" si="15"/>
        <v>0</v>
      </c>
      <c r="CW23" s="13">
        <f t="shared" si="15"/>
        <v>0</v>
      </c>
      <c r="CX23" s="13">
        <f t="shared" si="15"/>
        <v>0</v>
      </c>
      <c r="CY23" s="13">
        <f t="shared" si="15"/>
        <v>0</v>
      </c>
      <c r="CZ23" s="13">
        <f t="shared" si="15"/>
        <v>0</v>
      </c>
      <c r="DA23" s="13">
        <f t="shared" si="15"/>
        <v>0</v>
      </c>
      <c r="DB23" s="13">
        <f t="shared" si="15"/>
        <v>0</v>
      </c>
    </row>
    <row r="24" spans="2:106">
      <c r="C24" s="13" t="s">
        <v>175</v>
      </c>
      <c r="E24" s="119">
        <f>'A&amp;R'!W12</f>
        <v>11000</v>
      </c>
      <c r="H24" s="13">
        <f>$E$24*(1+'A&amp;R'!$Y$12)^(H$16-1)*H$11</f>
        <v>0</v>
      </c>
      <c r="I24" s="13">
        <f>$E$24*(1+'A&amp;R'!$Y$12)^(I$16-1)*I$11</f>
        <v>11000</v>
      </c>
      <c r="J24" s="13">
        <f>$E$24*(1+'A&amp;R'!$Y$12)^(J$16-1)*J$11</f>
        <v>11000</v>
      </c>
      <c r="K24" s="13">
        <f>$E$24*(1+'A&amp;R'!$Y$12)^(K$16-1)*K$11</f>
        <v>11000</v>
      </c>
      <c r="L24" s="13">
        <f>$E$24*(1+'A&amp;R'!$Y$12)^(L$16-1)*L$11</f>
        <v>11000</v>
      </c>
      <c r="M24" s="13">
        <f>$E$24*(1+'A&amp;R'!$Y$12)^(M$16-1)*M$11</f>
        <v>11000</v>
      </c>
      <c r="N24" s="13">
        <f>$E$24*(1+'A&amp;R'!$Y$12)^(N$16-1)*N$11</f>
        <v>11000</v>
      </c>
      <c r="O24" s="13">
        <f>$E$24*(1+'A&amp;R'!$Y$12)^(O$16-1)*O$11</f>
        <v>11000</v>
      </c>
      <c r="P24" s="13">
        <f>$E$24*(1+'A&amp;R'!$Y$12)^(P$16-1)*P$11</f>
        <v>11000</v>
      </c>
      <c r="Q24" s="13">
        <f>$E$24*(1+'A&amp;R'!$Y$12)^(Q$16-1)*Q$11</f>
        <v>11000</v>
      </c>
      <c r="R24" s="13">
        <f>$E$24*(1+'A&amp;R'!$Y$12)^(R$16-1)*R$11</f>
        <v>11000</v>
      </c>
      <c r="S24" s="13">
        <f>$E$24*(1+'A&amp;R'!$Y$12)^(S$16-1)*S$11</f>
        <v>11000</v>
      </c>
      <c r="T24" s="13">
        <f>$E$24*(1+'A&amp;R'!$Y$12)^(T$16-1)*T$11</f>
        <v>11000</v>
      </c>
      <c r="U24" s="13">
        <f>$E$24*(1+'A&amp;R'!$Y$12)^(U$16-1)*U$11</f>
        <v>11274.999999999998</v>
      </c>
      <c r="V24" s="13">
        <f>$E$24*(1+'A&amp;R'!$Y$12)^(V$16-1)*V$11</f>
        <v>11274.999999999998</v>
      </c>
      <c r="W24" s="13">
        <f>$E$24*(1+'A&amp;R'!$Y$12)^(W$16-1)*W$11</f>
        <v>11274.999999999998</v>
      </c>
      <c r="X24" s="13">
        <f>$E$24*(1+'A&amp;R'!$Y$12)^(X$16-1)*X$11</f>
        <v>11274.999999999998</v>
      </c>
      <c r="Y24" s="13">
        <f>$E$24*(1+'A&amp;R'!$Y$12)^(Y$16-1)*Y$11</f>
        <v>11274.999999999998</v>
      </c>
      <c r="Z24" s="13">
        <f>$E$24*(1+'A&amp;R'!$Y$12)^(Z$16-1)*Z$11</f>
        <v>11274.999999999998</v>
      </c>
      <c r="AA24" s="13">
        <f>$E$24*(1+'A&amp;R'!$Y$12)^(AA$16-1)*AA$11</f>
        <v>11274.999999999998</v>
      </c>
      <c r="AB24" s="13">
        <f>$E$24*(1+'A&amp;R'!$Y$12)^(AB$16-1)*AB$11</f>
        <v>11274.999999999998</v>
      </c>
      <c r="AC24" s="13">
        <f>$E$24*(1+'A&amp;R'!$Y$12)^(AC$16-1)*AC$11</f>
        <v>11274.999999999998</v>
      </c>
      <c r="AD24" s="13">
        <f>$E$24*(1+'A&amp;R'!$Y$12)^(AD$16-1)*AD$11</f>
        <v>11274.999999999998</v>
      </c>
      <c r="AE24" s="13">
        <f>$E$24*(1+'A&amp;R'!$Y$12)^(AE$16-1)*AE$11</f>
        <v>11274.999999999998</v>
      </c>
      <c r="AF24" s="13">
        <f>$E$24*(1+'A&amp;R'!$Y$12)^(AF$16-1)*AF$11</f>
        <v>11274.999999999998</v>
      </c>
      <c r="AG24" s="13">
        <f>$E$24*(1+'A&amp;R'!$Y$12)^(AG$16-1)*AG$11</f>
        <v>11556.875</v>
      </c>
      <c r="AH24" s="13">
        <f>$E$24*(1+'A&amp;R'!$Y$12)^(AH$16-1)*AH$11</f>
        <v>11556.875</v>
      </c>
      <c r="AI24" s="13">
        <f>$E$24*(1+'A&amp;R'!$Y$12)^(AI$16-1)*AI$11</f>
        <v>11556.875</v>
      </c>
      <c r="AJ24" s="13">
        <f>$E$24*(1+'A&amp;R'!$Y$12)^(AJ$16-1)*AJ$11</f>
        <v>11556.875</v>
      </c>
      <c r="AK24" s="13">
        <f>$E$24*(1+'A&amp;R'!$Y$12)^(AK$16-1)*AK$11</f>
        <v>11556.875</v>
      </c>
      <c r="AL24" s="13">
        <f>$E$24*(1+'A&amp;R'!$Y$12)^(AL$16-1)*AL$11</f>
        <v>11556.875</v>
      </c>
      <c r="AM24" s="13">
        <f>$E$24*(1+'A&amp;R'!$Y$12)^(AM$16-1)*AM$11</f>
        <v>11556.875</v>
      </c>
      <c r="AN24" s="13">
        <f>$E$24*(1+'A&amp;R'!$Y$12)^(AN$16-1)*AN$11</f>
        <v>11556.875</v>
      </c>
      <c r="AO24" s="13">
        <f>$E$24*(1+'A&amp;R'!$Y$12)^(AO$16-1)*AO$11</f>
        <v>11556.875</v>
      </c>
      <c r="AP24" s="13">
        <f>$E$24*(1+'A&amp;R'!$Y$12)^(AP$16-1)*AP$11</f>
        <v>11556.875</v>
      </c>
      <c r="AQ24" s="13">
        <f>$E$24*(1+'A&amp;R'!$Y$12)^(AQ$16-1)*AQ$11</f>
        <v>11556.875</v>
      </c>
      <c r="AR24" s="13">
        <f>$E$24*(1+'A&amp;R'!$Y$12)^(AR$16-1)*AR$11</f>
        <v>11556.875</v>
      </c>
      <c r="AS24" s="13">
        <f>$E$24*(1+'A&amp;R'!$Y$12)^(AS$16-1)*AS$11</f>
        <v>11845.796874999998</v>
      </c>
      <c r="AT24" s="13">
        <f>$E$24*(1+'A&amp;R'!$Y$12)^(AT$16-1)*AT$11</f>
        <v>11845.796874999998</v>
      </c>
      <c r="AU24" s="13">
        <f>$E$24*(1+'A&amp;R'!$Y$12)^(AU$16-1)*AU$11</f>
        <v>11845.796874999998</v>
      </c>
      <c r="AV24" s="13">
        <f>$E$24*(1+'A&amp;R'!$Y$12)^(AV$16-1)*AV$11</f>
        <v>11845.796874999998</v>
      </c>
      <c r="AW24" s="13">
        <f>$E$24*(1+'A&amp;R'!$Y$12)^(AW$16-1)*AW$11</f>
        <v>11845.796874999998</v>
      </c>
      <c r="AX24" s="13">
        <f>$E$24*(1+'A&amp;R'!$Y$12)^(AX$16-1)*AX$11</f>
        <v>11845.796874999998</v>
      </c>
      <c r="AY24" s="13">
        <f>$E$24*(1+'A&amp;R'!$Y$12)^(AY$16-1)*AY$11</f>
        <v>11845.796874999998</v>
      </c>
      <c r="AZ24" s="13">
        <f>$E$24*(1+'A&amp;R'!$Y$12)^(AZ$16-1)*AZ$11</f>
        <v>11845.796874999998</v>
      </c>
      <c r="BA24" s="13">
        <f>$E$24*(1+'A&amp;R'!$Y$12)^(BA$16-1)*BA$11</f>
        <v>11845.796874999998</v>
      </c>
      <c r="BB24" s="13">
        <f>$E$24*(1+'A&amp;R'!$Y$12)^(BB$16-1)*BB$11</f>
        <v>11845.796874999998</v>
      </c>
      <c r="BC24" s="13">
        <f>$E$24*(1+'A&amp;R'!$Y$12)^(BC$16-1)*BC$11</f>
        <v>11845.796874999998</v>
      </c>
      <c r="BD24" s="13">
        <f>$E$24*(1+'A&amp;R'!$Y$12)^(BD$16-1)*BD$11</f>
        <v>11845.796874999998</v>
      </c>
      <c r="BE24" s="13">
        <f>$E$24*(1+'A&amp;R'!$Y$12)^(BE$16-1)*BE$11</f>
        <v>12141.941796874997</v>
      </c>
      <c r="BF24" s="13">
        <f>$E$24*(1+'A&amp;R'!$Y$12)^(BF$16-1)*BF$11</f>
        <v>12141.941796874997</v>
      </c>
      <c r="BG24" s="13">
        <f>$E$24*(1+'A&amp;R'!$Y$12)^(BG$16-1)*BG$11</f>
        <v>12141.941796874997</v>
      </c>
      <c r="BH24" s="13">
        <f>$E$24*(1+'A&amp;R'!$Y$12)^(BH$16-1)*BH$11</f>
        <v>12141.941796874997</v>
      </c>
      <c r="BI24" s="13">
        <f>$E$24*(1+'A&amp;R'!$Y$12)^(BI$16-1)*BI$11</f>
        <v>12141.941796874997</v>
      </c>
      <c r="BJ24" s="13">
        <f>$E$24*(1+'A&amp;R'!$Y$12)^(BJ$16-1)*BJ$11</f>
        <v>12141.941796874997</v>
      </c>
      <c r="BK24" s="13">
        <f>$E$24*(1+'A&amp;R'!$Y$12)^(BK$16-1)*BK$11</f>
        <v>12141.941796874997</v>
      </c>
      <c r="BL24" s="13">
        <f>$E$24*(1+'A&amp;R'!$Y$12)^(BL$16-1)*BL$11</f>
        <v>12141.941796874997</v>
      </c>
      <c r="BM24" s="13">
        <f>$E$24*(1+'A&amp;R'!$Y$12)^(BM$16-1)*BM$11</f>
        <v>12141.941796874997</v>
      </c>
      <c r="BN24" s="13">
        <f>$E$24*(1+'A&amp;R'!$Y$12)^(BN$16-1)*BN$11</f>
        <v>12141.941796874997</v>
      </c>
      <c r="BO24" s="13">
        <f>$E$24*(1+'A&amp;R'!$Y$12)^(BO$16-1)*BO$11</f>
        <v>12141.941796874997</v>
      </c>
      <c r="BP24" s="13">
        <f>$E$24*(1+'A&amp;R'!$Y$12)^(BP$16-1)*BP$11</f>
        <v>12141.941796874997</v>
      </c>
      <c r="BQ24" s="13">
        <f>$E$24*(1+'A&amp;R'!$Y$12)^(BQ$16-1)*BQ$11</f>
        <v>0</v>
      </c>
      <c r="BR24" s="13">
        <f>$E$24*(1+'A&amp;R'!$Y$12)^(BR$16-1)*BR$11</f>
        <v>0</v>
      </c>
      <c r="BS24" s="13">
        <f>$E$24*(1+'A&amp;R'!$Y$12)^(BS$16-1)*BS$11</f>
        <v>0</v>
      </c>
      <c r="BT24" s="13">
        <f>$E$24*(1+'A&amp;R'!$Y$12)^(BT$16-1)*BT$11</f>
        <v>0</v>
      </c>
      <c r="BU24" s="13">
        <f>$E$24*(1+'A&amp;R'!$Y$12)^(BU$16-1)*BU$11</f>
        <v>0</v>
      </c>
      <c r="BV24" s="13">
        <f>$E$24*(1+'A&amp;R'!$Y$12)^(BV$16-1)*BV$11</f>
        <v>0</v>
      </c>
      <c r="BW24" s="13">
        <f>$E$24*(1+'A&amp;R'!$Y$12)^(BW$16-1)*BW$11</f>
        <v>0</v>
      </c>
      <c r="BX24" s="13">
        <f>$E$24*(1+'A&amp;R'!$Y$12)^(BX$16-1)*BX$11</f>
        <v>0</v>
      </c>
      <c r="BY24" s="13">
        <f>$E$24*(1+'A&amp;R'!$Y$12)^(BY$16-1)*BY$11</f>
        <v>0</v>
      </c>
      <c r="BZ24" s="13">
        <f>$E$24*(1+'A&amp;R'!$Y$12)^(BZ$16-1)*BZ$11</f>
        <v>0</v>
      </c>
      <c r="CA24" s="13">
        <f>$E$24*(1+'A&amp;R'!$Y$12)^(CA$16-1)*CA$11</f>
        <v>0</v>
      </c>
      <c r="CB24" s="13">
        <f>$E$24*(1+'A&amp;R'!$Y$12)^(CB$16-1)*CB$11</f>
        <v>0</v>
      </c>
      <c r="CC24" s="13">
        <f>$E$24*(1+'A&amp;R'!$Y$12)^(CC$16-1)*CC$11</f>
        <v>0</v>
      </c>
      <c r="CD24" s="13">
        <f>$E$24*(1+'A&amp;R'!$Y$12)^(CD$16-1)*CD$11</f>
        <v>0</v>
      </c>
      <c r="CE24" s="13">
        <f>$E$24*(1+'A&amp;R'!$Y$12)^(CE$16-1)*CE$11</f>
        <v>0</v>
      </c>
      <c r="CF24" s="13">
        <f>$E$24*(1+'A&amp;R'!$Y$12)^(CF$16-1)*CF$11</f>
        <v>0</v>
      </c>
      <c r="CG24" s="13">
        <f>$E$24*(1+'A&amp;R'!$Y$12)^(CG$16-1)*CG$11</f>
        <v>0</v>
      </c>
      <c r="CH24" s="13">
        <f>$E$24*(1+'A&amp;R'!$Y$12)^(CH$16-1)*CH$11</f>
        <v>0</v>
      </c>
      <c r="CI24" s="13">
        <f>$E$24*(1+'A&amp;R'!$Y$12)^(CI$16-1)*CI$11</f>
        <v>0</v>
      </c>
      <c r="CJ24" s="13">
        <f>$E$24*(1+'A&amp;R'!$Y$12)^(CJ$16-1)*CJ$11</f>
        <v>0</v>
      </c>
      <c r="CK24" s="13">
        <f>$E$24*(1+'A&amp;R'!$Y$12)^(CK$16-1)*CK$11</f>
        <v>0</v>
      </c>
      <c r="CL24" s="13">
        <f>$E$24*(1+'A&amp;R'!$Y$12)^(CL$16-1)*CL$11</f>
        <v>0</v>
      </c>
      <c r="CM24" s="13">
        <f>$E$24*(1+'A&amp;R'!$Y$12)^(CM$16-1)*CM$11</f>
        <v>0</v>
      </c>
      <c r="CN24" s="13">
        <f>$E$24*(1+'A&amp;R'!$Y$12)^(CN$16-1)*CN$11</f>
        <v>0</v>
      </c>
      <c r="CO24" s="13">
        <f>$E$24*(1+'A&amp;R'!$Y$12)^(CO$16-1)*CO$11</f>
        <v>0</v>
      </c>
      <c r="CP24" s="13">
        <f>$E$24*(1+'A&amp;R'!$Y$12)^(CP$16-1)*CP$11</f>
        <v>0</v>
      </c>
      <c r="CQ24" s="13">
        <f>$E$24*(1+'A&amp;R'!$Y$12)^(CQ$16-1)*CQ$11</f>
        <v>0</v>
      </c>
      <c r="CR24" s="13">
        <f>$E$24*(1+'A&amp;R'!$Y$12)^(CR$16-1)*CR$11</f>
        <v>0</v>
      </c>
      <c r="CS24" s="13">
        <f>$E$24*(1+'A&amp;R'!$Y$12)^(CS$16-1)*CS$11</f>
        <v>0</v>
      </c>
      <c r="CT24" s="13">
        <f>$E$24*(1+'A&amp;R'!$Y$12)^(CT$16-1)*CT$11</f>
        <v>0</v>
      </c>
      <c r="CU24" s="13">
        <f>$E$24*(1+'A&amp;R'!$Y$12)^(CU$16-1)*CU$11</f>
        <v>0</v>
      </c>
      <c r="CV24" s="13">
        <f>$E$24*(1+'A&amp;R'!$Y$12)^(CV$16-1)*CV$11</f>
        <v>0</v>
      </c>
      <c r="CW24" s="13">
        <f>$E$24*(1+'A&amp;R'!$Y$12)^(CW$16-1)*CW$11</f>
        <v>0</v>
      </c>
      <c r="CX24" s="13">
        <f>$E$24*(1+'A&amp;R'!$Y$12)^(CX$16-1)*CX$11</f>
        <v>0</v>
      </c>
      <c r="CY24" s="13">
        <f>$E$24*(1+'A&amp;R'!$Y$12)^(CY$16-1)*CY$11</f>
        <v>0</v>
      </c>
      <c r="CZ24" s="13">
        <f>$E$24*(1+'A&amp;R'!$Y$12)^(CZ$16-1)*CZ$11</f>
        <v>0</v>
      </c>
      <c r="DA24" s="13">
        <f>$E$24*(1+'A&amp;R'!$Y$12)^(DA$16-1)*DA$11</f>
        <v>0</v>
      </c>
      <c r="DB24" s="13">
        <f>$E$24*(1+'A&amp;R'!$Y$12)^(DB$16-1)*DB$11</f>
        <v>0</v>
      </c>
    </row>
    <row r="25" spans="2:106">
      <c r="C25" s="96" t="s">
        <v>188</v>
      </c>
      <c r="D25" s="96"/>
      <c r="E25" s="96"/>
      <c r="F25" s="96">
        <f>SUM(H25:DB25)</f>
        <v>5263.0812157424571</v>
      </c>
      <c r="G25" s="96"/>
      <c r="H25" s="96">
        <f t="shared" ref="H25:AM25" si="16">H23*H24/unit</f>
        <v>0</v>
      </c>
      <c r="I25" s="96">
        <f t="shared" si="16"/>
        <v>83.440389999999994</v>
      </c>
      <c r="J25" s="96">
        <f t="shared" si="16"/>
        <v>83.440389999999994</v>
      </c>
      <c r="K25" s="96">
        <f t="shared" si="16"/>
        <v>83.440389999999994</v>
      </c>
      <c r="L25" s="96">
        <f t="shared" si="16"/>
        <v>83.440389999999994</v>
      </c>
      <c r="M25" s="96">
        <f t="shared" si="16"/>
        <v>83.440389999999994</v>
      </c>
      <c r="N25" s="96">
        <f t="shared" si="16"/>
        <v>83.440389999999994</v>
      </c>
      <c r="O25" s="96">
        <f t="shared" si="16"/>
        <v>83.440389999999994</v>
      </c>
      <c r="P25" s="96">
        <f t="shared" si="16"/>
        <v>83.440389999999994</v>
      </c>
      <c r="Q25" s="96">
        <f t="shared" si="16"/>
        <v>83.440389999999994</v>
      </c>
      <c r="R25" s="96">
        <f t="shared" si="16"/>
        <v>83.440389999999994</v>
      </c>
      <c r="S25" s="96">
        <f t="shared" si="16"/>
        <v>83.440389999999994</v>
      </c>
      <c r="T25" s="96">
        <f t="shared" si="16"/>
        <v>83.440389999999994</v>
      </c>
      <c r="U25" s="96">
        <f t="shared" si="16"/>
        <v>85.526399749999982</v>
      </c>
      <c r="V25" s="96">
        <f t="shared" si="16"/>
        <v>85.526399749999982</v>
      </c>
      <c r="W25" s="96">
        <f t="shared" si="16"/>
        <v>85.526399749999982</v>
      </c>
      <c r="X25" s="96">
        <f t="shared" si="16"/>
        <v>85.526399749999982</v>
      </c>
      <c r="Y25" s="96">
        <f t="shared" si="16"/>
        <v>85.526399749999982</v>
      </c>
      <c r="Z25" s="96">
        <f t="shared" si="16"/>
        <v>85.526399749999982</v>
      </c>
      <c r="AA25" s="96">
        <f t="shared" si="16"/>
        <v>85.526399749999982</v>
      </c>
      <c r="AB25" s="96">
        <f t="shared" si="16"/>
        <v>85.526399749999982</v>
      </c>
      <c r="AC25" s="96">
        <f t="shared" si="16"/>
        <v>85.526399749999982</v>
      </c>
      <c r="AD25" s="96">
        <f t="shared" si="16"/>
        <v>85.526399749999982</v>
      </c>
      <c r="AE25" s="96">
        <f t="shared" si="16"/>
        <v>85.526399749999982</v>
      </c>
      <c r="AF25" s="96">
        <f t="shared" si="16"/>
        <v>85.526399749999982</v>
      </c>
      <c r="AG25" s="96">
        <f t="shared" si="16"/>
        <v>87.66455974374999</v>
      </c>
      <c r="AH25" s="96">
        <f t="shared" si="16"/>
        <v>87.66455974374999</v>
      </c>
      <c r="AI25" s="96">
        <f t="shared" si="16"/>
        <v>87.66455974374999</v>
      </c>
      <c r="AJ25" s="96">
        <f t="shared" si="16"/>
        <v>87.66455974374999</v>
      </c>
      <c r="AK25" s="96">
        <f t="shared" si="16"/>
        <v>87.66455974374999</v>
      </c>
      <c r="AL25" s="96">
        <f t="shared" si="16"/>
        <v>87.66455974374999</v>
      </c>
      <c r="AM25" s="96">
        <f t="shared" si="16"/>
        <v>87.66455974374999</v>
      </c>
      <c r="AN25" s="96">
        <f t="shared" ref="AN25:BS25" si="17">AN23*AN24/unit</f>
        <v>87.66455974374999</v>
      </c>
      <c r="AO25" s="96">
        <f t="shared" si="17"/>
        <v>87.66455974374999</v>
      </c>
      <c r="AP25" s="96">
        <f t="shared" si="17"/>
        <v>87.66455974374999</v>
      </c>
      <c r="AQ25" s="96">
        <f t="shared" si="17"/>
        <v>87.66455974374999</v>
      </c>
      <c r="AR25" s="96">
        <f t="shared" si="17"/>
        <v>87.66455974374999</v>
      </c>
      <c r="AS25" s="96">
        <f t="shared" si="17"/>
        <v>89.856173737343724</v>
      </c>
      <c r="AT25" s="96">
        <f t="shared" si="17"/>
        <v>89.856173737343724</v>
      </c>
      <c r="AU25" s="96">
        <f t="shared" si="17"/>
        <v>89.856173737343724</v>
      </c>
      <c r="AV25" s="96">
        <f t="shared" si="17"/>
        <v>89.856173737343724</v>
      </c>
      <c r="AW25" s="96">
        <f t="shared" si="17"/>
        <v>89.856173737343724</v>
      </c>
      <c r="AX25" s="96">
        <f t="shared" si="17"/>
        <v>89.856173737343724</v>
      </c>
      <c r="AY25" s="96">
        <f t="shared" si="17"/>
        <v>89.856173737343724</v>
      </c>
      <c r="AZ25" s="96">
        <f t="shared" si="17"/>
        <v>89.856173737343724</v>
      </c>
      <c r="BA25" s="96">
        <f t="shared" si="17"/>
        <v>89.856173737343724</v>
      </c>
      <c r="BB25" s="96">
        <f t="shared" si="17"/>
        <v>89.856173737343724</v>
      </c>
      <c r="BC25" s="96">
        <f t="shared" si="17"/>
        <v>89.856173737343724</v>
      </c>
      <c r="BD25" s="96">
        <f t="shared" si="17"/>
        <v>89.856173737343724</v>
      </c>
      <c r="BE25" s="96">
        <f t="shared" si="17"/>
        <v>92.10257808077732</v>
      </c>
      <c r="BF25" s="96">
        <f t="shared" si="17"/>
        <v>92.10257808077732</v>
      </c>
      <c r="BG25" s="96">
        <f t="shared" si="17"/>
        <v>92.10257808077732</v>
      </c>
      <c r="BH25" s="96">
        <f t="shared" si="17"/>
        <v>92.10257808077732</v>
      </c>
      <c r="BI25" s="96">
        <f t="shared" si="17"/>
        <v>92.10257808077732</v>
      </c>
      <c r="BJ25" s="96">
        <f t="shared" si="17"/>
        <v>92.10257808077732</v>
      </c>
      <c r="BK25" s="96">
        <f t="shared" si="17"/>
        <v>92.10257808077732</v>
      </c>
      <c r="BL25" s="96">
        <f t="shared" si="17"/>
        <v>92.10257808077732</v>
      </c>
      <c r="BM25" s="96">
        <f t="shared" si="17"/>
        <v>92.10257808077732</v>
      </c>
      <c r="BN25" s="96">
        <f t="shared" si="17"/>
        <v>92.10257808077732</v>
      </c>
      <c r="BO25" s="96">
        <f t="shared" si="17"/>
        <v>92.10257808077732</v>
      </c>
      <c r="BP25" s="96">
        <f t="shared" si="17"/>
        <v>92.10257808077732</v>
      </c>
      <c r="BQ25" s="96">
        <f t="shared" si="17"/>
        <v>0</v>
      </c>
      <c r="BR25" s="96">
        <f t="shared" si="17"/>
        <v>0</v>
      </c>
      <c r="BS25" s="96">
        <f t="shared" si="17"/>
        <v>0</v>
      </c>
      <c r="BT25" s="96">
        <f t="shared" ref="BT25:CY25" si="18">BT23*BT24/unit</f>
        <v>0</v>
      </c>
      <c r="BU25" s="96">
        <f t="shared" si="18"/>
        <v>0</v>
      </c>
      <c r="BV25" s="96">
        <f t="shared" si="18"/>
        <v>0</v>
      </c>
      <c r="BW25" s="96">
        <f t="shared" si="18"/>
        <v>0</v>
      </c>
      <c r="BX25" s="96">
        <f t="shared" si="18"/>
        <v>0</v>
      </c>
      <c r="BY25" s="96">
        <f t="shared" si="18"/>
        <v>0</v>
      </c>
      <c r="BZ25" s="96">
        <f t="shared" si="18"/>
        <v>0</v>
      </c>
      <c r="CA25" s="96">
        <f t="shared" si="18"/>
        <v>0</v>
      </c>
      <c r="CB25" s="96">
        <f t="shared" si="18"/>
        <v>0</v>
      </c>
      <c r="CC25" s="96">
        <f t="shared" si="18"/>
        <v>0</v>
      </c>
      <c r="CD25" s="96">
        <f t="shared" si="18"/>
        <v>0</v>
      </c>
      <c r="CE25" s="96">
        <f t="shared" si="18"/>
        <v>0</v>
      </c>
      <c r="CF25" s="96">
        <f t="shared" si="18"/>
        <v>0</v>
      </c>
      <c r="CG25" s="96">
        <f t="shared" si="18"/>
        <v>0</v>
      </c>
      <c r="CH25" s="96">
        <f t="shared" si="18"/>
        <v>0</v>
      </c>
      <c r="CI25" s="96">
        <f t="shared" si="18"/>
        <v>0</v>
      </c>
      <c r="CJ25" s="96">
        <f t="shared" si="18"/>
        <v>0</v>
      </c>
      <c r="CK25" s="96">
        <f t="shared" si="18"/>
        <v>0</v>
      </c>
      <c r="CL25" s="96">
        <f t="shared" si="18"/>
        <v>0</v>
      </c>
      <c r="CM25" s="96">
        <f t="shared" si="18"/>
        <v>0</v>
      </c>
      <c r="CN25" s="96">
        <f t="shared" si="18"/>
        <v>0</v>
      </c>
      <c r="CO25" s="96">
        <f t="shared" si="18"/>
        <v>0</v>
      </c>
      <c r="CP25" s="96">
        <f t="shared" si="18"/>
        <v>0</v>
      </c>
      <c r="CQ25" s="96">
        <f t="shared" si="18"/>
        <v>0</v>
      </c>
      <c r="CR25" s="96">
        <f t="shared" si="18"/>
        <v>0</v>
      </c>
      <c r="CS25" s="96">
        <f t="shared" si="18"/>
        <v>0</v>
      </c>
      <c r="CT25" s="96">
        <f t="shared" si="18"/>
        <v>0</v>
      </c>
      <c r="CU25" s="96">
        <f t="shared" si="18"/>
        <v>0</v>
      </c>
      <c r="CV25" s="96">
        <f t="shared" si="18"/>
        <v>0</v>
      </c>
      <c r="CW25" s="96">
        <f t="shared" si="18"/>
        <v>0</v>
      </c>
      <c r="CX25" s="96">
        <f t="shared" si="18"/>
        <v>0</v>
      </c>
      <c r="CY25" s="96">
        <f t="shared" si="18"/>
        <v>0</v>
      </c>
      <c r="CZ25" s="96">
        <f t="shared" ref="CZ25:DB25" si="19">CZ23*CZ24/unit</f>
        <v>0</v>
      </c>
      <c r="DA25" s="96">
        <f t="shared" si="19"/>
        <v>0</v>
      </c>
      <c r="DB25" s="96">
        <f t="shared" si="19"/>
        <v>0</v>
      </c>
    </row>
    <row r="27" spans="2:106">
      <c r="B27" s="2" t="str">
        <f>'A&amp;R'!U13</f>
        <v>수도광열비</v>
      </c>
    </row>
    <row r="28" spans="2:106">
      <c r="C28" s="13" t="s">
        <v>174</v>
      </c>
      <c r="E28" s="118">
        <f>'A&amp;R'!$M$20</f>
        <v>7585.49</v>
      </c>
      <c r="H28" s="13">
        <f>$E$18*H$11</f>
        <v>0</v>
      </c>
      <c r="I28" s="13">
        <f t="shared" ref="I28:BT28" si="20">$E$18*I$11</f>
        <v>7585.49</v>
      </c>
      <c r="J28" s="13">
        <f t="shared" si="20"/>
        <v>7585.49</v>
      </c>
      <c r="K28" s="13">
        <f t="shared" si="20"/>
        <v>7585.49</v>
      </c>
      <c r="L28" s="13">
        <f t="shared" si="20"/>
        <v>7585.49</v>
      </c>
      <c r="M28" s="13">
        <f t="shared" si="20"/>
        <v>7585.49</v>
      </c>
      <c r="N28" s="13">
        <f t="shared" si="20"/>
        <v>7585.49</v>
      </c>
      <c r="O28" s="13">
        <f t="shared" si="20"/>
        <v>7585.49</v>
      </c>
      <c r="P28" s="13">
        <f t="shared" si="20"/>
        <v>7585.49</v>
      </c>
      <c r="Q28" s="13">
        <f t="shared" si="20"/>
        <v>7585.49</v>
      </c>
      <c r="R28" s="13">
        <f t="shared" si="20"/>
        <v>7585.49</v>
      </c>
      <c r="S28" s="13">
        <f t="shared" si="20"/>
        <v>7585.49</v>
      </c>
      <c r="T28" s="13">
        <f t="shared" si="20"/>
        <v>7585.49</v>
      </c>
      <c r="U28" s="13">
        <f t="shared" si="20"/>
        <v>7585.49</v>
      </c>
      <c r="V28" s="13">
        <f t="shared" si="20"/>
        <v>7585.49</v>
      </c>
      <c r="W28" s="13">
        <f t="shared" si="20"/>
        <v>7585.49</v>
      </c>
      <c r="X28" s="13">
        <f t="shared" si="20"/>
        <v>7585.49</v>
      </c>
      <c r="Y28" s="13">
        <f t="shared" si="20"/>
        <v>7585.49</v>
      </c>
      <c r="Z28" s="13">
        <f t="shared" si="20"/>
        <v>7585.49</v>
      </c>
      <c r="AA28" s="13">
        <f t="shared" si="20"/>
        <v>7585.49</v>
      </c>
      <c r="AB28" s="13">
        <f t="shared" si="20"/>
        <v>7585.49</v>
      </c>
      <c r="AC28" s="13">
        <f t="shared" si="20"/>
        <v>7585.49</v>
      </c>
      <c r="AD28" s="13">
        <f t="shared" si="20"/>
        <v>7585.49</v>
      </c>
      <c r="AE28" s="13">
        <f t="shared" si="20"/>
        <v>7585.49</v>
      </c>
      <c r="AF28" s="13">
        <f t="shared" si="20"/>
        <v>7585.49</v>
      </c>
      <c r="AG28" s="13">
        <f t="shared" si="20"/>
        <v>7585.49</v>
      </c>
      <c r="AH28" s="13">
        <f t="shared" si="20"/>
        <v>7585.49</v>
      </c>
      <c r="AI28" s="13">
        <f t="shared" si="20"/>
        <v>7585.49</v>
      </c>
      <c r="AJ28" s="13">
        <f t="shared" si="20"/>
        <v>7585.49</v>
      </c>
      <c r="AK28" s="13">
        <f t="shared" si="20"/>
        <v>7585.49</v>
      </c>
      <c r="AL28" s="13">
        <f t="shared" si="20"/>
        <v>7585.49</v>
      </c>
      <c r="AM28" s="13">
        <f t="shared" si="20"/>
        <v>7585.49</v>
      </c>
      <c r="AN28" s="13">
        <f t="shared" si="20"/>
        <v>7585.49</v>
      </c>
      <c r="AO28" s="13">
        <f t="shared" si="20"/>
        <v>7585.49</v>
      </c>
      <c r="AP28" s="13">
        <f t="shared" si="20"/>
        <v>7585.49</v>
      </c>
      <c r="AQ28" s="13">
        <f t="shared" si="20"/>
        <v>7585.49</v>
      </c>
      <c r="AR28" s="13">
        <f t="shared" si="20"/>
        <v>7585.49</v>
      </c>
      <c r="AS28" s="13">
        <f t="shared" si="20"/>
        <v>7585.49</v>
      </c>
      <c r="AT28" s="13">
        <f t="shared" si="20"/>
        <v>7585.49</v>
      </c>
      <c r="AU28" s="13">
        <f t="shared" si="20"/>
        <v>7585.49</v>
      </c>
      <c r="AV28" s="13">
        <f t="shared" si="20"/>
        <v>7585.49</v>
      </c>
      <c r="AW28" s="13">
        <f t="shared" si="20"/>
        <v>7585.49</v>
      </c>
      <c r="AX28" s="13">
        <f t="shared" si="20"/>
        <v>7585.49</v>
      </c>
      <c r="AY28" s="13">
        <f t="shared" si="20"/>
        <v>7585.49</v>
      </c>
      <c r="AZ28" s="13">
        <f t="shared" si="20"/>
        <v>7585.49</v>
      </c>
      <c r="BA28" s="13">
        <f t="shared" si="20"/>
        <v>7585.49</v>
      </c>
      <c r="BB28" s="13">
        <f t="shared" si="20"/>
        <v>7585.49</v>
      </c>
      <c r="BC28" s="13">
        <f t="shared" si="20"/>
        <v>7585.49</v>
      </c>
      <c r="BD28" s="13">
        <f t="shared" si="20"/>
        <v>7585.49</v>
      </c>
      <c r="BE28" s="13">
        <f t="shared" si="20"/>
        <v>7585.49</v>
      </c>
      <c r="BF28" s="13">
        <f t="shared" si="20"/>
        <v>7585.49</v>
      </c>
      <c r="BG28" s="13">
        <f t="shared" si="20"/>
        <v>7585.49</v>
      </c>
      <c r="BH28" s="13">
        <f t="shared" si="20"/>
        <v>7585.49</v>
      </c>
      <c r="BI28" s="13">
        <f t="shared" si="20"/>
        <v>7585.49</v>
      </c>
      <c r="BJ28" s="13">
        <f t="shared" si="20"/>
        <v>7585.49</v>
      </c>
      <c r="BK28" s="13">
        <f t="shared" si="20"/>
        <v>7585.49</v>
      </c>
      <c r="BL28" s="13">
        <f t="shared" si="20"/>
        <v>7585.49</v>
      </c>
      <c r="BM28" s="13">
        <f t="shared" si="20"/>
        <v>7585.49</v>
      </c>
      <c r="BN28" s="13">
        <f t="shared" si="20"/>
        <v>7585.49</v>
      </c>
      <c r="BO28" s="13">
        <f t="shared" si="20"/>
        <v>7585.49</v>
      </c>
      <c r="BP28" s="13">
        <f t="shared" si="20"/>
        <v>7585.49</v>
      </c>
      <c r="BQ28" s="13">
        <f t="shared" si="20"/>
        <v>0</v>
      </c>
      <c r="BR28" s="13">
        <f t="shared" si="20"/>
        <v>0</v>
      </c>
      <c r="BS28" s="13">
        <f t="shared" si="20"/>
        <v>0</v>
      </c>
      <c r="BT28" s="13">
        <f t="shared" si="20"/>
        <v>0</v>
      </c>
      <c r="BU28" s="13">
        <f t="shared" ref="BU28:DB28" si="21">$E$18*BU$11</f>
        <v>0</v>
      </c>
      <c r="BV28" s="13">
        <f t="shared" si="21"/>
        <v>0</v>
      </c>
      <c r="BW28" s="13">
        <f t="shared" si="21"/>
        <v>0</v>
      </c>
      <c r="BX28" s="13">
        <f t="shared" si="21"/>
        <v>0</v>
      </c>
      <c r="BY28" s="13">
        <f t="shared" si="21"/>
        <v>0</v>
      </c>
      <c r="BZ28" s="13">
        <f t="shared" si="21"/>
        <v>0</v>
      </c>
      <c r="CA28" s="13">
        <f t="shared" si="21"/>
        <v>0</v>
      </c>
      <c r="CB28" s="13">
        <f t="shared" si="21"/>
        <v>0</v>
      </c>
      <c r="CC28" s="13">
        <f t="shared" si="21"/>
        <v>0</v>
      </c>
      <c r="CD28" s="13">
        <f t="shared" si="21"/>
        <v>0</v>
      </c>
      <c r="CE28" s="13">
        <f t="shared" si="21"/>
        <v>0</v>
      </c>
      <c r="CF28" s="13">
        <f t="shared" si="21"/>
        <v>0</v>
      </c>
      <c r="CG28" s="13">
        <f t="shared" si="21"/>
        <v>0</v>
      </c>
      <c r="CH28" s="13">
        <f t="shared" si="21"/>
        <v>0</v>
      </c>
      <c r="CI28" s="13">
        <f t="shared" si="21"/>
        <v>0</v>
      </c>
      <c r="CJ28" s="13">
        <f t="shared" si="21"/>
        <v>0</v>
      </c>
      <c r="CK28" s="13">
        <f t="shared" si="21"/>
        <v>0</v>
      </c>
      <c r="CL28" s="13">
        <f t="shared" si="21"/>
        <v>0</v>
      </c>
      <c r="CM28" s="13">
        <f t="shared" si="21"/>
        <v>0</v>
      </c>
      <c r="CN28" s="13">
        <f t="shared" si="21"/>
        <v>0</v>
      </c>
      <c r="CO28" s="13">
        <f t="shared" si="21"/>
        <v>0</v>
      </c>
      <c r="CP28" s="13">
        <f t="shared" si="21"/>
        <v>0</v>
      </c>
      <c r="CQ28" s="13">
        <f t="shared" si="21"/>
        <v>0</v>
      </c>
      <c r="CR28" s="13">
        <f t="shared" si="21"/>
        <v>0</v>
      </c>
      <c r="CS28" s="13">
        <f t="shared" si="21"/>
        <v>0</v>
      </c>
      <c r="CT28" s="13">
        <f t="shared" si="21"/>
        <v>0</v>
      </c>
      <c r="CU28" s="13">
        <f t="shared" si="21"/>
        <v>0</v>
      </c>
      <c r="CV28" s="13">
        <f t="shared" si="21"/>
        <v>0</v>
      </c>
      <c r="CW28" s="13">
        <f t="shared" si="21"/>
        <v>0</v>
      </c>
      <c r="CX28" s="13">
        <f t="shared" si="21"/>
        <v>0</v>
      </c>
      <c r="CY28" s="13">
        <f t="shared" si="21"/>
        <v>0</v>
      </c>
      <c r="CZ28" s="13">
        <f t="shared" si="21"/>
        <v>0</v>
      </c>
      <c r="DA28" s="13">
        <f t="shared" si="21"/>
        <v>0</v>
      </c>
      <c r="DB28" s="13">
        <f t="shared" si="21"/>
        <v>0</v>
      </c>
    </row>
    <row r="29" spans="2:106">
      <c r="C29" s="13" t="s">
        <v>196</v>
      </c>
      <c r="E29" s="119">
        <f>'A&amp;R'!$W$13</f>
        <v>8000</v>
      </c>
      <c r="H29" s="13">
        <f>$E$29*(1+'A&amp;R'!$Y$13)^(H$16-1)*H$11</f>
        <v>0</v>
      </c>
      <c r="I29" s="13">
        <f>$E$29*(1+'A&amp;R'!$Y$13)^(I$16-1)*I$11</f>
        <v>8000</v>
      </c>
      <c r="J29" s="13">
        <f>$E$29*(1+'A&amp;R'!$Y$13)^(J$16-1)*J$11</f>
        <v>8000</v>
      </c>
      <c r="K29" s="13">
        <f>$E$29*(1+'A&amp;R'!$Y$13)^(K$16-1)*K$11</f>
        <v>8000</v>
      </c>
      <c r="L29" s="13">
        <f>$E$29*(1+'A&amp;R'!$Y$13)^(L$16-1)*L$11</f>
        <v>8000</v>
      </c>
      <c r="M29" s="13">
        <f>$E$29*(1+'A&amp;R'!$Y$13)^(M$16-1)*M$11</f>
        <v>8000</v>
      </c>
      <c r="N29" s="13">
        <f>$E$29*(1+'A&amp;R'!$Y$13)^(N$16-1)*N$11</f>
        <v>8000</v>
      </c>
      <c r="O29" s="13">
        <f>$E$29*(1+'A&amp;R'!$Y$13)^(O$16-1)*O$11</f>
        <v>8000</v>
      </c>
      <c r="P29" s="13">
        <f>$E$29*(1+'A&amp;R'!$Y$13)^(P$16-1)*P$11</f>
        <v>8000</v>
      </c>
      <c r="Q29" s="13">
        <f>$E$29*(1+'A&amp;R'!$Y$13)^(Q$16-1)*Q$11</f>
        <v>8000</v>
      </c>
      <c r="R29" s="13">
        <f>$E$29*(1+'A&amp;R'!$Y$13)^(R$16-1)*R$11</f>
        <v>8000</v>
      </c>
      <c r="S29" s="13">
        <f>$E$29*(1+'A&amp;R'!$Y$13)^(S$16-1)*S$11</f>
        <v>8000</v>
      </c>
      <c r="T29" s="13">
        <f>$E$29*(1+'A&amp;R'!$Y$13)^(T$16-1)*T$11</f>
        <v>8000</v>
      </c>
      <c r="U29" s="13">
        <f>$E$29*(1+'A&amp;R'!$Y$13)^(U$16-1)*U$11</f>
        <v>8200</v>
      </c>
      <c r="V29" s="13">
        <f>$E$29*(1+'A&amp;R'!$Y$13)^(V$16-1)*V$11</f>
        <v>8200</v>
      </c>
      <c r="W29" s="13">
        <f>$E$29*(1+'A&amp;R'!$Y$13)^(W$16-1)*W$11</f>
        <v>8200</v>
      </c>
      <c r="X29" s="13">
        <f>$E$29*(1+'A&amp;R'!$Y$13)^(X$16-1)*X$11</f>
        <v>8200</v>
      </c>
      <c r="Y29" s="13">
        <f>$E$29*(1+'A&amp;R'!$Y$13)^(Y$16-1)*Y$11</f>
        <v>8200</v>
      </c>
      <c r="Z29" s="13">
        <f>$E$29*(1+'A&amp;R'!$Y$13)^(Z$16-1)*Z$11</f>
        <v>8200</v>
      </c>
      <c r="AA29" s="13">
        <f>$E$29*(1+'A&amp;R'!$Y$13)^(AA$16-1)*AA$11</f>
        <v>8200</v>
      </c>
      <c r="AB29" s="13">
        <f>$E$29*(1+'A&amp;R'!$Y$13)^(AB$16-1)*AB$11</f>
        <v>8200</v>
      </c>
      <c r="AC29" s="13">
        <f>$E$29*(1+'A&amp;R'!$Y$13)^(AC$16-1)*AC$11</f>
        <v>8200</v>
      </c>
      <c r="AD29" s="13">
        <f>$E$29*(1+'A&amp;R'!$Y$13)^(AD$16-1)*AD$11</f>
        <v>8200</v>
      </c>
      <c r="AE29" s="13">
        <f>$E$29*(1+'A&amp;R'!$Y$13)^(AE$16-1)*AE$11</f>
        <v>8200</v>
      </c>
      <c r="AF29" s="13">
        <f>$E$29*(1+'A&amp;R'!$Y$13)^(AF$16-1)*AF$11</f>
        <v>8200</v>
      </c>
      <c r="AG29" s="13">
        <f>$E$29*(1+'A&amp;R'!$Y$13)^(AG$16-1)*AG$11</f>
        <v>8405</v>
      </c>
      <c r="AH29" s="13">
        <f>$E$29*(1+'A&amp;R'!$Y$13)^(AH$16-1)*AH$11</f>
        <v>8405</v>
      </c>
      <c r="AI29" s="13">
        <f>$E$29*(1+'A&amp;R'!$Y$13)^(AI$16-1)*AI$11</f>
        <v>8405</v>
      </c>
      <c r="AJ29" s="13">
        <f>$E$29*(1+'A&amp;R'!$Y$13)^(AJ$16-1)*AJ$11</f>
        <v>8405</v>
      </c>
      <c r="AK29" s="13">
        <f>$E$29*(1+'A&amp;R'!$Y$13)^(AK$16-1)*AK$11</f>
        <v>8405</v>
      </c>
      <c r="AL29" s="13">
        <f>$E$29*(1+'A&amp;R'!$Y$13)^(AL$16-1)*AL$11</f>
        <v>8405</v>
      </c>
      <c r="AM29" s="13">
        <f>$E$29*(1+'A&amp;R'!$Y$13)^(AM$16-1)*AM$11</f>
        <v>8405</v>
      </c>
      <c r="AN29" s="13">
        <f>$E$29*(1+'A&amp;R'!$Y$13)^(AN$16-1)*AN$11</f>
        <v>8405</v>
      </c>
      <c r="AO29" s="13">
        <f>$E$29*(1+'A&amp;R'!$Y$13)^(AO$16-1)*AO$11</f>
        <v>8405</v>
      </c>
      <c r="AP29" s="13">
        <f>$E$29*(1+'A&amp;R'!$Y$13)^(AP$16-1)*AP$11</f>
        <v>8405</v>
      </c>
      <c r="AQ29" s="13">
        <f>$E$29*(1+'A&amp;R'!$Y$13)^(AQ$16-1)*AQ$11</f>
        <v>8405</v>
      </c>
      <c r="AR29" s="13">
        <f>$E$29*(1+'A&amp;R'!$Y$13)^(AR$16-1)*AR$11</f>
        <v>8405</v>
      </c>
      <c r="AS29" s="13">
        <f>$E$29*(1+'A&amp;R'!$Y$13)^(AS$16-1)*AS$11</f>
        <v>8615.1249999999982</v>
      </c>
      <c r="AT29" s="13">
        <f>$E$29*(1+'A&amp;R'!$Y$13)^(AT$16-1)*AT$11</f>
        <v>8615.1249999999982</v>
      </c>
      <c r="AU29" s="13">
        <f>$E$29*(1+'A&amp;R'!$Y$13)^(AU$16-1)*AU$11</f>
        <v>8615.1249999999982</v>
      </c>
      <c r="AV29" s="13">
        <f>$E$29*(1+'A&amp;R'!$Y$13)^(AV$16-1)*AV$11</f>
        <v>8615.1249999999982</v>
      </c>
      <c r="AW29" s="13">
        <f>$E$29*(1+'A&amp;R'!$Y$13)^(AW$16-1)*AW$11</f>
        <v>8615.1249999999982</v>
      </c>
      <c r="AX29" s="13">
        <f>$E$29*(1+'A&amp;R'!$Y$13)^(AX$16-1)*AX$11</f>
        <v>8615.1249999999982</v>
      </c>
      <c r="AY29" s="13">
        <f>$E$29*(1+'A&amp;R'!$Y$13)^(AY$16-1)*AY$11</f>
        <v>8615.1249999999982</v>
      </c>
      <c r="AZ29" s="13">
        <f>$E$29*(1+'A&amp;R'!$Y$13)^(AZ$16-1)*AZ$11</f>
        <v>8615.1249999999982</v>
      </c>
      <c r="BA29" s="13">
        <f>$E$29*(1+'A&amp;R'!$Y$13)^(BA$16-1)*BA$11</f>
        <v>8615.1249999999982</v>
      </c>
      <c r="BB29" s="13">
        <f>$E$29*(1+'A&amp;R'!$Y$13)^(BB$16-1)*BB$11</f>
        <v>8615.1249999999982</v>
      </c>
      <c r="BC29" s="13">
        <f>$E$29*(1+'A&amp;R'!$Y$13)^(BC$16-1)*BC$11</f>
        <v>8615.1249999999982</v>
      </c>
      <c r="BD29" s="13">
        <f>$E$29*(1+'A&amp;R'!$Y$13)^(BD$16-1)*BD$11</f>
        <v>8615.1249999999982</v>
      </c>
      <c r="BE29" s="13">
        <f>$E$29*(1+'A&amp;R'!$Y$13)^(BE$16-1)*BE$11</f>
        <v>8830.5031249999975</v>
      </c>
      <c r="BF29" s="13">
        <f>$E$29*(1+'A&amp;R'!$Y$13)^(BF$16-1)*BF$11</f>
        <v>8830.5031249999975</v>
      </c>
      <c r="BG29" s="13">
        <f>$E$29*(1+'A&amp;R'!$Y$13)^(BG$16-1)*BG$11</f>
        <v>8830.5031249999975</v>
      </c>
      <c r="BH29" s="13">
        <f>$E$29*(1+'A&amp;R'!$Y$13)^(BH$16-1)*BH$11</f>
        <v>8830.5031249999975</v>
      </c>
      <c r="BI29" s="13">
        <f>$E$29*(1+'A&amp;R'!$Y$13)^(BI$16-1)*BI$11</f>
        <v>8830.5031249999975</v>
      </c>
      <c r="BJ29" s="13">
        <f>$E$29*(1+'A&amp;R'!$Y$13)^(BJ$16-1)*BJ$11</f>
        <v>8830.5031249999975</v>
      </c>
      <c r="BK29" s="13">
        <f>$E$29*(1+'A&amp;R'!$Y$13)^(BK$16-1)*BK$11</f>
        <v>8830.5031249999975</v>
      </c>
      <c r="BL29" s="13">
        <f>$E$29*(1+'A&amp;R'!$Y$13)^(BL$16-1)*BL$11</f>
        <v>8830.5031249999975</v>
      </c>
      <c r="BM29" s="13">
        <f>$E$29*(1+'A&amp;R'!$Y$13)^(BM$16-1)*BM$11</f>
        <v>8830.5031249999975</v>
      </c>
      <c r="BN29" s="13">
        <f>$E$29*(1+'A&amp;R'!$Y$13)^(BN$16-1)*BN$11</f>
        <v>8830.5031249999975</v>
      </c>
      <c r="BO29" s="13">
        <f>$E$29*(1+'A&amp;R'!$Y$13)^(BO$16-1)*BO$11</f>
        <v>8830.5031249999975</v>
      </c>
      <c r="BP29" s="13">
        <f>$E$29*(1+'A&amp;R'!$Y$13)^(BP$16-1)*BP$11</f>
        <v>8830.5031249999975</v>
      </c>
      <c r="BQ29" s="13">
        <f>$E$29*(1+'A&amp;R'!$Y$13)^(BQ$16-1)*BQ$11</f>
        <v>0</v>
      </c>
      <c r="BR29" s="13">
        <f>$E$29*(1+'A&amp;R'!$Y$13)^(BR$16-1)*BR$11</f>
        <v>0</v>
      </c>
      <c r="BS29" s="13">
        <f>$E$29*(1+'A&amp;R'!$Y$13)^(BS$16-1)*BS$11</f>
        <v>0</v>
      </c>
      <c r="BT29" s="13">
        <f>$E$29*(1+'A&amp;R'!$Y$13)^(BT$16-1)*BT$11</f>
        <v>0</v>
      </c>
      <c r="BU29" s="13">
        <f>$E$29*(1+'A&amp;R'!$Y$13)^(BU$16-1)*BU$11</f>
        <v>0</v>
      </c>
      <c r="BV29" s="13">
        <f>$E$29*(1+'A&amp;R'!$Y$13)^(BV$16-1)*BV$11</f>
        <v>0</v>
      </c>
      <c r="BW29" s="13">
        <f>$E$29*(1+'A&amp;R'!$Y$13)^(BW$16-1)*BW$11</f>
        <v>0</v>
      </c>
      <c r="BX29" s="13">
        <f>$E$29*(1+'A&amp;R'!$Y$13)^(BX$16-1)*BX$11</f>
        <v>0</v>
      </c>
      <c r="BY29" s="13">
        <f>$E$29*(1+'A&amp;R'!$Y$13)^(BY$16-1)*BY$11</f>
        <v>0</v>
      </c>
      <c r="BZ29" s="13">
        <f>$E$29*(1+'A&amp;R'!$Y$13)^(BZ$16-1)*BZ$11</f>
        <v>0</v>
      </c>
      <c r="CA29" s="13">
        <f>$E$29*(1+'A&amp;R'!$Y$13)^(CA$16-1)*CA$11</f>
        <v>0</v>
      </c>
      <c r="CB29" s="13">
        <f>$E$29*(1+'A&amp;R'!$Y$13)^(CB$16-1)*CB$11</f>
        <v>0</v>
      </c>
      <c r="CC29" s="13">
        <f>$E$29*(1+'A&amp;R'!$Y$13)^(CC$16-1)*CC$11</f>
        <v>0</v>
      </c>
      <c r="CD29" s="13">
        <f>$E$29*(1+'A&amp;R'!$Y$13)^(CD$16-1)*CD$11</f>
        <v>0</v>
      </c>
      <c r="CE29" s="13">
        <f>$E$29*(1+'A&amp;R'!$Y$13)^(CE$16-1)*CE$11</f>
        <v>0</v>
      </c>
      <c r="CF29" s="13">
        <f>$E$29*(1+'A&amp;R'!$Y$13)^(CF$16-1)*CF$11</f>
        <v>0</v>
      </c>
      <c r="CG29" s="13">
        <f>$E$29*(1+'A&amp;R'!$Y$13)^(CG$16-1)*CG$11</f>
        <v>0</v>
      </c>
      <c r="CH29" s="13">
        <f>$E$29*(1+'A&amp;R'!$Y$13)^(CH$16-1)*CH$11</f>
        <v>0</v>
      </c>
      <c r="CI29" s="13">
        <f>$E$29*(1+'A&amp;R'!$Y$13)^(CI$16-1)*CI$11</f>
        <v>0</v>
      </c>
      <c r="CJ29" s="13">
        <f>$E$29*(1+'A&amp;R'!$Y$13)^(CJ$16-1)*CJ$11</f>
        <v>0</v>
      </c>
      <c r="CK29" s="13">
        <f>$E$29*(1+'A&amp;R'!$Y$13)^(CK$16-1)*CK$11</f>
        <v>0</v>
      </c>
      <c r="CL29" s="13">
        <f>$E$29*(1+'A&amp;R'!$Y$13)^(CL$16-1)*CL$11</f>
        <v>0</v>
      </c>
      <c r="CM29" s="13">
        <f>$E$29*(1+'A&amp;R'!$Y$13)^(CM$16-1)*CM$11</f>
        <v>0</v>
      </c>
      <c r="CN29" s="13">
        <f>$E$29*(1+'A&amp;R'!$Y$13)^(CN$16-1)*CN$11</f>
        <v>0</v>
      </c>
      <c r="CO29" s="13">
        <f>$E$29*(1+'A&amp;R'!$Y$13)^(CO$16-1)*CO$11</f>
        <v>0</v>
      </c>
      <c r="CP29" s="13">
        <f>$E$29*(1+'A&amp;R'!$Y$13)^(CP$16-1)*CP$11</f>
        <v>0</v>
      </c>
      <c r="CQ29" s="13">
        <f>$E$29*(1+'A&amp;R'!$Y$13)^(CQ$16-1)*CQ$11</f>
        <v>0</v>
      </c>
      <c r="CR29" s="13">
        <f>$E$29*(1+'A&amp;R'!$Y$13)^(CR$16-1)*CR$11</f>
        <v>0</v>
      </c>
      <c r="CS29" s="13">
        <f>$E$29*(1+'A&amp;R'!$Y$13)^(CS$16-1)*CS$11</f>
        <v>0</v>
      </c>
      <c r="CT29" s="13">
        <f>$E$29*(1+'A&amp;R'!$Y$13)^(CT$16-1)*CT$11</f>
        <v>0</v>
      </c>
      <c r="CU29" s="13">
        <f>$E$29*(1+'A&amp;R'!$Y$13)^(CU$16-1)*CU$11</f>
        <v>0</v>
      </c>
      <c r="CV29" s="13">
        <f>$E$29*(1+'A&amp;R'!$Y$13)^(CV$16-1)*CV$11</f>
        <v>0</v>
      </c>
      <c r="CW29" s="13">
        <f>$E$29*(1+'A&amp;R'!$Y$13)^(CW$16-1)*CW$11</f>
        <v>0</v>
      </c>
      <c r="CX29" s="13">
        <f>$E$29*(1+'A&amp;R'!$Y$13)^(CX$16-1)*CX$11</f>
        <v>0</v>
      </c>
      <c r="CY29" s="13">
        <f>$E$29*(1+'A&amp;R'!$Y$13)^(CY$16-1)*CY$11</f>
        <v>0</v>
      </c>
      <c r="CZ29" s="13">
        <f>$E$29*(1+'A&amp;R'!$Y$13)^(CZ$16-1)*CZ$11</f>
        <v>0</v>
      </c>
      <c r="DA29" s="13">
        <f>$E$29*(1+'A&amp;R'!$Y$13)^(DA$16-1)*DA$11</f>
        <v>0</v>
      </c>
      <c r="DB29" s="13">
        <f>$E$29*(1+'A&amp;R'!$Y$13)^(DB$16-1)*DB$11</f>
        <v>0</v>
      </c>
    </row>
    <row r="30" spans="2:106">
      <c r="C30" s="96" t="s">
        <v>189</v>
      </c>
      <c r="D30" s="96"/>
      <c r="E30" s="96"/>
      <c r="F30" s="96">
        <f>SUM(H30:DB30)</f>
        <v>3827.6954296308736</v>
      </c>
      <c r="G30" s="96"/>
      <c r="H30" s="96">
        <f t="shared" ref="H30:AM30" si="22">H28*H29/unit</f>
        <v>0</v>
      </c>
      <c r="I30" s="96">
        <f t="shared" si="22"/>
        <v>60.683920000000001</v>
      </c>
      <c r="J30" s="96">
        <f t="shared" si="22"/>
        <v>60.683920000000001</v>
      </c>
      <c r="K30" s="96">
        <f t="shared" si="22"/>
        <v>60.683920000000001</v>
      </c>
      <c r="L30" s="96">
        <f t="shared" si="22"/>
        <v>60.683920000000001</v>
      </c>
      <c r="M30" s="96">
        <f t="shared" si="22"/>
        <v>60.683920000000001</v>
      </c>
      <c r="N30" s="96">
        <f t="shared" si="22"/>
        <v>60.683920000000001</v>
      </c>
      <c r="O30" s="96">
        <f t="shared" si="22"/>
        <v>60.683920000000001</v>
      </c>
      <c r="P30" s="96">
        <f t="shared" si="22"/>
        <v>60.683920000000001</v>
      </c>
      <c r="Q30" s="96">
        <f t="shared" si="22"/>
        <v>60.683920000000001</v>
      </c>
      <c r="R30" s="96">
        <f t="shared" si="22"/>
        <v>60.683920000000001</v>
      </c>
      <c r="S30" s="96">
        <f t="shared" si="22"/>
        <v>60.683920000000001</v>
      </c>
      <c r="T30" s="96">
        <f t="shared" si="22"/>
        <v>60.683920000000001</v>
      </c>
      <c r="U30" s="96">
        <f t="shared" si="22"/>
        <v>62.201017999999998</v>
      </c>
      <c r="V30" s="96">
        <f t="shared" si="22"/>
        <v>62.201017999999998</v>
      </c>
      <c r="W30" s="96">
        <f t="shared" si="22"/>
        <v>62.201017999999998</v>
      </c>
      <c r="X30" s="96">
        <f t="shared" si="22"/>
        <v>62.201017999999998</v>
      </c>
      <c r="Y30" s="96">
        <f t="shared" si="22"/>
        <v>62.201017999999998</v>
      </c>
      <c r="Z30" s="96">
        <f t="shared" si="22"/>
        <v>62.201017999999998</v>
      </c>
      <c r="AA30" s="96">
        <f t="shared" si="22"/>
        <v>62.201017999999998</v>
      </c>
      <c r="AB30" s="96">
        <f t="shared" si="22"/>
        <v>62.201017999999998</v>
      </c>
      <c r="AC30" s="96">
        <f t="shared" si="22"/>
        <v>62.201017999999998</v>
      </c>
      <c r="AD30" s="96">
        <f t="shared" si="22"/>
        <v>62.201017999999998</v>
      </c>
      <c r="AE30" s="96">
        <f t="shared" si="22"/>
        <v>62.201017999999998</v>
      </c>
      <c r="AF30" s="96">
        <f t="shared" si="22"/>
        <v>62.201017999999998</v>
      </c>
      <c r="AG30" s="96">
        <f t="shared" si="22"/>
        <v>63.756043449999993</v>
      </c>
      <c r="AH30" s="96">
        <f t="shared" si="22"/>
        <v>63.756043449999993</v>
      </c>
      <c r="AI30" s="96">
        <f t="shared" si="22"/>
        <v>63.756043449999993</v>
      </c>
      <c r="AJ30" s="96">
        <f t="shared" si="22"/>
        <v>63.756043449999993</v>
      </c>
      <c r="AK30" s="96">
        <f t="shared" si="22"/>
        <v>63.756043449999993</v>
      </c>
      <c r="AL30" s="96">
        <f t="shared" si="22"/>
        <v>63.756043449999993</v>
      </c>
      <c r="AM30" s="96">
        <f t="shared" si="22"/>
        <v>63.756043449999993</v>
      </c>
      <c r="AN30" s="96">
        <f t="shared" ref="AN30:BS30" si="23">AN28*AN29/unit</f>
        <v>63.756043449999993</v>
      </c>
      <c r="AO30" s="96">
        <f t="shared" si="23"/>
        <v>63.756043449999993</v>
      </c>
      <c r="AP30" s="96">
        <f t="shared" si="23"/>
        <v>63.756043449999993</v>
      </c>
      <c r="AQ30" s="96">
        <f t="shared" si="23"/>
        <v>63.756043449999993</v>
      </c>
      <c r="AR30" s="96">
        <f t="shared" si="23"/>
        <v>63.756043449999993</v>
      </c>
      <c r="AS30" s="96">
        <f t="shared" si="23"/>
        <v>65.349944536249993</v>
      </c>
      <c r="AT30" s="96">
        <f t="shared" si="23"/>
        <v>65.349944536249993</v>
      </c>
      <c r="AU30" s="96">
        <f t="shared" si="23"/>
        <v>65.349944536249993</v>
      </c>
      <c r="AV30" s="96">
        <f t="shared" si="23"/>
        <v>65.349944536249993</v>
      </c>
      <c r="AW30" s="96">
        <f t="shared" si="23"/>
        <v>65.349944536249993</v>
      </c>
      <c r="AX30" s="96">
        <f t="shared" si="23"/>
        <v>65.349944536249993</v>
      </c>
      <c r="AY30" s="96">
        <f t="shared" si="23"/>
        <v>65.349944536249993</v>
      </c>
      <c r="AZ30" s="96">
        <f t="shared" si="23"/>
        <v>65.349944536249993</v>
      </c>
      <c r="BA30" s="96">
        <f t="shared" si="23"/>
        <v>65.349944536249993</v>
      </c>
      <c r="BB30" s="96">
        <f t="shared" si="23"/>
        <v>65.349944536249993</v>
      </c>
      <c r="BC30" s="96">
        <f t="shared" si="23"/>
        <v>65.349944536249993</v>
      </c>
      <c r="BD30" s="96">
        <f t="shared" si="23"/>
        <v>65.349944536249993</v>
      </c>
      <c r="BE30" s="96">
        <f t="shared" si="23"/>
        <v>66.983693149656233</v>
      </c>
      <c r="BF30" s="96">
        <f t="shared" si="23"/>
        <v>66.983693149656233</v>
      </c>
      <c r="BG30" s="96">
        <f t="shared" si="23"/>
        <v>66.983693149656233</v>
      </c>
      <c r="BH30" s="96">
        <f t="shared" si="23"/>
        <v>66.983693149656233</v>
      </c>
      <c r="BI30" s="96">
        <f t="shared" si="23"/>
        <v>66.983693149656233</v>
      </c>
      <c r="BJ30" s="96">
        <f t="shared" si="23"/>
        <v>66.983693149656233</v>
      </c>
      <c r="BK30" s="96">
        <f t="shared" si="23"/>
        <v>66.983693149656233</v>
      </c>
      <c r="BL30" s="96">
        <f t="shared" si="23"/>
        <v>66.983693149656233</v>
      </c>
      <c r="BM30" s="96">
        <f t="shared" si="23"/>
        <v>66.983693149656233</v>
      </c>
      <c r="BN30" s="96">
        <f t="shared" si="23"/>
        <v>66.983693149656233</v>
      </c>
      <c r="BO30" s="96">
        <f t="shared" si="23"/>
        <v>66.983693149656233</v>
      </c>
      <c r="BP30" s="96">
        <f t="shared" si="23"/>
        <v>66.983693149656233</v>
      </c>
      <c r="BQ30" s="96">
        <f t="shared" si="23"/>
        <v>0</v>
      </c>
      <c r="BR30" s="96">
        <f t="shared" si="23"/>
        <v>0</v>
      </c>
      <c r="BS30" s="96">
        <f t="shared" si="23"/>
        <v>0</v>
      </c>
      <c r="BT30" s="96">
        <f t="shared" ref="BT30:CY30" si="24">BT28*BT29/unit</f>
        <v>0</v>
      </c>
      <c r="BU30" s="96">
        <f t="shared" si="24"/>
        <v>0</v>
      </c>
      <c r="BV30" s="96">
        <f t="shared" si="24"/>
        <v>0</v>
      </c>
      <c r="BW30" s="96">
        <f t="shared" si="24"/>
        <v>0</v>
      </c>
      <c r="BX30" s="96">
        <f t="shared" si="24"/>
        <v>0</v>
      </c>
      <c r="BY30" s="96">
        <f t="shared" si="24"/>
        <v>0</v>
      </c>
      <c r="BZ30" s="96">
        <f t="shared" si="24"/>
        <v>0</v>
      </c>
      <c r="CA30" s="96">
        <f t="shared" si="24"/>
        <v>0</v>
      </c>
      <c r="CB30" s="96">
        <f t="shared" si="24"/>
        <v>0</v>
      </c>
      <c r="CC30" s="96">
        <f t="shared" si="24"/>
        <v>0</v>
      </c>
      <c r="CD30" s="96">
        <f t="shared" si="24"/>
        <v>0</v>
      </c>
      <c r="CE30" s="96">
        <f t="shared" si="24"/>
        <v>0</v>
      </c>
      <c r="CF30" s="96">
        <f t="shared" si="24"/>
        <v>0</v>
      </c>
      <c r="CG30" s="96">
        <f t="shared" si="24"/>
        <v>0</v>
      </c>
      <c r="CH30" s="96">
        <f t="shared" si="24"/>
        <v>0</v>
      </c>
      <c r="CI30" s="96">
        <f t="shared" si="24"/>
        <v>0</v>
      </c>
      <c r="CJ30" s="96">
        <f t="shared" si="24"/>
        <v>0</v>
      </c>
      <c r="CK30" s="96">
        <f t="shared" si="24"/>
        <v>0</v>
      </c>
      <c r="CL30" s="96">
        <f t="shared" si="24"/>
        <v>0</v>
      </c>
      <c r="CM30" s="96">
        <f t="shared" si="24"/>
        <v>0</v>
      </c>
      <c r="CN30" s="96">
        <f t="shared" si="24"/>
        <v>0</v>
      </c>
      <c r="CO30" s="96">
        <f t="shared" si="24"/>
        <v>0</v>
      </c>
      <c r="CP30" s="96">
        <f t="shared" si="24"/>
        <v>0</v>
      </c>
      <c r="CQ30" s="96">
        <f t="shared" si="24"/>
        <v>0</v>
      </c>
      <c r="CR30" s="96">
        <f t="shared" si="24"/>
        <v>0</v>
      </c>
      <c r="CS30" s="96">
        <f t="shared" si="24"/>
        <v>0</v>
      </c>
      <c r="CT30" s="96">
        <f t="shared" si="24"/>
        <v>0</v>
      </c>
      <c r="CU30" s="96">
        <f t="shared" si="24"/>
        <v>0</v>
      </c>
      <c r="CV30" s="96">
        <f t="shared" si="24"/>
        <v>0</v>
      </c>
      <c r="CW30" s="96">
        <f t="shared" si="24"/>
        <v>0</v>
      </c>
      <c r="CX30" s="96">
        <f t="shared" si="24"/>
        <v>0</v>
      </c>
      <c r="CY30" s="96">
        <f t="shared" si="24"/>
        <v>0</v>
      </c>
      <c r="CZ30" s="96">
        <f t="shared" ref="CZ30:DB30" si="25">CZ28*CZ29/unit</f>
        <v>0</v>
      </c>
      <c r="DA30" s="96">
        <f t="shared" si="25"/>
        <v>0</v>
      </c>
      <c r="DB30" s="96">
        <f t="shared" si="25"/>
        <v>0</v>
      </c>
    </row>
    <row r="32" spans="2:106">
      <c r="B32" s="2" t="str">
        <f>'A&amp;R'!U14</f>
        <v>유지관리비</v>
      </c>
    </row>
    <row r="33" spans="2:106">
      <c r="C33" s="13" t="s">
        <v>174</v>
      </c>
      <c r="E33" s="118">
        <f>'A&amp;R'!$M$20</f>
        <v>7585.49</v>
      </c>
      <c r="H33" s="13">
        <f>$E$18*H$11</f>
        <v>0</v>
      </c>
      <c r="I33" s="13">
        <f t="shared" ref="I33:BT33" si="26">$E$18*I$11</f>
        <v>7585.49</v>
      </c>
      <c r="J33" s="13">
        <f t="shared" si="26"/>
        <v>7585.49</v>
      </c>
      <c r="K33" s="13">
        <f t="shared" si="26"/>
        <v>7585.49</v>
      </c>
      <c r="L33" s="13">
        <f t="shared" si="26"/>
        <v>7585.49</v>
      </c>
      <c r="M33" s="13">
        <f t="shared" si="26"/>
        <v>7585.49</v>
      </c>
      <c r="N33" s="13">
        <f t="shared" si="26"/>
        <v>7585.49</v>
      </c>
      <c r="O33" s="13">
        <f t="shared" si="26"/>
        <v>7585.49</v>
      </c>
      <c r="P33" s="13">
        <f t="shared" si="26"/>
        <v>7585.49</v>
      </c>
      <c r="Q33" s="13">
        <f t="shared" si="26"/>
        <v>7585.49</v>
      </c>
      <c r="R33" s="13">
        <f t="shared" si="26"/>
        <v>7585.49</v>
      </c>
      <c r="S33" s="13">
        <f t="shared" si="26"/>
        <v>7585.49</v>
      </c>
      <c r="T33" s="13">
        <f t="shared" si="26"/>
        <v>7585.49</v>
      </c>
      <c r="U33" s="13">
        <f t="shared" si="26"/>
        <v>7585.49</v>
      </c>
      <c r="V33" s="13">
        <f t="shared" si="26"/>
        <v>7585.49</v>
      </c>
      <c r="W33" s="13">
        <f t="shared" si="26"/>
        <v>7585.49</v>
      </c>
      <c r="X33" s="13">
        <f t="shared" si="26"/>
        <v>7585.49</v>
      </c>
      <c r="Y33" s="13">
        <f t="shared" si="26"/>
        <v>7585.49</v>
      </c>
      <c r="Z33" s="13">
        <f t="shared" si="26"/>
        <v>7585.49</v>
      </c>
      <c r="AA33" s="13">
        <f t="shared" si="26"/>
        <v>7585.49</v>
      </c>
      <c r="AB33" s="13">
        <f t="shared" si="26"/>
        <v>7585.49</v>
      </c>
      <c r="AC33" s="13">
        <f t="shared" si="26"/>
        <v>7585.49</v>
      </c>
      <c r="AD33" s="13">
        <f t="shared" si="26"/>
        <v>7585.49</v>
      </c>
      <c r="AE33" s="13">
        <f t="shared" si="26"/>
        <v>7585.49</v>
      </c>
      <c r="AF33" s="13">
        <f t="shared" si="26"/>
        <v>7585.49</v>
      </c>
      <c r="AG33" s="13">
        <f t="shared" si="26"/>
        <v>7585.49</v>
      </c>
      <c r="AH33" s="13">
        <f t="shared" si="26"/>
        <v>7585.49</v>
      </c>
      <c r="AI33" s="13">
        <f t="shared" si="26"/>
        <v>7585.49</v>
      </c>
      <c r="AJ33" s="13">
        <f t="shared" si="26"/>
        <v>7585.49</v>
      </c>
      <c r="AK33" s="13">
        <f t="shared" si="26"/>
        <v>7585.49</v>
      </c>
      <c r="AL33" s="13">
        <f t="shared" si="26"/>
        <v>7585.49</v>
      </c>
      <c r="AM33" s="13">
        <f t="shared" si="26"/>
        <v>7585.49</v>
      </c>
      <c r="AN33" s="13">
        <f t="shared" si="26"/>
        <v>7585.49</v>
      </c>
      <c r="AO33" s="13">
        <f t="shared" si="26"/>
        <v>7585.49</v>
      </c>
      <c r="AP33" s="13">
        <f t="shared" si="26"/>
        <v>7585.49</v>
      </c>
      <c r="AQ33" s="13">
        <f t="shared" si="26"/>
        <v>7585.49</v>
      </c>
      <c r="AR33" s="13">
        <f t="shared" si="26"/>
        <v>7585.49</v>
      </c>
      <c r="AS33" s="13">
        <f t="shared" si="26"/>
        <v>7585.49</v>
      </c>
      <c r="AT33" s="13">
        <f t="shared" si="26"/>
        <v>7585.49</v>
      </c>
      <c r="AU33" s="13">
        <f t="shared" si="26"/>
        <v>7585.49</v>
      </c>
      <c r="AV33" s="13">
        <f t="shared" si="26"/>
        <v>7585.49</v>
      </c>
      <c r="AW33" s="13">
        <f t="shared" si="26"/>
        <v>7585.49</v>
      </c>
      <c r="AX33" s="13">
        <f t="shared" si="26"/>
        <v>7585.49</v>
      </c>
      <c r="AY33" s="13">
        <f t="shared" si="26"/>
        <v>7585.49</v>
      </c>
      <c r="AZ33" s="13">
        <f t="shared" si="26"/>
        <v>7585.49</v>
      </c>
      <c r="BA33" s="13">
        <f t="shared" si="26"/>
        <v>7585.49</v>
      </c>
      <c r="BB33" s="13">
        <f t="shared" si="26"/>
        <v>7585.49</v>
      </c>
      <c r="BC33" s="13">
        <f t="shared" si="26"/>
        <v>7585.49</v>
      </c>
      <c r="BD33" s="13">
        <f t="shared" si="26"/>
        <v>7585.49</v>
      </c>
      <c r="BE33" s="13">
        <f t="shared" si="26"/>
        <v>7585.49</v>
      </c>
      <c r="BF33" s="13">
        <f t="shared" si="26"/>
        <v>7585.49</v>
      </c>
      <c r="BG33" s="13">
        <f t="shared" si="26"/>
        <v>7585.49</v>
      </c>
      <c r="BH33" s="13">
        <f t="shared" si="26"/>
        <v>7585.49</v>
      </c>
      <c r="BI33" s="13">
        <f t="shared" si="26"/>
        <v>7585.49</v>
      </c>
      <c r="BJ33" s="13">
        <f t="shared" si="26"/>
        <v>7585.49</v>
      </c>
      <c r="BK33" s="13">
        <f t="shared" si="26"/>
        <v>7585.49</v>
      </c>
      <c r="BL33" s="13">
        <f t="shared" si="26"/>
        <v>7585.49</v>
      </c>
      <c r="BM33" s="13">
        <f t="shared" si="26"/>
        <v>7585.49</v>
      </c>
      <c r="BN33" s="13">
        <f t="shared" si="26"/>
        <v>7585.49</v>
      </c>
      <c r="BO33" s="13">
        <f t="shared" si="26"/>
        <v>7585.49</v>
      </c>
      <c r="BP33" s="13">
        <f t="shared" si="26"/>
        <v>7585.49</v>
      </c>
      <c r="BQ33" s="13">
        <f t="shared" si="26"/>
        <v>0</v>
      </c>
      <c r="BR33" s="13">
        <f t="shared" si="26"/>
        <v>0</v>
      </c>
      <c r="BS33" s="13">
        <f t="shared" si="26"/>
        <v>0</v>
      </c>
      <c r="BT33" s="13">
        <f t="shared" si="26"/>
        <v>0</v>
      </c>
      <c r="BU33" s="13">
        <f t="shared" ref="BU33:DB33" si="27">$E$18*BU$11</f>
        <v>0</v>
      </c>
      <c r="BV33" s="13">
        <f t="shared" si="27"/>
        <v>0</v>
      </c>
      <c r="BW33" s="13">
        <f t="shared" si="27"/>
        <v>0</v>
      </c>
      <c r="BX33" s="13">
        <f t="shared" si="27"/>
        <v>0</v>
      </c>
      <c r="BY33" s="13">
        <f t="shared" si="27"/>
        <v>0</v>
      </c>
      <c r="BZ33" s="13">
        <f t="shared" si="27"/>
        <v>0</v>
      </c>
      <c r="CA33" s="13">
        <f t="shared" si="27"/>
        <v>0</v>
      </c>
      <c r="CB33" s="13">
        <f t="shared" si="27"/>
        <v>0</v>
      </c>
      <c r="CC33" s="13">
        <f t="shared" si="27"/>
        <v>0</v>
      </c>
      <c r="CD33" s="13">
        <f t="shared" si="27"/>
        <v>0</v>
      </c>
      <c r="CE33" s="13">
        <f t="shared" si="27"/>
        <v>0</v>
      </c>
      <c r="CF33" s="13">
        <f t="shared" si="27"/>
        <v>0</v>
      </c>
      <c r="CG33" s="13">
        <f t="shared" si="27"/>
        <v>0</v>
      </c>
      <c r="CH33" s="13">
        <f t="shared" si="27"/>
        <v>0</v>
      </c>
      <c r="CI33" s="13">
        <f t="shared" si="27"/>
        <v>0</v>
      </c>
      <c r="CJ33" s="13">
        <f t="shared" si="27"/>
        <v>0</v>
      </c>
      <c r="CK33" s="13">
        <f t="shared" si="27"/>
        <v>0</v>
      </c>
      <c r="CL33" s="13">
        <f t="shared" si="27"/>
        <v>0</v>
      </c>
      <c r="CM33" s="13">
        <f t="shared" si="27"/>
        <v>0</v>
      </c>
      <c r="CN33" s="13">
        <f t="shared" si="27"/>
        <v>0</v>
      </c>
      <c r="CO33" s="13">
        <f t="shared" si="27"/>
        <v>0</v>
      </c>
      <c r="CP33" s="13">
        <f t="shared" si="27"/>
        <v>0</v>
      </c>
      <c r="CQ33" s="13">
        <f t="shared" si="27"/>
        <v>0</v>
      </c>
      <c r="CR33" s="13">
        <f t="shared" si="27"/>
        <v>0</v>
      </c>
      <c r="CS33" s="13">
        <f t="shared" si="27"/>
        <v>0</v>
      </c>
      <c r="CT33" s="13">
        <f t="shared" si="27"/>
        <v>0</v>
      </c>
      <c r="CU33" s="13">
        <f t="shared" si="27"/>
        <v>0</v>
      </c>
      <c r="CV33" s="13">
        <f t="shared" si="27"/>
        <v>0</v>
      </c>
      <c r="CW33" s="13">
        <f t="shared" si="27"/>
        <v>0</v>
      </c>
      <c r="CX33" s="13">
        <f t="shared" si="27"/>
        <v>0</v>
      </c>
      <c r="CY33" s="13">
        <f t="shared" si="27"/>
        <v>0</v>
      </c>
      <c r="CZ33" s="13">
        <f t="shared" si="27"/>
        <v>0</v>
      </c>
      <c r="DA33" s="13">
        <f t="shared" si="27"/>
        <v>0</v>
      </c>
      <c r="DB33" s="13">
        <f t="shared" si="27"/>
        <v>0</v>
      </c>
    </row>
    <row r="34" spans="2:106">
      <c r="C34" s="13" t="s">
        <v>195</v>
      </c>
      <c r="E34" s="119">
        <f>'A&amp;R'!$W$14</f>
        <v>3500</v>
      </c>
      <c r="H34" s="13">
        <f>IF(H$14=start,$E$34,$E$34*70%)*(1+'A&amp;R'!$Y$14)^(H$16-1)*H$11</f>
        <v>0</v>
      </c>
      <c r="I34" s="13">
        <f>IF(I$14=start,$E$34,$E$34*70%)*(1+'A&amp;R'!$Y$14)^(I$16-1)*I$11</f>
        <v>3500</v>
      </c>
      <c r="J34" s="13">
        <f>IF(J$14=start,$E$34,$E$34*70%)*(1+'A&amp;R'!$Y$14)^(J$16-1)*J$11</f>
        <v>2450</v>
      </c>
      <c r="K34" s="13">
        <f>IF(K$14=start,$E$34,$E$34*70%)*(1+'A&amp;R'!$Y$14)^(K$16-1)*K$11</f>
        <v>2450</v>
      </c>
      <c r="L34" s="13">
        <f>IF(L$14=start,$E$34,$E$34*70%)*(1+'A&amp;R'!$Y$14)^(L$16-1)*L$11</f>
        <v>2450</v>
      </c>
      <c r="M34" s="13">
        <f>IF(M$14=start,$E$34,$E$34*70%)*(1+'A&amp;R'!$Y$14)^(M$16-1)*M$11</f>
        <v>2450</v>
      </c>
      <c r="N34" s="13">
        <f>IF(N$14=start,$E$34,$E$34*70%)*(1+'A&amp;R'!$Y$14)^(N$16-1)*N$11</f>
        <v>2450</v>
      </c>
      <c r="O34" s="13">
        <f>IF(O$14=start,$E$34,$E$34*70%)*(1+'A&amp;R'!$Y$14)^(O$16-1)*O$11</f>
        <v>2450</v>
      </c>
      <c r="P34" s="13">
        <f>IF(P$14=start,$E$34,$E$34*70%)*(1+'A&amp;R'!$Y$14)^(P$16-1)*P$11</f>
        <v>2450</v>
      </c>
      <c r="Q34" s="13">
        <f>IF(Q$14=start,$E$34,$E$34*70%)*(1+'A&amp;R'!$Y$14)^(Q$16-1)*Q$11</f>
        <v>2450</v>
      </c>
      <c r="R34" s="13">
        <f>IF(R$14=start,$E$34,$E$34*70%)*(1+'A&amp;R'!$Y$14)^(R$16-1)*R$11</f>
        <v>2450</v>
      </c>
      <c r="S34" s="13">
        <f>IF(S$14=start,$E$34,$E$34*70%)*(1+'A&amp;R'!$Y$14)^(S$16-1)*S$11</f>
        <v>2450</v>
      </c>
      <c r="T34" s="13">
        <f>IF(T$14=start,$E$34,$E$34*70%)*(1+'A&amp;R'!$Y$14)^(T$16-1)*T$11</f>
        <v>2450</v>
      </c>
      <c r="U34" s="13">
        <f>IF(U$14=start,$E$34,$E$34*70%)*(1+'A&amp;R'!$Y$14)^(U$16-1)*U$11</f>
        <v>2511.25</v>
      </c>
      <c r="V34" s="13">
        <f>IF(V$14=start,$E$34,$E$34*70%)*(1+'A&amp;R'!$Y$14)^(V$16-1)*V$11</f>
        <v>2511.25</v>
      </c>
      <c r="W34" s="13">
        <f>IF(W$14=start,$E$34,$E$34*70%)*(1+'A&amp;R'!$Y$14)^(W$16-1)*W$11</f>
        <v>2511.25</v>
      </c>
      <c r="X34" s="13">
        <f>IF(X$14=start,$E$34,$E$34*70%)*(1+'A&amp;R'!$Y$14)^(X$16-1)*X$11</f>
        <v>2511.25</v>
      </c>
      <c r="Y34" s="13">
        <f>IF(Y$14=start,$E$34,$E$34*70%)*(1+'A&amp;R'!$Y$14)^(Y$16-1)*Y$11</f>
        <v>2511.25</v>
      </c>
      <c r="Z34" s="13">
        <f>IF(Z$14=start,$E$34,$E$34*70%)*(1+'A&amp;R'!$Y$14)^(Z$16-1)*Z$11</f>
        <v>2511.25</v>
      </c>
      <c r="AA34" s="13">
        <f>IF(AA$14=start,$E$34,$E$34*70%)*(1+'A&amp;R'!$Y$14)^(AA$16-1)*AA$11</f>
        <v>2511.25</v>
      </c>
      <c r="AB34" s="13">
        <f>IF(AB$14=start,$E$34,$E$34*70%)*(1+'A&amp;R'!$Y$14)^(AB$16-1)*AB$11</f>
        <v>2511.25</v>
      </c>
      <c r="AC34" s="13">
        <f>IF(AC$14=start,$E$34,$E$34*70%)*(1+'A&amp;R'!$Y$14)^(AC$16-1)*AC$11</f>
        <v>2511.25</v>
      </c>
      <c r="AD34" s="13">
        <f>IF(AD$14=start,$E$34,$E$34*70%)*(1+'A&amp;R'!$Y$14)^(AD$16-1)*AD$11</f>
        <v>2511.25</v>
      </c>
      <c r="AE34" s="13">
        <f>IF(AE$14=start,$E$34,$E$34*70%)*(1+'A&amp;R'!$Y$14)^(AE$16-1)*AE$11</f>
        <v>2511.25</v>
      </c>
      <c r="AF34" s="13">
        <f>IF(AF$14=start,$E$34,$E$34*70%)*(1+'A&amp;R'!$Y$14)^(AF$16-1)*AF$11</f>
        <v>2511.25</v>
      </c>
      <c r="AG34" s="13">
        <f>IF(AG$14=start,$E$34,$E$34*70%)*(1+'A&amp;R'!$Y$14)^(AG$16-1)*AG$11</f>
        <v>2574.03125</v>
      </c>
      <c r="AH34" s="13">
        <f>IF(AH$14=start,$E$34,$E$34*70%)*(1+'A&amp;R'!$Y$14)^(AH$16-1)*AH$11</f>
        <v>2574.03125</v>
      </c>
      <c r="AI34" s="13">
        <f>IF(AI$14=start,$E$34,$E$34*70%)*(1+'A&amp;R'!$Y$14)^(AI$16-1)*AI$11</f>
        <v>2574.03125</v>
      </c>
      <c r="AJ34" s="13">
        <f>IF(AJ$14=start,$E$34,$E$34*70%)*(1+'A&amp;R'!$Y$14)^(AJ$16-1)*AJ$11</f>
        <v>2574.03125</v>
      </c>
      <c r="AK34" s="13">
        <f>IF(AK$14=start,$E$34,$E$34*70%)*(1+'A&amp;R'!$Y$14)^(AK$16-1)*AK$11</f>
        <v>2574.03125</v>
      </c>
      <c r="AL34" s="13">
        <f>IF(AL$14=start,$E$34,$E$34*70%)*(1+'A&amp;R'!$Y$14)^(AL$16-1)*AL$11</f>
        <v>2574.03125</v>
      </c>
      <c r="AM34" s="13">
        <f>IF(AM$14=start,$E$34,$E$34*70%)*(1+'A&amp;R'!$Y$14)^(AM$16-1)*AM$11</f>
        <v>2574.03125</v>
      </c>
      <c r="AN34" s="13">
        <f>IF(AN$14=start,$E$34,$E$34*70%)*(1+'A&amp;R'!$Y$14)^(AN$16-1)*AN$11</f>
        <v>2574.03125</v>
      </c>
      <c r="AO34" s="13">
        <f>IF(AO$14=start,$E$34,$E$34*70%)*(1+'A&amp;R'!$Y$14)^(AO$16-1)*AO$11</f>
        <v>2574.03125</v>
      </c>
      <c r="AP34" s="13">
        <f>IF(AP$14=start,$E$34,$E$34*70%)*(1+'A&amp;R'!$Y$14)^(AP$16-1)*AP$11</f>
        <v>2574.03125</v>
      </c>
      <c r="AQ34" s="13">
        <f>IF(AQ$14=start,$E$34,$E$34*70%)*(1+'A&amp;R'!$Y$14)^(AQ$16-1)*AQ$11</f>
        <v>2574.03125</v>
      </c>
      <c r="AR34" s="13">
        <f>IF(AR$14=start,$E$34,$E$34*70%)*(1+'A&amp;R'!$Y$14)^(AR$16-1)*AR$11</f>
        <v>2574.03125</v>
      </c>
      <c r="AS34" s="13">
        <f>IF(AS$14=start,$E$34,$E$34*70%)*(1+'A&amp;R'!$Y$14)^(AS$16-1)*AS$11</f>
        <v>2638.3820312499997</v>
      </c>
      <c r="AT34" s="13">
        <f>IF(AT$14=start,$E$34,$E$34*70%)*(1+'A&amp;R'!$Y$14)^(AT$16-1)*AT$11</f>
        <v>2638.3820312499997</v>
      </c>
      <c r="AU34" s="13">
        <f>IF(AU$14=start,$E$34,$E$34*70%)*(1+'A&amp;R'!$Y$14)^(AU$16-1)*AU$11</f>
        <v>2638.3820312499997</v>
      </c>
      <c r="AV34" s="13">
        <f>IF(AV$14=start,$E$34,$E$34*70%)*(1+'A&amp;R'!$Y$14)^(AV$16-1)*AV$11</f>
        <v>2638.3820312499997</v>
      </c>
      <c r="AW34" s="13">
        <f>IF(AW$14=start,$E$34,$E$34*70%)*(1+'A&amp;R'!$Y$14)^(AW$16-1)*AW$11</f>
        <v>2638.3820312499997</v>
      </c>
      <c r="AX34" s="13">
        <f>IF(AX$14=start,$E$34,$E$34*70%)*(1+'A&amp;R'!$Y$14)^(AX$16-1)*AX$11</f>
        <v>2638.3820312499997</v>
      </c>
      <c r="AY34" s="13">
        <f>IF(AY$14=start,$E$34,$E$34*70%)*(1+'A&amp;R'!$Y$14)^(AY$16-1)*AY$11</f>
        <v>2638.3820312499997</v>
      </c>
      <c r="AZ34" s="13">
        <f>IF(AZ$14=start,$E$34,$E$34*70%)*(1+'A&amp;R'!$Y$14)^(AZ$16-1)*AZ$11</f>
        <v>2638.3820312499997</v>
      </c>
      <c r="BA34" s="13">
        <f>IF(BA$14=start,$E$34,$E$34*70%)*(1+'A&amp;R'!$Y$14)^(BA$16-1)*BA$11</f>
        <v>2638.3820312499997</v>
      </c>
      <c r="BB34" s="13">
        <f>IF(BB$14=start,$E$34,$E$34*70%)*(1+'A&amp;R'!$Y$14)^(BB$16-1)*BB$11</f>
        <v>2638.3820312499997</v>
      </c>
      <c r="BC34" s="13">
        <f>IF(BC$14=start,$E$34,$E$34*70%)*(1+'A&amp;R'!$Y$14)^(BC$16-1)*BC$11</f>
        <v>2638.3820312499997</v>
      </c>
      <c r="BD34" s="13">
        <f>IF(BD$14=start,$E$34,$E$34*70%)*(1+'A&amp;R'!$Y$14)^(BD$16-1)*BD$11</f>
        <v>2638.3820312499997</v>
      </c>
      <c r="BE34" s="13">
        <f>IF(BE$14=start,$E$34,$E$34*70%)*(1+'A&amp;R'!$Y$14)^(BE$16-1)*BE$11</f>
        <v>2704.3415820312493</v>
      </c>
      <c r="BF34" s="13">
        <f>IF(BF$14=start,$E$34,$E$34*70%)*(1+'A&amp;R'!$Y$14)^(BF$16-1)*BF$11</f>
        <v>2704.3415820312493</v>
      </c>
      <c r="BG34" s="13">
        <f>IF(BG$14=start,$E$34,$E$34*70%)*(1+'A&amp;R'!$Y$14)^(BG$16-1)*BG$11</f>
        <v>2704.3415820312493</v>
      </c>
      <c r="BH34" s="13">
        <f>IF(BH$14=start,$E$34,$E$34*70%)*(1+'A&amp;R'!$Y$14)^(BH$16-1)*BH$11</f>
        <v>2704.3415820312493</v>
      </c>
      <c r="BI34" s="13">
        <f>IF(BI$14=start,$E$34,$E$34*70%)*(1+'A&amp;R'!$Y$14)^(BI$16-1)*BI$11</f>
        <v>2704.3415820312493</v>
      </c>
      <c r="BJ34" s="13">
        <f>IF(BJ$14=start,$E$34,$E$34*70%)*(1+'A&amp;R'!$Y$14)^(BJ$16-1)*BJ$11</f>
        <v>2704.3415820312493</v>
      </c>
      <c r="BK34" s="13">
        <f>IF(BK$14=start,$E$34,$E$34*70%)*(1+'A&amp;R'!$Y$14)^(BK$16-1)*BK$11</f>
        <v>2704.3415820312493</v>
      </c>
      <c r="BL34" s="13">
        <f>IF(BL$14=start,$E$34,$E$34*70%)*(1+'A&amp;R'!$Y$14)^(BL$16-1)*BL$11</f>
        <v>2704.3415820312493</v>
      </c>
      <c r="BM34" s="13">
        <f>IF(BM$14=start,$E$34,$E$34*70%)*(1+'A&amp;R'!$Y$14)^(BM$16-1)*BM$11</f>
        <v>2704.3415820312493</v>
      </c>
      <c r="BN34" s="13">
        <f>IF(BN$14=start,$E$34,$E$34*70%)*(1+'A&amp;R'!$Y$14)^(BN$16-1)*BN$11</f>
        <v>2704.3415820312493</v>
      </c>
      <c r="BO34" s="13">
        <f>IF(BO$14=start,$E$34,$E$34*70%)*(1+'A&amp;R'!$Y$14)^(BO$16-1)*BO$11</f>
        <v>2704.3415820312493</v>
      </c>
      <c r="BP34" s="13">
        <f>IF(BP$14=start,$E$34,$E$34*70%)*(1+'A&amp;R'!$Y$14)^(BP$16-1)*BP$11</f>
        <v>2704.3415820312493</v>
      </c>
      <c r="BQ34" s="13">
        <f>IF(BQ$14=start,$E$34,$E$34*70%)*(1+'A&amp;R'!$Y$14)^(BQ$16-1)*BQ$11</f>
        <v>0</v>
      </c>
      <c r="BR34" s="13">
        <f>IF(BR$14=start,$E$34,$E$34*70%)*(1+'A&amp;R'!$Y$14)^(BR$16-1)*BR$11</f>
        <v>0</v>
      </c>
      <c r="BS34" s="13">
        <f>IF(BS$14=start,$E$34,$E$34*70%)*(1+'A&amp;R'!$Y$14)^(BS$16-1)*BS$11</f>
        <v>0</v>
      </c>
      <c r="BT34" s="13">
        <f>IF(BT$14=start,$E$34,$E$34*70%)*(1+'A&amp;R'!$Y$14)^(BT$16-1)*BT$11</f>
        <v>0</v>
      </c>
      <c r="BU34" s="13">
        <f>IF(BU$14=start,$E$34,$E$34*70%)*(1+'A&amp;R'!$Y$14)^(BU$16-1)*BU$11</f>
        <v>0</v>
      </c>
      <c r="BV34" s="13">
        <f>IF(BV$14=start,$E$34,$E$34*70%)*(1+'A&amp;R'!$Y$14)^(BV$16-1)*BV$11</f>
        <v>0</v>
      </c>
      <c r="BW34" s="13">
        <f>IF(BW$14=start,$E$34,$E$34*70%)*(1+'A&amp;R'!$Y$14)^(BW$16-1)*BW$11</f>
        <v>0</v>
      </c>
      <c r="BX34" s="13">
        <f>IF(BX$14=start,$E$34,$E$34*70%)*(1+'A&amp;R'!$Y$14)^(BX$16-1)*BX$11</f>
        <v>0</v>
      </c>
      <c r="BY34" s="13">
        <f>IF(BY$14=start,$E$34,$E$34*70%)*(1+'A&amp;R'!$Y$14)^(BY$16-1)*BY$11</f>
        <v>0</v>
      </c>
      <c r="BZ34" s="13">
        <f>IF(BZ$14=start,$E$34,$E$34*70%)*(1+'A&amp;R'!$Y$14)^(BZ$16-1)*BZ$11</f>
        <v>0</v>
      </c>
      <c r="CA34" s="13">
        <f>IF(CA$14=start,$E$34,$E$34*70%)*(1+'A&amp;R'!$Y$14)^(CA$16-1)*CA$11</f>
        <v>0</v>
      </c>
      <c r="CB34" s="13">
        <f>IF(CB$14=start,$E$34,$E$34*70%)*(1+'A&amp;R'!$Y$14)^(CB$16-1)*CB$11</f>
        <v>0</v>
      </c>
      <c r="CC34" s="13">
        <f>IF(CC$14=start,$E$34,$E$34*70%)*(1+'A&amp;R'!$Y$14)^(CC$16-1)*CC$11</f>
        <v>0</v>
      </c>
      <c r="CD34" s="13">
        <f>IF(CD$14=start,$E$34,$E$34*70%)*(1+'A&amp;R'!$Y$14)^(CD$16-1)*CD$11</f>
        <v>0</v>
      </c>
      <c r="CE34" s="13">
        <f>IF(CE$14=start,$E$34,$E$34*70%)*(1+'A&amp;R'!$Y$14)^(CE$16-1)*CE$11</f>
        <v>0</v>
      </c>
      <c r="CF34" s="13">
        <f>IF(CF$14=start,$E$34,$E$34*70%)*(1+'A&amp;R'!$Y$14)^(CF$16-1)*CF$11</f>
        <v>0</v>
      </c>
      <c r="CG34" s="13">
        <f>IF(CG$14=start,$E$34,$E$34*70%)*(1+'A&amp;R'!$Y$14)^(CG$16-1)*CG$11</f>
        <v>0</v>
      </c>
      <c r="CH34" s="13">
        <f>IF(CH$14=start,$E$34,$E$34*70%)*(1+'A&amp;R'!$Y$14)^(CH$16-1)*CH$11</f>
        <v>0</v>
      </c>
      <c r="CI34" s="13">
        <f>IF(CI$14=start,$E$34,$E$34*70%)*(1+'A&amp;R'!$Y$14)^(CI$16-1)*CI$11</f>
        <v>0</v>
      </c>
      <c r="CJ34" s="13">
        <f>IF(CJ$14=start,$E$34,$E$34*70%)*(1+'A&amp;R'!$Y$14)^(CJ$16-1)*CJ$11</f>
        <v>0</v>
      </c>
      <c r="CK34" s="13">
        <f>IF(CK$14=start,$E$34,$E$34*70%)*(1+'A&amp;R'!$Y$14)^(CK$16-1)*CK$11</f>
        <v>0</v>
      </c>
      <c r="CL34" s="13">
        <f>IF(CL$14=start,$E$34,$E$34*70%)*(1+'A&amp;R'!$Y$14)^(CL$16-1)*CL$11</f>
        <v>0</v>
      </c>
      <c r="CM34" s="13">
        <f>IF(CM$14=start,$E$34,$E$34*70%)*(1+'A&amp;R'!$Y$14)^(CM$16-1)*CM$11</f>
        <v>0</v>
      </c>
      <c r="CN34" s="13">
        <f>IF(CN$14=start,$E$34,$E$34*70%)*(1+'A&amp;R'!$Y$14)^(CN$16-1)*CN$11</f>
        <v>0</v>
      </c>
      <c r="CO34" s="13">
        <f>IF(CO$14=start,$E$34,$E$34*70%)*(1+'A&amp;R'!$Y$14)^(CO$16-1)*CO$11</f>
        <v>0</v>
      </c>
      <c r="CP34" s="13">
        <f>IF(CP$14=start,$E$34,$E$34*70%)*(1+'A&amp;R'!$Y$14)^(CP$16-1)*CP$11</f>
        <v>0</v>
      </c>
      <c r="CQ34" s="13">
        <f>IF(CQ$14=start,$E$34,$E$34*70%)*(1+'A&amp;R'!$Y$14)^(CQ$16-1)*CQ$11</f>
        <v>0</v>
      </c>
      <c r="CR34" s="13">
        <f>IF(CR$14=start,$E$34,$E$34*70%)*(1+'A&amp;R'!$Y$14)^(CR$16-1)*CR$11</f>
        <v>0</v>
      </c>
      <c r="CS34" s="13">
        <f>IF(CS$14=start,$E$34,$E$34*70%)*(1+'A&amp;R'!$Y$14)^(CS$16-1)*CS$11</f>
        <v>0</v>
      </c>
      <c r="CT34" s="13">
        <f>IF(CT$14=start,$E$34,$E$34*70%)*(1+'A&amp;R'!$Y$14)^(CT$16-1)*CT$11</f>
        <v>0</v>
      </c>
      <c r="CU34" s="13">
        <f>IF(CU$14=start,$E$34,$E$34*70%)*(1+'A&amp;R'!$Y$14)^(CU$16-1)*CU$11</f>
        <v>0</v>
      </c>
      <c r="CV34" s="13">
        <f>IF(CV$14=start,$E$34,$E$34*70%)*(1+'A&amp;R'!$Y$14)^(CV$16-1)*CV$11</f>
        <v>0</v>
      </c>
      <c r="CW34" s="13">
        <f>IF(CW$14=start,$E$34,$E$34*70%)*(1+'A&amp;R'!$Y$14)^(CW$16-1)*CW$11</f>
        <v>0</v>
      </c>
      <c r="CX34" s="13">
        <f>IF(CX$14=start,$E$34,$E$34*70%)*(1+'A&amp;R'!$Y$14)^(CX$16-1)*CX$11</f>
        <v>0</v>
      </c>
      <c r="CY34" s="13">
        <f>IF(CY$14=start,$E$34,$E$34*70%)*(1+'A&amp;R'!$Y$14)^(CY$16-1)*CY$11</f>
        <v>0</v>
      </c>
      <c r="CZ34" s="13">
        <f>IF(CZ$14=start,$E$34,$E$34*70%)*(1+'A&amp;R'!$Y$14)^(CZ$16-1)*CZ$11</f>
        <v>0</v>
      </c>
      <c r="DA34" s="13">
        <f>IF(DA$14=start,$E$34,$E$34*70%)*(1+'A&amp;R'!$Y$14)^(DA$16-1)*DA$11</f>
        <v>0</v>
      </c>
      <c r="DB34" s="13">
        <f>IF(DB$14=start,$E$34,$E$34*70%)*(1+'A&amp;R'!$Y$14)^(DB$16-1)*DB$11</f>
        <v>0</v>
      </c>
    </row>
    <row r="35" spans="2:106">
      <c r="C35" s="96" t="s">
        <v>190</v>
      </c>
      <c r="D35" s="96"/>
      <c r="E35" s="96"/>
      <c r="F35" s="96">
        <f>SUM(H35:DB35)</f>
        <v>1180.1964898244564</v>
      </c>
      <c r="G35" s="96"/>
      <c r="H35" s="96">
        <f t="shared" ref="H35:AM35" si="28">H33*H34/unit</f>
        <v>0</v>
      </c>
      <c r="I35" s="96">
        <f t="shared" si="28"/>
        <v>26.549215</v>
      </c>
      <c r="J35" s="96">
        <f t="shared" si="28"/>
        <v>18.584450499999999</v>
      </c>
      <c r="K35" s="96">
        <f t="shared" si="28"/>
        <v>18.584450499999999</v>
      </c>
      <c r="L35" s="96">
        <f t="shared" si="28"/>
        <v>18.584450499999999</v>
      </c>
      <c r="M35" s="96">
        <f t="shared" si="28"/>
        <v>18.584450499999999</v>
      </c>
      <c r="N35" s="96">
        <f t="shared" si="28"/>
        <v>18.584450499999999</v>
      </c>
      <c r="O35" s="96">
        <f t="shared" si="28"/>
        <v>18.584450499999999</v>
      </c>
      <c r="P35" s="96">
        <f t="shared" si="28"/>
        <v>18.584450499999999</v>
      </c>
      <c r="Q35" s="96">
        <f t="shared" si="28"/>
        <v>18.584450499999999</v>
      </c>
      <c r="R35" s="96">
        <f t="shared" si="28"/>
        <v>18.584450499999999</v>
      </c>
      <c r="S35" s="96">
        <f t="shared" si="28"/>
        <v>18.584450499999999</v>
      </c>
      <c r="T35" s="96">
        <f t="shared" si="28"/>
        <v>18.584450499999999</v>
      </c>
      <c r="U35" s="96">
        <f t="shared" si="28"/>
        <v>19.049061762499999</v>
      </c>
      <c r="V35" s="96">
        <f t="shared" si="28"/>
        <v>19.049061762499999</v>
      </c>
      <c r="W35" s="96">
        <f t="shared" si="28"/>
        <v>19.049061762499999</v>
      </c>
      <c r="X35" s="96">
        <f t="shared" si="28"/>
        <v>19.049061762499999</v>
      </c>
      <c r="Y35" s="96">
        <f t="shared" si="28"/>
        <v>19.049061762499999</v>
      </c>
      <c r="Z35" s="96">
        <f t="shared" si="28"/>
        <v>19.049061762499999</v>
      </c>
      <c r="AA35" s="96">
        <f t="shared" si="28"/>
        <v>19.049061762499999</v>
      </c>
      <c r="AB35" s="96">
        <f t="shared" si="28"/>
        <v>19.049061762499999</v>
      </c>
      <c r="AC35" s="96">
        <f t="shared" si="28"/>
        <v>19.049061762499999</v>
      </c>
      <c r="AD35" s="96">
        <f t="shared" si="28"/>
        <v>19.049061762499999</v>
      </c>
      <c r="AE35" s="96">
        <f t="shared" si="28"/>
        <v>19.049061762499999</v>
      </c>
      <c r="AF35" s="96">
        <f t="shared" si="28"/>
        <v>19.049061762499999</v>
      </c>
      <c r="AG35" s="96">
        <f t="shared" si="28"/>
        <v>19.525288306562498</v>
      </c>
      <c r="AH35" s="96">
        <f t="shared" si="28"/>
        <v>19.525288306562498</v>
      </c>
      <c r="AI35" s="96">
        <f t="shared" si="28"/>
        <v>19.525288306562498</v>
      </c>
      <c r="AJ35" s="96">
        <f t="shared" si="28"/>
        <v>19.525288306562498</v>
      </c>
      <c r="AK35" s="96">
        <f t="shared" si="28"/>
        <v>19.525288306562498</v>
      </c>
      <c r="AL35" s="96">
        <f t="shared" si="28"/>
        <v>19.525288306562498</v>
      </c>
      <c r="AM35" s="96">
        <f t="shared" si="28"/>
        <v>19.525288306562498</v>
      </c>
      <c r="AN35" s="96">
        <f t="shared" ref="AN35:BS35" si="29">AN33*AN34/unit</f>
        <v>19.525288306562498</v>
      </c>
      <c r="AO35" s="96">
        <f t="shared" si="29"/>
        <v>19.525288306562498</v>
      </c>
      <c r="AP35" s="96">
        <f t="shared" si="29"/>
        <v>19.525288306562498</v>
      </c>
      <c r="AQ35" s="96">
        <f t="shared" si="29"/>
        <v>19.525288306562498</v>
      </c>
      <c r="AR35" s="96">
        <f t="shared" si="29"/>
        <v>19.525288306562498</v>
      </c>
      <c r="AS35" s="96">
        <f t="shared" si="29"/>
        <v>20.01342051422656</v>
      </c>
      <c r="AT35" s="96">
        <f t="shared" si="29"/>
        <v>20.01342051422656</v>
      </c>
      <c r="AU35" s="96">
        <f t="shared" si="29"/>
        <v>20.01342051422656</v>
      </c>
      <c r="AV35" s="96">
        <f t="shared" si="29"/>
        <v>20.01342051422656</v>
      </c>
      <c r="AW35" s="96">
        <f t="shared" si="29"/>
        <v>20.01342051422656</v>
      </c>
      <c r="AX35" s="96">
        <f t="shared" si="29"/>
        <v>20.01342051422656</v>
      </c>
      <c r="AY35" s="96">
        <f t="shared" si="29"/>
        <v>20.01342051422656</v>
      </c>
      <c r="AZ35" s="96">
        <f t="shared" si="29"/>
        <v>20.01342051422656</v>
      </c>
      <c r="BA35" s="96">
        <f t="shared" si="29"/>
        <v>20.01342051422656</v>
      </c>
      <c r="BB35" s="96">
        <f t="shared" si="29"/>
        <v>20.01342051422656</v>
      </c>
      <c r="BC35" s="96">
        <f t="shared" si="29"/>
        <v>20.01342051422656</v>
      </c>
      <c r="BD35" s="96">
        <f t="shared" si="29"/>
        <v>20.01342051422656</v>
      </c>
      <c r="BE35" s="96">
        <f t="shared" si="29"/>
        <v>20.51375602708222</v>
      </c>
      <c r="BF35" s="96">
        <f t="shared" si="29"/>
        <v>20.51375602708222</v>
      </c>
      <c r="BG35" s="96">
        <f t="shared" si="29"/>
        <v>20.51375602708222</v>
      </c>
      <c r="BH35" s="96">
        <f t="shared" si="29"/>
        <v>20.51375602708222</v>
      </c>
      <c r="BI35" s="96">
        <f t="shared" si="29"/>
        <v>20.51375602708222</v>
      </c>
      <c r="BJ35" s="96">
        <f t="shared" si="29"/>
        <v>20.51375602708222</v>
      </c>
      <c r="BK35" s="96">
        <f t="shared" si="29"/>
        <v>20.51375602708222</v>
      </c>
      <c r="BL35" s="96">
        <f t="shared" si="29"/>
        <v>20.51375602708222</v>
      </c>
      <c r="BM35" s="96">
        <f t="shared" si="29"/>
        <v>20.51375602708222</v>
      </c>
      <c r="BN35" s="96">
        <f t="shared" si="29"/>
        <v>20.51375602708222</v>
      </c>
      <c r="BO35" s="96">
        <f t="shared" si="29"/>
        <v>20.51375602708222</v>
      </c>
      <c r="BP35" s="96">
        <f t="shared" si="29"/>
        <v>20.51375602708222</v>
      </c>
      <c r="BQ35" s="96">
        <f t="shared" si="29"/>
        <v>0</v>
      </c>
      <c r="BR35" s="96">
        <f t="shared" si="29"/>
        <v>0</v>
      </c>
      <c r="BS35" s="96">
        <f t="shared" si="29"/>
        <v>0</v>
      </c>
      <c r="BT35" s="96">
        <f t="shared" ref="BT35:CY35" si="30">BT33*BT34/unit</f>
        <v>0</v>
      </c>
      <c r="BU35" s="96">
        <f t="shared" si="30"/>
        <v>0</v>
      </c>
      <c r="BV35" s="96">
        <f t="shared" si="30"/>
        <v>0</v>
      </c>
      <c r="BW35" s="96">
        <f t="shared" si="30"/>
        <v>0</v>
      </c>
      <c r="BX35" s="96">
        <f t="shared" si="30"/>
        <v>0</v>
      </c>
      <c r="BY35" s="96">
        <f t="shared" si="30"/>
        <v>0</v>
      </c>
      <c r="BZ35" s="96">
        <f t="shared" si="30"/>
        <v>0</v>
      </c>
      <c r="CA35" s="96">
        <f t="shared" si="30"/>
        <v>0</v>
      </c>
      <c r="CB35" s="96">
        <f t="shared" si="30"/>
        <v>0</v>
      </c>
      <c r="CC35" s="96">
        <f t="shared" si="30"/>
        <v>0</v>
      </c>
      <c r="CD35" s="96">
        <f t="shared" si="30"/>
        <v>0</v>
      </c>
      <c r="CE35" s="96">
        <f t="shared" si="30"/>
        <v>0</v>
      </c>
      <c r="CF35" s="96">
        <f t="shared" si="30"/>
        <v>0</v>
      </c>
      <c r="CG35" s="96">
        <f t="shared" si="30"/>
        <v>0</v>
      </c>
      <c r="CH35" s="96">
        <f t="shared" si="30"/>
        <v>0</v>
      </c>
      <c r="CI35" s="96">
        <f t="shared" si="30"/>
        <v>0</v>
      </c>
      <c r="CJ35" s="96">
        <f t="shared" si="30"/>
        <v>0</v>
      </c>
      <c r="CK35" s="96">
        <f t="shared" si="30"/>
        <v>0</v>
      </c>
      <c r="CL35" s="96">
        <f t="shared" si="30"/>
        <v>0</v>
      </c>
      <c r="CM35" s="96">
        <f t="shared" si="30"/>
        <v>0</v>
      </c>
      <c r="CN35" s="96">
        <f t="shared" si="30"/>
        <v>0</v>
      </c>
      <c r="CO35" s="96">
        <f t="shared" si="30"/>
        <v>0</v>
      </c>
      <c r="CP35" s="96">
        <f t="shared" si="30"/>
        <v>0</v>
      </c>
      <c r="CQ35" s="96">
        <f t="shared" si="30"/>
        <v>0</v>
      </c>
      <c r="CR35" s="96">
        <f t="shared" si="30"/>
        <v>0</v>
      </c>
      <c r="CS35" s="96">
        <f t="shared" si="30"/>
        <v>0</v>
      </c>
      <c r="CT35" s="96">
        <f t="shared" si="30"/>
        <v>0</v>
      </c>
      <c r="CU35" s="96">
        <f t="shared" si="30"/>
        <v>0</v>
      </c>
      <c r="CV35" s="96">
        <f t="shared" si="30"/>
        <v>0</v>
      </c>
      <c r="CW35" s="96">
        <f t="shared" si="30"/>
        <v>0</v>
      </c>
      <c r="CX35" s="96">
        <f t="shared" si="30"/>
        <v>0</v>
      </c>
      <c r="CY35" s="96">
        <f t="shared" si="30"/>
        <v>0</v>
      </c>
      <c r="CZ35" s="96">
        <f t="shared" ref="CZ35:DB35" si="31">CZ33*CZ34/unit</f>
        <v>0</v>
      </c>
      <c r="DA35" s="96">
        <f t="shared" si="31"/>
        <v>0</v>
      </c>
      <c r="DB35" s="96">
        <f t="shared" si="31"/>
        <v>0</v>
      </c>
    </row>
    <row r="37" spans="2:106">
      <c r="B37" s="2" t="str">
        <f>'A&amp;R'!U15</f>
        <v>보험료</v>
      </c>
    </row>
    <row r="38" spans="2:106">
      <c r="C38" s="13" t="s">
        <v>174</v>
      </c>
      <c r="E38" s="118">
        <f>'A&amp;R'!$M$20</f>
        <v>7585.49</v>
      </c>
      <c r="H38" s="13">
        <f>$E$18*H$11</f>
        <v>0</v>
      </c>
      <c r="I38" s="13">
        <f t="shared" ref="I38:BT38" si="32">$E$18*I$11</f>
        <v>7585.49</v>
      </c>
      <c r="J38" s="13">
        <f t="shared" si="32"/>
        <v>7585.49</v>
      </c>
      <c r="K38" s="13">
        <f t="shared" si="32"/>
        <v>7585.49</v>
      </c>
      <c r="L38" s="13">
        <f t="shared" si="32"/>
        <v>7585.49</v>
      </c>
      <c r="M38" s="13">
        <f t="shared" si="32"/>
        <v>7585.49</v>
      </c>
      <c r="N38" s="13">
        <f t="shared" si="32"/>
        <v>7585.49</v>
      </c>
      <c r="O38" s="13">
        <f t="shared" si="32"/>
        <v>7585.49</v>
      </c>
      <c r="P38" s="13">
        <f t="shared" si="32"/>
        <v>7585.49</v>
      </c>
      <c r="Q38" s="13">
        <f t="shared" si="32"/>
        <v>7585.49</v>
      </c>
      <c r="R38" s="13">
        <f t="shared" si="32"/>
        <v>7585.49</v>
      </c>
      <c r="S38" s="13">
        <f t="shared" si="32"/>
        <v>7585.49</v>
      </c>
      <c r="T38" s="13">
        <f t="shared" si="32"/>
        <v>7585.49</v>
      </c>
      <c r="U38" s="13">
        <f t="shared" si="32"/>
        <v>7585.49</v>
      </c>
      <c r="V38" s="13">
        <f t="shared" si="32"/>
        <v>7585.49</v>
      </c>
      <c r="W38" s="13">
        <f t="shared" si="32"/>
        <v>7585.49</v>
      </c>
      <c r="X38" s="13">
        <f t="shared" si="32"/>
        <v>7585.49</v>
      </c>
      <c r="Y38" s="13">
        <f t="shared" si="32"/>
        <v>7585.49</v>
      </c>
      <c r="Z38" s="13">
        <f t="shared" si="32"/>
        <v>7585.49</v>
      </c>
      <c r="AA38" s="13">
        <f t="shared" si="32"/>
        <v>7585.49</v>
      </c>
      <c r="AB38" s="13">
        <f t="shared" si="32"/>
        <v>7585.49</v>
      </c>
      <c r="AC38" s="13">
        <f t="shared" si="32"/>
        <v>7585.49</v>
      </c>
      <c r="AD38" s="13">
        <f t="shared" si="32"/>
        <v>7585.49</v>
      </c>
      <c r="AE38" s="13">
        <f t="shared" si="32"/>
        <v>7585.49</v>
      </c>
      <c r="AF38" s="13">
        <f t="shared" si="32"/>
        <v>7585.49</v>
      </c>
      <c r="AG38" s="13">
        <f t="shared" si="32"/>
        <v>7585.49</v>
      </c>
      <c r="AH38" s="13">
        <f t="shared" si="32"/>
        <v>7585.49</v>
      </c>
      <c r="AI38" s="13">
        <f t="shared" si="32"/>
        <v>7585.49</v>
      </c>
      <c r="AJ38" s="13">
        <f t="shared" si="32"/>
        <v>7585.49</v>
      </c>
      <c r="AK38" s="13">
        <f t="shared" si="32"/>
        <v>7585.49</v>
      </c>
      <c r="AL38" s="13">
        <f t="shared" si="32"/>
        <v>7585.49</v>
      </c>
      <c r="AM38" s="13">
        <f t="shared" si="32"/>
        <v>7585.49</v>
      </c>
      <c r="AN38" s="13">
        <f t="shared" si="32"/>
        <v>7585.49</v>
      </c>
      <c r="AO38" s="13">
        <f t="shared" si="32"/>
        <v>7585.49</v>
      </c>
      <c r="AP38" s="13">
        <f t="shared" si="32"/>
        <v>7585.49</v>
      </c>
      <c r="AQ38" s="13">
        <f t="shared" si="32"/>
        <v>7585.49</v>
      </c>
      <c r="AR38" s="13">
        <f t="shared" si="32"/>
        <v>7585.49</v>
      </c>
      <c r="AS38" s="13">
        <f t="shared" si="32"/>
        <v>7585.49</v>
      </c>
      <c r="AT38" s="13">
        <f t="shared" si="32"/>
        <v>7585.49</v>
      </c>
      <c r="AU38" s="13">
        <f t="shared" si="32"/>
        <v>7585.49</v>
      </c>
      <c r="AV38" s="13">
        <f t="shared" si="32"/>
        <v>7585.49</v>
      </c>
      <c r="AW38" s="13">
        <f t="shared" si="32"/>
        <v>7585.49</v>
      </c>
      <c r="AX38" s="13">
        <f t="shared" si="32"/>
        <v>7585.49</v>
      </c>
      <c r="AY38" s="13">
        <f t="shared" si="32"/>
        <v>7585.49</v>
      </c>
      <c r="AZ38" s="13">
        <f t="shared" si="32"/>
        <v>7585.49</v>
      </c>
      <c r="BA38" s="13">
        <f t="shared" si="32"/>
        <v>7585.49</v>
      </c>
      <c r="BB38" s="13">
        <f t="shared" si="32"/>
        <v>7585.49</v>
      </c>
      <c r="BC38" s="13">
        <f t="shared" si="32"/>
        <v>7585.49</v>
      </c>
      <c r="BD38" s="13">
        <f t="shared" si="32"/>
        <v>7585.49</v>
      </c>
      <c r="BE38" s="13">
        <f t="shared" si="32"/>
        <v>7585.49</v>
      </c>
      <c r="BF38" s="13">
        <f t="shared" si="32"/>
        <v>7585.49</v>
      </c>
      <c r="BG38" s="13">
        <f t="shared" si="32"/>
        <v>7585.49</v>
      </c>
      <c r="BH38" s="13">
        <f t="shared" si="32"/>
        <v>7585.49</v>
      </c>
      <c r="BI38" s="13">
        <f t="shared" si="32"/>
        <v>7585.49</v>
      </c>
      <c r="BJ38" s="13">
        <f t="shared" si="32"/>
        <v>7585.49</v>
      </c>
      <c r="BK38" s="13">
        <f t="shared" si="32"/>
        <v>7585.49</v>
      </c>
      <c r="BL38" s="13">
        <f t="shared" si="32"/>
        <v>7585.49</v>
      </c>
      <c r="BM38" s="13">
        <f t="shared" si="32"/>
        <v>7585.49</v>
      </c>
      <c r="BN38" s="13">
        <f t="shared" si="32"/>
        <v>7585.49</v>
      </c>
      <c r="BO38" s="13">
        <f t="shared" si="32"/>
        <v>7585.49</v>
      </c>
      <c r="BP38" s="13">
        <f t="shared" si="32"/>
        <v>7585.49</v>
      </c>
      <c r="BQ38" s="13">
        <f t="shared" si="32"/>
        <v>0</v>
      </c>
      <c r="BR38" s="13">
        <f t="shared" si="32"/>
        <v>0</v>
      </c>
      <c r="BS38" s="13">
        <f t="shared" si="32"/>
        <v>0</v>
      </c>
      <c r="BT38" s="13">
        <f t="shared" si="32"/>
        <v>0</v>
      </c>
      <c r="BU38" s="13">
        <f t="shared" ref="BU38:DB38" si="33">$E$18*BU$11</f>
        <v>0</v>
      </c>
      <c r="BV38" s="13">
        <f t="shared" si="33"/>
        <v>0</v>
      </c>
      <c r="BW38" s="13">
        <f t="shared" si="33"/>
        <v>0</v>
      </c>
      <c r="BX38" s="13">
        <f t="shared" si="33"/>
        <v>0</v>
      </c>
      <c r="BY38" s="13">
        <f t="shared" si="33"/>
        <v>0</v>
      </c>
      <c r="BZ38" s="13">
        <f t="shared" si="33"/>
        <v>0</v>
      </c>
      <c r="CA38" s="13">
        <f t="shared" si="33"/>
        <v>0</v>
      </c>
      <c r="CB38" s="13">
        <f t="shared" si="33"/>
        <v>0</v>
      </c>
      <c r="CC38" s="13">
        <f t="shared" si="33"/>
        <v>0</v>
      </c>
      <c r="CD38" s="13">
        <f t="shared" si="33"/>
        <v>0</v>
      </c>
      <c r="CE38" s="13">
        <f t="shared" si="33"/>
        <v>0</v>
      </c>
      <c r="CF38" s="13">
        <f t="shared" si="33"/>
        <v>0</v>
      </c>
      <c r="CG38" s="13">
        <f t="shared" si="33"/>
        <v>0</v>
      </c>
      <c r="CH38" s="13">
        <f t="shared" si="33"/>
        <v>0</v>
      </c>
      <c r="CI38" s="13">
        <f t="shared" si="33"/>
        <v>0</v>
      </c>
      <c r="CJ38" s="13">
        <f t="shared" si="33"/>
        <v>0</v>
      </c>
      <c r="CK38" s="13">
        <f t="shared" si="33"/>
        <v>0</v>
      </c>
      <c r="CL38" s="13">
        <f t="shared" si="33"/>
        <v>0</v>
      </c>
      <c r="CM38" s="13">
        <f t="shared" si="33"/>
        <v>0</v>
      </c>
      <c r="CN38" s="13">
        <f t="shared" si="33"/>
        <v>0</v>
      </c>
      <c r="CO38" s="13">
        <f t="shared" si="33"/>
        <v>0</v>
      </c>
      <c r="CP38" s="13">
        <f t="shared" si="33"/>
        <v>0</v>
      </c>
      <c r="CQ38" s="13">
        <f t="shared" si="33"/>
        <v>0</v>
      </c>
      <c r="CR38" s="13">
        <f t="shared" si="33"/>
        <v>0</v>
      </c>
      <c r="CS38" s="13">
        <f t="shared" si="33"/>
        <v>0</v>
      </c>
      <c r="CT38" s="13">
        <f t="shared" si="33"/>
        <v>0</v>
      </c>
      <c r="CU38" s="13">
        <f t="shared" si="33"/>
        <v>0</v>
      </c>
      <c r="CV38" s="13">
        <f t="shared" si="33"/>
        <v>0</v>
      </c>
      <c r="CW38" s="13">
        <f t="shared" si="33"/>
        <v>0</v>
      </c>
      <c r="CX38" s="13">
        <f t="shared" si="33"/>
        <v>0</v>
      </c>
      <c r="CY38" s="13">
        <f t="shared" si="33"/>
        <v>0</v>
      </c>
      <c r="CZ38" s="13">
        <f t="shared" si="33"/>
        <v>0</v>
      </c>
      <c r="DA38" s="13">
        <f t="shared" si="33"/>
        <v>0</v>
      </c>
      <c r="DB38" s="13">
        <f t="shared" si="33"/>
        <v>0</v>
      </c>
    </row>
    <row r="39" spans="2:106">
      <c r="C39" s="13" t="s">
        <v>194</v>
      </c>
      <c r="E39" s="119">
        <f>'A&amp;R'!$W$15</f>
        <v>200</v>
      </c>
      <c r="H39" s="13">
        <f>$E$39*(1+'A&amp;R'!$Y$15)^(H$16-1)*H$11</f>
        <v>0</v>
      </c>
      <c r="I39" s="13">
        <f>$E$39*(1+'A&amp;R'!$Y$15)^(I$16-1)*I$11</f>
        <v>200</v>
      </c>
      <c r="J39" s="13">
        <f>$E$39*(1+'A&amp;R'!$Y$15)^(J$16-1)*J$11</f>
        <v>200</v>
      </c>
      <c r="K39" s="13">
        <f>$E$39*(1+'A&amp;R'!$Y$15)^(K$16-1)*K$11</f>
        <v>200</v>
      </c>
      <c r="L39" s="13">
        <f>$E$39*(1+'A&amp;R'!$Y$15)^(L$16-1)*L$11</f>
        <v>200</v>
      </c>
      <c r="M39" s="13">
        <f>$E$39*(1+'A&amp;R'!$Y$15)^(M$16-1)*M$11</f>
        <v>200</v>
      </c>
      <c r="N39" s="13">
        <f>$E$39*(1+'A&amp;R'!$Y$15)^(N$16-1)*N$11</f>
        <v>200</v>
      </c>
      <c r="O39" s="13">
        <f>$E$39*(1+'A&amp;R'!$Y$15)^(O$16-1)*O$11</f>
        <v>200</v>
      </c>
      <c r="P39" s="13">
        <f>$E$39*(1+'A&amp;R'!$Y$15)^(P$16-1)*P$11</f>
        <v>200</v>
      </c>
      <c r="Q39" s="13">
        <f>$E$39*(1+'A&amp;R'!$Y$15)^(Q$16-1)*Q$11</f>
        <v>200</v>
      </c>
      <c r="R39" s="13">
        <f>$E$39*(1+'A&amp;R'!$Y$15)^(R$16-1)*R$11</f>
        <v>200</v>
      </c>
      <c r="S39" s="13">
        <f>$E$39*(1+'A&amp;R'!$Y$15)^(S$16-1)*S$11</f>
        <v>200</v>
      </c>
      <c r="T39" s="13">
        <f>$E$39*(1+'A&amp;R'!$Y$15)^(T$16-1)*T$11</f>
        <v>200</v>
      </c>
      <c r="U39" s="13">
        <f>$E$39*(1+'A&amp;R'!$Y$15)^(U$16-1)*U$11</f>
        <v>204.99999999999997</v>
      </c>
      <c r="V39" s="13">
        <f>$E$39*(1+'A&amp;R'!$Y$15)^(V$16-1)*V$11</f>
        <v>204.99999999999997</v>
      </c>
      <c r="W39" s="13">
        <f>$E$39*(1+'A&amp;R'!$Y$15)^(W$16-1)*W$11</f>
        <v>204.99999999999997</v>
      </c>
      <c r="X39" s="13">
        <f>$E$39*(1+'A&amp;R'!$Y$15)^(X$16-1)*X$11</f>
        <v>204.99999999999997</v>
      </c>
      <c r="Y39" s="13">
        <f>$E$39*(1+'A&amp;R'!$Y$15)^(Y$16-1)*Y$11</f>
        <v>204.99999999999997</v>
      </c>
      <c r="Z39" s="13">
        <f>$E$39*(1+'A&amp;R'!$Y$15)^(Z$16-1)*Z$11</f>
        <v>204.99999999999997</v>
      </c>
      <c r="AA39" s="13">
        <f>$E$39*(1+'A&amp;R'!$Y$15)^(AA$16-1)*AA$11</f>
        <v>204.99999999999997</v>
      </c>
      <c r="AB39" s="13">
        <f>$E$39*(1+'A&amp;R'!$Y$15)^(AB$16-1)*AB$11</f>
        <v>204.99999999999997</v>
      </c>
      <c r="AC39" s="13">
        <f>$E$39*(1+'A&amp;R'!$Y$15)^(AC$16-1)*AC$11</f>
        <v>204.99999999999997</v>
      </c>
      <c r="AD39" s="13">
        <f>$E$39*(1+'A&amp;R'!$Y$15)^(AD$16-1)*AD$11</f>
        <v>204.99999999999997</v>
      </c>
      <c r="AE39" s="13">
        <f>$E$39*(1+'A&amp;R'!$Y$15)^(AE$16-1)*AE$11</f>
        <v>204.99999999999997</v>
      </c>
      <c r="AF39" s="13">
        <f>$E$39*(1+'A&amp;R'!$Y$15)^(AF$16-1)*AF$11</f>
        <v>204.99999999999997</v>
      </c>
      <c r="AG39" s="13">
        <f>$E$39*(1+'A&amp;R'!$Y$15)^(AG$16-1)*AG$11</f>
        <v>210.12499999999997</v>
      </c>
      <c r="AH39" s="13">
        <f>$E$39*(1+'A&amp;R'!$Y$15)^(AH$16-1)*AH$11</f>
        <v>210.12499999999997</v>
      </c>
      <c r="AI39" s="13">
        <f>$E$39*(1+'A&amp;R'!$Y$15)^(AI$16-1)*AI$11</f>
        <v>210.12499999999997</v>
      </c>
      <c r="AJ39" s="13">
        <f>$E$39*(1+'A&amp;R'!$Y$15)^(AJ$16-1)*AJ$11</f>
        <v>210.12499999999997</v>
      </c>
      <c r="AK39" s="13">
        <f>$E$39*(1+'A&amp;R'!$Y$15)^(AK$16-1)*AK$11</f>
        <v>210.12499999999997</v>
      </c>
      <c r="AL39" s="13">
        <f>$E$39*(1+'A&amp;R'!$Y$15)^(AL$16-1)*AL$11</f>
        <v>210.12499999999997</v>
      </c>
      <c r="AM39" s="13">
        <f>$E$39*(1+'A&amp;R'!$Y$15)^(AM$16-1)*AM$11</f>
        <v>210.12499999999997</v>
      </c>
      <c r="AN39" s="13">
        <f>$E$39*(1+'A&amp;R'!$Y$15)^(AN$16-1)*AN$11</f>
        <v>210.12499999999997</v>
      </c>
      <c r="AO39" s="13">
        <f>$E$39*(1+'A&amp;R'!$Y$15)^(AO$16-1)*AO$11</f>
        <v>210.12499999999997</v>
      </c>
      <c r="AP39" s="13">
        <f>$E$39*(1+'A&amp;R'!$Y$15)^(AP$16-1)*AP$11</f>
        <v>210.12499999999997</v>
      </c>
      <c r="AQ39" s="13">
        <f>$E$39*(1+'A&amp;R'!$Y$15)^(AQ$16-1)*AQ$11</f>
        <v>210.12499999999997</v>
      </c>
      <c r="AR39" s="13">
        <f>$E$39*(1+'A&amp;R'!$Y$15)^(AR$16-1)*AR$11</f>
        <v>210.12499999999997</v>
      </c>
      <c r="AS39" s="13">
        <f>$E$39*(1+'A&amp;R'!$Y$15)^(AS$16-1)*AS$11</f>
        <v>215.37812499999998</v>
      </c>
      <c r="AT39" s="13">
        <f>$E$39*(1+'A&amp;R'!$Y$15)^(AT$16-1)*AT$11</f>
        <v>215.37812499999998</v>
      </c>
      <c r="AU39" s="13">
        <f>$E$39*(1+'A&amp;R'!$Y$15)^(AU$16-1)*AU$11</f>
        <v>215.37812499999998</v>
      </c>
      <c r="AV39" s="13">
        <f>$E$39*(1+'A&amp;R'!$Y$15)^(AV$16-1)*AV$11</f>
        <v>215.37812499999998</v>
      </c>
      <c r="AW39" s="13">
        <f>$E$39*(1+'A&amp;R'!$Y$15)^(AW$16-1)*AW$11</f>
        <v>215.37812499999998</v>
      </c>
      <c r="AX39" s="13">
        <f>$E$39*(1+'A&amp;R'!$Y$15)^(AX$16-1)*AX$11</f>
        <v>215.37812499999998</v>
      </c>
      <c r="AY39" s="13">
        <f>$E$39*(1+'A&amp;R'!$Y$15)^(AY$16-1)*AY$11</f>
        <v>215.37812499999998</v>
      </c>
      <c r="AZ39" s="13">
        <f>$E$39*(1+'A&amp;R'!$Y$15)^(AZ$16-1)*AZ$11</f>
        <v>215.37812499999998</v>
      </c>
      <c r="BA39" s="13">
        <f>$E$39*(1+'A&amp;R'!$Y$15)^(BA$16-1)*BA$11</f>
        <v>215.37812499999998</v>
      </c>
      <c r="BB39" s="13">
        <f>$E$39*(1+'A&amp;R'!$Y$15)^(BB$16-1)*BB$11</f>
        <v>215.37812499999998</v>
      </c>
      <c r="BC39" s="13">
        <f>$E$39*(1+'A&amp;R'!$Y$15)^(BC$16-1)*BC$11</f>
        <v>215.37812499999998</v>
      </c>
      <c r="BD39" s="13">
        <f>$E$39*(1+'A&amp;R'!$Y$15)^(BD$16-1)*BD$11</f>
        <v>215.37812499999998</v>
      </c>
      <c r="BE39" s="13">
        <f>$E$39*(1+'A&amp;R'!$Y$15)^(BE$16-1)*BE$11</f>
        <v>220.76257812499995</v>
      </c>
      <c r="BF39" s="13">
        <f>$E$39*(1+'A&amp;R'!$Y$15)^(BF$16-1)*BF$11</f>
        <v>220.76257812499995</v>
      </c>
      <c r="BG39" s="13">
        <f>$E$39*(1+'A&amp;R'!$Y$15)^(BG$16-1)*BG$11</f>
        <v>220.76257812499995</v>
      </c>
      <c r="BH39" s="13">
        <f>$E$39*(1+'A&amp;R'!$Y$15)^(BH$16-1)*BH$11</f>
        <v>220.76257812499995</v>
      </c>
      <c r="BI39" s="13">
        <f>$E$39*(1+'A&amp;R'!$Y$15)^(BI$16-1)*BI$11</f>
        <v>220.76257812499995</v>
      </c>
      <c r="BJ39" s="13">
        <f>$E$39*(1+'A&amp;R'!$Y$15)^(BJ$16-1)*BJ$11</f>
        <v>220.76257812499995</v>
      </c>
      <c r="BK39" s="13">
        <f>$E$39*(1+'A&amp;R'!$Y$15)^(BK$16-1)*BK$11</f>
        <v>220.76257812499995</v>
      </c>
      <c r="BL39" s="13">
        <f>$E$39*(1+'A&amp;R'!$Y$15)^(BL$16-1)*BL$11</f>
        <v>220.76257812499995</v>
      </c>
      <c r="BM39" s="13">
        <f>$E$39*(1+'A&amp;R'!$Y$15)^(BM$16-1)*BM$11</f>
        <v>220.76257812499995</v>
      </c>
      <c r="BN39" s="13">
        <f>$E$39*(1+'A&amp;R'!$Y$15)^(BN$16-1)*BN$11</f>
        <v>220.76257812499995</v>
      </c>
      <c r="BO39" s="13">
        <f>$E$39*(1+'A&amp;R'!$Y$15)^(BO$16-1)*BO$11</f>
        <v>220.76257812499995</v>
      </c>
      <c r="BP39" s="13">
        <f>$E$39*(1+'A&amp;R'!$Y$15)^(BP$16-1)*BP$11</f>
        <v>220.76257812499995</v>
      </c>
      <c r="BQ39" s="13">
        <f>$E$39*(1+'A&amp;R'!$Y$15)^(BQ$16-1)*BQ$11</f>
        <v>0</v>
      </c>
      <c r="BR39" s="13">
        <f>$E$39*(1+'A&amp;R'!$Y$15)^(BR$16-1)*BR$11</f>
        <v>0</v>
      </c>
      <c r="BS39" s="13">
        <f>$E$39*(1+'A&amp;R'!$Y$15)^(BS$16-1)*BS$11</f>
        <v>0</v>
      </c>
      <c r="BT39" s="13">
        <f>$E$39*(1+'A&amp;R'!$Y$15)^(BT$16-1)*BT$11</f>
        <v>0</v>
      </c>
      <c r="BU39" s="13">
        <f>$E$39*(1+'A&amp;R'!$Y$15)^(BU$16-1)*BU$11</f>
        <v>0</v>
      </c>
      <c r="BV39" s="13">
        <f>$E$39*(1+'A&amp;R'!$Y$15)^(BV$16-1)*BV$11</f>
        <v>0</v>
      </c>
      <c r="BW39" s="13">
        <f>$E$39*(1+'A&amp;R'!$Y$15)^(BW$16-1)*BW$11</f>
        <v>0</v>
      </c>
      <c r="BX39" s="13">
        <f>$E$39*(1+'A&amp;R'!$Y$15)^(BX$16-1)*BX$11</f>
        <v>0</v>
      </c>
      <c r="BY39" s="13">
        <f>$E$39*(1+'A&amp;R'!$Y$15)^(BY$16-1)*BY$11</f>
        <v>0</v>
      </c>
      <c r="BZ39" s="13">
        <f>$E$39*(1+'A&amp;R'!$Y$15)^(BZ$16-1)*BZ$11</f>
        <v>0</v>
      </c>
      <c r="CA39" s="13">
        <f>$E$39*(1+'A&amp;R'!$Y$15)^(CA$16-1)*CA$11</f>
        <v>0</v>
      </c>
      <c r="CB39" s="13">
        <f>$E$39*(1+'A&amp;R'!$Y$15)^(CB$16-1)*CB$11</f>
        <v>0</v>
      </c>
      <c r="CC39" s="13">
        <f>$E$39*(1+'A&amp;R'!$Y$15)^(CC$16-1)*CC$11</f>
        <v>0</v>
      </c>
      <c r="CD39" s="13">
        <f>$E$39*(1+'A&amp;R'!$Y$15)^(CD$16-1)*CD$11</f>
        <v>0</v>
      </c>
      <c r="CE39" s="13">
        <f>$E$39*(1+'A&amp;R'!$Y$15)^(CE$16-1)*CE$11</f>
        <v>0</v>
      </c>
      <c r="CF39" s="13">
        <f>$E$39*(1+'A&amp;R'!$Y$15)^(CF$16-1)*CF$11</f>
        <v>0</v>
      </c>
      <c r="CG39" s="13">
        <f>$E$39*(1+'A&amp;R'!$Y$15)^(CG$16-1)*CG$11</f>
        <v>0</v>
      </c>
      <c r="CH39" s="13">
        <f>$E$39*(1+'A&amp;R'!$Y$15)^(CH$16-1)*CH$11</f>
        <v>0</v>
      </c>
      <c r="CI39" s="13">
        <f>$E$39*(1+'A&amp;R'!$Y$15)^(CI$16-1)*CI$11</f>
        <v>0</v>
      </c>
      <c r="CJ39" s="13">
        <f>$E$39*(1+'A&amp;R'!$Y$15)^(CJ$16-1)*CJ$11</f>
        <v>0</v>
      </c>
      <c r="CK39" s="13">
        <f>$E$39*(1+'A&amp;R'!$Y$15)^(CK$16-1)*CK$11</f>
        <v>0</v>
      </c>
      <c r="CL39" s="13">
        <f>$E$39*(1+'A&amp;R'!$Y$15)^(CL$16-1)*CL$11</f>
        <v>0</v>
      </c>
      <c r="CM39" s="13">
        <f>$E$39*(1+'A&amp;R'!$Y$15)^(CM$16-1)*CM$11</f>
        <v>0</v>
      </c>
      <c r="CN39" s="13">
        <f>$E$39*(1+'A&amp;R'!$Y$15)^(CN$16-1)*CN$11</f>
        <v>0</v>
      </c>
      <c r="CO39" s="13">
        <f>$E$39*(1+'A&amp;R'!$Y$15)^(CO$16-1)*CO$11</f>
        <v>0</v>
      </c>
      <c r="CP39" s="13">
        <f>$E$39*(1+'A&amp;R'!$Y$15)^(CP$16-1)*CP$11</f>
        <v>0</v>
      </c>
      <c r="CQ39" s="13">
        <f>$E$39*(1+'A&amp;R'!$Y$15)^(CQ$16-1)*CQ$11</f>
        <v>0</v>
      </c>
      <c r="CR39" s="13">
        <f>$E$39*(1+'A&amp;R'!$Y$15)^(CR$16-1)*CR$11</f>
        <v>0</v>
      </c>
      <c r="CS39" s="13">
        <f>$E$39*(1+'A&amp;R'!$Y$15)^(CS$16-1)*CS$11</f>
        <v>0</v>
      </c>
      <c r="CT39" s="13">
        <f>$E$39*(1+'A&amp;R'!$Y$15)^(CT$16-1)*CT$11</f>
        <v>0</v>
      </c>
      <c r="CU39" s="13">
        <f>$E$39*(1+'A&amp;R'!$Y$15)^(CU$16-1)*CU$11</f>
        <v>0</v>
      </c>
      <c r="CV39" s="13">
        <f>$E$39*(1+'A&amp;R'!$Y$15)^(CV$16-1)*CV$11</f>
        <v>0</v>
      </c>
      <c r="CW39" s="13">
        <f>$E$39*(1+'A&amp;R'!$Y$15)^(CW$16-1)*CW$11</f>
        <v>0</v>
      </c>
      <c r="CX39" s="13">
        <f>$E$39*(1+'A&amp;R'!$Y$15)^(CX$16-1)*CX$11</f>
        <v>0</v>
      </c>
      <c r="CY39" s="13">
        <f>$E$39*(1+'A&amp;R'!$Y$15)^(CY$16-1)*CY$11</f>
        <v>0</v>
      </c>
      <c r="CZ39" s="13">
        <f>$E$39*(1+'A&amp;R'!$Y$15)^(CZ$16-1)*CZ$11</f>
        <v>0</v>
      </c>
      <c r="DA39" s="13">
        <f>$E$39*(1+'A&amp;R'!$Y$15)^(DA$16-1)*DA$11</f>
        <v>0</v>
      </c>
      <c r="DB39" s="13">
        <f>$E$39*(1+'A&amp;R'!$Y$15)^(DB$16-1)*DB$11</f>
        <v>0</v>
      </c>
    </row>
    <row r="40" spans="2:106">
      <c r="C40" s="96" t="s">
        <v>191</v>
      </c>
      <c r="D40" s="96"/>
      <c r="E40" s="96"/>
      <c r="F40" s="96">
        <f>SUM(H40:DB40)</f>
        <v>95.692385740771954</v>
      </c>
      <c r="G40" s="96"/>
      <c r="H40" s="96">
        <f t="shared" ref="H40:AM40" si="34">H38*H39/unit</f>
        <v>0</v>
      </c>
      <c r="I40" s="96">
        <f t="shared" si="34"/>
        <v>1.5170980000000001</v>
      </c>
      <c r="J40" s="96">
        <f t="shared" si="34"/>
        <v>1.5170980000000001</v>
      </c>
      <c r="K40" s="96">
        <f t="shared" si="34"/>
        <v>1.5170980000000001</v>
      </c>
      <c r="L40" s="96">
        <f t="shared" si="34"/>
        <v>1.5170980000000001</v>
      </c>
      <c r="M40" s="96">
        <f t="shared" si="34"/>
        <v>1.5170980000000001</v>
      </c>
      <c r="N40" s="96">
        <f t="shared" si="34"/>
        <v>1.5170980000000001</v>
      </c>
      <c r="O40" s="96">
        <f t="shared" si="34"/>
        <v>1.5170980000000001</v>
      </c>
      <c r="P40" s="96">
        <f t="shared" si="34"/>
        <v>1.5170980000000001</v>
      </c>
      <c r="Q40" s="96">
        <f t="shared" si="34"/>
        <v>1.5170980000000001</v>
      </c>
      <c r="R40" s="96">
        <f t="shared" si="34"/>
        <v>1.5170980000000001</v>
      </c>
      <c r="S40" s="96">
        <f t="shared" si="34"/>
        <v>1.5170980000000001</v>
      </c>
      <c r="T40" s="96">
        <f t="shared" si="34"/>
        <v>1.5170980000000001</v>
      </c>
      <c r="U40" s="96">
        <f t="shared" si="34"/>
        <v>1.5550254499999998</v>
      </c>
      <c r="V40" s="96">
        <f t="shared" si="34"/>
        <v>1.5550254499999998</v>
      </c>
      <c r="W40" s="96">
        <f t="shared" si="34"/>
        <v>1.5550254499999998</v>
      </c>
      <c r="X40" s="96">
        <f t="shared" si="34"/>
        <v>1.5550254499999998</v>
      </c>
      <c r="Y40" s="96">
        <f t="shared" si="34"/>
        <v>1.5550254499999998</v>
      </c>
      <c r="Z40" s="96">
        <f t="shared" si="34"/>
        <v>1.5550254499999998</v>
      </c>
      <c r="AA40" s="96">
        <f t="shared" si="34"/>
        <v>1.5550254499999998</v>
      </c>
      <c r="AB40" s="96">
        <f t="shared" si="34"/>
        <v>1.5550254499999998</v>
      </c>
      <c r="AC40" s="96">
        <f t="shared" si="34"/>
        <v>1.5550254499999998</v>
      </c>
      <c r="AD40" s="96">
        <f t="shared" si="34"/>
        <v>1.5550254499999998</v>
      </c>
      <c r="AE40" s="96">
        <f t="shared" si="34"/>
        <v>1.5550254499999998</v>
      </c>
      <c r="AF40" s="96">
        <f t="shared" si="34"/>
        <v>1.5550254499999998</v>
      </c>
      <c r="AG40" s="96">
        <f t="shared" si="34"/>
        <v>1.5939010862499996</v>
      </c>
      <c r="AH40" s="96">
        <f t="shared" si="34"/>
        <v>1.5939010862499996</v>
      </c>
      <c r="AI40" s="96">
        <f t="shared" si="34"/>
        <v>1.5939010862499996</v>
      </c>
      <c r="AJ40" s="96">
        <f t="shared" si="34"/>
        <v>1.5939010862499996</v>
      </c>
      <c r="AK40" s="96">
        <f t="shared" si="34"/>
        <v>1.5939010862499996</v>
      </c>
      <c r="AL40" s="96">
        <f t="shared" si="34"/>
        <v>1.5939010862499996</v>
      </c>
      <c r="AM40" s="96">
        <f t="shared" si="34"/>
        <v>1.5939010862499996</v>
      </c>
      <c r="AN40" s="96">
        <f t="shared" ref="AN40:BS40" si="35">AN38*AN39/unit</f>
        <v>1.5939010862499996</v>
      </c>
      <c r="AO40" s="96">
        <f t="shared" si="35"/>
        <v>1.5939010862499996</v>
      </c>
      <c r="AP40" s="96">
        <f t="shared" si="35"/>
        <v>1.5939010862499996</v>
      </c>
      <c r="AQ40" s="96">
        <f t="shared" si="35"/>
        <v>1.5939010862499996</v>
      </c>
      <c r="AR40" s="96">
        <f t="shared" si="35"/>
        <v>1.5939010862499996</v>
      </c>
      <c r="AS40" s="96">
        <f t="shared" si="35"/>
        <v>1.6337486134062498</v>
      </c>
      <c r="AT40" s="96">
        <f t="shared" si="35"/>
        <v>1.6337486134062498</v>
      </c>
      <c r="AU40" s="96">
        <f t="shared" si="35"/>
        <v>1.6337486134062498</v>
      </c>
      <c r="AV40" s="96">
        <f t="shared" si="35"/>
        <v>1.6337486134062498</v>
      </c>
      <c r="AW40" s="96">
        <f t="shared" si="35"/>
        <v>1.6337486134062498</v>
      </c>
      <c r="AX40" s="96">
        <f t="shared" si="35"/>
        <v>1.6337486134062498</v>
      </c>
      <c r="AY40" s="96">
        <f t="shared" si="35"/>
        <v>1.6337486134062498</v>
      </c>
      <c r="AZ40" s="96">
        <f t="shared" si="35"/>
        <v>1.6337486134062498</v>
      </c>
      <c r="BA40" s="96">
        <f t="shared" si="35"/>
        <v>1.6337486134062498</v>
      </c>
      <c r="BB40" s="96">
        <f t="shared" si="35"/>
        <v>1.6337486134062498</v>
      </c>
      <c r="BC40" s="96">
        <f t="shared" si="35"/>
        <v>1.6337486134062498</v>
      </c>
      <c r="BD40" s="96">
        <f t="shared" si="35"/>
        <v>1.6337486134062498</v>
      </c>
      <c r="BE40" s="96">
        <f t="shared" si="35"/>
        <v>1.674592328741406</v>
      </c>
      <c r="BF40" s="96">
        <f t="shared" si="35"/>
        <v>1.674592328741406</v>
      </c>
      <c r="BG40" s="96">
        <f t="shared" si="35"/>
        <v>1.674592328741406</v>
      </c>
      <c r="BH40" s="96">
        <f t="shared" si="35"/>
        <v>1.674592328741406</v>
      </c>
      <c r="BI40" s="96">
        <f t="shared" si="35"/>
        <v>1.674592328741406</v>
      </c>
      <c r="BJ40" s="96">
        <f t="shared" si="35"/>
        <v>1.674592328741406</v>
      </c>
      <c r="BK40" s="96">
        <f t="shared" si="35"/>
        <v>1.674592328741406</v>
      </c>
      <c r="BL40" s="96">
        <f t="shared" si="35"/>
        <v>1.674592328741406</v>
      </c>
      <c r="BM40" s="96">
        <f t="shared" si="35"/>
        <v>1.674592328741406</v>
      </c>
      <c r="BN40" s="96">
        <f t="shared" si="35"/>
        <v>1.674592328741406</v>
      </c>
      <c r="BO40" s="96">
        <f t="shared" si="35"/>
        <v>1.674592328741406</v>
      </c>
      <c r="BP40" s="96">
        <f t="shared" si="35"/>
        <v>1.674592328741406</v>
      </c>
      <c r="BQ40" s="96">
        <f t="shared" si="35"/>
        <v>0</v>
      </c>
      <c r="BR40" s="96">
        <f t="shared" si="35"/>
        <v>0</v>
      </c>
      <c r="BS40" s="96">
        <f t="shared" si="35"/>
        <v>0</v>
      </c>
      <c r="BT40" s="96">
        <f t="shared" ref="BT40:CY40" si="36">BT38*BT39/unit</f>
        <v>0</v>
      </c>
      <c r="BU40" s="96">
        <f t="shared" si="36"/>
        <v>0</v>
      </c>
      <c r="BV40" s="96">
        <f t="shared" si="36"/>
        <v>0</v>
      </c>
      <c r="BW40" s="96">
        <f t="shared" si="36"/>
        <v>0</v>
      </c>
      <c r="BX40" s="96">
        <f t="shared" si="36"/>
        <v>0</v>
      </c>
      <c r="BY40" s="96">
        <f t="shared" si="36"/>
        <v>0</v>
      </c>
      <c r="BZ40" s="96">
        <f t="shared" si="36"/>
        <v>0</v>
      </c>
      <c r="CA40" s="96">
        <f t="shared" si="36"/>
        <v>0</v>
      </c>
      <c r="CB40" s="96">
        <f t="shared" si="36"/>
        <v>0</v>
      </c>
      <c r="CC40" s="96">
        <f t="shared" si="36"/>
        <v>0</v>
      </c>
      <c r="CD40" s="96">
        <f t="shared" si="36"/>
        <v>0</v>
      </c>
      <c r="CE40" s="96">
        <f t="shared" si="36"/>
        <v>0</v>
      </c>
      <c r="CF40" s="96">
        <f t="shared" si="36"/>
        <v>0</v>
      </c>
      <c r="CG40" s="96">
        <f t="shared" si="36"/>
        <v>0</v>
      </c>
      <c r="CH40" s="96">
        <f t="shared" si="36"/>
        <v>0</v>
      </c>
      <c r="CI40" s="96">
        <f t="shared" si="36"/>
        <v>0</v>
      </c>
      <c r="CJ40" s="96">
        <f t="shared" si="36"/>
        <v>0</v>
      </c>
      <c r="CK40" s="96">
        <f t="shared" si="36"/>
        <v>0</v>
      </c>
      <c r="CL40" s="96">
        <f t="shared" si="36"/>
        <v>0</v>
      </c>
      <c r="CM40" s="96">
        <f t="shared" si="36"/>
        <v>0</v>
      </c>
      <c r="CN40" s="96">
        <f t="shared" si="36"/>
        <v>0</v>
      </c>
      <c r="CO40" s="96">
        <f t="shared" si="36"/>
        <v>0</v>
      </c>
      <c r="CP40" s="96">
        <f t="shared" si="36"/>
        <v>0</v>
      </c>
      <c r="CQ40" s="96">
        <f t="shared" si="36"/>
        <v>0</v>
      </c>
      <c r="CR40" s="96">
        <f t="shared" si="36"/>
        <v>0</v>
      </c>
      <c r="CS40" s="96">
        <f t="shared" si="36"/>
        <v>0</v>
      </c>
      <c r="CT40" s="96">
        <f t="shared" si="36"/>
        <v>0</v>
      </c>
      <c r="CU40" s="96">
        <f t="shared" si="36"/>
        <v>0</v>
      </c>
      <c r="CV40" s="96">
        <f t="shared" si="36"/>
        <v>0</v>
      </c>
      <c r="CW40" s="96">
        <f t="shared" si="36"/>
        <v>0</v>
      </c>
      <c r="CX40" s="96">
        <f t="shared" si="36"/>
        <v>0</v>
      </c>
      <c r="CY40" s="96">
        <f t="shared" si="36"/>
        <v>0</v>
      </c>
      <c r="CZ40" s="96">
        <f t="shared" ref="CZ40:DB40" si="37">CZ38*CZ39/unit</f>
        <v>0</v>
      </c>
      <c r="DA40" s="96">
        <f t="shared" si="37"/>
        <v>0</v>
      </c>
      <c r="DB40" s="96">
        <f t="shared" si="37"/>
        <v>0</v>
      </c>
    </row>
    <row r="42" spans="2:106">
      <c r="B42" s="2" t="str">
        <f>'A&amp;R'!U16</f>
        <v>제세공과금</v>
      </c>
    </row>
    <row r="43" spans="2:106">
      <c r="C43" s="13" t="s">
        <v>178</v>
      </c>
      <c r="D43" s="121">
        <f>'A&amp;R'!E27</f>
        <v>236000</v>
      </c>
      <c r="E43" s="90">
        <f>'A&amp;R'!W16</f>
        <v>5.0000000000000001E-3</v>
      </c>
      <c r="F43" s="13" t="s">
        <v>179</v>
      </c>
      <c r="H43" s="13">
        <f>($D$43*$E$43/12)*H$11</f>
        <v>0</v>
      </c>
      <c r="I43" s="13">
        <f t="shared" ref="I43:BT43" si="38">($D$43*$E$43/12)*I$11</f>
        <v>98.333333333333329</v>
      </c>
      <c r="J43" s="13">
        <f t="shared" si="38"/>
        <v>98.333333333333329</v>
      </c>
      <c r="K43" s="13">
        <f t="shared" si="38"/>
        <v>98.333333333333329</v>
      </c>
      <c r="L43" s="13">
        <f t="shared" si="38"/>
        <v>98.333333333333329</v>
      </c>
      <c r="M43" s="13">
        <f t="shared" si="38"/>
        <v>98.333333333333329</v>
      </c>
      <c r="N43" s="13">
        <f t="shared" si="38"/>
        <v>98.333333333333329</v>
      </c>
      <c r="O43" s="13">
        <f t="shared" si="38"/>
        <v>98.333333333333329</v>
      </c>
      <c r="P43" s="13">
        <f t="shared" si="38"/>
        <v>98.333333333333329</v>
      </c>
      <c r="Q43" s="13">
        <f t="shared" si="38"/>
        <v>98.333333333333329</v>
      </c>
      <c r="R43" s="13">
        <f t="shared" si="38"/>
        <v>98.333333333333329</v>
      </c>
      <c r="S43" s="13">
        <f t="shared" si="38"/>
        <v>98.333333333333329</v>
      </c>
      <c r="T43" s="13">
        <f t="shared" si="38"/>
        <v>98.333333333333329</v>
      </c>
      <c r="U43" s="13">
        <f t="shared" si="38"/>
        <v>98.333333333333329</v>
      </c>
      <c r="V43" s="13">
        <f t="shared" si="38"/>
        <v>98.333333333333329</v>
      </c>
      <c r="W43" s="13">
        <f t="shared" si="38"/>
        <v>98.333333333333329</v>
      </c>
      <c r="X43" s="13">
        <f t="shared" si="38"/>
        <v>98.333333333333329</v>
      </c>
      <c r="Y43" s="13">
        <f t="shared" si="38"/>
        <v>98.333333333333329</v>
      </c>
      <c r="Z43" s="13">
        <f t="shared" si="38"/>
        <v>98.333333333333329</v>
      </c>
      <c r="AA43" s="13">
        <f t="shared" si="38"/>
        <v>98.333333333333329</v>
      </c>
      <c r="AB43" s="13">
        <f t="shared" si="38"/>
        <v>98.333333333333329</v>
      </c>
      <c r="AC43" s="13">
        <f t="shared" si="38"/>
        <v>98.333333333333329</v>
      </c>
      <c r="AD43" s="13">
        <f t="shared" si="38"/>
        <v>98.333333333333329</v>
      </c>
      <c r="AE43" s="13">
        <f t="shared" si="38"/>
        <v>98.333333333333329</v>
      </c>
      <c r="AF43" s="13">
        <f t="shared" si="38"/>
        <v>98.333333333333329</v>
      </c>
      <c r="AG43" s="13">
        <f t="shared" si="38"/>
        <v>98.333333333333329</v>
      </c>
      <c r="AH43" s="13">
        <f t="shared" si="38"/>
        <v>98.333333333333329</v>
      </c>
      <c r="AI43" s="13">
        <f t="shared" si="38"/>
        <v>98.333333333333329</v>
      </c>
      <c r="AJ43" s="13">
        <f t="shared" si="38"/>
        <v>98.333333333333329</v>
      </c>
      <c r="AK43" s="13">
        <f t="shared" si="38"/>
        <v>98.333333333333329</v>
      </c>
      <c r="AL43" s="13">
        <f t="shared" si="38"/>
        <v>98.333333333333329</v>
      </c>
      <c r="AM43" s="13">
        <f t="shared" si="38"/>
        <v>98.333333333333329</v>
      </c>
      <c r="AN43" s="13">
        <f t="shared" si="38"/>
        <v>98.333333333333329</v>
      </c>
      <c r="AO43" s="13">
        <f t="shared" si="38"/>
        <v>98.333333333333329</v>
      </c>
      <c r="AP43" s="13">
        <f t="shared" si="38"/>
        <v>98.333333333333329</v>
      </c>
      <c r="AQ43" s="13">
        <f t="shared" si="38"/>
        <v>98.333333333333329</v>
      </c>
      <c r="AR43" s="13">
        <f t="shared" si="38"/>
        <v>98.333333333333329</v>
      </c>
      <c r="AS43" s="13">
        <f t="shared" si="38"/>
        <v>98.333333333333329</v>
      </c>
      <c r="AT43" s="13">
        <f t="shared" si="38"/>
        <v>98.333333333333329</v>
      </c>
      <c r="AU43" s="13">
        <f t="shared" si="38"/>
        <v>98.333333333333329</v>
      </c>
      <c r="AV43" s="13">
        <f t="shared" si="38"/>
        <v>98.333333333333329</v>
      </c>
      <c r="AW43" s="13">
        <f t="shared" si="38"/>
        <v>98.333333333333329</v>
      </c>
      <c r="AX43" s="13">
        <f t="shared" si="38"/>
        <v>98.333333333333329</v>
      </c>
      <c r="AY43" s="13">
        <f t="shared" si="38"/>
        <v>98.333333333333329</v>
      </c>
      <c r="AZ43" s="13">
        <f t="shared" si="38"/>
        <v>98.333333333333329</v>
      </c>
      <c r="BA43" s="13">
        <f t="shared" si="38"/>
        <v>98.333333333333329</v>
      </c>
      <c r="BB43" s="13">
        <f t="shared" si="38"/>
        <v>98.333333333333329</v>
      </c>
      <c r="BC43" s="13">
        <f t="shared" si="38"/>
        <v>98.333333333333329</v>
      </c>
      <c r="BD43" s="13">
        <f t="shared" si="38"/>
        <v>98.333333333333329</v>
      </c>
      <c r="BE43" s="13">
        <f t="shared" si="38"/>
        <v>98.333333333333329</v>
      </c>
      <c r="BF43" s="13">
        <f t="shared" si="38"/>
        <v>98.333333333333329</v>
      </c>
      <c r="BG43" s="13">
        <f t="shared" si="38"/>
        <v>98.333333333333329</v>
      </c>
      <c r="BH43" s="13">
        <f t="shared" si="38"/>
        <v>98.333333333333329</v>
      </c>
      <c r="BI43" s="13">
        <f t="shared" si="38"/>
        <v>98.333333333333329</v>
      </c>
      <c r="BJ43" s="13">
        <f t="shared" si="38"/>
        <v>98.333333333333329</v>
      </c>
      <c r="BK43" s="13">
        <f t="shared" si="38"/>
        <v>98.333333333333329</v>
      </c>
      <c r="BL43" s="13">
        <f t="shared" si="38"/>
        <v>98.333333333333329</v>
      </c>
      <c r="BM43" s="13">
        <f t="shared" si="38"/>
        <v>98.333333333333329</v>
      </c>
      <c r="BN43" s="13">
        <f t="shared" si="38"/>
        <v>98.333333333333329</v>
      </c>
      <c r="BO43" s="13">
        <f t="shared" si="38"/>
        <v>98.333333333333329</v>
      </c>
      <c r="BP43" s="13">
        <f t="shared" si="38"/>
        <v>98.333333333333329</v>
      </c>
      <c r="BQ43" s="13">
        <f t="shared" si="38"/>
        <v>0</v>
      </c>
      <c r="BR43" s="13">
        <f t="shared" si="38"/>
        <v>0</v>
      </c>
      <c r="BS43" s="13">
        <f t="shared" si="38"/>
        <v>0</v>
      </c>
      <c r="BT43" s="13">
        <f t="shared" si="38"/>
        <v>0</v>
      </c>
      <c r="BU43" s="13">
        <f t="shared" ref="BU43:DB43" si="39">($D$43*$E$43/12)*BU$11</f>
        <v>0</v>
      </c>
      <c r="BV43" s="13">
        <f t="shared" si="39"/>
        <v>0</v>
      </c>
      <c r="BW43" s="13">
        <f t="shared" si="39"/>
        <v>0</v>
      </c>
      <c r="BX43" s="13">
        <f t="shared" si="39"/>
        <v>0</v>
      </c>
      <c r="BY43" s="13">
        <f t="shared" si="39"/>
        <v>0</v>
      </c>
      <c r="BZ43" s="13">
        <f t="shared" si="39"/>
        <v>0</v>
      </c>
      <c r="CA43" s="13">
        <f t="shared" si="39"/>
        <v>0</v>
      </c>
      <c r="CB43" s="13">
        <f t="shared" si="39"/>
        <v>0</v>
      </c>
      <c r="CC43" s="13">
        <f t="shared" si="39"/>
        <v>0</v>
      </c>
      <c r="CD43" s="13">
        <f t="shared" si="39"/>
        <v>0</v>
      </c>
      <c r="CE43" s="13">
        <f t="shared" si="39"/>
        <v>0</v>
      </c>
      <c r="CF43" s="13">
        <f t="shared" si="39"/>
        <v>0</v>
      </c>
      <c r="CG43" s="13">
        <f t="shared" si="39"/>
        <v>0</v>
      </c>
      <c r="CH43" s="13">
        <f t="shared" si="39"/>
        <v>0</v>
      </c>
      <c r="CI43" s="13">
        <f t="shared" si="39"/>
        <v>0</v>
      </c>
      <c r="CJ43" s="13">
        <f t="shared" si="39"/>
        <v>0</v>
      </c>
      <c r="CK43" s="13">
        <f t="shared" si="39"/>
        <v>0</v>
      </c>
      <c r="CL43" s="13">
        <f t="shared" si="39"/>
        <v>0</v>
      </c>
      <c r="CM43" s="13">
        <f t="shared" si="39"/>
        <v>0</v>
      </c>
      <c r="CN43" s="13">
        <f t="shared" si="39"/>
        <v>0</v>
      </c>
      <c r="CO43" s="13">
        <f t="shared" si="39"/>
        <v>0</v>
      </c>
      <c r="CP43" s="13">
        <f t="shared" si="39"/>
        <v>0</v>
      </c>
      <c r="CQ43" s="13">
        <f t="shared" si="39"/>
        <v>0</v>
      </c>
      <c r="CR43" s="13">
        <f t="shared" si="39"/>
        <v>0</v>
      </c>
      <c r="CS43" s="13">
        <f t="shared" si="39"/>
        <v>0</v>
      </c>
      <c r="CT43" s="13">
        <f t="shared" si="39"/>
        <v>0</v>
      </c>
      <c r="CU43" s="13">
        <f t="shared" si="39"/>
        <v>0</v>
      </c>
      <c r="CV43" s="13">
        <f t="shared" si="39"/>
        <v>0</v>
      </c>
      <c r="CW43" s="13">
        <f t="shared" si="39"/>
        <v>0</v>
      </c>
      <c r="CX43" s="13">
        <f t="shared" si="39"/>
        <v>0</v>
      </c>
      <c r="CY43" s="13">
        <f t="shared" si="39"/>
        <v>0</v>
      </c>
      <c r="CZ43" s="13">
        <f t="shared" si="39"/>
        <v>0</v>
      </c>
      <c r="DA43" s="13">
        <f t="shared" si="39"/>
        <v>0</v>
      </c>
      <c r="DB43" s="13">
        <f t="shared" si="39"/>
        <v>0</v>
      </c>
    </row>
    <row r="44" spans="2:106">
      <c r="C44" s="13" t="s">
        <v>177</v>
      </c>
      <c r="D44" s="120"/>
      <c r="E44" s="90">
        <f>'A&amp;R'!Y16</f>
        <v>2.5000000000000001E-2</v>
      </c>
      <c r="H44" s="90">
        <f>(1+$E$44)^(H$16-1)*H$11</f>
        <v>0</v>
      </c>
      <c r="I44" s="90">
        <f t="shared" ref="I44:BT44" si="40">(1+$E$44)^(I$16-1)*I$11</f>
        <v>1</v>
      </c>
      <c r="J44" s="90">
        <f t="shared" si="40"/>
        <v>1</v>
      </c>
      <c r="K44" s="90">
        <f t="shared" si="40"/>
        <v>1</v>
      </c>
      <c r="L44" s="90">
        <f t="shared" si="40"/>
        <v>1</v>
      </c>
      <c r="M44" s="90">
        <f t="shared" si="40"/>
        <v>1</v>
      </c>
      <c r="N44" s="90">
        <f t="shared" si="40"/>
        <v>1</v>
      </c>
      <c r="O44" s="90">
        <f t="shared" si="40"/>
        <v>1</v>
      </c>
      <c r="P44" s="90">
        <f t="shared" si="40"/>
        <v>1</v>
      </c>
      <c r="Q44" s="90">
        <f t="shared" si="40"/>
        <v>1</v>
      </c>
      <c r="R44" s="90">
        <f t="shared" si="40"/>
        <v>1</v>
      </c>
      <c r="S44" s="90">
        <f t="shared" si="40"/>
        <v>1</v>
      </c>
      <c r="T44" s="90">
        <f t="shared" si="40"/>
        <v>1</v>
      </c>
      <c r="U44" s="90">
        <f t="shared" si="40"/>
        <v>1.0249999999999999</v>
      </c>
      <c r="V44" s="90">
        <f t="shared" si="40"/>
        <v>1.0249999999999999</v>
      </c>
      <c r="W44" s="90">
        <f t="shared" si="40"/>
        <v>1.0249999999999999</v>
      </c>
      <c r="X44" s="90">
        <f t="shared" si="40"/>
        <v>1.0249999999999999</v>
      </c>
      <c r="Y44" s="90">
        <f t="shared" si="40"/>
        <v>1.0249999999999999</v>
      </c>
      <c r="Z44" s="90">
        <f t="shared" si="40"/>
        <v>1.0249999999999999</v>
      </c>
      <c r="AA44" s="90">
        <f t="shared" si="40"/>
        <v>1.0249999999999999</v>
      </c>
      <c r="AB44" s="90">
        <f t="shared" si="40"/>
        <v>1.0249999999999999</v>
      </c>
      <c r="AC44" s="90">
        <f t="shared" si="40"/>
        <v>1.0249999999999999</v>
      </c>
      <c r="AD44" s="90">
        <f t="shared" si="40"/>
        <v>1.0249999999999999</v>
      </c>
      <c r="AE44" s="90">
        <f t="shared" si="40"/>
        <v>1.0249999999999999</v>
      </c>
      <c r="AF44" s="90">
        <f t="shared" si="40"/>
        <v>1.0249999999999999</v>
      </c>
      <c r="AG44" s="90">
        <f t="shared" si="40"/>
        <v>1.0506249999999999</v>
      </c>
      <c r="AH44" s="90">
        <f t="shared" si="40"/>
        <v>1.0506249999999999</v>
      </c>
      <c r="AI44" s="90">
        <f t="shared" si="40"/>
        <v>1.0506249999999999</v>
      </c>
      <c r="AJ44" s="90">
        <f t="shared" si="40"/>
        <v>1.0506249999999999</v>
      </c>
      <c r="AK44" s="90">
        <f t="shared" si="40"/>
        <v>1.0506249999999999</v>
      </c>
      <c r="AL44" s="90">
        <f t="shared" si="40"/>
        <v>1.0506249999999999</v>
      </c>
      <c r="AM44" s="90">
        <f t="shared" si="40"/>
        <v>1.0506249999999999</v>
      </c>
      <c r="AN44" s="90">
        <f t="shared" si="40"/>
        <v>1.0506249999999999</v>
      </c>
      <c r="AO44" s="90">
        <f t="shared" si="40"/>
        <v>1.0506249999999999</v>
      </c>
      <c r="AP44" s="90">
        <f t="shared" si="40"/>
        <v>1.0506249999999999</v>
      </c>
      <c r="AQ44" s="90">
        <f t="shared" si="40"/>
        <v>1.0506249999999999</v>
      </c>
      <c r="AR44" s="90">
        <f t="shared" si="40"/>
        <v>1.0506249999999999</v>
      </c>
      <c r="AS44" s="90">
        <f t="shared" si="40"/>
        <v>1.0768906249999999</v>
      </c>
      <c r="AT44" s="90">
        <f t="shared" si="40"/>
        <v>1.0768906249999999</v>
      </c>
      <c r="AU44" s="90">
        <f t="shared" si="40"/>
        <v>1.0768906249999999</v>
      </c>
      <c r="AV44" s="90">
        <f t="shared" si="40"/>
        <v>1.0768906249999999</v>
      </c>
      <c r="AW44" s="90">
        <f t="shared" si="40"/>
        <v>1.0768906249999999</v>
      </c>
      <c r="AX44" s="90">
        <f t="shared" si="40"/>
        <v>1.0768906249999999</v>
      </c>
      <c r="AY44" s="90">
        <f t="shared" si="40"/>
        <v>1.0768906249999999</v>
      </c>
      <c r="AZ44" s="90">
        <f t="shared" si="40"/>
        <v>1.0768906249999999</v>
      </c>
      <c r="BA44" s="90">
        <f t="shared" si="40"/>
        <v>1.0768906249999999</v>
      </c>
      <c r="BB44" s="90">
        <f t="shared" si="40"/>
        <v>1.0768906249999999</v>
      </c>
      <c r="BC44" s="90">
        <f t="shared" si="40"/>
        <v>1.0768906249999999</v>
      </c>
      <c r="BD44" s="90">
        <f t="shared" si="40"/>
        <v>1.0768906249999999</v>
      </c>
      <c r="BE44" s="90">
        <f t="shared" si="40"/>
        <v>1.1038128906249998</v>
      </c>
      <c r="BF44" s="90">
        <f t="shared" si="40"/>
        <v>1.1038128906249998</v>
      </c>
      <c r="BG44" s="90">
        <f t="shared" si="40"/>
        <v>1.1038128906249998</v>
      </c>
      <c r="BH44" s="90">
        <f t="shared" si="40"/>
        <v>1.1038128906249998</v>
      </c>
      <c r="BI44" s="90">
        <f t="shared" si="40"/>
        <v>1.1038128906249998</v>
      </c>
      <c r="BJ44" s="90">
        <f t="shared" si="40"/>
        <v>1.1038128906249998</v>
      </c>
      <c r="BK44" s="90">
        <f t="shared" si="40"/>
        <v>1.1038128906249998</v>
      </c>
      <c r="BL44" s="90">
        <f t="shared" si="40"/>
        <v>1.1038128906249998</v>
      </c>
      <c r="BM44" s="90">
        <f t="shared" si="40"/>
        <v>1.1038128906249998</v>
      </c>
      <c r="BN44" s="90">
        <f t="shared" si="40"/>
        <v>1.1038128906249998</v>
      </c>
      <c r="BO44" s="90">
        <f t="shared" si="40"/>
        <v>1.1038128906249998</v>
      </c>
      <c r="BP44" s="90">
        <f t="shared" si="40"/>
        <v>1.1038128906249998</v>
      </c>
      <c r="BQ44" s="90">
        <f t="shared" si="40"/>
        <v>0</v>
      </c>
      <c r="BR44" s="90">
        <f t="shared" si="40"/>
        <v>0</v>
      </c>
      <c r="BS44" s="90">
        <f t="shared" si="40"/>
        <v>0</v>
      </c>
      <c r="BT44" s="90">
        <f t="shared" si="40"/>
        <v>0</v>
      </c>
      <c r="BU44" s="90">
        <f t="shared" ref="BU44:DB44" si="41">(1+$E$44)^(BU$16-1)*BU$11</f>
        <v>0</v>
      </c>
      <c r="BV44" s="90">
        <f t="shared" si="41"/>
        <v>0</v>
      </c>
      <c r="BW44" s="90">
        <f t="shared" si="41"/>
        <v>0</v>
      </c>
      <c r="BX44" s="90">
        <f t="shared" si="41"/>
        <v>0</v>
      </c>
      <c r="BY44" s="90">
        <f t="shared" si="41"/>
        <v>0</v>
      </c>
      <c r="BZ44" s="90">
        <f t="shared" si="41"/>
        <v>0</v>
      </c>
      <c r="CA44" s="90">
        <f t="shared" si="41"/>
        <v>0</v>
      </c>
      <c r="CB44" s="90">
        <f t="shared" si="41"/>
        <v>0</v>
      </c>
      <c r="CC44" s="90">
        <f t="shared" si="41"/>
        <v>0</v>
      </c>
      <c r="CD44" s="90">
        <f t="shared" si="41"/>
        <v>0</v>
      </c>
      <c r="CE44" s="90">
        <f t="shared" si="41"/>
        <v>0</v>
      </c>
      <c r="CF44" s="90">
        <f t="shared" si="41"/>
        <v>0</v>
      </c>
      <c r="CG44" s="90">
        <f t="shared" si="41"/>
        <v>0</v>
      </c>
      <c r="CH44" s="90">
        <f t="shared" si="41"/>
        <v>0</v>
      </c>
      <c r="CI44" s="90">
        <f t="shared" si="41"/>
        <v>0</v>
      </c>
      <c r="CJ44" s="90">
        <f t="shared" si="41"/>
        <v>0</v>
      </c>
      <c r="CK44" s="90">
        <f t="shared" si="41"/>
        <v>0</v>
      </c>
      <c r="CL44" s="90">
        <f t="shared" si="41"/>
        <v>0</v>
      </c>
      <c r="CM44" s="90">
        <f t="shared" si="41"/>
        <v>0</v>
      </c>
      <c r="CN44" s="90">
        <f t="shared" si="41"/>
        <v>0</v>
      </c>
      <c r="CO44" s="90">
        <f t="shared" si="41"/>
        <v>0</v>
      </c>
      <c r="CP44" s="90">
        <f t="shared" si="41"/>
        <v>0</v>
      </c>
      <c r="CQ44" s="90">
        <f t="shared" si="41"/>
        <v>0</v>
      </c>
      <c r="CR44" s="90">
        <f t="shared" si="41"/>
        <v>0</v>
      </c>
      <c r="CS44" s="90">
        <f t="shared" si="41"/>
        <v>0</v>
      </c>
      <c r="CT44" s="90">
        <f t="shared" si="41"/>
        <v>0</v>
      </c>
      <c r="CU44" s="90">
        <f t="shared" si="41"/>
        <v>0</v>
      </c>
      <c r="CV44" s="90">
        <f t="shared" si="41"/>
        <v>0</v>
      </c>
      <c r="CW44" s="90">
        <f t="shared" si="41"/>
        <v>0</v>
      </c>
      <c r="CX44" s="90">
        <f t="shared" si="41"/>
        <v>0</v>
      </c>
      <c r="CY44" s="90">
        <f t="shared" si="41"/>
        <v>0</v>
      </c>
      <c r="CZ44" s="90">
        <f t="shared" si="41"/>
        <v>0</v>
      </c>
      <c r="DA44" s="90">
        <f t="shared" si="41"/>
        <v>0</v>
      </c>
      <c r="DB44" s="90">
        <f t="shared" si="41"/>
        <v>0</v>
      </c>
    </row>
    <row r="45" spans="2:106">
      <c r="C45" s="96" t="s">
        <v>192</v>
      </c>
      <c r="D45" s="96"/>
      <c r="E45" s="96"/>
      <c r="F45" s="96">
        <f>SUM(H45:DB45)</f>
        <v>6202.4676484374941</v>
      </c>
      <c r="G45" s="96"/>
      <c r="H45" s="96">
        <f>H43*H44</f>
        <v>0</v>
      </c>
      <c r="I45" s="96">
        <f t="shared" ref="I45:BT45" si="42">I43*I44</f>
        <v>98.333333333333329</v>
      </c>
      <c r="J45" s="96">
        <f t="shared" si="42"/>
        <v>98.333333333333329</v>
      </c>
      <c r="K45" s="96">
        <f t="shared" si="42"/>
        <v>98.333333333333329</v>
      </c>
      <c r="L45" s="96">
        <f t="shared" si="42"/>
        <v>98.333333333333329</v>
      </c>
      <c r="M45" s="96">
        <f t="shared" si="42"/>
        <v>98.333333333333329</v>
      </c>
      <c r="N45" s="96">
        <f t="shared" si="42"/>
        <v>98.333333333333329</v>
      </c>
      <c r="O45" s="96">
        <f t="shared" si="42"/>
        <v>98.333333333333329</v>
      </c>
      <c r="P45" s="96">
        <f t="shared" si="42"/>
        <v>98.333333333333329</v>
      </c>
      <c r="Q45" s="96">
        <f t="shared" si="42"/>
        <v>98.333333333333329</v>
      </c>
      <c r="R45" s="96">
        <f t="shared" si="42"/>
        <v>98.333333333333329</v>
      </c>
      <c r="S45" s="96">
        <f t="shared" si="42"/>
        <v>98.333333333333329</v>
      </c>
      <c r="T45" s="96">
        <f t="shared" si="42"/>
        <v>98.333333333333329</v>
      </c>
      <c r="U45" s="96">
        <f t="shared" si="42"/>
        <v>100.79166666666666</v>
      </c>
      <c r="V45" s="96">
        <f t="shared" si="42"/>
        <v>100.79166666666666</v>
      </c>
      <c r="W45" s="96">
        <f t="shared" si="42"/>
        <v>100.79166666666666</v>
      </c>
      <c r="X45" s="96">
        <f t="shared" si="42"/>
        <v>100.79166666666666</v>
      </c>
      <c r="Y45" s="96">
        <f t="shared" si="42"/>
        <v>100.79166666666666</v>
      </c>
      <c r="Z45" s="96">
        <f t="shared" si="42"/>
        <v>100.79166666666666</v>
      </c>
      <c r="AA45" s="96">
        <f t="shared" si="42"/>
        <v>100.79166666666666</v>
      </c>
      <c r="AB45" s="96">
        <f t="shared" si="42"/>
        <v>100.79166666666666</v>
      </c>
      <c r="AC45" s="96">
        <f t="shared" si="42"/>
        <v>100.79166666666666</v>
      </c>
      <c r="AD45" s="96">
        <f t="shared" si="42"/>
        <v>100.79166666666666</v>
      </c>
      <c r="AE45" s="96">
        <f t="shared" si="42"/>
        <v>100.79166666666666</v>
      </c>
      <c r="AF45" s="96">
        <f t="shared" si="42"/>
        <v>100.79166666666666</v>
      </c>
      <c r="AG45" s="96">
        <f t="shared" si="42"/>
        <v>103.31145833333332</v>
      </c>
      <c r="AH45" s="96">
        <f t="shared" si="42"/>
        <v>103.31145833333332</v>
      </c>
      <c r="AI45" s="96">
        <f t="shared" si="42"/>
        <v>103.31145833333332</v>
      </c>
      <c r="AJ45" s="96">
        <f t="shared" si="42"/>
        <v>103.31145833333332</v>
      </c>
      <c r="AK45" s="96">
        <f t="shared" si="42"/>
        <v>103.31145833333332</v>
      </c>
      <c r="AL45" s="96">
        <f t="shared" si="42"/>
        <v>103.31145833333332</v>
      </c>
      <c r="AM45" s="96">
        <f t="shared" si="42"/>
        <v>103.31145833333332</v>
      </c>
      <c r="AN45" s="96">
        <f t="shared" si="42"/>
        <v>103.31145833333332</v>
      </c>
      <c r="AO45" s="96">
        <f t="shared" si="42"/>
        <v>103.31145833333332</v>
      </c>
      <c r="AP45" s="96">
        <f t="shared" si="42"/>
        <v>103.31145833333332</v>
      </c>
      <c r="AQ45" s="96">
        <f t="shared" si="42"/>
        <v>103.31145833333332</v>
      </c>
      <c r="AR45" s="96">
        <f t="shared" si="42"/>
        <v>103.31145833333332</v>
      </c>
      <c r="AS45" s="96">
        <f t="shared" si="42"/>
        <v>105.89424479166665</v>
      </c>
      <c r="AT45" s="96">
        <f t="shared" si="42"/>
        <v>105.89424479166665</v>
      </c>
      <c r="AU45" s="96">
        <f t="shared" si="42"/>
        <v>105.89424479166665</v>
      </c>
      <c r="AV45" s="96">
        <f t="shared" si="42"/>
        <v>105.89424479166665</v>
      </c>
      <c r="AW45" s="96">
        <f t="shared" si="42"/>
        <v>105.89424479166665</v>
      </c>
      <c r="AX45" s="96">
        <f t="shared" si="42"/>
        <v>105.89424479166665</v>
      </c>
      <c r="AY45" s="96">
        <f t="shared" si="42"/>
        <v>105.89424479166665</v>
      </c>
      <c r="AZ45" s="96">
        <f t="shared" si="42"/>
        <v>105.89424479166665</v>
      </c>
      <c r="BA45" s="96">
        <f t="shared" si="42"/>
        <v>105.89424479166665</v>
      </c>
      <c r="BB45" s="96">
        <f t="shared" si="42"/>
        <v>105.89424479166665</v>
      </c>
      <c r="BC45" s="96">
        <f t="shared" si="42"/>
        <v>105.89424479166665</v>
      </c>
      <c r="BD45" s="96">
        <f t="shared" si="42"/>
        <v>105.89424479166665</v>
      </c>
      <c r="BE45" s="96">
        <f t="shared" si="42"/>
        <v>108.5416009114583</v>
      </c>
      <c r="BF45" s="96">
        <f t="shared" si="42"/>
        <v>108.5416009114583</v>
      </c>
      <c r="BG45" s="96">
        <f t="shared" si="42"/>
        <v>108.5416009114583</v>
      </c>
      <c r="BH45" s="96">
        <f t="shared" si="42"/>
        <v>108.5416009114583</v>
      </c>
      <c r="BI45" s="96">
        <f t="shared" si="42"/>
        <v>108.5416009114583</v>
      </c>
      <c r="BJ45" s="96">
        <f t="shared" si="42"/>
        <v>108.5416009114583</v>
      </c>
      <c r="BK45" s="96">
        <f t="shared" si="42"/>
        <v>108.5416009114583</v>
      </c>
      <c r="BL45" s="96">
        <f t="shared" si="42"/>
        <v>108.5416009114583</v>
      </c>
      <c r="BM45" s="96">
        <f t="shared" si="42"/>
        <v>108.5416009114583</v>
      </c>
      <c r="BN45" s="96">
        <f t="shared" si="42"/>
        <v>108.5416009114583</v>
      </c>
      <c r="BO45" s="96">
        <f t="shared" si="42"/>
        <v>108.5416009114583</v>
      </c>
      <c r="BP45" s="96">
        <f t="shared" si="42"/>
        <v>108.5416009114583</v>
      </c>
      <c r="BQ45" s="96">
        <f t="shared" si="42"/>
        <v>0</v>
      </c>
      <c r="BR45" s="96">
        <f t="shared" si="42"/>
        <v>0</v>
      </c>
      <c r="BS45" s="96">
        <f t="shared" si="42"/>
        <v>0</v>
      </c>
      <c r="BT45" s="96">
        <f t="shared" si="42"/>
        <v>0</v>
      </c>
      <c r="BU45" s="96">
        <f t="shared" ref="BU45:DB45" si="43">BU43*BU44</f>
        <v>0</v>
      </c>
      <c r="BV45" s="96">
        <f t="shared" si="43"/>
        <v>0</v>
      </c>
      <c r="BW45" s="96">
        <f t="shared" si="43"/>
        <v>0</v>
      </c>
      <c r="BX45" s="96">
        <f t="shared" si="43"/>
        <v>0</v>
      </c>
      <c r="BY45" s="96">
        <f t="shared" si="43"/>
        <v>0</v>
      </c>
      <c r="BZ45" s="96">
        <f t="shared" si="43"/>
        <v>0</v>
      </c>
      <c r="CA45" s="96">
        <f t="shared" si="43"/>
        <v>0</v>
      </c>
      <c r="CB45" s="96">
        <f t="shared" si="43"/>
        <v>0</v>
      </c>
      <c r="CC45" s="96">
        <f t="shared" si="43"/>
        <v>0</v>
      </c>
      <c r="CD45" s="96">
        <f t="shared" si="43"/>
        <v>0</v>
      </c>
      <c r="CE45" s="96">
        <f t="shared" si="43"/>
        <v>0</v>
      </c>
      <c r="CF45" s="96">
        <f t="shared" si="43"/>
        <v>0</v>
      </c>
      <c r="CG45" s="96">
        <f t="shared" si="43"/>
        <v>0</v>
      </c>
      <c r="CH45" s="96">
        <f t="shared" si="43"/>
        <v>0</v>
      </c>
      <c r="CI45" s="96">
        <f t="shared" si="43"/>
        <v>0</v>
      </c>
      <c r="CJ45" s="96">
        <f t="shared" si="43"/>
        <v>0</v>
      </c>
      <c r="CK45" s="96">
        <f t="shared" si="43"/>
        <v>0</v>
      </c>
      <c r="CL45" s="96">
        <f t="shared" si="43"/>
        <v>0</v>
      </c>
      <c r="CM45" s="96">
        <f t="shared" si="43"/>
        <v>0</v>
      </c>
      <c r="CN45" s="96">
        <f t="shared" si="43"/>
        <v>0</v>
      </c>
      <c r="CO45" s="96">
        <f t="shared" si="43"/>
        <v>0</v>
      </c>
      <c r="CP45" s="96">
        <f t="shared" si="43"/>
        <v>0</v>
      </c>
      <c r="CQ45" s="96">
        <f t="shared" si="43"/>
        <v>0</v>
      </c>
      <c r="CR45" s="96">
        <f t="shared" si="43"/>
        <v>0</v>
      </c>
      <c r="CS45" s="96">
        <f t="shared" si="43"/>
        <v>0</v>
      </c>
      <c r="CT45" s="96">
        <f t="shared" si="43"/>
        <v>0</v>
      </c>
      <c r="CU45" s="96">
        <f t="shared" si="43"/>
        <v>0</v>
      </c>
      <c r="CV45" s="96">
        <f t="shared" si="43"/>
        <v>0</v>
      </c>
      <c r="CW45" s="96">
        <f t="shared" si="43"/>
        <v>0</v>
      </c>
      <c r="CX45" s="96">
        <f t="shared" si="43"/>
        <v>0</v>
      </c>
      <c r="CY45" s="96">
        <f t="shared" si="43"/>
        <v>0</v>
      </c>
      <c r="CZ45" s="96">
        <f t="shared" si="43"/>
        <v>0</v>
      </c>
      <c r="DA45" s="96">
        <f t="shared" si="43"/>
        <v>0</v>
      </c>
      <c r="DB45" s="96">
        <f t="shared" si="43"/>
        <v>0</v>
      </c>
    </row>
    <row r="47" spans="2:106">
      <c r="B47" s="2" t="s">
        <v>428</v>
      </c>
    </row>
    <row r="48" spans="2:106">
      <c r="C48" s="70" t="s">
        <v>47</v>
      </c>
      <c r="D48" s="71" t="s">
        <v>237</v>
      </c>
      <c r="E48" s="71" t="s">
        <v>238</v>
      </c>
      <c r="F48" s="72" t="s">
        <v>240</v>
      </c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  <c r="BK48" s="152"/>
      <c r="BL48" s="152"/>
      <c r="BM48" s="152"/>
      <c r="BN48" s="152"/>
      <c r="BO48" s="152"/>
      <c r="BP48" s="152"/>
      <c r="BQ48" s="152"/>
      <c r="BR48" s="152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  <c r="CM48" s="152"/>
      <c r="CN48" s="152"/>
      <c r="CO48" s="152"/>
      <c r="CP48" s="152"/>
      <c r="CQ48" s="152"/>
      <c r="CR48" s="152"/>
      <c r="CS48" s="152"/>
      <c r="CT48" s="152"/>
      <c r="CU48" s="152"/>
      <c r="CV48" s="152"/>
      <c r="CW48" s="152"/>
      <c r="CX48" s="152"/>
      <c r="CY48" s="152"/>
      <c r="CZ48" s="152"/>
      <c r="DA48" s="152"/>
      <c r="DB48" s="152"/>
    </row>
    <row r="49" spans="3:106">
      <c r="C49" s="27">
        <f>Rentroll!$C$37</f>
        <v>17</v>
      </c>
      <c r="D49" s="80">
        <f>VLOOKUP($C49,Rentroll!$C$37:$Z$60,9,FALSE)</f>
        <v>47149</v>
      </c>
      <c r="E49" s="150">
        <f>VLOOKUP($C49,Rentroll!$C$37:$Z$60,24,FALSE)</f>
        <v>0</v>
      </c>
      <c r="F49" s="73">
        <f>SUM(H49:DB49)</f>
        <v>31.167285225395961</v>
      </c>
      <c r="G49" s="73"/>
      <c r="H49" s="73">
        <f>(NOT(H$14=exit))*IF($E49=1,Rentroll!$P37*'A&amp;R'!$AF$12*Rentroll!$H37,Rentroll!$P37*'A&amp;R'!$AF$11*Rentroll!$H37)*(MONTH($D49)=MONTH(H$14))*(YEAR($D49)=YEAR(H$14))*H$11/unit</f>
        <v>0</v>
      </c>
      <c r="I49" s="73">
        <f>(NOT(I$14=exit))*IF($E49=1,Rentroll!$P37*'A&amp;R'!$AF$12*Rentroll!$H37,Rentroll!$P37*'A&amp;R'!$AF$11*Rentroll!$H37)*(MONTH($D49)=MONTH(I$14))*(YEAR($D49)=YEAR(I$14))*I$11/unit</f>
        <v>0</v>
      </c>
      <c r="J49" s="73">
        <f>(NOT(J$14=exit))*IF($E49=1,Rentroll!$P37*'A&amp;R'!$AF$12*Rentroll!$H37,Rentroll!$P37*'A&amp;R'!$AF$11*Rentroll!$H37)*(MONTH($D49)=MONTH(J$14))*(YEAR($D49)=YEAR(J$14))*J$11/unit</f>
        <v>0</v>
      </c>
      <c r="K49" s="73">
        <f>(NOT(K$14=exit))*IF($E49=1,Rentroll!$P37*'A&amp;R'!$AF$12*Rentroll!$H37,Rentroll!$P37*'A&amp;R'!$AF$11*Rentroll!$H37)*(MONTH($D49)=MONTH(K$14))*(YEAR($D49)=YEAR(K$14))*K$11/unit</f>
        <v>0</v>
      </c>
      <c r="L49" s="73">
        <f>(NOT(L$14=exit))*IF($E49=1,Rentroll!$P37*'A&amp;R'!$AF$12*Rentroll!$H37,Rentroll!$P37*'A&amp;R'!$AF$11*Rentroll!$H37)*(MONTH($D49)=MONTH(L$14))*(YEAR($D49)=YEAR(L$14))*L$11/unit</f>
        <v>0</v>
      </c>
      <c r="M49" s="73">
        <f>(NOT(M$14=exit))*IF($E49=1,Rentroll!$P37*'A&amp;R'!$AF$12*Rentroll!$H37,Rentroll!$P37*'A&amp;R'!$AF$11*Rentroll!$H37)*(MONTH($D49)=MONTH(M$14))*(YEAR($D49)=YEAR(M$14))*M$11/unit</f>
        <v>0</v>
      </c>
      <c r="N49" s="73">
        <f>(NOT(N$14=exit))*IF($E49=1,Rentroll!$P37*'A&amp;R'!$AF$12*Rentroll!$H37,Rentroll!$P37*'A&amp;R'!$AF$11*Rentroll!$H37)*(MONTH($D49)=MONTH(N$14))*(YEAR($D49)=YEAR(N$14))*N$11/unit</f>
        <v>0</v>
      </c>
      <c r="O49" s="73">
        <f>(NOT(O$14=exit))*IF($E49=1,Rentroll!$P37*'A&amp;R'!$AF$12*Rentroll!$H37,Rentroll!$P37*'A&amp;R'!$AF$11*Rentroll!$H37)*(MONTH($D49)=MONTH(O$14))*(YEAR($D49)=YEAR(O$14))*O$11/unit</f>
        <v>0</v>
      </c>
      <c r="P49" s="73">
        <f>(NOT(P$14=exit))*IF($E49=1,Rentroll!$P37*'A&amp;R'!$AF$12*Rentroll!$H37,Rentroll!$P37*'A&amp;R'!$AF$11*Rentroll!$H37)*(MONTH($D49)=MONTH(P$14))*(YEAR($D49)=YEAR(P$14))*P$11/unit</f>
        <v>0</v>
      </c>
      <c r="Q49" s="73">
        <f>(NOT(Q$14=exit))*IF($E49=1,Rentroll!$P37*'A&amp;R'!$AF$12*Rentroll!$H37,Rentroll!$P37*'A&amp;R'!$AF$11*Rentroll!$H37)*(MONTH($D49)=MONTH(Q$14))*(YEAR($D49)=YEAR(Q$14))*Q$11/unit</f>
        <v>0</v>
      </c>
      <c r="R49" s="73">
        <f>(NOT(R$14=exit))*IF($E49=1,Rentroll!$P37*'A&amp;R'!$AF$12*Rentroll!$H37,Rentroll!$P37*'A&amp;R'!$AF$11*Rentroll!$H37)*(MONTH($D49)=MONTH(R$14))*(YEAR($D49)=YEAR(R$14))*R$11/unit</f>
        <v>0</v>
      </c>
      <c r="S49" s="73">
        <f>(NOT(S$14=exit))*IF($E49=1,Rentroll!$P37*'A&amp;R'!$AF$12*Rentroll!$H37,Rentroll!$P37*'A&amp;R'!$AF$11*Rentroll!$H37)*(MONTH($D49)=MONTH(S$14))*(YEAR($D49)=YEAR(S$14))*S$11/unit</f>
        <v>0</v>
      </c>
      <c r="T49" s="73">
        <f>(NOT(T$14=exit))*IF($E49=1,Rentroll!$P37*'A&amp;R'!$AF$12*Rentroll!$H37,Rentroll!$P37*'A&amp;R'!$AF$11*Rentroll!$H37)*(MONTH($D49)=MONTH(T$14))*(YEAR($D49)=YEAR(T$14))*T$11/unit</f>
        <v>0</v>
      </c>
      <c r="U49" s="73">
        <f>(NOT(U$14=exit))*IF($E49=1,Rentroll!$P37*'A&amp;R'!$AF$12*Rentroll!$H37,Rentroll!$P37*'A&amp;R'!$AF$11*Rentroll!$H37)*(MONTH($D49)=MONTH(U$14))*(YEAR($D49)=YEAR(U$14))*U$11/unit</f>
        <v>0</v>
      </c>
      <c r="V49" s="73">
        <f>(NOT(V$14=exit))*IF($E49=1,Rentroll!$P37*'A&amp;R'!$AF$12*Rentroll!$H37,Rentroll!$P37*'A&amp;R'!$AF$11*Rentroll!$H37)*(MONTH($D49)=MONTH(V$14))*(YEAR($D49)=YEAR(V$14))*V$11/unit</f>
        <v>0</v>
      </c>
      <c r="W49" s="73">
        <f>(NOT(W$14=exit))*IF($E49=1,Rentroll!$P37*'A&amp;R'!$AF$12*Rentroll!$H37,Rentroll!$P37*'A&amp;R'!$AF$11*Rentroll!$H37)*(MONTH($D49)=MONTH(W$14))*(YEAR($D49)=YEAR(W$14))*W$11/unit</f>
        <v>0</v>
      </c>
      <c r="X49" s="73">
        <f>(NOT(X$14=exit))*IF($E49=1,Rentroll!$P37*'A&amp;R'!$AF$12*Rentroll!$H37,Rentroll!$P37*'A&amp;R'!$AF$11*Rentroll!$H37)*(MONTH($D49)=MONTH(X$14))*(YEAR($D49)=YEAR(X$14))*X$11/unit</f>
        <v>0</v>
      </c>
      <c r="Y49" s="73">
        <f>(NOT(Y$14=exit))*IF($E49=1,Rentroll!$P37*'A&amp;R'!$AF$12*Rentroll!$H37,Rentroll!$P37*'A&amp;R'!$AF$11*Rentroll!$H37)*(MONTH($D49)=MONTH(Y$14))*(YEAR($D49)=YEAR(Y$14))*Y$11/unit</f>
        <v>0</v>
      </c>
      <c r="Z49" s="73">
        <f>(NOT(Z$14=exit))*IF($E49=1,Rentroll!$P37*'A&amp;R'!$AF$12*Rentroll!$H37,Rentroll!$P37*'A&amp;R'!$AF$11*Rentroll!$H37)*(MONTH($D49)=MONTH(Z$14))*(YEAR($D49)=YEAR(Z$14))*Z$11/unit</f>
        <v>0</v>
      </c>
      <c r="AA49" s="73">
        <f>(NOT(AA$14=exit))*IF($E49=1,Rentroll!$P37*'A&amp;R'!$AF$12*Rentroll!$H37,Rentroll!$P37*'A&amp;R'!$AF$11*Rentroll!$H37)*(MONTH($D49)=MONTH(AA$14))*(YEAR($D49)=YEAR(AA$14))*AA$11/unit</f>
        <v>0</v>
      </c>
      <c r="AB49" s="73">
        <f>(NOT(AB$14=exit))*IF($E49=1,Rentroll!$P37*'A&amp;R'!$AF$12*Rentroll!$H37,Rentroll!$P37*'A&amp;R'!$AF$11*Rentroll!$H37)*(MONTH($D49)=MONTH(AB$14))*(YEAR($D49)=YEAR(AB$14))*AB$11/unit</f>
        <v>0</v>
      </c>
      <c r="AC49" s="73">
        <f>(NOT(AC$14=exit))*IF($E49=1,Rentroll!$P37*'A&amp;R'!$AF$12*Rentroll!$H37,Rentroll!$P37*'A&amp;R'!$AF$11*Rentroll!$H37)*(MONTH($D49)=MONTH(AC$14))*(YEAR($D49)=YEAR(AC$14))*AC$11/unit</f>
        <v>0</v>
      </c>
      <c r="AD49" s="73">
        <f>(NOT(AD$14=exit))*IF($E49=1,Rentroll!$P37*'A&amp;R'!$AF$12*Rentroll!$H37,Rentroll!$P37*'A&amp;R'!$AF$11*Rentroll!$H37)*(MONTH($D49)=MONTH(AD$14))*(YEAR($D49)=YEAR(AD$14))*AD$11/unit</f>
        <v>0</v>
      </c>
      <c r="AE49" s="73">
        <f>(NOT(AE$14=exit))*IF($E49=1,Rentroll!$P37*'A&amp;R'!$AF$12*Rentroll!$H37,Rentroll!$P37*'A&amp;R'!$AF$11*Rentroll!$H37)*(MONTH($D49)=MONTH(AE$14))*(YEAR($D49)=YEAR(AE$14))*AE$11/unit</f>
        <v>0</v>
      </c>
      <c r="AF49" s="73">
        <f>(NOT(AF$14=exit))*IF($E49=1,Rentroll!$P37*'A&amp;R'!$AF$12*Rentroll!$H37,Rentroll!$P37*'A&amp;R'!$AF$11*Rentroll!$H37)*(MONTH($D49)=MONTH(AF$14))*(YEAR($D49)=YEAR(AF$14))*AF$11/unit</f>
        <v>0</v>
      </c>
      <c r="AG49" s="73">
        <f>(NOT(AG$14=exit))*IF($E49=1,Rentroll!$P37*'A&amp;R'!$AF$12*Rentroll!$H37,Rentroll!$P37*'A&amp;R'!$AF$11*Rentroll!$H37)*(MONTH($D49)=MONTH(AG$14))*(YEAR($D49)=YEAR(AG$14))*AG$11/unit</f>
        <v>0</v>
      </c>
      <c r="AH49" s="73">
        <f>(NOT(AH$14=exit))*IF($E49=1,Rentroll!$P37*'A&amp;R'!$AF$12*Rentroll!$H37,Rentroll!$P37*'A&amp;R'!$AF$11*Rentroll!$H37)*(MONTH($D49)=MONTH(AH$14))*(YEAR($D49)=YEAR(AH$14))*AH$11/unit</f>
        <v>0</v>
      </c>
      <c r="AI49" s="73">
        <f>(NOT(AI$14=exit))*IF($E49=1,Rentroll!$P37*'A&amp;R'!$AF$12*Rentroll!$H37,Rentroll!$P37*'A&amp;R'!$AF$11*Rentroll!$H37)*(MONTH($D49)=MONTH(AI$14))*(YEAR($D49)=YEAR(AI$14))*AI$11/unit</f>
        <v>0</v>
      </c>
      <c r="AJ49" s="73">
        <f>(NOT(AJ$14=exit))*IF($E49=1,Rentroll!$P37*'A&amp;R'!$AF$12*Rentroll!$H37,Rentroll!$P37*'A&amp;R'!$AF$11*Rentroll!$H37)*(MONTH($D49)=MONTH(AJ$14))*(YEAR($D49)=YEAR(AJ$14))*AJ$11/unit</f>
        <v>0</v>
      </c>
      <c r="AK49" s="73">
        <f>(NOT(AK$14=exit))*IF($E49=1,Rentroll!$P37*'A&amp;R'!$AF$12*Rentroll!$H37,Rentroll!$P37*'A&amp;R'!$AF$11*Rentroll!$H37)*(MONTH($D49)=MONTH(AK$14))*(YEAR($D49)=YEAR(AK$14))*AK$11/unit</f>
        <v>0</v>
      </c>
      <c r="AL49" s="73">
        <f>(NOT(AL$14=exit))*IF($E49=1,Rentroll!$P37*'A&amp;R'!$AF$12*Rentroll!$H37,Rentroll!$P37*'A&amp;R'!$AF$11*Rentroll!$H37)*(MONTH($D49)=MONTH(AL$14))*(YEAR($D49)=YEAR(AL$14))*AL$11/unit</f>
        <v>0</v>
      </c>
      <c r="AM49" s="73">
        <f>(NOT(AM$14=exit))*IF($E49=1,Rentroll!$P37*'A&amp;R'!$AF$12*Rentroll!$H37,Rentroll!$P37*'A&amp;R'!$AF$11*Rentroll!$H37)*(MONTH($D49)=MONTH(AM$14))*(YEAR($D49)=YEAR(AM$14))*AM$11/unit</f>
        <v>0</v>
      </c>
      <c r="AN49" s="73">
        <f>(NOT(AN$14=exit))*IF($E49=1,Rentroll!$P37*'A&amp;R'!$AF$12*Rentroll!$H37,Rentroll!$P37*'A&amp;R'!$AF$11*Rentroll!$H37)*(MONTH($D49)=MONTH(AN$14))*(YEAR($D49)=YEAR(AN$14))*AN$11/unit</f>
        <v>0</v>
      </c>
      <c r="AO49" s="73">
        <f>(NOT(AO$14=exit))*IF($E49=1,Rentroll!$P37*'A&amp;R'!$AF$12*Rentroll!$H37,Rentroll!$P37*'A&amp;R'!$AF$11*Rentroll!$H37)*(MONTH($D49)=MONTH(AO$14))*(YEAR($D49)=YEAR(AO$14))*AO$11/unit</f>
        <v>0</v>
      </c>
      <c r="AP49" s="73">
        <f>(NOT(AP$14=exit))*IF($E49=1,Rentroll!$P37*'A&amp;R'!$AF$12*Rentroll!$H37,Rentroll!$P37*'A&amp;R'!$AF$11*Rentroll!$H37)*(MONTH($D49)=MONTH(AP$14))*(YEAR($D49)=YEAR(AP$14))*AP$11/unit</f>
        <v>0</v>
      </c>
      <c r="AQ49" s="73">
        <f>(NOT(AQ$14=exit))*IF($E49=1,Rentroll!$P37*'A&amp;R'!$AF$12*Rentroll!$H37,Rentroll!$P37*'A&amp;R'!$AF$11*Rentroll!$H37)*(MONTH($D49)=MONTH(AQ$14))*(YEAR($D49)=YEAR(AQ$14))*AQ$11/unit</f>
        <v>0</v>
      </c>
      <c r="AR49" s="73">
        <f>(NOT(AR$14=exit))*IF($E49=1,Rentroll!$P37*'A&amp;R'!$AF$12*Rentroll!$H37,Rentroll!$P37*'A&amp;R'!$AF$11*Rentroll!$H37)*(MONTH($D49)=MONTH(AR$14))*(YEAR($D49)=YEAR(AR$14))*AR$11/unit</f>
        <v>0</v>
      </c>
      <c r="AS49" s="73">
        <f>(NOT(AS$14=exit))*IF($E49=1,Rentroll!$P37*'A&amp;R'!$AF$12*Rentroll!$H37,Rentroll!$P37*'A&amp;R'!$AF$11*Rentroll!$H37)*(MONTH($D49)=MONTH(AS$14))*(YEAR($D49)=YEAR(AS$14))*AS$11/unit</f>
        <v>0</v>
      </c>
      <c r="AT49" s="73">
        <f>(NOT(AT$14=exit))*IF($E49=1,Rentroll!$P37*'A&amp;R'!$AF$12*Rentroll!$H37,Rentroll!$P37*'A&amp;R'!$AF$11*Rentroll!$H37)*(MONTH($D49)=MONTH(AT$14))*(YEAR($D49)=YEAR(AT$14))*AT$11/unit</f>
        <v>0</v>
      </c>
      <c r="AU49" s="73">
        <f>(NOT(AU$14=exit))*IF($E49=1,Rentroll!$P37*'A&amp;R'!$AF$12*Rentroll!$H37,Rentroll!$P37*'A&amp;R'!$AF$11*Rentroll!$H37)*(MONTH($D49)=MONTH(AU$14))*(YEAR($D49)=YEAR(AU$14))*AU$11/unit</f>
        <v>0</v>
      </c>
      <c r="AV49" s="73">
        <f>(NOT(AV$14=exit))*IF($E49=1,Rentroll!$P37*'A&amp;R'!$AF$12*Rentroll!$H37,Rentroll!$P37*'A&amp;R'!$AF$11*Rentroll!$H37)*(MONTH($D49)=MONTH(AV$14))*(YEAR($D49)=YEAR(AV$14))*AV$11/unit</f>
        <v>0</v>
      </c>
      <c r="AW49" s="73">
        <f>(NOT(AW$14=exit))*IF($E49=1,Rentroll!$P37*'A&amp;R'!$AF$12*Rentroll!$H37,Rentroll!$P37*'A&amp;R'!$AF$11*Rentroll!$H37)*(MONTH($D49)=MONTH(AW$14))*(YEAR($D49)=YEAR(AW$14))*AW$11/unit</f>
        <v>0</v>
      </c>
      <c r="AX49" s="73">
        <f>(NOT(AX$14=exit))*IF($E49=1,Rentroll!$P37*'A&amp;R'!$AF$12*Rentroll!$H37,Rentroll!$P37*'A&amp;R'!$AF$11*Rentroll!$H37)*(MONTH($D49)=MONTH(AX$14))*(YEAR($D49)=YEAR(AX$14))*AX$11/unit</f>
        <v>0</v>
      </c>
      <c r="AY49" s="73">
        <f>(NOT(AY$14=exit))*IF($E49=1,Rentroll!$P37*'A&amp;R'!$AF$12*Rentroll!$H37,Rentroll!$P37*'A&amp;R'!$AF$11*Rentroll!$H37)*(MONTH($D49)=MONTH(AY$14))*(YEAR($D49)=YEAR(AY$14))*AY$11/unit</f>
        <v>0</v>
      </c>
      <c r="AZ49" s="73">
        <f>(NOT(AZ$14=exit))*IF($E49=1,Rentroll!$P37*'A&amp;R'!$AF$12*Rentroll!$H37,Rentroll!$P37*'A&amp;R'!$AF$11*Rentroll!$H37)*(MONTH($D49)=MONTH(AZ$14))*(YEAR($D49)=YEAR(AZ$14))*AZ$11/unit</f>
        <v>0</v>
      </c>
      <c r="BA49" s="73">
        <f>(NOT(BA$14=exit))*IF($E49=1,Rentroll!$P37*'A&amp;R'!$AF$12*Rentroll!$H37,Rentroll!$P37*'A&amp;R'!$AF$11*Rentroll!$H37)*(MONTH($D49)=MONTH(BA$14))*(YEAR($D49)=YEAR(BA$14))*BA$11/unit</f>
        <v>0</v>
      </c>
      <c r="BB49" s="73">
        <f>(NOT(BB$14=exit))*IF($E49=1,Rentroll!$P37*'A&amp;R'!$AF$12*Rentroll!$H37,Rentroll!$P37*'A&amp;R'!$AF$11*Rentroll!$H37)*(MONTH($D49)=MONTH(BB$14))*(YEAR($D49)=YEAR(BB$14))*BB$11/unit</f>
        <v>0</v>
      </c>
      <c r="BC49" s="73">
        <f>(NOT(BC$14=exit))*IF($E49=1,Rentroll!$P37*'A&amp;R'!$AF$12*Rentroll!$H37,Rentroll!$P37*'A&amp;R'!$AF$11*Rentroll!$H37)*(MONTH($D49)=MONTH(BC$14))*(YEAR($D49)=YEAR(BC$14))*BC$11/unit</f>
        <v>0</v>
      </c>
      <c r="BD49" s="73">
        <f>(NOT(BD$14=exit))*IF($E49=1,Rentroll!$P37*'A&amp;R'!$AF$12*Rentroll!$H37,Rentroll!$P37*'A&amp;R'!$AF$11*Rentroll!$H37)*(MONTH($D49)=MONTH(BD$14))*(YEAR($D49)=YEAR(BD$14))*BD$11/unit</f>
        <v>31.167285225395961</v>
      </c>
      <c r="BE49" s="73">
        <f>(NOT(BE$14=exit))*IF($E49=1,Rentroll!$P37*'A&amp;R'!$AF$12*Rentroll!$H37,Rentroll!$P37*'A&amp;R'!$AF$11*Rentroll!$H37)*(MONTH($D49)=MONTH(BE$14))*(YEAR($D49)=YEAR(BE$14))*BE$11/unit</f>
        <v>0</v>
      </c>
      <c r="BF49" s="73">
        <f>(NOT(BF$14=exit))*IF($E49=1,Rentroll!$P37*'A&amp;R'!$AF$12*Rentroll!$H37,Rentroll!$P37*'A&amp;R'!$AF$11*Rentroll!$H37)*(MONTH($D49)=MONTH(BF$14))*(YEAR($D49)=YEAR(BF$14))*BF$11/unit</f>
        <v>0</v>
      </c>
      <c r="BG49" s="73">
        <f>(NOT(BG$14=exit))*IF($E49=1,Rentroll!$P37*'A&amp;R'!$AF$12*Rentroll!$H37,Rentroll!$P37*'A&amp;R'!$AF$11*Rentroll!$H37)*(MONTH($D49)=MONTH(BG$14))*(YEAR($D49)=YEAR(BG$14))*BG$11/unit</f>
        <v>0</v>
      </c>
      <c r="BH49" s="73">
        <f>(NOT(BH$14=exit))*IF($E49=1,Rentroll!$P37*'A&amp;R'!$AF$12*Rentroll!$H37,Rentroll!$P37*'A&amp;R'!$AF$11*Rentroll!$H37)*(MONTH($D49)=MONTH(BH$14))*(YEAR($D49)=YEAR(BH$14))*BH$11/unit</f>
        <v>0</v>
      </c>
      <c r="BI49" s="73">
        <f>(NOT(BI$14=exit))*IF($E49=1,Rentroll!$P37*'A&amp;R'!$AF$12*Rentroll!$H37,Rentroll!$P37*'A&amp;R'!$AF$11*Rentroll!$H37)*(MONTH($D49)=MONTH(BI$14))*(YEAR($D49)=YEAR(BI$14))*BI$11/unit</f>
        <v>0</v>
      </c>
      <c r="BJ49" s="73">
        <f>(NOT(BJ$14=exit))*IF($E49=1,Rentroll!$P37*'A&amp;R'!$AF$12*Rentroll!$H37,Rentroll!$P37*'A&amp;R'!$AF$11*Rentroll!$H37)*(MONTH($D49)=MONTH(BJ$14))*(YEAR($D49)=YEAR(BJ$14))*BJ$11/unit</f>
        <v>0</v>
      </c>
      <c r="BK49" s="73">
        <f>(NOT(BK$14=exit))*IF($E49=1,Rentroll!$P37*'A&amp;R'!$AF$12*Rentroll!$H37,Rentroll!$P37*'A&amp;R'!$AF$11*Rentroll!$H37)*(MONTH($D49)=MONTH(BK$14))*(YEAR($D49)=YEAR(BK$14))*BK$11/unit</f>
        <v>0</v>
      </c>
      <c r="BL49" s="73">
        <f>(NOT(BL$14=exit))*IF($E49=1,Rentroll!$P37*'A&amp;R'!$AF$12*Rentroll!$H37,Rentroll!$P37*'A&amp;R'!$AF$11*Rentroll!$H37)*(MONTH($D49)=MONTH(BL$14))*(YEAR($D49)=YEAR(BL$14))*BL$11/unit</f>
        <v>0</v>
      </c>
      <c r="BM49" s="73">
        <f>(NOT(BM$14=exit))*IF($E49=1,Rentroll!$P37*'A&amp;R'!$AF$12*Rentroll!$H37,Rentroll!$P37*'A&amp;R'!$AF$11*Rentroll!$H37)*(MONTH($D49)=MONTH(BM$14))*(YEAR($D49)=YEAR(BM$14))*BM$11/unit</f>
        <v>0</v>
      </c>
      <c r="BN49" s="73">
        <f>(NOT(BN$14=exit))*IF($E49=1,Rentroll!$P37*'A&amp;R'!$AF$12*Rentroll!$H37,Rentroll!$P37*'A&amp;R'!$AF$11*Rentroll!$H37)*(MONTH($D49)=MONTH(BN$14))*(YEAR($D49)=YEAR(BN$14))*BN$11/unit</f>
        <v>0</v>
      </c>
      <c r="BO49" s="73">
        <f>(NOT(BO$14=exit))*IF($E49=1,Rentroll!$P37*'A&amp;R'!$AF$12*Rentroll!$H37,Rentroll!$P37*'A&amp;R'!$AF$11*Rentroll!$H37)*(MONTH($D49)=MONTH(BO$14))*(YEAR($D49)=YEAR(BO$14))*BO$11/unit</f>
        <v>0</v>
      </c>
      <c r="BP49" s="73">
        <f>(NOT(BP$14=exit))*IF($E49=1,Rentroll!$P37*'A&amp;R'!$AF$12*Rentroll!$H37,Rentroll!$P37*'A&amp;R'!$AF$11*Rentroll!$H37)*(MONTH($D49)=MONTH(BP$14))*(YEAR($D49)=YEAR(BP$14))*BP$11/unit</f>
        <v>0</v>
      </c>
      <c r="BQ49" s="73">
        <f>(NOT(BQ$14=exit))*IF($E49=1,Rentroll!$P37*'A&amp;R'!$AF$12*Rentroll!$H37,Rentroll!$P37*'A&amp;R'!$AF$11*Rentroll!$H37)*(MONTH($D49)=MONTH(BQ$14))*(YEAR($D49)=YEAR(BQ$14))*BQ$11/unit</f>
        <v>0</v>
      </c>
      <c r="BR49" s="73">
        <f>(NOT(BR$14=exit))*IF($E49=1,Rentroll!$P37*'A&amp;R'!$AF$12*Rentroll!$H37,Rentroll!$P37*'A&amp;R'!$AF$11*Rentroll!$H37)*(MONTH($D49)=MONTH(BR$14))*(YEAR($D49)=YEAR(BR$14))*BR$11/unit</f>
        <v>0</v>
      </c>
      <c r="BS49" s="73">
        <f>(NOT(BS$14=exit))*IF($E49=1,Rentroll!$P37*'A&amp;R'!$AF$12*Rentroll!$H37,Rentroll!$P37*'A&amp;R'!$AF$11*Rentroll!$H37)*(MONTH($D49)=MONTH(BS$14))*(YEAR($D49)=YEAR(BS$14))*BS$11/unit</f>
        <v>0</v>
      </c>
      <c r="BT49" s="73">
        <f>(NOT(BT$14=exit))*IF($E49=1,Rentroll!$P37*'A&amp;R'!$AF$12*Rentroll!$H37,Rentroll!$P37*'A&amp;R'!$AF$11*Rentroll!$H37)*(MONTH($D49)=MONTH(BT$14))*(YEAR($D49)=YEAR(BT$14))*BT$11/unit</f>
        <v>0</v>
      </c>
      <c r="BU49" s="73">
        <f>(NOT(BU$14=exit))*IF($E49=1,Rentroll!$P37*'A&amp;R'!$AF$12*Rentroll!$H37,Rentroll!$P37*'A&amp;R'!$AF$11*Rentroll!$H37)*(MONTH($D49)=MONTH(BU$14))*(YEAR($D49)=YEAR(BU$14))*BU$11/unit</f>
        <v>0</v>
      </c>
      <c r="BV49" s="73">
        <f>(NOT(BV$14=exit))*IF($E49=1,Rentroll!$P37*'A&amp;R'!$AF$12*Rentroll!$H37,Rentroll!$P37*'A&amp;R'!$AF$11*Rentroll!$H37)*(MONTH($D49)=MONTH(BV$14))*(YEAR($D49)=YEAR(BV$14))*BV$11/unit</f>
        <v>0</v>
      </c>
      <c r="BW49" s="73">
        <f>(NOT(BW$14=exit))*IF($E49=1,Rentroll!$P37*'A&amp;R'!$AF$12*Rentroll!$H37,Rentroll!$P37*'A&amp;R'!$AF$11*Rentroll!$H37)*(MONTH($D49)=MONTH(BW$14))*(YEAR($D49)=YEAR(BW$14))*BW$11/unit</f>
        <v>0</v>
      </c>
      <c r="BX49" s="73">
        <f>(NOT(BX$14=exit))*IF($E49=1,Rentroll!$P37*'A&amp;R'!$AF$12*Rentroll!$H37,Rentroll!$P37*'A&amp;R'!$AF$11*Rentroll!$H37)*(MONTH($D49)=MONTH(BX$14))*(YEAR($D49)=YEAR(BX$14))*BX$11/unit</f>
        <v>0</v>
      </c>
      <c r="BY49" s="73">
        <f>(NOT(BY$14=exit))*IF($E49=1,Rentroll!$P37*'A&amp;R'!$AF$12*Rentroll!$H37,Rentroll!$P37*'A&amp;R'!$AF$11*Rentroll!$H37)*(MONTH($D49)=MONTH(BY$14))*(YEAR($D49)=YEAR(BY$14))*BY$11/unit</f>
        <v>0</v>
      </c>
      <c r="BZ49" s="73">
        <f>(NOT(BZ$14=exit))*IF($E49=1,Rentroll!$P37*'A&amp;R'!$AF$12*Rentroll!$H37,Rentroll!$P37*'A&amp;R'!$AF$11*Rentroll!$H37)*(MONTH($D49)=MONTH(BZ$14))*(YEAR($D49)=YEAR(BZ$14))*BZ$11/unit</f>
        <v>0</v>
      </c>
      <c r="CA49" s="73">
        <f>(NOT(CA$14=exit))*IF($E49=1,Rentroll!$P37*'A&amp;R'!$AF$12*Rentroll!$H37,Rentroll!$P37*'A&amp;R'!$AF$11*Rentroll!$H37)*(MONTH($D49)=MONTH(CA$14))*(YEAR($D49)=YEAR(CA$14))*CA$11/unit</f>
        <v>0</v>
      </c>
      <c r="CB49" s="73">
        <f>(NOT(CB$14=exit))*IF($E49=1,Rentroll!$P37*'A&amp;R'!$AF$12*Rentroll!$H37,Rentroll!$P37*'A&amp;R'!$AF$11*Rentroll!$H37)*(MONTH($D49)=MONTH(CB$14))*(YEAR($D49)=YEAR(CB$14))*CB$11/unit</f>
        <v>0</v>
      </c>
      <c r="CC49" s="73">
        <f>(NOT(CC$14=exit))*IF($E49=1,Rentroll!$P37*'A&amp;R'!$AF$12*Rentroll!$H37,Rentroll!$P37*'A&amp;R'!$AF$11*Rentroll!$H37)*(MONTH($D49)=MONTH(CC$14))*(YEAR($D49)=YEAR(CC$14))*CC$11/unit</f>
        <v>0</v>
      </c>
      <c r="CD49" s="73">
        <f>(NOT(CD$14=exit))*IF($E49=1,Rentroll!$P37*'A&amp;R'!$AF$12*Rentroll!$H37,Rentroll!$P37*'A&amp;R'!$AF$11*Rentroll!$H37)*(MONTH($D49)=MONTH(CD$14))*(YEAR($D49)=YEAR(CD$14))*CD$11/unit</f>
        <v>0</v>
      </c>
      <c r="CE49" s="73">
        <f>(NOT(CE$14=exit))*IF($E49=1,Rentroll!$P37*'A&amp;R'!$AF$12*Rentroll!$H37,Rentroll!$P37*'A&amp;R'!$AF$11*Rentroll!$H37)*(MONTH($D49)=MONTH(CE$14))*(YEAR($D49)=YEAR(CE$14))*CE$11/unit</f>
        <v>0</v>
      </c>
      <c r="CF49" s="73">
        <f>(NOT(CF$14=exit))*IF($E49=1,Rentroll!$P37*'A&amp;R'!$AF$12*Rentroll!$H37,Rentroll!$P37*'A&amp;R'!$AF$11*Rentroll!$H37)*(MONTH($D49)=MONTH(CF$14))*(YEAR($D49)=YEAR(CF$14))*CF$11/unit</f>
        <v>0</v>
      </c>
      <c r="CG49" s="73">
        <f>(NOT(CG$14=exit))*IF($E49=1,Rentroll!$P37*'A&amp;R'!$AF$12*Rentroll!$H37,Rentroll!$P37*'A&amp;R'!$AF$11*Rentroll!$H37)*(MONTH($D49)=MONTH(CG$14))*(YEAR($D49)=YEAR(CG$14))*CG$11/unit</f>
        <v>0</v>
      </c>
      <c r="CH49" s="73">
        <f>(NOT(CH$14=exit))*IF($E49=1,Rentroll!$P37*'A&amp;R'!$AF$12*Rentroll!$H37,Rentroll!$P37*'A&amp;R'!$AF$11*Rentroll!$H37)*(MONTH($D49)=MONTH(CH$14))*(YEAR($D49)=YEAR(CH$14))*CH$11/unit</f>
        <v>0</v>
      </c>
      <c r="CI49" s="73">
        <f>(NOT(CI$14=exit))*IF($E49=1,Rentroll!$P37*'A&amp;R'!$AF$12*Rentroll!$H37,Rentroll!$P37*'A&amp;R'!$AF$11*Rentroll!$H37)*(MONTH($D49)=MONTH(CI$14))*(YEAR($D49)=YEAR(CI$14))*CI$11/unit</f>
        <v>0</v>
      </c>
      <c r="CJ49" s="73">
        <f>(NOT(CJ$14=exit))*IF($E49=1,Rentroll!$P37*'A&amp;R'!$AF$12*Rentroll!$H37,Rentroll!$P37*'A&amp;R'!$AF$11*Rentroll!$H37)*(MONTH($D49)=MONTH(CJ$14))*(YEAR($D49)=YEAR(CJ$14))*CJ$11/unit</f>
        <v>0</v>
      </c>
      <c r="CK49" s="73">
        <f>(NOT(CK$14=exit))*IF($E49=1,Rentroll!$P37*'A&amp;R'!$AF$12*Rentroll!$H37,Rentroll!$P37*'A&amp;R'!$AF$11*Rentroll!$H37)*(MONTH($D49)=MONTH(CK$14))*(YEAR($D49)=YEAR(CK$14))*CK$11/unit</f>
        <v>0</v>
      </c>
      <c r="CL49" s="73">
        <f>(NOT(CL$14=exit))*IF($E49=1,Rentroll!$P37*'A&amp;R'!$AF$12*Rentroll!$H37,Rentroll!$P37*'A&amp;R'!$AF$11*Rentroll!$H37)*(MONTH($D49)=MONTH(CL$14))*(YEAR($D49)=YEAR(CL$14))*CL$11/unit</f>
        <v>0</v>
      </c>
      <c r="CM49" s="73">
        <f>(NOT(CM$14=exit))*IF($E49=1,Rentroll!$P37*'A&amp;R'!$AF$12*Rentroll!$H37,Rentroll!$P37*'A&amp;R'!$AF$11*Rentroll!$H37)*(MONTH($D49)=MONTH(CM$14))*(YEAR($D49)=YEAR(CM$14))*CM$11/unit</f>
        <v>0</v>
      </c>
      <c r="CN49" s="73">
        <f>(NOT(CN$14=exit))*IF($E49=1,Rentroll!$P37*'A&amp;R'!$AF$12*Rentroll!$H37,Rentroll!$P37*'A&amp;R'!$AF$11*Rentroll!$H37)*(MONTH($D49)=MONTH(CN$14))*(YEAR($D49)=YEAR(CN$14))*CN$11/unit</f>
        <v>0</v>
      </c>
      <c r="CO49" s="73">
        <f>(NOT(CO$14=exit))*IF($E49=1,Rentroll!$P37*'A&amp;R'!$AF$12*Rentroll!$H37,Rentroll!$P37*'A&amp;R'!$AF$11*Rentroll!$H37)*(MONTH($D49)=MONTH(CO$14))*(YEAR($D49)=YEAR(CO$14))*CO$11/unit</f>
        <v>0</v>
      </c>
      <c r="CP49" s="73">
        <f>(NOT(CP$14=exit))*IF($E49=1,Rentroll!$P37*'A&amp;R'!$AF$12*Rentroll!$H37,Rentroll!$P37*'A&amp;R'!$AF$11*Rentroll!$H37)*(MONTH($D49)=MONTH(CP$14))*(YEAR($D49)=YEAR(CP$14))*CP$11/unit</f>
        <v>0</v>
      </c>
      <c r="CQ49" s="73">
        <f>(NOT(CQ$14=exit))*IF($E49=1,Rentroll!$P37*'A&amp;R'!$AF$12*Rentroll!$H37,Rentroll!$P37*'A&amp;R'!$AF$11*Rentroll!$H37)*(MONTH($D49)=MONTH(CQ$14))*(YEAR($D49)=YEAR(CQ$14))*CQ$11/unit</f>
        <v>0</v>
      </c>
      <c r="CR49" s="73">
        <f>(NOT(CR$14=exit))*IF($E49=1,Rentroll!$P37*'A&amp;R'!$AF$12*Rentroll!$H37,Rentroll!$P37*'A&amp;R'!$AF$11*Rentroll!$H37)*(MONTH($D49)=MONTH(CR$14))*(YEAR($D49)=YEAR(CR$14))*CR$11/unit</f>
        <v>0</v>
      </c>
      <c r="CS49" s="73">
        <f>(NOT(CS$14=exit))*IF($E49=1,Rentroll!$P37*'A&amp;R'!$AF$12*Rentroll!$H37,Rentroll!$P37*'A&amp;R'!$AF$11*Rentroll!$H37)*(MONTH($D49)=MONTH(CS$14))*(YEAR($D49)=YEAR(CS$14))*CS$11/unit</f>
        <v>0</v>
      </c>
      <c r="CT49" s="73">
        <f>(NOT(CT$14=exit))*IF($E49=1,Rentroll!$P37*'A&amp;R'!$AF$12*Rentroll!$H37,Rentroll!$P37*'A&amp;R'!$AF$11*Rentroll!$H37)*(MONTH($D49)=MONTH(CT$14))*(YEAR($D49)=YEAR(CT$14))*CT$11/unit</f>
        <v>0</v>
      </c>
      <c r="CU49" s="73">
        <f>(NOT(CU$14=exit))*IF($E49=1,Rentroll!$P37*'A&amp;R'!$AF$12*Rentroll!$H37,Rentroll!$P37*'A&amp;R'!$AF$11*Rentroll!$H37)*(MONTH($D49)=MONTH(CU$14))*(YEAR($D49)=YEAR(CU$14))*CU$11/unit</f>
        <v>0</v>
      </c>
      <c r="CV49" s="73">
        <f>(NOT(CV$14=exit))*IF($E49=1,Rentroll!$P37*'A&amp;R'!$AF$12*Rentroll!$H37,Rentroll!$P37*'A&amp;R'!$AF$11*Rentroll!$H37)*(MONTH($D49)=MONTH(CV$14))*(YEAR($D49)=YEAR(CV$14))*CV$11/unit</f>
        <v>0</v>
      </c>
      <c r="CW49" s="73">
        <f>(NOT(CW$14=exit))*IF($E49=1,Rentroll!$P37*'A&amp;R'!$AF$12*Rentroll!$H37,Rentroll!$P37*'A&amp;R'!$AF$11*Rentroll!$H37)*(MONTH($D49)=MONTH(CW$14))*(YEAR($D49)=YEAR(CW$14))*CW$11/unit</f>
        <v>0</v>
      </c>
      <c r="CX49" s="73">
        <f>(NOT(CX$14=exit))*IF($E49=1,Rentroll!$P37*'A&amp;R'!$AF$12*Rentroll!$H37,Rentroll!$P37*'A&amp;R'!$AF$11*Rentroll!$H37)*(MONTH($D49)=MONTH(CX$14))*(YEAR($D49)=YEAR(CX$14))*CX$11/unit</f>
        <v>0</v>
      </c>
      <c r="CY49" s="73">
        <f>(NOT(CY$14=exit))*IF($E49=1,Rentroll!$P37*'A&amp;R'!$AF$12*Rentroll!$H37,Rentroll!$P37*'A&amp;R'!$AF$11*Rentroll!$H37)*(MONTH($D49)=MONTH(CY$14))*(YEAR($D49)=YEAR(CY$14))*CY$11/unit</f>
        <v>0</v>
      </c>
      <c r="CZ49" s="73">
        <f>(NOT(CZ$14=exit))*IF($E49=1,Rentroll!$P37*'A&amp;R'!$AF$12*Rentroll!$H37,Rentroll!$P37*'A&amp;R'!$AF$11*Rentroll!$H37)*(MONTH($D49)=MONTH(CZ$14))*(YEAR($D49)=YEAR(CZ$14))*CZ$11/unit</f>
        <v>0</v>
      </c>
      <c r="DA49" s="73">
        <f>(NOT(DA$14=exit))*IF($E49=1,Rentroll!$P37*'A&amp;R'!$AF$12*Rentroll!$H37,Rentroll!$P37*'A&amp;R'!$AF$11*Rentroll!$H37)*(MONTH($D49)=MONTH(DA$14))*(YEAR($D49)=YEAR(DA$14))*DA$11/unit</f>
        <v>0</v>
      </c>
      <c r="DB49" s="73">
        <f>(NOT(DB$14=exit))*IF($E49=1,Rentroll!$P37*'A&amp;R'!$AF$12*Rentroll!$H37,Rentroll!$P37*'A&amp;R'!$AF$11*Rentroll!$H37)*(MONTH($D49)=MONTH(DB$14))*(YEAR($D49)=YEAR(DB$14))*DB$11/unit</f>
        <v>0</v>
      </c>
    </row>
    <row r="50" spans="3:106">
      <c r="C50" s="27">
        <f>Rentroll!$C$38</f>
        <v>16</v>
      </c>
      <c r="D50" s="80">
        <f>VLOOKUP($C50,Rentroll!$C$37:$Z$60,9,FALSE)</f>
        <v>47149</v>
      </c>
      <c r="E50" s="150">
        <f>VLOOKUP($C50,Rentroll!$C$37:$Z$60,24,FALSE)</f>
        <v>0</v>
      </c>
      <c r="F50" s="75">
        <f t="shared" ref="F50:F67" si="44">SUM(H50:DB50)</f>
        <v>31.167285225395961</v>
      </c>
      <c r="G50" s="75"/>
      <c r="H50" s="75">
        <f>(NOT(H$14=exit))*IF($E50=1,Rentroll!$P38*'A&amp;R'!$AF$12*Rentroll!$H38,Rentroll!$P38*'A&amp;R'!$AF$11*Rentroll!$H38)*(MONTH($D50)=MONTH(H$14))*(YEAR($D50)=YEAR(H$14))*H$11/unit</f>
        <v>0</v>
      </c>
      <c r="I50" s="75">
        <f>(NOT(I$14=exit))*IF($E50=1,Rentroll!$P38*'A&amp;R'!$AF$12*Rentroll!$H38,Rentroll!$P38*'A&amp;R'!$AF$11*Rentroll!$H38)*(MONTH($D50)=MONTH(I$14))*(YEAR($D50)=YEAR(I$14))*I$11/unit</f>
        <v>0</v>
      </c>
      <c r="J50" s="75">
        <f>(NOT(J$14=exit))*IF($E50=1,Rentroll!$P38*'A&amp;R'!$AF$12*Rentroll!$H38,Rentroll!$P38*'A&amp;R'!$AF$11*Rentroll!$H38)*(MONTH($D50)=MONTH(J$14))*(YEAR($D50)=YEAR(J$14))*J$11/unit</f>
        <v>0</v>
      </c>
      <c r="K50" s="75">
        <f>(NOT(K$14=exit))*IF($E50=1,Rentroll!$P38*'A&amp;R'!$AF$12*Rentroll!$H38,Rentroll!$P38*'A&amp;R'!$AF$11*Rentroll!$H38)*(MONTH($D50)=MONTH(K$14))*(YEAR($D50)=YEAR(K$14))*K$11/unit</f>
        <v>0</v>
      </c>
      <c r="L50" s="75">
        <f>(NOT(L$14=exit))*IF($E50=1,Rentroll!$P38*'A&amp;R'!$AF$12*Rentroll!$H38,Rentroll!$P38*'A&amp;R'!$AF$11*Rentroll!$H38)*(MONTH($D50)=MONTH(L$14))*(YEAR($D50)=YEAR(L$14))*L$11/unit</f>
        <v>0</v>
      </c>
      <c r="M50" s="75">
        <f>(NOT(M$14=exit))*IF($E50=1,Rentroll!$P38*'A&amp;R'!$AF$12*Rentroll!$H38,Rentroll!$P38*'A&amp;R'!$AF$11*Rentroll!$H38)*(MONTH($D50)=MONTH(M$14))*(YEAR($D50)=YEAR(M$14))*M$11/unit</f>
        <v>0</v>
      </c>
      <c r="N50" s="75">
        <f>(NOT(N$14=exit))*IF($E50=1,Rentroll!$P38*'A&amp;R'!$AF$12*Rentroll!$H38,Rentroll!$P38*'A&amp;R'!$AF$11*Rentroll!$H38)*(MONTH($D50)=MONTH(N$14))*(YEAR($D50)=YEAR(N$14))*N$11/unit</f>
        <v>0</v>
      </c>
      <c r="O50" s="75">
        <f>(NOT(O$14=exit))*IF($E50=1,Rentroll!$P38*'A&amp;R'!$AF$12*Rentroll!$H38,Rentroll!$P38*'A&amp;R'!$AF$11*Rentroll!$H38)*(MONTH($D50)=MONTH(O$14))*(YEAR($D50)=YEAR(O$14))*O$11/unit</f>
        <v>0</v>
      </c>
      <c r="P50" s="75">
        <f>(NOT(P$14=exit))*IF($E50=1,Rentroll!$P38*'A&amp;R'!$AF$12*Rentroll!$H38,Rentroll!$P38*'A&amp;R'!$AF$11*Rentroll!$H38)*(MONTH($D50)=MONTH(P$14))*(YEAR($D50)=YEAR(P$14))*P$11/unit</f>
        <v>0</v>
      </c>
      <c r="Q50" s="75">
        <f>(NOT(Q$14=exit))*IF($E50=1,Rentroll!$P38*'A&amp;R'!$AF$12*Rentroll!$H38,Rentroll!$P38*'A&amp;R'!$AF$11*Rentroll!$H38)*(MONTH($D50)=MONTH(Q$14))*(YEAR($D50)=YEAR(Q$14))*Q$11/unit</f>
        <v>0</v>
      </c>
      <c r="R50" s="75">
        <f>(NOT(R$14=exit))*IF($E50=1,Rentroll!$P38*'A&amp;R'!$AF$12*Rentroll!$H38,Rentroll!$P38*'A&amp;R'!$AF$11*Rentroll!$H38)*(MONTH($D50)=MONTH(R$14))*(YEAR($D50)=YEAR(R$14))*R$11/unit</f>
        <v>0</v>
      </c>
      <c r="S50" s="75">
        <f>(NOT(S$14=exit))*IF($E50=1,Rentroll!$P38*'A&amp;R'!$AF$12*Rentroll!$H38,Rentroll!$P38*'A&amp;R'!$AF$11*Rentroll!$H38)*(MONTH($D50)=MONTH(S$14))*(YEAR($D50)=YEAR(S$14))*S$11/unit</f>
        <v>0</v>
      </c>
      <c r="T50" s="75">
        <f>(NOT(T$14=exit))*IF($E50=1,Rentroll!$P38*'A&amp;R'!$AF$12*Rentroll!$H38,Rentroll!$P38*'A&amp;R'!$AF$11*Rentroll!$H38)*(MONTH($D50)=MONTH(T$14))*(YEAR($D50)=YEAR(T$14))*T$11/unit</f>
        <v>0</v>
      </c>
      <c r="U50" s="75">
        <f>(NOT(U$14=exit))*IF($E50=1,Rentroll!$P38*'A&amp;R'!$AF$12*Rentroll!$H38,Rentroll!$P38*'A&amp;R'!$AF$11*Rentroll!$H38)*(MONTH($D50)=MONTH(U$14))*(YEAR($D50)=YEAR(U$14))*U$11/unit</f>
        <v>0</v>
      </c>
      <c r="V50" s="75">
        <f>(NOT(V$14=exit))*IF($E50=1,Rentroll!$P38*'A&amp;R'!$AF$12*Rentroll!$H38,Rentroll!$P38*'A&amp;R'!$AF$11*Rentroll!$H38)*(MONTH($D50)=MONTH(V$14))*(YEAR($D50)=YEAR(V$14))*V$11/unit</f>
        <v>0</v>
      </c>
      <c r="W50" s="75">
        <f>(NOT(W$14=exit))*IF($E50=1,Rentroll!$P38*'A&amp;R'!$AF$12*Rentroll!$H38,Rentroll!$P38*'A&amp;R'!$AF$11*Rentroll!$H38)*(MONTH($D50)=MONTH(W$14))*(YEAR($D50)=YEAR(W$14))*W$11/unit</f>
        <v>0</v>
      </c>
      <c r="X50" s="75">
        <f>(NOT(X$14=exit))*IF($E50=1,Rentroll!$P38*'A&amp;R'!$AF$12*Rentroll!$H38,Rentroll!$P38*'A&amp;R'!$AF$11*Rentroll!$H38)*(MONTH($D50)=MONTH(X$14))*(YEAR($D50)=YEAR(X$14))*X$11/unit</f>
        <v>0</v>
      </c>
      <c r="Y50" s="75">
        <f>(NOT(Y$14=exit))*IF($E50=1,Rentroll!$P38*'A&amp;R'!$AF$12*Rentroll!$H38,Rentroll!$P38*'A&amp;R'!$AF$11*Rentroll!$H38)*(MONTH($D50)=MONTH(Y$14))*(YEAR($D50)=YEAR(Y$14))*Y$11/unit</f>
        <v>0</v>
      </c>
      <c r="Z50" s="75">
        <f>(NOT(Z$14=exit))*IF($E50=1,Rentroll!$P38*'A&amp;R'!$AF$12*Rentroll!$H38,Rentroll!$P38*'A&amp;R'!$AF$11*Rentroll!$H38)*(MONTH($D50)=MONTH(Z$14))*(YEAR($D50)=YEAR(Z$14))*Z$11/unit</f>
        <v>0</v>
      </c>
      <c r="AA50" s="75">
        <f>(NOT(AA$14=exit))*IF($E50=1,Rentroll!$P38*'A&amp;R'!$AF$12*Rentroll!$H38,Rentroll!$P38*'A&amp;R'!$AF$11*Rentroll!$H38)*(MONTH($D50)=MONTH(AA$14))*(YEAR($D50)=YEAR(AA$14))*AA$11/unit</f>
        <v>0</v>
      </c>
      <c r="AB50" s="75">
        <f>(NOT(AB$14=exit))*IF($E50=1,Rentroll!$P38*'A&amp;R'!$AF$12*Rentroll!$H38,Rentroll!$P38*'A&amp;R'!$AF$11*Rentroll!$H38)*(MONTH($D50)=MONTH(AB$14))*(YEAR($D50)=YEAR(AB$14))*AB$11/unit</f>
        <v>0</v>
      </c>
      <c r="AC50" s="75">
        <f>(NOT(AC$14=exit))*IF($E50=1,Rentroll!$P38*'A&amp;R'!$AF$12*Rentroll!$H38,Rentroll!$P38*'A&amp;R'!$AF$11*Rentroll!$H38)*(MONTH($D50)=MONTH(AC$14))*(YEAR($D50)=YEAR(AC$14))*AC$11/unit</f>
        <v>0</v>
      </c>
      <c r="AD50" s="75">
        <f>(NOT(AD$14=exit))*IF($E50=1,Rentroll!$P38*'A&amp;R'!$AF$12*Rentroll!$H38,Rentroll!$P38*'A&amp;R'!$AF$11*Rentroll!$H38)*(MONTH($D50)=MONTH(AD$14))*(YEAR($D50)=YEAR(AD$14))*AD$11/unit</f>
        <v>0</v>
      </c>
      <c r="AE50" s="75">
        <f>(NOT(AE$14=exit))*IF($E50=1,Rentroll!$P38*'A&amp;R'!$AF$12*Rentroll!$H38,Rentroll!$P38*'A&amp;R'!$AF$11*Rentroll!$H38)*(MONTH($D50)=MONTH(AE$14))*(YEAR($D50)=YEAR(AE$14))*AE$11/unit</f>
        <v>0</v>
      </c>
      <c r="AF50" s="75">
        <f>(NOT(AF$14=exit))*IF($E50=1,Rentroll!$P38*'A&amp;R'!$AF$12*Rentroll!$H38,Rentroll!$P38*'A&amp;R'!$AF$11*Rentroll!$H38)*(MONTH($D50)=MONTH(AF$14))*(YEAR($D50)=YEAR(AF$14))*AF$11/unit</f>
        <v>0</v>
      </c>
      <c r="AG50" s="75">
        <f>(NOT(AG$14=exit))*IF($E50=1,Rentroll!$P38*'A&amp;R'!$AF$12*Rentroll!$H38,Rentroll!$P38*'A&amp;R'!$AF$11*Rentroll!$H38)*(MONTH($D50)=MONTH(AG$14))*(YEAR($D50)=YEAR(AG$14))*AG$11/unit</f>
        <v>0</v>
      </c>
      <c r="AH50" s="75">
        <f>(NOT(AH$14=exit))*IF($E50=1,Rentroll!$P38*'A&amp;R'!$AF$12*Rentroll!$H38,Rentroll!$P38*'A&amp;R'!$AF$11*Rentroll!$H38)*(MONTH($D50)=MONTH(AH$14))*(YEAR($D50)=YEAR(AH$14))*AH$11/unit</f>
        <v>0</v>
      </c>
      <c r="AI50" s="75">
        <f>(NOT(AI$14=exit))*IF($E50=1,Rentroll!$P38*'A&amp;R'!$AF$12*Rentroll!$H38,Rentroll!$P38*'A&amp;R'!$AF$11*Rentroll!$H38)*(MONTH($D50)=MONTH(AI$14))*(YEAR($D50)=YEAR(AI$14))*AI$11/unit</f>
        <v>0</v>
      </c>
      <c r="AJ50" s="75">
        <f>(NOT(AJ$14=exit))*IF($E50=1,Rentroll!$P38*'A&amp;R'!$AF$12*Rentroll!$H38,Rentroll!$P38*'A&amp;R'!$AF$11*Rentroll!$H38)*(MONTH($D50)=MONTH(AJ$14))*(YEAR($D50)=YEAR(AJ$14))*AJ$11/unit</f>
        <v>0</v>
      </c>
      <c r="AK50" s="75">
        <f>(NOT(AK$14=exit))*IF($E50=1,Rentroll!$P38*'A&amp;R'!$AF$12*Rentroll!$H38,Rentroll!$P38*'A&amp;R'!$AF$11*Rentroll!$H38)*(MONTH($D50)=MONTH(AK$14))*(YEAR($D50)=YEAR(AK$14))*AK$11/unit</f>
        <v>0</v>
      </c>
      <c r="AL50" s="75">
        <f>(NOT(AL$14=exit))*IF($E50=1,Rentroll!$P38*'A&amp;R'!$AF$12*Rentroll!$H38,Rentroll!$P38*'A&amp;R'!$AF$11*Rentroll!$H38)*(MONTH($D50)=MONTH(AL$14))*(YEAR($D50)=YEAR(AL$14))*AL$11/unit</f>
        <v>0</v>
      </c>
      <c r="AM50" s="75">
        <f>(NOT(AM$14=exit))*IF($E50=1,Rentroll!$P38*'A&amp;R'!$AF$12*Rentroll!$H38,Rentroll!$P38*'A&amp;R'!$AF$11*Rentroll!$H38)*(MONTH($D50)=MONTH(AM$14))*(YEAR($D50)=YEAR(AM$14))*AM$11/unit</f>
        <v>0</v>
      </c>
      <c r="AN50" s="75">
        <f>(NOT(AN$14=exit))*IF($E50=1,Rentroll!$P38*'A&amp;R'!$AF$12*Rentroll!$H38,Rentroll!$P38*'A&amp;R'!$AF$11*Rentroll!$H38)*(MONTH($D50)=MONTH(AN$14))*(YEAR($D50)=YEAR(AN$14))*AN$11/unit</f>
        <v>0</v>
      </c>
      <c r="AO50" s="75">
        <f>(NOT(AO$14=exit))*IF($E50=1,Rentroll!$P38*'A&amp;R'!$AF$12*Rentroll!$H38,Rentroll!$P38*'A&amp;R'!$AF$11*Rentroll!$H38)*(MONTH($D50)=MONTH(AO$14))*(YEAR($D50)=YEAR(AO$14))*AO$11/unit</f>
        <v>0</v>
      </c>
      <c r="AP50" s="75">
        <f>(NOT(AP$14=exit))*IF($E50=1,Rentroll!$P38*'A&amp;R'!$AF$12*Rentroll!$H38,Rentroll!$P38*'A&amp;R'!$AF$11*Rentroll!$H38)*(MONTH($D50)=MONTH(AP$14))*(YEAR($D50)=YEAR(AP$14))*AP$11/unit</f>
        <v>0</v>
      </c>
      <c r="AQ50" s="75">
        <f>(NOT(AQ$14=exit))*IF($E50=1,Rentroll!$P38*'A&amp;R'!$AF$12*Rentroll!$H38,Rentroll!$P38*'A&amp;R'!$AF$11*Rentroll!$H38)*(MONTH($D50)=MONTH(AQ$14))*(YEAR($D50)=YEAR(AQ$14))*AQ$11/unit</f>
        <v>0</v>
      </c>
      <c r="AR50" s="75">
        <f>(NOT(AR$14=exit))*IF($E50=1,Rentroll!$P38*'A&amp;R'!$AF$12*Rentroll!$H38,Rentroll!$P38*'A&amp;R'!$AF$11*Rentroll!$H38)*(MONTH($D50)=MONTH(AR$14))*(YEAR($D50)=YEAR(AR$14))*AR$11/unit</f>
        <v>0</v>
      </c>
      <c r="AS50" s="75">
        <f>(NOT(AS$14=exit))*IF($E50=1,Rentroll!$P38*'A&amp;R'!$AF$12*Rentroll!$H38,Rentroll!$P38*'A&amp;R'!$AF$11*Rentroll!$H38)*(MONTH($D50)=MONTH(AS$14))*(YEAR($D50)=YEAR(AS$14))*AS$11/unit</f>
        <v>0</v>
      </c>
      <c r="AT50" s="75">
        <f>(NOT(AT$14=exit))*IF($E50=1,Rentroll!$P38*'A&amp;R'!$AF$12*Rentroll!$H38,Rentroll!$P38*'A&amp;R'!$AF$11*Rentroll!$H38)*(MONTH($D50)=MONTH(AT$14))*(YEAR($D50)=YEAR(AT$14))*AT$11/unit</f>
        <v>0</v>
      </c>
      <c r="AU50" s="75">
        <f>(NOT(AU$14=exit))*IF($E50=1,Rentroll!$P38*'A&amp;R'!$AF$12*Rentroll!$H38,Rentroll!$P38*'A&amp;R'!$AF$11*Rentroll!$H38)*(MONTH($D50)=MONTH(AU$14))*(YEAR($D50)=YEAR(AU$14))*AU$11/unit</f>
        <v>0</v>
      </c>
      <c r="AV50" s="75">
        <f>(NOT(AV$14=exit))*IF($E50=1,Rentroll!$P38*'A&amp;R'!$AF$12*Rentroll!$H38,Rentroll!$P38*'A&amp;R'!$AF$11*Rentroll!$H38)*(MONTH($D50)=MONTH(AV$14))*(YEAR($D50)=YEAR(AV$14))*AV$11/unit</f>
        <v>0</v>
      </c>
      <c r="AW50" s="75">
        <f>(NOT(AW$14=exit))*IF($E50=1,Rentroll!$P38*'A&amp;R'!$AF$12*Rentroll!$H38,Rentroll!$P38*'A&amp;R'!$AF$11*Rentroll!$H38)*(MONTH($D50)=MONTH(AW$14))*(YEAR($D50)=YEAR(AW$14))*AW$11/unit</f>
        <v>0</v>
      </c>
      <c r="AX50" s="75">
        <f>(NOT(AX$14=exit))*IF($E50=1,Rentroll!$P38*'A&amp;R'!$AF$12*Rentroll!$H38,Rentroll!$P38*'A&amp;R'!$AF$11*Rentroll!$H38)*(MONTH($D50)=MONTH(AX$14))*(YEAR($D50)=YEAR(AX$14))*AX$11/unit</f>
        <v>0</v>
      </c>
      <c r="AY50" s="75">
        <f>(NOT(AY$14=exit))*IF($E50=1,Rentroll!$P38*'A&amp;R'!$AF$12*Rentroll!$H38,Rentroll!$P38*'A&amp;R'!$AF$11*Rentroll!$H38)*(MONTH($D50)=MONTH(AY$14))*(YEAR($D50)=YEAR(AY$14))*AY$11/unit</f>
        <v>0</v>
      </c>
      <c r="AZ50" s="75">
        <f>(NOT(AZ$14=exit))*IF($E50=1,Rentroll!$P38*'A&amp;R'!$AF$12*Rentroll!$H38,Rentroll!$P38*'A&amp;R'!$AF$11*Rentroll!$H38)*(MONTH($D50)=MONTH(AZ$14))*(YEAR($D50)=YEAR(AZ$14))*AZ$11/unit</f>
        <v>0</v>
      </c>
      <c r="BA50" s="75">
        <f>(NOT(BA$14=exit))*IF($E50=1,Rentroll!$P38*'A&amp;R'!$AF$12*Rentroll!$H38,Rentroll!$P38*'A&amp;R'!$AF$11*Rentroll!$H38)*(MONTH($D50)=MONTH(BA$14))*(YEAR($D50)=YEAR(BA$14))*BA$11/unit</f>
        <v>0</v>
      </c>
      <c r="BB50" s="75">
        <f>(NOT(BB$14=exit))*IF($E50=1,Rentroll!$P38*'A&amp;R'!$AF$12*Rentroll!$H38,Rentroll!$P38*'A&amp;R'!$AF$11*Rentroll!$H38)*(MONTH($D50)=MONTH(BB$14))*(YEAR($D50)=YEAR(BB$14))*BB$11/unit</f>
        <v>0</v>
      </c>
      <c r="BC50" s="75">
        <f>(NOT(BC$14=exit))*IF($E50=1,Rentroll!$P38*'A&amp;R'!$AF$12*Rentroll!$H38,Rentroll!$P38*'A&amp;R'!$AF$11*Rentroll!$H38)*(MONTH($D50)=MONTH(BC$14))*(YEAR($D50)=YEAR(BC$14))*BC$11/unit</f>
        <v>0</v>
      </c>
      <c r="BD50" s="75">
        <f>(NOT(BD$14=exit))*IF($E50=1,Rentroll!$P38*'A&amp;R'!$AF$12*Rentroll!$H38,Rentroll!$P38*'A&amp;R'!$AF$11*Rentroll!$H38)*(MONTH($D50)=MONTH(BD$14))*(YEAR($D50)=YEAR(BD$14))*BD$11/unit</f>
        <v>31.167285225395961</v>
      </c>
      <c r="BE50" s="75">
        <f>(NOT(BE$14=exit))*IF($E50=1,Rentroll!$P38*'A&amp;R'!$AF$12*Rentroll!$H38,Rentroll!$P38*'A&amp;R'!$AF$11*Rentroll!$H38)*(MONTH($D50)=MONTH(BE$14))*(YEAR($D50)=YEAR(BE$14))*BE$11/unit</f>
        <v>0</v>
      </c>
      <c r="BF50" s="75">
        <f>(NOT(BF$14=exit))*IF($E50=1,Rentroll!$P38*'A&amp;R'!$AF$12*Rentroll!$H38,Rentroll!$P38*'A&amp;R'!$AF$11*Rentroll!$H38)*(MONTH($D50)=MONTH(BF$14))*(YEAR($D50)=YEAR(BF$14))*BF$11/unit</f>
        <v>0</v>
      </c>
      <c r="BG50" s="75">
        <f>(NOT(BG$14=exit))*IF($E50=1,Rentroll!$P38*'A&amp;R'!$AF$12*Rentroll!$H38,Rentroll!$P38*'A&amp;R'!$AF$11*Rentroll!$H38)*(MONTH($D50)=MONTH(BG$14))*(YEAR($D50)=YEAR(BG$14))*BG$11/unit</f>
        <v>0</v>
      </c>
      <c r="BH50" s="75">
        <f>(NOT(BH$14=exit))*IF($E50=1,Rentroll!$P38*'A&amp;R'!$AF$12*Rentroll!$H38,Rentroll!$P38*'A&amp;R'!$AF$11*Rentroll!$H38)*(MONTH($D50)=MONTH(BH$14))*(YEAR($D50)=YEAR(BH$14))*BH$11/unit</f>
        <v>0</v>
      </c>
      <c r="BI50" s="75">
        <f>(NOT(BI$14=exit))*IF($E50=1,Rentroll!$P38*'A&amp;R'!$AF$12*Rentroll!$H38,Rentroll!$P38*'A&amp;R'!$AF$11*Rentroll!$H38)*(MONTH($D50)=MONTH(BI$14))*(YEAR($D50)=YEAR(BI$14))*BI$11/unit</f>
        <v>0</v>
      </c>
      <c r="BJ50" s="75">
        <f>(NOT(BJ$14=exit))*IF($E50=1,Rentroll!$P38*'A&amp;R'!$AF$12*Rentroll!$H38,Rentroll!$P38*'A&amp;R'!$AF$11*Rentroll!$H38)*(MONTH($D50)=MONTH(BJ$14))*(YEAR($D50)=YEAR(BJ$14))*BJ$11/unit</f>
        <v>0</v>
      </c>
      <c r="BK50" s="75">
        <f>(NOT(BK$14=exit))*IF($E50=1,Rentroll!$P38*'A&amp;R'!$AF$12*Rentroll!$H38,Rentroll!$P38*'A&amp;R'!$AF$11*Rentroll!$H38)*(MONTH($D50)=MONTH(BK$14))*(YEAR($D50)=YEAR(BK$14))*BK$11/unit</f>
        <v>0</v>
      </c>
      <c r="BL50" s="75">
        <f>(NOT(BL$14=exit))*IF($E50=1,Rentroll!$P38*'A&amp;R'!$AF$12*Rentroll!$H38,Rentroll!$P38*'A&amp;R'!$AF$11*Rentroll!$H38)*(MONTH($D50)=MONTH(BL$14))*(YEAR($D50)=YEAR(BL$14))*BL$11/unit</f>
        <v>0</v>
      </c>
      <c r="BM50" s="75">
        <f>(NOT(BM$14=exit))*IF($E50=1,Rentroll!$P38*'A&amp;R'!$AF$12*Rentroll!$H38,Rentroll!$P38*'A&amp;R'!$AF$11*Rentroll!$H38)*(MONTH($D50)=MONTH(BM$14))*(YEAR($D50)=YEAR(BM$14))*BM$11/unit</f>
        <v>0</v>
      </c>
      <c r="BN50" s="75">
        <f>(NOT(BN$14=exit))*IF($E50=1,Rentroll!$P38*'A&amp;R'!$AF$12*Rentroll!$H38,Rentroll!$P38*'A&amp;R'!$AF$11*Rentroll!$H38)*(MONTH($D50)=MONTH(BN$14))*(YEAR($D50)=YEAR(BN$14))*BN$11/unit</f>
        <v>0</v>
      </c>
      <c r="BO50" s="75">
        <f>(NOT(BO$14=exit))*IF($E50=1,Rentroll!$P38*'A&amp;R'!$AF$12*Rentroll!$H38,Rentroll!$P38*'A&amp;R'!$AF$11*Rentroll!$H38)*(MONTH($D50)=MONTH(BO$14))*(YEAR($D50)=YEAR(BO$14))*BO$11/unit</f>
        <v>0</v>
      </c>
      <c r="BP50" s="75">
        <f>(NOT(BP$14=exit))*IF($E50=1,Rentroll!$P38*'A&amp;R'!$AF$12*Rentroll!$H38,Rentroll!$P38*'A&amp;R'!$AF$11*Rentroll!$H38)*(MONTH($D50)=MONTH(BP$14))*(YEAR($D50)=YEAR(BP$14))*BP$11/unit</f>
        <v>0</v>
      </c>
      <c r="BQ50" s="75">
        <f>(NOT(BQ$14=exit))*IF($E50=1,Rentroll!$P38*'A&amp;R'!$AF$12*Rentroll!$H38,Rentroll!$P38*'A&amp;R'!$AF$11*Rentroll!$H38)*(MONTH($D50)=MONTH(BQ$14))*(YEAR($D50)=YEAR(BQ$14))*BQ$11/unit</f>
        <v>0</v>
      </c>
      <c r="BR50" s="75">
        <f>(NOT(BR$14=exit))*IF($E50=1,Rentroll!$P38*'A&amp;R'!$AF$12*Rentroll!$H38,Rentroll!$P38*'A&amp;R'!$AF$11*Rentroll!$H38)*(MONTH($D50)=MONTH(BR$14))*(YEAR($D50)=YEAR(BR$14))*BR$11/unit</f>
        <v>0</v>
      </c>
      <c r="BS50" s="75">
        <f>(NOT(BS$14=exit))*IF($E50=1,Rentroll!$P38*'A&amp;R'!$AF$12*Rentroll!$H38,Rentroll!$P38*'A&amp;R'!$AF$11*Rentroll!$H38)*(MONTH($D50)=MONTH(BS$14))*(YEAR($D50)=YEAR(BS$14))*BS$11/unit</f>
        <v>0</v>
      </c>
      <c r="BT50" s="75">
        <f>(NOT(BT$14=exit))*IF($E50=1,Rentroll!$P38*'A&amp;R'!$AF$12*Rentroll!$H38,Rentroll!$P38*'A&amp;R'!$AF$11*Rentroll!$H38)*(MONTH($D50)=MONTH(BT$14))*(YEAR($D50)=YEAR(BT$14))*BT$11/unit</f>
        <v>0</v>
      </c>
      <c r="BU50" s="75">
        <f>(NOT(BU$14=exit))*IF($E50=1,Rentroll!$P38*'A&amp;R'!$AF$12*Rentroll!$H38,Rentroll!$P38*'A&amp;R'!$AF$11*Rentroll!$H38)*(MONTH($D50)=MONTH(BU$14))*(YEAR($D50)=YEAR(BU$14))*BU$11/unit</f>
        <v>0</v>
      </c>
      <c r="BV50" s="75">
        <f>(NOT(BV$14=exit))*IF($E50=1,Rentroll!$P38*'A&amp;R'!$AF$12*Rentroll!$H38,Rentroll!$P38*'A&amp;R'!$AF$11*Rentroll!$H38)*(MONTH($D50)=MONTH(BV$14))*(YEAR($D50)=YEAR(BV$14))*BV$11/unit</f>
        <v>0</v>
      </c>
      <c r="BW50" s="75">
        <f>(NOT(BW$14=exit))*IF($E50=1,Rentroll!$P38*'A&amp;R'!$AF$12*Rentroll!$H38,Rentroll!$P38*'A&amp;R'!$AF$11*Rentroll!$H38)*(MONTH($D50)=MONTH(BW$14))*(YEAR($D50)=YEAR(BW$14))*BW$11/unit</f>
        <v>0</v>
      </c>
      <c r="BX50" s="75">
        <f>(NOT(BX$14=exit))*IF($E50=1,Rentroll!$P38*'A&amp;R'!$AF$12*Rentroll!$H38,Rentroll!$P38*'A&amp;R'!$AF$11*Rentroll!$H38)*(MONTH($D50)=MONTH(BX$14))*(YEAR($D50)=YEAR(BX$14))*BX$11/unit</f>
        <v>0</v>
      </c>
      <c r="BY50" s="75">
        <f>(NOT(BY$14=exit))*IF($E50=1,Rentroll!$P38*'A&amp;R'!$AF$12*Rentroll!$H38,Rentroll!$P38*'A&amp;R'!$AF$11*Rentroll!$H38)*(MONTH($D50)=MONTH(BY$14))*(YEAR($D50)=YEAR(BY$14))*BY$11/unit</f>
        <v>0</v>
      </c>
      <c r="BZ50" s="75">
        <f>(NOT(BZ$14=exit))*IF($E50=1,Rentroll!$P38*'A&amp;R'!$AF$12*Rentroll!$H38,Rentroll!$P38*'A&amp;R'!$AF$11*Rentroll!$H38)*(MONTH($D50)=MONTH(BZ$14))*(YEAR($D50)=YEAR(BZ$14))*BZ$11/unit</f>
        <v>0</v>
      </c>
      <c r="CA50" s="75">
        <f>(NOT(CA$14=exit))*IF($E50=1,Rentroll!$P38*'A&amp;R'!$AF$12*Rentroll!$H38,Rentroll!$P38*'A&amp;R'!$AF$11*Rentroll!$H38)*(MONTH($D50)=MONTH(CA$14))*(YEAR($D50)=YEAR(CA$14))*CA$11/unit</f>
        <v>0</v>
      </c>
      <c r="CB50" s="75">
        <f>(NOT(CB$14=exit))*IF($E50=1,Rentroll!$P38*'A&amp;R'!$AF$12*Rentroll!$H38,Rentroll!$P38*'A&amp;R'!$AF$11*Rentroll!$H38)*(MONTH($D50)=MONTH(CB$14))*(YEAR($D50)=YEAR(CB$14))*CB$11/unit</f>
        <v>0</v>
      </c>
      <c r="CC50" s="75">
        <f>(NOT(CC$14=exit))*IF($E50=1,Rentroll!$P38*'A&amp;R'!$AF$12*Rentroll!$H38,Rentroll!$P38*'A&amp;R'!$AF$11*Rentroll!$H38)*(MONTH($D50)=MONTH(CC$14))*(YEAR($D50)=YEAR(CC$14))*CC$11/unit</f>
        <v>0</v>
      </c>
      <c r="CD50" s="75">
        <f>(NOT(CD$14=exit))*IF($E50=1,Rentroll!$P38*'A&amp;R'!$AF$12*Rentroll!$H38,Rentroll!$P38*'A&amp;R'!$AF$11*Rentroll!$H38)*(MONTH($D50)=MONTH(CD$14))*(YEAR($D50)=YEAR(CD$14))*CD$11/unit</f>
        <v>0</v>
      </c>
      <c r="CE50" s="75">
        <f>(NOT(CE$14=exit))*IF($E50=1,Rentroll!$P38*'A&amp;R'!$AF$12*Rentroll!$H38,Rentroll!$P38*'A&amp;R'!$AF$11*Rentroll!$H38)*(MONTH($D50)=MONTH(CE$14))*(YEAR($D50)=YEAR(CE$14))*CE$11/unit</f>
        <v>0</v>
      </c>
      <c r="CF50" s="75">
        <f>(NOT(CF$14=exit))*IF($E50=1,Rentroll!$P38*'A&amp;R'!$AF$12*Rentroll!$H38,Rentroll!$P38*'A&amp;R'!$AF$11*Rentroll!$H38)*(MONTH($D50)=MONTH(CF$14))*(YEAR($D50)=YEAR(CF$14))*CF$11/unit</f>
        <v>0</v>
      </c>
      <c r="CG50" s="75">
        <f>(NOT(CG$14=exit))*IF($E50=1,Rentroll!$P38*'A&amp;R'!$AF$12*Rentroll!$H38,Rentroll!$P38*'A&amp;R'!$AF$11*Rentroll!$H38)*(MONTH($D50)=MONTH(CG$14))*(YEAR($D50)=YEAR(CG$14))*CG$11/unit</f>
        <v>0</v>
      </c>
      <c r="CH50" s="75">
        <f>(NOT(CH$14=exit))*IF($E50=1,Rentroll!$P38*'A&amp;R'!$AF$12*Rentroll!$H38,Rentroll!$P38*'A&amp;R'!$AF$11*Rentroll!$H38)*(MONTH($D50)=MONTH(CH$14))*(YEAR($D50)=YEAR(CH$14))*CH$11/unit</f>
        <v>0</v>
      </c>
      <c r="CI50" s="75">
        <f>(NOT(CI$14=exit))*IF($E50=1,Rentroll!$P38*'A&amp;R'!$AF$12*Rentroll!$H38,Rentroll!$P38*'A&amp;R'!$AF$11*Rentroll!$H38)*(MONTH($D50)=MONTH(CI$14))*(YEAR($D50)=YEAR(CI$14))*CI$11/unit</f>
        <v>0</v>
      </c>
      <c r="CJ50" s="75">
        <f>(NOT(CJ$14=exit))*IF($E50=1,Rentroll!$P38*'A&amp;R'!$AF$12*Rentroll!$H38,Rentroll!$P38*'A&amp;R'!$AF$11*Rentroll!$H38)*(MONTH($D50)=MONTH(CJ$14))*(YEAR($D50)=YEAR(CJ$14))*CJ$11/unit</f>
        <v>0</v>
      </c>
      <c r="CK50" s="75">
        <f>(NOT(CK$14=exit))*IF($E50=1,Rentroll!$P38*'A&amp;R'!$AF$12*Rentroll!$H38,Rentroll!$P38*'A&amp;R'!$AF$11*Rentroll!$H38)*(MONTH($D50)=MONTH(CK$14))*(YEAR($D50)=YEAR(CK$14))*CK$11/unit</f>
        <v>0</v>
      </c>
      <c r="CL50" s="75">
        <f>(NOT(CL$14=exit))*IF($E50=1,Rentroll!$P38*'A&amp;R'!$AF$12*Rentroll!$H38,Rentroll!$P38*'A&amp;R'!$AF$11*Rentroll!$H38)*(MONTH($D50)=MONTH(CL$14))*(YEAR($D50)=YEAR(CL$14))*CL$11/unit</f>
        <v>0</v>
      </c>
      <c r="CM50" s="75">
        <f>(NOT(CM$14=exit))*IF($E50=1,Rentroll!$P38*'A&amp;R'!$AF$12*Rentroll!$H38,Rentroll!$P38*'A&amp;R'!$AF$11*Rentroll!$H38)*(MONTH($D50)=MONTH(CM$14))*(YEAR($D50)=YEAR(CM$14))*CM$11/unit</f>
        <v>0</v>
      </c>
      <c r="CN50" s="75">
        <f>(NOT(CN$14=exit))*IF($E50=1,Rentroll!$P38*'A&amp;R'!$AF$12*Rentroll!$H38,Rentroll!$P38*'A&amp;R'!$AF$11*Rentroll!$H38)*(MONTH($D50)=MONTH(CN$14))*(YEAR($D50)=YEAR(CN$14))*CN$11/unit</f>
        <v>0</v>
      </c>
      <c r="CO50" s="75">
        <f>(NOT(CO$14=exit))*IF($E50=1,Rentroll!$P38*'A&amp;R'!$AF$12*Rentroll!$H38,Rentroll!$P38*'A&amp;R'!$AF$11*Rentroll!$H38)*(MONTH($D50)=MONTH(CO$14))*(YEAR($D50)=YEAR(CO$14))*CO$11/unit</f>
        <v>0</v>
      </c>
      <c r="CP50" s="75">
        <f>(NOT(CP$14=exit))*IF($E50=1,Rentroll!$P38*'A&amp;R'!$AF$12*Rentroll!$H38,Rentroll!$P38*'A&amp;R'!$AF$11*Rentroll!$H38)*(MONTH($D50)=MONTH(CP$14))*(YEAR($D50)=YEAR(CP$14))*CP$11/unit</f>
        <v>0</v>
      </c>
      <c r="CQ50" s="75">
        <f>(NOT(CQ$14=exit))*IF($E50=1,Rentroll!$P38*'A&amp;R'!$AF$12*Rentroll!$H38,Rentroll!$P38*'A&amp;R'!$AF$11*Rentroll!$H38)*(MONTH($D50)=MONTH(CQ$14))*(YEAR($D50)=YEAR(CQ$14))*CQ$11/unit</f>
        <v>0</v>
      </c>
      <c r="CR50" s="75">
        <f>(NOT(CR$14=exit))*IF($E50=1,Rentroll!$P38*'A&amp;R'!$AF$12*Rentroll!$H38,Rentroll!$P38*'A&amp;R'!$AF$11*Rentroll!$H38)*(MONTH($D50)=MONTH(CR$14))*(YEAR($D50)=YEAR(CR$14))*CR$11/unit</f>
        <v>0</v>
      </c>
      <c r="CS50" s="75">
        <f>(NOT(CS$14=exit))*IF($E50=1,Rentroll!$P38*'A&amp;R'!$AF$12*Rentroll!$H38,Rentroll!$P38*'A&amp;R'!$AF$11*Rentroll!$H38)*(MONTH($D50)=MONTH(CS$14))*(YEAR($D50)=YEAR(CS$14))*CS$11/unit</f>
        <v>0</v>
      </c>
      <c r="CT50" s="75">
        <f>(NOT(CT$14=exit))*IF($E50=1,Rentroll!$P38*'A&amp;R'!$AF$12*Rentroll!$H38,Rentroll!$P38*'A&amp;R'!$AF$11*Rentroll!$H38)*(MONTH($D50)=MONTH(CT$14))*(YEAR($D50)=YEAR(CT$14))*CT$11/unit</f>
        <v>0</v>
      </c>
      <c r="CU50" s="75">
        <f>(NOT(CU$14=exit))*IF($E50=1,Rentroll!$P38*'A&amp;R'!$AF$12*Rentroll!$H38,Rentroll!$P38*'A&amp;R'!$AF$11*Rentroll!$H38)*(MONTH($D50)=MONTH(CU$14))*(YEAR($D50)=YEAR(CU$14))*CU$11/unit</f>
        <v>0</v>
      </c>
      <c r="CV50" s="75">
        <f>(NOT(CV$14=exit))*IF($E50=1,Rentroll!$P38*'A&amp;R'!$AF$12*Rentroll!$H38,Rentroll!$P38*'A&amp;R'!$AF$11*Rentroll!$H38)*(MONTH($D50)=MONTH(CV$14))*(YEAR($D50)=YEAR(CV$14))*CV$11/unit</f>
        <v>0</v>
      </c>
      <c r="CW50" s="75">
        <f>(NOT(CW$14=exit))*IF($E50=1,Rentroll!$P38*'A&amp;R'!$AF$12*Rentroll!$H38,Rentroll!$P38*'A&amp;R'!$AF$11*Rentroll!$H38)*(MONTH($D50)=MONTH(CW$14))*(YEAR($D50)=YEAR(CW$14))*CW$11/unit</f>
        <v>0</v>
      </c>
      <c r="CX50" s="75">
        <f>(NOT(CX$14=exit))*IF($E50=1,Rentroll!$P38*'A&amp;R'!$AF$12*Rentroll!$H38,Rentroll!$P38*'A&amp;R'!$AF$11*Rentroll!$H38)*(MONTH($D50)=MONTH(CX$14))*(YEAR($D50)=YEAR(CX$14))*CX$11/unit</f>
        <v>0</v>
      </c>
      <c r="CY50" s="75">
        <f>(NOT(CY$14=exit))*IF($E50=1,Rentroll!$P38*'A&amp;R'!$AF$12*Rentroll!$H38,Rentroll!$P38*'A&amp;R'!$AF$11*Rentroll!$H38)*(MONTH($D50)=MONTH(CY$14))*(YEAR($D50)=YEAR(CY$14))*CY$11/unit</f>
        <v>0</v>
      </c>
      <c r="CZ50" s="75">
        <f>(NOT(CZ$14=exit))*IF($E50=1,Rentroll!$P38*'A&amp;R'!$AF$12*Rentroll!$H38,Rentroll!$P38*'A&amp;R'!$AF$11*Rentroll!$H38)*(MONTH($D50)=MONTH(CZ$14))*(YEAR($D50)=YEAR(CZ$14))*CZ$11/unit</f>
        <v>0</v>
      </c>
      <c r="DA50" s="75">
        <f>(NOT(DA$14=exit))*IF($E50=1,Rentroll!$P38*'A&amp;R'!$AF$12*Rentroll!$H38,Rentroll!$P38*'A&amp;R'!$AF$11*Rentroll!$H38)*(MONTH($D50)=MONTH(DA$14))*(YEAR($D50)=YEAR(DA$14))*DA$11/unit</f>
        <v>0</v>
      </c>
      <c r="DB50" s="75">
        <f>(NOT(DB$14=exit))*IF($E50=1,Rentroll!$P38*'A&amp;R'!$AF$12*Rentroll!$H38,Rentroll!$P38*'A&amp;R'!$AF$11*Rentroll!$H38)*(MONTH($D50)=MONTH(DB$14))*(YEAR($D50)=YEAR(DB$14))*DB$11/unit</f>
        <v>0</v>
      </c>
    </row>
    <row r="51" spans="3:106">
      <c r="C51" s="27">
        <f>Rentroll!$C$39</f>
        <v>15</v>
      </c>
      <c r="D51" s="80">
        <f>VLOOKUP($C51,Rentroll!$C$37:$Z$60,9,FALSE)</f>
        <v>45869</v>
      </c>
      <c r="E51" s="150">
        <f>VLOOKUP($C51,Rentroll!$C$37:$Z$60,24,FALSE)</f>
        <v>1</v>
      </c>
      <c r="F51" s="75">
        <f t="shared" si="44"/>
        <v>83.075187724375013</v>
      </c>
      <c r="G51" s="75"/>
      <c r="H51" s="75">
        <f>(NOT(H$14=exit))*IF($E51=1,Rentroll!$P39*'A&amp;R'!$AF$12*Rentroll!$H39,Rentroll!$P39*'A&amp;R'!$AF$11*Rentroll!$H39)*(MONTH($D51)=MONTH(H$14))*(YEAR($D51)=YEAR(H$14))*H$11/unit</f>
        <v>0</v>
      </c>
      <c r="I51" s="75">
        <f>(NOT(I$14=exit))*IF($E51=1,Rentroll!$P39*'A&amp;R'!$AF$12*Rentroll!$H39,Rentroll!$P39*'A&amp;R'!$AF$11*Rentroll!$H39)*(MONTH($D51)=MONTH(I$14))*(YEAR($D51)=YEAR(I$14))*I$11/unit</f>
        <v>0</v>
      </c>
      <c r="J51" s="75">
        <f>(NOT(J$14=exit))*IF($E51=1,Rentroll!$P39*'A&amp;R'!$AF$12*Rentroll!$H39,Rentroll!$P39*'A&amp;R'!$AF$11*Rentroll!$H39)*(MONTH($D51)=MONTH(J$14))*(YEAR($D51)=YEAR(J$14))*J$11/unit</f>
        <v>0</v>
      </c>
      <c r="K51" s="75">
        <f>(NOT(K$14=exit))*IF($E51=1,Rentroll!$P39*'A&amp;R'!$AF$12*Rentroll!$H39,Rentroll!$P39*'A&amp;R'!$AF$11*Rentroll!$H39)*(MONTH($D51)=MONTH(K$14))*(YEAR($D51)=YEAR(K$14))*K$11/unit</f>
        <v>0</v>
      </c>
      <c r="L51" s="75">
        <f>(NOT(L$14=exit))*IF($E51=1,Rentroll!$P39*'A&amp;R'!$AF$12*Rentroll!$H39,Rentroll!$P39*'A&amp;R'!$AF$11*Rentroll!$H39)*(MONTH($D51)=MONTH(L$14))*(YEAR($D51)=YEAR(L$14))*L$11/unit</f>
        <v>0</v>
      </c>
      <c r="M51" s="75">
        <f>(NOT(M$14=exit))*IF($E51=1,Rentroll!$P39*'A&amp;R'!$AF$12*Rentroll!$H39,Rentroll!$P39*'A&amp;R'!$AF$11*Rentroll!$H39)*(MONTH($D51)=MONTH(M$14))*(YEAR($D51)=YEAR(M$14))*M$11/unit</f>
        <v>0</v>
      </c>
      <c r="N51" s="75">
        <f>(NOT(N$14=exit))*IF($E51=1,Rentroll!$P39*'A&amp;R'!$AF$12*Rentroll!$H39,Rentroll!$P39*'A&amp;R'!$AF$11*Rentroll!$H39)*(MONTH($D51)=MONTH(N$14))*(YEAR($D51)=YEAR(N$14))*N$11/unit</f>
        <v>83.075187724375013</v>
      </c>
      <c r="O51" s="75">
        <f>(NOT(O$14=exit))*IF($E51=1,Rentroll!$P39*'A&amp;R'!$AF$12*Rentroll!$H39,Rentroll!$P39*'A&amp;R'!$AF$11*Rentroll!$H39)*(MONTH($D51)=MONTH(O$14))*(YEAR($D51)=YEAR(O$14))*O$11/unit</f>
        <v>0</v>
      </c>
      <c r="P51" s="75">
        <f>(NOT(P$14=exit))*IF($E51=1,Rentroll!$P39*'A&amp;R'!$AF$12*Rentroll!$H39,Rentroll!$P39*'A&amp;R'!$AF$11*Rentroll!$H39)*(MONTH($D51)=MONTH(P$14))*(YEAR($D51)=YEAR(P$14))*P$11/unit</f>
        <v>0</v>
      </c>
      <c r="Q51" s="75">
        <f>(NOT(Q$14=exit))*IF($E51=1,Rentroll!$P39*'A&amp;R'!$AF$12*Rentroll!$H39,Rentroll!$P39*'A&amp;R'!$AF$11*Rentroll!$H39)*(MONTH($D51)=MONTH(Q$14))*(YEAR($D51)=YEAR(Q$14))*Q$11/unit</f>
        <v>0</v>
      </c>
      <c r="R51" s="75">
        <f>(NOT(R$14=exit))*IF($E51=1,Rentroll!$P39*'A&amp;R'!$AF$12*Rentroll!$H39,Rentroll!$P39*'A&amp;R'!$AF$11*Rentroll!$H39)*(MONTH($D51)=MONTH(R$14))*(YEAR($D51)=YEAR(R$14))*R$11/unit</f>
        <v>0</v>
      </c>
      <c r="S51" s="75">
        <f>(NOT(S$14=exit))*IF($E51=1,Rentroll!$P39*'A&amp;R'!$AF$12*Rentroll!$H39,Rentroll!$P39*'A&amp;R'!$AF$11*Rentroll!$H39)*(MONTH($D51)=MONTH(S$14))*(YEAR($D51)=YEAR(S$14))*S$11/unit</f>
        <v>0</v>
      </c>
      <c r="T51" s="75">
        <f>(NOT(T$14=exit))*IF($E51=1,Rentroll!$P39*'A&amp;R'!$AF$12*Rentroll!$H39,Rentroll!$P39*'A&amp;R'!$AF$11*Rentroll!$H39)*(MONTH($D51)=MONTH(T$14))*(YEAR($D51)=YEAR(T$14))*T$11/unit</f>
        <v>0</v>
      </c>
      <c r="U51" s="75">
        <f>(NOT(U$14=exit))*IF($E51=1,Rentroll!$P39*'A&amp;R'!$AF$12*Rentroll!$H39,Rentroll!$P39*'A&amp;R'!$AF$11*Rentroll!$H39)*(MONTH($D51)=MONTH(U$14))*(YEAR($D51)=YEAR(U$14))*U$11/unit</f>
        <v>0</v>
      </c>
      <c r="V51" s="75">
        <f>(NOT(V$14=exit))*IF($E51=1,Rentroll!$P39*'A&amp;R'!$AF$12*Rentroll!$H39,Rentroll!$P39*'A&amp;R'!$AF$11*Rentroll!$H39)*(MONTH($D51)=MONTH(V$14))*(YEAR($D51)=YEAR(V$14))*V$11/unit</f>
        <v>0</v>
      </c>
      <c r="W51" s="75">
        <f>(NOT(W$14=exit))*IF($E51=1,Rentroll!$P39*'A&amp;R'!$AF$12*Rentroll!$H39,Rentroll!$P39*'A&amp;R'!$AF$11*Rentroll!$H39)*(MONTH($D51)=MONTH(W$14))*(YEAR($D51)=YEAR(W$14))*W$11/unit</f>
        <v>0</v>
      </c>
      <c r="X51" s="75">
        <f>(NOT(X$14=exit))*IF($E51=1,Rentroll!$P39*'A&amp;R'!$AF$12*Rentroll!$H39,Rentroll!$P39*'A&amp;R'!$AF$11*Rentroll!$H39)*(MONTH($D51)=MONTH(X$14))*(YEAR($D51)=YEAR(X$14))*X$11/unit</f>
        <v>0</v>
      </c>
      <c r="Y51" s="75">
        <f>(NOT(Y$14=exit))*IF($E51=1,Rentroll!$P39*'A&amp;R'!$AF$12*Rentroll!$H39,Rentroll!$P39*'A&amp;R'!$AF$11*Rentroll!$H39)*(MONTH($D51)=MONTH(Y$14))*(YEAR($D51)=YEAR(Y$14))*Y$11/unit</f>
        <v>0</v>
      </c>
      <c r="Z51" s="75">
        <f>(NOT(Z$14=exit))*IF($E51=1,Rentroll!$P39*'A&amp;R'!$AF$12*Rentroll!$H39,Rentroll!$P39*'A&amp;R'!$AF$11*Rentroll!$H39)*(MONTH($D51)=MONTH(Z$14))*(YEAR($D51)=YEAR(Z$14))*Z$11/unit</f>
        <v>0</v>
      </c>
      <c r="AA51" s="75">
        <f>(NOT(AA$14=exit))*IF($E51=1,Rentroll!$P39*'A&amp;R'!$AF$12*Rentroll!$H39,Rentroll!$P39*'A&amp;R'!$AF$11*Rentroll!$H39)*(MONTH($D51)=MONTH(AA$14))*(YEAR($D51)=YEAR(AA$14))*AA$11/unit</f>
        <v>0</v>
      </c>
      <c r="AB51" s="75">
        <f>(NOT(AB$14=exit))*IF($E51=1,Rentroll!$P39*'A&amp;R'!$AF$12*Rentroll!$H39,Rentroll!$P39*'A&amp;R'!$AF$11*Rentroll!$H39)*(MONTH($D51)=MONTH(AB$14))*(YEAR($D51)=YEAR(AB$14))*AB$11/unit</f>
        <v>0</v>
      </c>
      <c r="AC51" s="75">
        <f>(NOT(AC$14=exit))*IF($E51=1,Rentroll!$P39*'A&amp;R'!$AF$12*Rentroll!$H39,Rentroll!$P39*'A&amp;R'!$AF$11*Rentroll!$H39)*(MONTH($D51)=MONTH(AC$14))*(YEAR($D51)=YEAR(AC$14))*AC$11/unit</f>
        <v>0</v>
      </c>
      <c r="AD51" s="75">
        <f>(NOT(AD$14=exit))*IF($E51=1,Rentroll!$P39*'A&amp;R'!$AF$12*Rentroll!$H39,Rentroll!$P39*'A&amp;R'!$AF$11*Rentroll!$H39)*(MONTH($D51)=MONTH(AD$14))*(YEAR($D51)=YEAR(AD$14))*AD$11/unit</f>
        <v>0</v>
      </c>
      <c r="AE51" s="75">
        <f>(NOT(AE$14=exit))*IF($E51=1,Rentroll!$P39*'A&amp;R'!$AF$12*Rentroll!$H39,Rentroll!$P39*'A&amp;R'!$AF$11*Rentroll!$H39)*(MONTH($D51)=MONTH(AE$14))*(YEAR($D51)=YEAR(AE$14))*AE$11/unit</f>
        <v>0</v>
      </c>
      <c r="AF51" s="75">
        <f>(NOT(AF$14=exit))*IF($E51=1,Rentroll!$P39*'A&amp;R'!$AF$12*Rentroll!$H39,Rentroll!$P39*'A&amp;R'!$AF$11*Rentroll!$H39)*(MONTH($D51)=MONTH(AF$14))*(YEAR($D51)=YEAR(AF$14))*AF$11/unit</f>
        <v>0</v>
      </c>
      <c r="AG51" s="75">
        <f>(NOT(AG$14=exit))*IF($E51=1,Rentroll!$P39*'A&amp;R'!$AF$12*Rentroll!$H39,Rentroll!$P39*'A&amp;R'!$AF$11*Rentroll!$H39)*(MONTH($D51)=MONTH(AG$14))*(YEAR($D51)=YEAR(AG$14))*AG$11/unit</f>
        <v>0</v>
      </c>
      <c r="AH51" s="75">
        <f>(NOT(AH$14=exit))*IF($E51=1,Rentroll!$P39*'A&amp;R'!$AF$12*Rentroll!$H39,Rentroll!$P39*'A&amp;R'!$AF$11*Rentroll!$H39)*(MONTH($D51)=MONTH(AH$14))*(YEAR($D51)=YEAR(AH$14))*AH$11/unit</f>
        <v>0</v>
      </c>
      <c r="AI51" s="75">
        <f>(NOT(AI$14=exit))*IF($E51=1,Rentroll!$P39*'A&amp;R'!$AF$12*Rentroll!$H39,Rentroll!$P39*'A&amp;R'!$AF$11*Rentroll!$H39)*(MONTH($D51)=MONTH(AI$14))*(YEAR($D51)=YEAR(AI$14))*AI$11/unit</f>
        <v>0</v>
      </c>
      <c r="AJ51" s="75">
        <f>(NOT(AJ$14=exit))*IF($E51=1,Rentroll!$P39*'A&amp;R'!$AF$12*Rentroll!$H39,Rentroll!$P39*'A&amp;R'!$AF$11*Rentroll!$H39)*(MONTH($D51)=MONTH(AJ$14))*(YEAR($D51)=YEAR(AJ$14))*AJ$11/unit</f>
        <v>0</v>
      </c>
      <c r="AK51" s="75">
        <f>(NOT(AK$14=exit))*IF($E51=1,Rentroll!$P39*'A&amp;R'!$AF$12*Rentroll!$H39,Rentroll!$P39*'A&amp;R'!$AF$11*Rentroll!$H39)*(MONTH($D51)=MONTH(AK$14))*(YEAR($D51)=YEAR(AK$14))*AK$11/unit</f>
        <v>0</v>
      </c>
      <c r="AL51" s="75">
        <f>(NOT(AL$14=exit))*IF($E51=1,Rentroll!$P39*'A&amp;R'!$AF$12*Rentroll!$H39,Rentroll!$P39*'A&amp;R'!$AF$11*Rentroll!$H39)*(MONTH($D51)=MONTH(AL$14))*(YEAR($D51)=YEAR(AL$14))*AL$11/unit</f>
        <v>0</v>
      </c>
      <c r="AM51" s="75">
        <f>(NOT(AM$14=exit))*IF($E51=1,Rentroll!$P39*'A&amp;R'!$AF$12*Rentroll!$H39,Rentroll!$P39*'A&amp;R'!$AF$11*Rentroll!$H39)*(MONTH($D51)=MONTH(AM$14))*(YEAR($D51)=YEAR(AM$14))*AM$11/unit</f>
        <v>0</v>
      </c>
      <c r="AN51" s="75">
        <f>(NOT(AN$14=exit))*IF($E51=1,Rentroll!$P39*'A&amp;R'!$AF$12*Rentroll!$H39,Rentroll!$P39*'A&amp;R'!$AF$11*Rentroll!$H39)*(MONTH($D51)=MONTH(AN$14))*(YEAR($D51)=YEAR(AN$14))*AN$11/unit</f>
        <v>0</v>
      </c>
      <c r="AO51" s="75">
        <f>(NOT(AO$14=exit))*IF($E51=1,Rentroll!$P39*'A&amp;R'!$AF$12*Rentroll!$H39,Rentroll!$P39*'A&amp;R'!$AF$11*Rentroll!$H39)*(MONTH($D51)=MONTH(AO$14))*(YEAR($D51)=YEAR(AO$14))*AO$11/unit</f>
        <v>0</v>
      </c>
      <c r="AP51" s="75">
        <f>(NOT(AP$14=exit))*IF($E51=1,Rentroll!$P39*'A&amp;R'!$AF$12*Rentroll!$H39,Rentroll!$P39*'A&amp;R'!$AF$11*Rentroll!$H39)*(MONTH($D51)=MONTH(AP$14))*(YEAR($D51)=YEAR(AP$14))*AP$11/unit</f>
        <v>0</v>
      </c>
      <c r="AQ51" s="75">
        <f>(NOT(AQ$14=exit))*IF($E51=1,Rentroll!$P39*'A&amp;R'!$AF$12*Rentroll!$H39,Rentroll!$P39*'A&amp;R'!$AF$11*Rentroll!$H39)*(MONTH($D51)=MONTH(AQ$14))*(YEAR($D51)=YEAR(AQ$14))*AQ$11/unit</f>
        <v>0</v>
      </c>
      <c r="AR51" s="75">
        <f>(NOT(AR$14=exit))*IF($E51=1,Rentroll!$P39*'A&amp;R'!$AF$12*Rentroll!$H39,Rentroll!$P39*'A&amp;R'!$AF$11*Rentroll!$H39)*(MONTH($D51)=MONTH(AR$14))*(YEAR($D51)=YEAR(AR$14))*AR$11/unit</f>
        <v>0</v>
      </c>
      <c r="AS51" s="75">
        <f>(NOT(AS$14=exit))*IF($E51=1,Rentroll!$P39*'A&amp;R'!$AF$12*Rentroll!$H39,Rentroll!$P39*'A&amp;R'!$AF$11*Rentroll!$H39)*(MONTH($D51)=MONTH(AS$14))*(YEAR($D51)=YEAR(AS$14))*AS$11/unit</f>
        <v>0</v>
      </c>
      <c r="AT51" s="75">
        <f>(NOT(AT$14=exit))*IF($E51=1,Rentroll!$P39*'A&amp;R'!$AF$12*Rentroll!$H39,Rentroll!$P39*'A&amp;R'!$AF$11*Rentroll!$H39)*(MONTH($D51)=MONTH(AT$14))*(YEAR($D51)=YEAR(AT$14))*AT$11/unit</f>
        <v>0</v>
      </c>
      <c r="AU51" s="75">
        <f>(NOT(AU$14=exit))*IF($E51=1,Rentroll!$P39*'A&amp;R'!$AF$12*Rentroll!$H39,Rentroll!$P39*'A&amp;R'!$AF$11*Rentroll!$H39)*(MONTH($D51)=MONTH(AU$14))*(YEAR($D51)=YEAR(AU$14))*AU$11/unit</f>
        <v>0</v>
      </c>
      <c r="AV51" s="75">
        <f>(NOT(AV$14=exit))*IF($E51=1,Rentroll!$P39*'A&amp;R'!$AF$12*Rentroll!$H39,Rentroll!$P39*'A&amp;R'!$AF$11*Rentroll!$H39)*(MONTH($D51)=MONTH(AV$14))*(YEAR($D51)=YEAR(AV$14))*AV$11/unit</f>
        <v>0</v>
      </c>
      <c r="AW51" s="75">
        <f>(NOT(AW$14=exit))*IF($E51=1,Rentroll!$P39*'A&amp;R'!$AF$12*Rentroll!$H39,Rentroll!$P39*'A&amp;R'!$AF$11*Rentroll!$H39)*(MONTH($D51)=MONTH(AW$14))*(YEAR($D51)=YEAR(AW$14))*AW$11/unit</f>
        <v>0</v>
      </c>
      <c r="AX51" s="75">
        <f>(NOT(AX$14=exit))*IF($E51=1,Rentroll!$P39*'A&amp;R'!$AF$12*Rentroll!$H39,Rentroll!$P39*'A&amp;R'!$AF$11*Rentroll!$H39)*(MONTH($D51)=MONTH(AX$14))*(YEAR($D51)=YEAR(AX$14))*AX$11/unit</f>
        <v>0</v>
      </c>
      <c r="AY51" s="75">
        <f>(NOT(AY$14=exit))*IF($E51=1,Rentroll!$P39*'A&amp;R'!$AF$12*Rentroll!$H39,Rentroll!$P39*'A&amp;R'!$AF$11*Rentroll!$H39)*(MONTH($D51)=MONTH(AY$14))*(YEAR($D51)=YEAR(AY$14))*AY$11/unit</f>
        <v>0</v>
      </c>
      <c r="AZ51" s="75">
        <f>(NOT(AZ$14=exit))*IF($E51=1,Rentroll!$P39*'A&amp;R'!$AF$12*Rentroll!$H39,Rentroll!$P39*'A&amp;R'!$AF$11*Rentroll!$H39)*(MONTH($D51)=MONTH(AZ$14))*(YEAR($D51)=YEAR(AZ$14))*AZ$11/unit</f>
        <v>0</v>
      </c>
      <c r="BA51" s="75">
        <f>(NOT(BA$14=exit))*IF($E51=1,Rentroll!$P39*'A&amp;R'!$AF$12*Rentroll!$H39,Rentroll!$P39*'A&amp;R'!$AF$11*Rentroll!$H39)*(MONTH($D51)=MONTH(BA$14))*(YEAR($D51)=YEAR(BA$14))*BA$11/unit</f>
        <v>0</v>
      </c>
      <c r="BB51" s="75">
        <f>(NOT(BB$14=exit))*IF($E51=1,Rentroll!$P39*'A&amp;R'!$AF$12*Rentroll!$H39,Rentroll!$P39*'A&amp;R'!$AF$11*Rentroll!$H39)*(MONTH($D51)=MONTH(BB$14))*(YEAR($D51)=YEAR(BB$14))*BB$11/unit</f>
        <v>0</v>
      </c>
      <c r="BC51" s="75">
        <f>(NOT(BC$14=exit))*IF($E51=1,Rentroll!$P39*'A&amp;R'!$AF$12*Rentroll!$H39,Rentroll!$P39*'A&amp;R'!$AF$11*Rentroll!$H39)*(MONTH($D51)=MONTH(BC$14))*(YEAR($D51)=YEAR(BC$14))*BC$11/unit</f>
        <v>0</v>
      </c>
      <c r="BD51" s="75">
        <f>(NOT(BD$14=exit))*IF($E51=1,Rentroll!$P39*'A&amp;R'!$AF$12*Rentroll!$H39,Rentroll!$P39*'A&amp;R'!$AF$11*Rentroll!$H39)*(MONTH($D51)=MONTH(BD$14))*(YEAR($D51)=YEAR(BD$14))*BD$11/unit</f>
        <v>0</v>
      </c>
      <c r="BE51" s="75">
        <f>(NOT(BE$14=exit))*IF($E51=1,Rentroll!$P39*'A&amp;R'!$AF$12*Rentroll!$H39,Rentroll!$P39*'A&amp;R'!$AF$11*Rentroll!$H39)*(MONTH($D51)=MONTH(BE$14))*(YEAR($D51)=YEAR(BE$14))*BE$11/unit</f>
        <v>0</v>
      </c>
      <c r="BF51" s="75">
        <f>(NOT(BF$14=exit))*IF($E51=1,Rentroll!$P39*'A&amp;R'!$AF$12*Rentroll!$H39,Rentroll!$P39*'A&amp;R'!$AF$11*Rentroll!$H39)*(MONTH($D51)=MONTH(BF$14))*(YEAR($D51)=YEAR(BF$14))*BF$11/unit</f>
        <v>0</v>
      </c>
      <c r="BG51" s="75">
        <f>(NOT(BG$14=exit))*IF($E51=1,Rentroll!$P39*'A&amp;R'!$AF$12*Rentroll!$H39,Rentroll!$P39*'A&amp;R'!$AF$11*Rentroll!$H39)*(MONTH($D51)=MONTH(BG$14))*(YEAR($D51)=YEAR(BG$14))*BG$11/unit</f>
        <v>0</v>
      </c>
      <c r="BH51" s="75">
        <f>(NOT(BH$14=exit))*IF($E51=1,Rentroll!$P39*'A&amp;R'!$AF$12*Rentroll!$H39,Rentroll!$P39*'A&amp;R'!$AF$11*Rentroll!$H39)*(MONTH($D51)=MONTH(BH$14))*(YEAR($D51)=YEAR(BH$14))*BH$11/unit</f>
        <v>0</v>
      </c>
      <c r="BI51" s="75">
        <f>(NOT(BI$14=exit))*IF($E51=1,Rentroll!$P39*'A&amp;R'!$AF$12*Rentroll!$H39,Rentroll!$P39*'A&amp;R'!$AF$11*Rentroll!$H39)*(MONTH($D51)=MONTH(BI$14))*(YEAR($D51)=YEAR(BI$14))*BI$11/unit</f>
        <v>0</v>
      </c>
      <c r="BJ51" s="75">
        <f>(NOT(BJ$14=exit))*IF($E51=1,Rentroll!$P39*'A&amp;R'!$AF$12*Rentroll!$H39,Rentroll!$P39*'A&amp;R'!$AF$11*Rentroll!$H39)*(MONTH($D51)=MONTH(BJ$14))*(YEAR($D51)=YEAR(BJ$14))*BJ$11/unit</f>
        <v>0</v>
      </c>
      <c r="BK51" s="75">
        <f>(NOT(BK$14=exit))*IF($E51=1,Rentroll!$P39*'A&amp;R'!$AF$12*Rentroll!$H39,Rentroll!$P39*'A&amp;R'!$AF$11*Rentroll!$H39)*(MONTH($D51)=MONTH(BK$14))*(YEAR($D51)=YEAR(BK$14))*BK$11/unit</f>
        <v>0</v>
      </c>
      <c r="BL51" s="75">
        <f>(NOT(BL$14=exit))*IF($E51=1,Rentroll!$P39*'A&amp;R'!$AF$12*Rentroll!$H39,Rentroll!$P39*'A&amp;R'!$AF$11*Rentroll!$H39)*(MONTH($D51)=MONTH(BL$14))*(YEAR($D51)=YEAR(BL$14))*BL$11/unit</f>
        <v>0</v>
      </c>
      <c r="BM51" s="75">
        <f>(NOT(BM$14=exit))*IF($E51=1,Rentroll!$P39*'A&amp;R'!$AF$12*Rentroll!$H39,Rentroll!$P39*'A&amp;R'!$AF$11*Rentroll!$H39)*(MONTH($D51)=MONTH(BM$14))*(YEAR($D51)=YEAR(BM$14))*BM$11/unit</f>
        <v>0</v>
      </c>
      <c r="BN51" s="75">
        <f>(NOT(BN$14=exit))*IF($E51=1,Rentroll!$P39*'A&amp;R'!$AF$12*Rentroll!$H39,Rentroll!$P39*'A&amp;R'!$AF$11*Rentroll!$H39)*(MONTH($D51)=MONTH(BN$14))*(YEAR($D51)=YEAR(BN$14))*BN$11/unit</f>
        <v>0</v>
      </c>
      <c r="BO51" s="75">
        <f>(NOT(BO$14=exit))*IF($E51=1,Rentroll!$P39*'A&amp;R'!$AF$12*Rentroll!$H39,Rentroll!$P39*'A&amp;R'!$AF$11*Rentroll!$H39)*(MONTH($D51)=MONTH(BO$14))*(YEAR($D51)=YEAR(BO$14))*BO$11/unit</f>
        <v>0</v>
      </c>
      <c r="BP51" s="75">
        <f>(NOT(BP$14=exit))*IF($E51=1,Rentroll!$P39*'A&amp;R'!$AF$12*Rentroll!$H39,Rentroll!$P39*'A&amp;R'!$AF$11*Rentroll!$H39)*(MONTH($D51)=MONTH(BP$14))*(YEAR($D51)=YEAR(BP$14))*BP$11/unit</f>
        <v>0</v>
      </c>
      <c r="BQ51" s="75">
        <f>(NOT(BQ$14=exit))*IF($E51=1,Rentroll!$P39*'A&amp;R'!$AF$12*Rentroll!$H39,Rentroll!$P39*'A&amp;R'!$AF$11*Rentroll!$H39)*(MONTH($D51)=MONTH(BQ$14))*(YEAR($D51)=YEAR(BQ$14))*BQ$11/unit</f>
        <v>0</v>
      </c>
      <c r="BR51" s="75">
        <f>(NOT(BR$14=exit))*IF($E51=1,Rentroll!$P39*'A&amp;R'!$AF$12*Rentroll!$H39,Rentroll!$P39*'A&amp;R'!$AF$11*Rentroll!$H39)*(MONTH($D51)=MONTH(BR$14))*(YEAR($D51)=YEAR(BR$14))*BR$11/unit</f>
        <v>0</v>
      </c>
      <c r="BS51" s="75">
        <f>(NOT(BS$14=exit))*IF($E51=1,Rentroll!$P39*'A&amp;R'!$AF$12*Rentroll!$H39,Rentroll!$P39*'A&amp;R'!$AF$11*Rentroll!$H39)*(MONTH($D51)=MONTH(BS$14))*(YEAR($D51)=YEAR(BS$14))*BS$11/unit</f>
        <v>0</v>
      </c>
      <c r="BT51" s="75">
        <f>(NOT(BT$14=exit))*IF($E51=1,Rentroll!$P39*'A&amp;R'!$AF$12*Rentroll!$H39,Rentroll!$P39*'A&amp;R'!$AF$11*Rentroll!$H39)*(MONTH($D51)=MONTH(BT$14))*(YEAR($D51)=YEAR(BT$14))*BT$11/unit</f>
        <v>0</v>
      </c>
      <c r="BU51" s="75">
        <f>(NOT(BU$14=exit))*IF($E51=1,Rentroll!$P39*'A&amp;R'!$AF$12*Rentroll!$H39,Rentroll!$P39*'A&amp;R'!$AF$11*Rentroll!$H39)*(MONTH($D51)=MONTH(BU$14))*(YEAR($D51)=YEAR(BU$14))*BU$11/unit</f>
        <v>0</v>
      </c>
      <c r="BV51" s="75">
        <f>(NOT(BV$14=exit))*IF($E51=1,Rentroll!$P39*'A&amp;R'!$AF$12*Rentroll!$H39,Rentroll!$P39*'A&amp;R'!$AF$11*Rentroll!$H39)*(MONTH($D51)=MONTH(BV$14))*(YEAR($D51)=YEAR(BV$14))*BV$11/unit</f>
        <v>0</v>
      </c>
      <c r="BW51" s="75">
        <f>(NOT(BW$14=exit))*IF($E51=1,Rentroll!$P39*'A&amp;R'!$AF$12*Rentroll!$H39,Rentroll!$P39*'A&amp;R'!$AF$11*Rentroll!$H39)*(MONTH($D51)=MONTH(BW$14))*(YEAR($D51)=YEAR(BW$14))*BW$11/unit</f>
        <v>0</v>
      </c>
      <c r="BX51" s="75">
        <f>(NOT(BX$14=exit))*IF($E51=1,Rentroll!$P39*'A&amp;R'!$AF$12*Rentroll!$H39,Rentroll!$P39*'A&amp;R'!$AF$11*Rentroll!$H39)*(MONTH($D51)=MONTH(BX$14))*(YEAR($D51)=YEAR(BX$14))*BX$11/unit</f>
        <v>0</v>
      </c>
      <c r="BY51" s="75">
        <f>(NOT(BY$14=exit))*IF($E51=1,Rentroll!$P39*'A&amp;R'!$AF$12*Rentroll!$H39,Rentroll!$P39*'A&amp;R'!$AF$11*Rentroll!$H39)*(MONTH($D51)=MONTH(BY$14))*(YEAR($D51)=YEAR(BY$14))*BY$11/unit</f>
        <v>0</v>
      </c>
      <c r="BZ51" s="75">
        <f>(NOT(BZ$14=exit))*IF($E51=1,Rentroll!$P39*'A&amp;R'!$AF$12*Rentroll!$H39,Rentroll!$P39*'A&amp;R'!$AF$11*Rentroll!$H39)*(MONTH($D51)=MONTH(BZ$14))*(YEAR($D51)=YEAR(BZ$14))*BZ$11/unit</f>
        <v>0</v>
      </c>
      <c r="CA51" s="75">
        <f>(NOT(CA$14=exit))*IF($E51=1,Rentroll!$P39*'A&amp;R'!$AF$12*Rentroll!$H39,Rentroll!$P39*'A&amp;R'!$AF$11*Rentroll!$H39)*(MONTH($D51)=MONTH(CA$14))*(YEAR($D51)=YEAR(CA$14))*CA$11/unit</f>
        <v>0</v>
      </c>
      <c r="CB51" s="75">
        <f>(NOT(CB$14=exit))*IF($E51=1,Rentroll!$P39*'A&amp;R'!$AF$12*Rentroll!$H39,Rentroll!$P39*'A&amp;R'!$AF$11*Rentroll!$H39)*(MONTH($D51)=MONTH(CB$14))*(YEAR($D51)=YEAR(CB$14))*CB$11/unit</f>
        <v>0</v>
      </c>
      <c r="CC51" s="75">
        <f>(NOT(CC$14=exit))*IF($E51=1,Rentroll!$P39*'A&amp;R'!$AF$12*Rentroll!$H39,Rentroll!$P39*'A&amp;R'!$AF$11*Rentroll!$H39)*(MONTH($D51)=MONTH(CC$14))*(YEAR($D51)=YEAR(CC$14))*CC$11/unit</f>
        <v>0</v>
      </c>
      <c r="CD51" s="75">
        <f>(NOT(CD$14=exit))*IF($E51=1,Rentroll!$P39*'A&amp;R'!$AF$12*Rentroll!$H39,Rentroll!$P39*'A&amp;R'!$AF$11*Rentroll!$H39)*(MONTH($D51)=MONTH(CD$14))*(YEAR($D51)=YEAR(CD$14))*CD$11/unit</f>
        <v>0</v>
      </c>
      <c r="CE51" s="75">
        <f>(NOT(CE$14=exit))*IF($E51=1,Rentroll!$P39*'A&amp;R'!$AF$12*Rentroll!$H39,Rentroll!$P39*'A&amp;R'!$AF$11*Rentroll!$H39)*(MONTH($D51)=MONTH(CE$14))*(YEAR($D51)=YEAR(CE$14))*CE$11/unit</f>
        <v>0</v>
      </c>
      <c r="CF51" s="75">
        <f>(NOT(CF$14=exit))*IF($E51=1,Rentroll!$P39*'A&amp;R'!$AF$12*Rentroll!$H39,Rentroll!$P39*'A&amp;R'!$AF$11*Rentroll!$H39)*(MONTH($D51)=MONTH(CF$14))*(YEAR($D51)=YEAR(CF$14))*CF$11/unit</f>
        <v>0</v>
      </c>
      <c r="CG51" s="75">
        <f>(NOT(CG$14=exit))*IF($E51=1,Rentroll!$P39*'A&amp;R'!$AF$12*Rentroll!$H39,Rentroll!$P39*'A&amp;R'!$AF$11*Rentroll!$H39)*(MONTH($D51)=MONTH(CG$14))*(YEAR($D51)=YEAR(CG$14))*CG$11/unit</f>
        <v>0</v>
      </c>
      <c r="CH51" s="75">
        <f>(NOT(CH$14=exit))*IF($E51=1,Rentroll!$P39*'A&amp;R'!$AF$12*Rentroll!$H39,Rentroll!$P39*'A&amp;R'!$AF$11*Rentroll!$H39)*(MONTH($D51)=MONTH(CH$14))*(YEAR($D51)=YEAR(CH$14))*CH$11/unit</f>
        <v>0</v>
      </c>
      <c r="CI51" s="75">
        <f>(NOT(CI$14=exit))*IF($E51=1,Rentroll!$P39*'A&amp;R'!$AF$12*Rentroll!$H39,Rentroll!$P39*'A&amp;R'!$AF$11*Rentroll!$H39)*(MONTH($D51)=MONTH(CI$14))*(YEAR($D51)=YEAR(CI$14))*CI$11/unit</f>
        <v>0</v>
      </c>
      <c r="CJ51" s="75">
        <f>(NOT(CJ$14=exit))*IF($E51=1,Rentroll!$P39*'A&amp;R'!$AF$12*Rentroll!$H39,Rentroll!$P39*'A&amp;R'!$AF$11*Rentroll!$H39)*(MONTH($D51)=MONTH(CJ$14))*(YEAR($D51)=YEAR(CJ$14))*CJ$11/unit</f>
        <v>0</v>
      </c>
      <c r="CK51" s="75">
        <f>(NOT(CK$14=exit))*IF($E51=1,Rentroll!$P39*'A&amp;R'!$AF$12*Rentroll!$H39,Rentroll!$P39*'A&amp;R'!$AF$11*Rentroll!$H39)*(MONTH($D51)=MONTH(CK$14))*(YEAR($D51)=YEAR(CK$14))*CK$11/unit</f>
        <v>0</v>
      </c>
      <c r="CL51" s="75">
        <f>(NOT(CL$14=exit))*IF($E51=1,Rentroll!$P39*'A&amp;R'!$AF$12*Rentroll!$H39,Rentroll!$P39*'A&amp;R'!$AF$11*Rentroll!$H39)*(MONTH($D51)=MONTH(CL$14))*(YEAR($D51)=YEAR(CL$14))*CL$11/unit</f>
        <v>0</v>
      </c>
      <c r="CM51" s="75">
        <f>(NOT(CM$14=exit))*IF($E51=1,Rentroll!$P39*'A&amp;R'!$AF$12*Rentroll!$H39,Rentroll!$P39*'A&amp;R'!$AF$11*Rentroll!$H39)*(MONTH($D51)=MONTH(CM$14))*(YEAR($D51)=YEAR(CM$14))*CM$11/unit</f>
        <v>0</v>
      </c>
      <c r="CN51" s="75">
        <f>(NOT(CN$14=exit))*IF($E51=1,Rentroll!$P39*'A&amp;R'!$AF$12*Rentroll!$H39,Rentroll!$P39*'A&amp;R'!$AF$11*Rentroll!$H39)*(MONTH($D51)=MONTH(CN$14))*(YEAR($D51)=YEAR(CN$14))*CN$11/unit</f>
        <v>0</v>
      </c>
      <c r="CO51" s="75">
        <f>(NOT(CO$14=exit))*IF($E51=1,Rentroll!$P39*'A&amp;R'!$AF$12*Rentroll!$H39,Rentroll!$P39*'A&amp;R'!$AF$11*Rentroll!$H39)*(MONTH($D51)=MONTH(CO$14))*(YEAR($D51)=YEAR(CO$14))*CO$11/unit</f>
        <v>0</v>
      </c>
      <c r="CP51" s="75">
        <f>(NOT(CP$14=exit))*IF($E51=1,Rentroll!$P39*'A&amp;R'!$AF$12*Rentroll!$H39,Rentroll!$P39*'A&amp;R'!$AF$11*Rentroll!$H39)*(MONTH($D51)=MONTH(CP$14))*(YEAR($D51)=YEAR(CP$14))*CP$11/unit</f>
        <v>0</v>
      </c>
      <c r="CQ51" s="75">
        <f>(NOT(CQ$14=exit))*IF($E51=1,Rentroll!$P39*'A&amp;R'!$AF$12*Rentroll!$H39,Rentroll!$P39*'A&amp;R'!$AF$11*Rentroll!$H39)*(MONTH($D51)=MONTH(CQ$14))*(YEAR($D51)=YEAR(CQ$14))*CQ$11/unit</f>
        <v>0</v>
      </c>
      <c r="CR51" s="75">
        <f>(NOT(CR$14=exit))*IF($E51=1,Rentroll!$P39*'A&amp;R'!$AF$12*Rentroll!$H39,Rentroll!$P39*'A&amp;R'!$AF$11*Rentroll!$H39)*(MONTH($D51)=MONTH(CR$14))*(YEAR($D51)=YEAR(CR$14))*CR$11/unit</f>
        <v>0</v>
      </c>
      <c r="CS51" s="75">
        <f>(NOT(CS$14=exit))*IF($E51=1,Rentroll!$P39*'A&amp;R'!$AF$12*Rentroll!$H39,Rentroll!$P39*'A&amp;R'!$AF$11*Rentroll!$H39)*(MONTH($D51)=MONTH(CS$14))*(YEAR($D51)=YEAR(CS$14))*CS$11/unit</f>
        <v>0</v>
      </c>
      <c r="CT51" s="75">
        <f>(NOT(CT$14=exit))*IF($E51=1,Rentroll!$P39*'A&amp;R'!$AF$12*Rentroll!$H39,Rentroll!$P39*'A&amp;R'!$AF$11*Rentroll!$H39)*(MONTH($D51)=MONTH(CT$14))*(YEAR($D51)=YEAR(CT$14))*CT$11/unit</f>
        <v>0</v>
      </c>
      <c r="CU51" s="75">
        <f>(NOT(CU$14=exit))*IF($E51=1,Rentroll!$P39*'A&amp;R'!$AF$12*Rentroll!$H39,Rentroll!$P39*'A&amp;R'!$AF$11*Rentroll!$H39)*(MONTH($D51)=MONTH(CU$14))*(YEAR($D51)=YEAR(CU$14))*CU$11/unit</f>
        <v>0</v>
      </c>
      <c r="CV51" s="75">
        <f>(NOT(CV$14=exit))*IF($E51=1,Rentroll!$P39*'A&amp;R'!$AF$12*Rentroll!$H39,Rentroll!$P39*'A&amp;R'!$AF$11*Rentroll!$H39)*(MONTH($D51)=MONTH(CV$14))*(YEAR($D51)=YEAR(CV$14))*CV$11/unit</f>
        <v>0</v>
      </c>
      <c r="CW51" s="75">
        <f>(NOT(CW$14=exit))*IF($E51=1,Rentroll!$P39*'A&amp;R'!$AF$12*Rentroll!$H39,Rentroll!$P39*'A&amp;R'!$AF$11*Rentroll!$H39)*(MONTH($D51)=MONTH(CW$14))*(YEAR($D51)=YEAR(CW$14))*CW$11/unit</f>
        <v>0</v>
      </c>
      <c r="CX51" s="75">
        <f>(NOT(CX$14=exit))*IF($E51=1,Rentroll!$P39*'A&amp;R'!$AF$12*Rentroll!$H39,Rentroll!$P39*'A&amp;R'!$AF$11*Rentroll!$H39)*(MONTH($D51)=MONTH(CX$14))*(YEAR($D51)=YEAR(CX$14))*CX$11/unit</f>
        <v>0</v>
      </c>
      <c r="CY51" s="75">
        <f>(NOT(CY$14=exit))*IF($E51=1,Rentroll!$P39*'A&amp;R'!$AF$12*Rentroll!$H39,Rentroll!$P39*'A&amp;R'!$AF$11*Rentroll!$H39)*(MONTH($D51)=MONTH(CY$14))*(YEAR($D51)=YEAR(CY$14))*CY$11/unit</f>
        <v>0</v>
      </c>
      <c r="CZ51" s="75">
        <f>(NOT(CZ$14=exit))*IF($E51=1,Rentroll!$P39*'A&amp;R'!$AF$12*Rentroll!$H39,Rentroll!$P39*'A&amp;R'!$AF$11*Rentroll!$H39)*(MONTH($D51)=MONTH(CZ$14))*(YEAR($D51)=YEAR(CZ$14))*CZ$11/unit</f>
        <v>0</v>
      </c>
      <c r="DA51" s="75">
        <f>(NOT(DA$14=exit))*IF($E51=1,Rentroll!$P39*'A&amp;R'!$AF$12*Rentroll!$H39,Rentroll!$P39*'A&amp;R'!$AF$11*Rentroll!$H39)*(MONTH($D51)=MONTH(DA$14))*(YEAR($D51)=YEAR(DA$14))*DA$11/unit</f>
        <v>0</v>
      </c>
      <c r="DB51" s="75">
        <f>(NOT(DB$14=exit))*IF($E51=1,Rentroll!$P39*'A&amp;R'!$AF$12*Rentroll!$H39,Rentroll!$P39*'A&amp;R'!$AF$11*Rentroll!$H39)*(MONTH($D51)=MONTH(DB$14))*(YEAR($D51)=YEAR(DB$14))*DB$11/unit</f>
        <v>0</v>
      </c>
    </row>
    <row r="52" spans="3:106">
      <c r="C52" s="27">
        <f>Rentroll!$C$40</f>
        <v>14</v>
      </c>
      <c r="D52" s="80">
        <f>VLOOKUP($C52,Rentroll!$C$37:$Z$60,9,FALSE)</f>
        <v>45869</v>
      </c>
      <c r="E52" s="150">
        <f>VLOOKUP($C52,Rentroll!$C$37:$Z$60,24,FALSE)</f>
        <v>1</v>
      </c>
      <c r="F52" s="75">
        <f t="shared" si="44"/>
        <v>83.075187724375013</v>
      </c>
      <c r="G52" s="75"/>
      <c r="H52" s="75">
        <f>(NOT(H$14=exit))*IF($E52=1,Rentroll!$P40*'A&amp;R'!$AF$12*Rentroll!$H40,Rentroll!$P40*'A&amp;R'!$AF$11*Rentroll!$H40)*(MONTH($D52)=MONTH(H$14))*(YEAR($D52)=YEAR(H$14))*H$11/unit</f>
        <v>0</v>
      </c>
      <c r="I52" s="75">
        <f>(NOT(I$14=exit))*IF($E52=1,Rentroll!$P40*'A&amp;R'!$AF$12*Rentroll!$H40,Rentroll!$P40*'A&amp;R'!$AF$11*Rentroll!$H40)*(MONTH($D52)=MONTH(I$14))*(YEAR($D52)=YEAR(I$14))*I$11/unit</f>
        <v>0</v>
      </c>
      <c r="J52" s="75">
        <f>(NOT(J$14=exit))*IF($E52=1,Rentroll!$P40*'A&amp;R'!$AF$12*Rentroll!$H40,Rentroll!$P40*'A&amp;R'!$AF$11*Rentroll!$H40)*(MONTH($D52)=MONTH(J$14))*(YEAR($D52)=YEAR(J$14))*J$11/unit</f>
        <v>0</v>
      </c>
      <c r="K52" s="75">
        <f>(NOT(K$14=exit))*IF($E52=1,Rentroll!$P40*'A&amp;R'!$AF$12*Rentroll!$H40,Rentroll!$P40*'A&amp;R'!$AF$11*Rentroll!$H40)*(MONTH($D52)=MONTH(K$14))*(YEAR($D52)=YEAR(K$14))*K$11/unit</f>
        <v>0</v>
      </c>
      <c r="L52" s="75">
        <f>(NOT(L$14=exit))*IF($E52=1,Rentroll!$P40*'A&amp;R'!$AF$12*Rentroll!$H40,Rentroll!$P40*'A&amp;R'!$AF$11*Rentroll!$H40)*(MONTH($D52)=MONTH(L$14))*(YEAR($D52)=YEAR(L$14))*L$11/unit</f>
        <v>0</v>
      </c>
      <c r="M52" s="75">
        <f>(NOT(M$14=exit))*IF($E52=1,Rentroll!$P40*'A&amp;R'!$AF$12*Rentroll!$H40,Rentroll!$P40*'A&amp;R'!$AF$11*Rentroll!$H40)*(MONTH($D52)=MONTH(M$14))*(YEAR($D52)=YEAR(M$14))*M$11/unit</f>
        <v>0</v>
      </c>
      <c r="N52" s="75">
        <f>(NOT(N$14=exit))*IF($E52=1,Rentroll!$P40*'A&amp;R'!$AF$12*Rentroll!$H40,Rentroll!$P40*'A&amp;R'!$AF$11*Rentroll!$H40)*(MONTH($D52)=MONTH(N$14))*(YEAR($D52)=YEAR(N$14))*N$11/unit</f>
        <v>83.075187724375013</v>
      </c>
      <c r="O52" s="75">
        <f>(NOT(O$14=exit))*IF($E52=1,Rentroll!$P40*'A&amp;R'!$AF$12*Rentroll!$H40,Rentroll!$P40*'A&amp;R'!$AF$11*Rentroll!$H40)*(MONTH($D52)=MONTH(O$14))*(YEAR($D52)=YEAR(O$14))*O$11/unit</f>
        <v>0</v>
      </c>
      <c r="P52" s="75">
        <f>(NOT(P$14=exit))*IF($E52=1,Rentroll!$P40*'A&amp;R'!$AF$12*Rentroll!$H40,Rentroll!$P40*'A&amp;R'!$AF$11*Rentroll!$H40)*(MONTH($D52)=MONTH(P$14))*(YEAR($D52)=YEAR(P$14))*P$11/unit</f>
        <v>0</v>
      </c>
      <c r="Q52" s="75">
        <f>(NOT(Q$14=exit))*IF($E52=1,Rentroll!$P40*'A&amp;R'!$AF$12*Rentroll!$H40,Rentroll!$P40*'A&amp;R'!$AF$11*Rentroll!$H40)*(MONTH($D52)=MONTH(Q$14))*(YEAR($D52)=YEAR(Q$14))*Q$11/unit</f>
        <v>0</v>
      </c>
      <c r="R52" s="75">
        <f>(NOT(R$14=exit))*IF($E52=1,Rentroll!$P40*'A&amp;R'!$AF$12*Rentroll!$H40,Rentroll!$P40*'A&amp;R'!$AF$11*Rentroll!$H40)*(MONTH($D52)=MONTH(R$14))*(YEAR($D52)=YEAR(R$14))*R$11/unit</f>
        <v>0</v>
      </c>
      <c r="S52" s="75">
        <f>(NOT(S$14=exit))*IF($E52=1,Rentroll!$P40*'A&amp;R'!$AF$12*Rentroll!$H40,Rentroll!$P40*'A&amp;R'!$AF$11*Rentroll!$H40)*(MONTH($D52)=MONTH(S$14))*(YEAR($D52)=YEAR(S$14))*S$11/unit</f>
        <v>0</v>
      </c>
      <c r="T52" s="75">
        <f>(NOT(T$14=exit))*IF($E52=1,Rentroll!$P40*'A&amp;R'!$AF$12*Rentroll!$H40,Rentroll!$P40*'A&amp;R'!$AF$11*Rentroll!$H40)*(MONTH($D52)=MONTH(T$14))*(YEAR($D52)=YEAR(T$14))*T$11/unit</f>
        <v>0</v>
      </c>
      <c r="U52" s="75">
        <f>(NOT(U$14=exit))*IF($E52=1,Rentroll!$P40*'A&amp;R'!$AF$12*Rentroll!$H40,Rentroll!$P40*'A&amp;R'!$AF$11*Rentroll!$H40)*(MONTH($D52)=MONTH(U$14))*(YEAR($D52)=YEAR(U$14))*U$11/unit</f>
        <v>0</v>
      </c>
      <c r="V52" s="75">
        <f>(NOT(V$14=exit))*IF($E52=1,Rentroll!$P40*'A&amp;R'!$AF$12*Rentroll!$H40,Rentroll!$P40*'A&amp;R'!$AF$11*Rentroll!$H40)*(MONTH($D52)=MONTH(V$14))*(YEAR($D52)=YEAR(V$14))*V$11/unit</f>
        <v>0</v>
      </c>
      <c r="W52" s="75">
        <f>(NOT(W$14=exit))*IF($E52=1,Rentroll!$P40*'A&amp;R'!$AF$12*Rentroll!$H40,Rentroll!$P40*'A&amp;R'!$AF$11*Rentroll!$H40)*(MONTH($D52)=MONTH(W$14))*(YEAR($D52)=YEAR(W$14))*W$11/unit</f>
        <v>0</v>
      </c>
      <c r="X52" s="75">
        <f>(NOT(X$14=exit))*IF($E52=1,Rentroll!$P40*'A&amp;R'!$AF$12*Rentroll!$H40,Rentroll!$P40*'A&amp;R'!$AF$11*Rentroll!$H40)*(MONTH($D52)=MONTH(X$14))*(YEAR($D52)=YEAR(X$14))*X$11/unit</f>
        <v>0</v>
      </c>
      <c r="Y52" s="75">
        <f>(NOT(Y$14=exit))*IF($E52=1,Rentroll!$P40*'A&amp;R'!$AF$12*Rentroll!$H40,Rentroll!$P40*'A&amp;R'!$AF$11*Rentroll!$H40)*(MONTH($D52)=MONTH(Y$14))*(YEAR($D52)=YEAR(Y$14))*Y$11/unit</f>
        <v>0</v>
      </c>
      <c r="Z52" s="75">
        <f>(NOT(Z$14=exit))*IF($E52=1,Rentroll!$P40*'A&amp;R'!$AF$12*Rentroll!$H40,Rentroll!$P40*'A&amp;R'!$AF$11*Rentroll!$H40)*(MONTH($D52)=MONTH(Z$14))*(YEAR($D52)=YEAR(Z$14))*Z$11/unit</f>
        <v>0</v>
      </c>
      <c r="AA52" s="75">
        <f>(NOT(AA$14=exit))*IF($E52=1,Rentroll!$P40*'A&amp;R'!$AF$12*Rentroll!$H40,Rentroll!$P40*'A&amp;R'!$AF$11*Rentroll!$H40)*(MONTH($D52)=MONTH(AA$14))*(YEAR($D52)=YEAR(AA$14))*AA$11/unit</f>
        <v>0</v>
      </c>
      <c r="AB52" s="75">
        <f>(NOT(AB$14=exit))*IF($E52=1,Rentroll!$P40*'A&amp;R'!$AF$12*Rentroll!$H40,Rentroll!$P40*'A&amp;R'!$AF$11*Rentroll!$H40)*(MONTH($D52)=MONTH(AB$14))*(YEAR($D52)=YEAR(AB$14))*AB$11/unit</f>
        <v>0</v>
      </c>
      <c r="AC52" s="75">
        <f>(NOT(AC$14=exit))*IF($E52=1,Rentroll!$P40*'A&amp;R'!$AF$12*Rentroll!$H40,Rentroll!$P40*'A&amp;R'!$AF$11*Rentroll!$H40)*(MONTH($D52)=MONTH(AC$14))*(YEAR($D52)=YEAR(AC$14))*AC$11/unit</f>
        <v>0</v>
      </c>
      <c r="AD52" s="75">
        <f>(NOT(AD$14=exit))*IF($E52=1,Rentroll!$P40*'A&amp;R'!$AF$12*Rentroll!$H40,Rentroll!$P40*'A&amp;R'!$AF$11*Rentroll!$H40)*(MONTH($D52)=MONTH(AD$14))*(YEAR($D52)=YEAR(AD$14))*AD$11/unit</f>
        <v>0</v>
      </c>
      <c r="AE52" s="75">
        <f>(NOT(AE$14=exit))*IF($E52=1,Rentroll!$P40*'A&amp;R'!$AF$12*Rentroll!$H40,Rentroll!$P40*'A&amp;R'!$AF$11*Rentroll!$H40)*(MONTH($D52)=MONTH(AE$14))*(YEAR($D52)=YEAR(AE$14))*AE$11/unit</f>
        <v>0</v>
      </c>
      <c r="AF52" s="75">
        <f>(NOT(AF$14=exit))*IF($E52=1,Rentroll!$P40*'A&amp;R'!$AF$12*Rentroll!$H40,Rentroll!$P40*'A&amp;R'!$AF$11*Rentroll!$H40)*(MONTH($D52)=MONTH(AF$14))*(YEAR($D52)=YEAR(AF$14))*AF$11/unit</f>
        <v>0</v>
      </c>
      <c r="AG52" s="75">
        <f>(NOT(AG$14=exit))*IF($E52=1,Rentroll!$P40*'A&amp;R'!$AF$12*Rentroll!$H40,Rentroll!$P40*'A&amp;R'!$AF$11*Rentroll!$H40)*(MONTH($D52)=MONTH(AG$14))*(YEAR($D52)=YEAR(AG$14))*AG$11/unit</f>
        <v>0</v>
      </c>
      <c r="AH52" s="75">
        <f>(NOT(AH$14=exit))*IF($E52=1,Rentroll!$P40*'A&amp;R'!$AF$12*Rentroll!$H40,Rentroll!$P40*'A&amp;R'!$AF$11*Rentroll!$H40)*(MONTH($D52)=MONTH(AH$14))*(YEAR($D52)=YEAR(AH$14))*AH$11/unit</f>
        <v>0</v>
      </c>
      <c r="AI52" s="75">
        <f>(NOT(AI$14=exit))*IF($E52=1,Rentroll!$P40*'A&amp;R'!$AF$12*Rentroll!$H40,Rentroll!$P40*'A&amp;R'!$AF$11*Rentroll!$H40)*(MONTH($D52)=MONTH(AI$14))*(YEAR($D52)=YEAR(AI$14))*AI$11/unit</f>
        <v>0</v>
      </c>
      <c r="AJ52" s="75">
        <f>(NOT(AJ$14=exit))*IF($E52=1,Rentroll!$P40*'A&amp;R'!$AF$12*Rentroll!$H40,Rentroll!$P40*'A&amp;R'!$AF$11*Rentroll!$H40)*(MONTH($D52)=MONTH(AJ$14))*(YEAR($D52)=YEAR(AJ$14))*AJ$11/unit</f>
        <v>0</v>
      </c>
      <c r="AK52" s="75">
        <f>(NOT(AK$14=exit))*IF($E52=1,Rentroll!$P40*'A&amp;R'!$AF$12*Rentroll!$H40,Rentroll!$P40*'A&amp;R'!$AF$11*Rentroll!$H40)*(MONTH($D52)=MONTH(AK$14))*(YEAR($D52)=YEAR(AK$14))*AK$11/unit</f>
        <v>0</v>
      </c>
      <c r="AL52" s="75">
        <f>(NOT(AL$14=exit))*IF($E52=1,Rentroll!$P40*'A&amp;R'!$AF$12*Rentroll!$H40,Rentroll!$P40*'A&amp;R'!$AF$11*Rentroll!$H40)*(MONTH($D52)=MONTH(AL$14))*(YEAR($D52)=YEAR(AL$14))*AL$11/unit</f>
        <v>0</v>
      </c>
      <c r="AM52" s="75">
        <f>(NOT(AM$14=exit))*IF($E52=1,Rentroll!$P40*'A&amp;R'!$AF$12*Rentroll!$H40,Rentroll!$P40*'A&amp;R'!$AF$11*Rentroll!$H40)*(MONTH($D52)=MONTH(AM$14))*(YEAR($D52)=YEAR(AM$14))*AM$11/unit</f>
        <v>0</v>
      </c>
      <c r="AN52" s="75">
        <f>(NOT(AN$14=exit))*IF($E52=1,Rentroll!$P40*'A&amp;R'!$AF$12*Rentroll!$H40,Rentroll!$P40*'A&amp;R'!$AF$11*Rentroll!$H40)*(MONTH($D52)=MONTH(AN$14))*(YEAR($D52)=YEAR(AN$14))*AN$11/unit</f>
        <v>0</v>
      </c>
      <c r="AO52" s="75">
        <f>(NOT(AO$14=exit))*IF($E52=1,Rentroll!$P40*'A&amp;R'!$AF$12*Rentroll!$H40,Rentroll!$P40*'A&amp;R'!$AF$11*Rentroll!$H40)*(MONTH($D52)=MONTH(AO$14))*(YEAR($D52)=YEAR(AO$14))*AO$11/unit</f>
        <v>0</v>
      </c>
      <c r="AP52" s="75">
        <f>(NOT(AP$14=exit))*IF($E52=1,Rentroll!$P40*'A&amp;R'!$AF$12*Rentroll!$H40,Rentroll!$P40*'A&amp;R'!$AF$11*Rentroll!$H40)*(MONTH($D52)=MONTH(AP$14))*(YEAR($D52)=YEAR(AP$14))*AP$11/unit</f>
        <v>0</v>
      </c>
      <c r="AQ52" s="75">
        <f>(NOT(AQ$14=exit))*IF($E52=1,Rentroll!$P40*'A&amp;R'!$AF$12*Rentroll!$H40,Rentroll!$P40*'A&amp;R'!$AF$11*Rentroll!$H40)*(MONTH($D52)=MONTH(AQ$14))*(YEAR($D52)=YEAR(AQ$14))*AQ$11/unit</f>
        <v>0</v>
      </c>
      <c r="AR52" s="75">
        <f>(NOT(AR$14=exit))*IF($E52=1,Rentroll!$P40*'A&amp;R'!$AF$12*Rentroll!$H40,Rentroll!$P40*'A&amp;R'!$AF$11*Rentroll!$H40)*(MONTH($D52)=MONTH(AR$14))*(YEAR($D52)=YEAR(AR$14))*AR$11/unit</f>
        <v>0</v>
      </c>
      <c r="AS52" s="75">
        <f>(NOT(AS$14=exit))*IF($E52=1,Rentroll!$P40*'A&amp;R'!$AF$12*Rentroll!$H40,Rentroll!$P40*'A&amp;R'!$AF$11*Rentroll!$H40)*(MONTH($D52)=MONTH(AS$14))*(YEAR($D52)=YEAR(AS$14))*AS$11/unit</f>
        <v>0</v>
      </c>
      <c r="AT52" s="75">
        <f>(NOT(AT$14=exit))*IF($E52=1,Rentroll!$P40*'A&amp;R'!$AF$12*Rentroll!$H40,Rentroll!$P40*'A&amp;R'!$AF$11*Rentroll!$H40)*(MONTH($D52)=MONTH(AT$14))*(YEAR($D52)=YEAR(AT$14))*AT$11/unit</f>
        <v>0</v>
      </c>
      <c r="AU52" s="75">
        <f>(NOT(AU$14=exit))*IF($E52=1,Rentroll!$P40*'A&amp;R'!$AF$12*Rentroll!$H40,Rentroll!$P40*'A&amp;R'!$AF$11*Rentroll!$H40)*(MONTH($D52)=MONTH(AU$14))*(YEAR($D52)=YEAR(AU$14))*AU$11/unit</f>
        <v>0</v>
      </c>
      <c r="AV52" s="75">
        <f>(NOT(AV$14=exit))*IF($E52=1,Rentroll!$P40*'A&amp;R'!$AF$12*Rentroll!$H40,Rentroll!$P40*'A&amp;R'!$AF$11*Rentroll!$H40)*(MONTH($D52)=MONTH(AV$14))*(YEAR($D52)=YEAR(AV$14))*AV$11/unit</f>
        <v>0</v>
      </c>
      <c r="AW52" s="75">
        <f>(NOT(AW$14=exit))*IF($E52=1,Rentroll!$P40*'A&amp;R'!$AF$12*Rentroll!$H40,Rentroll!$P40*'A&amp;R'!$AF$11*Rentroll!$H40)*(MONTH($D52)=MONTH(AW$14))*(YEAR($D52)=YEAR(AW$14))*AW$11/unit</f>
        <v>0</v>
      </c>
      <c r="AX52" s="75">
        <f>(NOT(AX$14=exit))*IF($E52=1,Rentroll!$P40*'A&amp;R'!$AF$12*Rentroll!$H40,Rentroll!$P40*'A&amp;R'!$AF$11*Rentroll!$H40)*(MONTH($D52)=MONTH(AX$14))*(YEAR($D52)=YEAR(AX$14))*AX$11/unit</f>
        <v>0</v>
      </c>
      <c r="AY52" s="75">
        <f>(NOT(AY$14=exit))*IF($E52=1,Rentroll!$P40*'A&amp;R'!$AF$12*Rentroll!$H40,Rentroll!$P40*'A&amp;R'!$AF$11*Rentroll!$H40)*(MONTH($D52)=MONTH(AY$14))*(YEAR($D52)=YEAR(AY$14))*AY$11/unit</f>
        <v>0</v>
      </c>
      <c r="AZ52" s="75">
        <f>(NOT(AZ$14=exit))*IF($E52=1,Rentroll!$P40*'A&amp;R'!$AF$12*Rentroll!$H40,Rentroll!$P40*'A&amp;R'!$AF$11*Rentroll!$H40)*(MONTH($D52)=MONTH(AZ$14))*(YEAR($D52)=YEAR(AZ$14))*AZ$11/unit</f>
        <v>0</v>
      </c>
      <c r="BA52" s="75">
        <f>(NOT(BA$14=exit))*IF($E52=1,Rentroll!$P40*'A&amp;R'!$AF$12*Rentroll!$H40,Rentroll!$P40*'A&amp;R'!$AF$11*Rentroll!$H40)*(MONTH($D52)=MONTH(BA$14))*(YEAR($D52)=YEAR(BA$14))*BA$11/unit</f>
        <v>0</v>
      </c>
      <c r="BB52" s="75">
        <f>(NOT(BB$14=exit))*IF($E52=1,Rentroll!$P40*'A&amp;R'!$AF$12*Rentroll!$H40,Rentroll!$P40*'A&amp;R'!$AF$11*Rentroll!$H40)*(MONTH($D52)=MONTH(BB$14))*(YEAR($D52)=YEAR(BB$14))*BB$11/unit</f>
        <v>0</v>
      </c>
      <c r="BC52" s="75">
        <f>(NOT(BC$14=exit))*IF($E52=1,Rentroll!$P40*'A&amp;R'!$AF$12*Rentroll!$H40,Rentroll!$P40*'A&amp;R'!$AF$11*Rentroll!$H40)*(MONTH($D52)=MONTH(BC$14))*(YEAR($D52)=YEAR(BC$14))*BC$11/unit</f>
        <v>0</v>
      </c>
      <c r="BD52" s="75">
        <f>(NOT(BD$14=exit))*IF($E52=1,Rentroll!$P40*'A&amp;R'!$AF$12*Rentroll!$H40,Rentroll!$P40*'A&amp;R'!$AF$11*Rentroll!$H40)*(MONTH($D52)=MONTH(BD$14))*(YEAR($D52)=YEAR(BD$14))*BD$11/unit</f>
        <v>0</v>
      </c>
      <c r="BE52" s="75">
        <f>(NOT(BE$14=exit))*IF($E52=1,Rentroll!$P40*'A&amp;R'!$AF$12*Rentroll!$H40,Rentroll!$P40*'A&amp;R'!$AF$11*Rentroll!$H40)*(MONTH($D52)=MONTH(BE$14))*(YEAR($D52)=YEAR(BE$14))*BE$11/unit</f>
        <v>0</v>
      </c>
      <c r="BF52" s="75">
        <f>(NOT(BF$14=exit))*IF($E52=1,Rentroll!$P40*'A&amp;R'!$AF$12*Rentroll!$H40,Rentroll!$P40*'A&amp;R'!$AF$11*Rentroll!$H40)*(MONTH($D52)=MONTH(BF$14))*(YEAR($D52)=YEAR(BF$14))*BF$11/unit</f>
        <v>0</v>
      </c>
      <c r="BG52" s="75">
        <f>(NOT(BG$14=exit))*IF($E52=1,Rentroll!$P40*'A&amp;R'!$AF$12*Rentroll!$H40,Rentroll!$P40*'A&amp;R'!$AF$11*Rentroll!$H40)*(MONTH($D52)=MONTH(BG$14))*(YEAR($D52)=YEAR(BG$14))*BG$11/unit</f>
        <v>0</v>
      </c>
      <c r="BH52" s="75">
        <f>(NOT(BH$14=exit))*IF($E52=1,Rentroll!$P40*'A&amp;R'!$AF$12*Rentroll!$H40,Rentroll!$P40*'A&amp;R'!$AF$11*Rentroll!$H40)*(MONTH($D52)=MONTH(BH$14))*(YEAR($D52)=YEAR(BH$14))*BH$11/unit</f>
        <v>0</v>
      </c>
      <c r="BI52" s="75">
        <f>(NOT(BI$14=exit))*IF($E52=1,Rentroll!$P40*'A&amp;R'!$AF$12*Rentroll!$H40,Rentroll!$P40*'A&amp;R'!$AF$11*Rentroll!$H40)*(MONTH($D52)=MONTH(BI$14))*(YEAR($D52)=YEAR(BI$14))*BI$11/unit</f>
        <v>0</v>
      </c>
      <c r="BJ52" s="75">
        <f>(NOT(BJ$14=exit))*IF($E52=1,Rentroll!$P40*'A&amp;R'!$AF$12*Rentroll!$H40,Rentroll!$P40*'A&amp;R'!$AF$11*Rentroll!$H40)*(MONTH($D52)=MONTH(BJ$14))*(YEAR($D52)=YEAR(BJ$14))*BJ$11/unit</f>
        <v>0</v>
      </c>
      <c r="BK52" s="75">
        <f>(NOT(BK$14=exit))*IF($E52=1,Rentroll!$P40*'A&amp;R'!$AF$12*Rentroll!$H40,Rentroll!$P40*'A&amp;R'!$AF$11*Rentroll!$H40)*(MONTH($D52)=MONTH(BK$14))*(YEAR($D52)=YEAR(BK$14))*BK$11/unit</f>
        <v>0</v>
      </c>
      <c r="BL52" s="75">
        <f>(NOT(BL$14=exit))*IF($E52=1,Rentroll!$P40*'A&amp;R'!$AF$12*Rentroll!$H40,Rentroll!$P40*'A&amp;R'!$AF$11*Rentroll!$H40)*(MONTH($D52)=MONTH(BL$14))*(YEAR($D52)=YEAR(BL$14))*BL$11/unit</f>
        <v>0</v>
      </c>
      <c r="BM52" s="75">
        <f>(NOT(BM$14=exit))*IF($E52=1,Rentroll!$P40*'A&amp;R'!$AF$12*Rentroll!$H40,Rentroll!$P40*'A&amp;R'!$AF$11*Rentroll!$H40)*(MONTH($D52)=MONTH(BM$14))*(YEAR($D52)=YEAR(BM$14))*BM$11/unit</f>
        <v>0</v>
      </c>
      <c r="BN52" s="75">
        <f>(NOT(BN$14=exit))*IF($E52=1,Rentroll!$P40*'A&amp;R'!$AF$12*Rentroll!$H40,Rentroll!$P40*'A&amp;R'!$AF$11*Rentroll!$H40)*(MONTH($D52)=MONTH(BN$14))*(YEAR($D52)=YEAR(BN$14))*BN$11/unit</f>
        <v>0</v>
      </c>
      <c r="BO52" s="75">
        <f>(NOT(BO$14=exit))*IF($E52=1,Rentroll!$P40*'A&amp;R'!$AF$12*Rentroll!$H40,Rentroll!$P40*'A&amp;R'!$AF$11*Rentroll!$H40)*(MONTH($D52)=MONTH(BO$14))*(YEAR($D52)=YEAR(BO$14))*BO$11/unit</f>
        <v>0</v>
      </c>
      <c r="BP52" s="75">
        <f>(NOT(BP$14=exit))*IF($E52=1,Rentroll!$P40*'A&amp;R'!$AF$12*Rentroll!$H40,Rentroll!$P40*'A&amp;R'!$AF$11*Rentroll!$H40)*(MONTH($D52)=MONTH(BP$14))*(YEAR($D52)=YEAR(BP$14))*BP$11/unit</f>
        <v>0</v>
      </c>
      <c r="BQ52" s="75">
        <f>(NOT(BQ$14=exit))*IF($E52=1,Rentroll!$P40*'A&amp;R'!$AF$12*Rentroll!$H40,Rentroll!$P40*'A&amp;R'!$AF$11*Rentroll!$H40)*(MONTH($D52)=MONTH(BQ$14))*(YEAR($D52)=YEAR(BQ$14))*BQ$11/unit</f>
        <v>0</v>
      </c>
      <c r="BR52" s="75">
        <f>(NOT(BR$14=exit))*IF($E52=1,Rentroll!$P40*'A&amp;R'!$AF$12*Rentroll!$H40,Rentroll!$P40*'A&amp;R'!$AF$11*Rentroll!$H40)*(MONTH($D52)=MONTH(BR$14))*(YEAR($D52)=YEAR(BR$14))*BR$11/unit</f>
        <v>0</v>
      </c>
      <c r="BS52" s="75">
        <f>(NOT(BS$14=exit))*IF($E52=1,Rentroll!$P40*'A&amp;R'!$AF$12*Rentroll!$H40,Rentroll!$P40*'A&amp;R'!$AF$11*Rentroll!$H40)*(MONTH($D52)=MONTH(BS$14))*(YEAR($D52)=YEAR(BS$14))*BS$11/unit</f>
        <v>0</v>
      </c>
      <c r="BT52" s="75">
        <f>(NOT(BT$14=exit))*IF($E52=1,Rentroll!$P40*'A&amp;R'!$AF$12*Rentroll!$H40,Rentroll!$P40*'A&amp;R'!$AF$11*Rentroll!$H40)*(MONTH($D52)=MONTH(BT$14))*(YEAR($D52)=YEAR(BT$14))*BT$11/unit</f>
        <v>0</v>
      </c>
      <c r="BU52" s="75">
        <f>(NOT(BU$14=exit))*IF($E52=1,Rentroll!$P40*'A&amp;R'!$AF$12*Rentroll!$H40,Rentroll!$P40*'A&amp;R'!$AF$11*Rentroll!$H40)*(MONTH($D52)=MONTH(BU$14))*(YEAR($D52)=YEAR(BU$14))*BU$11/unit</f>
        <v>0</v>
      </c>
      <c r="BV52" s="75">
        <f>(NOT(BV$14=exit))*IF($E52=1,Rentroll!$P40*'A&amp;R'!$AF$12*Rentroll!$H40,Rentroll!$P40*'A&amp;R'!$AF$11*Rentroll!$H40)*(MONTH($D52)=MONTH(BV$14))*(YEAR($D52)=YEAR(BV$14))*BV$11/unit</f>
        <v>0</v>
      </c>
      <c r="BW52" s="75">
        <f>(NOT(BW$14=exit))*IF($E52=1,Rentroll!$P40*'A&amp;R'!$AF$12*Rentroll!$H40,Rentroll!$P40*'A&amp;R'!$AF$11*Rentroll!$H40)*(MONTH($D52)=MONTH(BW$14))*(YEAR($D52)=YEAR(BW$14))*BW$11/unit</f>
        <v>0</v>
      </c>
      <c r="BX52" s="75">
        <f>(NOT(BX$14=exit))*IF($E52=1,Rentroll!$P40*'A&amp;R'!$AF$12*Rentroll!$H40,Rentroll!$P40*'A&amp;R'!$AF$11*Rentroll!$H40)*(MONTH($D52)=MONTH(BX$14))*(YEAR($D52)=YEAR(BX$14))*BX$11/unit</f>
        <v>0</v>
      </c>
      <c r="BY52" s="75">
        <f>(NOT(BY$14=exit))*IF($E52=1,Rentroll!$P40*'A&amp;R'!$AF$12*Rentroll!$H40,Rentroll!$P40*'A&amp;R'!$AF$11*Rentroll!$H40)*(MONTH($D52)=MONTH(BY$14))*(YEAR($D52)=YEAR(BY$14))*BY$11/unit</f>
        <v>0</v>
      </c>
      <c r="BZ52" s="75">
        <f>(NOT(BZ$14=exit))*IF($E52=1,Rentroll!$P40*'A&amp;R'!$AF$12*Rentroll!$H40,Rentroll!$P40*'A&amp;R'!$AF$11*Rentroll!$H40)*(MONTH($D52)=MONTH(BZ$14))*(YEAR($D52)=YEAR(BZ$14))*BZ$11/unit</f>
        <v>0</v>
      </c>
      <c r="CA52" s="75">
        <f>(NOT(CA$14=exit))*IF($E52=1,Rentroll!$P40*'A&amp;R'!$AF$12*Rentroll!$H40,Rentroll!$P40*'A&amp;R'!$AF$11*Rentroll!$H40)*(MONTH($D52)=MONTH(CA$14))*(YEAR($D52)=YEAR(CA$14))*CA$11/unit</f>
        <v>0</v>
      </c>
      <c r="CB52" s="75">
        <f>(NOT(CB$14=exit))*IF($E52=1,Rentroll!$P40*'A&amp;R'!$AF$12*Rentroll!$H40,Rentroll!$P40*'A&amp;R'!$AF$11*Rentroll!$H40)*(MONTH($D52)=MONTH(CB$14))*(YEAR($D52)=YEAR(CB$14))*CB$11/unit</f>
        <v>0</v>
      </c>
      <c r="CC52" s="75">
        <f>(NOT(CC$14=exit))*IF($E52=1,Rentroll!$P40*'A&amp;R'!$AF$12*Rentroll!$H40,Rentroll!$P40*'A&amp;R'!$AF$11*Rentroll!$H40)*(MONTH($D52)=MONTH(CC$14))*(YEAR($D52)=YEAR(CC$14))*CC$11/unit</f>
        <v>0</v>
      </c>
      <c r="CD52" s="75">
        <f>(NOT(CD$14=exit))*IF($E52=1,Rentroll!$P40*'A&amp;R'!$AF$12*Rentroll!$H40,Rentroll!$P40*'A&amp;R'!$AF$11*Rentroll!$H40)*(MONTH($D52)=MONTH(CD$14))*(YEAR($D52)=YEAR(CD$14))*CD$11/unit</f>
        <v>0</v>
      </c>
      <c r="CE52" s="75">
        <f>(NOT(CE$14=exit))*IF($E52=1,Rentroll!$P40*'A&amp;R'!$AF$12*Rentroll!$H40,Rentroll!$P40*'A&amp;R'!$AF$11*Rentroll!$H40)*(MONTH($D52)=MONTH(CE$14))*(YEAR($D52)=YEAR(CE$14))*CE$11/unit</f>
        <v>0</v>
      </c>
      <c r="CF52" s="75">
        <f>(NOT(CF$14=exit))*IF($E52=1,Rentroll!$P40*'A&amp;R'!$AF$12*Rentroll!$H40,Rentroll!$P40*'A&amp;R'!$AF$11*Rentroll!$H40)*(MONTH($D52)=MONTH(CF$14))*(YEAR($D52)=YEAR(CF$14))*CF$11/unit</f>
        <v>0</v>
      </c>
      <c r="CG52" s="75">
        <f>(NOT(CG$14=exit))*IF($E52=1,Rentroll!$P40*'A&amp;R'!$AF$12*Rentroll!$H40,Rentroll!$P40*'A&amp;R'!$AF$11*Rentroll!$H40)*(MONTH($D52)=MONTH(CG$14))*(YEAR($D52)=YEAR(CG$14))*CG$11/unit</f>
        <v>0</v>
      </c>
      <c r="CH52" s="75">
        <f>(NOT(CH$14=exit))*IF($E52=1,Rentroll!$P40*'A&amp;R'!$AF$12*Rentroll!$H40,Rentroll!$P40*'A&amp;R'!$AF$11*Rentroll!$H40)*(MONTH($D52)=MONTH(CH$14))*(YEAR($D52)=YEAR(CH$14))*CH$11/unit</f>
        <v>0</v>
      </c>
      <c r="CI52" s="75">
        <f>(NOT(CI$14=exit))*IF($E52=1,Rentroll!$P40*'A&amp;R'!$AF$12*Rentroll!$H40,Rentroll!$P40*'A&amp;R'!$AF$11*Rentroll!$H40)*(MONTH($D52)=MONTH(CI$14))*(YEAR($D52)=YEAR(CI$14))*CI$11/unit</f>
        <v>0</v>
      </c>
      <c r="CJ52" s="75">
        <f>(NOT(CJ$14=exit))*IF($E52=1,Rentroll!$P40*'A&amp;R'!$AF$12*Rentroll!$H40,Rentroll!$P40*'A&amp;R'!$AF$11*Rentroll!$H40)*(MONTH($D52)=MONTH(CJ$14))*(YEAR($D52)=YEAR(CJ$14))*CJ$11/unit</f>
        <v>0</v>
      </c>
      <c r="CK52" s="75">
        <f>(NOT(CK$14=exit))*IF($E52=1,Rentroll!$P40*'A&amp;R'!$AF$12*Rentroll!$H40,Rentroll!$P40*'A&amp;R'!$AF$11*Rentroll!$H40)*(MONTH($D52)=MONTH(CK$14))*(YEAR($D52)=YEAR(CK$14))*CK$11/unit</f>
        <v>0</v>
      </c>
      <c r="CL52" s="75">
        <f>(NOT(CL$14=exit))*IF($E52=1,Rentroll!$P40*'A&amp;R'!$AF$12*Rentroll!$H40,Rentroll!$P40*'A&amp;R'!$AF$11*Rentroll!$H40)*(MONTH($D52)=MONTH(CL$14))*(YEAR($D52)=YEAR(CL$14))*CL$11/unit</f>
        <v>0</v>
      </c>
      <c r="CM52" s="75">
        <f>(NOT(CM$14=exit))*IF($E52=1,Rentroll!$P40*'A&amp;R'!$AF$12*Rentroll!$H40,Rentroll!$P40*'A&amp;R'!$AF$11*Rentroll!$H40)*(MONTH($D52)=MONTH(CM$14))*(YEAR($D52)=YEAR(CM$14))*CM$11/unit</f>
        <v>0</v>
      </c>
      <c r="CN52" s="75">
        <f>(NOT(CN$14=exit))*IF($E52=1,Rentroll!$P40*'A&amp;R'!$AF$12*Rentroll!$H40,Rentroll!$P40*'A&amp;R'!$AF$11*Rentroll!$H40)*(MONTH($D52)=MONTH(CN$14))*(YEAR($D52)=YEAR(CN$14))*CN$11/unit</f>
        <v>0</v>
      </c>
      <c r="CO52" s="75">
        <f>(NOT(CO$14=exit))*IF($E52=1,Rentroll!$P40*'A&amp;R'!$AF$12*Rentroll!$H40,Rentroll!$P40*'A&amp;R'!$AF$11*Rentroll!$H40)*(MONTH($D52)=MONTH(CO$14))*(YEAR($D52)=YEAR(CO$14))*CO$11/unit</f>
        <v>0</v>
      </c>
      <c r="CP52" s="75">
        <f>(NOT(CP$14=exit))*IF($E52=1,Rentroll!$P40*'A&amp;R'!$AF$12*Rentroll!$H40,Rentroll!$P40*'A&amp;R'!$AF$11*Rentroll!$H40)*(MONTH($D52)=MONTH(CP$14))*(YEAR($D52)=YEAR(CP$14))*CP$11/unit</f>
        <v>0</v>
      </c>
      <c r="CQ52" s="75">
        <f>(NOT(CQ$14=exit))*IF($E52=1,Rentroll!$P40*'A&amp;R'!$AF$12*Rentroll!$H40,Rentroll!$P40*'A&amp;R'!$AF$11*Rentroll!$H40)*(MONTH($D52)=MONTH(CQ$14))*(YEAR($D52)=YEAR(CQ$14))*CQ$11/unit</f>
        <v>0</v>
      </c>
      <c r="CR52" s="75">
        <f>(NOT(CR$14=exit))*IF($E52=1,Rentroll!$P40*'A&amp;R'!$AF$12*Rentroll!$H40,Rentroll!$P40*'A&amp;R'!$AF$11*Rentroll!$H40)*(MONTH($D52)=MONTH(CR$14))*(YEAR($D52)=YEAR(CR$14))*CR$11/unit</f>
        <v>0</v>
      </c>
      <c r="CS52" s="75">
        <f>(NOT(CS$14=exit))*IF($E52=1,Rentroll!$P40*'A&amp;R'!$AF$12*Rentroll!$H40,Rentroll!$P40*'A&amp;R'!$AF$11*Rentroll!$H40)*(MONTH($D52)=MONTH(CS$14))*(YEAR($D52)=YEAR(CS$14))*CS$11/unit</f>
        <v>0</v>
      </c>
      <c r="CT52" s="75">
        <f>(NOT(CT$14=exit))*IF($E52=1,Rentroll!$P40*'A&amp;R'!$AF$12*Rentroll!$H40,Rentroll!$P40*'A&amp;R'!$AF$11*Rentroll!$H40)*(MONTH($D52)=MONTH(CT$14))*(YEAR($D52)=YEAR(CT$14))*CT$11/unit</f>
        <v>0</v>
      </c>
      <c r="CU52" s="75">
        <f>(NOT(CU$14=exit))*IF($E52=1,Rentroll!$P40*'A&amp;R'!$AF$12*Rentroll!$H40,Rentroll!$P40*'A&amp;R'!$AF$11*Rentroll!$H40)*(MONTH($D52)=MONTH(CU$14))*(YEAR($D52)=YEAR(CU$14))*CU$11/unit</f>
        <v>0</v>
      </c>
      <c r="CV52" s="75">
        <f>(NOT(CV$14=exit))*IF($E52=1,Rentroll!$P40*'A&amp;R'!$AF$12*Rentroll!$H40,Rentroll!$P40*'A&amp;R'!$AF$11*Rentroll!$H40)*(MONTH($D52)=MONTH(CV$14))*(YEAR($D52)=YEAR(CV$14))*CV$11/unit</f>
        <v>0</v>
      </c>
      <c r="CW52" s="75">
        <f>(NOT(CW$14=exit))*IF($E52=1,Rentroll!$P40*'A&amp;R'!$AF$12*Rentroll!$H40,Rentroll!$P40*'A&amp;R'!$AF$11*Rentroll!$H40)*(MONTH($D52)=MONTH(CW$14))*(YEAR($D52)=YEAR(CW$14))*CW$11/unit</f>
        <v>0</v>
      </c>
      <c r="CX52" s="75">
        <f>(NOT(CX$14=exit))*IF($E52=1,Rentroll!$P40*'A&amp;R'!$AF$12*Rentroll!$H40,Rentroll!$P40*'A&amp;R'!$AF$11*Rentroll!$H40)*(MONTH($D52)=MONTH(CX$14))*(YEAR($D52)=YEAR(CX$14))*CX$11/unit</f>
        <v>0</v>
      </c>
      <c r="CY52" s="75">
        <f>(NOT(CY$14=exit))*IF($E52=1,Rentroll!$P40*'A&amp;R'!$AF$12*Rentroll!$H40,Rentroll!$P40*'A&amp;R'!$AF$11*Rentroll!$H40)*(MONTH($D52)=MONTH(CY$14))*(YEAR($D52)=YEAR(CY$14))*CY$11/unit</f>
        <v>0</v>
      </c>
      <c r="CZ52" s="75">
        <f>(NOT(CZ$14=exit))*IF($E52=1,Rentroll!$P40*'A&amp;R'!$AF$12*Rentroll!$H40,Rentroll!$P40*'A&amp;R'!$AF$11*Rentroll!$H40)*(MONTH($D52)=MONTH(CZ$14))*(YEAR($D52)=YEAR(CZ$14))*CZ$11/unit</f>
        <v>0</v>
      </c>
      <c r="DA52" s="75">
        <f>(NOT(DA$14=exit))*IF($E52=1,Rentroll!$P40*'A&amp;R'!$AF$12*Rentroll!$H40,Rentroll!$P40*'A&amp;R'!$AF$11*Rentroll!$H40)*(MONTH($D52)=MONTH(DA$14))*(YEAR($D52)=YEAR(DA$14))*DA$11/unit</f>
        <v>0</v>
      </c>
      <c r="DB52" s="75">
        <f>(NOT(DB$14=exit))*IF($E52=1,Rentroll!$P40*'A&amp;R'!$AF$12*Rentroll!$H40,Rentroll!$P40*'A&amp;R'!$AF$11*Rentroll!$H40)*(MONTH($D52)=MONTH(DB$14))*(YEAR($D52)=YEAR(DB$14))*DB$11/unit</f>
        <v>0</v>
      </c>
    </row>
    <row r="53" spans="3:106">
      <c r="C53" s="27">
        <f>Rentroll!$C$41</f>
        <v>13</v>
      </c>
      <c r="D53" s="80">
        <f>VLOOKUP($C53,Rentroll!$C$37:$Z$60,9,FALSE)</f>
        <v>45869</v>
      </c>
      <c r="E53" s="150">
        <f>VLOOKUP($C53,Rentroll!$C$37:$Z$60,24,FALSE)</f>
        <v>1</v>
      </c>
      <c r="F53" s="75">
        <f t="shared" si="44"/>
        <v>83.075187724375013</v>
      </c>
      <c r="G53" s="75"/>
      <c r="H53" s="75">
        <f>(NOT(H$14=exit))*IF($E53=1,Rentroll!$P41*'A&amp;R'!$AF$12*Rentroll!$H41,Rentroll!$P41*'A&amp;R'!$AF$11*Rentroll!$H41)*(MONTH($D53)=MONTH(H$14))*(YEAR($D53)=YEAR(H$14))*H$11/unit</f>
        <v>0</v>
      </c>
      <c r="I53" s="75">
        <f>(NOT(I$14=exit))*IF($E53=1,Rentroll!$P41*'A&amp;R'!$AF$12*Rentroll!$H41,Rentroll!$P41*'A&amp;R'!$AF$11*Rentroll!$H41)*(MONTH($D53)=MONTH(I$14))*(YEAR($D53)=YEAR(I$14))*I$11/unit</f>
        <v>0</v>
      </c>
      <c r="J53" s="75">
        <f>(NOT(J$14=exit))*IF($E53=1,Rentroll!$P41*'A&amp;R'!$AF$12*Rentroll!$H41,Rentroll!$P41*'A&amp;R'!$AF$11*Rentroll!$H41)*(MONTH($D53)=MONTH(J$14))*(YEAR($D53)=YEAR(J$14))*J$11/unit</f>
        <v>0</v>
      </c>
      <c r="K53" s="75">
        <f>(NOT(K$14=exit))*IF($E53=1,Rentroll!$P41*'A&amp;R'!$AF$12*Rentroll!$H41,Rentroll!$P41*'A&amp;R'!$AF$11*Rentroll!$H41)*(MONTH($D53)=MONTH(K$14))*(YEAR($D53)=YEAR(K$14))*K$11/unit</f>
        <v>0</v>
      </c>
      <c r="L53" s="75">
        <f>(NOT(L$14=exit))*IF($E53=1,Rentroll!$P41*'A&amp;R'!$AF$12*Rentroll!$H41,Rentroll!$P41*'A&amp;R'!$AF$11*Rentroll!$H41)*(MONTH($D53)=MONTH(L$14))*(YEAR($D53)=YEAR(L$14))*L$11/unit</f>
        <v>0</v>
      </c>
      <c r="M53" s="75">
        <f>(NOT(M$14=exit))*IF($E53=1,Rentroll!$P41*'A&amp;R'!$AF$12*Rentroll!$H41,Rentroll!$P41*'A&amp;R'!$AF$11*Rentroll!$H41)*(MONTH($D53)=MONTH(M$14))*(YEAR($D53)=YEAR(M$14))*M$11/unit</f>
        <v>0</v>
      </c>
      <c r="N53" s="75">
        <f>(NOT(N$14=exit))*IF($E53=1,Rentroll!$P41*'A&amp;R'!$AF$12*Rentroll!$H41,Rentroll!$P41*'A&amp;R'!$AF$11*Rentroll!$H41)*(MONTH($D53)=MONTH(N$14))*(YEAR($D53)=YEAR(N$14))*N$11/unit</f>
        <v>83.075187724375013</v>
      </c>
      <c r="O53" s="75">
        <f>(NOT(O$14=exit))*IF($E53=1,Rentroll!$P41*'A&amp;R'!$AF$12*Rentroll!$H41,Rentroll!$P41*'A&amp;R'!$AF$11*Rentroll!$H41)*(MONTH($D53)=MONTH(O$14))*(YEAR($D53)=YEAR(O$14))*O$11/unit</f>
        <v>0</v>
      </c>
      <c r="P53" s="75">
        <f>(NOT(P$14=exit))*IF($E53=1,Rentroll!$P41*'A&amp;R'!$AF$12*Rentroll!$H41,Rentroll!$P41*'A&amp;R'!$AF$11*Rentroll!$H41)*(MONTH($D53)=MONTH(P$14))*(YEAR($D53)=YEAR(P$14))*P$11/unit</f>
        <v>0</v>
      </c>
      <c r="Q53" s="75">
        <f>(NOT(Q$14=exit))*IF($E53=1,Rentroll!$P41*'A&amp;R'!$AF$12*Rentroll!$H41,Rentroll!$P41*'A&amp;R'!$AF$11*Rentroll!$H41)*(MONTH($D53)=MONTH(Q$14))*(YEAR($D53)=YEAR(Q$14))*Q$11/unit</f>
        <v>0</v>
      </c>
      <c r="R53" s="75">
        <f>(NOT(R$14=exit))*IF($E53=1,Rentroll!$P41*'A&amp;R'!$AF$12*Rentroll!$H41,Rentroll!$P41*'A&amp;R'!$AF$11*Rentroll!$H41)*(MONTH($D53)=MONTH(R$14))*(YEAR($D53)=YEAR(R$14))*R$11/unit</f>
        <v>0</v>
      </c>
      <c r="S53" s="75">
        <f>(NOT(S$14=exit))*IF($E53=1,Rentroll!$P41*'A&amp;R'!$AF$12*Rentroll!$H41,Rentroll!$P41*'A&amp;R'!$AF$11*Rentroll!$H41)*(MONTH($D53)=MONTH(S$14))*(YEAR($D53)=YEAR(S$14))*S$11/unit</f>
        <v>0</v>
      </c>
      <c r="T53" s="75">
        <f>(NOT(T$14=exit))*IF($E53=1,Rentroll!$P41*'A&amp;R'!$AF$12*Rentroll!$H41,Rentroll!$P41*'A&amp;R'!$AF$11*Rentroll!$H41)*(MONTH($D53)=MONTH(T$14))*(YEAR($D53)=YEAR(T$14))*T$11/unit</f>
        <v>0</v>
      </c>
      <c r="U53" s="75">
        <f>(NOT(U$14=exit))*IF($E53=1,Rentroll!$P41*'A&amp;R'!$AF$12*Rentroll!$H41,Rentroll!$P41*'A&amp;R'!$AF$11*Rentroll!$H41)*(MONTH($D53)=MONTH(U$14))*(YEAR($D53)=YEAR(U$14))*U$11/unit</f>
        <v>0</v>
      </c>
      <c r="V53" s="75">
        <f>(NOT(V$14=exit))*IF($E53=1,Rentroll!$P41*'A&amp;R'!$AF$12*Rentroll!$H41,Rentroll!$P41*'A&amp;R'!$AF$11*Rentroll!$H41)*(MONTH($D53)=MONTH(V$14))*(YEAR($D53)=YEAR(V$14))*V$11/unit</f>
        <v>0</v>
      </c>
      <c r="W53" s="75">
        <f>(NOT(W$14=exit))*IF($E53=1,Rentroll!$P41*'A&amp;R'!$AF$12*Rentroll!$H41,Rentroll!$P41*'A&amp;R'!$AF$11*Rentroll!$H41)*(MONTH($D53)=MONTH(W$14))*(YEAR($D53)=YEAR(W$14))*W$11/unit</f>
        <v>0</v>
      </c>
      <c r="X53" s="75">
        <f>(NOT(X$14=exit))*IF($E53=1,Rentroll!$P41*'A&amp;R'!$AF$12*Rentroll!$H41,Rentroll!$P41*'A&amp;R'!$AF$11*Rentroll!$H41)*(MONTH($D53)=MONTH(X$14))*(YEAR($D53)=YEAR(X$14))*X$11/unit</f>
        <v>0</v>
      </c>
      <c r="Y53" s="75">
        <f>(NOT(Y$14=exit))*IF($E53=1,Rentroll!$P41*'A&amp;R'!$AF$12*Rentroll!$H41,Rentroll!$P41*'A&amp;R'!$AF$11*Rentroll!$H41)*(MONTH($D53)=MONTH(Y$14))*(YEAR($D53)=YEAR(Y$14))*Y$11/unit</f>
        <v>0</v>
      </c>
      <c r="Z53" s="75">
        <f>(NOT(Z$14=exit))*IF($E53=1,Rentroll!$P41*'A&amp;R'!$AF$12*Rentroll!$H41,Rentroll!$P41*'A&amp;R'!$AF$11*Rentroll!$H41)*(MONTH($D53)=MONTH(Z$14))*(YEAR($D53)=YEAR(Z$14))*Z$11/unit</f>
        <v>0</v>
      </c>
      <c r="AA53" s="75">
        <f>(NOT(AA$14=exit))*IF($E53=1,Rentroll!$P41*'A&amp;R'!$AF$12*Rentroll!$H41,Rentroll!$P41*'A&amp;R'!$AF$11*Rentroll!$H41)*(MONTH($D53)=MONTH(AA$14))*(YEAR($D53)=YEAR(AA$14))*AA$11/unit</f>
        <v>0</v>
      </c>
      <c r="AB53" s="75">
        <f>(NOT(AB$14=exit))*IF($E53=1,Rentroll!$P41*'A&amp;R'!$AF$12*Rentroll!$H41,Rentroll!$P41*'A&amp;R'!$AF$11*Rentroll!$H41)*(MONTH($D53)=MONTH(AB$14))*(YEAR($D53)=YEAR(AB$14))*AB$11/unit</f>
        <v>0</v>
      </c>
      <c r="AC53" s="75">
        <f>(NOT(AC$14=exit))*IF($E53=1,Rentroll!$P41*'A&amp;R'!$AF$12*Rentroll!$H41,Rentroll!$P41*'A&amp;R'!$AF$11*Rentroll!$H41)*(MONTH($D53)=MONTH(AC$14))*(YEAR($D53)=YEAR(AC$14))*AC$11/unit</f>
        <v>0</v>
      </c>
      <c r="AD53" s="75">
        <f>(NOT(AD$14=exit))*IF($E53=1,Rentroll!$P41*'A&amp;R'!$AF$12*Rentroll!$H41,Rentroll!$P41*'A&amp;R'!$AF$11*Rentroll!$H41)*(MONTH($D53)=MONTH(AD$14))*(YEAR($D53)=YEAR(AD$14))*AD$11/unit</f>
        <v>0</v>
      </c>
      <c r="AE53" s="75">
        <f>(NOT(AE$14=exit))*IF($E53=1,Rentroll!$P41*'A&amp;R'!$AF$12*Rentroll!$H41,Rentroll!$P41*'A&amp;R'!$AF$11*Rentroll!$H41)*(MONTH($D53)=MONTH(AE$14))*(YEAR($D53)=YEAR(AE$14))*AE$11/unit</f>
        <v>0</v>
      </c>
      <c r="AF53" s="75">
        <f>(NOT(AF$14=exit))*IF($E53=1,Rentroll!$P41*'A&amp;R'!$AF$12*Rentroll!$H41,Rentroll!$P41*'A&amp;R'!$AF$11*Rentroll!$H41)*(MONTH($D53)=MONTH(AF$14))*(YEAR($D53)=YEAR(AF$14))*AF$11/unit</f>
        <v>0</v>
      </c>
      <c r="AG53" s="75">
        <f>(NOT(AG$14=exit))*IF($E53=1,Rentroll!$P41*'A&amp;R'!$AF$12*Rentroll!$H41,Rentroll!$P41*'A&amp;R'!$AF$11*Rentroll!$H41)*(MONTH($D53)=MONTH(AG$14))*(YEAR($D53)=YEAR(AG$14))*AG$11/unit</f>
        <v>0</v>
      </c>
      <c r="AH53" s="75">
        <f>(NOT(AH$14=exit))*IF($E53=1,Rentroll!$P41*'A&amp;R'!$AF$12*Rentroll!$H41,Rentroll!$P41*'A&amp;R'!$AF$11*Rentroll!$H41)*(MONTH($D53)=MONTH(AH$14))*(YEAR($D53)=YEAR(AH$14))*AH$11/unit</f>
        <v>0</v>
      </c>
      <c r="AI53" s="75">
        <f>(NOT(AI$14=exit))*IF($E53=1,Rentroll!$P41*'A&amp;R'!$AF$12*Rentroll!$H41,Rentroll!$P41*'A&amp;R'!$AF$11*Rentroll!$H41)*(MONTH($D53)=MONTH(AI$14))*(YEAR($D53)=YEAR(AI$14))*AI$11/unit</f>
        <v>0</v>
      </c>
      <c r="AJ53" s="75">
        <f>(NOT(AJ$14=exit))*IF($E53=1,Rentroll!$P41*'A&amp;R'!$AF$12*Rentroll!$H41,Rentroll!$P41*'A&amp;R'!$AF$11*Rentroll!$H41)*(MONTH($D53)=MONTH(AJ$14))*(YEAR($D53)=YEAR(AJ$14))*AJ$11/unit</f>
        <v>0</v>
      </c>
      <c r="AK53" s="75">
        <f>(NOT(AK$14=exit))*IF($E53=1,Rentroll!$P41*'A&amp;R'!$AF$12*Rentroll!$H41,Rentroll!$P41*'A&amp;R'!$AF$11*Rentroll!$H41)*(MONTH($D53)=MONTH(AK$14))*(YEAR($D53)=YEAR(AK$14))*AK$11/unit</f>
        <v>0</v>
      </c>
      <c r="AL53" s="75">
        <f>(NOT(AL$14=exit))*IF($E53=1,Rentroll!$P41*'A&amp;R'!$AF$12*Rentroll!$H41,Rentroll!$P41*'A&amp;R'!$AF$11*Rentroll!$H41)*(MONTH($D53)=MONTH(AL$14))*(YEAR($D53)=YEAR(AL$14))*AL$11/unit</f>
        <v>0</v>
      </c>
      <c r="AM53" s="75">
        <f>(NOT(AM$14=exit))*IF($E53=1,Rentroll!$P41*'A&amp;R'!$AF$12*Rentroll!$H41,Rentroll!$P41*'A&amp;R'!$AF$11*Rentroll!$H41)*(MONTH($D53)=MONTH(AM$14))*(YEAR($D53)=YEAR(AM$14))*AM$11/unit</f>
        <v>0</v>
      </c>
      <c r="AN53" s="75">
        <f>(NOT(AN$14=exit))*IF($E53=1,Rentroll!$P41*'A&amp;R'!$AF$12*Rentroll!$H41,Rentroll!$P41*'A&amp;R'!$AF$11*Rentroll!$H41)*(MONTH($D53)=MONTH(AN$14))*(YEAR($D53)=YEAR(AN$14))*AN$11/unit</f>
        <v>0</v>
      </c>
      <c r="AO53" s="75">
        <f>(NOT(AO$14=exit))*IF($E53=1,Rentroll!$P41*'A&amp;R'!$AF$12*Rentroll!$H41,Rentroll!$P41*'A&amp;R'!$AF$11*Rentroll!$H41)*(MONTH($D53)=MONTH(AO$14))*(YEAR($D53)=YEAR(AO$14))*AO$11/unit</f>
        <v>0</v>
      </c>
      <c r="AP53" s="75">
        <f>(NOT(AP$14=exit))*IF($E53=1,Rentroll!$P41*'A&amp;R'!$AF$12*Rentroll!$H41,Rentroll!$P41*'A&amp;R'!$AF$11*Rentroll!$H41)*(MONTH($D53)=MONTH(AP$14))*(YEAR($D53)=YEAR(AP$14))*AP$11/unit</f>
        <v>0</v>
      </c>
      <c r="AQ53" s="75">
        <f>(NOT(AQ$14=exit))*IF($E53=1,Rentroll!$P41*'A&amp;R'!$AF$12*Rentroll!$H41,Rentroll!$P41*'A&amp;R'!$AF$11*Rentroll!$H41)*(MONTH($D53)=MONTH(AQ$14))*(YEAR($D53)=YEAR(AQ$14))*AQ$11/unit</f>
        <v>0</v>
      </c>
      <c r="AR53" s="75">
        <f>(NOT(AR$14=exit))*IF($E53=1,Rentroll!$P41*'A&amp;R'!$AF$12*Rentroll!$H41,Rentroll!$P41*'A&amp;R'!$AF$11*Rentroll!$H41)*(MONTH($D53)=MONTH(AR$14))*(YEAR($D53)=YEAR(AR$14))*AR$11/unit</f>
        <v>0</v>
      </c>
      <c r="AS53" s="75">
        <f>(NOT(AS$14=exit))*IF($E53=1,Rentroll!$P41*'A&amp;R'!$AF$12*Rentroll!$H41,Rentroll!$P41*'A&amp;R'!$AF$11*Rentroll!$H41)*(MONTH($D53)=MONTH(AS$14))*(YEAR($D53)=YEAR(AS$14))*AS$11/unit</f>
        <v>0</v>
      </c>
      <c r="AT53" s="75">
        <f>(NOT(AT$14=exit))*IF($E53=1,Rentroll!$P41*'A&amp;R'!$AF$12*Rentroll!$H41,Rentroll!$P41*'A&amp;R'!$AF$11*Rentroll!$H41)*(MONTH($D53)=MONTH(AT$14))*(YEAR($D53)=YEAR(AT$14))*AT$11/unit</f>
        <v>0</v>
      </c>
      <c r="AU53" s="75">
        <f>(NOT(AU$14=exit))*IF($E53=1,Rentroll!$P41*'A&amp;R'!$AF$12*Rentroll!$H41,Rentroll!$P41*'A&amp;R'!$AF$11*Rentroll!$H41)*(MONTH($D53)=MONTH(AU$14))*(YEAR($D53)=YEAR(AU$14))*AU$11/unit</f>
        <v>0</v>
      </c>
      <c r="AV53" s="75">
        <f>(NOT(AV$14=exit))*IF($E53=1,Rentroll!$P41*'A&amp;R'!$AF$12*Rentroll!$H41,Rentroll!$P41*'A&amp;R'!$AF$11*Rentroll!$H41)*(MONTH($D53)=MONTH(AV$14))*(YEAR($D53)=YEAR(AV$14))*AV$11/unit</f>
        <v>0</v>
      </c>
      <c r="AW53" s="75">
        <f>(NOT(AW$14=exit))*IF($E53=1,Rentroll!$P41*'A&amp;R'!$AF$12*Rentroll!$H41,Rentroll!$P41*'A&amp;R'!$AF$11*Rentroll!$H41)*(MONTH($D53)=MONTH(AW$14))*(YEAR($D53)=YEAR(AW$14))*AW$11/unit</f>
        <v>0</v>
      </c>
      <c r="AX53" s="75">
        <f>(NOT(AX$14=exit))*IF($E53=1,Rentroll!$P41*'A&amp;R'!$AF$12*Rentroll!$H41,Rentroll!$P41*'A&amp;R'!$AF$11*Rentroll!$H41)*(MONTH($D53)=MONTH(AX$14))*(YEAR($D53)=YEAR(AX$14))*AX$11/unit</f>
        <v>0</v>
      </c>
      <c r="AY53" s="75">
        <f>(NOT(AY$14=exit))*IF($E53=1,Rentroll!$P41*'A&amp;R'!$AF$12*Rentroll!$H41,Rentroll!$P41*'A&amp;R'!$AF$11*Rentroll!$H41)*(MONTH($D53)=MONTH(AY$14))*(YEAR($D53)=YEAR(AY$14))*AY$11/unit</f>
        <v>0</v>
      </c>
      <c r="AZ53" s="75">
        <f>(NOT(AZ$14=exit))*IF($E53=1,Rentroll!$P41*'A&amp;R'!$AF$12*Rentroll!$H41,Rentroll!$P41*'A&amp;R'!$AF$11*Rentroll!$H41)*(MONTH($D53)=MONTH(AZ$14))*(YEAR($D53)=YEAR(AZ$14))*AZ$11/unit</f>
        <v>0</v>
      </c>
      <c r="BA53" s="75">
        <f>(NOT(BA$14=exit))*IF($E53=1,Rentroll!$P41*'A&amp;R'!$AF$12*Rentroll!$H41,Rentroll!$P41*'A&amp;R'!$AF$11*Rentroll!$H41)*(MONTH($D53)=MONTH(BA$14))*(YEAR($D53)=YEAR(BA$14))*BA$11/unit</f>
        <v>0</v>
      </c>
      <c r="BB53" s="75">
        <f>(NOT(BB$14=exit))*IF($E53=1,Rentroll!$P41*'A&amp;R'!$AF$12*Rentroll!$H41,Rentroll!$P41*'A&amp;R'!$AF$11*Rentroll!$H41)*(MONTH($D53)=MONTH(BB$14))*(YEAR($D53)=YEAR(BB$14))*BB$11/unit</f>
        <v>0</v>
      </c>
      <c r="BC53" s="75">
        <f>(NOT(BC$14=exit))*IF($E53=1,Rentroll!$P41*'A&amp;R'!$AF$12*Rentroll!$H41,Rentroll!$P41*'A&amp;R'!$AF$11*Rentroll!$H41)*(MONTH($D53)=MONTH(BC$14))*(YEAR($D53)=YEAR(BC$14))*BC$11/unit</f>
        <v>0</v>
      </c>
      <c r="BD53" s="75">
        <f>(NOT(BD$14=exit))*IF($E53=1,Rentroll!$P41*'A&amp;R'!$AF$12*Rentroll!$H41,Rentroll!$P41*'A&amp;R'!$AF$11*Rentroll!$H41)*(MONTH($D53)=MONTH(BD$14))*(YEAR($D53)=YEAR(BD$14))*BD$11/unit</f>
        <v>0</v>
      </c>
      <c r="BE53" s="75">
        <f>(NOT(BE$14=exit))*IF($E53=1,Rentroll!$P41*'A&amp;R'!$AF$12*Rentroll!$H41,Rentroll!$P41*'A&amp;R'!$AF$11*Rentroll!$H41)*(MONTH($D53)=MONTH(BE$14))*(YEAR($D53)=YEAR(BE$14))*BE$11/unit</f>
        <v>0</v>
      </c>
      <c r="BF53" s="75">
        <f>(NOT(BF$14=exit))*IF($E53=1,Rentroll!$P41*'A&amp;R'!$AF$12*Rentroll!$H41,Rentroll!$P41*'A&amp;R'!$AF$11*Rentroll!$H41)*(MONTH($D53)=MONTH(BF$14))*(YEAR($D53)=YEAR(BF$14))*BF$11/unit</f>
        <v>0</v>
      </c>
      <c r="BG53" s="75">
        <f>(NOT(BG$14=exit))*IF($E53=1,Rentroll!$P41*'A&amp;R'!$AF$12*Rentroll!$H41,Rentroll!$P41*'A&amp;R'!$AF$11*Rentroll!$H41)*(MONTH($D53)=MONTH(BG$14))*(YEAR($D53)=YEAR(BG$14))*BG$11/unit</f>
        <v>0</v>
      </c>
      <c r="BH53" s="75">
        <f>(NOT(BH$14=exit))*IF($E53=1,Rentroll!$P41*'A&amp;R'!$AF$12*Rentroll!$H41,Rentroll!$P41*'A&amp;R'!$AF$11*Rentroll!$H41)*(MONTH($D53)=MONTH(BH$14))*(YEAR($D53)=YEAR(BH$14))*BH$11/unit</f>
        <v>0</v>
      </c>
      <c r="BI53" s="75">
        <f>(NOT(BI$14=exit))*IF($E53=1,Rentroll!$P41*'A&amp;R'!$AF$12*Rentroll!$H41,Rentroll!$P41*'A&amp;R'!$AF$11*Rentroll!$H41)*(MONTH($D53)=MONTH(BI$14))*(YEAR($D53)=YEAR(BI$14))*BI$11/unit</f>
        <v>0</v>
      </c>
      <c r="BJ53" s="75">
        <f>(NOT(BJ$14=exit))*IF($E53=1,Rentroll!$P41*'A&amp;R'!$AF$12*Rentroll!$H41,Rentroll!$P41*'A&amp;R'!$AF$11*Rentroll!$H41)*(MONTH($D53)=MONTH(BJ$14))*(YEAR($D53)=YEAR(BJ$14))*BJ$11/unit</f>
        <v>0</v>
      </c>
      <c r="BK53" s="75">
        <f>(NOT(BK$14=exit))*IF($E53=1,Rentroll!$P41*'A&amp;R'!$AF$12*Rentroll!$H41,Rentroll!$P41*'A&amp;R'!$AF$11*Rentroll!$H41)*(MONTH($D53)=MONTH(BK$14))*(YEAR($D53)=YEAR(BK$14))*BK$11/unit</f>
        <v>0</v>
      </c>
      <c r="BL53" s="75">
        <f>(NOT(BL$14=exit))*IF($E53=1,Rentroll!$P41*'A&amp;R'!$AF$12*Rentroll!$H41,Rentroll!$P41*'A&amp;R'!$AF$11*Rentroll!$H41)*(MONTH($D53)=MONTH(BL$14))*(YEAR($D53)=YEAR(BL$14))*BL$11/unit</f>
        <v>0</v>
      </c>
      <c r="BM53" s="75">
        <f>(NOT(BM$14=exit))*IF($E53=1,Rentroll!$P41*'A&amp;R'!$AF$12*Rentroll!$H41,Rentroll!$P41*'A&amp;R'!$AF$11*Rentroll!$H41)*(MONTH($D53)=MONTH(BM$14))*(YEAR($D53)=YEAR(BM$14))*BM$11/unit</f>
        <v>0</v>
      </c>
      <c r="BN53" s="75">
        <f>(NOT(BN$14=exit))*IF($E53=1,Rentroll!$P41*'A&amp;R'!$AF$12*Rentroll!$H41,Rentroll!$P41*'A&amp;R'!$AF$11*Rentroll!$H41)*(MONTH($D53)=MONTH(BN$14))*(YEAR($D53)=YEAR(BN$14))*BN$11/unit</f>
        <v>0</v>
      </c>
      <c r="BO53" s="75">
        <f>(NOT(BO$14=exit))*IF($E53=1,Rentroll!$P41*'A&amp;R'!$AF$12*Rentroll!$H41,Rentroll!$P41*'A&amp;R'!$AF$11*Rentroll!$H41)*(MONTH($D53)=MONTH(BO$14))*(YEAR($D53)=YEAR(BO$14))*BO$11/unit</f>
        <v>0</v>
      </c>
      <c r="BP53" s="75">
        <f>(NOT(BP$14=exit))*IF($E53=1,Rentroll!$P41*'A&amp;R'!$AF$12*Rentroll!$H41,Rentroll!$P41*'A&amp;R'!$AF$11*Rentroll!$H41)*(MONTH($D53)=MONTH(BP$14))*(YEAR($D53)=YEAR(BP$14))*BP$11/unit</f>
        <v>0</v>
      </c>
      <c r="BQ53" s="75">
        <f>(NOT(BQ$14=exit))*IF($E53=1,Rentroll!$P41*'A&amp;R'!$AF$12*Rentroll!$H41,Rentroll!$P41*'A&amp;R'!$AF$11*Rentroll!$H41)*(MONTH($D53)=MONTH(BQ$14))*(YEAR($D53)=YEAR(BQ$14))*BQ$11/unit</f>
        <v>0</v>
      </c>
      <c r="BR53" s="75">
        <f>(NOT(BR$14=exit))*IF($E53=1,Rentroll!$P41*'A&amp;R'!$AF$12*Rentroll!$H41,Rentroll!$P41*'A&amp;R'!$AF$11*Rentroll!$H41)*(MONTH($D53)=MONTH(BR$14))*(YEAR($D53)=YEAR(BR$14))*BR$11/unit</f>
        <v>0</v>
      </c>
      <c r="BS53" s="75">
        <f>(NOT(BS$14=exit))*IF($E53=1,Rentroll!$P41*'A&amp;R'!$AF$12*Rentroll!$H41,Rentroll!$P41*'A&amp;R'!$AF$11*Rentroll!$H41)*(MONTH($D53)=MONTH(BS$14))*(YEAR($D53)=YEAR(BS$14))*BS$11/unit</f>
        <v>0</v>
      </c>
      <c r="BT53" s="75">
        <f>(NOT(BT$14=exit))*IF($E53=1,Rentroll!$P41*'A&amp;R'!$AF$12*Rentroll!$H41,Rentroll!$P41*'A&amp;R'!$AF$11*Rentroll!$H41)*(MONTH($D53)=MONTH(BT$14))*(YEAR($D53)=YEAR(BT$14))*BT$11/unit</f>
        <v>0</v>
      </c>
      <c r="BU53" s="75">
        <f>(NOT(BU$14=exit))*IF($E53=1,Rentroll!$P41*'A&amp;R'!$AF$12*Rentroll!$H41,Rentroll!$P41*'A&amp;R'!$AF$11*Rentroll!$H41)*(MONTH($D53)=MONTH(BU$14))*(YEAR($D53)=YEAR(BU$14))*BU$11/unit</f>
        <v>0</v>
      </c>
      <c r="BV53" s="75">
        <f>(NOT(BV$14=exit))*IF($E53=1,Rentroll!$P41*'A&amp;R'!$AF$12*Rentroll!$H41,Rentroll!$P41*'A&amp;R'!$AF$11*Rentroll!$H41)*(MONTH($D53)=MONTH(BV$14))*(YEAR($D53)=YEAR(BV$14))*BV$11/unit</f>
        <v>0</v>
      </c>
      <c r="BW53" s="75">
        <f>(NOT(BW$14=exit))*IF($E53=1,Rentroll!$P41*'A&amp;R'!$AF$12*Rentroll!$H41,Rentroll!$P41*'A&amp;R'!$AF$11*Rentroll!$H41)*(MONTH($D53)=MONTH(BW$14))*(YEAR($D53)=YEAR(BW$14))*BW$11/unit</f>
        <v>0</v>
      </c>
      <c r="BX53" s="75">
        <f>(NOT(BX$14=exit))*IF($E53=1,Rentroll!$P41*'A&amp;R'!$AF$12*Rentroll!$H41,Rentroll!$P41*'A&amp;R'!$AF$11*Rentroll!$H41)*(MONTH($D53)=MONTH(BX$14))*(YEAR($D53)=YEAR(BX$14))*BX$11/unit</f>
        <v>0</v>
      </c>
      <c r="BY53" s="75">
        <f>(NOT(BY$14=exit))*IF($E53=1,Rentroll!$P41*'A&amp;R'!$AF$12*Rentroll!$H41,Rentroll!$P41*'A&amp;R'!$AF$11*Rentroll!$H41)*(MONTH($D53)=MONTH(BY$14))*(YEAR($D53)=YEAR(BY$14))*BY$11/unit</f>
        <v>0</v>
      </c>
      <c r="BZ53" s="75">
        <f>(NOT(BZ$14=exit))*IF($E53=1,Rentroll!$P41*'A&amp;R'!$AF$12*Rentroll!$H41,Rentroll!$P41*'A&amp;R'!$AF$11*Rentroll!$H41)*(MONTH($D53)=MONTH(BZ$14))*(YEAR($D53)=YEAR(BZ$14))*BZ$11/unit</f>
        <v>0</v>
      </c>
      <c r="CA53" s="75">
        <f>(NOT(CA$14=exit))*IF($E53=1,Rentroll!$P41*'A&amp;R'!$AF$12*Rentroll!$H41,Rentroll!$P41*'A&amp;R'!$AF$11*Rentroll!$H41)*(MONTH($D53)=MONTH(CA$14))*(YEAR($D53)=YEAR(CA$14))*CA$11/unit</f>
        <v>0</v>
      </c>
      <c r="CB53" s="75">
        <f>(NOT(CB$14=exit))*IF($E53=1,Rentroll!$P41*'A&amp;R'!$AF$12*Rentroll!$H41,Rentroll!$P41*'A&amp;R'!$AF$11*Rentroll!$H41)*(MONTH($D53)=MONTH(CB$14))*(YEAR($D53)=YEAR(CB$14))*CB$11/unit</f>
        <v>0</v>
      </c>
      <c r="CC53" s="75">
        <f>(NOT(CC$14=exit))*IF($E53=1,Rentroll!$P41*'A&amp;R'!$AF$12*Rentroll!$H41,Rentroll!$P41*'A&amp;R'!$AF$11*Rentroll!$H41)*(MONTH($D53)=MONTH(CC$14))*(YEAR($D53)=YEAR(CC$14))*CC$11/unit</f>
        <v>0</v>
      </c>
      <c r="CD53" s="75">
        <f>(NOT(CD$14=exit))*IF($E53=1,Rentroll!$P41*'A&amp;R'!$AF$12*Rentroll!$H41,Rentroll!$P41*'A&amp;R'!$AF$11*Rentroll!$H41)*(MONTH($D53)=MONTH(CD$14))*(YEAR($D53)=YEAR(CD$14))*CD$11/unit</f>
        <v>0</v>
      </c>
      <c r="CE53" s="75">
        <f>(NOT(CE$14=exit))*IF($E53=1,Rentroll!$P41*'A&amp;R'!$AF$12*Rentroll!$H41,Rentroll!$P41*'A&amp;R'!$AF$11*Rentroll!$H41)*(MONTH($D53)=MONTH(CE$14))*(YEAR($D53)=YEAR(CE$14))*CE$11/unit</f>
        <v>0</v>
      </c>
      <c r="CF53" s="75">
        <f>(NOT(CF$14=exit))*IF($E53=1,Rentroll!$P41*'A&amp;R'!$AF$12*Rentroll!$H41,Rentroll!$P41*'A&amp;R'!$AF$11*Rentroll!$H41)*(MONTH($D53)=MONTH(CF$14))*(YEAR($D53)=YEAR(CF$14))*CF$11/unit</f>
        <v>0</v>
      </c>
      <c r="CG53" s="75">
        <f>(NOT(CG$14=exit))*IF($E53=1,Rentroll!$P41*'A&amp;R'!$AF$12*Rentroll!$H41,Rentroll!$P41*'A&amp;R'!$AF$11*Rentroll!$H41)*(MONTH($D53)=MONTH(CG$14))*(YEAR($D53)=YEAR(CG$14))*CG$11/unit</f>
        <v>0</v>
      </c>
      <c r="CH53" s="75">
        <f>(NOT(CH$14=exit))*IF($E53=1,Rentroll!$P41*'A&amp;R'!$AF$12*Rentroll!$H41,Rentroll!$P41*'A&amp;R'!$AF$11*Rentroll!$H41)*(MONTH($D53)=MONTH(CH$14))*(YEAR($D53)=YEAR(CH$14))*CH$11/unit</f>
        <v>0</v>
      </c>
      <c r="CI53" s="75">
        <f>(NOT(CI$14=exit))*IF($E53=1,Rentroll!$P41*'A&amp;R'!$AF$12*Rentroll!$H41,Rentroll!$P41*'A&amp;R'!$AF$11*Rentroll!$H41)*(MONTH($D53)=MONTH(CI$14))*(YEAR($D53)=YEAR(CI$14))*CI$11/unit</f>
        <v>0</v>
      </c>
      <c r="CJ53" s="75">
        <f>(NOT(CJ$14=exit))*IF($E53=1,Rentroll!$P41*'A&amp;R'!$AF$12*Rentroll!$H41,Rentroll!$P41*'A&amp;R'!$AF$11*Rentroll!$H41)*(MONTH($D53)=MONTH(CJ$14))*(YEAR($D53)=YEAR(CJ$14))*CJ$11/unit</f>
        <v>0</v>
      </c>
      <c r="CK53" s="75">
        <f>(NOT(CK$14=exit))*IF($E53=1,Rentroll!$P41*'A&amp;R'!$AF$12*Rentroll!$H41,Rentroll!$P41*'A&amp;R'!$AF$11*Rentroll!$H41)*(MONTH($D53)=MONTH(CK$14))*(YEAR($D53)=YEAR(CK$14))*CK$11/unit</f>
        <v>0</v>
      </c>
      <c r="CL53" s="75">
        <f>(NOT(CL$14=exit))*IF($E53=1,Rentroll!$P41*'A&amp;R'!$AF$12*Rentroll!$H41,Rentroll!$P41*'A&amp;R'!$AF$11*Rentroll!$H41)*(MONTH($D53)=MONTH(CL$14))*(YEAR($D53)=YEAR(CL$14))*CL$11/unit</f>
        <v>0</v>
      </c>
      <c r="CM53" s="75">
        <f>(NOT(CM$14=exit))*IF($E53=1,Rentroll!$P41*'A&amp;R'!$AF$12*Rentroll!$H41,Rentroll!$P41*'A&amp;R'!$AF$11*Rentroll!$H41)*(MONTH($D53)=MONTH(CM$14))*(YEAR($D53)=YEAR(CM$14))*CM$11/unit</f>
        <v>0</v>
      </c>
      <c r="CN53" s="75">
        <f>(NOT(CN$14=exit))*IF($E53=1,Rentroll!$P41*'A&amp;R'!$AF$12*Rentroll!$H41,Rentroll!$P41*'A&amp;R'!$AF$11*Rentroll!$H41)*(MONTH($D53)=MONTH(CN$14))*(YEAR($D53)=YEAR(CN$14))*CN$11/unit</f>
        <v>0</v>
      </c>
      <c r="CO53" s="75">
        <f>(NOT(CO$14=exit))*IF($E53=1,Rentroll!$P41*'A&amp;R'!$AF$12*Rentroll!$H41,Rentroll!$P41*'A&amp;R'!$AF$11*Rentroll!$H41)*(MONTH($D53)=MONTH(CO$14))*(YEAR($D53)=YEAR(CO$14))*CO$11/unit</f>
        <v>0</v>
      </c>
      <c r="CP53" s="75">
        <f>(NOT(CP$14=exit))*IF($E53=1,Rentroll!$P41*'A&amp;R'!$AF$12*Rentroll!$H41,Rentroll!$P41*'A&amp;R'!$AF$11*Rentroll!$H41)*(MONTH($D53)=MONTH(CP$14))*(YEAR($D53)=YEAR(CP$14))*CP$11/unit</f>
        <v>0</v>
      </c>
      <c r="CQ53" s="75">
        <f>(NOT(CQ$14=exit))*IF($E53=1,Rentroll!$P41*'A&amp;R'!$AF$12*Rentroll!$H41,Rentroll!$P41*'A&amp;R'!$AF$11*Rentroll!$H41)*(MONTH($D53)=MONTH(CQ$14))*(YEAR($D53)=YEAR(CQ$14))*CQ$11/unit</f>
        <v>0</v>
      </c>
      <c r="CR53" s="75">
        <f>(NOT(CR$14=exit))*IF($E53=1,Rentroll!$P41*'A&amp;R'!$AF$12*Rentroll!$H41,Rentroll!$P41*'A&amp;R'!$AF$11*Rentroll!$H41)*(MONTH($D53)=MONTH(CR$14))*(YEAR($D53)=YEAR(CR$14))*CR$11/unit</f>
        <v>0</v>
      </c>
      <c r="CS53" s="75">
        <f>(NOT(CS$14=exit))*IF($E53=1,Rentroll!$P41*'A&amp;R'!$AF$12*Rentroll!$H41,Rentroll!$P41*'A&amp;R'!$AF$11*Rentroll!$H41)*(MONTH($D53)=MONTH(CS$14))*(YEAR($D53)=YEAR(CS$14))*CS$11/unit</f>
        <v>0</v>
      </c>
      <c r="CT53" s="75">
        <f>(NOT(CT$14=exit))*IF($E53=1,Rentroll!$P41*'A&amp;R'!$AF$12*Rentroll!$H41,Rentroll!$P41*'A&amp;R'!$AF$11*Rentroll!$H41)*(MONTH($D53)=MONTH(CT$14))*(YEAR($D53)=YEAR(CT$14))*CT$11/unit</f>
        <v>0</v>
      </c>
      <c r="CU53" s="75">
        <f>(NOT(CU$14=exit))*IF($E53=1,Rentroll!$P41*'A&amp;R'!$AF$12*Rentroll!$H41,Rentroll!$P41*'A&amp;R'!$AF$11*Rentroll!$H41)*(MONTH($D53)=MONTH(CU$14))*(YEAR($D53)=YEAR(CU$14))*CU$11/unit</f>
        <v>0</v>
      </c>
      <c r="CV53" s="75">
        <f>(NOT(CV$14=exit))*IF($E53=1,Rentroll!$P41*'A&amp;R'!$AF$12*Rentroll!$H41,Rentroll!$P41*'A&amp;R'!$AF$11*Rentroll!$H41)*(MONTH($D53)=MONTH(CV$14))*(YEAR($D53)=YEAR(CV$14))*CV$11/unit</f>
        <v>0</v>
      </c>
      <c r="CW53" s="75">
        <f>(NOT(CW$14=exit))*IF($E53=1,Rentroll!$P41*'A&amp;R'!$AF$12*Rentroll!$H41,Rentroll!$P41*'A&amp;R'!$AF$11*Rentroll!$H41)*(MONTH($D53)=MONTH(CW$14))*(YEAR($D53)=YEAR(CW$14))*CW$11/unit</f>
        <v>0</v>
      </c>
      <c r="CX53" s="75">
        <f>(NOT(CX$14=exit))*IF($E53=1,Rentroll!$P41*'A&amp;R'!$AF$12*Rentroll!$H41,Rentroll!$P41*'A&amp;R'!$AF$11*Rentroll!$H41)*(MONTH($D53)=MONTH(CX$14))*(YEAR($D53)=YEAR(CX$14))*CX$11/unit</f>
        <v>0</v>
      </c>
      <c r="CY53" s="75">
        <f>(NOT(CY$14=exit))*IF($E53=1,Rentroll!$P41*'A&amp;R'!$AF$12*Rentroll!$H41,Rentroll!$P41*'A&amp;R'!$AF$11*Rentroll!$H41)*(MONTH($D53)=MONTH(CY$14))*(YEAR($D53)=YEAR(CY$14))*CY$11/unit</f>
        <v>0</v>
      </c>
      <c r="CZ53" s="75">
        <f>(NOT(CZ$14=exit))*IF($E53=1,Rentroll!$P41*'A&amp;R'!$AF$12*Rentroll!$H41,Rentroll!$P41*'A&amp;R'!$AF$11*Rentroll!$H41)*(MONTH($D53)=MONTH(CZ$14))*(YEAR($D53)=YEAR(CZ$14))*CZ$11/unit</f>
        <v>0</v>
      </c>
      <c r="DA53" s="75">
        <f>(NOT(DA$14=exit))*IF($E53=1,Rentroll!$P41*'A&amp;R'!$AF$12*Rentroll!$H41,Rentroll!$P41*'A&amp;R'!$AF$11*Rentroll!$H41)*(MONTH($D53)=MONTH(DA$14))*(YEAR($D53)=YEAR(DA$14))*DA$11/unit</f>
        <v>0</v>
      </c>
      <c r="DB53" s="75">
        <f>(NOT(DB$14=exit))*IF($E53=1,Rentroll!$P41*'A&amp;R'!$AF$12*Rentroll!$H41,Rentroll!$P41*'A&amp;R'!$AF$11*Rentroll!$H41)*(MONTH($D53)=MONTH(DB$14))*(YEAR($D53)=YEAR(DB$14))*DB$11/unit</f>
        <v>0</v>
      </c>
    </row>
    <row r="54" spans="3:106">
      <c r="C54" s="27">
        <f>Rentroll!$C$42</f>
        <v>12</v>
      </c>
      <c r="D54" s="80">
        <f>VLOOKUP($C54,Rentroll!$C$37:$Z$60,9,FALSE)</f>
        <v>45869</v>
      </c>
      <c r="E54" s="150">
        <f>VLOOKUP($C54,Rentroll!$C$37:$Z$60,24,FALSE)</f>
        <v>1</v>
      </c>
      <c r="F54" s="75">
        <f t="shared" si="44"/>
        <v>83.075187724375013</v>
      </c>
      <c r="G54" s="75"/>
      <c r="H54" s="75">
        <f>(NOT(H$14=exit))*IF($E54=1,Rentroll!$P42*'A&amp;R'!$AF$12*Rentroll!$H42,Rentroll!$P42*'A&amp;R'!$AF$11*Rentroll!$H42)*(MONTH($D54)=MONTH(H$14))*(YEAR($D54)=YEAR(H$14))*H$11/unit</f>
        <v>0</v>
      </c>
      <c r="I54" s="75">
        <f>(NOT(I$14=exit))*IF($E54=1,Rentroll!$P42*'A&amp;R'!$AF$12*Rentroll!$H42,Rentroll!$P42*'A&amp;R'!$AF$11*Rentroll!$H42)*(MONTH($D54)=MONTH(I$14))*(YEAR($D54)=YEAR(I$14))*I$11/unit</f>
        <v>0</v>
      </c>
      <c r="J54" s="75">
        <f>(NOT(J$14=exit))*IF($E54=1,Rentroll!$P42*'A&amp;R'!$AF$12*Rentroll!$H42,Rentroll!$P42*'A&amp;R'!$AF$11*Rentroll!$H42)*(MONTH($D54)=MONTH(J$14))*(YEAR($D54)=YEAR(J$14))*J$11/unit</f>
        <v>0</v>
      </c>
      <c r="K54" s="75">
        <f>(NOT(K$14=exit))*IF($E54=1,Rentroll!$P42*'A&amp;R'!$AF$12*Rentroll!$H42,Rentroll!$P42*'A&amp;R'!$AF$11*Rentroll!$H42)*(MONTH($D54)=MONTH(K$14))*(YEAR($D54)=YEAR(K$14))*K$11/unit</f>
        <v>0</v>
      </c>
      <c r="L54" s="75">
        <f>(NOT(L$14=exit))*IF($E54=1,Rentroll!$P42*'A&amp;R'!$AF$12*Rentroll!$H42,Rentroll!$P42*'A&amp;R'!$AF$11*Rentroll!$H42)*(MONTH($D54)=MONTH(L$14))*(YEAR($D54)=YEAR(L$14))*L$11/unit</f>
        <v>0</v>
      </c>
      <c r="M54" s="75">
        <f>(NOT(M$14=exit))*IF($E54=1,Rentroll!$P42*'A&amp;R'!$AF$12*Rentroll!$H42,Rentroll!$P42*'A&amp;R'!$AF$11*Rentroll!$H42)*(MONTH($D54)=MONTH(M$14))*(YEAR($D54)=YEAR(M$14))*M$11/unit</f>
        <v>0</v>
      </c>
      <c r="N54" s="75">
        <f>(NOT(N$14=exit))*IF($E54=1,Rentroll!$P42*'A&amp;R'!$AF$12*Rentroll!$H42,Rentroll!$P42*'A&amp;R'!$AF$11*Rentroll!$H42)*(MONTH($D54)=MONTH(N$14))*(YEAR($D54)=YEAR(N$14))*N$11/unit</f>
        <v>83.075187724375013</v>
      </c>
      <c r="O54" s="75">
        <f>(NOT(O$14=exit))*IF($E54=1,Rentroll!$P42*'A&amp;R'!$AF$12*Rentroll!$H42,Rentroll!$P42*'A&amp;R'!$AF$11*Rentroll!$H42)*(MONTH($D54)=MONTH(O$14))*(YEAR($D54)=YEAR(O$14))*O$11/unit</f>
        <v>0</v>
      </c>
      <c r="P54" s="75">
        <f>(NOT(P$14=exit))*IF($E54=1,Rentroll!$P42*'A&amp;R'!$AF$12*Rentroll!$H42,Rentroll!$P42*'A&amp;R'!$AF$11*Rentroll!$H42)*(MONTH($D54)=MONTH(P$14))*(YEAR($D54)=YEAR(P$14))*P$11/unit</f>
        <v>0</v>
      </c>
      <c r="Q54" s="75">
        <f>(NOT(Q$14=exit))*IF($E54=1,Rentroll!$P42*'A&amp;R'!$AF$12*Rentroll!$H42,Rentroll!$P42*'A&amp;R'!$AF$11*Rentroll!$H42)*(MONTH($D54)=MONTH(Q$14))*(YEAR($D54)=YEAR(Q$14))*Q$11/unit</f>
        <v>0</v>
      </c>
      <c r="R54" s="75">
        <f>(NOT(R$14=exit))*IF($E54=1,Rentroll!$P42*'A&amp;R'!$AF$12*Rentroll!$H42,Rentroll!$P42*'A&amp;R'!$AF$11*Rentroll!$H42)*(MONTH($D54)=MONTH(R$14))*(YEAR($D54)=YEAR(R$14))*R$11/unit</f>
        <v>0</v>
      </c>
      <c r="S54" s="75">
        <f>(NOT(S$14=exit))*IF($E54=1,Rentroll!$P42*'A&amp;R'!$AF$12*Rentroll!$H42,Rentroll!$P42*'A&amp;R'!$AF$11*Rentroll!$H42)*(MONTH($D54)=MONTH(S$14))*(YEAR($D54)=YEAR(S$14))*S$11/unit</f>
        <v>0</v>
      </c>
      <c r="T54" s="75">
        <f>(NOT(T$14=exit))*IF($E54=1,Rentroll!$P42*'A&amp;R'!$AF$12*Rentroll!$H42,Rentroll!$P42*'A&amp;R'!$AF$11*Rentroll!$H42)*(MONTH($D54)=MONTH(T$14))*(YEAR($D54)=YEAR(T$14))*T$11/unit</f>
        <v>0</v>
      </c>
      <c r="U54" s="75">
        <f>(NOT(U$14=exit))*IF($E54=1,Rentroll!$P42*'A&amp;R'!$AF$12*Rentroll!$H42,Rentroll!$P42*'A&amp;R'!$AF$11*Rentroll!$H42)*(MONTH($D54)=MONTH(U$14))*(YEAR($D54)=YEAR(U$14))*U$11/unit</f>
        <v>0</v>
      </c>
      <c r="V54" s="75">
        <f>(NOT(V$14=exit))*IF($E54=1,Rentroll!$P42*'A&amp;R'!$AF$12*Rentroll!$H42,Rentroll!$P42*'A&amp;R'!$AF$11*Rentroll!$H42)*(MONTH($D54)=MONTH(V$14))*(YEAR($D54)=YEAR(V$14))*V$11/unit</f>
        <v>0</v>
      </c>
      <c r="W54" s="75">
        <f>(NOT(W$14=exit))*IF($E54=1,Rentroll!$P42*'A&amp;R'!$AF$12*Rentroll!$H42,Rentroll!$P42*'A&amp;R'!$AF$11*Rentroll!$H42)*(MONTH($D54)=MONTH(W$14))*(YEAR($D54)=YEAR(W$14))*W$11/unit</f>
        <v>0</v>
      </c>
      <c r="X54" s="75">
        <f>(NOT(X$14=exit))*IF($E54=1,Rentroll!$P42*'A&amp;R'!$AF$12*Rentroll!$H42,Rentroll!$P42*'A&amp;R'!$AF$11*Rentroll!$H42)*(MONTH($D54)=MONTH(X$14))*(YEAR($D54)=YEAR(X$14))*X$11/unit</f>
        <v>0</v>
      </c>
      <c r="Y54" s="75">
        <f>(NOT(Y$14=exit))*IF($E54=1,Rentroll!$P42*'A&amp;R'!$AF$12*Rentroll!$H42,Rentroll!$P42*'A&amp;R'!$AF$11*Rentroll!$H42)*(MONTH($D54)=MONTH(Y$14))*(YEAR($D54)=YEAR(Y$14))*Y$11/unit</f>
        <v>0</v>
      </c>
      <c r="Z54" s="75">
        <f>(NOT(Z$14=exit))*IF($E54=1,Rentroll!$P42*'A&amp;R'!$AF$12*Rentroll!$H42,Rentroll!$P42*'A&amp;R'!$AF$11*Rentroll!$H42)*(MONTH($D54)=MONTH(Z$14))*(YEAR($D54)=YEAR(Z$14))*Z$11/unit</f>
        <v>0</v>
      </c>
      <c r="AA54" s="75">
        <f>(NOT(AA$14=exit))*IF($E54=1,Rentroll!$P42*'A&amp;R'!$AF$12*Rentroll!$H42,Rentroll!$P42*'A&amp;R'!$AF$11*Rentroll!$H42)*(MONTH($D54)=MONTH(AA$14))*(YEAR($D54)=YEAR(AA$14))*AA$11/unit</f>
        <v>0</v>
      </c>
      <c r="AB54" s="75">
        <f>(NOT(AB$14=exit))*IF($E54=1,Rentroll!$P42*'A&amp;R'!$AF$12*Rentroll!$H42,Rentroll!$P42*'A&amp;R'!$AF$11*Rentroll!$H42)*(MONTH($D54)=MONTH(AB$14))*(YEAR($D54)=YEAR(AB$14))*AB$11/unit</f>
        <v>0</v>
      </c>
      <c r="AC54" s="75">
        <f>(NOT(AC$14=exit))*IF($E54=1,Rentroll!$P42*'A&amp;R'!$AF$12*Rentroll!$H42,Rentroll!$P42*'A&amp;R'!$AF$11*Rentroll!$H42)*(MONTH($D54)=MONTH(AC$14))*(YEAR($D54)=YEAR(AC$14))*AC$11/unit</f>
        <v>0</v>
      </c>
      <c r="AD54" s="75">
        <f>(NOT(AD$14=exit))*IF($E54=1,Rentroll!$P42*'A&amp;R'!$AF$12*Rentroll!$H42,Rentroll!$P42*'A&amp;R'!$AF$11*Rentroll!$H42)*(MONTH($D54)=MONTH(AD$14))*(YEAR($D54)=YEAR(AD$14))*AD$11/unit</f>
        <v>0</v>
      </c>
      <c r="AE54" s="75">
        <f>(NOT(AE$14=exit))*IF($E54=1,Rentroll!$P42*'A&amp;R'!$AF$12*Rentroll!$H42,Rentroll!$P42*'A&amp;R'!$AF$11*Rentroll!$H42)*(MONTH($D54)=MONTH(AE$14))*(YEAR($D54)=YEAR(AE$14))*AE$11/unit</f>
        <v>0</v>
      </c>
      <c r="AF54" s="75">
        <f>(NOT(AF$14=exit))*IF($E54=1,Rentroll!$P42*'A&amp;R'!$AF$12*Rentroll!$H42,Rentroll!$P42*'A&amp;R'!$AF$11*Rentroll!$H42)*(MONTH($D54)=MONTH(AF$14))*(YEAR($D54)=YEAR(AF$14))*AF$11/unit</f>
        <v>0</v>
      </c>
      <c r="AG54" s="75">
        <f>(NOT(AG$14=exit))*IF($E54=1,Rentroll!$P42*'A&amp;R'!$AF$12*Rentroll!$H42,Rentroll!$P42*'A&amp;R'!$AF$11*Rentroll!$H42)*(MONTH($D54)=MONTH(AG$14))*(YEAR($D54)=YEAR(AG$14))*AG$11/unit</f>
        <v>0</v>
      </c>
      <c r="AH54" s="75">
        <f>(NOT(AH$14=exit))*IF($E54=1,Rentroll!$P42*'A&amp;R'!$AF$12*Rentroll!$H42,Rentroll!$P42*'A&amp;R'!$AF$11*Rentroll!$H42)*(MONTH($D54)=MONTH(AH$14))*(YEAR($D54)=YEAR(AH$14))*AH$11/unit</f>
        <v>0</v>
      </c>
      <c r="AI54" s="75">
        <f>(NOT(AI$14=exit))*IF($E54=1,Rentroll!$P42*'A&amp;R'!$AF$12*Rentroll!$H42,Rentroll!$P42*'A&amp;R'!$AF$11*Rentroll!$H42)*(MONTH($D54)=MONTH(AI$14))*(YEAR($D54)=YEAR(AI$14))*AI$11/unit</f>
        <v>0</v>
      </c>
      <c r="AJ54" s="75">
        <f>(NOT(AJ$14=exit))*IF($E54=1,Rentroll!$P42*'A&amp;R'!$AF$12*Rentroll!$H42,Rentroll!$P42*'A&amp;R'!$AF$11*Rentroll!$H42)*(MONTH($D54)=MONTH(AJ$14))*(YEAR($D54)=YEAR(AJ$14))*AJ$11/unit</f>
        <v>0</v>
      </c>
      <c r="AK54" s="75">
        <f>(NOT(AK$14=exit))*IF($E54=1,Rentroll!$P42*'A&amp;R'!$AF$12*Rentroll!$H42,Rentroll!$P42*'A&amp;R'!$AF$11*Rentroll!$H42)*(MONTH($D54)=MONTH(AK$14))*(YEAR($D54)=YEAR(AK$14))*AK$11/unit</f>
        <v>0</v>
      </c>
      <c r="AL54" s="75">
        <f>(NOT(AL$14=exit))*IF($E54=1,Rentroll!$P42*'A&amp;R'!$AF$12*Rentroll!$H42,Rentroll!$P42*'A&amp;R'!$AF$11*Rentroll!$H42)*(MONTH($D54)=MONTH(AL$14))*(YEAR($D54)=YEAR(AL$14))*AL$11/unit</f>
        <v>0</v>
      </c>
      <c r="AM54" s="75">
        <f>(NOT(AM$14=exit))*IF($E54=1,Rentroll!$P42*'A&amp;R'!$AF$12*Rentroll!$H42,Rentroll!$P42*'A&amp;R'!$AF$11*Rentroll!$H42)*(MONTH($D54)=MONTH(AM$14))*(YEAR($D54)=YEAR(AM$14))*AM$11/unit</f>
        <v>0</v>
      </c>
      <c r="AN54" s="75">
        <f>(NOT(AN$14=exit))*IF($E54=1,Rentroll!$P42*'A&amp;R'!$AF$12*Rentroll!$H42,Rentroll!$P42*'A&amp;R'!$AF$11*Rentroll!$H42)*(MONTH($D54)=MONTH(AN$14))*(YEAR($D54)=YEAR(AN$14))*AN$11/unit</f>
        <v>0</v>
      </c>
      <c r="AO54" s="75">
        <f>(NOT(AO$14=exit))*IF($E54=1,Rentroll!$P42*'A&amp;R'!$AF$12*Rentroll!$H42,Rentroll!$P42*'A&amp;R'!$AF$11*Rentroll!$H42)*(MONTH($D54)=MONTH(AO$14))*(YEAR($D54)=YEAR(AO$14))*AO$11/unit</f>
        <v>0</v>
      </c>
      <c r="AP54" s="75">
        <f>(NOT(AP$14=exit))*IF($E54=1,Rentroll!$P42*'A&amp;R'!$AF$12*Rentroll!$H42,Rentroll!$P42*'A&amp;R'!$AF$11*Rentroll!$H42)*(MONTH($D54)=MONTH(AP$14))*(YEAR($D54)=YEAR(AP$14))*AP$11/unit</f>
        <v>0</v>
      </c>
      <c r="AQ54" s="75">
        <f>(NOT(AQ$14=exit))*IF($E54=1,Rentroll!$P42*'A&amp;R'!$AF$12*Rentroll!$H42,Rentroll!$P42*'A&amp;R'!$AF$11*Rentroll!$H42)*(MONTH($D54)=MONTH(AQ$14))*(YEAR($D54)=YEAR(AQ$14))*AQ$11/unit</f>
        <v>0</v>
      </c>
      <c r="AR54" s="75">
        <f>(NOT(AR$14=exit))*IF($E54=1,Rentroll!$P42*'A&amp;R'!$AF$12*Rentroll!$H42,Rentroll!$P42*'A&amp;R'!$AF$11*Rentroll!$H42)*(MONTH($D54)=MONTH(AR$14))*(YEAR($D54)=YEAR(AR$14))*AR$11/unit</f>
        <v>0</v>
      </c>
      <c r="AS54" s="75">
        <f>(NOT(AS$14=exit))*IF($E54=1,Rentroll!$P42*'A&amp;R'!$AF$12*Rentroll!$H42,Rentroll!$P42*'A&amp;R'!$AF$11*Rentroll!$H42)*(MONTH($D54)=MONTH(AS$14))*(YEAR($D54)=YEAR(AS$14))*AS$11/unit</f>
        <v>0</v>
      </c>
      <c r="AT54" s="75">
        <f>(NOT(AT$14=exit))*IF($E54=1,Rentroll!$P42*'A&amp;R'!$AF$12*Rentroll!$H42,Rentroll!$P42*'A&amp;R'!$AF$11*Rentroll!$H42)*(MONTH($D54)=MONTH(AT$14))*(YEAR($D54)=YEAR(AT$14))*AT$11/unit</f>
        <v>0</v>
      </c>
      <c r="AU54" s="75">
        <f>(NOT(AU$14=exit))*IF($E54=1,Rentroll!$P42*'A&amp;R'!$AF$12*Rentroll!$H42,Rentroll!$P42*'A&amp;R'!$AF$11*Rentroll!$H42)*(MONTH($D54)=MONTH(AU$14))*(YEAR($D54)=YEAR(AU$14))*AU$11/unit</f>
        <v>0</v>
      </c>
      <c r="AV54" s="75">
        <f>(NOT(AV$14=exit))*IF($E54=1,Rentroll!$P42*'A&amp;R'!$AF$12*Rentroll!$H42,Rentroll!$P42*'A&amp;R'!$AF$11*Rentroll!$H42)*(MONTH($D54)=MONTH(AV$14))*(YEAR($D54)=YEAR(AV$14))*AV$11/unit</f>
        <v>0</v>
      </c>
      <c r="AW54" s="75">
        <f>(NOT(AW$14=exit))*IF($E54=1,Rentroll!$P42*'A&amp;R'!$AF$12*Rentroll!$H42,Rentroll!$P42*'A&amp;R'!$AF$11*Rentroll!$H42)*(MONTH($D54)=MONTH(AW$14))*(YEAR($D54)=YEAR(AW$14))*AW$11/unit</f>
        <v>0</v>
      </c>
      <c r="AX54" s="75">
        <f>(NOT(AX$14=exit))*IF($E54=1,Rentroll!$P42*'A&amp;R'!$AF$12*Rentroll!$H42,Rentroll!$P42*'A&amp;R'!$AF$11*Rentroll!$H42)*(MONTH($D54)=MONTH(AX$14))*(YEAR($D54)=YEAR(AX$14))*AX$11/unit</f>
        <v>0</v>
      </c>
      <c r="AY54" s="75">
        <f>(NOT(AY$14=exit))*IF($E54=1,Rentroll!$P42*'A&amp;R'!$AF$12*Rentroll!$H42,Rentroll!$P42*'A&amp;R'!$AF$11*Rentroll!$H42)*(MONTH($D54)=MONTH(AY$14))*(YEAR($D54)=YEAR(AY$14))*AY$11/unit</f>
        <v>0</v>
      </c>
      <c r="AZ54" s="75">
        <f>(NOT(AZ$14=exit))*IF($E54=1,Rentroll!$P42*'A&amp;R'!$AF$12*Rentroll!$H42,Rentroll!$P42*'A&amp;R'!$AF$11*Rentroll!$H42)*(MONTH($D54)=MONTH(AZ$14))*(YEAR($D54)=YEAR(AZ$14))*AZ$11/unit</f>
        <v>0</v>
      </c>
      <c r="BA54" s="75">
        <f>(NOT(BA$14=exit))*IF($E54=1,Rentroll!$P42*'A&amp;R'!$AF$12*Rentroll!$H42,Rentroll!$P42*'A&amp;R'!$AF$11*Rentroll!$H42)*(MONTH($D54)=MONTH(BA$14))*(YEAR($D54)=YEAR(BA$14))*BA$11/unit</f>
        <v>0</v>
      </c>
      <c r="BB54" s="75">
        <f>(NOT(BB$14=exit))*IF($E54=1,Rentroll!$P42*'A&amp;R'!$AF$12*Rentroll!$H42,Rentroll!$P42*'A&amp;R'!$AF$11*Rentroll!$H42)*(MONTH($D54)=MONTH(BB$14))*(YEAR($D54)=YEAR(BB$14))*BB$11/unit</f>
        <v>0</v>
      </c>
      <c r="BC54" s="75">
        <f>(NOT(BC$14=exit))*IF($E54=1,Rentroll!$P42*'A&amp;R'!$AF$12*Rentroll!$H42,Rentroll!$P42*'A&amp;R'!$AF$11*Rentroll!$H42)*(MONTH($D54)=MONTH(BC$14))*(YEAR($D54)=YEAR(BC$14))*BC$11/unit</f>
        <v>0</v>
      </c>
      <c r="BD54" s="75">
        <f>(NOT(BD$14=exit))*IF($E54=1,Rentroll!$P42*'A&amp;R'!$AF$12*Rentroll!$H42,Rentroll!$P42*'A&amp;R'!$AF$11*Rentroll!$H42)*(MONTH($D54)=MONTH(BD$14))*(YEAR($D54)=YEAR(BD$14))*BD$11/unit</f>
        <v>0</v>
      </c>
      <c r="BE54" s="75">
        <f>(NOT(BE$14=exit))*IF($E54=1,Rentroll!$P42*'A&amp;R'!$AF$12*Rentroll!$H42,Rentroll!$P42*'A&amp;R'!$AF$11*Rentroll!$H42)*(MONTH($D54)=MONTH(BE$14))*(YEAR($D54)=YEAR(BE$14))*BE$11/unit</f>
        <v>0</v>
      </c>
      <c r="BF54" s="75">
        <f>(NOT(BF$14=exit))*IF($E54=1,Rentroll!$P42*'A&amp;R'!$AF$12*Rentroll!$H42,Rentroll!$P42*'A&amp;R'!$AF$11*Rentroll!$H42)*(MONTH($D54)=MONTH(BF$14))*(YEAR($D54)=YEAR(BF$14))*BF$11/unit</f>
        <v>0</v>
      </c>
      <c r="BG54" s="75">
        <f>(NOT(BG$14=exit))*IF($E54=1,Rentroll!$P42*'A&amp;R'!$AF$12*Rentroll!$H42,Rentroll!$P42*'A&amp;R'!$AF$11*Rentroll!$H42)*(MONTH($D54)=MONTH(BG$14))*(YEAR($D54)=YEAR(BG$14))*BG$11/unit</f>
        <v>0</v>
      </c>
      <c r="BH54" s="75">
        <f>(NOT(BH$14=exit))*IF($E54=1,Rentroll!$P42*'A&amp;R'!$AF$12*Rentroll!$H42,Rentroll!$P42*'A&amp;R'!$AF$11*Rentroll!$H42)*(MONTH($D54)=MONTH(BH$14))*(YEAR($D54)=YEAR(BH$14))*BH$11/unit</f>
        <v>0</v>
      </c>
      <c r="BI54" s="75">
        <f>(NOT(BI$14=exit))*IF($E54=1,Rentroll!$P42*'A&amp;R'!$AF$12*Rentroll!$H42,Rentroll!$P42*'A&amp;R'!$AF$11*Rentroll!$H42)*(MONTH($D54)=MONTH(BI$14))*(YEAR($D54)=YEAR(BI$14))*BI$11/unit</f>
        <v>0</v>
      </c>
      <c r="BJ54" s="75">
        <f>(NOT(BJ$14=exit))*IF($E54=1,Rentroll!$P42*'A&amp;R'!$AF$12*Rentroll!$H42,Rentroll!$P42*'A&amp;R'!$AF$11*Rentroll!$H42)*(MONTH($D54)=MONTH(BJ$14))*(YEAR($D54)=YEAR(BJ$14))*BJ$11/unit</f>
        <v>0</v>
      </c>
      <c r="BK54" s="75">
        <f>(NOT(BK$14=exit))*IF($E54=1,Rentroll!$P42*'A&amp;R'!$AF$12*Rentroll!$H42,Rentroll!$P42*'A&amp;R'!$AF$11*Rentroll!$H42)*(MONTH($D54)=MONTH(BK$14))*(YEAR($D54)=YEAR(BK$14))*BK$11/unit</f>
        <v>0</v>
      </c>
      <c r="BL54" s="75">
        <f>(NOT(BL$14=exit))*IF($E54=1,Rentroll!$P42*'A&amp;R'!$AF$12*Rentroll!$H42,Rentroll!$P42*'A&amp;R'!$AF$11*Rentroll!$H42)*(MONTH($D54)=MONTH(BL$14))*(YEAR($D54)=YEAR(BL$14))*BL$11/unit</f>
        <v>0</v>
      </c>
      <c r="BM54" s="75">
        <f>(NOT(BM$14=exit))*IF($E54=1,Rentroll!$P42*'A&amp;R'!$AF$12*Rentroll!$H42,Rentroll!$P42*'A&amp;R'!$AF$11*Rentroll!$H42)*(MONTH($D54)=MONTH(BM$14))*(YEAR($D54)=YEAR(BM$14))*BM$11/unit</f>
        <v>0</v>
      </c>
      <c r="BN54" s="75">
        <f>(NOT(BN$14=exit))*IF($E54=1,Rentroll!$P42*'A&amp;R'!$AF$12*Rentroll!$H42,Rentroll!$P42*'A&amp;R'!$AF$11*Rentroll!$H42)*(MONTH($D54)=MONTH(BN$14))*(YEAR($D54)=YEAR(BN$14))*BN$11/unit</f>
        <v>0</v>
      </c>
      <c r="BO54" s="75">
        <f>(NOT(BO$14=exit))*IF($E54=1,Rentroll!$P42*'A&amp;R'!$AF$12*Rentroll!$H42,Rentroll!$P42*'A&amp;R'!$AF$11*Rentroll!$H42)*(MONTH($D54)=MONTH(BO$14))*(YEAR($D54)=YEAR(BO$14))*BO$11/unit</f>
        <v>0</v>
      </c>
      <c r="BP54" s="75">
        <f>(NOT(BP$14=exit))*IF($E54=1,Rentroll!$P42*'A&amp;R'!$AF$12*Rentroll!$H42,Rentroll!$P42*'A&amp;R'!$AF$11*Rentroll!$H42)*(MONTH($D54)=MONTH(BP$14))*(YEAR($D54)=YEAR(BP$14))*BP$11/unit</f>
        <v>0</v>
      </c>
      <c r="BQ54" s="75">
        <f>(NOT(BQ$14=exit))*IF($E54=1,Rentroll!$P42*'A&amp;R'!$AF$12*Rentroll!$H42,Rentroll!$P42*'A&amp;R'!$AF$11*Rentroll!$H42)*(MONTH($D54)=MONTH(BQ$14))*(YEAR($D54)=YEAR(BQ$14))*BQ$11/unit</f>
        <v>0</v>
      </c>
      <c r="BR54" s="75">
        <f>(NOT(BR$14=exit))*IF($E54=1,Rentroll!$P42*'A&amp;R'!$AF$12*Rentroll!$H42,Rentroll!$P42*'A&amp;R'!$AF$11*Rentroll!$H42)*(MONTH($D54)=MONTH(BR$14))*(YEAR($D54)=YEAR(BR$14))*BR$11/unit</f>
        <v>0</v>
      </c>
      <c r="BS54" s="75">
        <f>(NOT(BS$14=exit))*IF($E54=1,Rentroll!$P42*'A&amp;R'!$AF$12*Rentroll!$H42,Rentroll!$P42*'A&amp;R'!$AF$11*Rentroll!$H42)*(MONTH($D54)=MONTH(BS$14))*(YEAR($D54)=YEAR(BS$14))*BS$11/unit</f>
        <v>0</v>
      </c>
      <c r="BT54" s="75">
        <f>(NOT(BT$14=exit))*IF($E54=1,Rentroll!$P42*'A&amp;R'!$AF$12*Rentroll!$H42,Rentroll!$P42*'A&amp;R'!$AF$11*Rentroll!$H42)*(MONTH($D54)=MONTH(BT$14))*(YEAR($D54)=YEAR(BT$14))*BT$11/unit</f>
        <v>0</v>
      </c>
      <c r="BU54" s="75">
        <f>(NOT(BU$14=exit))*IF($E54=1,Rentroll!$P42*'A&amp;R'!$AF$12*Rentroll!$H42,Rentroll!$P42*'A&amp;R'!$AF$11*Rentroll!$H42)*(MONTH($D54)=MONTH(BU$14))*(YEAR($D54)=YEAR(BU$14))*BU$11/unit</f>
        <v>0</v>
      </c>
      <c r="BV54" s="75">
        <f>(NOT(BV$14=exit))*IF($E54=1,Rentroll!$P42*'A&amp;R'!$AF$12*Rentroll!$H42,Rentroll!$P42*'A&amp;R'!$AF$11*Rentroll!$H42)*(MONTH($D54)=MONTH(BV$14))*(YEAR($D54)=YEAR(BV$14))*BV$11/unit</f>
        <v>0</v>
      </c>
      <c r="BW54" s="75">
        <f>(NOT(BW$14=exit))*IF($E54=1,Rentroll!$P42*'A&amp;R'!$AF$12*Rentroll!$H42,Rentroll!$P42*'A&amp;R'!$AF$11*Rentroll!$H42)*(MONTH($D54)=MONTH(BW$14))*(YEAR($D54)=YEAR(BW$14))*BW$11/unit</f>
        <v>0</v>
      </c>
      <c r="BX54" s="75">
        <f>(NOT(BX$14=exit))*IF($E54=1,Rentroll!$P42*'A&amp;R'!$AF$12*Rentroll!$H42,Rentroll!$P42*'A&amp;R'!$AF$11*Rentroll!$H42)*(MONTH($D54)=MONTH(BX$14))*(YEAR($D54)=YEAR(BX$14))*BX$11/unit</f>
        <v>0</v>
      </c>
      <c r="BY54" s="75">
        <f>(NOT(BY$14=exit))*IF($E54=1,Rentroll!$P42*'A&amp;R'!$AF$12*Rentroll!$H42,Rentroll!$P42*'A&amp;R'!$AF$11*Rentroll!$H42)*(MONTH($D54)=MONTH(BY$14))*(YEAR($D54)=YEAR(BY$14))*BY$11/unit</f>
        <v>0</v>
      </c>
      <c r="BZ54" s="75">
        <f>(NOT(BZ$14=exit))*IF($E54=1,Rentroll!$P42*'A&amp;R'!$AF$12*Rentroll!$H42,Rentroll!$P42*'A&amp;R'!$AF$11*Rentroll!$H42)*(MONTH($D54)=MONTH(BZ$14))*(YEAR($D54)=YEAR(BZ$14))*BZ$11/unit</f>
        <v>0</v>
      </c>
      <c r="CA54" s="75">
        <f>(NOT(CA$14=exit))*IF($E54=1,Rentroll!$P42*'A&amp;R'!$AF$12*Rentroll!$H42,Rentroll!$P42*'A&amp;R'!$AF$11*Rentroll!$H42)*(MONTH($D54)=MONTH(CA$14))*(YEAR($D54)=YEAR(CA$14))*CA$11/unit</f>
        <v>0</v>
      </c>
      <c r="CB54" s="75">
        <f>(NOT(CB$14=exit))*IF($E54=1,Rentroll!$P42*'A&amp;R'!$AF$12*Rentroll!$H42,Rentroll!$P42*'A&amp;R'!$AF$11*Rentroll!$H42)*(MONTH($D54)=MONTH(CB$14))*(YEAR($D54)=YEAR(CB$14))*CB$11/unit</f>
        <v>0</v>
      </c>
      <c r="CC54" s="75">
        <f>(NOT(CC$14=exit))*IF($E54=1,Rentroll!$P42*'A&amp;R'!$AF$12*Rentroll!$H42,Rentroll!$P42*'A&amp;R'!$AF$11*Rentroll!$H42)*(MONTH($D54)=MONTH(CC$14))*(YEAR($D54)=YEAR(CC$14))*CC$11/unit</f>
        <v>0</v>
      </c>
      <c r="CD54" s="75">
        <f>(NOT(CD$14=exit))*IF($E54=1,Rentroll!$P42*'A&amp;R'!$AF$12*Rentroll!$H42,Rentroll!$P42*'A&amp;R'!$AF$11*Rentroll!$H42)*(MONTH($D54)=MONTH(CD$14))*(YEAR($D54)=YEAR(CD$14))*CD$11/unit</f>
        <v>0</v>
      </c>
      <c r="CE54" s="75">
        <f>(NOT(CE$14=exit))*IF($E54=1,Rentroll!$P42*'A&amp;R'!$AF$12*Rentroll!$H42,Rentroll!$P42*'A&amp;R'!$AF$11*Rentroll!$H42)*(MONTH($D54)=MONTH(CE$14))*(YEAR($D54)=YEAR(CE$14))*CE$11/unit</f>
        <v>0</v>
      </c>
      <c r="CF54" s="75">
        <f>(NOT(CF$14=exit))*IF($E54=1,Rentroll!$P42*'A&amp;R'!$AF$12*Rentroll!$H42,Rentroll!$P42*'A&amp;R'!$AF$11*Rentroll!$H42)*(MONTH($D54)=MONTH(CF$14))*(YEAR($D54)=YEAR(CF$14))*CF$11/unit</f>
        <v>0</v>
      </c>
      <c r="CG54" s="75">
        <f>(NOT(CG$14=exit))*IF($E54=1,Rentroll!$P42*'A&amp;R'!$AF$12*Rentroll!$H42,Rentroll!$P42*'A&amp;R'!$AF$11*Rentroll!$H42)*(MONTH($D54)=MONTH(CG$14))*(YEAR($D54)=YEAR(CG$14))*CG$11/unit</f>
        <v>0</v>
      </c>
      <c r="CH54" s="75">
        <f>(NOT(CH$14=exit))*IF($E54=1,Rentroll!$P42*'A&amp;R'!$AF$12*Rentroll!$H42,Rentroll!$P42*'A&amp;R'!$AF$11*Rentroll!$H42)*(MONTH($D54)=MONTH(CH$14))*(YEAR($D54)=YEAR(CH$14))*CH$11/unit</f>
        <v>0</v>
      </c>
      <c r="CI54" s="75">
        <f>(NOT(CI$14=exit))*IF($E54=1,Rentroll!$P42*'A&amp;R'!$AF$12*Rentroll!$H42,Rentroll!$P42*'A&amp;R'!$AF$11*Rentroll!$H42)*(MONTH($D54)=MONTH(CI$14))*(YEAR($D54)=YEAR(CI$14))*CI$11/unit</f>
        <v>0</v>
      </c>
      <c r="CJ54" s="75">
        <f>(NOT(CJ$14=exit))*IF($E54=1,Rentroll!$P42*'A&amp;R'!$AF$12*Rentroll!$H42,Rentroll!$P42*'A&amp;R'!$AF$11*Rentroll!$H42)*(MONTH($D54)=MONTH(CJ$14))*(YEAR($D54)=YEAR(CJ$14))*CJ$11/unit</f>
        <v>0</v>
      </c>
      <c r="CK54" s="75">
        <f>(NOT(CK$14=exit))*IF($E54=1,Rentroll!$P42*'A&amp;R'!$AF$12*Rentroll!$H42,Rentroll!$P42*'A&amp;R'!$AF$11*Rentroll!$H42)*(MONTH($D54)=MONTH(CK$14))*(YEAR($D54)=YEAR(CK$14))*CK$11/unit</f>
        <v>0</v>
      </c>
      <c r="CL54" s="75">
        <f>(NOT(CL$14=exit))*IF($E54=1,Rentroll!$P42*'A&amp;R'!$AF$12*Rentroll!$H42,Rentroll!$P42*'A&amp;R'!$AF$11*Rentroll!$H42)*(MONTH($D54)=MONTH(CL$14))*(YEAR($D54)=YEAR(CL$14))*CL$11/unit</f>
        <v>0</v>
      </c>
      <c r="CM54" s="75">
        <f>(NOT(CM$14=exit))*IF($E54=1,Rentroll!$P42*'A&amp;R'!$AF$12*Rentroll!$H42,Rentroll!$P42*'A&amp;R'!$AF$11*Rentroll!$H42)*(MONTH($D54)=MONTH(CM$14))*(YEAR($D54)=YEAR(CM$14))*CM$11/unit</f>
        <v>0</v>
      </c>
      <c r="CN54" s="75">
        <f>(NOT(CN$14=exit))*IF($E54=1,Rentroll!$P42*'A&amp;R'!$AF$12*Rentroll!$H42,Rentroll!$P42*'A&amp;R'!$AF$11*Rentroll!$H42)*(MONTH($D54)=MONTH(CN$14))*(YEAR($D54)=YEAR(CN$14))*CN$11/unit</f>
        <v>0</v>
      </c>
      <c r="CO54" s="75">
        <f>(NOT(CO$14=exit))*IF($E54=1,Rentroll!$P42*'A&amp;R'!$AF$12*Rentroll!$H42,Rentroll!$P42*'A&amp;R'!$AF$11*Rentroll!$H42)*(MONTH($D54)=MONTH(CO$14))*(YEAR($D54)=YEAR(CO$14))*CO$11/unit</f>
        <v>0</v>
      </c>
      <c r="CP54" s="75">
        <f>(NOT(CP$14=exit))*IF($E54=1,Rentroll!$P42*'A&amp;R'!$AF$12*Rentroll!$H42,Rentroll!$P42*'A&amp;R'!$AF$11*Rentroll!$H42)*(MONTH($D54)=MONTH(CP$14))*(YEAR($D54)=YEAR(CP$14))*CP$11/unit</f>
        <v>0</v>
      </c>
      <c r="CQ54" s="75">
        <f>(NOT(CQ$14=exit))*IF($E54=1,Rentroll!$P42*'A&amp;R'!$AF$12*Rentroll!$H42,Rentroll!$P42*'A&amp;R'!$AF$11*Rentroll!$H42)*(MONTH($D54)=MONTH(CQ$14))*(YEAR($D54)=YEAR(CQ$14))*CQ$11/unit</f>
        <v>0</v>
      </c>
      <c r="CR54" s="75">
        <f>(NOT(CR$14=exit))*IF($E54=1,Rentroll!$P42*'A&amp;R'!$AF$12*Rentroll!$H42,Rentroll!$P42*'A&amp;R'!$AF$11*Rentroll!$H42)*(MONTH($D54)=MONTH(CR$14))*(YEAR($D54)=YEAR(CR$14))*CR$11/unit</f>
        <v>0</v>
      </c>
      <c r="CS54" s="75">
        <f>(NOT(CS$14=exit))*IF($E54=1,Rentroll!$P42*'A&amp;R'!$AF$12*Rentroll!$H42,Rentroll!$P42*'A&amp;R'!$AF$11*Rentroll!$H42)*(MONTH($D54)=MONTH(CS$14))*(YEAR($D54)=YEAR(CS$14))*CS$11/unit</f>
        <v>0</v>
      </c>
      <c r="CT54" s="75">
        <f>(NOT(CT$14=exit))*IF($E54=1,Rentroll!$P42*'A&amp;R'!$AF$12*Rentroll!$H42,Rentroll!$P42*'A&amp;R'!$AF$11*Rentroll!$H42)*(MONTH($D54)=MONTH(CT$14))*(YEAR($D54)=YEAR(CT$14))*CT$11/unit</f>
        <v>0</v>
      </c>
      <c r="CU54" s="75">
        <f>(NOT(CU$14=exit))*IF($E54=1,Rentroll!$P42*'A&amp;R'!$AF$12*Rentroll!$H42,Rentroll!$P42*'A&amp;R'!$AF$11*Rentroll!$H42)*(MONTH($D54)=MONTH(CU$14))*(YEAR($D54)=YEAR(CU$14))*CU$11/unit</f>
        <v>0</v>
      </c>
      <c r="CV54" s="75">
        <f>(NOT(CV$14=exit))*IF($E54=1,Rentroll!$P42*'A&amp;R'!$AF$12*Rentroll!$H42,Rentroll!$P42*'A&amp;R'!$AF$11*Rentroll!$H42)*(MONTH($D54)=MONTH(CV$14))*(YEAR($D54)=YEAR(CV$14))*CV$11/unit</f>
        <v>0</v>
      </c>
      <c r="CW54" s="75">
        <f>(NOT(CW$14=exit))*IF($E54=1,Rentroll!$P42*'A&amp;R'!$AF$12*Rentroll!$H42,Rentroll!$P42*'A&amp;R'!$AF$11*Rentroll!$H42)*(MONTH($D54)=MONTH(CW$14))*(YEAR($D54)=YEAR(CW$14))*CW$11/unit</f>
        <v>0</v>
      </c>
      <c r="CX54" s="75">
        <f>(NOT(CX$14=exit))*IF($E54=1,Rentroll!$P42*'A&amp;R'!$AF$12*Rentroll!$H42,Rentroll!$P42*'A&amp;R'!$AF$11*Rentroll!$H42)*(MONTH($D54)=MONTH(CX$14))*(YEAR($D54)=YEAR(CX$14))*CX$11/unit</f>
        <v>0</v>
      </c>
      <c r="CY54" s="75">
        <f>(NOT(CY$14=exit))*IF($E54=1,Rentroll!$P42*'A&amp;R'!$AF$12*Rentroll!$H42,Rentroll!$P42*'A&amp;R'!$AF$11*Rentroll!$H42)*(MONTH($D54)=MONTH(CY$14))*(YEAR($D54)=YEAR(CY$14))*CY$11/unit</f>
        <v>0</v>
      </c>
      <c r="CZ54" s="75">
        <f>(NOT(CZ$14=exit))*IF($E54=1,Rentroll!$P42*'A&amp;R'!$AF$12*Rentroll!$H42,Rentroll!$P42*'A&amp;R'!$AF$11*Rentroll!$H42)*(MONTH($D54)=MONTH(CZ$14))*(YEAR($D54)=YEAR(CZ$14))*CZ$11/unit</f>
        <v>0</v>
      </c>
      <c r="DA54" s="75">
        <f>(NOT(DA$14=exit))*IF($E54=1,Rentroll!$P42*'A&amp;R'!$AF$12*Rentroll!$H42,Rentroll!$P42*'A&amp;R'!$AF$11*Rentroll!$H42)*(MONTH($D54)=MONTH(DA$14))*(YEAR($D54)=YEAR(DA$14))*DA$11/unit</f>
        <v>0</v>
      </c>
      <c r="DB54" s="75">
        <f>(NOT(DB$14=exit))*IF($E54=1,Rentroll!$P42*'A&amp;R'!$AF$12*Rentroll!$H42,Rentroll!$P42*'A&amp;R'!$AF$11*Rentroll!$H42)*(MONTH($D54)=MONTH(DB$14))*(YEAR($D54)=YEAR(DB$14))*DB$11/unit</f>
        <v>0</v>
      </c>
    </row>
    <row r="55" spans="3:106">
      <c r="C55" s="27">
        <f>Rentroll!$C$43</f>
        <v>11</v>
      </c>
      <c r="D55" s="80">
        <f>VLOOKUP($C55,Rentroll!$C$37:$Z$60,9,FALSE)</f>
        <v>46904</v>
      </c>
      <c r="E55" s="150">
        <f>VLOOKUP($C55,Rentroll!$C$37:$Z$60,24,FALSE)</f>
        <v>0</v>
      </c>
      <c r="F55" s="75">
        <f t="shared" si="44"/>
        <v>30.259500218831036</v>
      </c>
      <c r="G55" s="75"/>
      <c r="H55" s="75">
        <f>(NOT(H$14=exit))*IF($E55=1,Rentroll!$P43*'A&amp;R'!$AF$12*Rentroll!$H43,Rentroll!$P43*'A&amp;R'!$AF$11*Rentroll!$H43)*(MONTH($D55)=MONTH(H$14))*(YEAR($D55)=YEAR(H$14))*H$11/unit</f>
        <v>0</v>
      </c>
      <c r="I55" s="75">
        <f>(NOT(I$14=exit))*IF($E55=1,Rentroll!$P43*'A&amp;R'!$AF$12*Rentroll!$H43,Rentroll!$P43*'A&amp;R'!$AF$11*Rentroll!$H43)*(MONTH($D55)=MONTH(I$14))*(YEAR($D55)=YEAR(I$14))*I$11/unit</f>
        <v>0</v>
      </c>
      <c r="J55" s="75">
        <f>(NOT(J$14=exit))*IF($E55=1,Rentroll!$P43*'A&amp;R'!$AF$12*Rentroll!$H43,Rentroll!$P43*'A&amp;R'!$AF$11*Rentroll!$H43)*(MONTH($D55)=MONTH(J$14))*(YEAR($D55)=YEAR(J$14))*J$11/unit</f>
        <v>0</v>
      </c>
      <c r="K55" s="75">
        <f>(NOT(K$14=exit))*IF($E55=1,Rentroll!$P43*'A&amp;R'!$AF$12*Rentroll!$H43,Rentroll!$P43*'A&amp;R'!$AF$11*Rentroll!$H43)*(MONTH($D55)=MONTH(K$14))*(YEAR($D55)=YEAR(K$14))*K$11/unit</f>
        <v>0</v>
      </c>
      <c r="L55" s="75">
        <f>(NOT(L$14=exit))*IF($E55=1,Rentroll!$P43*'A&amp;R'!$AF$12*Rentroll!$H43,Rentroll!$P43*'A&amp;R'!$AF$11*Rentroll!$H43)*(MONTH($D55)=MONTH(L$14))*(YEAR($D55)=YEAR(L$14))*L$11/unit</f>
        <v>0</v>
      </c>
      <c r="M55" s="75">
        <f>(NOT(M$14=exit))*IF($E55=1,Rentroll!$P43*'A&amp;R'!$AF$12*Rentroll!$H43,Rentroll!$P43*'A&amp;R'!$AF$11*Rentroll!$H43)*(MONTH($D55)=MONTH(M$14))*(YEAR($D55)=YEAR(M$14))*M$11/unit</f>
        <v>0</v>
      </c>
      <c r="N55" s="75">
        <f>(NOT(N$14=exit))*IF($E55=1,Rentroll!$P43*'A&amp;R'!$AF$12*Rentroll!$H43,Rentroll!$P43*'A&amp;R'!$AF$11*Rentroll!$H43)*(MONTH($D55)=MONTH(N$14))*(YEAR($D55)=YEAR(N$14))*N$11/unit</f>
        <v>0</v>
      </c>
      <c r="O55" s="75">
        <f>(NOT(O$14=exit))*IF($E55=1,Rentroll!$P43*'A&amp;R'!$AF$12*Rentroll!$H43,Rentroll!$P43*'A&amp;R'!$AF$11*Rentroll!$H43)*(MONTH($D55)=MONTH(O$14))*(YEAR($D55)=YEAR(O$14))*O$11/unit</f>
        <v>0</v>
      </c>
      <c r="P55" s="75">
        <f>(NOT(P$14=exit))*IF($E55=1,Rentroll!$P43*'A&amp;R'!$AF$12*Rentroll!$H43,Rentroll!$P43*'A&amp;R'!$AF$11*Rentroll!$H43)*(MONTH($D55)=MONTH(P$14))*(YEAR($D55)=YEAR(P$14))*P$11/unit</f>
        <v>0</v>
      </c>
      <c r="Q55" s="75">
        <f>(NOT(Q$14=exit))*IF($E55=1,Rentroll!$P43*'A&amp;R'!$AF$12*Rentroll!$H43,Rentroll!$P43*'A&amp;R'!$AF$11*Rentroll!$H43)*(MONTH($D55)=MONTH(Q$14))*(YEAR($D55)=YEAR(Q$14))*Q$11/unit</f>
        <v>0</v>
      </c>
      <c r="R55" s="75">
        <f>(NOT(R$14=exit))*IF($E55=1,Rentroll!$P43*'A&amp;R'!$AF$12*Rentroll!$H43,Rentroll!$P43*'A&amp;R'!$AF$11*Rentroll!$H43)*(MONTH($D55)=MONTH(R$14))*(YEAR($D55)=YEAR(R$14))*R$11/unit</f>
        <v>0</v>
      </c>
      <c r="S55" s="75">
        <f>(NOT(S$14=exit))*IF($E55=1,Rentroll!$P43*'A&amp;R'!$AF$12*Rentroll!$H43,Rentroll!$P43*'A&amp;R'!$AF$11*Rentroll!$H43)*(MONTH($D55)=MONTH(S$14))*(YEAR($D55)=YEAR(S$14))*S$11/unit</f>
        <v>0</v>
      </c>
      <c r="T55" s="75">
        <f>(NOT(T$14=exit))*IF($E55=1,Rentroll!$P43*'A&amp;R'!$AF$12*Rentroll!$H43,Rentroll!$P43*'A&amp;R'!$AF$11*Rentroll!$H43)*(MONTH($D55)=MONTH(T$14))*(YEAR($D55)=YEAR(T$14))*T$11/unit</f>
        <v>0</v>
      </c>
      <c r="U55" s="75">
        <f>(NOT(U$14=exit))*IF($E55=1,Rentroll!$P43*'A&amp;R'!$AF$12*Rentroll!$H43,Rentroll!$P43*'A&amp;R'!$AF$11*Rentroll!$H43)*(MONTH($D55)=MONTH(U$14))*(YEAR($D55)=YEAR(U$14))*U$11/unit</f>
        <v>0</v>
      </c>
      <c r="V55" s="75">
        <f>(NOT(V$14=exit))*IF($E55=1,Rentroll!$P43*'A&amp;R'!$AF$12*Rentroll!$H43,Rentroll!$P43*'A&amp;R'!$AF$11*Rentroll!$H43)*(MONTH($D55)=MONTH(V$14))*(YEAR($D55)=YEAR(V$14))*V$11/unit</f>
        <v>0</v>
      </c>
      <c r="W55" s="75">
        <f>(NOT(W$14=exit))*IF($E55=1,Rentroll!$P43*'A&amp;R'!$AF$12*Rentroll!$H43,Rentroll!$P43*'A&amp;R'!$AF$11*Rentroll!$H43)*(MONTH($D55)=MONTH(W$14))*(YEAR($D55)=YEAR(W$14))*W$11/unit</f>
        <v>0</v>
      </c>
      <c r="X55" s="75">
        <f>(NOT(X$14=exit))*IF($E55=1,Rentroll!$P43*'A&amp;R'!$AF$12*Rentroll!$H43,Rentroll!$P43*'A&amp;R'!$AF$11*Rentroll!$H43)*(MONTH($D55)=MONTH(X$14))*(YEAR($D55)=YEAR(X$14))*X$11/unit</f>
        <v>0</v>
      </c>
      <c r="Y55" s="75">
        <f>(NOT(Y$14=exit))*IF($E55=1,Rentroll!$P43*'A&amp;R'!$AF$12*Rentroll!$H43,Rentroll!$P43*'A&amp;R'!$AF$11*Rentroll!$H43)*(MONTH($D55)=MONTH(Y$14))*(YEAR($D55)=YEAR(Y$14))*Y$11/unit</f>
        <v>0</v>
      </c>
      <c r="Z55" s="75">
        <f>(NOT(Z$14=exit))*IF($E55=1,Rentroll!$P43*'A&amp;R'!$AF$12*Rentroll!$H43,Rentroll!$P43*'A&amp;R'!$AF$11*Rentroll!$H43)*(MONTH($D55)=MONTH(Z$14))*(YEAR($D55)=YEAR(Z$14))*Z$11/unit</f>
        <v>0</v>
      </c>
      <c r="AA55" s="75">
        <f>(NOT(AA$14=exit))*IF($E55=1,Rentroll!$P43*'A&amp;R'!$AF$12*Rentroll!$H43,Rentroll!$P43*'A&amp;R'!$AF$11*Rentroll!$H43)*(MONTH($D55)=MONTH(AA$14))*(YEAR($D55)=YEAR(AA$14))*AA$11/unit</f>
        <v>0</v>
      </c>
      <c r="AB55" s="75">
        <f>(NOT(AB$14=exit))*IF($E55=1,Rentroll!$P43*'A&amp;R'!$AF$12*Rentroll!$H43,Rentroll!$P43*'A&amp;R'!$AF$11*Rentroll!$H43)*(MONTH($D55)=MONTH(AB$14))*(YEAR($D55)=YEAR(AB$14))*AB$11/unit</f>
        <v>0</v>
      </c>
      <c r="AC55" s="75">
        <f>(NOT(AC$14=exit))*IF($E55=1,Rentroll!$P43*'A&amp;R'!$AF$12*Rentroll!$H43,Rentroll!$P43*'A&amp;R'!$AF$11*Rentroll!$H43)*(MONTH($D55)=MONTH(AC$14))*(YEAR($D55)=YEAR(AC$14))*AC$11/unit</f>
        <v>0</v>
      </c>
      <c r="AD55" s="75">
        <f>(NOT(AD$14=exit))*IF($E55=1,Rentroll!$P43*'A&amp;R'!$AF$12*Rentroll!$H43,Rentroll!$P43*'A&amp;R'!$AF$11*Rentroll!$H43)*(MONTH($D55)=MONTH(AD$14))*(YEAR($D55)=YEAR(AD$14))*AD$11/unit</f>
        <v>0</v>
      </c>
      <c r="AE55" s="75">
        <f>(NOT(AE$14=exit))*IF($E55=1,Rentroll!$P43*'A&amp;R'!$AF$12*Rentroll!$H43,Rentroll!$P43*'A&amp;R'!$AF$11*Rentroll!$H43)*(MONTH($D55)=MONTH(AE$14))*(YEAR($D55)=YEAR(AE$14))*AE$11/unit</f>
        <v>0</v>
      </c>
      <c r="AF55" s="75">
        <f>(NOT(AF$14=exit))*IF($E55=1,Rentroll!$P43*'A&amp;R'!$AF$12*Rentroll!$H43,Rentroll!$P43*'A&amp;R'!$AF$11*Rentroll!$H43)*(MONTH($D55)=MONTH(AF$14))*(YEAR($D55)=YEAR(AF$14))*AF$11/unit</f>
        <v>0</v>
      </c>
      <c r="AG55" s="75">
        <f>(NOT(AG$14=exit))*IF($E55=1,Rentroll!$P43*'A&amp;R'!$AF$12*Rentroll!$H43,Rentroll!$P43*'A&amp;R'!$AF$11*Rentroll!$H43)*(MONTH($D55)=MONTH(AG$14))*(YEAR($D55)=YEAR(AG$14))*AG$11/unit</f>
        <v>0</v>
      </c>
      <c r="AH55" s="75">
        <f>(NOT(AH$14=exit))*IF($E55=1,Rentroll!$P43*'A&amp;R'!$AF$12*Rentroll!$H43,Rentroll!$P43*'A&amp;R'!$AF$11*Rentroll!$H43)*(MONTH($D55)=MONTH(AH$14))*(YEAR($D55)=YEAR(AH$14))*AH$11/unit</f>
        <v>0</v>
      </c>
      <c r="AI55" s="75">
        <f>(NOT(AI$14=exit))*IF($E55=1,Rentroll!$P43*'A&amp;R'!$AF$12*Rentroll!$H43,Rentroll!$P43*'A&amp;R'!$AF$11*Rentroll!$H43)*(MONTH($D55)=MONTH(AI$14))*(YEAR($D55)=YEAR(AI$14))*AI$11/unit</f>
        <v>0</v>
      </c>
      <c r="AJ55" s="75">
        <f>(NOT(AJ$14=exit))*IF($E55=1,Rentroll!$P43*'A&amp;R'!$AF$12*Rentroll!$H43,Rentroll!$P43*'A&amp;R'!$AF$11*Rentroll!$H43)*(MONTH($D55)=MONTH(AJ$14))*(YEAR($D55)=YEAR(AJ$14))*AJ$11/unit</f>
        <v>0</v>
      </c>
      <c r="AK55" s="75">
        <f>(NOT(AK$14=exit))*IF($E55=1,Rentroll!$P43*'A&amp;R'!$AF$12*Rentroll!$H43,Rentroll!$P43*'A&amp;R'!$AF$11*Rentroll!$H43)*(MONTH($D55)=MONTH(AK$14))*(YEAR($D55)=YEAR(AK$14))*AK$11/unit</f>
        <v>0</v>
      </c>
      <c r="AL55" s="75">
        <f>(NOT(AL$14=exit))*IF($E55=1,Rentroll!$P43*'A&amp;R'!$AF$12*Rentroll!$H43,Rentroll!$P43*'A&amp;R'!$AF$11*Rentroll!$H43)*(MONTH($D55)=MONTH(AL$14))*(YEAR($D55)=YEAR(AL$14))*AL$11/unit</f>
        <v>0</v>
      </c>
      <c r="AM55" s="75">
        <f>(NOT(AM$14=exit))*IF($E55=1,Rentroll!$P43*'A&amp;R'!$AF$12*Rentroll!$H43,Rentroll!$P43*'A&amp;R'!$AF$11*Rentroll!$H43)*(MONTH($D55)=MONTH(AM$14))*(YEAR($D55)=YEAR(AM$14))*AM$11/unit</f>
        <v>0</v>
      </c>
      <c r="AN55" s="75">
        <f>(NOT(AN$14=exit))*IF($E55=1,Rentroll!$P43*'A&amp;R'!$AF$12*Rentroll!$H43,Rentroll!$P43*'A&amp;R'!$AF$11*Rentroll!$H43)*(MONTH($D55)=MONTH(AN$14))*(YEAR($D55)=YEAR(AN$14))*AN$11/unit</f>
        <v>0</v>
      </c>
      <c r="AO55" s="75">
        <f>(NOT(AO$14=exit))*IF($E55=1,Rentroll!$P43*'A&amp;R'!$AF$12*Rentroll!$H43,Rentroll!$P43*'A&amp;R'!$AF$11*Rentroll!$H43)*(MONTH($D55)=MONTH(AO$14))*(YEAR($D55)=YEAR(AO$14))*AO$11/unit</f>
        <v>0</v>
      </c>
      <c r="AP55" s="75">
        <f>(NOT(AP$14=exit))*IF($E55=1,Rentroll!$P43*'A&amp;R'!$AF$12*Rentroll!$H43,Rentroll!$P43*'A&amp;R'!$AF$11*Rentroll!$H43)*(MONTH($D55)=MONTH(AP$14))*(YEAR($D55)=YEAR(AP$14))*AP$11/unit</f>
        <v>0</v>
      </c>
      <c r="AQ55" s="75">
        <f>(NOT(AQ$14=exit))*IF($E55=1,Rentroll!$P43*'A&amp;R'!$AF$12*Rentroll!$H43,Rentroll!$P43*'A&amp;R'!$AF$11*Rentroll!$H43)*(MONTH($D55)=MONTH(AQ$14))*(YEAR($D55)=YEAR(AQ$14))*AQ$11/unit</f>
        <v>0</v>
      </c>
      <c r="AR55" s="75">
        <f>(NOT(AR$14=exit))*IF($E55=1,Rentroll!$P43*'A&amp;R'!$AF$12*Rentroll!$H43,Rentroll!$P43*'A&amp;R'!$AF$11*Rentroll!$H43)*(MONTH($D55)=MONTH(AR$14))*(YEAR($D55)=YEAR(AR$14))*AR$11/unit</f>
        <v>0</v>
      </c>
      <c r="AS55" s="75">
        <f>(NOT(AS$14=exit))*IF($E55=1,Rentroll!$P43*'A&amp;R'!$AF$12*Rentroll!$H43,Rentroll!$P43*'A&amp;R'!$AF$11*Rentroll!$H43)*(MONTH($D55)=MONTH(AS$14))*(YEAR($D55)=YEAR(AS$14))*AS$11/unit</f>
        <v>0</v>
      </c>
      <c r="AT55" s="75">
        <f>(NOT(AT$14=exit))*IF($E55=1,Rentroll!$P43*'A&amp;R'!$AF$12*Rentroll!$H43,Rentroll!$P43*'A&amp;R'!$AF$11*Rentroll!$H43)*(MONTH($D55)=MONTH(AT$14))*(YEAR($D55)=YEAR(AT$14))*AT$11/unit</f>
        <v>0</v>
      </c>
      <c r="AU55" s="75">
        <f>(NOT(AU$14=exit))*IF($E55=1,Rentroll!$P43*'A&amp;R'!$AF$12*Rentroll!$H43,Rentroll!$P43*'A&amp;R'!$AF$11*Rentroll!$H43)*(MONTH($D55)=MONTH(AU$14))*(YEAR($D55)=YEAR(AU$14))*AU$11/unit</f>
        <v>0</v>
      </c>
      <c r="AV55" s="75">
        <f>(NOT(AV$14=exit))*IF($E55=1,Rentroll!$P43*'A&amp;R'!$AF$12*Rentroll!$H43,Rentroll!$P43*'A&amp;R'!$AF$11*Rentroll!$H43)*(MONTH($D55)=MONTH(AV$14))*(YEAR($D55)=YEAR(AV$14))*AV$11/unit</f>
        <v>30.259500218831036</v>
      </c>
      <c r="AW55" s="75">
        <f>(NOT(AW$14=exit))*IF($E55=1,Rentroll!$P43*'A&amp;R'!$AF$12*Rentroll!$H43,Rentroll!$P43*'A&amp;R'!$AF$11*Rentroll!$H43)*(MONTH($D55)=MONTH(AW$14))*(YEAR($D55)=YEAR(AW$14))*AW$11/unit</f>
        <v>0</v>
      </c>
      <c r="AX55" s="75">
        <f>(NOT(AX$14=exit))*IF($E55=1,Rentroll!$P43*'A&amp;R'!$AF$12*Rentroll!$H43,Rentroll!$P43*'A&amp;R'!$AF$11*Rentroll!$H43)*(MONTH($D55)=MONTH(AX$14))*(YEAR($D55)=YEAR(AX$14))*AX$11/unit</f>
        <v>0</v>
      </c>
      <c r="AY55" s="75">
        <f>(NOT(AY$14=exit))*IF($E55=1,Rentroll!$P43*'A&amp;R'!$AF$12*Rentroll!$H43,Rentroll!$P43*'A&amp;R'!$AF$11*Rentroll!$H43)*(MONTH($D55)=MONTH(AY$14))*(YEAR($D55)=YEAR(AY$14))*AY$11/unit</f>
        <v>0</v>
      </c>
      <c r="AZ55" s="75">
        <f>(NOT(AZ$14=exit))*IF($E55=1,Rentroll!$P43*'A&amp;R'!$AF$12*Rentroll!$H43,Rentroll!$P43*'A&amp;R'!$AF$11*Rentroll!$H43)*(MONTH($D55)=MONTH(AZ$14))*(YEAR($D55)=YEAR(AZ$14))*AZ$11/unit</f>
        <v>0</v>
      </c>
      <c r="BA55" s="75">
        <f>(NOT(BA$14=exit))*IF($E55=1,Rentroll!$P43*'A&amp;R'!$AF$12*Rentroll!$H43,Rentroll!$P43*'A&amp;R'!$AF$11*Rentroll!$H43)*(MONTH($D55)=MONTH(BA$14))*(YEAR($D55)=YEAR(BA$14))*BA$11/unit</f>
        <v>0</v>
      </c>
      <c r="BB55" s="75">
        <f>(NOT(BB$14=exit))*IF($E55=1,Rentroll!$P43*'A&amp;R'!$AF$12*Rentroll!$H43,Rentroll!$P43*'A&amp;R'!$AF$11*Rentroll!$H43)*(MONTH($D55)=MONTH(BB$14))*(YEAR($D55)=YEAR(BB$14))*BB$11/unit</f>
        <v>0</v>
      </c>
      <c r="BC55" s="75">
        <f>(NOT(BC$14=exit))*IF($E55=1,Rentroll!$P43*'A&amp;R'!$AF$12*Rentroll!$H43,Rentroll!$P43*'A&amp;R'!$AF$11*Rentroll!$H43)*(MONTH($D55)=MONTH(BC$14))*(YEAR($D55)=YEAR(BC$14))*BC$11/unit</f>
        <v>0</v>
      </c>
      <c r="BD55" s="75">
        <f>(NOT(BD$14=exit))*IF($E55=1,Rentroll!$P43*'A&amp;R'!$AF$12*Rentroll!$H43,Rentroll!$P43*'A&amp;R'!$AF$11*Rentroll!$H43)*(MONTH($D55)=MONTH(BD$14))*(YEAR($D55)=YEAR(BD$14))*BD$11/unit</f>
        <v>0</v>
      </c>
      <c r="BE55" s="75">
        <f>(NOT(BE$14=exit))*IF($E55=1,Rentroll!$P43*'A&amp;R'!$AF$12*Rentroll!$H43,Rentroll!$P43*'A&amp;R'!$AF$11*Rentroll!$H43)*(MONTH($D55)=MONTH(BE$14))*(YEAR($D55)=YEAR(BE$14))*BE$11/unit</f>
        <v>0</v>
      </c>
      <c r="BF55" s="75">
        <f>(NOT(BF$14=exit))*IF($E55=1,Rentroll!$P43*'A&amp;R'!$AF$12*Rentroll!$H43,Rentroll!$P43*'A&amp;R'!$AF$11*Rentroll!$H43)*(MONTH($D55)=MONTH(BF$14))*(YEAR($D55)=YEAR(BF$14))*BF$11/unit</f>
        <v>0</v>
      </c>
      <c r="BG55" s="75">
        <f>(NOT(BG$14=exit))*IF($E55=1,Rentroll!$P43*'A&amp;R'!$AF$12*Rentroll!$H43,Rentroll!$P43*'A&amp;R'!$AF$11*Rentroll!$H43)*(MONTH($D55)=MONTH(BG$14))*(YEAR($D55)=YEAR(BG$14))*BG$11/unit</f>
        <v>0</v>
      </c>
      <c r="BH55" s="75">
        <f>(NOT(BH$14=exit))*IF($E55=1,Rentroll!$P43*'A&amp;R'!$AF$12*Rentroll!$H43,Rentroll!$P43*'A&amp;R'!$AF$11*Rentroll!$H43)*(MONTH($D55)=MONTH(BH$14))*(YEAR($D55)=YEAR(BH$14))*BH$11/unit</f>
        <v>0</v>
      </c>
      <c r="BI55" s="75">
        <f>(NOT(BI$14=exit))*IF($E55=1,Rentroll!$P43*'A&amp;R'!$AF$12*Rentroll!$H43,Rentroll!$P43*'A&amp;R'!$AF$11*Rentroll!$H43)*(MONTH($D55)=MONTH(BI$14))*(YEAR($D55)=YEAR(BI$14))*BI$11/unit</f>
        <v>0</v>
      </c>
      <c r="BJ55" s="75">
        <f>(NOT(BJ$14=exit))*IF($E55=1,Rentroll!$P43*'A&amp;R'!$AF$12*Rentroll!$H43,Rentroll!$P43*'A&amp;R'!$AF$11*Rentroll!$H43)*(MONTH($D55)=MONTH(BJ$14))*(YEAR($D55)=YEAR(BJ$14))*BJ$11/unit</f>
        <v>0</v>
      </c>
      <c r="BK55" s="75">
        <f>(NOT(BK$14=exit))*IF($E55=1,Rentroll!$P43*'A&amp;R'!$AF$12*Rentroll!$H43,Rentroll!$P43*'A&amp;R'!$AF$11*Rentroll!$H43)*(MONTH($D55)=MONTH(BK$14))*(YEAR($D55)=YEAR(BK$14))*BK$11/unit</f>
        <v>0</v>
      </c>
      <c r="BL55" s="75">
        <f>(NOT(BL$14=exit))*IF($E55=1,Rentroll!$P43*'A&amp;R'!$AF$12*Rentroll!$H43,Rentroll!$P43*'A&amp;R'!$AF$11*Rentroll!$H43)*(MONTH($D55)=MONTH(BL$14))*(YEAR($D55)=YEAR(BL$14))*BL$11/unit</f>
        <v>0</v>
      </c>
      <c r="BM55" s="75">
        <f>(NOT(BM$14=exit))*IF($E55=1,Rentroll!$P43*'A&amp;R'!$AF$12*Rentroll!$H43,Rentroll!$P43*'A&amp;R'!$AF$11*Rentroll!$H43)*(MONTH($D55)=MONTH(BM$14))*(YEAR($D55)=YEAR(BM$14))*BM$11/unit</f>
        <v>0</v>
      </c>
      <c r="BN55" s="75">
        <f>(NOT(BN$14=exit))*IF($E55=1,Rentroll!$P43*'A&amp;R'!$AF$12*Rentroll!$H43,Rentroll!$P43*'A&amp;R'!$AF$11*Rentroll!$H43)*(MONTH($D55)=MONTH(BN$14))*(YEAR($D55)=YEAR(BN$14))*BN$11/unit</f>
        <v>0</v>
      </c>
      <c r="BO55" s="75">
        <f>(NOT(BO$14=exit))*IF($E55=1,Rentroll!$P43*'A&amp;R'!$AF$12*Rentroll!$H43,Rentroll!$P43*'A&amp;R'!$AF$11*Rentroll!$H43)*(MONTH($D55)=MONTH(BO$14))*(YEAR($D55)=YEAR(BO$14))*BO$11/unit</f>
        <v>0</v>
      </c>
      <c r="BP55" s="75">
        <f>(NOT(BP$14=exit))*IF($E55=1,Rentroll!$P43*'A&amp;R'!$AF$12*Rentroll!$H43,Rentroll!$P43*'A&amp;R'!$AF$11*Rentroll!$H43)*(MONTH($D55)=MONTH(BP$14))*(YEAR($D55)=YEAR(BP$14))*BP$11/unit</f>
        <v>0</v>
      </c>
      <c r="BQ55" s="75">
        <f>(NOT(BQ$14=exit))*IF($E55=1,Rentroll!$P43*'A&amp;R'!$AF$12*Rentroll!$H43,Rentroll!$P43*'A&amp;R'!$AF$11*Rentroll!$H43)*(MONTH($D55)=MONTH(BQ$14))*(YEAR($D55)=YEAR(BQ$14))*BQ$11/unit</f>
        <v>0</v>
      </c>
      <c r="BR55" s="75">
        <f>(NOT(BR$14=exit))*IF($E55=1,Rentroll!$P43*'A&amp;R'!$AF$12*Rentroll!$H43,Rentroll!$P43*'A&amp;R'!$AF$11*Rentroll!$H43)*(MONTH($D55)=MONTH(BR$14))*(YEAR($D55)=YEAR(BR$14))*BR$11/unit</f>
        <v>0</v>
      </c>
      <c r="BS55" s="75">
        <f>(NOT(BS$14=exit))*IF($E55=1,Rentroll!$P43*'A&amp;R'!$AF$12*Rentroll!$H43,Rentroll!$P43*'A&amp;R'!$AF$11*Rentroll!$H43)*(MONTH($D55)=MONTH(BS$14))*(YEAR($D55)=YEAR(BS$14))*BS$11/unit</f>
        <v>0</v>
      </c>
      <c r="BT55" s="75">
        <f>(NOT(BT$14=exit))*IF($E55=1,Rentroll!$P43*'A&amp;R'!$AF$12*Rentroll!$H43,Rentroll!$P43*'A&amp;R'!$AF$11*Rentroll!$H43)*(MONTH($D55)=MONTH(BT$14))*(YEAR($D55)=YEAR(BT$14))*BT$11/unit</f>
        <v>0</v>
      </c>
      <c r="BU55" s="75">
        <f>(NOT(BU$14=exit))*IF($E55=1,Rentroll!$P43*'A&amp;R'!$AF$12*Rentroll!$H43,Rentroll!$P43*'A&amp;R'!$AF$11*Rentroll!$H43)*(MONTH($D55)=MONTH(BU$14))*(YEAR($D55)=YEAR(BU$14))*BU$11/unit</f>
        <v>0</v>
      </c>
      <c r="BV55" s="75">
        <f>(NOT(BV$14=exit))*IF($E55=1,Rentroll!$P43*'A&amp;R'!$AF$12*Rentroll!$H43,Rentroll!$P43*'A&amp;R'!$AF$11*Rentroll!$H43)*(MONTH($D55)=MONTH(BV$14))*(YEAR($D55)=YEAR(BV$14))*BV$11/unit</f>
        <v>0</v>
      </c>
      <c r="BW55" s="75">
        <f>(NOT(BW$14=exit))*IF($E55=1,Rentroll!$P43*'A&amp;R'!$AF$12*Rentroll!$H43,Rentroll!$P43*'A&amp;R'!$AF$11*Rentroll!$H43)*(MONTH($D55)=MONTH(BW$14))*(YEAR($D55)=YEAR(BW$14))*BW$11/unit</f>
        <v>0</v>
      </c>
      <c r="BX55" s="75">
        <f>(NOT(BX$14=exit))*IF($E55=1,Rentroll!$P43*'A&amp;R'!$AF$12*Rentroll!$H43,Rentroll!$P43*'A&amp;R'!$AF$11*Rentroll!$H43)*(MONTH($D55)=MONTH(BX$14))*(YEAR($D55)=YEAR(BX$14))*BX$11/unit</f>
        <v>0</v>
      </c>
      <c r="BY55" s="75">
        <f>(NOT(BY$14=exit))*IF($E55=1,Rentroll!$P43*'A&amp;R'!$AF$12*Rentroll!$H43,Rentroll!$P43*'A&amp;R'!$AF$11*Rentroll!$H43)*(MONTH($D55)=MONTH(BY$14))*(YEAR($D55)=YEAR(BY$14))*BY$11/unit</f>
        <v>0</v>
      </c>
      <c r="BZ55" s="75">
        <f>(NOT(BZ$14=exit))*IF($E55=1,Rentroll!$P43*'A&amp;R'!$AF$12*Rentroll!$H43,Rentroll!$P43*'A&amp;R'!$AF$11*Rentroll!$H43)*(MONTH($D55)=MONTH(BZ$14))*(YEAR($D55)=YEAR(BZ$14))*BZ$11/unit</f>
        <v>0</v>
      </c>
      <c r="CA55" s="75">
        <f>(NOT(CA$14=exit))*IF($E55=1,Rentroll!$P43*'A&amp;R'!$AF$12*Rentroll!$H43,Rentroll!$P43*'A&amp;R'!$AF$11*Rentroll!$H43)*(MONTH($D55)=MONTH(CA$14))*(YEAR($D55)=YEAR(CA$14))*CA$11/unit</f>
        <v>0</v>
      </c>
      <c r="CB55" s="75">
        <f>(NOT(CB$14=exit))*IF($E55=1,Rentroll!$P43*'A&amp;R'!$AF$12*Rentroll!$H43,Rentroll!$P43*'A&amp;R'!$AF$11*Rentroll!$H43)*(MONTH($D55)=MONTH(CB$14))*(YEAR($D55)=YEAR(CB$14))*CB$11/unit</f>
        <v>0</v>
      </c>
      <c r="CC55" s="75">
        <f>(NOT(CC$14=exit))*IF($E55=1,Rentroll!$P43*'A&amp;R'!$AF$12*Rentroll!$H43,Rentroll!$P43*'A&amp;R'!$AF$11*Rentroll!$H43)*(MONTH($D55)=MONTH(CC$14))*(YEAR($D55)=YEAR(CC$14))*CC$11/unit</f>
        <v>0</v>
      </c>
      <c r="CD55" s="75">
        <f>(NOT(CD$14=exit))*IF($E55=1,Rentroll!$P43*'A&amp;R'!$AF$12*Rentroll!$H43,Rentroll!$P43*'A&amp;R'!$AF$11*Rentroll!$H43)*(MONTH($D55)=MONTH(CD$14))*(YEAR($D55)=YEAR(CD$14))*CD$11/unit</f>
        <v>0</v>
      </c>
      <c r="CE55" s="75">
        <f>(NOT(CE$14=exit))*IF($E55=1,Rentroll!$P43*'A&amp;R'!$AF$12*Rentroll!$H43,Rentroll!$P43*'A&amp;R'!$AF$11*Rentroll!$H43)*(MONTH($D55)=MONTH(CE$14))*(YEAR($D55)=YEAR(CE$14))*CE$11/unit</f>
        <v>0</v>
      </c>
      <c r="CF55" s="75">
        <f>(NOT(CF$14=exit))*IF($E55=1,Rentroll!$P43*'A&amp;R'!$AF$12*Rentroll!$H43,Rentroll!$P43*'A&amp;R'!$AF$11*Rentroll!$H43)*(MONTH($D55)=MONTH(CF$14))*(YEAR($D55)=YEAR(CF$14))*CF$11/unit</f>
        <v>0</v>
      </c>
      <c r="CG55" s="75">
        <f>(NOT(CG$14=exit))*IF($E55=1,Rentroll!$P43*'A&amp;R'!$AF$12*Rentroll!$H43,Rentroll!$P43*'A&amp;R'!$AF$11*Rentroll!$H43)*(MONTH($D55)=MONTH(CG$14))*(YEAR($D55)=YEAR(CG$14))*CG$11/unit</f>
        <v>0</v>
      </c>
      <c r="CH55" s="75">
        <f>(NOT(CH$14=exit))*IF($E55=1,Rentroll!$P43*'A&amp;R'!$AF$12*Rentroll!$H43,Rentroll!$P43*'A&amp;R'!$AF$11*Rentroll!$H43)*(MONTH($D55)=MONTH(CH$14))*(YEAR($D55)=YEAR(CH$14))*CH$11/unit</f>
        <v>0</v>
      </c>
      <c r="CI55" s="75">
        <f>(NOT(CI$14=exit))*IF($E55=1,Rentroll!$P43*'A&amp;R'!$AF$12*Rentroll!$H43,Rentroll!$P43*'A&amp;R'!$AF$11*Rentroll!$H43)*(MONTH($D55)=MONTH(CI$14))*(YEAR($D55)=YEAR(CI$14))*CI$11/unit</f>
        <v>0</v>
      </c>
      <c r="CJ55" s="75">
        <f>(NOT(CJ$14=exit))*IF($E55=1,Rentroll!$P43*'A&amp;R'!$AF$12*Rentroll!$H43,Rentroll!$P43*'A&amp;R'!$AF$11*Rentroll!$H43)*(MONTH($D55)=MONTH(CJ$14))*(YEAR($D55)=YEAR(CJ$14))*CJ$11/unit</f>
        <v>0</v>
      </c>
      <c r="CK55" s="75">
        <f>(NOT(CK$14=exit))*IF($E55=1,Rentroll!$P43*'A&amp;R'!$AF$12*Rentroll!$H43,Rentroll!$P43*'A&amp;R'!$AF$11*Rentroll!$H43)*(MONTH($D55)=MONTH(CK$14))*(YEAR($D55)=YEAR(CK$14))*CK$11/unit</f>
        <v>0</v>
      </c>
      <c r="CL55" s="75">
        <f>(NOT(CL$14=exit))*IF($E55=1,Rentroll!$P43*'A&amp;R'!$AF$12*Rentroll!$H43,Rentroll!$P43*'A&amp;R'!$AF$11*Rentroll!$H43)*(MONTH($D55)=MONTH(CL$14))*(YEAR($D55)=YEAR(CL$14))*CL$11/unit</f>
        <v>0</v>
      </c>
      <c r="CM55" s="75">
        <f>(NOT(CM$14=exit))*IF($E55=1,Rentroll!$P43*'A&amp;R'!$AF$12*Rentroll!$H43,Rentroll!$P43*'A&amp;R'!$AF$11*Rentroll!$H43)*(MONTH($D55)=MONTH(CM$14))*(YEAR($D55)=YEAR(CM$14))*CM$11/unit</f>
        <v>0</v>
      </c>
      <c r="CN55" s="75">
        <f>(NOT(CN$14=exit))*IF($E55=1,Rentroll!$P43*'A&amp;R'!$AF$12*Rentroll!$H43,Rentroll!$P43*'A&amp;R'!$AF$11*Rentroll!$H43)*(MONTH($D55)=MONTH(CN$14))*(YEAR($D55)=YEAR(CN$14))*CN$11/unit</f>
        <v>0</v>
      </c>
      <c r="CO55" s="75">
        <f>(NOT(CO$14=exit))*IF($E55=1,Rentroll!$P43*'A&amp;R'!$AF$12*Rentroll!$H43,Rentroll!$P43*'A&amp;R'!$AF$11*Rentroll!$H43)*(MONTH($D55)=MONTH(CO$14))*(YEAR($D55)=YEAR(CO$14))*CO$11/unit</f>
        <v>0</v>
      </c>
      <c r="CP55" s="75">
        <f>(NOT(CP$14=exit))*IF($E55=1,Rentroll!$P43*'A&amp;R'!$AF$12*Rentroll!$H43,Rentroll!$P43*'A&amp;R'!$AF$11*Rentroll!$H43)*(MONTH($D55)=MONTH(CP$14))*(YEAR($D55)=YEAR(CP$14))*CP$11/unit</f>
        <v>0</v>
      </c>
      <c r="CQ55" s="75">
        <f>(NOT(CQ$14=exit))*IF($E55=1,Rentroll!$P43*'A&amp;R'!$AF$12*Rentroll!$H43,Rentroll!$P43*'A&amp;R'!$AF$11*Rentroll!$H43)*(MONTH($D55)=MONTH(CQ$14))*(YEAR($D55)=YEAR(CQ$14))*CQ$11/unit</f>
        <v>0</v>
      </c>
      <c r="CR55" s="75">
        <f>(NOT(CR$14=exit))*IF($E55=1,Rentroll!$P43*'A&amp;R'!$AF$12*Rentroll!$H43,Rentroll!$P43*'A&amp;R'!$AF$11*Rentroll!$H43)*(MONTH($D55)=MONTH(CR$14))*(YEAR($D55)=YEAR(CR$14))*CR$11/unit</f>
        <v>0</v>
      </c>
      <c r="CS55" s="75">
        <f>(NOT(CS$14=exit))*IF($E55=1,Rentroll!$P43*'A&amp;R'!$AF$12*Rentroll!$H43,Rentroll!$P43*'A&amp;R'!$AF$11*Rentroll!$H43)*(MONTH($D55)=MONTH(CS$14))*(YEAR($D55)=YEAR(CS$14))*CS$11/unit</f>
        <v>0</v>
      </c>
      <c r="CT55" s="75">
        <f>(NOT(CT$14=exit))*IF($E55=1,Rentroll!$P43*'A&amp;R'!$AF$12*Rentroll!$H43,Rentroll!$P43*'A&amp;R'!$AF$11*Rentroll!$H43)*(MONTH($D55)=MONTH(CT$14))*(YEAR($D55)=YEAR(CT$14))*CT$11/unit</f>
        <v>0</v>
      </c>
      <c r="CU55" s="75">
        <f>(NOT(CU$14=exit))*IF($E55=1,Rentroll!$P43*'A&amp;R'!$AF$12*Rentroll!$H43,Rentroll!$P43*'A&amp;R'!$AF$11*Rentroll!$H43)*(MONTH($D55)=MONTH(CU$14))*(YEAR($D55)=YEAR(CU$14))*CU$11/unit</f>
        <v>0</v>
      </c>
      <c r="CV55" s="75">
        <f>(NOT(CV$14=exit))*IF($E55=1,Rentroll!$P43*'A&amp;R'!$AF$12*Rentroll!$H43,Rentroll!$P43*'A&amp;R'!$AF$11*Rentroll!$H43)*(MONTH($D55)=MONTH(CV$14))*(YEAR($D55)=YEAR(CV$14))*CV$11/unit</f>
        <v>0</v>
      </c>
      <c r="CW55" s="75">
        <f>(NOT(CW$14=exit))*IF($E55=1,Rentroll!$P43*'A&amp;R'!$AF$12*Rentroll!$H43,Rentroll!$P43*'A&amp;R'!$AF$11*Rentroll!$H43)*(MONTH($D55)=MONTH(CW$14))*(YEAR($D55)=YEAR(CW$14))*CW$11/unit</f>
        <v>0</v>
      </c>
      <c r="CX55" s="75">
        <f>(NOT(CX$14=exit))*IF($E55=1,Rentroll!$P43*'A&amp;R'!$AF$12*Rentroll!$H43,Rentroll!$P43*'A&amp;R'!$AF$11*Rentroll!$H43)*(MONTH($D55)=MONTH(CX$14))*(YEAR($D55)=YEAR(CX$14))*CX$11/unit</f>
        <v>0</v>
      </c>
      <c r="CY55" s="75">
        <f>(NOT(CY$14=exit))*IF($E55=1,Rentroll!$P43*'A&amp;R'!$AF$12*Rentroll!$H43,Rentroll!$P43*'A&amp;R'!$AF$11*Rentroll!$H43)*(MONTH($D55)=MONTH(CY$14))*(YEAR($D55)=YEAR(CY$14))*CY$11/unit</f>
        <v>0</v>
      </c>
      <c r="CZ55" s="75">
        <f>(NOT(CZ$14=exit))*IF($E55=1,Rentroll!$P43*'A&amp;R'!$AF$12*Rentroll!$H43,Rentroll!$P43*'A&amp;R'!$AF$11*Rentroll!$H43)*(MONTH($D55)=MONTH(CZ$14))*(YEAR($D55)=YEAR(CZ$14))*CZ$11/unit</f>
        <v>0</v>
      </c>
      <c r="DA55" s="75">
        <f>(NOT(DA$14=exit))*IF($E55=1,Rentroll!$P43*'A&amp;R'!$AF$12*Rentroll!$H43,Rentroll!$P43*'A&amp;R'!$AF$11*Rentroll!$H43)*(MONTH($D55)=MONTH(DA$14))*(YEAR($D55)=YEAR(DA$14))*DA$11/unit</f>
        <v>0</v>
      </c>
      <c r="DB55" s="75">
        <f>(NOT(DB$14=exit))*IF($E55=1,Rentroll!$P43*'A&amp;R'!$AF$12*Rentroll!$H43,Rentroll!$P43*'A&amp;R'!$AF$11*Rentroll!$H43)*(MONTH($D55)=MONTH(DB$14))*(YEAR($D55)=YEAR(DB$14))*DB$11/unit</f>
        <v>0</v>
      </c>
    </row>
    <row r="56" spans="3:106">
      <c r="C56" s="27">
        <f>Rentroll!$C$44</f>
        <v>10</v>
      </c>
      <c r="D56" s="80">
        <f>VLOOKUP($C56,Rentroll!$C$37:$Z$60,9,FALSE)</f>
        <v>46904</v>
      </c>
      <c r="E56" s="150">
        <f>VLOOKUP($C56,Rentroll!$C$37:$Z$60,24,FALSE)</f>
        <v>0</v>
      </c>
      <c r="F56" s="75">
        <f t="shared" si="44"/>
        <v>30.259500218831036</v>
      </c>
      <c r="G56" s="75"/>
      <c r="H56" s="75">
        <f>(NOT(H$14=exit))*IF($E56=1,Rentroll!$P44*'A&amp;R'!$AF$12*Rentroll!$H44,Rentroll!$P44*'A&amp;R'!$AF$11*Rentroll!$H44)*(MONTH($D56)=MONTH(H$14))*(YEAR($D56)=YEAR(H$14))*H$11/unit</f>
        <v>0</v>
      </c>
      <c r="I56" s="75">
        <f>(NOT(I$14=exit))*IF($E56=1,Rentroll!$P44*'A&amp;R'!$AF$12*Rentroll!$H44,Rentroll!$P44*'A&amp;R'!$AF$11*Rentroll!$H44)*(MONTH($D56)=MONTH(I$14))*(YEAR($D56)=YEAR(I$14))*I$11/unit</f>
        <v>0</v>
      </c>
      <c r="J56" s="75">
        <f>(NOT(J$14=exit))*IF($E56=1,Rentroll!$P44*'A&amp;R'!$AF$12*Rentroll!$H44,Rentroll!$P44*'A&amp;R'!$AF$11*Rentroll!$H44)*(MONTH($D56)=MONTH(J$14))*(YEAR($D56)=YEAR(J$14))*J$11/unit</f>
        <v>0</v>
      </c>
      <c r="K56" s="75">
        <f>(NOT(K$14=exit))*IF($E56=1,Rentroll!$P44*'A&amp;R'!$AF$12*Rentroll!$H44,Rentroll!$P44*'A&amp;R'!$AF$11*Rentroll!$H44)*(MONTH($D56)=MONTH(K$14))*(YEAR($D56)=YEAR(K$14))*K$11/unit</f>
        <v>0</v>
      </c>
      <c r="L56" s="75">
        <f>(NOT(L$14=exit))*IF($E56=1,Rentroll!$P44*'A&amp;R'!$AF$12*Rentroll!$H44,Rentroll!$P44*'A&amp;R'!$AF$11*Rentroll!$H44)*(MONTH($D56)=MONTH(L$14))*(YEAR($D56)=YEAR(L$14))*L$11/unit</f>
        <v>0</v>
      </c>
      <c r="M56" s="75">
        <f>(NOT(M$14=exit))*IF($E56=1,Rentroll!$P44*'A&amp;R'!$AF$12*Rentroll!$H44,Rentroll!$P44*'A&amp;R'!$AF$11*Rentroll!$H44)*(MONTH($D56)=MONTH(M$14))*(YEAR($D56)=YEAR(M$14))*M$11/unit</f>
        <v>0</v>
      </c>
      <c r="N56" s="75">
        <f>(NOT(N$14=exit))*IF($E56=1,Rentroll!$P44*'A&amp;R'!$AF$12*Rentroll!$H44,Rentroll!$P44*'A&amp;R'!$AF$11*Rentroll!$H44)*(MONTH($D56)=MONTH(N$14))*(YEAR($D56)=YEAR(N$14))*N$11/unit</f>
        <v>0</v>
      </c>
      <c r="O56" s="75">
        <f>(NOT(O$14=exit))*IF($E56=1,Rentroll!$P44*'A&amp;R'!$AF$12*Rentroll!$H44,Rentroll!$P44*'A&amp;R'!$AF$11*Rentroll!$H44)*(MONTH($D56)=MONTH(O$14))*(YEAR($D56)=YEAR(O$14))*O$11/unit</f>
        <v>0</v>
      </c>
      <c r="P56" s="75">
        <f>(NOT(P$14=exit))*IF($E56=1,Rentroll!$P44*'A&amp;R'!$AF$12*Rentroll!$H44,Rentroll!$P44*'A&amp;R'!$AF$11*Rentroll!$H44)*(MONTH($D56)=MONTH(P$14))*(YEAR($D56)=YEAR(P$14))*P$11/unit</f>
        <v>0</v>
      </c>
      <c r="Q56" s="75">
        <f>(NOT(Q$14=exit))*IF($E56=1,Rentroll!$P44*'A&amp;R'!$AF$12*Rentroll!$H44,Rentroll!$P44*'A&amp;R'!$AF$11*Rentroll!$H44)*(MONTH($D56)=MONTH(Q$14))*(YEAR($D56)=YEAR(Q$14))*Q$11/unit</f>
        <v>0</v>
      </c>
      <c r="R56" s="75">
        <f>(NOT(R$14=exit))*IF($E56=1,Rentroll!$P44*'A&amp;R'!$AF$12*Rentroll!$H44,Rentroll!$P44*'A&amp;R'!$AF$11*Rentroll!$H44)*(MONTH($D56)=MONTH(R$14))*(YEAR($D56)=YEAR(R$14))*R$11/unit</f>
        <v>0</v>
      </c>
      <c r="S56" s="75">
        <f>(NOT(S$14=exit))*IF($E56=1,Rentroll!$P44*'A&amp;R'!$AF$12*Rentroll!$H44,Rentroll!$P44*'A&amp;R'!$AF$11*Rentroll!$H44)*(MONTH($D56)=MONTH(S$14))*(YEAR($D56)=YEAR(S$14))*S$11/unit</f>
        <v>0</v>
      </c>
      <c r="T56" s="75">
        <f>(NOT(T$14=exit))*IF($E56=1,Rentroll!$P44*'A&amp;R'!$AF$12*Rentroll!$H44,Rentroll!$P44*'A&amp;R'!$AF$11*Rentroll!$H44)*(MONTH($D56)=MONTH(T$14))*(YEAR($D56)=YEAR(T$14))*T$11/unit</f>
        <v>0</v>
      </c>
      <c r="U56" s="75">
        <f>(NOT(U$14=exit))*IF($E56=1,Rentroll!$P44*'A&amp;R'!$AF$12*Rentroll!$H44,Rentroll!$P44*'A&amp;R'!$AF$11*Rentroll!$H44)*(MONTH($D56)=MONTH(U$14))*(YEAR($D56)=YEAR(U$14))*U$11/unit</f>
        <v>0</v>
      </c>
      <c r="V56" s="75">
        <f>(NOT(V$14=exit))*IF($E56=1,Rentroll!$P44*'A&amp;R'!$AF$12*Rentroll!$H44,Rentroll!$P44*'A&amp;R'!$AF$11*Rentroll!$H44)*(MONTH($D56)=MONTH(V$14))*(YEAR($D56)=YEAR(V$14))*V$11/unit</f>
        <v>0</v>
      </c>
      <c r="W56" s="75">
        <f>(NOT(W$14=exit))*IF($E56=1,Rentroll!$P44*'A&amp;R'!$AF$12*Rentroll!$H44,Rentroll!$P44*'A&amp;R'!$AF$11*Rentroll!$H44)*(MONTH($D56)=MONTH(W$14))*(YEAR($D56)=YEAR(W$14))*W$11/unit</f>
        <v>0</v>
      </c>
      <c r="X56" s="75">
        <f>(NOT(X$14=exit))*IF($E56=1,Rentroll!$P44*'A&amp;R'!$AF$12*Rentroll!$H44,Rentroll!$P44*'A&amp;R'!$AF$11*Rentroll!$H44)*(MONTH($D56)=MONTH(X$14))*(YEAR($D56)=YEAR(X$14))*X$11/unit</f>
        <v>0</v>
      </c>
      <c r="Y56" s="75">
        <f>(NOT(Y$14=exit))*IF($E56=1,Rentroll!$P44*'A&amp;R'!$AF$12*Rentroll!$H44,Rentroll!$P44*'A&amp;R'!$AF$11*Rentroll!$H44)*(MONTH($D56)=MONTH(Y$14))*(YEAR($D56)=YEAR(Y$14))*Y$11/unit</f>
        <v>0</v>
      </c>
      <c r="Z56" s="75">
        <f>(NOT(Z$14=exit))*IF($E56=1,Rentroll!$P44*'A&amp;R'!$AF$12*Rentroll!$H44,Rentroll!$P44*'A&amp;R'!$AF$11*Rentroll!$H44)*(MONTH($D56)=MONTH(Z$14))*(YEAR($D56)=YEAR(Z$14))*Z$11/unit</f>
        <v>0</v>
      </c>
      <c r="AA56" s="75">
        <f>(NOT(AA$14=exit))*IF($E56=1,Rentroll!$P44*'A&amp;R'!$AF$12*Rentroll!$H44,Rentroll!$P44*'A&amp;R'!$AF$11*Rentroll!$H44)*(MONTH($D56)=MONTH(AA$14))*(YEAR($D56)=YEAR(AA$14))*AA$11/unit</f>
        <v>0</v>
      </c>
      <c r="AB56" s="75">
        <f>(NOT(AB$14=exit))*IF($E56=1,Rentroll!$P44*'A&amp;R'!$AF$12*Rentroll!$H44,Rentroll!$P44*'A&amp;R'!$AF$11*Rentroll!$H44)*(MONTH($D56)=MONTH(AB$14))*(YEAR($D56)=YEAR(AB$14))*AB$11/unit</f>
        <v>0</v>
      </c>
      <c r="AC56" s="75">
        <f>(NOT(AC$14=exit))*IF($E56=1,Rentroll!$P44*'A&amp;R'!$AF$12*Rentroll!$H44,Rentroll!$P44*'A&amp;R'!$AF$11*Rentroll!$H44)*(MONTH($D56)=MONTH(AC$14))*(YEAR($D56)=YEAR(AC$14))*AC$11/unit</f>
        <v>0</v>
      </c>
      <c r="AD56" s="75">
        <f>(NOT(AD$14=exit))*IF($E56=1,Rentroll!$P44*'A&amp;R'!$AF$12*Rentroll!$H44,Rentroll!$P44*'A&amp;R'!$AF$11*Rentroll!$H44)*(MONTH($D56)=MONTH(AD$14))*(YEAR($D56)=YEAR(AD$14))*AD$11/unit</f>
        <v>0</v>
      </c>
      <c r="AE56" s="75">
        <f>(NOT(AE$14=exit))*IF($E56=1,Rentroll!$P44*'A&amp;R'!$AF$12*Rentroll!$H44,Rentroll!$P44*'A&amp;R'!$AF$11*Rentroll!$H44)*(MONTH($D56)=MONTH(AE$14))*(YEAR($D56)=YEAR(AE$14))*AE$11/unit</f>
        <v>0</v>
      </c>
      <c r="AF56" s="75">
        <f>(NOT(AF$14=exit))*IF($E56=1,Rentroll!$P44*'A&amp;R'!$AF$12*Rentroll!$H44,Rentroll!$P44*'A&amp;R'!$AF$11*Rentroll!$H44)*(MONTH($D56)=MONTH(AF$14))*(YEAR($D56)=YEAR(AF$14))*AF$11/unit</f>
        <v>0</v>
      </c>
      <c r="AG56" s="75">
        <f>(NOT(AG$14=exit))*IF($E56=1,Rentroll!$P44*'A&amp;R'!$AF$12*Rentroll!$H44,Rentroll!$P44*'A&amp;R'!$AF$11*Rentroll!$H44)*(MONTH($D56)=MONTH(AG$14))*(YEAR($D56)=YEAR(AG$14))*AG$11/unit</f>
        <v>0</v>
      </c>
      <c r="AH56" s="75">
        <f>(NOT(AH$14=exit))*IF($E56=1,Rentroll!$P44*'A&amp;R'!$AF$12*Rentroll!$H44,Rentroll!$P44*'A&amp;R'!$AF$11*Rentroll!$H44)*(MONTH($D56)=MONTH(AH$14))*(YEAR($D56)=YEAR(AH$14))*AH$11/unit</f>
        <v>0</v>
      </c>
      <c r="AI56" s="75">
        <f>(NOT(AI$14=exit))*IF($E56=1,Rentroll!$P44*'A&amp;R'!$AF$12*Rentroll!$H44,Rentroll!$P44*'A&amp;R'!$AF$11*Rentroll!$H44)*(MONTH($D56)=MONTH(AI$14))*(YEAR($D56)=YEAR(AI$14))*AI$11/unit</f>
        <v>0</v>
      </c>
      <c r="AJ56" s="75">
        <f>(NOT(AJ$14=exit))*IF($E56=1,Rentroll!$P44*'A&amp;R'!$AF$12*Rentroll!$H44,Rentroll!$P44*'A&amp;R'!$AF$11*Rentroll!$H44)*(MONTH($D56)=MONTH(AJ$14))*(YEAR($D56)=YEAR(AJ$14))*AJ$11/unit</f>
        <v>0</v>
      </c>
      <c r="AK56" s="75">
        <f>(NOT(AK$14=exit))*IF($E56=1,Rentroll!$P44*'A&amp;R'!$AF$12*Rentroll!$H44,Rentroll!$P44*'A&amp;R'!$AF$11*Rentroll!$H44)*(MONTH($D56)=MONTH(AK$14))*(YEAR($D56)=YEAR(AK$14))*AK$11/unit</f>
        <v>0</v>
      </c>
      <c r="AL56" s="75">
        <f>(NOT(AL$14=exit))*IF($E56=1,Rentroll!$P44*'A&amp;R'!$AF$12*Rentroll!$H44,Rentroll!$P44*'A&amp;R'!$AF$11*Rentroll!$H44)*(MONTH($D56)=MONTH(AL$14))*(YEAR($D56)=YEAR(AL$14))*AL$11/unit</f>
        <v>0</v>
      </c>
      <c r="AM56" s="75">
        <f>(NOT(AM$14=exit))*IF($E56=1,Rentroll!$P44*'A&amp;R'!$AF$12*Rentroll!$H44,Rentroll!$P44*'A&amp;R'!$AF$11*Rentroll!$H44)*(MONTH($D56)=MONTH(AM$14))*(YEAR($D56)=YEAR(AM$14))*AM$11/unit</f>
        <v>0</v>
      </c>
      <c r="AN56" s="75">
        <f>(NOT(AN$14=exit))*IF($E56=1,Rentroll!$P44*'A&amp;R'!$AF$12*Rentroll!$H44,Rentroll!$P44*'A&amp;R'!$AF$11*Rentroll!$H44)*(MONTH($D56)=MONTH(AN$14))*(YEAR($D56)=YEAR(AN$14))*AN$11/unit</f>
        <v>0</v>
      </c>
      <c r="AO56" s="75">
        <f>(NOT(AO$14=exit))*IF($E56=1,Rentroll!$P44*'A&amp;R'!$AF$12*Rentroll!$H44,Rentroll!$P44*'A&amp;R'!$AF$11*Rentroll!$H44)*(MONTH($D56)=MONTH(AO$14))*(YEAR($D56)=YEAR(AO$14))*AO$11/unit</f>
        <v>0</v>
      </c>
      <c r="AP56" s="75">
        <f>(NOT(AP$14=exit))*IF($E56=1,Rentroll!$P44*'A&amp;R'!$AF$12*Rentroll!$H44,Rentroll!$P44*'A&amp;R'!$AF$11*Rentroll!$H44)*(MONTH($D56)=MONTH(AP$14))*(YEAR($D56)=YEAR(AP$14))*AP$11/unit</f>
        <v>0</v>
      </c>
      <c r="AQ56" s="75">
        <f>(NOT(AQ$14=exit))*IF($E56=1,Rentroll!$P44*'A&amp;R'!$AF$12*Rentroll!$H44,Rentroll!$P44*'A&amp;R'!$AF$11*Rentroll!$H44)*(MONTH($D56)=MONTH(AQ$14))*(YEAR($D56)=YEAR(AQ$14))*AQ$11/unit</f>
        <v>0</v>
      </c>
      <c r="AR56" s="75">
        <f>(NOT(AR$14=exit))*IF($E56=1,Rentroll!$P44*'A&amp;R'!$AF$12*Rentroll!$H44,Rentroll!$P44*'A&amp;R'!$AF$11*Rentroll!$H44)*(MONTH($D56)=MONTH(AR$14))*(YEAR($D56)=YEAR(AR$14))*AR$11/unit</f>
        <v>0</v>
      </c>
      <c r="AS56" s="75">
        <f>(NOT(AS$14=exit))*IF($E56=1,Rentroll!$P44*'A&amp;R'!$AF$12*Rentroll!$H44,Rentroll!$P44*'A&amp;R'!$AF$11*Rentroll!$H44)*(MONTH($D56)=MONTH(AS$14))*(YEAR($D56)=YEAR(AS$14))*AS$11/unit</f>
        <v>0</v>
      </c>
      <c r="AT56" s="75">
        <f>(NOT(AT$14=exit))*IF($E56=1,Rentroll!$P44*'A&amp;R'!$AF$12*Rentroll!$H44,Rentroll!$P44*'A&amp;R'!$AF$11*Rentroll!$H44)*(MONTH($D56)=MONTH(AT$14))*(YEAR($D56)=YEAR(AT$14))*AT$11/unit</f>
        <v>0</v>
      </c>
      <c r="AU56" s="75">
        <f>(NOT(AU$14=exit))*IF($E56=1,Rentroll!$P44*'A&amp;R'!$AF$12*Rentroll!$H44,Rentroll!$P44*'A&amp;R'!$AF$11*Rentroll!$H44)*(MONTH($D56)=MONTH(AU$14))*(YEAR($D56)=YEAR(AU$14))*AU$11/unit</f>
        <v>0</v>
      </c>
      <c r="AV56" s="75">
        <f>(NOT(AV$14=exit))*IF($E56=1,Rentroll!$P44*'A&amp;R'!$AF$12*Rentroll!$H44,Rentroll!$P44*'A&amp;R'!$AF$11*Rentroll!$H44)*(MONTH($D56)=MONTH(AV$14))*(YEAR($D56)=YEAR(AV$14))*AV$11/unit</f>
        <v>30.259500218831036</v>
      </c>
      <c r="AW56" s="75">
        <f>(NOT(AW$14=exit))*IF($E56=1,Rentroll!$P44*'A&amp;R'!$AF$12*Rentroll!$H44,Rentroll!$P44*'A&amp;R'!$AF$11*Rentroll!$H44)*(MONTH($D56)=MONTH(AW$14))*(YEAR($D56)=YEAR(AW$14))*AW$11/unit</f>
        <v>0</v>
      </c>
      <c r="AX56" s="75">
        <f>(NOT(AX$14=exit))*IF($E56=1,Rentroll!$P44*'A&amp;R'!$AF$12*Rentroll!$H44,Rentroll!$P44*'A&amp;R'!$AF$11*Rentroll!$H44)*(MONTH($D56)=MONTH(AX$14))*(YEAR($D56)=YEAR(AX$14))*AX$11/unit</f>
        <v>0</v>
      </c>
      <c r="AY56" s="75">
        <f>(NOT(AY$14=exit))*IF($E56=1,Rentroll!$P44*'A&amp;R'!$AF$12*Rentroll!$H44,Rentroll!$P44*'A&amp;R'!$AF$11*Rentroll!$H44)*(MONTH($D56)=MONTH(AY$14))*(YEAR($D56)=YEAR(AY$14))*AY$11/unit</f>
        <v>0</v>
      </c>
      <c r="AZ56" s="75">
        <f>(NOT(AZ$14=exit))*IF($E56=1,Rentroll!$P44*'A&amp;R'!$AF$12*Rentroll!$H44,Rentroll!$P44*'A&amp;R'!$AF$11*Rentroll!$H44)*(MONTH($D56)=MONTH(AZ$14))*(YEAR($D56)=YEAR(AZ$14))*AZ$11/unit</f>
        <v>0</v>
      </c>
      <c r="BA56" s="75">
        <f>(NOT(BA$14=exit))*IF($E56=1,Rentroll!$P44*'A&amp;R'!$AF$12*Rentroll!$H44,Rentroll!$P44*'A&amp;R'!$AF$11*Rentroll!$H44)*(MONTH($D56)=MONTH(BA$14))*(YEAR($D56)=YEAR(BA$14))*BA$11/unit</f>
        <v>0</v>
      </c>
      <c r="BB56" s="75">
        <f>(NOT(BB$14=exit))*IF($E56=1,Rentroll!$P44*'A&amp;R'!$AF$12*Rentroll!$H44,Rentroll!$P44*'A&amp;R'!$AF$11*Rentroll!$H44)*(MONTH($D56)=MONTH(BB$14))*(YEAR($D56)=YEAR(BB$14))*BB$11/unit</f>
        <v>0</v>
      </c>
      <c r="BC56" s="75">
        <f>(NOT(BC$14=exit))*IF($E56=1,Rentroll!$P44*'A&amp;R'!$AF$12*Rentroll!$H44,Rentroll!$P44*'A&amp;R'!$AF$11*Rentroll!$H44)*(MONTH($D56)=MONTH(BC$14))*(YEAR($D56)=YEAR(BC$14))*BC$11/unit</f>
        <v>0</v>
      </c>
      <c r="BD56" s="75">
        <f>(NOT(BD$14=exit))*IF($E56=1,Rentroll!$P44*'A&amp;R'!$AF$12*Rentroll!$H44,Rentroll!$P44*'A&amp;R'!$AF$11*Rentroll!$H44)*(MONTH($D56)=MONTH(BD$14))*(YEAR($D56)=YEAR(BD$14))*BD$11/unit</f>
        <v>0</v>
      </c>
      <c r="BE56" s="75">
        <f>(NOT(BE$14=exit))*IF($E56=1,Rentroll!$P44*'A&amp;R'!$AF$12*Rentroll!$H44,Rentroll!$P44*'A&amp;R'!$AF$11*Rentroll!$H44)*(MONTH($D56)=MONTH(BE$14))*(YEAR($D56)=YEAR(BE$14))*BE$11/unit</f>
        <v>0</v>
      </c>
      <c r="BF56" s="75">
        <f>(NOT(BF$14=exit))*IF($E56=1,Rentroll!$P44*'A&amp;R'!$AF$12*Rentroll!$H44,Rentroll!$P44*'A&amp;R'!$AF$11*Rentroll!$H44)*(MONTH($D56)=MONTH(BF$14))*(YEAR($D56)=YEAR(BF$14))*BF$11/unit</f>
        <v>0</v>
      </c>
      <c r="BG56" s="75">
        <f>(NOT(BG$14=exit))*IF($E56=1,Rentroll!$P44*'A&amp;R'!$AF$12*Rentroll!$H44,Rentroll!$P44*'A&amp;R'!$AF$11*Rentroll!$H44)*(MONTH($D56)=MONTH(BG$14))*(YEAR($D56)=YEAR(BG$14))*BG$11/unit</f>
        <v>0</v>
      </c>
      <c r="BH56" s="75">
        <f>(NOT(BH$14=exit))*IF($E56=1,Rentroll!$P44*'A&amp;R'!$AF$12*Rentroll!$H44,Rentroll!$P44*'A&amp;R'!$AF$11*Rentroll!$H44)*(MONTH($D56)=MONTH(BH$14))*(YEAR($D56)=YEAR(BH$14))*BH$11/unit</f>
        <v>0</v>
      </c>
      <c r="BI56" s="75">
        <f>(NOT(BI$14=exit))*IF($E56=1,Rentroll!$P44*'A&amp;R'!$AF$12*Rentroll!$H44,Rentroll!$P44*'A&amp;R'!$AF$11*Rentroll!$H44)*(MONTH($D56)=MONTH(BI$14))*(YEAR($D56)=YEAR(BI$14))*BI$11/unit</f>
        <v>0</v>
      </c>
      <c r="BJ56" s="75">
        <f>(NOT(BJ$14=exit))*IF($E56=1,Rentroll!$P44*'A&amp;R'!$AF$12*Rentroll!$H44,Rentroll!$P44*'A&amp;R'!$AF$11*Rentroll!$H44)*(MONTH($D56)=MONTH(BJ$14))*(YEAR($D56)=YEAR(BJ$14))*BJ$11/unit</f>
        <v>0</v>
      </c>
      <c r="BK56" s="75">
        <f>(NOT(BK$14=exit))*IF($E56=1,Rentroll!$P44*'A&amp;R'!$AF$12*Rentroll!$H44,Rentroll!$P44*'A&amp;R'!$AF$11*Rentroll!$H44)*(MONTH($D56)=MONTH(BK$14))*(YEAR($D56)=YEAR(BK$14))*BK$11/unit</f>
        <v>0</v>
      </c>
      <c r="BL56" s="75">
        <f>(NOT(BL$14=exit))*IF($E56=1,Rentroll!$P44*'A&amp;R'!$AF$12*Rentroll!$H44,Rentroll!$P44*'A&amp;R'!$AF$11*Rentroll!$H44)*(MONTH($D56)=MONTH(BL$14))*(YEAR($D56)=YEAR(BL$14))*BL$11/unit</f>
        <v>0</v>
      </c>
      <c r="BM56" s="75">
        <f>(NOT(BM$14=exit))*IF($E56=1,Rentroll!$P44*'A&amp;R'!$AF$12*Rentroll!$H44,Rentroll!$P44*'A&amp;R'!$AF$11*Rentroll!$H44)*(MONTH($D56)=MONTH(BM$14))*(YEAR($D56)=YEAR(BM$14))*BM$11/unit</f>
        <v>0</v>
      </c>
      <c r="BN56" s="75">
        <f>(NOT(BN$14=exit))*IF($E56=1,Rentroll!$P44*'A&amp;R'!$AF$12*Rentroll!$H44,Rentroll!$P44*'A&amp;R'!$AF$11*Rentroll!$H44)*(MONTH($D56)=MONTH(BN$14))*(YEAR($D56)=YEAR(BN$14))*BN$11/unit</f>
        <v>0</v>
      </c>
      <c r="BO56" s="75">
        <f>(NOT(BO$14=exit))*IF($E56=1,Rentroll!$P44*'A&amp;R'!$AF$12*Rentroll!$H44,Rentroll!$P44*'A&amp;R'!$AF$11*Rentroll!$H44)*(MONTH($D56)=MONTH(BO$14))*(YEAR($D56)=YEAR(BO$14))*BO$11/unit</f>
        <v>0</v>
      </c>
      <c r="BP56" s="75">
        <f>(NOT(BP$14=exit))*IF($E56=1,Rentroll!$P44*'A&amp;R'!$AF$12*Rentroll!$H44,Rentroll!$P44*'A&amp;R'!$AF$11*Rentroll!$H44)*(MONTH($D56)=MONTH(BP$14))*(YEAR($D56)=YEAR(BP$14))*BP$11/unit</f>
        <v>0</v>
      </c>
      <c r="BQ56" s="75">
        <f>(NOT(BQ$14=exit))*IF($E56=1,Rentroll!$P44*'A&amp;R'!$AF$12*Rentroll!$H44,Rentroll!$P44*'A&amp;R'!$AF$11*Rentroll!$H44)*(MONTH($D56)=MONTH(BQ$14))*(YEAR($D56)=YEAR(BQ$14))*BQ$11/unit</f>
        <v>0</v>
      </c>
      <c r="BR56" s="75">
        <f>(NOT(BR$14=exit))*IF($E56=1,Rentroll!$P44*'A&amp;R'!$AF$12*Rentroll!$H44,Rentroll!$P44*'A&amp;R'!$AF$11*Rentroll!$H44)*(MONTH($D56)=MONTH(BR$14))*(YEAR($D56)=YEAR(BR$14))*BR$11/unit</f>
        <v>0</v>
      </c>
      <c r="BS56" s="75">
        <f>(NOT(BS$14=exit))*IF($E56=1,Rentroll!$P44*'A&amp;R'!$AF$12*Rentroll!$H44,Rentroll!$P44*'A&amp;R'!$AF$11*Rentroll!$H44)*(MONTH($D56)=MONTH(BS$14))*(YEAR($D56)=YEAR(BS$14))*BS$11/unit</f>
        <v>0</v>
      </c>
      <c r="BT56" s="75">
        <f>(NOT(BT$14=exit))*IF($E56=1,Rentroll!$P44*'A&amp;R'!$AF$12*Rentroll!$H44,Rentroll!$P44*'A&amp;R'!$AF$11*Rentroll!$H44)*(MONTH($D56)=MONTH(BT$14))*(YEAR($D56)=YEAR(BT$14))*BT$11/unit</f>
        <v>0</v>
      </c>
      <c r="BU56" s="75">
        <f>(NOT(BU$14=exit))*IF($E56=1,Rentroll!$P44*'A&amp;R'!$AF$12*Rentroll!$H44,Rentroll!$P44*'A&amp;R'!$AF$11*Rentroll!$H44)*(MONTH($D56)=MONTH(BU$14))*(YEAR($D56)=YEAR(BU$14))*BU$11/unit</f>
        <v>0</v>
      </c>
      <c r="BV56" s="75">
        <f>(NOT(BV$14=exit))*IF($E56=1,Rentroll!$P44*'A&amp;R'!$AF$12*Rentroll!$H44,Rentroll!$P44*'A&amp;R'!$AF$11*Rentroll!$H44)*(MONTH($D56)=MONTH(BV$14))*(YEAR($D56)=YEAR(BV$14))*BV$11/unit</f>
        <v>0</v>
      </c>
      <c r="BW56" s="75">
        <f>(NOT(BW$14=exit))*IF($E56=1,Rentroll!$P44*'A&amp;R'!$AF$12*Rentroll!$H44,Rentroll!$P44*'A&amp;R'!$AF$11*Rentroll!$H44)*(MONTH($D56)=MONTH(BW$14))*(YEAR($D56)=YEAR(BW$14))*BW$11/unit</f>
        <v>0</v>
      </c>
      <c r="BX56" s="75">
        <f>(NOT(BX$14=exit))*IF($E56=1,Rentroll!$P44*'A&amp;R'!$AF$12*Rentroll!$H44,Rentroll!$P44*'A&amp;R'!$AF$11*Rentroll!$H44)*(MONTH($D56)=MONTH(BX$14))*(YEAR($D56)=YEAR(BX$14))*BX$11/unit</f>
        <v>0</v>
      </c>
      <c r="BY56" s="75">
        <f>(NOT(BY$14=exit))*IF($E56=1,Rentroll!$P44*'A&amp;R'!$AF$12*Rentroll!$H44,Rentroll!$P44*'A&amp;R'!$AF$11*Rentroll!$H44)*(MONTH($D56)=MONTH(BY$14))*(YEAR($D56)=YEAR(BY$14))*BY$11/unit</f>
        <v>0</v>
      </c>
      <c r="BZ56" s="75">
        <f>(NOT(BZ$14=exit))*IF($E56=1,Rentroll!$P44*'A&amp;R'!$AF$12*Rentroll!$H44,Rentroll!$P44*'A&amp;R'!$AF$11*Rentroll!$H44)*(MONTH($D56)=MONTH(BZ$14))*(YEAR($D56)=YEAR(BZ$14))*BZ$11/unit</f>
        <v>0</v>
      </c>
      <c r="CA56" s="75">
        <f>(NOT(CA$14=exit))*IF($E56=1,Rentroll!$P44*'A&amp;R'!$AF$12*Rentroll!$H44,Rentroll!$P44*'A&amp;R'!$AF$11*Rentroll!$H44)*(MONTH($D56)=MONTH(CA$14))*(YEAR($D56)=YEAR(CA$14))*CA$11/unit</f>
        <v>0</v>
      </c>
      <c r="CB56" s="75">
        <f>(NOT(CB$14=exit))*IF($E56=1,Rentroll!$P44*'A&amp;R'!$AF$12*Rentroll!$H44,Rentroll!$P44*'A&amp;R'!$AF$11*Rentroll!$H44)*(MONTH($D56)=MONTH(CB$14))*(YEAR($D56)=YEAR(CB$14))*CB$11/unit</f>
        <v>0</v>
      </c>
      <c r="CC56" s="75">
        <f>(NOT(CC$14=exit))*IF($E56=1,Rentroll!$P44*'A&amp;R'!$AF$12*Rentroll!$H44,Rentroll!$P44*'A&amp;R'!$AF$11*Rentroll!$H44)*(MONTH($D56)=MONTH(CC$14))*(YEAR($D56)=YEAR(CC$14))*CC$11/unit</f>
        <v>0</v>
      </c>
      <c r="CD56" s="75">
        <f>(NOT(CD$14=exit))*IF($E56=1,Rentroll!$P44*'A&amp;R'!$AF$12*Rentroll!$H44,Rentroll!$P44*'A&amp;R'!$AF$11*Rentroll!$H44)*(MONTH($D56)=MONTH(CD$14))*(YEAR($D56)=YEAR(CD$14))*CD$11/unit</f>
        <v>0</v>
      </c>
      <c r="CE56" s="75">
        <f>(NOT(CE$14=exit))*IF($E56=1,Rentroll!$P44*'A&amp;R'!$AF$12*Rentroll!$H44,Rentroll!$P44*'A&amp;R'!$AF$11*Rentroll!$H44)*(MONTH($D56)=MONTH(CE$14))*(YEAR($D56)=YEAR(CE$14))*CE$11/unit</f>
        <v>0</v>
      </c>
      <c r="CF56" s="75">
        <f>(NOT(CF$14=exit))*IF($E56=1,Rentroll!$P44*'A&amp;R'!$AF$12*Rentroll!$H44,Rentroll!$P44*'A&amp;R'!$AF$11*Rentroll!$H44)*(MONTH($D56)=MONTH(CF$14))*(YEAR($D56)=YEAR(CF$14))*CF$11/unit</f>
        <v>0</v>
      </c>
      <c r="CG56" s="75">
        <f>(NOT(CG$14=exit))*IF($E56=1,Rentroll!$P44*'A&amp;R'!$AF$12*Rentroll!$H44,Rentroll!$P44*'A&amp;R'!$AF$11*Rentroll!$H44)*(MONTH($D56)=MONTH(CG$14))*(YEAR($D56)=YEAR(CG$14))*CG$11/unit</f>
        <v>0</v>
      </c>
      <c r="CH56" s="75">
        <f>(NOT(CH$14=exit))*IF($E56=1,Rentroll!$P44*'A&amp;R'!$AF$12*Rentroll!$H44,Rentroll!$P44*'A&amp;R'!$AF$11*Rentroll!$H44)*(MONTH($D56)=MONTH(CH$14))*(YEAR($D56)=YEAR(CH$14))*CH$11/unit</f>
        <v>0</v>
      </c>
      <c r="CI56" s="75">
        <f>(NOT(CI$14=exit))*IF($E56=1,Rentroll!$P44*'A&amp;R'!$AF$12*Rentroll!$H44,Rentroll!$P44*'A&amp;R'!$AF$11*Rentroll!$H44)*(MONTH($D56)=MONTH(CI$14))*(YEAR($D56)=YEAR(CI$14))*CI$11/unit</f>
        <v>0</v>
      </c>
      <c r="CJ56" s="75">
        <f>(NOT(CJ$14=exit))*IF($E56=1,Rentroll!$P44*'A&amp;R'!$AF$12*Rentroll!$H44,Rentroll!$P44*'A&amp;R'!$AF$11*Rentroll!$H44)*(MONTH($D56)=MONTH(CJ$14))*(YEAR($D56)=YEAR(CJ$14))*CJ$11/unit</f>
        <v>0</v>
      </c>
      <c r="CK56" s="75">
        <f>(NOT(CK$14=exit))*IF($E56=1,Rentroll!$P44*'A&amp;R'!$AF$12*Rentroll!$H44,Rentroll!$P44*'A&amp;R'!$AF$11*Rentroll!$H44)*(MONTH($D56)=MONTH(CK$14))*(YEAR($D56)=YEAR(CK$14))*CK$11/unit</f>
        <v>0</v>
      </c>
      <c r="CL56" s="75">
        <f>(NOT(CL$14=exit))*IF($E56=1,Rentroll!$P44*'A&amp;R'!$AF$12*Rentroll!$H44,Rentroll!$P44*'A&amp;R'!$AF$11*Rentroll!$H44)*(MONTH($D56)=MONTH(CL$14))*(YEAR($D56)=YEAR(CL$14))*CL$11/unit</f>
        <v>0</v>
      </c>
      <c r="CM56" s="75">
        <f>(NOT(CM$14=exit))*IF($E56=1,Rentroll!$P44*'A&amp;R'!$AF$12*Rentroll!$H44,Rentroll!$P44*'A&amp;R'!$AF$11*Rentroll!$H44)*(MONTH($D56)=MONTH(CM$14))*(YEAR($D56)=YEAR(CM$14))*CM$11/unit</f>
        <v>0</v>
      </c>
      <c r="CN56" s="75">
        <f>(NOT(CN$14=exit))*IF($E56=1,Rentroll!$P44*'A&amp;R'!$AF$12*Rentroll!$H44,Rentroll!$P44*'A&amp;R'!$AF$11*Rentroll!$H44)*(MONTH($D56)=MONTH(CN$14))*(YEAR($D56)=YEAR(CN$14))*CN$11/unit</f>
        <v>0</v>
      </c>
      <c r="CO56" s="75">
        <f>(NOT(CO$14=exit))*IF($E56=1,Rentroll!$P44*'A&amp;R'!$AF$12*Rentroll!$H44,Rentroll!$P44*'A&amp;R'!$AF$11*Rentroll!$H44)*(MONTH($D56)=MONTH(CO$14))*(YEAR($D56)=YEAR(CO$14))*CO$11/unit</f>
        <v>0</v>
      </c>
      <c r="CP56" s="75">
        <f>(NOT(CP$14=exit))*IF($E56=1,Rentroll!$P44*'A&amp;R'!$AF$12*Rentroll!$H44,Rentroll!$P44*'A&amp;R'!$AF$11*Rentroll!$H44)*(MONTH($D56)=MONTH(CP$14))*(YEAR($D56)=YEAR(CP$14))*CP$11/unit</f>
        <v>0</v>
      </c>
      <c r="CQ56" s="75">
        <f>(NOT(CQ$14=exit))*IF($E56=1,Rentroll!$P44*'A&amp;R'!$AF$12*Rentroll!$H44,Rentroll!$P44*'A&amp;R'!$AF$11*Rentroll!$H44)*(MONTH($D56)=MONTH(CQ$14))*(YEAR($D56)=YEAR(CQ$14))*CQ$11/unit</f>
        <v>0</v>
      </c>
      <c r="CR56" s="75">
        <f>(NOT(CR$14=exit))*IF($E56=1,Rentroll!$P44*'A&amp;R'!$AF$12*Rentroll!$H44,Rentroll!$P44*'A&amp;R'!$AF$11*Rentroll!$H44)*(MONTH($D56)=MONTH(CR$14))*(YEAR($D56)=YEAR(CR$14))*CR$11/unit</f>
        <v>0</v>
      </c>
      <c r="CS56" s="75">
        <f>(NOT(CS$14=exit))*IF($E56=1,Rentroll!$P44*'A&amp;R'!$AF$12*Rentroll!$H44,Rentroll!$P44*'A&amp;R'!$AF$11*Rentroll!$H44)*(MONTH($D56)=MONTH(CS$14))*(YEAR($D56)=YEAR(CS$14))*CS$11/unit</f>
        <v>0</v>
      </c>
      <c r="CT56" s="75">
        <f>(NOT(CT$14=exit))*IF($E56=1,Rentroll!$P44*'A&amp;R'!$AF$12*Rentroll!$H44,Rentroll!$P44*'A&amp;R'!$AF$11*Rentroll!$H44)*(MONTH($D56)=MONTH(CT$14))*(YEAR($D56)=YEAR(CT$14))*CT$11/unit</f>
        <v>0</v>
      </c>
      <c r="CU56" s="75">
        <f>(NOT(CU$14=exit))*IF($E56=1,Rentroll!$P44*'A&amp;R'!$AF$12*Rentroll!$H44,Rentroll!$P44*'A&amp;R'!$AF$11*Rentroll!$H44)*(MONTH($D56)=MONTH(CU$14))*(YEAR($D56)=YEAR(CU$14))*CU$11/unit</f>
        <v>0</v>
      </c>
      <c r="CV56" s="75">
        <f>(NOT(CV$14=exit))*IF($E56=1,Rentroll!$P44*'A&amp;R'!$AF$12*Rentroll!$H44,Rentroll!$P44*'A&amp;R'!$AF$11*Rentroll!$H44)*(MONTH($D56)=MONTH(CV$14))*(YEAR($D56)=YEAR(CV$14))*CV$11/unit</f>
        <v>0</v>
      </c>
      <c r="CW56" s="75">
        <f>(NOT(CW$14=exit))*IF($E56=1,Rentroll!$P44*'A&amp;R'!$AF$12*Rentroll!$H44,Rentroll!$P44*'A&amp;R'!$AF$11*Rentroll!$H44)*(MONTH($D56)=MONTH(CW$14))*(YEAR($D56)=YEAR(CW$14))*CW$11/unit</f>
        <v>0</v>
      </c>
      <c r="CX56" s="75">
        <f>(NOT(CX$14=exit))*IF($E56=1,Rentroll!$P44*'A&amp;R'!$AF$12*Rentroll!$H44,Rentroll!$P44*'A&amp;R'!$AF$11*Rentroll!$H44)*(MONTH($D56)=MONTH(CX$14))*(YEAR($D56)=YEAR(CX$14))*CX$11/unit</f>
        <v>0</v>
      </c>
      <c r="CY56" s="75">
        <f>(NOT(CY$14=exit))*IF($E56=1,Rentroll!$P44*'A&amp;R'!$AF$12*Rentroll!$H44,Rentroll!$P44*'A&amp;R'!$AF$11*Rentroll!$H44)*(MONTH($D56)=MONTH(CY$14))*(YEAR($D56)=YEAR(CY$14))*CY$11/unit</f>
        <v>0</v>
      </c>
      <c r="CZ56" s="75">
        <f>(NOT(CZ$14=exit))*IF($E56=1,Rentroll!$P44*'A&amp;R'!$AF$12*Rentroll!$H44,Rentroll!$P44*'A&amp;R'!$AF$11*Rentroll!$H44)*(MONTH($D56)=MONTH(CZ$14))*(YEAR($D56)=YEAR(CZ$14))*CZ$11/unit</f>
        <v>0</v>
      </c>
      <c r="DA56" s="75">
        <f>(NOT(DA$14=exit))*IF($E56=1,Rentroll!$P44*'A&amp;R'!$AF$12*Rentroll!$H44,Rentroll!$P44*'A&amp;R'!$AF$11*Rentroll!$H44)*(MONTH($D56)=MONTH(DA$14))*(YEAR($D56)=YEAR(DA$14))*DA$11/unit</f>
        <v>0</v>
      </c>
      <c r="DB56" s="75">
        <f>(NOT(DB$14=exit))*IF($E56=1,Rentroll!$P44*'A&amp;R'!$AF$12*Rentroll!$H44,Rentroll!$P44*'A&amp;R'!$AF$11*Rentroll!$H44)*(MONTH($D56)=MONTH(DB$14))*(YEAR($D56)=YEAR(DB$14))*DB$11/unit</f>
        <v>0</v>
      </c>
    </row>
    <row r="57" spans="3:106">
      <c r="C57" s="27">
        <f>Rentroll!$C$45</f>
        <v>9</v>
      </c>
      <c r="D57" s="80">
        <f>VLOOKUP($C57,Rentroll!$C$37:$Z$60,9,FALSE)</f>
        <v>46904</v>
      </c>
      <c r="E57" s="150">
        <f>VLOOKUP($C57,Rentroll!$C$37:$Z$60,24,FALSE)</f>
        <v>0</v>
      </c>
      <c r="F57" s="75">
        <f t="shared" si="44"/>
        <v>30.259500218831036</v>
      </c>
      <c r="G57" s="75"/>
      <c r="H57" s="75">
        <f>(NOT(H$14=exit))*IF($E57=1,Rentroll!$P45*'A&amp;R'!$AF$12*Rentroll!$H45,Rentroll!$P45*'A&amp;R'!$AF$11*Rentroll!$H45)*(MONTH($D57)=MONTH(H$14))*(YEAR($D57)=YEAR(H$14))*H$11/unit</f>
        <v>0</v>
      </c>
      <c r="I57" s="75">
        <f>(NOT(I$14=exit))*IF($E57=1,Rentroll!$P45*'A&amp;R'!$AF$12*Rentroll!$H45,Rentroll!$P45*'A&amp;R'!$AF$11*Rentroll!$H45)*(MONTH($D57)=MONTH(I$14))*(YEAR($D57)=YEAR(I$14))*I$11/unit</f>
        <v>0</v>
      </c>
      <c r="J57" s="75">
        <f>(NOT(J$14=exit))*IF($E57=1,Rentroll!$P45*'A&amp;R'!$AF$12*Rentroll!$H45,Rentroll!$P45*'A&amp;R'!$AF$11*Rentroll!$H45)*(MONTH($D57)=MONTH(J$14))*(YEAR($D57)=YEAR(J$14))*J$11/unit</f>
        <v>0</v>
      </c>
      <c r="K57" s="75">
        <f>(NOT(K$14=exit))*IF($E57=1,Rentroll!$P45*'A&amp;R'!$AF$12*Rentroll!$H45,Rentroll!$P45*'A&amp;R'!$AF$11*Rentroll!$H45)*(MONTH($D57)=MONTH(K$14))*(YEAR($D57)=YEAR(K$14))*K$11/unit</f>
        <v>0</v>
      </c>
      <c r="L57" s="75">
        <f>(NOT(L$14=exit))*IF($E57=1,Rentroll!$P45*'A&amp;R'!$AF$12*Rentroll!$H45,Rentroll!$P45*'A&amp;R'!$AF$11*Rentroll!$H45)*(MONTH($D57)=MONTH(L$14))*(YEAR($D57)=YEAR(L$14))*L$11/unit</f>
        <v>0</v>
      </c>
      <c r="M57" s="75">
        <f>(NOT(M$14=exit))*IF($E57=1,Rentroll!$P45*'A&amp;R'!$AF$12*Rentroll!$H45,Rentroll!$P45*'A&amp;R'!$AF$11*Rentroll!$H45)*(MONTH($D57)=MONTH(M$14))*(YEAR($D57)=YEAR(M$14))*M$11/unit</f>
        <v>0</v>
      </c>
      <c r="N57" s="75">
        <f>(NOT(N$14=exit))*IF($E57=1,Rentroll!$P45*'A&amp;R'!$AF$12*Rentroll!$H45,Rentroll!$P45*'A&amp;R'!$AF$11*Rentroll!$H45)*(MONTH($D57)=MONTH(N$14))*(YEAR($D57)=YEAR(N$14))*N$11/unit</f>
        <v>0</v>
      </c>
      <c r="O57" s="75">
        <f>(NOT(O$14=exit))*IF($E57=1,Rentroll!$P45*'A&amp;R'!$AF$12*Rentroll!$H45,Rentroll!$P45*'A&amp;R'!$AF$11*Rentroll!$H45)*(MONTH($D57)=MONTH(O$14))*(YEAR($D57)=YEAR(O$14))*O$11/unit</f>
        <v>0</v>
      </c>
      <c r="P57" s="75">
        <f>(NOT(P$14=exit))*IF($E57=1,Rentroll!$P45*'A&amp;R'!$AF$12*Rentroll!$H45,Rentroll!$P45*'A&amp;R'!$AF$11*Rentroll!$H45)*(MONTH($D57)=MONTH(P$14))*(YEAR($D57)=YEAR(P$14))*P$11/unit</f>
        <v>0</v>
      </c>
      <c r="Q57" s="75">
        <f>(NOT(Q$14=exit))*IF($E57=1,Rentroll!$P45*'A&amp;R'!$AF$12*Rentroll!$H45,Rentroll!$P45*'A&amp;R'!$AF$11*Rentroll!$H45)*(MONTH($D57)=MONTH(Q$14))*(YEAR($D57)=YEAR(Q$14))*Q$11/unit</f>
        <v>0</v>
      </c>
      <c r="R57" s="75">
        <f>(NOT(R$14=exit))*IF($E57=1,Rentroll!$P45*'A&amp;R'!$AF$12*Rentroll!$H45,Rentroll!$P45*'A&amp;R'!$AF$11*Rentroll!$H45)*(MONTH($D57)=MONTH(R$14))*(YEAR($D57)=YEAR(R$14))*R$11/unit</f>
        <v>0</v>
      </c>
      <c r="S57" s="75">
        <f>(NOT(S$14=exit))*IF($E57=1,Rentroll!$P45*'A&amp;R'!$AF$12*Rentroll!$H45,Rentroll!$P45*'A&amp;R'!$AF$11*Rentroll!$H45)*(MONTH($D57)=MONTH(S$14))*(YEAR($D57)=YEAR(S$14))*S$11/unit</f>
        <v>0</v>
      </c>
      <c r="T57" s="75">
        <f>(NOT(T$14=exit))*IF($E57=1,Rentroll!$P45*'A&amp;R'!$AF$12*Rentroll!$H45,Rentroll!$P45*'A&amp;R'!$AF$11*Rentroll!$H45)*(MONTH($D57)=MONTH(T$14))*(YEAR($D57)=YEAR(T$14))*T$11/unit</f>
        <v>0</v>
      </c>
      <c r="U57" s="75">
        <f>(NOT(U$14=exit))*IF($E57=1,Rentroll!$P45*'A&amp;R'!$AF$12*Rentroll!$H45,Rentroll!$P45*'A&amp;R'!$AF$11*Rentroll!$H45)*(MONTH($D57)=MONTH(U$14))*(YEAR($D57)=YEAR(U$14))*U$11/unit</f>
        <v>0</v>
      </c>
      <c r="V57" s="75">
        <f>(NOT(V$14=exit))*IF($E57=1,Rentroll!$P45*'A&amp;R'!$AF$12*Rentroll!$H45,Rentroll!$P45*'A&amp;R'!$AF$11*Rentroll!$H45)*(MONTH($D57)=MONTH(V$14))*(YEAR($D57)=YEAR(V$14))*V$11/unit</f>
        <v>0</v>
      </c>
      <c r="W57" s="75">
        <f>(NOT(W$14=exit))*IF($E57=1,Rentroll!$P45*'A&amp;R'!$AF$12*Rentroll!$H45,Rentroll!$P45*'A&amp;R'!$AF$11*Rentroll!$H45)*(MONTH($D57)=MONTH(W$14))*(YEAR($D57)=YEAR(W$14))*W$11/unit</f>
        <v>0</v>
      </c>
      <c r="X57" s="75">
        <f>(NOT(X$14=exit))*IF($E57=1,Rentroll!$P45*'A&amp;R'!$AF$12*Rentroll!$H45,Rentroll!$P45*'A&amp;R'!$AF$11*Rentroll!$H45)*(MONTH($D57)=MONTH(X$14))*(YEAR($D57)=YEAR(X$14))*X$11/unit</f>
        <v>0</v>
      </c>
      <c r="Y57" s="75">
        <f>(NOT(Y$14=exit))*IF($E57=1,Rentroll!$P45*'A&amp;R'!$AF$12*Rentroll!$H45,Rentroll!$P45*'A&amp;R'!$AF$11*Rentroll!$H45)*(MONTH($D57)=MONTH(Y$14))*(YEAR($D57)=YEAR(Y$14))*Y$11/unit</f>
        <v>0</v>
      </c>
      <c r="Z57" s="75">
        <f>(NOT(Z$14=exit))*IF($E57=1,Rentroll!$P45*'A&amp;R'!$AF$12*Rentroll!$H45,Rentroll!$P45*'A&amp;R'!$AF$11*Rentroll!$H45)*(MONTH($D57)=MONTH(Z$14))*(YEAR($D57)=YEAR(Z$14))*Z$11/unit</f>
        <v>0</v>
      </c>
      <c r="AA57" s="75">
        <f>(NOT(AA$14=exit))*IF($E57=1,Rentroll!$P45*'A&amp;R'!$AF$12*Rentroll!$H45,Rentroll!$P45*'A&amp;R'!$AF$11*Rentroll!$H45)*(MONTH($D57)=MONTH(AA$14))*(YEAR($D57)=YEAR(AA$14))*AA$11/unit</f>
        <v>0</v>
      </c>
      <c r="AB57" s="75">
        <f>(NOT(AB$14=exit))*IF($E57=1,Rentroll!$P45*'A&amp;R'!$AF$12*Rentroll!$H45,Rentroll!$P45*'A&amp;R'!$AF$11*Rentroll!$H45)*(MONTH($D57)=MONTH(AB$14))*(YEAR($D57)=YEAR(AB$14))*AB$11/unit</f>
        <v>0</v>
      </c>
      <c r="AC57" s="75">
        <f>(NOT(AC$14=exit))*IF($E57=1,Rentroll!$P45*'A&amp;R'!$AF$12*Rentroll!$H45,Rentroll!$P45*'A&amp;R'!$AF$11*Rentroll!$H45)*(MONTH($D57)=MONTH(AC$14))*(YEAR($D57)=YEAR(AC$14))*AC$11/unit</f>
        <v>0</v>
      </c>
      <c r="AD57" s="75">
        <f>(NOT(AD$14=exit))*IF($E57=1,Rentroll!$P45*'A&amp;R'!$AF$12*Rentroll!$H45,Rentroll!$P45*'A&amp;R'!$AF$11*Rentroll!$H45)*(MONTH($D57)=MONTH(AD$14))*(YEAR($D57)=YEAR(AD$14))*AD$11/unit</f>
        <v>0</v>
      </c>
      <c r="AE57" s="75">
        <f>(NOT(AE$14=exit))*IF($E57=1,Rentroll!$P45*'A&amp;R'!$AF$12*Rentroll!$H45,Rentroll!$P45*'A&amp;R'!$AF$11*Rentroll!$H45)*(MONTH($D57)=MONTH(AE$14))*(YEAR($D57)=YEAR(AE$14))*AE$11/unit</f>
        <v>0</v>
      </c>
      <c r="AF57" s="75">
        <f>(NOT(AF$14=exit))*IF($E57=1,Rentroll!$P45*'A&amp;R'!$AF$12*Rentroll!$H45,Rentroll!$P45*'A&amp;R'!$AF$11*Rentroll!$H45)*(MONTH($D57)=MONTH(AF$14))*(YEAR($D57)=YEAR(AF$14))*AF$11/unit</f>
        <v>0</v>
      </c>
      <c r="AG57" s="75">
        <f>(NOT(AG$14=exit))*IF($E57=1,Rentroll!$P45*'A&amp;R'!$AF$12*Rentroll!$H45,Rentroll!$P45*'A&amp;R'!$AF$11*Rentroll!$H45)*(MONTH($D57)=MONTH(AG$14))*(YEAR($D57)=YEAR(AG$14))*AG$11/unit</f>
        <v>0</v>
      </c>
      <c r="AH57" s="75">
        <f>(NOT(AH$14=exit))*IF($E57=1,Rentroll!$P45*'A&amp;R'!$AF$12*Rentroll!$H45,Rentroll!$P45*'A&amp;R'!$AF$11*Rentroll!$H45)*(MONTH($D57)=MONTH(AH$14))*(YEAR($D57)=YEAR(AH$14))*AH$11/unit</f>
        <v>0</v>
      </c>
      <c r="AI57" s="75">
        <f>(NOT(AI$14=exit))*IF($E57=1,Rentroll!$P45*'A&amp;R'!$AF$12*Rentroll!$H45,Rentroll!$P45*'A&amp;R'!$AF$11*Rentroll!$H45)*(MONTH($D57)=MONTH(AI$14))*(YEAR($D57)=YEAR(AI$14))*AI$11/unit</f>
        <v>0</v>
      </c>
      <c r="AJ57" s="75">
        <f>(NOT(AJ$14=exit))*IF($E57=1,Rentroll!$P45*'A&amp;R'!$AF$12*Rentroll!$H45,Rentroll!$P45*'A&amp;R'!$AF$11*Rentroll!$H45)*(MONTH($D57)=MONTH(AJ$14))*(YEAR($D57)=YEAR(AJ$14))*AJ$11/unit</f>
        <v>0</v>
      </c>
      <c r="AK57" s="75">
        <f>(NOT(AK$14=exit))*IF($E57=1,Rentroll!$P45*'A&amp;R'!$AF$12*Rentroll!$H45,Rentroll!$P45*'A&amp;R'!$AF$11*Rentroll!$H45)*(MONTH($D57)=MONTH(AK$14))*(YEAR($D57)=YEAR(AK$14))*AK$11/unit</f>
        <v>0</v>
      </c>
      <c r="AL57" s="75">
        <f>(NOT(AL$14=exit))*IF($E57=1,Rentroll!$P45*'A&amp;R'!$AF$12*Rentroll!$H45,Rentroll!$P45*'A&amp;R'!$AF$11*Rentroll!$H45)*(MONTH($D57)=MONTH(AL$14))*(YEAR($D57)=YEAR(AL$14))*AL$11/unit</f>
        <v>0</v>
      </c>
      <c r="AM57" s="75">
        <f>(NOT(AM$14=exit))*IF($E57=1,Rentroll!$P45*'A&amp;R'!$AF$12*Rentroll!$H45,Rentroll!$P45*'A&amp;R'!$AF$11*Rentroll!$H45)*(MONTH($D57)=MONTH(AM$14))*(YEAR($D57)=YEAR(AM$14))*AM$11/unit</f>
        <v>0</v>
      </c>
      <c r="AN57" s="75">
        <f>(NOT(AN$14=exit))*IF($E57=1,Rentroll!$P45*'A&amp;R'!$AF$12*Rentroll!$H45,Rentroll!$P45*'A&amp;R'!$AF$11*Rentroll!$H45)*(MONTH($D57)=MONTH(AN$14))*(YEAR($D57)=YEAR(AN$14))*AN$11/unit</f>
        <v>0</v>
      </c>
      <c r="AO57" s="75">
        <f>(NOT(AO$14=exit))*IF($E57=1,Rentroll!$P45*'A&amp;R'!$AF$12*Rentroll!$H45,Rentroll!$P45*'A&amp;R'!$AF$11*Rentroll!$H45)*(MONTH($D57)=MONTH(AO$14))*(YEAR($D57)=YEAR(AO$14))*AO$11/unit</f>
        <v>0</v>
      </c>
      <c r="AP57" s="75">
        <f>(NOT(AP$14=exit))*IF($E57=1,Rentroll!$P45*'A&amp;R'!$AF$12*Rentroll!$H45,Rentroll!$P45*'A&amp;R'!$AF$11*Rentroll!$H45)*(MONTH($D57)=MONTH(AP$14))*(YEAR($D57)=YEAR(AP$14))*AP$11/unit</f>
        <v>0</v>
      </c>
      <c r="AQ57" s="75">
        <f>(NOT(AQ$14=exit))*IF($E57=1,Rentroll!$P45*'A&amp;R'!$AF$12*Rentroll!$H45,Rentroll!$P45*'A&amp;R'!$AF$11*Rentroll!$H45)*(MONTH($D57)=MONTH(AQ$14))*(YEAR($D57)=YEAR(AQ$14))*AQ$11/unit</f>
        <v>0</v>
      </c>
      <c r="AR57" s="75">
        <f>(NOT(AR$14=exit))*IF($E57=1,Rentroll!$P45*'A&amp;R'!$AF$12*Rentroll!$H45,Rentroll!$P45*'A&amp;R'!$AF$11*Rentroll!$H45)*(MONTH($D57)=MONTH(AR$14))*(YEAR($D57)=YEAR(AR$14))*AR$11/unit</f>
        <v>0</v>
      </c>
      <c r="AS57" s="75">
        <f>(NOT(AS$14=exit))*IF($E57=1,Rentroll!$P45*'A&amp;R'!$AF$12*Rentroll!$H45,Rentroll!$P45*'A&amp;R'!$AF$11*Rentroll!$H45)*(MONTH($D57)=MONTH(AS$14))*(YEAR($D57)=YEAR(AS$14))*AS$11/unit</f>
        <v>0</v>
      </c>
      <c r="AT57" s="75">
        <f>(NOT(AT$14=exit))*IF($E57=1,Rentroll!$P45*'A&amp;R'!$AF$12*Rentroll!$H45,Rentroll!$P45*'A&amp;R'!$AF$11*Rentroll!$H45)*(MONTH($D57)=MONTH(AT$14))*(YEAR($D57)=YEAR(AT$14))*AT$11/unit</f>
        <v>0</v>
      </c>
      <c r="AU57" s="75">
        <f>(NOT(AU$14=exit))*IF($E57=1,Rentroll!$P45*'A&amp;R'!$AF$12*Rentroll!$H45,Rentroll!$P45*'A&amp;R'!$AF$11*Rentroll!$H45)*(MONTH($D57)=MONTH(AU$14))*(YEAR($D57)=YEAR(AU$14))*AU$11/unit</f>
        <v>0</v>
      </c>
      <c r="AV57" s="75">
        <f>(NOT(AV$14=exit))*IF($E57=1,Rentroll!$P45*'A&amp;R'!$AF$12*Rentroll!$H45,Rentroll!$P45*'A&amp;R'!$AF$11*Rentroll!$H45)*(MONTH($D57)=MONTH(AV$14))*(YEAR($D57)=YEAR(AV$14))*AV$11/unit</f>
        <v>30.259500218831036</v>
      </c>
      <c r="AW57" s="75">
        <f>(NOT(AW$14=exit))*IF($E57=1,Rentroll!$P45*'A&amp;R'!$AF$12*Rentroll!$H45,Rentroll!$P45*'A&amp;R'!$AF$11*Rentroll!$H45)*(MONTH($D57)=MONTH(AW$14))*(YEAR($D57)=YEAR(AW$14))*AW$11/unit</f>
        <v>0</v>
      </c>
      <c r="AX57" s="75">
        <f>(NOT(AX$14=exit))*IF($E57=1,Rentroll!$P45*'A&amp;R'!$AF$12*Rentroll!$H45,Rentroll!$P45*'A&amp;R'!$AF$11*Rentroll!$H45)*(MONTH($D57)=MONTH(AX$14))*(YEAR($D57)=YEAR(AX$14))*AX$11/unit</f>
        <v>0</v>
      </c>
      <c r="AY57" s="75">
        <f>(NOT(AY$14=exit))*IF($E57=1,Rentroll!$P45*'A&amp;R'!$AF$12*Rentroll!$H45,Rentroll!$P45*'A&amp;R'!$AF$11*Rentroll!$H45)*(MONTH($D57)=MONTH(AY$14))*(YEAR($D57)=YEAR(AY$14))*AY$11/unit</f>
        <v>0</v>
      </c>
      <c r="AZ57" s="75">
        <f>(NOT(AZ$14=exit))*IF($E57=1,Rentroll!$P45*'A&amp;R'!$AF$12*Rentroll!$H45,Rentroll!$P45*'A&amp;R'!$AF$11*Rentroll!$H45)*(MONTH($D57)=MONTH(AZ$14))*(YEAR($D57)=YEAR(AZ$14))*AZ$11/unit</f>
        <v>0</v>
      </c>
      <c r="BA57" s="75">
        <f>(NOT(BA$14=exit))*IF($E57=1,Rentroll!$P45*'A&amp;R'!$AF$12*Rentroll!$H45,Rentroll!$P45*'A&amp;R'!$AF$11*Rentroll!$H45)*(MONTH($D57)=MONTH(BA$14))*(YEAR($D57)=YEAR(BA$14))*BA$11/unit</f>
        <v>0</v>
      </c>
      <c r="BB57" s="75">
        <f>(NOT(BB$14=exit))*IF($E57=1,Rentroll!$P45*'A&amp;R'!$AF$12*Rentroll!$H45,Rentroll!$P45*'A&amp;R'!$AF$11*Rentroll!$H45)*(MONTH($D57)=MONTH(BB$14))*(YEAR($D57)=YEAR(BB$14))*BB$11/unit</f>
        <v>0</v>
      </c>
      <c r="BC57" s="75">
        <f>(NOT(BC$14=exit))*IF($E57=1,Rentroll!$P45*'A&amp;R'!$AF$12*Rentroll!$H45,Rentroll!$P45*'A&amp;R'!$AF$11*Rentroll!$H45)*(MONTH($D57)=MONTH(BC$14))*(YEAR($D57)=YEAR(BC$14))*BC$11/unit</f>
        <v>0</v>
      </c>
      <c r="BD57" s="75">
        <f>(NOT(BD$14=exit))*IF($E57=1,Rentroll!$P45*'A&amp;R'!$AF$12*Rentroll!$H45,Rentroll!$P45*'A&amp;R'!$AF$11*Rentroll!$H45)*(MONTH($D57)=MONTH(BD$14))*(YEAR($D57)=YEAR(BD$14))*BD$11/unit</f>
        <v>0</v>
      </c>
      <c r="BE57" s="75">
        <f>(NOT(BE$14=exit))*IF($E57=1,Rentroll!$P45*'A&amp;R'!$AF$12*Rentroll!$H45,Rentroll!$P45*'A&amp;R'!$AF$11*Rentroll!$H45)*(MONTH($D57)=MONTH(BE$14))*(YEAR($D57)=YEAR(BE$14))*BE$11/unit</f>
        <v>0</v>
      </c>
      <c r="BF57" s="75">
        <f>(NOT(BF$14=exit))*IF($E57=1,Rentroll!$P45*'A&amp;R'!$AF$12*Rentroll!$H45,Rentroll!$P45*'A&amp;R'!$AF$11*Rentroll!$H45)*(MONTH($D57)=MONTH(BF$14))*(YEAR($D57)=YEAR(BF$14))*BF$11/unit</f>
        <v>0</v>
      </c>
      <c r="BG57" s="75">
        <f>(NOT(BG$14=exit))*IF($E57=1,Rentroll!$P45*'A&amp;R'!$AF$12*Rentroll!$H45,Rentroll!$P45*'A&amp;R'!$AF$11*Rentroll!$H45)*(MONTH($D57)=MONTH(BG$14))*(YEAR($D57)=YEAR(BG$14))*BG$11/unit</f>
        <v>0</v>
      </c>
      <c r="BH57" s="75">
        <f>(NOT(BH$14=exit))*IF($E57=1,Rentroll!$P45*'A&amp;R'!$AF$12*Rentroll!$H45,Rentroll!$P45*'A&amp;R'!$AF$11*Rentroll!$H45)*(MONTH($D57)=MONTH(BH$14))*(YEAR($D57)=YEAR(BH$14))*BH$11/unit</f>
        <v>0</v>
      </c>
      <c r="BI57" s="75">
        <f>(NOT(BI$14=exit))*IF($E57=1,Rentroll!$P45*'A&amp;R'!$AF$12*Rentroll!$H45,Rentroll!$P45*'A&amp;R'!$AF$11*Rentroll!$H45)*(MONTH($D57)=MONTH(BI$14))*(YEAR($D57)=YEAR(BI$14))*BI$11/unit</f>
        <v>0</v>
      </c>
      <c r="BJ57" s="75">
        <f>(NOT(BJ$14=exit))*IF($E57=1,Rentroll!$P45*'A&amp;R'!$AF$12*Rentroll!$H45,Rentroll!$P45*'A&amp;R'!$AF$11*Rentroll!$H45)*(MONTH($D57)=MONTH(BJ$14))*(YEAR($D57)=YEAR(BJ$14))*BJ$11/unit</f>
        <v>0</v>
      </c>
      <c r="BK57" s="75">
        <f>(NOT(BK$14=exit))*IF($E57=1,Rentroll!$P45*'A&amp;R'!$AF$12*Rentroll!$H45,Rentroll!$P45*'A&amp;R'!$AF$11*Rentroll!$H45)*(MONTH($D57)=MONTH(BK$14))*(YEAR($D57)=YEAR(BK$14))*BK$11/unit</f>
        <v>0</v>
      </c>
      <c r="BL57" s="75">
        <f>(NOT(BL$14=exit))*IF($E57=1,Rentroll!$P45*'A&amp;R'!$AF$12*Rentroll!$H45,Rentroll!$P45*'A&amp;R'!$AF$11*Rentroll!$H45)*(MONTH($D57)=MONTH(BL$14))*(YEAR($D57)=YEAR(BL$14))*BL$11/unit</f>
        <v>0</v>
      </c>
      <c r="BM57" s="75">
        <f>(NOT(BM$14=exit))*IF($E57=1,Rentroll!$P45*'A&amp;R'!$AF$12*Rentroll!$H45,Rentroll!$P45*'A&amp;R'!$AF$11*Rentroll!$H45)*(MONTH($D57)=MONTH(BM$14))*(YEAR($D57)=YEAR(BM$14))*BM$11/unit</f>
        <v>0</v>
      </c>
      <c r="BN57" s="75">
        <f>(NOT(BN$14=exit))*IF($E57=1,Rentroll!$P45*'A&amp;R'!$AF$12*Rentroll!$H45,Rentroll!$P45*'A&amp;R'!$AF$11*Rentroll!$H45)*(MONTH($D57)=MONTH(BN$14))*(YEAR($D57)=YEAR(BN$14))*BN$11/unit</f>
        <v>0</v>
      </c>
      <c r="BO57" s="75">
        <f>(NOT(BO$14=exit))*IF($E57=1,Rentroll!$P45*'A&amp;R'!$AF$12*Rentroll!$H45,Rentroll!$P45*'A&amp;R'!$AF$11*Rentroll!$H45)*(MONTH($D57)=MONTH(BO$14))*(YEAR($D57)=YEAR(BO$14))*BO$11/unit</f>
        <v>0</v>
      </c>
      <c r="BP57" s="75">
        <f>(NOT(BP$14=exit))*IF($E57=1,Rentroll!$P45*'A&amp;R'!$AF$12*Rentroll!$H45,Rentroll!$P45*'A&amp;R'!$AF$11*Rentroll!$H45)*(MONTH($D57)=MONTH(BP$14))*(YEAR($D57)=YEAR(BP$14))*BP$11/unit</f>
        <v>0</v>
      </c>
      <c r="BQ57" s="75">
        <f>(NOT(BQ$14=exit))*IF($E57=1,Rentroll!$P45*'A&amp;R'!$AF$12*Rentroll!$H45,Rentroll!$P45*'A&amp;R'!$AF$11*Rentroll!$H45)*(MONTH($D57)=MONTH(BQ$14))*(YEAR($D57)=YEAR(BQ$14))*BQ$11/unit</f>
        <v>0</v>
      </c>
      <c r="BR57" s="75">
        <f>(NOT(BR$14=exit))*IF($E57=1,Rentroll!$P45*'A&amp;R'!$AF$12*Rentroll!$H45,Rentroll!$P45*'A&amp;R'!$AF$11*Rentroll!$H45)*(MONTH($D57)=MONTH(BR$14))*(YEAR($D57)=YEAR(BR$14))*BR$11/unit</f>
        <v>0</v>
      </c>
      <c r="BS57" s="75">
        <f>(NOT(BS$14=exit))*IF($E57=1,Rentroll!$P45*'A&amp;R'!$AF$12*Rentroll!$H45,Rentroll!$P45*'A&amp;R'!$AF$11*Rentroll!$H45)*(MONTH($D57)=MONTH(BS$14))*(YEAR($D57)=YEAR(BS$14))*BS$11/unit</f>
        <v>0</v>
      </c>
      <c r="BT57" s="75">
        <f>(NOT(BT$14=exit))*IF($E57=1,Rentroll!$P45*'A&amp;R'!$AF$12*Rentroll!$H45,Rentroll!$P45*'A&amp;R'!$AF$11*Rentroll!$H45)*(MONTH($D57)=MONTH(BT$14))*(YEAR($D57)=YEAR(BT$14))*BT$11/unit</f>
        <v>0</v>
      </c>
      <c r="BU57" s="75">
        <f>(NOT(BU$14=exit))*IF($E57=1,Rentroll!$P45*'A&amp;R'!$AF$12*Rentroll!$H45,Rentroll!$P45*'A&amp;R'!$AF$11*Rentroll!$H45)*(MONTH($D57)=MONTH(BU$14))*(YEAR($D57)=YEAR(BU$14))*BU$11/unit</f>
        <v>0</v>
      </c>
      <c r="BV57" s="75">
        <f>(NOT(BV$14=exit))*IF($E57=1,Rentroll!$P45*'A&amp;R'!$AF$12*Rentroll!$H45,Rentroll!$P45*'A&amp;R'!$AF$11*Rentroll!$H45)*(MONTH($D57)=MONTH(BV$14))*(YEAR($D57)=YEAR(BV$14))*BV$11/unit</f>
        <v>0</v>
      </c>
      <c r="BW57" s="75">
        <f>(NOT(BW$14=exit))*IF($E57=1,Rentroll!$P45*'A&amp;R'!$AF$12*Rentroll!$H45,Rentroll!$P45*'A&amp;R'!$AF$11*Rentroll!$H45)*(MONTH($D57)=MONTH(BW$14))*(YEAR($D57)=YEAR(BW$14))*BW$11/unit</f>
        <v>0</v>
      </c>
      <c r="BX57" s="75">
        <f>(NOT(BX$14=exit))*IF($E57=1,Rentroll!$P45*'A&amp;R'!$AF$12*Rentroll!$H45,Rentroll!$P45*'A&amp;R'!$AF$11*Rentroll!$H45)*(MONTH($D57)=MONTH(BX$14))*(YEAR($D57)=YEAR(BX$14))*BX$11/unit</f>
        <v>0</v>
      </c>
      <c r="BY57" s="75">
        <f>(NOT(BY$14=exit))*IF($E57=1,Rentroll!$P45*'A&amp;R'!$AF$12*Rentroll!$H45,Rentroll!$P45*'A&amp;R'!$AF$11*Rentroll!$H45)*(MONTH($D57)=MONTH(BY$14))*(YEAR($D57)=YEAR(BY$14))*BY$11/unit</f>
        <v>0</v>
      </c>
      <c r="BZ57" s="75">
        <f>(NOT(BZ$14=exit))*IF($E57=1,Rentroll!$P45*'A&amp;R'!$AF$12*Rentroll!$H45,Rentroll!$P45*'A&amp;R'!$AF$11*Rentroll!$H45)*(MONTH($D57)=MONTH(BZ$14))*(YEAR($D57)=YEAR(BZ$14))*BZ$11/unit</f>
        <v>0</v>
      </c>
      <c r="CA57" s="75">
        <f>(NOT(CA$14=exit))*IF($E57=1,Rentroll!$P45*'A&amp;R'!$AF$12*Rentroll!$H45,Rentroll!$P45*'A&amp;R'!$AF$11*Rentroll!$H45)*(MONTH($D57)=MONTH(CA$14))*(YEAR($D57)=YEAR(CA$14))*CA$11/unit</f>
        <v>0</v>
      </c>
      <c r="CB57" s="75">
        <f>(NOT(CB$14=exit))*IF($E57=1,Rentroll!$P45*'A&amp;R'!$AF$12*Rentroll!$H45,Rentroll!$P45*'A&amp;R'!$AF$11*Rentroll!$H45)*(MONTH($D57)=MONTH(CB$14))*(YEAR($D57)=YEAR(CB$14))*CB$11/unit</f>
        <v>0</v>
      </c>
      <c r="CC57" s="75">
        <f>(NOT(CC$14=exit))*IF($E57=1,Rentroll!$P45*'A&amp;R'!$AF$12*Rentroll!$H45,Rentroll!$P45*'A&amp;R'!$AF$11*Rentroll!$H45)*(MONTH($D57)=MONTH(CC$14))*(YEAR($D57)=YEAR(CC$14))*CC$11/unit</f>
        <v>0</v>
      </c>
      <c r="CD57" s="75">
        <f>(NOT(CD$14=exit))*IF($E57=1,Rentroll!$P45*'A&amp;R'!$AF$12*Rentroll!$H45,Rentroll!$P45*'A&amp;R'!$AF$11*Rentroll!$H45)*(MONTH($D57)=MONTH(CD$14))*(YEAR($D57)=YEAR(CD$14))*CD$11/unit</f>
        <v>0</v>
      </c>
      <c r="CE57" s="75">
        <f>(NOT(CE$14=exit))*IF($E57=1,Rentroll!$P45*'A&amp;R'!$AF$12*Rentroll!$H45,Rentroll!$P45*'A&amp;R'!$AF$11*Rentroll!$H45)*(MONTH($D57)=MONTH(CE$14))*(YEAR($D57)=YEAR(CE$14))*CE$11/unit</f>
        <v>0</v>
      </c>
      <c r="CF57" s="75">
        <f>(NOT(CF$14=exit))*IF($E57=1,Rentroll!$P45*'A&amp;R'!$AF$12*Rentroll!$H45,Rentroll!$P45*'A&amp;R'!$AF$11*Rentroll!$H45)*(MONTH($D57)=MONTH(CF$14))*(YEAR($D57)=YEAR(CF$14))*CF$11/unit</f>
        <v>0</v>
      </c>
      <c r="CG57" s="75">
        <f>(NOT(CG$14=exit))*IF($E57=1,Rentroll!$P45*'A&amp;R'!$AF$12*Rentroll!$H45,Rentroll!$P45*'A&amp;R'!$AF$11*Rentroll!$H45)*(MONTH($D57)=MONTH(CG$14))*(YEAR($D57)=YEAR(CG$14))*CG$11/unit</f>
        <v>0</v>
      </c>
      <c r="CH57" s="75">
        <f>(NOT(CH$14=exit))*IF($E57=1,Rentroll!$P45*'A&amp;R'!$AF$12*Rentroll!$H45,Rentroll!$P45*'A&amp;R'!$AF$11*Rentroll!$H45)*(MONTH($D57)=MONTH(CH$14))*(YEAR($D57)=YEAR(CH$14))*CH$11/unit</f>
        <v>0</v>
      </c>
      <c r="CI57" s="75">
        <f>(NOT(CI$14=exit))*IF($E57=1,Rentroll!$P45*'A&amp;R'!$AF$12*Rentroll!$H45,Rentroll!$P45*'A&amp;R'!$AF$11*Rentroll!$H45)*(MONTH($D57)=MONTH(CI$14))*(YEAR($D57)=YEAR(CI$14))*CI$11/unit</f>
        <v>0</v>
      </c>
      <c r="CJ57" s="75">
        <f>(NOT(CJ$14=exit))*IF($E57=1,Rentroll!$P45*'A&amp;R'!$AF$12*Rentroll!$H45,Rentroll!$P45*'A&amp;R'!$AF$11*Rentroll!$H45)*(MONTH($D57)=MONTH(CJ$14))*(YEAR($D57)=YEAR(CJ$14))*CJ$11/unit</f>
        <v>0</v>
      </c>
      <c r="CK57" s="75">
        <f>(NOT(CK$14=exit))*IF($E57=1,Rentroll!$P45*'A&amp;R'!$AF$12*Rentroll!$H45,Rentroll!$P45*'A&amp;R'!$AF$11*Rentroll!$H45)*(MONTH($D57)=MONTH(CK$14))*(YEAR($D57)=YEAR(CK$14))*CK$11/unit</f>
        <v>0</v>
      </c>
      <c r="CL57" s="75">
        <f>(NOT(CL$14=exit))*IF($E57=1,Rentroll!$P45*'A&amp;R'!$AF$12*Rentroll!$H45,Rentroll!$P45*'A&amp;R'!$AF$11*Rentroll!$H45)*(MONTH($D57)=MONTH(CL$14))*(YEAR($D57)=YEAR(CL$14))*CL$11/unit</f>
        <v>0</v>
      </c>
      <c r="CM57" s="75">
        <f>(NOT(CM$14=exit))*IF($E57=1,Rentroll!$P45*'A&amp;R'!$AF$12*Rentroll!$H45,Rentroll!$P45*'A&amp;R'!$AF$11*Rentroll!$H45)*(MONTH($D57)=MONTH(CM$14))*(YEAR($D57)=YEAR(CM$14))*CM$11/unit</f>
        <v>0</v>
      </c>
      <c r="CN57" s="75">
        <f>(NOT(CN$14=exit))*IF($E57=1,Rentroll!$P45*'A&amp;R'!$AF$12*Rentroll!$H45,Rentroll!$P45*'A&amp;R'!$AF$11*Rentroll!$H45)*(MONTH($D57)=MONTH(CN$14))*(YEAR($D57)=YEAR(CN$14))*CN$11/unit</f>
        <v>0</v>
      </c>
      <c r="CO57" s="75">
        <f>(NOT(CO$14=exit))*IF($E57=1,Rentroll!$P45*'A&amp;R'!$AF$12*Rentroll!$H45,Rentroll!$P45*'A&amp;R'!$AF$11*Rentroll!$H45)*(MONTH($D57)=MONTH(CO$14))*(YEAR($D57)=YEAR(CO$14))*CO$11/unit</f>
        <v>0</v>
      </c>
      <c r="CP57" s="75">
        <f>(NOT(CP$14=exit))*IF($E57=1,Rentroll!$P45*'A&amp;R'!$AF$12*Rentroll!$H45,Rentroll!$P45*'A&amp;R'!$AF$11*Rentroll!$H45)*(MONTH($D57)=MONTH(CP$14))*(YEAR($D57)=YEAR(CP$14))*CP$11/unit</f>
        <v>0</v>
      </c>
      <c r="CQ57" s="75">
        <f>(NOT(CQ$14=exit))*IF($E57=1,Rentroll!$P45*'A&amp;R'!$AF$12*Rentroll!$H45,Rentroll!$P45*'A&amp;R'!$AF$11*Rentroll!$H45)*(MONTH($D57)=MONTH(CQ$14))*(YEAR($D57)=YEAR(CQ$14))*CQ$11/unit</f>
        <v>0</v>
      </c>
      <c r="CR57" s="75">
        <f>(NOT(CR$14=exit))*IF($E57=1,Rentroll!$P45*'A&amp;R'!$AF$12*Rentroll!$H45,Rentroll!$P45*'A&amp;R'!$AF$11*Rentroll!$H45)*(MONTH($D57)=MONTH(CR$14))*(YEAR($D57)=YEAR(CR$14))*CR$11/unit</f>
        <v>0</v>
      </c>
      <c r="CS57" s="75">
        <f>(NOT(CS$14=exit))*IF($E57=1,Rentroll!$P45*'A&amp;R'!$AF$12*Rentroll!$H45,Rentroll!$P45*'A&amp;R'!$AF$11*Rentroll!$H45)*(MONTH($D57)=MONTH(CS$14))*(YEAR($D57)=YEAR(CS$14))*CS$11/unit</f>
        <v>0</v>
      </c>
      <c r="CT57" s="75">
        <f>(NOT(CT$14=exit))*IF($E57=1,Rentroll!$P45*'A&amp;R'!$AF$12*Rentroll!$H45,Rentroll!$P45*'A&amp;R'!$AF$11*Rentroll!$H45)*(MONTH($D57)=MONTH(CT$14))*(YEAR($D57)=YEAR(CT$14))*CT$11/unit</f>
        <v>0</v>
      </c>
      <c r="CU57" s="75">
        <f>(NOT(CU$14=exit))*IF($E57=1,Rentroll!$P45*'A&amp;R'!$AF$12*Rentroll!$H45,Rentroll!$P45*'A&amp;R'!$AF$11*Rentroll!$H45)*(MONTH($D57)=MONTH(CU$14))*(YEAR($D57)=YEAR(CU$14))*CU$11/unit</f>
        <v>0</v>
      </c>
      <c r="CV57" s="75">
        <f>(NOT(CV$14=exit))*IF($E57=1,Rentroll!$P45*'A&amp;R'!$AF$12*Rentroll!$H45,Rentroll!$P45*'A&amp;R'!$AF$11*Rentroll!$H45)*(MONTH($D57)=MONTH(CV$14))*(YEAR($D57)=YEAR(CV$14))*CV$11/unit</f>
        <v>0</v>
      </c>
      <c r="CW57" s="75">
        <f>(NOT(CW$14=exit))*IF($E57=1,Rentroll!$P45*'A&amp;R'!$AF$12*Rentroll!$H45,Rentroll!$P45*'A&amp;R'!$AF$11*Rentroll!$H45)*(MONTH($D57)=MONTH(CW$14))*(YEAR($D57)=YEAR(CW$14))*CW$11/unit</f>
        <v>0</v>
      </c>
      <c r="CX57" s="75">
        <f>(NOT(CX$14=exit))*IF($E57=1,Rentroll!$P45*'A&amp;R'!$AF$12*Rentroll!$H45,Rentroll!$P45*'A&amp;R'!$AF$11*Rentroll!$H45)*(MONTH($D57)=MONTH(CX$14))*(YEAR($D57)=YEAR(CX$14))*CX$11/unit</f>
        <v>0</v>
      </c>
      <c r="CY57" s="75">
        <f>(NOT(CY$14=exit))*IF($E57=1,Rentroll!$P45*'A&amp;R'!$AF$12*Rentroll!$H45,Rentroll!$P45*'A&amp;R'!$AF$11*Rentroll!$H45)*(MONTH($D57)=MONTH(CY$14))*(YEAR($D57)=YEAR(CY$14))*CY$11/unit</f>
        <v>0</v>
      </c>
      <c r="CZ57" s="75">
        <f>(NOT(CZ$14=exit))*IF($E57=1,Rentroll!$P45*'A&amp;R'!$AF$12*Rentroll!$H45,Rentroll!$P45*'A&amp;R'!$AF$11*Rentroll!$H45)*(MONTH($D57)=MONTH(CZ$14))*(YEAR($D57)=YEAR(CZ$14))*CZ$11/unit</f>
        <v>0</v>
      </c>
      <c r="DA57" s="75">
        <f>(NOT(DA$14=exit))*IF($E57=1,Rentroll!$P45*'A&amp;R'!$AF$12*Rentroll!$H45,Rentroll!$P45*'A&amp;R'!$AF$11*Rentroll!$H45)*(MONTH($D57)=MONTH(DA$14))*(YEAR($D57)=YEAR(DA$14))*DA$11/unit</f>
        <v>0</v>
      </c>
      <c r="DB57" s="75">
        <f>(NOT(DB$14=exit))*IF($E57=1,Rentroll!$P45*'A&amp;R'!$AF$12*Rentroll!$H45,Rentroll!$P45*'A&amp;R'!$AF$11*Rentroll!$H45)*(MONTH($D57)=MONTH(DB$14))*(YEAR($D57)=YEAR(DB$14))*DB$11/unit</f>
        <v>0</v>
      </c>
    </row>
    <row r="58" spans="3:106">
      <c r="C58" s="27">
        <f>Rentroll!$C$46</f>
        <v>8</v>
      </c>
      <c r="D58" s="80">
        <f>VLOOKUP($C58,Rentroll!$C$37:$Z$60,9,FALSE)</f>
        <v>46477</v>
      </c>
      <c r="E58" s="150">
        <f>VLOOKUP($C58,Rentroll!$C$37:$Z$60,24,FALSE)</f>
        <v>1</v>
      </c>
      <c r="F58" s="75">
        <f t="shared" si="44"/>
        <v>88.134466656789442</v>
      </c>
      <c r="G58" s="75"/>
      <c r="H58" s="75">
        <f>(NOT(H$14=exit))*IF($E58=1,Rentroll!$P46*'A&amp;R'!$AF$12*Rentroll!$H46,Rentroll!$P46*'A&amp;R'!$AF$11*Rentroll!$H46)*(MONTH($D58)=MONTH(H$14))*(YEAR($D58)=YEAR(H$14))*H$11/unit</f>
        <v>0</v>
      </c>
      <c r="I58" s="75">
        <f>(NOT(I$14=exit))*IF($E58=1,Rentroll!$P46*'A&amp;R'!$AF$12*Rentroll!$H46,Rentroll!$P46*'A&amp;R'!$AF$11*Rentroll!$H46)*(MONTH($D58)=MONTH(I$14))*(YEAR($D58)=YEAR(I$14))*I$11/unit</f>
        <v>0</v>
      </c>
      <c r="J58" s="75">
        <f>(NOT(J$14=exit))*IF($E58=1,Rentroll!$P46*'A&amp;R'!$AF$12*Rentroll!$H46,Rentroll!$P46*'A&amp;R'!$AF$11*Rentroll!$H46)*(MONTH($D58)=MONTH(J$14))*(YEAR($D58)=YEAR(J$14))*J$11/unit</f>
        <v>0</v>
      </c>
      <c r="K58" s="75">
        <f>(NOT(K$14=exit))*IF($E58=1,Rentroll!$P46*'A&amp;R'!$AF$12*Rentroll!$H46,Rentroll!$P46*'A&amp;R'!$AF$11*Rentroll!$H46)*(MONTH($D58)=MONTH(K$14))*(YEAR($D58)=YEAR(K$14))*K$11/unit</f>
        <v>0</v>
      </c>
      <c r="L58" s="75">
        <f>(NOT(L$14=exit))*IF($E58=1,Rentroll!$P46*'A&amp;R'!$AF$12*Rentroll!$H46,Rentroll!$P46*'A&amp;R'!$AF$11*Rentroll!$H46)*(MONTH($D58)=MONTH(L$14))*(YEAR($D58)=YEAR(L$14))*L$11/unit</f>
        <v>0</v>
      </c>
      <c r="M58" s="75">
        <f>(NOT(M$14=exit))*IF($E58=1,Rentroll!$P46*'A&amp;R'!$AF$12*Rentroll!$H46,Rentroll!$P46*'A&amp;R'!$AF$11*Rentroll!$H46)*(MONTH($D58)=MONTH(M$14))*(YEAR($D58)=YEAR(M$14))*M$11/unit</f>
        <v>0</v>
      </c>
      <c r="N58" s="75">
        <f>(NOT(N$14=exit))*IF($E58=1,Rentroll!$P46*'A&amp;R'!$AF$12*Rentroll!$H46,Rentroll!$P46*'A&amp;R'!$AF$11*Rentroll!$H46)*(MONTH($D58)=MONTH(N$14))*(YEAR($D58)=YEAR(N$14))*N$11/unit</f>
        <v>0</v>
      </c>
      <c r="O58" s="75">
        <f>(NOT(O$14=exit))*IF($E58=1,Rentroll!$P46*'A&amp;R'!$AF$12*Rentroll!$H46,Rentroll!$P46*'A&amp;R'!$AF$11*Rentroll!$H46)*(MONTH($D58)=MONTH(O$14))*(YEAR($D58)=YEAR(O$14))*O$11/unit</f>
        <v>0</v>
      </c>
      <c r="P58" s="75">
        <f>(NOT(P$14=exit))*IF($E58=1,Rentroll!$P46*'A&amp;R'!$AF$12*Rentroll!$H46,Rentroll!$P46*'A&amp;R'!$AF$11*Rentroll!$H46)*(MONTH($D58)=MONTH(P$14))*(YEAR($D58)=YEAR(P$14))*P$11/unit</f>
        <v>0</v>
      </c>
      <c r="Q58" s="75">
        <f>(NOT(Q$14=exit))*IF($E58=1,Rentroll!$P46*'A&amp;R'!$AF$12*Rentroll!$H46,Rentroll!$P46*'A&amp;R'!$AF$11*Rentroll!$H46)*(MONTH($D58)=MONTH(Q$14))*(YEAR($D58)=YEAR(Q$14))*Q$11/unit</f>
        <v>0</v>
      </c>
      <c r="R58" s="75">
        <f>(NOT(R$14=exit))*IF($E58=1,Rentroll!$P46*'A&amp;R'!$AF$12*Rentroll!$H46,Rentroll!$P46*'A&amp;R'!$AF$11*Rentroll!$H46)*(MONTH($D58)=MONTH(R$14))*(YEAR($D58)=YEAR(R$14))*R$11/unit</f>
        <v>0</v>
      </c>
      <c r="S58" s="75">
        <f>(NOT(S$14=exit))*IF($E58=1,Rentroll!$P46*'A&amp;R'!$AF$12*Rentroll!$H46,Rentroll!$P46*'A&amp;R'!$AF$11*Rentroll!$H46)*(MONTH($D58)=MONTH(S$14))*(YEAR($D58)=YEAR(S$14))*S$11/unit</f>
        <v>0</v>
      </c>
      <c r="T58" s="75">
        <f>(NOT(T$14=exit))*IF($E58=1,Rentroll!$P46*'A&amp;R'!$AF$12*Rentroll!$H46,Rentroll!$P46*'A&amp;R'!$AF$11*Rentroll!$H46)*(MONTH($D58)=MONTH(T$14))*(YEAR($D58)=YEAR(T$14))*T$11/unit</f>
        <v>0</v>
      </c>
      <c r="U58" s="75">
        <f>(NOT(U$14=exit))*IF($E58=1,Rentroll!$P46*'A&amp;R'!$AF$12*Rentroll!$H46,Rentroll!$P46*'A&amp;R'!$AF$11*Rentroll!$H46)*(MONTH($D58)=MONTH(U$14))*(YEAR($D58)=YEAR(U$14))*U$11/unit</f>
        <v>0</v>
      </c>
      <c r="V58" s="75">
        <f>(NOT(V$14=exit))*IF($E58=1,Rentroll!$P46*'A&amp;R'!$AF$12*Rentroll!$H46,Rentroll!$P46*'A&amp;R'!$AF$11*Rentroll!$H46)*(MONTH($D58)=MONTH(V$14))*(YEAR($D58)=YEAR(V$14))*V$11/unit</f>
        <v>0</v>
      </c>
      <c r="W58" s="75">
        <f>(NOT(W$14=exit))*IF($E58=1,Rentroll!$P46*'A&amp;R'!$AF$12*Rentroll!$H46,Rentroll!$P46*'A&amp;R'!$AF$11*Rentroll!$H46)*(MONTH($D58)=MONTH(W$14))*(YEAR($D58)=YEAR(W$14))*W$11/unit</f>
        <v>0</v>
      </c>
      <c r="X58" s="75">
        <f>(NOT(X$14=exit))*IF($E58=1,Rentroll!$P46*'A&amp;R'!$AF$12*Rentroll!$H46,Rentroll!$P46*'A&amp;R'!$AF$11*Rentroll!$H46)*(MONTH($D58)=MONTH(X$14))*(YEAR($D58)=YEAR(X$14))*X$11/unit</f>
        <v>0</v>
      </c>
      <c r="Y58" s="75">
        <f>(NOT(Y$14=exit))*IF($E58=1,Rentroll!$P46*'A&amp;R'!$AF$12*Rentroll!$H46,Rentroll!$P46*'A&amp;R'!$AF$11*Rentroll!$H46)*(MONTH($D58)=MONTH(Y$14))*(YEAR($D58)=YEAR(Y$14))*Y$11/unit</f>
        <v>0</v>
      </c>
      <c r="Z58" s="75">
        <f>(NOT(Z$14=exit))*IF($E58=1,Rentroll!$P46*'A&amp;R'!$AF$12*Rentroll!$H46,Rentroll!$P46*'A&amp;R'!$AF$11*Rentroll!$H46)*(MONTH($D58)=MONTH(Z$14))*(YEAR($D58)=YEAR(Z$14))*Z$11/unit</f>
        <v>0</v>
      </c>
      <c r="AA58" s="75">
        <f>(NOT(AA$14=exit))*IF($E58=1,Rentroll!$P46*'A&amp;R'!$AF$12*Rentroll!$H46,Rentroll!$P46*'A&amp;R'!$AF$11*Rentroll!$H46)*(MONTH($D58)=MONTH(AA$14))*(YEAR($D58)=YEAR(AA$14))*AA$11/unit</f>
        <v>0</v>
      </c>
      <c r="AB58" s="75">
        <f>(NOT(AB$14=exit))*IF($E58=1,Rentroll!$P46*'A&amp;R'!$AF$12*Rentroll!$H46,Rentroll!$P46*'A&amp;R'!$AF$11*Rentroll!$H46)*(MONTH($D58)=MONTH(AB$14))*(YEAR($D58)=YEAR(AB$14))*AB$11/unit</f>
        <v>0</v>
      </c>
      <c r="AC58" s="75">
        <f>(NOT(AC$14=exit))*IF($E58=1,Rentroll!$P46*'A&amp;R'!$AF$12*Rentroll!$H46,Rentroll!$P46*'A&amp;R'!$AF$11*Rentroll!$H46)*(MONTH($D58)=MONTH(AC$14))*(YEAR($D58)=YEAR(AC$14))*AC$11/unit</f>
        <v>0</v>
      </c>
      <c r="AD58" s="75">
        <f>(NOT(AD$14=exit))*IF($E58=1,Rentroll!$P46*'A&amp;R'!$AF$12*Rentroll!$H46,Rentroll!$P46*'A&amp;R'!$AF$11*Rentroll!$H46)*(MONTH($D58)=MONTH(AD$14))*(YEAR($D58)=YEAR(AD$14))*AD$11/unit</f>
        <v>0</v>
      </c>
      <c r="AE58" s="75">
        <f>(NOT(AE$14=exit))*IF($E58=1,Rentroll!$P46*'A&amp;R'!$AF$12*Rentroll!$H46,Rentroll!$P46*'A&amp;R'!$AF$11*Rentroll!$H46)*(MONTH($D58)=MONTH(AE$14))*(YEAR($D58)=YEAR(AE$14))*AE$11/unit</f>
        <v>0</v>
      </c>
      <c r="AF58" s="75">
        <f>(NOT(AF$14=exit))*IF($E58=1,Rentroll!$P46*'A&amp;R'!$AF$12*Rentroll!$H46,Rentroll!$P46*'A&amp;R'!$AF$11*Rentroll!$H46)*(MONTH($D58)=MONTH(AF$14))*(YEAR($D58)=YEAR(AF$14))*AF$11/unit</f>
        <v>0</v>
      </c>
      <c r="AG58" s="75">
        <f>(NOT(AG$14=exit))*IF($E58=1,Rentroll!$P46*'A&amp;R'!$AF$12*Rentroll!$H46,Rentroll!$P46*'A&amp;R'!$AF$11*Rentroll!$H46)*(MONTH($D58)=MONTH(AG$14))*(YEAR($D58)=YEAR(AG$14))*AG$11/unit</f>
        <v>0</v>
      </c>
      <c r="AH58" s="75">
        <f>(NOT(AH$14=exit))*IF($E58=1,Rentroll!$P46*'A&amp;R'!$AF$12*Rentroll!$H46,Rentroll!$P46*'A&amp;R'!$AF$11*Rentroll!$H46)*(MONTH($D58)=MONTH(AH$14))*(YEAR($D58)=YEAR(AH$14))*AH$11/unit</f>
        <v>88.134466656789442</v>
      </c>
      <c r="AI58" s="75">
        <f>(NOT(AI$14=exit))*IF($E58=1,Rentroll!$P46*'A&amp;R'!$AF$12*Rentroll!$H46,Rentroll!$P46*'A&amp;R'!$AF$11*Rentroll!$H46)*(MONTH($D58)=MONTH(AI$14))*(YEAR($D58)=YEAR(AI$14))*AI$11/unit</f>
        <v>0</v>
      </c>
      <c r="AJ58" s="75">
        <f>(NOT(AJ$14=exit))*IF($E58=1,Rentroll!$P46*'A&amp;R'!$AF$12*Rentroll!$H46,Rentroll!$P46*'A&amp;R'!$AF$11*Rentroll!$H46)*(MONTH($D58)=MONTH(AJ$14))*(YEAR($D58)=YEAR(AJ$14))*AJ$11/unit</f>
        <v>0</v>
      </c>
      <c r="AK58" s="75">
        <f>(NOT(AK$14=exit))*IF($E58=1,Rentroll!$P46*'A&amp;R'!$AF$12*Rentroll!$H46,Rentroll!$P46*'A&amp;R'!$AF$11*Rentroll!$H46)*(MONTH($D58)=MONTH(AK$14))*(YEAR($D58)=YEAR(AK$14))*AK$11/unit</f>
        <v>0</v>
      </c>
      <c r="AL58" s="75">
        <f>(NOT(AL$14=exit))*IF($E58=1,Rentroll!$P46*'A&amp;R'!$AF$12*Rentroll!$H46,Rentroll!$P46*'A&amp;R'!$AF$11*Rentroll!$H46)*(MONTH($D58)=MONTH(AL$14))*(YEAR($D58)=YEAR(AL$14))*AL$11/unit</f>
        <v>0</v>
      </c>
      <c r="AM58" s="75">
        <f>(NOT(AM$14=exit))*IF($E58=1,Rentroll!$P46*'A&amp;R'!$AF$12*Rentroll!$H46,Rentroll!$P46*'A&amp;R'!$AF$11*Rentroll!$H46)*(MONTH($D58)=MONTH(AM$14))*(YEAR($D58)=YEAR(AM$14))*AM$11/unit</f>
        <v>0</v>
      </c>
      <c r="AN58" s="75">
        <f>(NOT(AN$14=exit))*IF($E58=1,Rentroll!$P46*'A&amp;R'!$AF$12*Rentroll!$H46,Rentroll!$P46*'A&amp;R'!$AF$11*Rentroll!$H46)*(MONTH($D58)=MONTH(AN$14))*(YEAR($D58)=YEAR(AN$14))*AN$11/unit</f>
        <v>0</v>
      </c>
      <c r="AO58" s="75">
        <f>(NOT(AO$14=exit))*IF($E58=1,Rentroll!$P46*'A&amp;R'!$AF$12*Rentroll!$H46,Rentroll!$P46*'A&amp;R'!$AF$11*Rentroll!$H46)*(MONTH($D58)=MONTH(AO$14))*(YEAR($D58)=YEAR(AO$14))*AO$11/unit</f>
        <v>0</v>
      </c>
      <c r="AP58" s="75">
        <f>(NOT(AP$14=exit))*IF($E58=1,Rentroll!$P46*'A&amp;R'!$AF$12*Rentroll!$H46,Rentroll!$P46*'A&amp;R'!$AF$11*Rentroll!$H46)*(MONTH($D58)=MONTH(AP$14))*(YEAR($D58)=YEAR(AP$14))*AP$11/unit</f>
        <v>0</v>
      </c>
      <c r="AQ58" s="75">
        <f>(NOT(AQ$14=exit))*IF($E58=1,Rentroll!$P46*'A&amp;R'!$AF$12*Rentroll!$H46,Rentroll!$P46*'A&amp;R'!$AF$11*Rentroll!$H46)*(MONTH($D58)=MONTH(AQ$14))*(YEAR($D58)=YEAR(AQ$14))*AQ$11/unit</f>
        <v>0</v>
      </c>
      <c r="AR58" s="75">
        <f>(NOT(AR$14=exit))*IF($E58=1,Rentroll!$P46*'A&amp;R'!$AF$12*Rentroll!$H46,Rentroll!$P46*'A&amp;R'!$AF$11*Rentroll!$H46)*(MONTH($D58)=MONTH(AR$14))*(YEAR($D58)=YEAR(AR$14))*AR$11/unit</f>
        <v>0</v>
      </c>
      <c r="AS58" s="75">
        <f>(NOT(AS$14=exit))*IF($E58=1,Rentroll!$P46*'A&amp;R'!$AF$12*Rentroll!$H46,Rentroll!$P46*'A&amp;R'!$AF$11*Rentroll!$H46)*(MONTH($D58)=MONTH(AS$14))*(YEAR($D58)=YEAR(AS$14))*AS$11/unit</f>
        <v>0</v>
      </c>
      <c r="AT58" s="75">
        <f>(NOT(AT$14=exit))*IF($E58=1,Rentroll!$P46*'A&amp;R'!$AF$12*Rentroll!$H46,Rentroll!$P46*'A&amp;R'!$AF$11*Rentroll!$H46)*(MONTH($D58)=MONTH(AT$14))*(YEAR($D58)=YEAR(AT$14))*AT$11/unit</f>
        <v>0</v>
      </c>
      <c r="AU58" s="75">
        <f>(NOT(AU$14=exit))*IF($E58=1,Rentroll!$P46*'A&amp;R'!$AF$12*Rentroll!$H46,Rentroll!$P46*'A&amp;R'!$AF$11*Rentroll!$H46)*(MONTH($D58)=MONTH(AU$14))*(YEAR($D58)=YEAR(AU$14))*AU$11/unit</f>
        <v>0</v>
      </c>
      <c r="AV58" s="75">
        <f>(NOT(AV$14=exit))*IF($E58=1,Rentroll!$P46*'A&amp;R'!$AF$12*Rentroll!$H46,Rentroll!$P46*'A&amp;R'!$AF$11*Rentroll!$H46)*(MONTH($D58)=MONTH(AV$14))*(YEAR($D58)=YEAR(AV$14))*AV$11/unit</f>
        <v>0</v>
      </c>
      <c r="AW58" s="75">
        <f>(NOT(AW$14=exit))*IF($E58=1,Rentroll!$P46*'A&amp;R'!$AF$12*Rentroll!$H46,Rentroll!$P46*'A&amp;R'!$AF$11*Rentroll!$H46)*(MONTH($D58)=MONTH(AW$14))*(YEAR($D58)=YEAR(AW$14))*AW$11/unit</f>
        <v>0</v>
      </c>
      <c r="AX58" s="75">
        <f>(NOT(AX$14=exit))*IF($E58=1,Rentroll!$P46*'A&amp;R'!$AF$12*Rentroll!$H46,Rentroll!$P46*'A&amp;R'!$AF$11*Rentroll!$H46)*(MONTH($D58)=MONTH(AX$14))*(YEAR($D58)=YEAR(AX$14))*AX$11/unit</f>
        <v>0</v>
      </c>
      <c r="AY58" s="75">
        <f>(NOT(AY$14=exit))*IF($E58=1,Rentroll!$P46*'A&amp;R'!$AF$12*Rentroll!$H46,Rentroll!$P46*'A&amp;R'!$AF$11*Rentroll!$H46)*(MONTH($D58)=MONTH(AY$14))*(YEAR($D58)=YEAR(AY$14))*AY$11/unit</f>
        <v>0</v>
      </c>
      <c r="AZ58" s="75">
        <f>(NOT(AZ$14=exit))*IF($E58=1,Rentroll!$P46*'A&amp;R'!$AF$12*Rentroll!$H46,Rentroll!$P46*'A&amp;R'!$AF$11*Rentroll!$H46)*(MONTH($D58)=MONTH(AZ$14))*(YEAR($D58)=YEAR(AZ$14))*AZ$11/unit</f>
        <v>0</v>
      </c>
      <c r="BA58" s="75">
        <f>(NOT(BA$14=exit))*IF($E58=1,Rentroll!$P46*'A&amp;R'!$AF$12*Rentroll!$H46,Rentroll!$P46*'A&amp;R'!$AF$11*Rentroll!$H46)*(MONTH($D58)=MONTH(BA$14))*(YEAR($D58)=YEAR(BA$14))*BA$11/unit</f>
        <v>0</v>
      </c>
      <c r="BB58" s="75">
        <f>(NOT(BB$14=exit))*IF($E58=1,Rentroll!$P46*'A&amp;R'!$AF$12*Rentroll!$H46,Rentroll!$P46*'A&amp;R'!$AF$11*Rentroll!$H46)*(MONTH($D58)=MONTH(BB$14))*(YEAR($D58)=YEAR(BB$14))*BB$11/unit</f>
        <v>0</v>
      </c>
      <c r="BC58" s="75">
        <f>(NOT(BC$14=exit))*IF($E58=1,Rentroll!$P46*'A&amp;R'!$AF$12*Rentroll!$H46,Rentroll!$P46*'A&amp;R'!$AF$11*Rentroll!$H46)*(MONTH($D58)=MONTH(BC$14))*(YEAR($D58)=YEAR(BC$14))*BC$11/unit</f>
        <v>0</v>
      </c>
      <c r="BD58" s="75">
        <f>(NOT(BD$14=exit))*IF($E58=1,Rentroll!$P46*'A&amp;R'!$AF$12*Rentroll!$H46,Rentroll!$P46*'A&amp;R'!$AF$11*Rentroll!$H46)*(MONTH($D58)=MONTH(BD$14))*(YEAR($D58)=YEAR(BD$14))*BD$11/unit</f>
        <v>0</v>
      </c>
      <c r="BE58" s="75">
        <f>(NOT(BE$14=exit))*IF($E58=1,Rentroll!$P46*'A&amp;R'!$AF$12*Rentroll!$H46,Rentroll!$P46*'A&amp;R'!$AF$11*Rentroll!$H46)*(MONTH($D58)=MONTH(BE$14))*(YEAR($D58)=YEAR(BE$14))*BE$11/unit</f>
        <v>0</v>
      </c>
      <c r="BF58" s="75">
        <f>(NOT(BF$14=exit))*IF($E58=1,Rentroll!$P46*'A&amp;R'!$AF$12*Rentroll!$H46,Rentroll!$P46*'A&amp;R'!$AF$11*Rentroll!$H46)*(MONTH($D58)=MONTH(BF$14))*(YEAR($D58)=YEAR(BF$14))*BF$11/unit</f>
        <v>0</v>
      </c>
      <c r="BG58" s="75">
        <f>(NOT(BG$14=exit))*IF($E58=1,Rentroll!$P46*'A&amp;R'!$AF$12*Rentroll!$H46,Rentroll!$P46*'A&amp;R'!$AF$11*Rentroll!$H46)*(MONTH($D58)=MONTH(BG$14))*(YEAR($D58)=YEAR(BG$14))*BG$11/unit</f>
        <v>0</v>
      </c>
      <c r="BH58" s="75">
        <f>(NOT(BH$14=exit))*IF($E58=1,Rentroll!$P46*'A&amp;R'!$AF$12*Rentroll!$H46,Rentroll!$P46*'A&amp;R'!$AF$11*Rentroll!$H46)*(MONTH($D58)=MONTH(BH$14))*(YEAR($D58)=YEAR(BH$14))*BH$11/unit</f>
        <v>0</v>
      </c>
      <c r="BI58" s="75">
        <f>(NOT(BI$14=exit))*IF($E58=1,Rentroll!$P46*'A&amp;R'!$AF$12*Rentroll!$H46,Rentroll!$P46*'A&amp;R'!$AF$11*Rentroll!$H46)*(MONTH($D58)=MONTH(BI$14))*(YEAR($D58)=YEAR(BI$14))*BI$11/unit</f>
        <v>0</v>
      </c>
      <c r="BJ58" s="75">
        <f>(NOT(BJ$14=exit))*IF($E58=1,Rentroll!$P46*'A&amp;R'!$AF$12*Rentroll!$H46,Rentroll!$P46*'A&amp;R'!$AF$11*Rentroll!$H46)*(MONTH($D58)=MONTH(BJ$14))*(YEAR($D58)=YEAR(BJ$14))*BJ$11/unit</f>
        <v>0</v>
      </c>
      <c r="BK58" s="75">
        <f>(NOT(BK$14=exit))*IF($E58=1,Rentroll!$P46*'A&amp;R'!$AF$12*Rentroll!$H46,Rentroll!$P46*'A&amp;R'!$AF$11*Rentroll!$H46)*(MONTH($D58)=MONTH(BK$14))*(YEAR($D58)=YEAR(BK$14))*BK$11/unit</f>
        <v>0</v>
      </c>
      <c r="BL58" s="75">
        <f>(NOT(BL$14=exit))*IF($E58=1,Rentroll!$P46*'A&amp;R'!$AF$12*Rentroll!$H46,Rentroll!$P46*'A&amp;R'!$AF$11*Rentroll!$H46)*(MONTH($D58)=MONTH(BL$14))*(YEAR($D58)=YEAR(BL$14))*BL$11/unit</f>
        <v>0</v>
      </c>
      <c r="BM58" s="75">
        <f>(NOT(BM$14=exit))*IF($E58=1,Rentroll!$P46*'A&amp;R'!$AF$12*Rentroll!$H46,Rentroll!$P46*'A&amp;R'!$AF$11*Rentroll!$H46)*(MONTH($D58)=MONTH(BM$14))*(YEAR($D58)=YEAR(BM$14))*BM$11/unit</f>
        <v>0</v>
      </c>
      <c r="BN58" s="75">
        <f>(NOT(BN$14=exit))*IF($E58=1,Rentroll!$P46*'A&amp;R'!$AF$12*Rentroll!$H46,Rentroll!$P46*'A&amp;R'!$AF$11*Rentroll!$H46)*(MONTH($D58)=MONTH(BN$14))*(YEAR($D58)=YEAR(BN$14))*BN$11/unit</f>
        <v>0</v>
      </c>
      <c r="BO58" s="75">
        <f>(NOT(BO$14=exit))*IF($E58=1,Rentroll!$P46*'A&amp;R'!$AF$12*Rentroll!$H46,Rentroll!$P46*'A&amp;R'!$AF$11*Rentroll!$H46)*(MONTH($D58)=MONTH(BO$14))*(YEAR($D58)=YEAR(BO$14))*BO$11/unit</f>
        <v>0</v>
      </c>
      <c r="BP58" s="75">
        <f>(NOT(BP$14=exit))*IF($E58=1,Rentroll!$P46*'A&amp;R'!$AF$12*Rentroll!$H46,Rentroll!$P46*'A&amp;R'!$AF$11*Rentroll!$H46)*(MONTH($D58)=MONTH(BP$14))*(YEAR($D58)=YEAR(BP$14))*BP$11/unit</f>
        <v>0</v>
      </c>
      <c r="BQ58" s="75">
        <f>(NOT(BQ$14=exit))*IF($E58=1,Rentroll!$P46*'A&amp;R'!$AF$12*Rentroll!$H46,Rentroll!$P46*'A&amp;R'!$AF$11*Rentroll!$H46)*(MONTH($D58)=MONTH(BQ$14))*(YEAR($D58)=YEAR(BQ$14))*BQ$11/unit</f>
        <v>0</v>
      </c>
      <c r="BR58" s="75">
        <f>(NOT(BR$14=exit))*IF($E58=1,Rentroll!$P46*'A&amp;R'!$AF$12*Rentroll!$H46,Rentroll!$P46*'A&amp;R'!$AF$11*Rentroll!$H46)*(MONTH($D58)=MONTH(BR$14))*(YEAR($D58)=YEAR(BR$14))*BR$11/unit</f>
        <v>0</v>
      </c>
      <c r="BS58" s="75">
        <f>(NOT(BS$14=exit))*IF($E58=1,Rentroll!$P46*'A&amp;R'!$AF$12*Rentroll!$H46,Rentroll!$P46*'A&amp;R'!$AF$11*Rentroll!$H46)*(MONTH($D58)=MONTH(BS$14))*(YEAR($D58)=YEAR(BS$14))*BS$11/unit</f>
        <v>0</v>
      </c>
      <c r="BT58" s="75">
        <f>(NOT(BT$14=exit))*IF($E58=1,Rentroll!$P46*'A&amp;R'!$AF$12*Rentroll!$H46,Rentroll!$P46*'A&amp;R'!$AF$11*Rentroll!$H46)*(MONTH($D58)=MONTH(BT$14))*(YEAR($D58)=YEAR(BT$14))*BT$11/unit</f>
        <v>0</v>
      </c>
      <c r="BU58" s="75">
        <f>(NOT(BU$14=exit))*IF($E58=1,Rentroll!$P46*'A&amp;R'!$AF$12*Rentroll!$H46,Rentroll!$P46*'A&amp;R'!$AF$11*Rentroll!$H46)*(MONTH($D58)=MONTH(BU$14))*(YEAR($D58)=YEAR(BU$14))*BU$11/unit</f>
        <v>0</v>
      </c>
      <c r="BV58" s="75">
        <f>(NOT(BV$14=exit))*IF($E58=1,Rentroll!$P46*'A&amp;R'!$AF$12*Rentroll!$H46,Rentroll!$P46*'A&amp;R'!$AF$11*Rentroll!$H46)*(MONTH($D58)=MONTH(BV$14))*(YEAR($D58)=YEAR(BV$14))*BV$11/unit</f>
        <v>0</v>
      </c>
      <c r="BW58" s="75">
        <f>(NOT(BW$14=exit))*IF($E58=1,Rentroll!$P46*'A&amp;R'!$AF$12*Rentroll!$H46,Rentroll!$P46*'A&amp;R'!$AF$11*Rentroll!$H46)*(MONTH($D58)=MONTH(BW$14))*(YEAR($D58)=YEAR(BW$14))*BW$11/unit</f>
        <v>0</v>
      </c>
      <c r="BX58" s="75">
        <f>(NOT(BX$14=exit))*IF($E58=1,Rentroll!$P46*'A&amp;R'!$AF$12*Rentroll!$H46,Rentroll!$P46*'A&amp;R'!$AF$11*Rentroll!$H46)*(MONTH($D58)=MONTH(BX$14))*(YEAR($D58)=YEAR(BX$14))*BX$11/unit</f>
        <v>0</v>
      </c>
      <c r="BY58" s="75">
        <f>(NOT(BY$14=exit))*IF($E58=1,Rentroll!$P46*'A&amp;R'!$AF$12*Rentroll!$H46,Rentroll!$P46*'A&amp;R'!$AF$11*Rentroll!$H46)*(MONTH($D58)=MONTH(BY$14))*(YEAR($D58)=YEAR(BY$14))*BY$11/unit</f>
        <v>0</v>
      </c>
      <c r="BZ58" s="75">
        <f>(NOT(BZ$14=exit))*IF($E58=1,Rentroll!$P46*'A&amp;R'!$AF$12*Rentroll!$H46,Rentroll!$P46*'A&amp;R'!$AF$11*Rentroll!$H46)*(MONTH($D58)=MONTH(BZ$14))*(YEAR($D58)=YEAR(BZ$14))*BZ$11/unit</f>
        <v>0</v>
      </c>
      <c r="CA58" s="75">
        <f>(NOT(CA$14=exit))*IF($E58=1,Rentroll!$P46*'A&amp;R'!$AF$12*Rentroll!$H46,Rentroll!$P46*'A&amp;R'!$AF$11*Rentroll!$H46)*(MONTH($D58)=MONTH(CA$14))*(YEAR($D58)=YEAR(CA$14))*CA$11/unit</f>
        <v>0</v>
      </c>
      <c r="CB58" s="75">
        <f>(NOT(CB$14=exit))*IF($E58=1,Rentroll!$P46*'A&amp;R'!$AF$12*Rentroll!$H46,Rentroll!$P46*'A&amp;R'!$AF$11*Rentroll!$H46)*(MONTH($D58)=MONTH(CB$14))*(YEAR($D58)=YEAR(CB$14))*CB$11/unit</f>
        <v>0</v>
      </c>
      <c r="CC58" s="75">
        <f>(NOT(CC$14=exit))*IF($E58=1,Rentroll!$P46*'A&amp;R'!$AF$12*Rentroll!$H46,Rentroll!$P46*'A&amp;R'!$AF$11*Rentroll!$H46)*(MONTH($D58)=MONTH(CC$14))*(YEAR($D58)=YEAR(CC$14))*CC$11/unit</f>
        <v>0</v>
      </c>
      <c r="CD58" s="75">
        <f>(NOT(CD$14=exit))*IF($E58=1,Rentroll!$P46*'A&amp;R'!$AF$12*Rentroll!$H46,Rentroll!$P46*'A&amp;R'!$AF$11*Rentroll!$H46)*(MONTH($D58)=MONTH(CD$14))*(YEAR($D58)=YEAR(CD$14))*CD$11/unit</f>
        <v>0</v>
      </c>
      <c r="CE58" s="75">
        <f>(NOT(CE$14=exit))*IF($E58=1,Rentroll!$P46*'A&amp;R'!$AF$12*Rentroll!$H46,Rentroll!$P46*'A&amp;R'!$AF$11*Rentroll!$H46)*(MONTH($D58)=MONTH(CE$14))*(YEAR($D58)=YEAR(CE$14))*CE$11/unit</f>
        <v>0</v>
      </c>
      <c r="CF58" s="75">
        <f>(NOT(CF$14=exit))*IF($E58=1,Rentroll!$P46*'A&amp;R'!$AF$12*Rentroll!$H46,Rentroll!$P46*'A&amp;R'!$AF$11*Rentroll!$H46)*(MONTH($D58)=MONTH(CF$14))*(YEAR($D58)=YEAR(CF$14))*CF$11/unit</f>
        <v>0</v>
      </c>
      <c r="CG58" s="75">
        <f>(NOT(CG$14=exit))*IF($E58=1,Rentroll!$P46*'A&amp;R'!$AF$12*Rentroll!$H46,Rentroll!$P46*'A&amp;R'!$AF$11*Rentroll!$H46)*(MONTH($D58)=MONTH(CG$14))*(YEAR($D58)=YEAR(CG$14))*CG$11/unit</f>
        <v>0</v>
      </c>
      <c r="CH58" s="75">
        <f>(NOT(CH$14=exit))*IF($E58=1,Rentroll!$P46*'A&amp;R'!$AF$12*Rentroll!$H46,Rentroll!$P46*'A&amp;R'!$AF$11*Rentroll!$H46)*(MONTH($D58)=MONTH(CH$14))*(YEAR($D58)=YEAR(CH$14))*CH$11/unit</f>
        <v>0</v>
      </c>
      <c r="CI58" s="75">
        <f>(NOT(CI$14=exit))*IF($E58=1,Rentroll!$P46*'A&amp;R'!$AF$12*Rentroll!$H46,Rentroll!$P46*'A&amp;R'!$AF$11*Rentroll!$H46)*(MONTH($D58)=MONTH(CI$14))*(YEAR($D58)=YEAR(CI$14))*CI$11/unit</f>
        <v>0</v>
      </c>
      <c r="CJ58" s="75">
        <f>(NOT(CJ$14=exit))*IF($E58=1,Rentroll!$P46*'A&amp;R'!$AF$12*Rentroll!$H46,Rentroll!$P46*'A&amp;R'!$AF$11*Rentroll!$H46)*(MONTH($D58)=MONTH(CJ$14))*(YEAR($D58)=YEAR(CJ$14))*CJ$11/unit</f>
        <v>0</v>
      </c>
      <c r="CK58" s="75">
        <f>(NOT(CK$14=exit))*IF($E58=1,Rentroll!$P46*'A&amp;R'!$AF$12*Rentroll!$H46,Rentroll!$P46*'A&amp;R'!$AF$11*Rentroll!$H46)*(MONTH($D58)=MONTH(CK$14))*(YEAR($D58)=YEAR(CK$14))*CK$11/unit</f>
        <v>0</v>
      </c>
      <c r="CL58" s="75">
        <f>(NOT(CL$14=exit))*IF($E58=1,Rentroll!$P46*'A&amp;R'!$AF$12*Rentroll!$H46,Rentroll!$P46*'A&amp;R'!$AF$11*Rentroll!$H46)*(MONTH($D58)=MONTH(CL$14))*(YEAR($D58)=YEAR(CL$14))*CL$11/unit</f>
        <v>0</v>
      </c>
      <c r="CM58" s="75">
        <f>(NOT(CM$14=exit))*IF($E58=1,Rentroll!$P46*'A&amp;R'!$AF$12*Rentroll!$H46,Rentroll!$P46*'A&amp;R'!$AF$11*Rentroll!$H46)*(MONTH($D58)=MONTH(CM$14))*(YEAR($D58)=YEAR(CM$14))*CM$11/unit</f>
        <v>0</v>
      </c>
      <c r="CN58" s="75">
        <f>(NOT(CN$14=exit))*IF($E58=1,Rentroll!$P46*'A&amp;R'!$AF$12*Rentroll!$H46,Rentroll!$P46*'A&amp;R'!$AF$11*Rentroll!$H46)*(MONTH($D58)=MONTH(CN$14))*(YEAR($D58)=YEAR(CN$14))*CN$11/unit</f>
        <v>0</v>
      </c>
      <c r="CO58" s="75">
        <f>(NOT(CO$14=exit))*IF($E58=1,Rentroll!$P46*'A&amp;R'!$AF$12*Rentroll!$H46,Rentroll!$P46*'A&amp;R'!$AF$11*Rentroll!$H46)*(MONTH($D58)=MONTH(CO$14))*(YEAR($D58)=YEAR(CO$14))*CO$11/unit</f>
        <v>0</v>
      </c>
      <c r="CP58" s="75">
        <f>(NOT(CP$14=exit))*IF($E58=1,Rentroll!$P46*'A&amp;R'!$AF$12*Rentroll!$H46,Rentroll!$P46*'A&amp;R'!$AF$11*Rentroll!$H46)*(MONTH($D58)=MONTH(CP$14))*(YEAR($D58)=YEAR(CP$14))*CP$11/unit</f>
        <v>0</v>
      </c>
      <c r="CQ58" s="75">
        <f>(NOT(CQ$14=exit))*IF($E58=1,Rentroll!$P46*'A&amp;R'!$AF$12*Rentroll!$H46,Rentroll!$P46*'A&amp;R'!$AF$11*Rentroll!$H46)*(MONTH($D58)=MONTH(CQ$14))*(YEAR($D58)=YEAR(CQ$14))*CQ$11/unit</f>
        <v>0</v>
      </c>
      <c r="CR58" s="75">
        <f>(NOT(CR$14=exit))*IF($E58=1,Rentroll!$P46*'A&amp;R'!$AF$12*Rentroll!$H46,Rentroll!$P46*'A&amp;R'!$AF$11*Rentroll!$H46)*(MONTH($D58)=MONTH(CR$14))*(YEAR($D58)=YEAR(CR$14))*CR$11/unit</f>
        <v>0</v>
      </c>
      <c r="CS58" s="75">
        <f>(NOT(CS$14=exit))*IF($E58=1,Rentroll!$P46*'A&amp;R'!$AF$12*Rentroll!$H46,Rentroll!$P46*'A&amp;R'!$AF$11*Rentroll!$H46)*(MONTH($D58)=MONTH(CS$14))*(YEAR($D58)=YEAR(CS$14))*CS$11/unit</f>
        <v>0</v>
      </c>
      <c r="CT58" s="75">
        <f>(NOT(CT$14=exit))*IF($E58=1,Rentroll!$P46*'A&amp;R'!$AF$12*Rentroll!$H46,Rentroll!$P46*'A&amp;R'!$AF$11*Rentroll!$H46)*(MONTH($D58)=MONTH(CT$14))*(YEAR($D58)=YEAR(CT$14))*CT$11/unit</f>
        <v>0</v>
      </c>
      <c r="CU58" s="75">
        <f>(NOT(CU$14=exit))*IF($E58=1,Rentroll!$P46*'A&amp;R'!$AF$12*Rentroll!$H46,Rentroll!$P46*'A&amp;R'!$AF$11*Rentroll!$H46)*(MONTH($D58)=MONTH(CU$14))*(YEAR($D58)=YEAR(CU$14))*CU$11/unit</f>
        <v>0</v>
      </c>
      <c r="CV58" s="75">
        <f>(NOT(CV$14=exit))*IF($E58=1,Rentroll!$P46*'A&amp;R'!$AF$12*Rentroll!$H46,Rentroll!$P46*'A&amp;R'!$AF$11*Rentroll!$H46)*(MONTH($D58)=MONTH(CV$14))*(YEAR($D58)=YEAR(CV$14))*CV$11/unit</f>
        <v>0</v>
      </c>
      <c r="CW58" s="75">
        <f>(NOT(CW$14=exit))*IF($E58=1,Rentroll!$P46*'A&amp;R'!$AF$12*Rentroll!$H46,Rentroll!$P46*'A&amp;R'!$AF$11*Rentroll!$H46)*(MONTH($D58)=MONTH(CW$14))*(YEAR($D58)=YEAR(CW$14))*CW$11/unit</f>
        <v>0</v>
      </c>
      <c r="CX58" s="75">
        <f>(NOT(CX$14=exit))*IF($E58=1,Rentroll!$P46*'A&amp;R'!$AF$12*Rentroll!$H46,Rentroll!$P46*'A&amp;R'!$AF$11*Rentroll!$H46)*(MONTH($D58)=MONTH(CX$14))*(YEAR($D58)=YEAR(CX$14))*CX$11/unit</f>
        <v>0</v>
      </c>
      <c r="CY58" s="75">
        <f>(NOT(CY$14=exit))*IF($E58=1,Rentroll!$P46*'A&amp;R'!$AF$12*Rentroll!$H46,Rentroll!$P46*'A&amp;R'!$AF$11*Rentroll!$H46)*(MONTH($D58)=MONTH(CY$14))*(YEAR($D58)=YEAR(CY$14))*CY$11/unit</f>
        <v>0</v>
      </c>
      <c r="CZ58" s="75">
        <f>(NOT(CZ$14=exit))*IF($E58=1,Rentroll!$P46*'A&amp;R'!$AF$12*Rentroll!$H46,Rentroll!$P46*'A&amp;R'!$AF$11*Rentroll!$H46)*(MONTH($D58)=MONTH(CZ$14))*(YEAR($D58)=YEAR(CZ$14))*CZ$11/unit</f>
        <v>0</v>
      </c>
      <c r="DA58" s="75">
        <f>(NOT(DA$14=exit))*IF($E58=1,Rentroll!$P46*'A&amp;R'!$AF$12*Rentroll!$H46,Rentroll!$P46*'A&amp;R'!$AF$11*Rentroll!$H46)*(MONTH($D58)=MONTH(DA$14))*(YEAR($D58)=YEAR(DA$14))*DA$11/unit</f>
        <v>0</v>
      </c>
      <c r="DB58" s="75">
        <f>(NOT(DB$14=exit))*IF($E58=1,Rentroll!$P46*'A&amp;R'!$AF$12*Rentroll!$H46,Rentroll!$P46*'A&amp;R'!$AF$11*Rentroll!$H46)*(MONTH($D58)=MONTH(DB$14))*(YEAR($D58)=YEAR(DB$14))*DB$11/unit</f>
        <v>0</v>
      </c>
    </row>
    <row r="59" spans="3:106">
      <c r="C59" s="27">
        <f>Rentroll!$C$47</f>
        <v>7</v>
      </c>
      <c r="D59" s="80">
        <f>VLOOKUP($C59,Rentroll!$C$37:$Z$60,9,FALSE)</f>
        <v>46477</v>
      </c>
      <c r="E59" s="150">
        <f>VLOOKUP($C59,Rentroll!$C$37:$Z$60,24,FALSE)</f>
        <v>1</v>
      </c>
      <c r="F59" s="75">
        <f t="shared" si="44"/>
        <v>88.134466656789442</v>
      </c>
      <c r="G59" s="75"/>
      <c r="H59" s="75">
        <f>(NOT(H$14=exit))*IF($E59=1,Rentroll!$P47*'A&amp;R'!$AF$12*Rentroll!$H47,Rentroll!$P47*'A&amp;R'!$AF$11*Rentroll!$H47)*(MONTH($D59)=MONTH(H$14))*(YEAR($D59)=YEAR(H$14))*H$11/unit</f>
        <v>0</v>
      </c>
      <c r="I59" s="75">
        <f>(NOT(I$14=exit))*IF($E59=1,Rentroll!$P47*'A&amp;R'!$AF$12*Rentroll!$H47,Rentroll!$P47*'A&amp;R'!$AF$11*Rentroll!$H47)*(MONTH($D59)=MONTH(I$14))*(YEAR($D59)=YEAR(I$14))*I$11/unit</f>
        <v>0</v>
      </c>
      <c r="J59" s="75">
        <f>(NOT(J$14=exit))*IF($E59=1,Rentroll!$P47*'A&amp;R'!$AF$12*Rentroll!$H47,Rentroll!$P47*'A&amp;R'!$AF$11*Rentroll!$H47)*(MONTH($D59)=MONTH(J$14))*(YEAR($D59)=YEAR(J$14))*J$11/unit</f>
        <v>0</v>
      </c>
      <c r="K59" s="75">
        <f>(NOT(K$14=exit))*IF($E59=1,Rentroll!$P47*'A&amp;R'!$AF$12*Rentroll!$H47,Rentroll!$P47*'A&amp;R'!$AF$11*Rentroll!$H47)*(MONTH($D59)=MONTH(K$14))*(YEAR($D59)=YEAR(K$14))*K$11/unit</f>
        <v>0</v>
      </c>
      <c r="L59" s="75">
        <f>(NOT(L$14=exit))*IF($E59=1,Rentroll!$P47*'A&amp;R'!$AF$12*Rentroll!$H47,Rentroll!$P47*'A&amp;R'!$AF$11*Rentroll!$H47)*(MONTH($D59)=MONTH(L$14))*(YEAR($D59)=YEAR(L$14))*L$11/unit</f>
        <v>0</v>
      </c>
      <c r="M59" s="75">
        <f>(NOT(M$14=exit))*IF($E59=1,Rentroll!$P47*'A&amp;R'!$AF$12*Rentroll!$H47,Rentroll!$P47*'A&amp;R'!$AF$11*Rentroll!$H47)*(MONTH($D59)=MONTH(M$14))*(YEAR($D59)=YEAR(M$14))*M$11/unit</f>
        <v>0</v>
      </c>
      <c r="N59" s="75">
        <f>(NOT(N$14=exit))*IF($E59=1,Rentroll!$P47*'A&amp;R'!$AF$12*Rentroll!$H47,Rentroll!$P47*'A&amp;R'!$AF$11*Rentroll!$H47)*(MONTH($D59)=MONTH(N$14))*(YEAR($D59)=YEAR(N$14))*N$11/unit</f>
        <v>0</v>
      </c>
      <c r="O59" s="75">
        <f>(NOT(O$14=exit))*IF($E59=1,Rentroll!$P47*'A&amp;R'!$AF$12*Rentroll!$H47,Rentroll!$P47*'A&amp;R'!$AF$11*Rentroll!$H47)*(MONTH($D59)=MONTH(O$14))*(YEAR($D59)=YEAR(O$14))*O$11/unit</f>
        <v>0</v>
      </c>
      <c r="P59" s="75">
        <f>(NOT(P$14=exit))*IF($E59=1,Rentroll!$P47*'A&amp;R'!$AF$12*Rentroll!$H47,Rentroll!$P47*'A&amp;R'!$AF$11*Rentroll!$H47)*(MONTH($D59)=MONTH(P$14))*(YEAR($D59)=YEAR(P$14))*P$11/unit</f>
        <v>0</v>
      </c>
      <c r="Q59" s="75">
        <f>(NOT(Q$14=exit))*IF($E59=1,Rentroll!$P47*'A&amp;R'!$AF$12*Rentroll!$H47,Rentroll!$P47*'A&amp;R'!$AF$11*Rentroll!$H47)*(MONTH($D59)=MONTH(Q$14))*(YEAR($D59)=YEAR(Q$14))*Q$11/unit</f>
        <v>0</v>
      </c>
      <c r="R59" s="75">
        <f>(NOT(R$14=exit))*IF($E59=1,Rentroll!$P47*'A&amp;R'!$AF$12*Rentroll!$H47,Rentroll!$P47*'A&amp;R'!$AF$11*Rentroll!$H47)*(MONTH($D59)=MONTH(R$14))*(YEAR($D59)=YEAR(R$14))*R$11/unit</f>
        <v>0</v>
      </c>
      <c r="S59" s="75">
        <f>(NOT(S$14=exit))*IF($E59=1,Rentroll!$P47*'A&amp;R'!$AF$12*Rentroll!$H47,Rentroll!$P47*'A&amp;R'!$AF$11*Rentroll!$H47)*(MONTH($D59)=MONTH(S$14))*(YEAR($D59)=YEAR(S$14))*S$11/unit</f>
        <v>0</v>
      </c>
      <c r="T59" s="75">
        <f>(NOT(T$14=exit))*IF($E59=1,Rentroll!$P47*'A&amp;R'!$AF$12*Rentroll!$H47,Rentroll!$P47*'A&amp;R'!$AF$11*Rentroll!$H47)*(MONTH($D59)=MONTH(T$14))*(YEAR($D59)=YEAR(T$14))*T$11/unit</f>
        <v>0</v>
      </c>
      <c r="U59" s="75">
        <f>(NOT(U$14=exit))*IF($E59=1,Rentroll!$P47*'A&amp;R'!$AF$12*Rentroll!$H47,Rentroll!$P47*'A&amp;R'!$AF$11*Rentroll!$H47)*(MONTH($D59)=MONTH(U$14))*(YEAR($D59)=YEAR(U$14))*U$11/unit</f>
        <v>0</v>
      </c>
      <c r="V59" s="75">
        <f>(NOT(V$14=exit))*IF($E59=1,Rentroll!$P47*'A&amp;R'!$AF$12*Rentroll!$H47,Rentroll!$P47*'A&amp;R'!$AF$11*Rentroll!$H47)*(MONTH($D59)=MONTH(V$14))*(YEAR($D59)=YEAR(V$14))*V$11/unit</f>
        <v>0</v>
      </c>
      <c r="W59" s="75">
        <f>(NOT(W$14=exit))*IF($E59=1,Rentroll!$P47*'A&amp;R'!$AF$12*Rentroll!$H47,Rentroll!$P47*'A&amp;R'!$AF$11*Rentroll!$H47)*(MONTH($D59)=MONTH(W$14))*(YEAR($D59)=YEAR(W$14))*W$11/unit</f>
        <v>0</v>
      </c>
      <c r="X59" s="75">
        <f>(NOT(X$14=exit))*IF($E59=1,Rentroll!$P47*'A&amp;R'!$AF$12*Rentroll!$H47,Rentroll!$P47*'A&amp;R'!$AF$11*Rentroll!$H47)*(MONTH($D59)=MONTH(X$14))*(YEAR($D59)=YEAR(X$14))*X$11/unit</f>
        <v>0</v>
      </c>
      <c r="Y59" s="75">
        <f>(NOT(Y$14=exit))*IF($E59=1,Rentroll!$P47*'A&amp;R'!$AF$12*Rentroll!$H47,Rentroll!$P47*'A&amp;R'!$AF$11*Rentroll!$H47)*(MONTH($D59)=MONTH(Y$14))*(YEAR($D59)=YEAR(Y$14))*Y$11/unit</f>
        <v>0</v>
      </c>
      <c r="Z59" s="75">
        <f>(NOT(Z$14=exit))*IF($E59=1,Rentroll!$P47*'A&amp;R'!$AF$12*Rentroll!$H47,Rentroll!$P47*'A&amp;R'!$AF$11*Rentroll!$H47)*(MONTH($D59)=MONTH(Z$14))*(YEAR($D59)=YEAR(Z$14))*Z$11/unit</f>
        <v>0</v>
      </c>
      <c r="AA59" s="75">
        <f>(NOT(AA$14=exit))*IF($E59=1,Rentroll!$P47*'A&amp;R'!$AF$12*Rentroll!$H47,Rentroll!$P47*'A&amp;R'!$AF$11*Rentroll!$H47)*(MONTH($D59)=MONTH(AA$14))*(YEAR($D59)=YEAR(AA$14))*AA$11/unit</f>
        <v>0</v>
      </c>
      <c r="AB59" s="75">
        <f>(NOT(AB$14=exit))*IF($E59=1,Rentroll!$P47*'A&amp;R'!$AF$12*Rentroll!$H47,Rentroll!$P47*'A&amp;R'!$AF$11*Rentroll!$H47)*(MONTH($D59)=MONTH(AB$14))*(YEAR($D59)=YEAR(AB$14))*AB$11/unit</f>
        <v>0</v>
      </c>
      <c r="AC59" s="75">
        <f>(NOT(AC$14=exit))*IF($E59=1,Rentroll!$P47*'A&amp;R'!$AF$12*Rentroll!$H47,Rentroll!$P47*'A&amp;R'!$AF$11*Rentroll!$H47)*(MONTH($D59)=MONTH(AC$14))*(YEAR($D59)=YEAR(AC$14))*AC$11/unit</f>
        <v>0</v>
      </c>
      <c r="AD59" s="75">
        <f>(NOT(AD$14=exit))*IF($E59=1,Rentroll!$P47*'A&amp;R'!$AF$12*Rentroll!$H47,Rentroll!$P47*'A&amp;R'!$AF$11*Rentroll!$H47)*(MONTH($D59)=MONTH(AD$14))*(YEAR($D59)=YEAR(AD$14))*AD$11/unit</f>
        <v>0</v>
      </c>
      <c r="AE59" s="75">
        <f>(NOT(AE$14=exit))*IF($E59=1,Rentroll!$P47*'A&amp;R'!$AF$12*Rentroll!$H47,Rentroll!$P47*'A&amp;R'!$AF$11*Rentroll!$H47)*(MONTH($D59)=MONTH(AE$14))*(YEAR($D59)=YEAR(AE$14))*AE$11/unit</f>
        <v>0</v>
      </c>
      <c r="AF59" s="75">
        <f>(NOT(AF$14=exit))*IF($E59=1,Rentroll!$P47*'A&amp;R'!$AF$12*Rentroll!$H47,Rentroll!$P47*'A&amp;R'!$AF$11*Rentroll!$H47)*(MONTH($D59)=MONTH(AF$14))*(YEAR($D59)=YEAR(AF$14))*AF$11/unit</f>
        <v>0</v>
      </c>
      <c r="AG59" s="75">
        <f>(NOT(AG$14=exit))*IF($E59=1,Rentroll!$P47*'A&amp;R'!$AF$12*Rentroll!$H47,Rentroll!$P47*'A&amp;R'!$AF$11*Rentroll!$H47)*(MONTH($D59)=MONTH(AG$14))*(YEAR($D59)=YEAR(AG$14))*AG$11/unit</f>
        <v>0</v>
      </c>
      <c r="AH59" s="75">
        <f>(NOT(AH$14=exit))*IF($E59=1,Rentroll!$P47*'A&amp;R'!$AF$12*Rentroll!$H47,Rentroll!$P47*'A&amp;R'!$AF$11*Rentroll!$H47)*(MONTH($D59)=MONTH(AH$14))*(YEAR($D59)=YEAR(AH$14))*AH$11/unit</f>
        <v>88.134466656789442</v>
      </c>
      <c r="AI59" s="75">
        <f>(NOT(AI$14=exit))*IF($E59=1,Rentroll!$P47*'A&amp;R'!$AF$12*Rentroll!$H47,Rentroll!$P47*'A&amp;R'!$AF$11*Rentroll!$H47)*(MONTH($D59)=MONTH(AI$14))*(YEAR($D59)=YEAR(AI$14))*AI$11/unit</f>
        <v>0</v>
      </c>
      <c r="AJ59" s="75">
        <f>(NOT(AJ$14=exit))*IF($E59=1,Rentroll!$P47*'A&amp;R'!$AF$12*Rentroll!$H47,Rentroll!$P47*'A&amp;R'!$AF$11*Rentroll!$H47)*(MONTH($D59)=MONTH(AJ$14))*(YEAR($D59)=YEAR(AJ$14))*AJ$11/unit</f>
        <v>0</v>
      </c>
      <c r="AK59" s="75">
        <f>(NOT(AK$14=exit))*IF($E59=1,Rentroll!$P47*'A&amp;R'!$AF$12*Rentroll!$H47,Rentroll!$P47*'A&amp;R'!$AF$11*Rentroll!$H47)*(MONTH($D59)=MONTH(AK$14))*(YEAR($D59)=YEAR(AK$14))*AK$11/unit</f>
        <v>0</v>
      </c>
      <c r="AL59" s="75">
        <f>(NOT(AL$14=exit))*IF($E59=1,Rentroll!$P47*'A&amp;R'!$AF$12*Rentroll!$H47,Rentroll!$P47*'A&amp;R'!$AF$11*Rentroll!$H47)*(MONTH($D59)=MONTH(AL$14))*(YEAR($D59)=YEAR(AL$14))*AL$11/unit</f>
        <v>0</v>
      </c>
      <c r="AM59" s="75">
        <f>(NOT(AM$14=exit))*IF($E59=1,Rentroll!$P47*'A&amp;R'!$AF$12*Rentroll!$H47,Rentroll!$P47*'A&amp;R'!$AF$11*Rentroll!$H47)*(MONTH($D59)=MONTH(AM$14))*(YEAR($D59)=YEAR(AM$14))*AM$11/unit</f>
        <v>0</v>
      </c>
      <c r="AN59" s="75">
        <f>(NOT(AN$14=exit))*IF($E59=1,Rentroll!$P47*'A&amp;R'!$AF$12*Rentroll!$H47,Rentroll!$P47*'A&amp;R'!$AF$11*Rentroll!$H47)*(MONTH($D59)=MONTH(AN$14))*(YEAR($D59)=YEAR(AN$14))*AN$11/unit</f>
        <v>0</v>
      </c>
      <c r="AO59" s="75">
        <f>(NOT(AO$14=exit))*IF($E59=1,Rentroll!$P47*'A&amp;R'!$AF$12*Rentroll!$H47,Rentroll!$P47*'A&amp;R'!$AF$11*Rentroll!$H47)*(MONTH($D59)=MONTH(AO$14))*(YEAR($D59)=YEAR(AO$14))*AO$11/unit</f>
        <v>0</v>
      </c>
      <c r="AP59" s="75">
        <f>(NOT(AP$14=exit))*IF($E59=1,Rentroll!$P47*'A&amp;R'!$AF$12*Rentroll!$H47,Rentroll!$P47*'A&amp;R'!$AF$11*Rentroll!$H47)*(MONTH($D59)=MONTH(AP$14))*(YEAR($D59)=YEAR(AP$14))*AP$11/unit</f>
        <v>0</v>
      </c>
      <c r="AQ59" s="75">
        <f>(NOT(AQ$14=exit))*IF($E59=1,Rentroll!$P47*'A&amp;R'!$AF$12*Rentroll!$H47,Rentroll!$P47*'A&amp;R'!$AF$11*Rentroll!$H47)*(MONTH($D59)=MONTH(AQ$14))*(YEAR($D59)=YEAR(AQ$14))*AQ$11/unit</f>
        <v>0</v>
      </c>
      <c r="AR59" s="75">
        <f>(NOT(AR$14=exit))*IF($E59=1,Rentroll!$P47*'A&amp;R'!$AF$12*Rentroll!$H47,Rentroll!$P47*'A&amp;R'!$AF$11*Rentroll!$H47)*(MONTH($D59)=MONTH(AR$14))*(YEAR($D59)=YEAR(AR$14))*AR$11/unit</f>
        <v>0</v>
      </c>
      <c r="AS59" s="75">
        <f>(NOT(AS$14=exit))*IF($E59=1,Rentroll!$P47*'A&amp;R'!$AF$12*Rentroll!$H47,Rentroll!$P47*'A&amp;R'!$AF$11*Rentroll!$H47)*(MONTH($D59)=MONTH(AS$14))*(YEAR($D59)=YEAR(AS$14))*AS$11/unit</f>
        <v>0</v>
      </c>
      <c r="AT59" s="75">
        <f>(NOT(AT$14=exit))*IF($E59=1,Rentroll!$P47*'A&amp;R'!$AF$12*Rentroll!$H47,Rentroll!$P47*'A&amp;R'!$AF$11*Rentroll!$H47)*(MONTH($D59)=MONTH(AT$14))*(YEAR($D59)=YEAR(AT$14))*AT$11/unit</f>
        <v>0</v>
      </c>
      <c r="AU59" s="75">
        <f>(NOT(AU$14=exit))*IF($E59=1,Rentroll!$P47*'A&amp;R'!$AF$12*Rentroll!$H47,Rentroll!$P47*'A&amp;R'!$AF$11*Rentroll!$H47)*(MONTH($D59)=MONTH(AU$14))*(YEAR($D59)=YEAR(AU$14))*AU$11/unit</f>
        <v>0</v>
      </c>
      <c r="AV59" s="75">
        <f>(NOT(AV$14=exit))*IF($E59=1,Rentroll!$P47*'A&amp;R'!$AF$12*Rentroll!$H47,Rentroll!$P47*'A&amp;R'!$AF$11*Rentroll!$H47)*(MONTH($D59)=MONTH(AV$14))*(YEAR($D59)=YEAR(AV$14))*AV$11/unit</f>
        <v>0</v>
      </c>
      <c r="AW59" s="75">
        <f>(NOT(AW$14=exit))*IF($E59=1,Rentroll!$P47*'A&amp;R'!$AF$12*Rentroll!$H47,Rentroll!$P47*'A&amp;R'!$AF$11*Rentroll!$H47)*(MONTH($D59)=MONTH(AW$14))*(YEAR($D59)=YEAR(AW$14))*AW$11/unit</f>
        <v>0</v>
      </c>
      <c r="AX59" s="75">
        <f>(NOT(AX$14=exit))*IF($E59=1,Rentroll!$P47*'A&amp;R'!$AF$12*Rentroll!$H47,Rentroll!$P47*'A&amp;R'!$AF$11*Rentroll!$H47)*(MONTH($D59)=MONTH(AX$14))*(YEAR($D59)=YEAR(AX$14))*AX$11/unit</f>
        <v>0</v>
      </c>
      <c r="AY59" s="75">
        <f>(NOT(AY$14=exit))*IF($E59=1,Rentroll!$P47*'A&amp;R'!$AF$12*Rentroll!$H47,Rentroll!$P47*'A&amp;R'!$AF$11*Rentroll!$H47)*(MONTH($D59)=MONTH(AY$14))*(YEAR($D59)=YEAR(AY$14))*AY$11/unit</f>
        <v>0</v>
      </c>
      <c r="AZ59" s="75">
        <f>(NOT(AZ$14=exit))*IF($E59=1,Rentroll!$P47*'A&amp;R'!$AF$12*Rentroll!$H47,Rentroll!$P47*'A&amp;R'!$AF$11*Rentroll!$H47)*(MONTH($D59)=MONTH(AZ$14))*(YEAR($D59)=YEAR(AZ$14))*AZ$11/unit</f>
        <v>0</v>
      </c>
      <c r="BA59" s="75">
        <f>(NOT(BA$14=exit))*IF($E59=1,Rentroll!$P47*'A&amp;R'!$AF$12*Rentroll!$H47,Rentroll!$P47*'A&amp;R'!$AF$11*Rentroll!$H47)*(MONTH($D59)=MONTH(BA$14))*(YEAR($D59)=YEAR(BA$14))*BA$11/unit</f>
        <v>0</v>
      </c>
      <c r="BB59" s="75">
        <f>(NOT(BB$14=exit))*IF($E59=1,Rentroll!$P47*'A&amp;R'!$AF$12*Rentroll!$H47,Rentroll!$P47*'A&amp;R'!$AF$11*Rentroll!$H47)*(MONTH($D59)=MONTH(BB$14))*(YEAR($D59)=YEAR(BB$14))*BB$11/unit</f>
        <v>0</v>
      </c>
      <c r="BC59" s="75">
        <f>(NOT(BC$14=exit))*IF($E59=1,Rentroll!$P47*'A&amp;R'!$AF$12*Rentroll!$H47,Rentroll!$P47*'A&amp;R'!$AF$11*Rentroll!$H47)*(MONTH($D59)=MONTH(BC$14))*(YEAR($D59)=YEAR(BC$14))*BC$11/unit</f>
        <v>0</v>
      </c>
      <c r="BD59" s="75">
        <f>(NOT(BD$14=exit))*IF($E59=1,Rentroll!$P47*'A&amp;R'!$AF$12*Rentroll!$H47,Rentroll!$P47*'A&amp;R'!$AF$11*Rentroll!$H47)*(MONTH($D59)=MONTH(BD$14))*(YEAR($D59)=YEAR(BD$14))*BD$11/unit</f>
        <v>0</v>
      </c>
      <c r="BE59" s="75">
        <f>(NOT(BE$14=exit))*IF($E59=1,Rentroll!$P47*'A&amp;R'!$AF$12*Rentroll!$H47,Rentroll!$P47*'A&amp;R'!$AF$11*Rentroll!$H47)*(MONTH($D59)=MONTH(BE$14))*(YEAR($D59)=YEAR(BE$14))*BE$11/unit</f>
        <v>0</v>
      </c>
      <c r="BF59" s="75">
        <f>(NOT(BF$14=exit))*IF($E59=1,Rentroll!$P47*'A&amp;R'!$AF$12*Rentroll!$H47,Rentroll!$P47*'A&amp;R'!$AF$11*Rentroll!$H47)*(MONTH($D59)=MONTH(BF$14))*(YEAR($D59)=YEAR(BF$14))*BF$11/unit</f>
        <v>0</v>
      </c>
      <c r="BG59" s="75">
        <f>(NOT(BG$14=exit))*IF($E59=1,Rentroll!$P47*'A&amp;R'!$AF$12*Rentroll!$H47,Rentroll!$P47*'A&amp;R'!$AF$11*Rentroll!$H47)*(MONTH($D59)=MONTH(BG$14))*(YEAR($D59)=YEAR(BG$14))*BG$11/unit</f>
        <v>0</v>
      </c>
      <c r="BH59" s="75">
        <f>(NOT(BH$14=exit))*IF($E59=1,Rentroll!$P47*'A&amp;R'!$AF$12*Rentroll!$H47,Rentroll!$P47*'A&amp;R'!$AF$11*Rentroll!$H47)*(MONTH($D59)=MONTH(BH$14))*(YEAR($D59)=YEAR(BH$14))*BH$11/unit</f>
        <v>0</v>
      </c>
      <c r="BI59" s="75">
        <f>(NOT(BI$14=exit))*IF($E59=1,Rentroll!$P47*'A&amp;R'!$AF$12*Rentroll!$H47,Rentroll!$P47*'A&amp;R'!$AF$11*Rentroll!$H47)*(MONTH($D59)=MONTH(BI$14))*(YEAR($D59)=YEAR(BI$14))*BI$11/unit</f>
        <v>0</v>
      </c>
      <c r="BJ59" s="75">
        <f>(NOT(BJ$14=exit))*IF($E59=1,Rentroll!$P47*'A&amp;R'!$AF$12*Rentroll!$H47,Rentroll!$P47*'A&amp;R'!$AF$11*Rentroll!$H47)*(MONTH($D59)=MONTH(BJ$14))*(YEAR($D59)=YEAR(BJ$14))*BJ$11/unit</f>
        <v>0</v>
      </c>
      <c r="BK59" s="75">
        <f>(NOT(BK$14=exit))*IF($E59=1,Rentroll!$P47*'A&amp;R'!$AF$12*Rentroll!$H47,Rentroll!$P47*'A&amp;R'!$AF$11*Rentroll!$H47)*(MONTH($D59)=MONTH(BK$14))*(YEAR($D59)=YEAR(BK$14))*BK$11/unit</f>
        <v>0</v>
      </c>
      <c r="BL59" s="75">
        <f>(NOT(BL$14=exit))*IF($E59=1,Rentroll!$P47*'A&amp;R'!$AF$12*Rentroll!$H47,Rentroll!$P47*'A&amp;R'!$AF$11*Rentroll!$H47)*(MONTH($D59)=MONTH(BL$14))*(YEAR($D59)=YEAR(BL$14))*BL$11/unit</f>
        <v>0</v>
      </c>
      <c r="BM59" s="75">
        <f>(NOT(BM$14=exit))*IF($E59=1,Rentroll!$P47*'A&amp;R'!$AF$12*Rentroll!$H47,Rentroll!$P47*'A&amp;R'!$AF$11*Rentroll!$H47)*(MONTH($D59)=MONTH(BM$14))*(YEAR($D59)=YEAR(BM$14))*BM$11/unit</f>
        <v>0</v>
      </c>
      <c r="BN59" s="75">
        <f>(NOT(BN$14=exit))*IF($E59=1,Rentroll!$P47*'A&amp;R'!$AF$12*Rentroll!$H47,Rentroll!$P47*'A&amp;R'!$AF$11*Rentroll!$H47)*(MONTH($D59)=MONTH(BN$14))*(YEAR($D59)=YEAR(BN$14))*BN$11/unit</f>
        <v>0</v>
      </c>
      <c r="BO59" s="75">
        <f>(NOT(BO$14=exit))*IF($E59=1,Rentroll!$P47*'A&amp;R'!$AF$12*Rentroll!$H47,Rentroll!$P47*'A&amp;R'!$AF$11*Rentroll!$H47)*(MONTH($D59)=MONTH(BO$14))*(YEAR($D59)=YEAR(BO$14))*BO$11/unit</f>
        <v>0</v>
      </c>
      <c r="BP59" s="75">
        <f>(NOT(BP$14=exit))*IF($E59=1,Rentroll!$P47*'A&amp;R'!$AF$12*Rentroll!$H47,Rentroll!$P47*'A&amp;R'!$AF$11*Rentroll!$H47)*(MONTH($D59)=MONTH(BP$14))*(YEAR($D59)=YEAR(BP$14))*BP$11/unit</f>
        <v>0</v>
      </c>
      <c r="BQ59" s="75">
        <f>(NOT(BQ$14=exit))*IF($E59=1,Rentroll!$P47*'A&amp;R'!$AF$12*Rentroll!$H47,Rentroll!$P47*'A&amp;R'!$AF$11*Rentroll!$H47)*(MONTH($D59)=MONTH(BQ$14))*(YEAR($D59)=YEAR(BQ$14))*BQ$11/unit</f>
        <v>0</v>
      </c>
      <c r="BR59" s="75">
        <f>(NOT(BR$14=exit))*IF($E59=1,Rentroll!$P47*'A&amp;R'!$AF$12*Rentroll!$H47,Rentroll!$P47*'A&amp;R'!$AF$11*Rentroll!$H47)*(MONTH($D59)=MONTH(BR$14))*(YEAR($D59)=YEAR(BR$14))*BR$11/unit</f>
        <v>0</v>
      </c>
      <c r="BS59" s="75">
        <f>(NOT(BS$14=exit))*IF($E59=1,Rentroll!$P47*'A&amp;R'!$AF$12*Rentroll!$H47,Rentroll!$P47*'A&amp;R'!$AF$11*Rentroll!$H47)*(MONTH($D59)=MONTH(BS$14))*(YEAR($D59)=YEAR(BS$14))*BS$11/unit</f>
        <v>0</v>
      </c>
      <c r="BT59" s="75">
        <f>(NOT(BT$14=exit))*IF($E59=1,Rentroll!$P47*'A&amp;R'!$AF$12*Rentroll!$H47,Rentroll!$P47*'A&amp;R'!$AF$11*Rentroll!$H47)*(MONTH($D59)=MONTH(BT$14))*(YEAR($D59)=YEAR(BT$14))*BT$11/unit</f>
        <v>0</v>
      </c>
      <c r="BU59" s="75">
        <f>(NOT(BU$14=exit))*IF($E59=1,Rentroll!$P47*'A&amp;R'!$AF$12*Rentroll!$H47,Rentroll!$P47*'A&amp;R'!$AF$11*Rentroll!$H47)*(MONTH($D59)=MONTH(BU$14))*(YEAR($D59)=YEAR(BU$14))*BU$11/unit</f>
        <v>0</v>
      </c>
      <c r="BV59" s="75">
        <f>(NOT(BV$14=exit))*IF($E59=1,Rentroll!$P47*'A&amp;R'!$AF$12*Rentroll!$H47,Rentroll!$P47*'A&amp;R'!$AF$11*Rentroll!$H47)*(MONTH($D59)=MONTH(BV$14))*(YEAR($D59)=YEAR(BV$14))*BV$11/unit</f>
        <v>0</v>
      </c>
      <c r="BW59" s="75">
        <f>(NOT(BW$14=exit))*IF($E59=1,Rentroll!$P47*'A&amp;R'!$AF$12*Rentroll!$H47,Rentroll!$P47*'A&amp;R'!$AF$11*Rentroll!$H47)*(MONTH($D59)=MONTH(BW$14))*(YEAR($D59)=YEAR(BW$14))*BW$11/unit</f>
        <v>0</v>
      </c>
      <c r="BX59" s="75">
        <f>(NOT(BX$14=exit))*IF($E59=1,Rentroll!$P47*'A&amp;R'!$AF$12*Rentroll!$H47,Rentroll!$P47*'A&amp;R'!$AF$11*Rentroll!$H47)*(MONTH($D59)=MONTH(BX$14))*(YEAR($D59)=YEAR(BX$14))*BX$11/unit</f>
        <v>0</v>
      </c>
      <c r="BY59" s="75">
        <f>(NOT(BY$14=exit))*IF($E59=1,Rentroll!$P47*'A&amp;R'!$AF$12*Rentroll!$H47,Rentroll!$P47*'A&amp;R'!$AF$11*Rentroll!$H47)*(MONTH($D59)=MONTH(BY$14))*(YEAR($D59)=YEAR(BY$14))*BY$11/unit</f>
        <v>0</v>
      </c>
      <c r="BZ59" s="75">
        <f>(NOT(BZ$14=exit))*IF($E59=1,Rentroll!$P47*'A&amp;R'!$AF$12*Rentroll!$H47,Rentroll!$P47*'A&amp;R'!$AF$11*Rentroll!$H47)*(MONTH($D59)=MONTH(BZ$14))*(YEAR($D59)=YEAR(BZ$14))*BZ$11/unit</f>
        <v>0</v>
      </c>
      <c r="CA59" s="75">
        <f>(NOT(CA$14=exit))*IF($E59=1,Rentroll!$P47*'A&amp;R'!$AF$12*Rentroll!$H47,Rentroll!$P47*'A&amp;R'!$AF$11*Rentroll!$H47)*(MONTH($D59)=MONTH(CA$14))*(YEAR($D59)=YEAR(CA$14))*CA$11/unit</f>
        <v>0</v>
      </c>
      <c r="CB59" s="75">
        <f>(NOT(CB$14=exit))*IF($E59=1,Rentroll!$P47*'A&amp;R'!$AF$12*Rentroll!$H47,Rentroll!$P47*'A&amp;R'!$AF$11*Rentroll!$H47)*(MONTH($D59)=MONTH(CB$14))*(YEAR($D59)=YEAR(CB$14))*CB$11/unit</f>
        <v>0</v>
      </c>
      <c r="CC59" s="75">
        <f>(NOT(CC$14=exit))*IF($E59=1,Rentroll!$P47*'A&amp;R'!$AF$12*Rentroll!$H47,Rentroll!$P47*'A&amp;R'!$AF$11*Rentroll!$H47)*(MONTH($D59)=MONTH(CC$14))*(YEAR($D59)=YEAR(CC$14))*CC$11/unit</f>
        <v>0</v>
      </c>
      <c r="CD59" s="75">
        <f>(NOT(CD$14=exit))*IF($E59=1,Rentroll!$P47*'A&amp;R'!$AF$12*Rentroll!$H47,Rentroll!$P47*'A&amp;R'!$AF$11*Rentroll!$H47)*(MONTH($D59)=MONTH(CD$14))*(YEAR($D59)=YEAR(CD$14))*CD$11/unit</f>
        <v>0</v>
      </c>
      <c r="CE59" s="75">
        <f>(NOT(CE$14=exit))*IF($E59=1,Rentroll!$P47*'A&amp;R'!$AF$12*Rentroll!$H47,Rentroll!$P47*'A&amp;R'!$AF$11*Rentroll!$H47)*(MONTH($D59)=MONTH(CE$14))*(YEAR($D59)=YEAR(CE$14))*CE$11/unit</f>
        <v>0</v>
      </c>
      <c r="CF59" s="75">
        <f>(NOT(CF$14=exit))*IF($E59=1,Rentroll!$P47*'A&amp;R'!$AF$12*Rentroll!$H47,Rentroll!$P47*'A&amp;R'!$AF$11*Rentroll!$H47)*(MONTH($D59)=MONTH(CF$14))*(YEAR($D59)=YEAR(CF$14))*CF$11/unit</f>
        <v>0</v>
      </c>
      <c r="CG59" s="75">
        <f>(NOT(CG$14=exit))*IF($E59=1,Rentroll!$P47*'A&amp;R'!$AF$12*Rentroll!$H47,Rentroll!$P47*'A&amp;R'!$AF$11*Rentroll!$H47)*(MONTH($D59)=MONTH(CG$14))*(YEAR($D59)=YEAR(CG$14))*CG$11/unit</f>
        <v>0</v>
      </c>
      <c r="CH59" s="75">
        <f>(NOT(CH$14=exit))*IF($E59=1,Rentroll!$P47*'A&amp;R'!$AF$12*Rentroll!$H47,Rentroll!$P47*'A&amp;R'!$AF$11*Rentroll!$H47)*(MONTH($D59)=MONTH(CH$14))*(YEAR($D59)=YEAR(CH$14))*CH$11/unit</f>
        <v>0</v>
      </c>
      <c r="CI59" s="75">
        <f>(NOT(CI$14=exit))*IF($E59=1,Rentroll!$P47*'A&amp;R'!$AF$12*Rentroll!$H47,Rentroll!$P47*'A&amp;R'!$AF$11*Rentroll!$H47)*(MONTH($D59)=MONTH(CI$14))*(YEAR($D59)=YEAR(CI$14))*CI$11/unit</f>
        <v>0</v>
      </c>
      <c r="CJ59" s="75">
        <f>(NOT(CJ$14=exit))*IF($E59=1,Rentroll!$P47*'A&amp;R'!$AF$12*Rentroll!$H47,Rentroll!$P47*'A&amp;R'!$AF$11*Rentroll!$H47)*(MONTH($D59)=MONTH(CJ$14))*(YEAR($D59)=YEAR(CJ$14))*CJ$11/unit</f>
        <v>0</v>
      </c>
      <c r="CK59" s="75">
        <f>(NOT(CK$14=exit))*IF($E59=1,Rentroll!$P47*'A&amp;R'!$AF$12*Rentroll!$H47,Rentroll!$P47*'A&amp;R'!$AF$11*Rentroll!$H47)*(MONTH($D59)=MONTH(CK$14))*(YEAR($D59)=YEAR(CK$14))*CK$11/unit</f>
        <v>0</v>
      </c>
      <c r="CL59" s="75">
        <f>(NOT(CL$14=exit))*IF($E59=1,Rentroll!$P47*'A&amp;R'!$AF$12*Rentroll!$H47,Rentroll!$P47*'A&amp;R'!$AF$11*Rentroll!$H47)*(MONTH($D59)=MONTH(CL$14))*(YEAR($D59)=YEAR(CL$14))*CL$11/unit</f>
        <v>0</v>
      </c>
      <c r="CM59" s="75">
        <f>(NOT(CM$14=exit))*IF($E59=1,Rentroll!$P47*'A&amp;R'!$AF$12*Rentroll!$H47,Rentroll!$P47*'A&amp;R'!$AF$11*Rentroll!$H47)*(MONTH($D59)=MONTH(CM$14))*(YEAR($D59)=YEAR(CM$14))*CM$11/unit</f>
        <v>0</v>
      </c>
      <c r="CN59" s="75">
        <f>(NOT(CN$14=exit))*IF($E59=1,Rentroll!$P47*'A&amp;R'!$AF$12*Rentroll!$H47,Rentroll!$P47*'A&amp;R'!$AF$11*Rentroll!$H47)*(MONTH($D59)=MONTH(CN$14))*(YEAR($D59)=YEAR(CN$14))*CN$11/unit</f>
        <v>0</v>
      </c>
      <c r="CO59" s="75">
        <f>(NOT(CO$14=exit))*IF($E59=1,Rentroll!$P47*'A&amp;R'!$AF$12*Rentroll!$H47,Rentroll!$P47*'A&amp;R'!$AF$11*Rentroll!$H47)*(MONTH($D59)=MONTH(CO$14))*(YEAR($D59)=YEAR(CO$14))*CO$11/unit</f>
        <v>0</v>
      </c>
      <c r="CP59" s="75">
        <f>(NOT(CP$14=exit))*IF($E59=1,Rentroll!$P47*'A&amp;R'!$AF$12*Rentroll!$H47,Rentroll!$P47*'A&amp;R'!$AF$11*Rentroll!$H47)*(MONTH($D59)=MONTH(CP$14))*(YEAR($D59)=YEAR(CP$14))*CP$11/unit</f>
        <v>0</v>
      </c>
      <c r="CQ59" s="75">
        <f>(NOT(CQ$14=exit))*IF($E59=1,Rentroll!$P47*'A&amp;R'!$AF$12*Rentroll!$H47,Rentroll!$P47*'A&amp;R'!$AF$11*Rentroll!$H47)*(MONTH($D59)=MONTH(CQ$14))*(YEAR($D59)=YEAR(CQ$14))*CQ$11/unit</f>
        <v>0</v>
      </c>
      <c r="CR59" s="75">
        <f>(NOT(CR$14=exit))*IF($E59=1,Rentroll!$P47*'A&amp;R'!$AF$12*Rentroll!$H47,Rentroll!$P47*'A&amp;R'!$AF$11*Rentroll!$H47)*(MONTH($D59)=MONTH(CR$14))*(YEAR($D59)=YEAR(CR$14))*CR$11/unit</f>
        <v>0</v>
      </c>
      <c r="CS59" s="75">
        <f>(NOT(CS$14=exit))*IF($E59=1,Rentroll!$P47*'A&amp;R'!$AF$12*Rentroll!$H47,Rentroll!$P47*'A&amp;R'!$AF$11*Rentroll!$H47)*(MONTH($D59)=MONTH(CS$14))*(YEAR($D59)=YEAR(CS$14))*CS$11/unit</f>
        <v>0</v>
      </c>
      <c r="CT59" s="75">
        <f>(NOT(CT$14=exit))*IF($E59=1,Rentroll!$P47*'A&amp;R'!$AF$12*Rentroll!$H47,Rentroll!$P47*'A&amp;R'!$AF$11*Rentroll!$H47)*(MONTH($D59)=MONTH(CT$14))*(YEAR($D59)=YEAR(CT$14))*CT$11/unit</f>
        <v>0</v>
      </c>
      <c r="CU59" s="75">
        <f>(NOT(CU$14=exit))*IF($E59=1,Rentroll!$P47*'A&amp;R'!$AF$12*Rentroll!$H47,Rentroll!$P47*'A&amp;R'!$AF$11*Rentroll!$H47)*(MONTH($D59)=MONTH(CU$14))*(YEAR($D59)=YEAR(CU$14))*CU$11/unit</f>
        <v>0</v>
      </c>
      <c r="CV59" s="75">
        <f>(NOT(CV$14=exit))*IF($E59=1,Rentroll!$P47*'A&amp;R'!$AF$12*Rentroll!$H47,Rentroll!$P47*'A&amp;R'!$AF$11*Rentroll!$H47)*(MONTH($D59)=MONTH(CV$14))*(YEAR($D59)=YEAR(CV$14))*CV$11/unit</f>
        <v>0</v>
      </c>
      <c r="CW59" s="75">
        <f>(NOT(CW$14=exit))*IF($E59=1,Rentroll!$P47*'A&amp;R'!$AF$12*Rentroll!$H47,Rentroll!$P47*'A&amp;R'!$AF$11*Rentroll!$H47)*(MONTH($D59)=MONTH(CW$14))*(YEAR($D59)=YEAR(CW$14))*CW$11/unit</f>
        <v>0</v>
      </c>
      <c r="CX59" s="75">
        <f>(NOT(CX$14=exit))*IF($E59=1,Rentroll!$P47*'A&amp;R'!$AF$12*Rentroll!$H47,Rentroll!$P47*'A&amp;R'!$AF$11*Rentroll!$H47)*(MONTH($D59)=MONTH(CX$14))*(YEAR($D59)=YEAR(CX$14))*CX$11/unit</f>
        <v>0</v>
      </c>
      <c r="CY59" s="75">
        <f>(NOT(CY$14=exit))*IF($E59=1,Rentroll!$P47*'A&amp;R'!$AF$12*Rentroll!$H47,Rentroll!$P47*'A&amp;R'!$AF$11*Rentroll!$H47)*(MONTH($D59)=MONTH(CY$14))*(YEAR($D59)=YEAR(CY$14))*CY$11/unit</f>
        <v>0</v>
      </c>
      <c r="CZ59" s="75">
        <f>(NOT(CZ$14=exit))*IF($E59=1,Rentroll!$P47*'A&amp;R'!$AF$12*Rentroll!$H47,Rentroll!$P47*'A&amp;R'!$AF$11*Rentroll!$H47)*(MONTH($D59)=MONTH(CZ$14))*(YEAR($D59)=YEAR(CZ$14))*CZ$11/unit</f>
        <v>0</v>
      </c>
      <c r="DA59" s="75">
        <f>(NOT(DA$14=exit))*IF($E59=1,Rentroll!$P47*'A&amp;R'!$AF$12*Rentroll!$H47,Rentroll!$P47*'A&amp;R'!$AF$11*Rentroll!$H47)*(MONTH($D59)=MONTH(DA$14))*(YEAR($D59)=YEAR(DA$14))*DA$11/unit</f>
        <v>0</v>
      </c>
      <c r="DB59" s="75">
        <f>(NOT(DB$14=exit))*IF($E59=1,Rentroll!$P47*'A&amp;R'!$AF$12*Rentroll!$H47,Rentroll!$P47*'A&amp;R'!$AF$11*Rentroll!$H47)*(MONTH($D59)=MONTH(DB$14))*(YEAR($D59)=YEAR(DB$14))*DB$11/unit</f>
        <v>0</v>
      </c>
    </row>
    <row r="60" spans="3:106">
      <c r="C60" s="27">
        <f>Rentroll!$C$48</f>
        <v>6</v>
      </c>
      <c r="D60" s="80">
        <f>VLOOKUP($C60,Rentroll!$C$37:$Z$60,9,FALSE)</f>
        <v>46477</v>
      </c>
      <c r="E60" s="150">
        <f>VLOOKUP($C60,Rentroll!$C$37:$Z$60,24,FALSE)</f>
        <v>1</v>
      </c>
      <c r="F60" s="75">
        <f t="shared" si="44"/>
        <v>88.134466656789442</v>
      </c>
      <c r="G60" s="75"/>
      <c r="H60" s="75">
        <f>(NOT(H$14=exit))*IF($E60=1,Rentroll!$P48*'A&amp;R'!$AF$12*Rentroll!$H48,Rentroll!$P48*'A&amp;R'!$AF$11*Rentroll!$H48)*(MONTH($D60)=MONTH(H$14))*(YEAR($D60)=YEAR(H$14))*H$11/unit</f>
        <v>0</v>
      </c>
      <c r="I60" s="75">
        <f>(NOT(I$14=exit))*IF($E60=1,Rentroll!$P48*'A&amp;R'!$AF$12*Rentroll!$H48,Rentroll!$P48*'A&amp;R'!$AF$11*Rentroll!$H48)*(MONTH($D60)=MONTH(I$14))*(YEAR($D60)=YEAR(I$14))*I$11/unit</f>
        <v>0</v>
      </c>
      <c r="J60" s="75">
        <f>(NOT(J$14=exit))*IF($E60=1,Rentroll!$P48*'A&amp;R'!$AF$12*Rentroll!$H48,Rentroll!$P48*'A&amp;R'!$AF$11*Rentroll!$H48)*(MONTH($D60)=MONTH(J$14))*(YEAR($D60)=YEAR(J$14))*J$11/unit</f>
        <v>0</v>
      </c>
      <c r="K60" s="75">
        <f>(NOT(K$14=exit))*IF($E60=1,Rentroll!$P48*'A&amp;R'!$AF$12*Rentroll!$H48,Rentroll!$P48*'A&amp;R'!$AF$11*Rentroll!$H48)*(MONTH($D60)=MONTH(K$14))*(YEAR($D60)=YEAR(K$14))*K$11/unit</f>
        <v>0</v>
      </c>
      <c r="L60" s="75">
        <f>(NOT(L$14=exit))*IF($E60=1,Rentroll!$P48*'A&amp;R'!$AF$12*Rentroll!$H48,Rentroll!$P48*'A&amp;R'!$AF$11*Rentroll!$H48)*(MONTH($D60)=MONTH(L$14))*(YEAR($D60)=YEAR(L$14))*L$11/unit</f>
        <v>0</v>
      </c>
      <c r="M60" s="75">
        <f>(NOT(M$14=exit))*IF($E60=1,Rentroll!$P48*'A&amp;R'!$AF$12*Rentroll!$H48,Rentroll!$P48*'A&amp;R'!$AF$11*Rentroll!$H48)*(MONTH($D60)=MONTH(M$14))*(YEAR($D60)=YEAR(M$14))*M$11/unit</f>
        <v>0</v>
      </c>
      <c r="N60" s="75">
        <f>(NOT(N$14=exit))*IF($E60=1,Rentroll!$P48*'A&amp;R'!$AF$12*Rentroll!$H48,Rentroll!$P48*'A&amp;R'!$AF$11*Rentroll!$H48)*(MONTH($D60)=MONTH(N$14))*(YEAR($D60)=YEAR(N$14))*N$11/unit</f>
        <v>0</v>
      </c>
      <c r="O60" s="75">
        <f>(NOT(O$14=exit))*IF($E60=1,Rentroll!$P48*'A&amp;R'!$AF$12*Rentroll!$H48,Rentroll!$P48*'A&amp;R'!$AF$11*Rentroll!$H48)*(MONTH($D60)=MONTH(O$14))*(YEAR($D60)=YEAR(O$14))*O$11/unit</f>
        <v>0</v>
      </c>
      <c r="P60" s="75">
        <f>(NOT(P$14=exit))*IF($E60=1,Rentroll!$P48*'A&amp;R'!$AF$12*Rentroll!$H48,Rentroll!$P48*'A&amp;R'!$AF$11*Rentroll!$H48)*(MONTH($D60)=MONTH(P$14))*(YEAR($D60)=YEAR(P$14))*P$11/unit</f>
        <v>0</v>
      </c>
      <c r="Q60" s="75">
        <f>(NOT(Q$14=exit))*IF($E60=1,Rentroll!$P48*'A&amp;R'!$AF$12*Rentroll!$H48,Rentroll!$P48*'A&amp;R'!$AF$11*Rentroll!$H48)*(MONTH($D60)=MONTH(Q$14))*(YEAR($D60)=YEAR(Q$14))*Q$11/unit</f>
        <v>0</v>
      </c>
      <c r="R60" s="75">
        <f>(NOT(R$14=exit))*IF($E60=1,Rentroll!$P48*'A&amp;R'!$AF$12*Rentroll!$H48,Rentroll!$P48*'A&amp;R'!$AF$11*Rentroll!$H48)*(MONTH($D60)=MONTH(R$14))*(YEAR($D60)=YEAR(R$14))*R$11/unit</f>
        <v>0</v>
      </c>
      <c r="S60" s="75">
        <f>(NOT(S$14=exit))*IF($E60=1,Rentroll!$P48*'A&amp;R'!$AF$12*Rentroll!$H48,Rentroll!$P48*'A&amp;R'!$AF$11*Rentroll!$H48)*(MONTH($D60)=MONTH(S$14))*(YEAR($D60)=YEAR(S$14))*S$11/unit</f>
        <v>0</v>
      </c>
      <c r="T60" s="75">
        <f>(NOT(T$14=exit))*IF($E60=1,Rentroll!$P48*'A&amp;R'!$AF$12*Rentroll!$H48,Rentroll!$P48*'A&amp;R'!$AF$11*Rentroll!$H48)*(MONTH($D60)=MONTH(T$14))*(YEAR($D60)=YEAR(T$14))*T$11/unit</f>
        <v>0</v>
      </c>
      <c r="U60" s="75">
        <f>(NOT(U$14=exit))*IF($E60=1,Rentroll!$P48*'A&amp;R'!$AF$12*Rentroll!$H48,Rentroll!$P48*'A&amp;R'!$AF$11*Rentroll!$H48)*(MONTH($D60)=MONTH(U$14))*(YEAR($D60)=YEAR(U$14))*U$11/unit</f>
        <v>0</v>
      </c>
      <c r="V60" s="75">
        <f>(NOT(V$14=exit))*IF($E60=1,Rentroll!$P48*'A&amp;R'!$AF$12*Rentroll!$H48,Rentroll!$P48*'A&amp;R'!$AF$11*Rentroll!$H48)*(MONTH($D60)=MONTH(V$14))*(YEAR($D60)=YEAR(V$14))*V$11/unit</f>
        <v>0</v>
      </c>
      <c r="W60" s="75">
        <f>(NOT(W$14=exit))*IF($E60=1,Rentroll!$P48*'A&amp;R'!$AF$12*Rentroll!$H48,Rentroll!$P48*'A&amp;R'!$AF$11*Rentroll!$H48)*(MONTH($D60)=MONTH(W$14))*(YEAR($D60)=YEAR(W$14))*W$11/unit</f>
        <v>0</v>
      </c>
      <c r="X60" s="75">
        <f>(NOT(X$14=exit))*IF($E60=1,Rentroll!$P48*'A&amp;R'!$AF$12*Rentroll!$H48,Rentroll!$P48*'A&amp;R'!$AF$11*Rentroll!$H48)*(MONTH($D60)=MONTH(X$14))*(YEAR($D60)=YEAR(X$14))*X$11/unit</f>
        <v>0</v>
      </c>
      <c r="Y60" s="75">
        <f>(NOT(Y$14=exit))*IF($E60=1,Rentroll!$P48*'A&amp;R'!$AF$12*Rentroll!$H48,Rentroll!$P48*'A&amp;R'!$AF$11*Rentroll!$H48)*(MONTH($D60)=MONTH(Y$14))*(YEAR($D60)=YEAR(Y$14))*Y$11/unit</f>
        <v>0</v>
      </c>
      <c r="Z60" s="75">
        <f>(NOT(Z$14=exit))*IF($E60=1,Rentroll!$P48*'A&amp;R'!$AF$12*Rentroll!$H48,Rentroll!$P48*'A&amp;R'!$AF$11*Rentroll!$H48)*(MONTH($D60)=MONTH(Z$14))*(YEAR($D60)=YEAR(Z$14))*Z$11/unit</f>
        <v>0</v>
      </c>
      <c r="AA60" s="75">
        <f>(NOT(AA$14=exit))*IF($E60=1,Rentroll!$P48*'A&amp;R'!$AF$12*Rentroll!$H48,Rentroll!$P48*'A&amp;R'!$AF$11*Rentroll!$H48)*(MONTH($D60)=MONTH(AA$14))*(YEAR($D60)=YEAR(AA$14))*AA$11/unit</f>
        <v>0</v>
      </c>
      <c r="AB60" s="75">
        <f>(NOT(AB$14=exit))*IF($E60=1,Rentroll!$P48*'A&amp;R'!$AF$12*Rentroll!$H48,Rentroll!$P48*'A&amp;R'!$AF$11*Rentroll!$H48)*(MONTH($D60)=MONTH(AB$14))*(YEAR($D60)=YEAR(AB$14))*AB$11/unit</f>
        <v>0</v>
      </c>
      <c r="AC60" s="75">
        <f>(NOT(AC$14=exit))*IF($E60=1,Rentroll!$P48*'A&amp;R'!$AF$12*Rentroll!$H48,Rentroll!$P48*'A&amp;R'!$AF$11*Rentroll!$H48)*(MONTH($D60)=MONTH(AC$14))*(YEAR($D60)=YEAR(AC$14))*AC$11/unit</f>
        <v>0</v>
      </c>
      <c r="AD60" s="75">
        <f>(NOT(AD$14=exit))*IF($E60=1,Rentroll!$P48*'A&amp;R'!$AF$12*Rentroll!$H48,Rentroll!$P48*'A&amp;R'!$AF$11*Rentroll!$H48)*(MONTH($D60)=MONTH(AD$14))*(YEAR($D60)=YEAR(AD$14))*AD$11/unit</f>
        <v>0</v>
      </c>
      <c r="AE60" s="75">
        <f>(NOT(AE$14=exit))*IF($E60=1,Rentroll!$P48*'A&amp;R'!$AF$12*Rentroll!$H48,Rentroll!$P48*'A&amp;R'!$AF$11*Rentroll!$H48)*(MONTH($D60)=MONTH(AE$14))*(YEAR($D60)=YEAR(AE$14))*AE$11/unit</f>
        <v>0</v>
      </c>
      <c r="AF60" s="75">
        <f>(NOT(AF$14=exit))*IF($E60=1,Rentroll!$P48*'A&amp;R'!$AF$12*Rentroll!$H48,Rentroll!$P48*'A&amp;R'!$AF$11*Rentroll!$H48)*(MONTH($D60)=MONTH(AF$14))*(YEAR($D60)=YEAR(AF$14))*AF$11/unit</f>
        <v>0</v>
      </c>
      <c r="AG60" s="75">
        <f>(NOT(AG$14=exit))*IF($E60=1,Rentroll!$P48*'A&amp;R'!$AF$12*Rentroll!$H48,Rentroll!$P48*'A&amp;R'!$AF$11*Rentroll!$H48)*(MONTH($D60)=MONTH(AG$14))*(YEAR($D60)=YEAR(AG$14))*AG$11/unit</f>
        <v>0</v>
      </c>
      <c r="AH60" s="75">
        <f>(NOT(AH$14=exit))*IF($E60=1,Rentroll!$P48*'A&amp;R'!$AF$12*Rentroll!$H48,Rentroll!$P48*'A&amp;R'!$AF$11*Rentroll!$H48)*(MONTH($D60)=MONTH(AH$14))*(YEAR($D60)=YEAR(AH$14))*AH$11/unit</f>
        <v>88.134466656789442</v>
      </c>
      <c r="AI60" s="75">
        <f>(NOT(AI$14=exit))*IF($E60=1,Rentroll!$P48*'A&amp;R'!$AF$12*Rentroll!$H48,Rentroll!$P48*'A&amp;R'!$AF$11*Rentroll!$H48)*(MONTH($D60)=MONTH(AI$14))*(YEAR($D60)=YEAR(AI$14))*AI$11/unit</f>
        <v>0</v>
      </c>
      <c r="AJ60" s="75">
        <f>(NOT(AJ$14=exit))*IF($E60=1,Rentroll!$P48*'A&amp;R'!$AF$12*Rentroll!$H48,Rentroll!$P48*'A&amp;R'!$AF$11*Rentroll!$H48)*(MONTH($D60)=MONTH(AJ$14))*(YEAR($D60)=YEAR(AJ$14))*AJ$11/unit</f>
        <v>0</v>
      </c>
      <c r="AK60" s="75">
        <f>(NOT(AK$14=exit))*IF($E60=1,Rentroll!$P48*'A&amp;R'!$AF$12*Rentroll!$H48,Rentroll!$P48*'A&amp;R'!$AF$11*Rentroll!$H48)*(MONTH($D60)=MONTH(AK$14))*(YEAR($D60)=YEAR(AK$14))*AK$11/unit</f>
        <v>0</v>
      </c>
      <c r="AL60" s="75">
        <f>(NOT(AL$14=exit))*IF($E60=1,Rentroll!$P48*'A&amp;R'!$AF$12*Rentroll!$H48,Rentroll!$P48*'A&amp;R'!$AF$11*Rentroll!$H48)*(MONTH($D60)=MONTH(AL$14))*(YEAR($D60)=YEAR(AL$14))*AL$11/unit</f>
        <v>0</v>
      </c>
      <c r="AM60" s="75">
        <f>(NOT(AM$14=exit))*IF($E60=1,Rentroll!$P48*'A&amp;R'!$AF$12*Rentroll!$H48,Rentroll!$P48*'A&amp;R'!$AF$11*Rentroll!$H48)*(MONTH($D60)=MONTH(AM$14))*(YEAR($D60)=YEAR(AM$14))*AM$11/unit</f>
        <v>0</v>
      </c>
      <c r="AN60" s="75">
        <f>(NOT(AN$14=exit))*IF($E60=1,Rentroll!$P48*'A&amp;R'!$AF$12*Rentroll!$H48,Rentroll!$P48*'A&amp;R'!$AF$11*Rentroll!$H48)*(MONTH($D60)=MONTH(AN$14))*(YEAR($D60)=YEAR(AN$14))*AN$11/unit</f>
        <v>0</v>
      </c>
      <c r="AO60" s="75">
        <f>(NOT(AO$14=exit))*IF($E60=1,Rentroll!$P48*'A&amp;R'!$AF$12*Rentroll!$H48,Rentroll!$P48*'A&amp;R'!$AF$11*Rentroll!$H48)*(MONTH($D60)=MONTH(AO$14))*(YEAR($D60)=YEAR(AO$14))*AO$11/unit</f>
        <v>0</v>
      </c>
      <c r="AP60" s="75">
        <f>(NOT(AP$14=exit))*IF($E60=1,Rentroll!$P48*'A&amp;R'!$AF$12*Rentroll!$H48,Rentroll!$P48*'A&amp;R'!$AF$11*Rentroll!$H48)*(MONTH($D60)=MONTH(AP$14))*(YEAR($D60)=YEAR(AP$14))*AP$11/unit</f>
        <v>0</v>
      </c>
      <c r="AQ60" s="75">
        <f>(NOT(AQ$14=exit))*IF($E60=1,Rentroll!$P48*'A&amp;R'!$AF$12*Rentroll!$H48,Rentroll!$P48*'A&amp;R'!$AF$11*Rentroll!$H48)*(MONTH($D60)=MONTH(AQ$14))*(YEAR($D60)=YEAR(AQ$14))*AQ$11/unit</f>
        <v>0</v>
      </c>
      <c r="AR60" s="75">
        <f>(NOT(AR$14=exit))*IF($E60=1,Rentroll!$P48*'A&amp;R'!$AF$12*Rentroll!$H48,Rentroll!$P48*'A&amp;R'!$AF$11*Rentroll!$H48)*(MONTH($D60)=MONTH(AR$14))*(YEAR($D60)=YEAR(AR$14))*AR$11/unit</f>
        <v>0</v>
      </c>
      <c r="AS60" s="75">
        <f>(NOT(AS$14=exit))*IF($E60=1,Rentroll!$P48*'A&amp;R'!$AF$12*Rentroll!$H48,Rentroll!$P48*'A&amp;R'!$AF$11*Rentroll!$H48)*(MONTH($D60)=MONTH(AS$14))*(YEAR($D60)=YEAR(AS$14))*AS$11/unit</f>
        <v>0</v>
      </c>
      <c r="AT60" s="75">
        <f>(NOT(AT$14=exit))*IF($E60=1,Rentroll!$P48*'A&amp;R'!$AF$12*Rentroll!$H48,Rentroll!$P48*'A&amp;R'!$AF$11*Rentroll!$H48)*(MONTH($D60)=MONTH(AT$14))*(YEAR($D60)=YEAR(AT$14))*AT$11/unit</f>
        <v>0</v>
      </c>
      <c r="AU60" s="75">
        <f>(NOT(AU$14=exit))*IF($E60=1,Rentroll!$P48*'A&amp;R'!$AF$12*Rentroll!$H48,Rentroll!$P48*'A&amp;R'!$AF$11*Rentroll!$H48)*(MONTH($D60)=MONTH(AU$14))*(YEAR($D60)=YEAR(AU$14))*AU$11/unit</f>
        <v>0</v>
      </c>
      <c r="AV60" s="75">
        <f>(NOT(AV$14=exit))*IF($E60=1,Rentroll!$P48*'A&amp;R'!$AF$12*Rentroll!$H48,Rentroll!$P48*'A&amp;R'!$AF$11*Rentroll!$H48)*(MONTH($D60)=MONTH(AV$14))*(YEAR($D60)=YEAR(AV$14))*AV$11/unit</f>
        <v>0</v>
      </c>
      <c r="AW60" s="75">
        <f>(NOT(AW$14=exit))*IF($E60=1,Rentroll!$P48*'A&amp;R'!$AF$12*Rentroll!$H48,Rentroll!$P48*'A&amp;R'!$AF$11*Rentroll!$H48)*(MONTH($D60)=MONTH(AW$14))*(YEAR($D60)=YEAR(AW$14))*AW$11/unit</f>
        <v>0</v>
      </c>
      <c r="AX60" s="75">
        <f>(NOT(AX$14=exit))*IF($E60=1,Rentroll!$P48*'A&amp;R'!$AF$12*Rentroll!$H48,Rentroll!$P48*'A&amp;R'!$AF$11*Rentroll!$H48)*(MONTH($D60)=MONTH(AX$14))*(YEAR($D60)=YEAR(AX$14))*AX$11/unit</f>
        <v>0</v>
      </c>
      <c r="AY60" s="75">
        <f>(NOT(AY$14=exit))*IF($E60=1,Rentroll!$P48*'A&amp;R'!$AF$12*Rentroll!$H48,Rentroll!$P48*'A&amp;R'!$AF$11*Rentroll!$H48)*(MONTH($D60)=MONTH(AY$14))*(YEAR($D60)=YEAR(AY$14))*AY$11/unit</f>
        <v>0</v>
      </c>
      <c r="AZ60" s="75">
        <f>(NOT(AZ$14=exit))*IF($E60=1,Rentroll!$P48*'A&amp;R'!$AF$12*Rentroll!$H48,Rentroll!$P48*'A&amp;R'!$AF$11*Rentroll!$H48)*(MONTH($D60)=MONTH(AZ$14))*(YEAR($D60)=YEAR(AZ$14))*AZ$11/unit</f>
        <v>0</v>
      </c>
      <c r="BA60" s="75">
        <f>(NOT(BA$14=exit))*IF($E60=1,Rentroll!$P48*'A&amp;R'!$AF$12*Rentroll!$H48,Rentroll!$P48*'A&amp;R'!$AF$11*Rentroll!$H48)*(MONTH($D60)=MONTH(BA$14))*(YEAR($D60)=YEAR(BA$14))*BA$11/unit</f>
        <v>0</v>
      </c>
      <c r="BB60" s="75">
        <f>(NOT(BB$14=exit))*IF($E60=1,Rentroll!$P48*'A&amp;R'!$AF$12*Rentroll!$H48,Rentroll!$P48*'A&amp;R'!$AF$11*Rentroll!$H48)*(MONTH($D60)=MONTH(BB$14))*(YEAR($D60)=YEAR(BB$14))*BB$11/unit</f>
        <v>0</v>
      </c>
      <c r="BC60" s="75">
        <f>(NOT(BC$14=exit))*IF($E60=1,Rentroll!$P48*'A&amp;R'!$AF$12*Rentroll!$H48,Rentroll!$P48*'A&amp;R'!$AF$11*Rentroll!$H48)*(MONTH($D60)=MONTH(BC$14))*(YEAR($D60)=YEAR(BC$14))*BC$11/unit</f>
        <v>0</v>
      </c>
      <c r="BD60" s="75">
        <f>(NOT(BD$14=exit))*IF($E60=1,Rentroll!$P48*'A&amp;R'!$AF$12*Rentroll!$H48,Rentroll!$P48*'A&amp;R'!$AF$11*Rentroll!$H48)*(MONTH($D60)=MONTH(BD$14))*(YEAR($D60)=YEAR(BD$14))*BD$11/unit</f>
        <v>0</v>
      </c>
      <c r="BE60" s="75">
        <f>(NOT(BE$14=exit))*IF($E60=1,Rentroll!$P48*'A&amp;R'!$AF$12*Rentroll!$H48,Rentroll!$P48*'A&amp;R'!$AF$11*Rentroll!$H48)*(MONTH($D60)=MONTH(BE$14))*(YEAR($D60)=YEAR(BE$14))*BE$11/unit</f>
        <v>0</v>
      </c>
      <c r="BF60" s="75">
        <f>(NOT(BF$14=exit))*IF($E60=1,Rentroll!$P48*'A&amp;R'!$AF$12*Rentroll!$H48,Rentroll!$P48*'A&amp;R'!$AF$11*Rentroll!$H48)*(MONTH($D60)=MONTH(BF$14))*(YEAR($D60)=YEAR(BF$14))*BF$11/unit</f>
        <v>0</v>
      </c>
      <c r="BG60" s="75">
        <f>(NOT(BG$14=exit))*IF($E60=1,Rentroll!$P48*'A&amp;R'!$AF$12*Rentroll!$H48,Rentroll!$P48*'A&amp;R'!$AF$11*Rentroll!$H48)*(MONTH($D60)=MONTH(BG$14))*(YEAR($D60)=YEAR(BG$14))*BG$11/unit</f>
        <v>0</v>
      </c>
      <c r="BH60" s="75">
        <f>(NOT(BH$14=exit))*IF($E60=1,Rentroll!$P48*'A&amp;R'!$AF$12*Rentroll!$H48,Rentroll!$P48*'A&amp;R'!$AF$11*Rentroll!$H48)*(MONTH($D60)=MONTH(BH$14))*(YEAR($D60)=YEAR(BH$14))*BH$11/unit</f>
        <v>0</v>
      </c>
      <c r="BI60" s="75">
        <f>(NOT(BI$14=exit))*IF($E60=1,Rentroll!$P48*'A&amp;R'!$AF$12*Rentroll!$H48,Rentroll!$P48*'A&amp;R'!$AF$11*Rentroll!$H48)*(MONTH($D60)=MONTH(BI$14))*(YEAR($D60)=YEAR(BI$14))*BI$11/unit</f>
        <v>0</v>
      </c>
      <c r="BJ60" s="75">
        <f>(NOT(BJ$14=exit))*IF($E60=1,Rentroll!$P48*'A&amp;R'!$AF$12*Rentroll!$H48,Rentroll!$P48*'A&amp;R'!$AF$11*Rentroll!$H48)*(MONTH($D60)=MONTH(BJ$14))*(YEAR($D60)=YEAR(BJ$14))*BJ$11/unit</f>
        <v>0</v>
      </c>
      <c r="BK60" s="75">
        <f>(NOT(BK$14=exit))*IF($E60=1,Rentroll!$P48*'A&amp;R'!$AF$12*Rentroll!$H48,Rentroll!$P48*'A&amp;R'!$AF$11*Rentroll!$H48)*(MONTH($D60)=MONTH(BK$14))*(YEAR($D60)=YEAR(BK$14))*BK$11/unit</f>
        <v>0</v>
      </c>
      <c r="BL60" s="75">
        <f>(NOT(BL$14=exit))*IF($E60=1,Rentroll!$P48*'A&amp;R'!$AF$12*Rentroll!$H48,Rentroll!$P48*'A&amp;R'!$AF$11*Rentroll!$H48)*(MONTH($D60)=MONTH(BL$14))*(YEAR($D60)=YEAR(BL$14))*BL$11/unit</f>
        <v>0</v>
      </c>
      <c r="BM60" s="75">
        <f>(NOT(BM$14=exit))*IF($E60=1,Rentroll!$P48*'A&amp;R'!$AF$12*Rentroll!$H48,Rentroll!$P48*'A&amp;R'!$AF$11*Rentroll!$H48)*(MONTH($D60)=MONTH(BM$14))*(YEAR($D60)=YEAR(BM$14))*BM$11/unit</f>
        <v>0</v>
      </c>
      <c r="BN60" s="75">
        <f>(NOT(BN$14=exit))*IF($E60=1,Rentroll!$P48*'A&amp;R'!$AF$12*Rentroll!$H48,Rentroll!$P48*'A&amp;R'!$AF$11*Rentroll!$H48)*(MONTH($D60)=MONTH(BN$14))*(YEAR($D60)=YEAR(BN$14))*BN$11/unit</f>
        <v>0</v>
      </c>
      <c r="BO60" s="75">
        <f>(NOT(BO$14=exit))*IF($E60=1,Rentroll!$P48*'A&amp;R'!$AF$12*Rentroll!$H48,Rentroll!$P48*'A&amp;R'!$AF$11*Rentroll!$H48)*(MONTH($D60)=MONTH(BO$14))*(YEAR($D60)=YEAR(BO$14))*BO$11/unit</f>
        <v>0</v>
      </c>
      <c r="BP60" s="75">
        <f>(NOT(BP$14=exit))*IF($E60=1,Rentroll!$P48*'A&amp;R'!$AF$12*Rentroll!$H48,Rentroll!$P48*'A&amp;R'!$AF$11*Rentroll!$H48)*(MONTH($D60)=MONTH(BP$14))*(YEAR($D60)=YEAR(BP$14))*BP$11/unit</f>
        <v>0</v>
      </c>
      <c r="BQ60" s="75">
        <f>(NOT(BQ$14=exit))*IF($E60=1,Rentroll!$P48*'A&amp;R'!$AF$12*Rentroll!$H48,Rentroll!$P48*'A&amp;R'!$AF$11*Rentroll!$H48)*(MONTH($D60)=MONTH(BQ$14))*(YEAR($D60)=YEAR(BQ$14))*BQ$11/unit</f>
        <v>0</v>
      </c>
      <c r="BR60" s="75">
        <f>(NOT(BR$14=exit))*IF($E60=1,Rentroll!$P48*'A&amp;R'!$AF$12*Rentroll!$H48,Rentroll!$P48*'A&amp;R'!$AF$11*Rentroll!$H48)*(MONTH($D60)=MONTH(BR$14))*(YEAR($D60)=YEAR(BR$14))*BR$11/unit</f>
        <v>0</v>
      </c>
      <c r="BS60" s="75">
        <f>(NOT(BS$14=exit))*IF($E60=1,Rentroll!$P48*'A&amp;R'!$AF$12*Rentroll!$H48,Rentroll!$P48*'A&amp;R'!$AF$11*Rentroll!$H48)*(MONTH($D60)=MONTH(BS$14))*(YEAR($D60)=YEAR(BS$14))*BS$11/unit</f>
        <v>0</v>
      </c>
      <c r="BT60" s="75">
        <f>(NOT(BT$14=exit))*IF($E60=1,Rentroll!$P48*'A&amp;R'!$AF$12*Rentroll!$H48,Rentroll!$P48*'A&amp;R'!$AF$11*Rentroll!$H48)*(MONTH($D60)=MONTH(BT$14))*(YEAR($D60)=YEAR(BT$14))*BT$11/unit</f>
        <v>0</v>
      </c>
      <c r="BU60" s="75">
        <f>(NOT(BU$14=exit))*IF($E60=1,Rentroll!$P48*'A&amp;R'!$AF$12*Rentroll!$H48,Rentroll!$P48*'A&amp;R'!$AF$11*Rentroll!$H48)*(MONTH($D60)=MONTH(BU$14))*(YEAR($D60)=YEAR(BU$14))*BU$11/unit</f>
        <v>0</v>
      </c>
      <c r="BV60" s="75">
        <f>(NOT(BV$14=exit))*IF($E60=1,Rentroll!$P48*'A&amp;R'!$AF$12*Rentroll!$H48,Rentroll!$P48*'A&amp;R'!$AF$11*Rentroll!$H48)*(MONTH($D60)=MONTH(BV$14))*(YEAR($D60)=YEAR(BV$14))*BV$11/unit</f>
        <v>0</v>
      </c>
      <c r="BW60" s="75">
        <f>(NOT(BW$14=exit))*IF($E60=1,Rentroll!$P48*'A&amp;R'!$AF$12*Rentroll!$H48,Rentroll!$P48*'A&amp;R'!$AF$11*Rentroll!$H48)*(MONTH($D60)=MONTH(BW$14))*(YEAR($D60)=YEAR(BW$14))*BW$11/unit</f>
        <v>0</v>
      </c>
      <c r="BX60" s="75">
        <f>(NOT(BX$14=exit))*IF($E60=1,Rentroll!$P48*'A&amp;R'!$AF$12*Rentroll!$H48,Rentroll!$P48*'A&amp;R'!$AF$11*Rentroll!$H48)*(MONTH($D60)=MONTH(BX$14))*(YEAR($D60)=YEAR(BX$14))*BX$11/unit</f>
        <v>0</v>
      </c>
      <c r="BY60" s="75">
        <f>(NOT(BY$14=exit))*IF($E60=1,Rentroll!$P48*'A&amp;R'!$AF$12*Rentroll!$H48,Rentroll!$P48*'A&amp;R'!$AF$11*Rentroll!$H48)*(MONTH($D60)=MONTH(BY$14))*(YEAR($D60)=YEAR(BY$14))*BY$11/unit</f>
        <v>0</v>
      </c>
      <c r="BZ60" s="75">
        <f>(NOT(BZ$14=exit))*IF($E60=1,Rentroll!$P48*'A&amp;R'!$AF$12*Rentroll!$H48,Rentroll!$P48*'A&amp;R'!$AF$11*Rentroll!$H48)*(MONTH($D60)=MONTH(BZ$14))*(YEAR($D60)=YEAR(BZ$14))*BZ$11/unit</f>
        <v>0</v>
      </c>
      <c r="CA60" s="75">
        <f>(NOT(CA$14=exit))*IF($E60=1,Rentroll!$P48*'A&amp;R'!$AF$12*Rentroll!$H48,Rentroll!$P48*'A&amp;R'!$AF$11*Rentroll!$H48)*(MONTH($D60)=MONTH(CA$14))*(YEAR($D60)=YEAR(CA$14))*CA$11/unit</f>
        <v>0</v>
      </c>
      <c r="CB60" s="75">
        <f>(NOT(CB$14=exit))*IF($E60=1,Rentroll!$P48*'A&amp;R'!$AF$12*Rentroll!$H48,Rentroll!$P48*'A&amp;R'!$AF$11*Rentroll!$H48)*(MONTH($D60)=MONTH(CB$14))*(YEAR($D60)=YEAR(CB$14))*CB$11/unit</f>
        <v>0</v>
      </c>
      <c r="CC60" s="75">
        <f>(NOT(CC$14=exit))*IF($E60=1,Rentroll!$P48*'A&amp;R'!$AF$12*Rentroll!$H48,Rentroll!$P48*'A&amp;R'!$AF$11*Rentroll!$H48)*(MONTH($D60)=MONTH(CC$14))*(YEAR($D60)=YEAR(CC$14))*CC$11/unit</f>
        <v>0</v>
      </c>
      <c r="CD60" s="75">
        <f>(NOT(CD$14=exit))*IF($E60=1,Rentroll!$P48*'A&amp;R'!$AF$12*Rentroll!$H48,Rentroll!$P48*'A&amp;R'!$AF$11*Rentroll!$H48)*(MONTH($D60)=MONTH(CD$14))*(YEAR($D60)=YEAR(CD$14))*CD$11/unit</f>
        <v>0</v>
      </c>
      <c r="CE60" s="75">
        <f>(NOT(CE$14=exit))*IF($E60=1,Rentroll!$P48*'A&amp;R'!$AF$12*Rentroll!$H48,Rentroll!$P48*'A&amp;R'!$AF$11*Rentroll!$H48)*(MONTH($D60)=MONTH(CE$14))*(YEAR($D60)=YEAR(CE$14))*CE$11/unit</f>
        <v>0</v>
      </c>
      <c r="CF60" s="75">
        <f>(NOT(CF$14=exit))*IF($E60=1,Rentroll!$P48*'A&amp;R'!$AF$12*Rentroll!$H48,Rentroll!$P48*'A&amp;R'!$AF$11*Rentroll!$H48)*(MONTH($D60)=MONTH(CF$14))*(YEAR($D60)=YEAR(CF$14))*CF$11/unit</f>
        <v>0</v>
      </c>
      <c r="CG60" s="75">
        <f>(NOT(CG$14=exit))*IF($E60=1,Rentroll!$P48*'A&amp;R'!$AF$12*Rentroll!$H48,Rentroll!$P48*'A&amp;R'!$AF$11*Rentroll!$H48)*(MONTH($D60)=MONTH(CG$14))*(YEAR($D60)=YEAR(CG$14))*CG$11/unit</f>
        <v>0</v>
      </c>
      <c r="CH60" s="75">
        <f>(NOT(CH$14=exit))*IF($E60=1,Rentroll!$P48*'A&amp;R'!$AF$12*Rentroll!$H48,Rentroll!$P48*'A&amp;R'!$AF$11*Rentroll!$H48)*(MONTH($D60)=MONTH(CH$14))*(YEAR($D60)=YEAR(CH$14))*CH$11/unit</f>
        <v>0</v>
      </c>
      <c r="CI60" s="75">
        <f>(NOT(CI$14=exit))*IF($E60=1,Rentroll!$P48*'A&amp;R'!$AF$12*Rentroll!$H48,Rentroll!$P48*'A&amp;R'!$AF$11*Rentroll!$H48)*(MONTH($D60)=MONTH(CI$14))*(YEAR($D60)=YEAR(CI$14))*CI$11/unit</f>
        <v>0</v>
      </c>
      <c r="CJ60" s="75">
        <f>(NOT(CJ$14=exit))*IF($E60=1,Rentroll!$P48*'A&amp;R'!$AF$12*Rentroll!$H48,Rentroll!$P48*'A&amp;R'!$AF$11*Rentroll!$H48)*(MONTH($D60)=MONTH(CJ$14))*(YEAR($D60)=YEAR(CJ$14))*CJ$11/unit</f>
        <v>0</v>
      </c>
      <c r="CK60" s="75">
        <f>(NOT(CK$14=exit))*IF($E60=1,Rentroll!$P48*'A&amp;R'!$AF$12*Rentroll!$H48,Rentroll!$P48*'A&amp;R'!$AF$11*Rentroll!$H48)*(MONTH($D60)=MONTH(CK$14))*(YEAR($D60)=YEAR(CK$14))*CK$11/unit</f>
        <v>0</v>
      </c>
      <c r="CL60" s="75">
        <f>(NOT(CL$14=exit))*IF($E60=1,Rentroll!$P48*'A&amp;R'!$AF$12*Rentroll!$H48,Rentroll!$P48*'A&amp;R'!$AF$11*Rentroll!$H48)*(MONTH($D60)=MONTH(CL$14))*(YEAR($D60)=YEAR(CL$14))*CL$11/unit</f>
        <v>0</v>
      </c>
      <c r="CM60" s="75">
        <f>(NOT(CM$14=exit))*IF($E60=1,Rentroll!$P48*'A&amp;R'!$AF$12*Rentroll!$H48,Rentroll!$P48*'A&amp;R'!$AF$11*Rentroll!$H48)*(MONTH($D60)=MONTH(CM$14))*(YEAR($D60)=YEAR(CM$14))*CM$11/unit</f>
        <v>0</v>
      </c>
      <c r="CN60" s="75">
        <f>(NOT(CN$14=exit))*IF($E60=1,Rentroll!$P48*'A&amp;R'!$AF$12*Rentroll!$H48,Rentroll!$P48*'A&amp;R'!$AF$11*Rentroll!$H48)*(MONTH($D60)=MONTH(CN$14))*(YEAR($D60)=YEAR(CN$14))*CN$11/unit</f>
        <v>0</v>
      </c>
      <c r="CO60" s="75">
        <f>(NOT(CO$14=exit))*IF($E60=1,Rentroll!$P48*'A&amp;R'!$AF$12*Rentroll!$H48,Rentroll!$P48*'A&amp;R'!$AF$11*Rentroll!$H48)*(MONTH($D60)=MONTH(CO$14))*(YEAR($D60)=YEAR(CO$14))*CO$11/unit</f>
        <v>0</v>
      </c>
      <c r="CP60" s="75">
        <f>(NOT(CP$14=exit))*IF($E60=1,Rentroll!$P48*'A&amp;R'!$AF$12*Rentroll!$H48,Rentroll!$P48*'A&amp;R'!$AF$11*Rentroll!$H48)*(MONTH($D60)=MONTH(CP$14))*(YEAR($D60)=YEAR(CP$14))*CP$11/unit</f>
        <v>0</v>
      </c>
      <c r="CQ60" s="75">
        <f>(NOT(CQ$14=exit))*IF($E60=1,Rentroll!$P48*'A&amp;R'!$AF$12*Rentroll!$H48,Rentroll!$P48*'A&amp;R'!$AF$11*Rentroll!$H48)*(MONTH($D60)=MONTH(CQ$14))*(YEAR($D60)=YEAR(CQ$14))*CQ$11/unit</f>
        <v>0</v>
      </c>
      <c r="CR60" s="75">
        <f>(NOT(CR$14=exit))*IF($E60=1,Rentroll!$P48*'A&amp;R'!$AF$12*Rentroll!$H48,Rentroll!$P48*'A&amp;R'!$AF$11*Rentroll!$H48)*(MONTH($D60)=MONTH(CR$14))*(YEAR($D60)=YEAR(CR$14))*CR$11/unit</f>
        <v>0</v>
      </c>
      <c r="CS60" s="75">
        <f>(NOT(CS$14=exit))*IF($E60=1,Rentroll!$P48*'A&amp;R'!$AF$12*Rentroll!$H48,Rentroll!$P48*'A&amp;R'!$AF$11*Rentroll!$H48)*(MONTH($D60)=MONTH(CS$14))*(YEAR($D60)=YEAR(CS$14))*CS$11/unit</f>
        <v>0</v>
      </c>
      <c r="CT60" s="75">
        <f>(NOT(CT$14=exit))*IF($E60=1,Rentroll!$P48*'A&amp;R'!$AF$12*Rentroll!$H48,Rentroll!$P48*'A&amp;R'!$AF$11*Rentroll!$H48)*(MONTH($D60)=MONTH(CT$14))*(YEAR($D60)=YEAR(CT$14))*CT$11/unit</f>
        <v>0</v>
      </c>
      <c r="CU60" s="75">
        <f>(NOT(CU$14=exit))*IF($E60=1,Rentroll!$P48*'A&amp;R'!$AF$12*Rentroll!$H48,Rentroll!$P48*'A&amp;R'!$AF$11*Rentroll!$H48)*(MONTH($D60)=MONTH(CU$14))*(YEAR($D60)=YEAR(CU$14))*CU$11/unit</f>
        <v>0</v>
      </c>
      <c r="CV60" s="75">
        <f>(NOT(CV$14=exit))*IF($E60=1,Rentroll!$P48*'A&amp;R'!$AF$12*Rentroll!$H48,Rentroll!$P48*'A&amp;R'!$AF$11*Rentroll!$H48)*(MONTH($D60)=MONTH(CV$14))*(YEAR($D60)=YEAR(CV$14))*CV$11/unit</f>
        <v>0</v>
      </c>
      <c r="CW60" s="75">
        <f>(NOT(CW$14=exit))*IF($E60=1,Rentroll!$P48*'A&amp;R'!$AF$12*Rentroll!$H48,Rentroll!$P48*'A&amp;R'!$AF$11*Rentroll!$H48)*(MONTH($D60)=MONTH(CW$14))*(YEAR($D60)=YEAR(CW$14))*CW$11/unit</f>
        <v>0</v>
      </c>
      <c r="CX60" s="75">
        <f>(NOT(CX$14=exit))*IF($E60=1,Rentroll!$P48*'A&amp;R'!$AF$12*Rentroll!$H48,Rentroll!$P48*'A&amp;R'!$AF$11*Rentroll!$H48)*(MONTH($D60)=MONTH(CX$14))*(YEAR($D60)=YEAR(CX$14))*CX$11/unit</f>
        <v>0</v>
      </c>
      <c r="CY60" s="75">
        <f>(NOT(CY$14=exit))*IF($E60=1,Rentroll!$P48*'A&amp;R'!$AF$12*Rentroll!$H48,Rentroll!$P48*'A&amp;R'!$AF$11*Rentroll!$H48)*(MONTH($D60)=MONTH(CY$14))*(YEAR($D60)=YEAR(CY$14))*CY$11/unit</f>
        <v>0</v>
      </c>
      <c r="CZ60" s="75">
        <f>(NOT(CZ$14=exit))*IF($E60=1,Rentroll!$P48*'A&amp;R'!$AF$12*Rentroll!$H48,Rentroll!$P48*'A&amp;R'!$AF$11*Rentroll!$H48)*(MONTH($D60)=MONTH(CZ$14))*(YEAR($D60)=YEAR(CZ$14))*CZ$11/unit</f>
        <v>0</v>
      </c>
      <c r="DA60" s="75">
        <f>(NOT(DA$14=exit))*IF($E60=1,Rentroll!$P48*'A&amp;R'!$AF$12*Rentroll!$H48,Rentroll!$P48*'A&amp;R'!$AF$11*Rentroll!$H48)*(MONTH($D60)=MONTH(DA$14))*(YEAR($D60)=YEAR(DA$14))*DA$11/unit</f>
        <v>0</v>
      </c>
      <c r="DB60" s="75">
        <f>(NOT(DB$14=exit))*IF($E60=1,Rentroll!$P48*'A&amp;R'!$AF$12*Rentroll!$H48,Rentroll!$P48*'A&amp;R'!$AF$11*Rentroll!$H48)*(MONTH($D60)=MONTH(DB$14))*(YEAR($D60)=YEAR(DB$14))*DB$11/unit</f>
        <v>0</v>
      </c>
    </row>
    <row r="61" spans="3:106">
      <c r="C61" s="27">
        <f>Rentroll!$C$49</f>
        <v>5</v>
      </c>
      <c r="D61" s="80">
        <f>VLOOKUP($C61,Rentroll!$C$37:$Z$60,9,FALSE)</f>
        <v>45688</v>
      </c>
      <c r="E61" s="150">
        <f>VLOOKUP($C61,Rentroll!$C$37:$Z$60,24,FALSE)</f>
        <v>1</v>
      </c>
      <c r="F61" s="75">
        <f t="shared" si="44"/>
        <v>0</v>
      </c>
      <c r="G61" s="75"/>
      <c r="H61" s="75">
        <f>(NOT(H$14=exit))*IF($E61=1,Rentroll!$P49*'A&amp;R'!$AF$12*Rentroll!$H49,Rentroll!$P49*'A&amp;R'!$AF$11*Rentroll!$H49)*(MONTH($D61)=MONTH(H$14))*(YEAR($D61)=YEAR(H$14))*H$11/unit</f>
        <v>0</v>
      </c>
      <c r="I61" s="75">
        <f>(NOT(I$14=exit))*IF($E61=1,Rentroll!$P49*'A&amp;R'!$AF$12*Rentroll!$H49,Rentroll!$P49*'A&amp;R'!$AF$11*Rentroll!$H49)*(MONTH($D61)=MONTH(I$14))*(YEAR($D61)=YEAR(I$14))*I$11/unit</f>
        <v>0</v>
      </c>
      <c r="J61" s="75">
        <f>(NOT(J$14=exit))*IF($E61=1,Rentroll!$P49*'A&amp;R'!$AF$12*Rentroll!$H49,Rentroll!$P49*'A&amp;R'!$AF$11*Rentroll!$H49)*(MONTH($D61)=MONTH(J$14))*(YEAR($D61)=YEAR(J$14))*J$11/unit</f>
        <v>0</v>
      </c>
      <c r="K61" s="75">
        <f>(NOT(K$14=exit))*IF($E61=1,Rentroll!$P49*'A&amp;R'!$AF$12*Rentroll!$H49,Rentroll!$P49*'A&amp;R'!$AF$11*Rentroll!$H49)*(MONTH($D61)=MONTH(K$14))*(YEAR($D61)=YEAR(K$14))*K$11/unit</f>
        <v>0</v>
      </c>
      <c r="L61" s="75">
        <f>(NOT(L$14=exit))*IF($E61=1,Rentroll!$P49*'A&amp;R'!$AF$12*Rentroll!$H49,Rentroll!$P49*'A&amp;R'!$AF$11*Rentroll!$H49)*(MONTH($D61)=MONTH(L$14))*(YEAR($D61)=YEAR(L$14))*L$11/unit</f>
        <v>0</v>
      </c>
      <c r="M61" s="75">
        <f>(NOT(M$14=exit))*IF($E61=1,Rentroll!$P49*'A&amp;R'!$AF$12*Rentroll!$H49,Rentroll!$P49*'A&amp;R'!$AF$11*Rentroll!$H49)*(MONTH($D61)=MONTH(M$14))*(YEAR($D61)=YEAR(M$14))*M$11/unit</f>
        <v>0</v>
      </c>
      <c r="N61" s="75">
        <f>(NOT(N$14=exit))*IF($E61=1,Rentroll!$P49*'A&amp;R'!$AF$12*Rentroll!$H49,Rentroll!$P49*'A&amp;R'!$AF$11*Rentroll!$H49)*(MONTH($D61)=MONTH(N$14))*(YEAR($D61)=YEAR(N$14))*N$11/unit</f>
        <v>0</v>
      </c>
      <c r="O61" s="75">
        <f>(NOT(O$14=exit))*IF($E61=1,Rentroll!$P49*'A&amp;R'!$AF$12*Rentroll!$H49,Rentroll!$P49*'A&amp;R'!$AF$11*Rentroll!$H49)*(MONTH($D61)=MONTH(O$14))*(YEAR($D61)=YEAR(O$14))*O$11/unit</f>
        <v>0</v>
      </c>
      <c r="P61" s="75">
        <f>(NOT(P$14=exit))*IF($E61=1,Rentroll!$P49*'A&amp;R'!$AF$12*Rentroll!$H49,Rentroll!$P49*'A&amp;R'!$AF$11*Rentroll!$H49)*(MONTH($D61)=MONTH(P$14))*(YEAR($D61)=YEAR(P$14))*P$11/unit</f>
        <v>0</v>
      </c>
      <c r="Q61" s="75">
        <f>(NOT(Q$14=exit))*IF($E61=1,Rentroll!$P49*'A&amp;R'!$AF$12*Rentroll!$H49,Rentroll!$P49*'A&amp;R'!$AF$11*Rentroll!$H49)*(MONTH($D61)=MONTH(Q$14))*(YEAR($D61)=YEAR(Q$14))*Q$11/unit</f>
        <v>0</v>
      </c>
      <c r="R61" s="75">
        <f>(NOT(R$14=exit))*IF($E61=1,Rentroll!$P49*'A&amp;R'!$AF$12*Rentroll!$H49,Rentroll!$P49*'A&amp;R'!$AF$11*Rentroll!$H49)*(MONTH($D61)=MONTH(R$14))*(YEAR($D61)=YEAR(R$14))*R$11/unit</f>
        <v>0</v>
      </c>
      <c r="S61" s="75">
        <f>(NOT(S$14=exit))*IF($E61=1,Rentroll!$P49*'A&amp;R'!$AF$12*Rentroll!$H49,Rentroll!$P49*'A&amp;R'!$AF$11*Rentroll!$H49)*(MONTH($D61)=MONTH(S$14))*(YEAR($D61)=YEAR(S$14))*S$11/unit</f>
        <v>0</v>
      </c>
      <c r="T61" s="75">
        <f>(NOT(T$14=exit))*IF($E61=1,Rentroll!$P49*'A&amp;R'!$AF$12*Rentroll!$H49,Rentroll!$P49*'A&amp;R'!$AF$11*Rentroll!$H49)*(MONTH($D61)=MONTH(T$14))*(YEAR($D61)=YEAR(T$14))*T$11/unit</f>
        <v>0</v>
      </c>
      <c r="U61" s="75">
        <f>(NOT(U$14=exit))*IF($E61=1,Rentroll!$P49*'A&amp;R'!$AF$12*Rentroll!$H49,Rentroll!$P49*'A&amp;R'!$AF$11*Rentroll!$H49)*(MONTH($D61)=MONTH(U$14))*(YEAR($D61)=YEAR(U$14))*U$11/unit</f>
        <v>0</v>
      </c>
      <c r="V61" s="75">
        <f>(NOT(V$14=exit))*IF($E61=1,Rentroll!$P49*'A&amp;R'!$AF$12*Rentroll!$H49,Rentroll!$P49*'A&amp;R'!$AF$11*Rentroll!$H49)*(MONTH($D61)=MONTH(V$14))*(YEAR($D61)=YEAR(V$14))*V$11/unit</f>
        <v>0</v>
      </c>
      <c r="W61" s="75">
        <f>(NOT(W$14=exit))*IF($E61=1,Rentroll!$P49*'A&amp;R'!$AF$12*Rentroll!$H49,Rentroll!$P49*'A&amp;R'!$AF$11*Rentroll!$H49)*(MONTH($D61)=MONTH(W$14))*(YEAR($D61)=YEAR(W$14))*W$11/unit</f>
        <v>0</v>
      </c>
      <c r="X61" s="75">
        <f>(NOT(X$14=exit))*IF($E61=1,Rentroll!$P49*'A&amp;R'!$AF$12*Rentroll!$H49,Rentroll!$P49*'A&amp;R'!$AF$11*Rentroll!$H49)*(MONTH($D61)=MONTH(X$14))*(YEAR($D61)=YEAR(X$14))*X$11/unit</f>
        <v>0</v>
      </c>
      <c r="Y61" s="75">
        <f>(NOT(Y$14=exit))*IF($E61=1,Rentroll!$P49*'A&amp;R'!$AF$12*Rentroll!$H49,Rentroll!$P49*'A&amp;R'!$AF$11*Rentroll!$H49)*(MONTH($D61)=MONTH(Y$14))*(YEAR($D61)=YEAR(Y$14))*Y$11/unit</f>
        <v>0</v>
      </c>
      <c r="Z61" s="75">
        <f>(NOT(Z$14=exit))*IF($E61=1,Rentroll!$P49*'A&amp;R'!$AF$12*Rentroll!$H49,Rentroll!$P49*'A&amp;R'!$AF$11*Rentroll!$H49)*(MONTH($D61)=MONTH(Z$14))*(YEAR($D61)=YEAR(Z$14))*Z$11/unit</f>
        <v>0</v>
      </c>
      <c r="AA61" s="75">
        <f>(NOT(AA$14=exit))*IF($E61=1,Rentroll!$P49*'A&amp;R'!$AF$12*Rentroll!$H49,Rentroll!$P49*'A&amp;R'!$AF$11*Rentroll!$H49)*(MONTH($D61)=MONTH(AA$14))*(YEAR($D61)=YEAR(AA$14))*AA$11/unit</f>
        <v>0</v>
      </c>
      <c r="AB61" s="75">
        <f>(NOT(AB$14=exit))*IF($E61=1,Rentroll!$P49*'A&amp;R'!$AF$12*Rentroll!$H49,Rentroll!$P49*'A&amp;R'!$AF$11*Rentroll!$H49)*(MONTH($D61)=MONTH(AB$14))*(YEAR($D61)=YEAR(AB$14))*AB$11/unit</f>
        <v>0</v>
      </c>
      <c r="AC61" s="75">
        <f>(NOT(AC$14=exit))*IF($E61=1,Rentroll!$P49*'A&amp;R'!$AF$12*Rentroll!$H49,Rentroll!$P49*'A&amp;R'!$AF$11*Rentroll!$H49)*(MONTH($D61)=MONTH(AC$14))*(YEAR($D61)=YEAR(AC$14))*AC$11/unit</f>
        <v>0</v>
      </c>
      <c r="AD61" s="75">
        <f>(NOT(AD$14=exit))*IF($E61=1,Rentroll!$P49*'A&amp;R'!$AF$12*Rentroll!$H49,Rentroll!$P49*'A&amp;R'!$AF$11*Rentroll!$H49)*(MONTH($D61)=MONTH(AD$14))*(YEAR($D61)=YEAR(AD$14))*AD$11/unit</f>
        <v>0</v>
      </c>
      <c r="AE61" s="75">
        <f>(NOT(AE$14=exit))*IF($E61=1,Rentroll!$P49*'A&amp;R'!$AF$12*Rentroll!$H49,Rentroll!$P49*'A&amp;R'!$AF$11*Rentroll!$H49)*(MONTH($D61)=MONTH(AE$14))*(YEAR($D61)=YEAR(AE$14))*AE$11/unit</f>
        <v>0</v>
      </c>
      <c r="AF61" s="75">
        <f>(NOT(AF$14=exit))*IF($E61=1,Rentroll!$P49*'A&amp;R'!$AF$12*Rentroll!$H49,Rentroll!$P49*'A&amp;R'!$AF$11*Rentroll!$H49)*(MONTH($D61)=MONTH(AF$14))*(YEAR($D61)=YEAR(AF$14))*AF$11/unit</f>
        <v>0</v>
      </c>
      <c r="AG61" s="75">
        <f>(NOT(AG$14=exit))*IF($E61=1,Rentroll!$P49*'A&amp;R'!$AF$12*Rentroll!$H49,Rentroll!$P49*'A&amp;R'!$AF$11*Rentroll!$H49)*(MONTH($D61)=MONTH(AG$14))*(YEAR($D61)=YEAR(AG$14))*AG$11/unit</f>
        <v>0</v>
      </c>
      <c r="AH61" s="75">
        <f>(NOT(AH$14=exit))*IF($E61=1,Rentroll!$P49*'A&amp;R'!$AF$12*Rentroll!$H49,Rentroll!$P49*'A&amp;R'!$AF$11*Rentroll!$H49)*(MONTH($D61)=MONTH(AH$14))*(YEAR($D61)=YEAR(AH$14))*AH$11/unit</f>
        <v>0</v>
      </c>
      <c r="AI61" s="75">
        <f>(NOT(AI$14=exit))*IF($E61=1,Rentroll!$P49*'A&amp;R'!$AF$12*Rentroll!$H49,Rentroll!$P49*'A&amp;R'!$AF$11*Rentroll!$H49)*(MONTH($D61)=MONTH(AI$14))*(YEAR($D61)=YEAR(AI$14))*AI$11/unit</f>
        <v>0</v>
      </c>
      <c r="AJ61" s="75">
        <f>(NOT(AJ$14=exit))*IF($E61=1,Rentroll!$P49*'A&amp;R'!$AF$12*Rentroll!$H49,Rentroll!$P49*'A&amp;R'!$AF$11*Rentroll!$H49)*(MONTH($D61)=MONTH(AJ$14))*(YEAR($D61)=YEAR(AJ$14))*AJ$11/unit</f>
        <v>0</v>
      </c>
      <c r="AK61" s="75">
        <f>(NOT(AK$14=exit))*IF($E61=1,Rentroll!$P49*'A&amp;R'!$AF$12*Rentroll!$H49,Rentroll!$P49*'A&amp;R'!$AF$11*Rentroll!$H49)*(MONTH($D61)=MONTH(AK$14))*(YEAR($D61)=YEAR(AK$14))*AK$11/unit</f>
        <v>0</v>
      </c>
      <c r="AL61" s="75">
        <f>(NOT(AL$14=exit))*IF($E61=1,Rentroll!$P49*'A&amp;R'!$AF$12*Rentroll!$H49,Rentroll!$P49*'A&amp;R'!$AF$11*Rentroll!$H49)*(MONTH($D61)=MONTH(AL$14))*(YEAR($D61)=YEAR(AL$14))*AL$11/unit</f>
        <v>0</v>
      </c>
      <c r="AM61" s="75">
        <f>(NOT(AM$14=exit))*IF($E61=1,Rentroll!$P49*'A&amp;R'!$AF$12*Rentroll!$H49,Rentroll!$P49*'A&amp;R'!$AF$11*Rentroll!$H49)*(MONTH($D61)=MONTH(AM$14))*(YEAR($D61)=YEAR(AM$14))*AM$11/unit</f>
        <v>0</v>
      </c>
      <c r="AN61" s="75">
        <f>(NOT(AN$14=exit))*IF($E61=1,Rentroll!$P49*'A&amp;R'!$AF$12*Rentroll!$H49,Rentroll!$P49*'A&amp;R'!$AF$11*Rentroll!$H49)*(MONTH($D61)=MONTH(AN$14))*(YEAR($D61)=YEAR(AN$14))*AN$11/unit</f>
        <v>0</v>
      </c>
      <c r="AO61" s="75">
        <f>(NOT(AO$14=exit))*IF($E61=1,Rentroll!$P49*'A&amp;R'!$AF$12*Rentroll!$H49,Rentroll!$P49*'A&amp;R'!$AF$11*Rentroll!$H49)*(MONTH($D61)=MONTH(AO$14))*(YEAR($D61)=YEAR(AO$14))*AO$11/unit</f>
        <v>0</v>
      </c>
      <c r="AP61" s="75">
        <f>(NOT(AP$14=exit))*IF($E61=1,Rentroll!$P49*'A&amp;R'!$AF$12*Rentroll!$H49,Rentroll!$P49*'A&amp;R'!$AF$11*Rentroll!$H49)*(MONTH($D61)=MONTH(AP$14))*(YEAR($D61)=YEAR(AP$14))*AP$11/unit</f>
        <v>0</v>
      </c>
      <c r="AQ61" s="75">
        <f>(NOT(AQ$14=exit))*IF($E61=1,Rentroll!$P49*'A&amp;R'!$AF$12*Rentroll!$H49,Rentroll!$P49*'A&amp;R'!$AF$11*Rentroll!$H49)*(MONTH($D61)=MONTH(AQ$14))*(YEAR($D61)=YEAR(AQ$14))*AQ$11/unit</f>
        <v>0</v>
      </c>
      <c r="AR61" s="75">
        <f>(NOT(AR$14=exit))*IF($E61=1,Rentroll!$P49*'A&amp;R'!$AF$12*Rentroll!$H49,Rentroll!$P49*'A&amp;R'!$AF$11*Rentroll!$H49)*(MONTH($D61)=MONTH(AR$14))*(YEAR($D61)=YEAR(AR$14))*AR$11/unit</f>
        <v>0</v>
      </c>
      <c r="AS61" s="75">
        <f>(NOT(AS$14=exit))*IF($E61=1,Rentroll!$P49*'A&amp;R'!$AF$12*Rentroll!$H49,Rentroll!$P49*'A&amp;R'!$AF$11*Rentroll!$H49)*(MONTH($D61)=MONTH(AS$14))*(YEAR($D61)=YEAR(AS$14))*AS$11/unit</f>
        <v>0</v>
      </c>
      <c r="AT61" s="75">
        <f>(NOT(AT$14=exit))*IF($E61=1,Rentroll!$P49*'A&amp;R'!$AF$12*Rentroll!$H49,Rentroll!$P49*'A&amp;R'!$AF$11*Rentroll!$H49)*(MONTH($D61)=MONTH(AT$14))*(YEAR($D61)=YEAR(AT$14))*AT$11/unit</f>
        <v>0</v>
      </c>
      <c r="AU61" s="75">
        <f>(NOT(AU$14=exit))*IF($E61=1,Rentroll!$P49*'A&amp;R'!$AF$12*Rentroll!$H49,Rentroll!$P49*'A&amp;R'!$AF$11*Rentroll!$H49)*(MONTH($D61)=MONTH(AU$14))*(YEAR($D61)=YEAR(AU$14))*AU$11/unit</f>
        <v>0</v>
      </c>
      <c r="AV61" s="75">
        <f>(NOT(AV$14=exit))*IF($E61=1,Rentroll!$P49*'A&amp;R'!$AF$12*Rentroll!$H49,Rentroll!$P49*'A&amp;R'!$AF$11*Rentroll!$H49)*(MONTH($D61)=MONTH(AV$14))*(YEAR($D61)=YEAR(AV$14))*AV$11/unit</f>
        <v>0</v>
      </c>
      <c r="AW61" s="75">
        <f>(NOT(AW$14=exit))*IF($E61=1,Rentroll!$P49*'A&amp;R'!$AF$12*Rentroll!$H49,Rentroll!$P49*'A&amp;R'!$AF$11*Rentroll!$H49)*(MONTH($D61)=MONTH(AW$14))*(YEAR($D61)=YEAR(AW$14))*AW$11/unit</f>
        <v>0</v>
      </c>
      <c r="AX61" s="75">
        <f>(NOT(AX$14=exit))*IF($E61=1,Rentroll!$P49*'A&amp;R'!$AF$12*Rentroll!$H49,Rentroll!$P49*'A&amp;R'!$AF$11*Rentroll!$H49)*(MONTH($D61)=MONTH(AX$14))*(YEAR($D61)=YEAR(AX$14))*AX$11/unit</f>
        <v>0</v>
      </c>
      <c r="AY61" s="75">
        <f>(NOT(AY$14=exit))*IF($E61=1,Rentroll!$P49*'A&amp;R'!$AF$12*Rentroll!$H49,Rentroll!$P49*'A&amp;R'!$AF$11*Rentroll!$H49)*(MONTH($D61)=MONTH(AY$14))*(YEAR($D61)=YEAR(AY$14))*AY$11/unit</f>
        <v>0</v>
      </c>
      <c r="AZ61" s="75">
        <f>(NOT(AZ$14=exit))*IF($E61=1,Rentroll!$P49*'A&amp;R'!$AF$12*Rentroll!$H49,Rentroll!$P49*'A&amp;R'!$AF$11*Rentroll!$H49)*(MONTH($D61)=MONTH(AZ$14))*(YEAR($D61)=YEAR(AZ$14))*AZ$11/unit</f>
        <v>0</v>
      </c>
      <c r="BA61" s="75">
        <f>(NOT(BA$14=exit))*IF($E61=1,Rentroll!$P49*'A&amp;R'!$AF$12*Rentroll!$H49,Rentroll!$P49*'A&amp;R'!$AF$11*Rentroll!$H49)*(MONTH($D61)=MONTH(BA$14))*(YEAR($D61)=YEAR(BA$14))*BA$11/unit</f>
        <v>0</v>
      </c>
      <c r="BB61" s="75">
        <f>(NOT(BB$14=exit))*IF($E61=1,Rentroll!$P49*'A&amp;R'!$AF$12*Rentroll!$H49,Rentroll!$P49*'A&amp;R'!$AF$11*Rentroll!$H49)*(MONTH($D61)=MONTH(BB$14))*(YEAR($D61)=YEAR(BB$14))*BB$11/unit</f>
        <v>0</v>
      </c>
      <c r="BC61" s="75">
        <f>(NOT(BC$14=exit))*IF($E61=1,Rentroll!$P49*'A&amp;R'!$AF$12*Rentroll!$H49,Rentroll!$P49*'A&amp;R'!$AF$11*Rentroll!$H49)*(MONTH($D61)=MONTH(BC$14))*(YEAR($D61)=YEAR(BC$14))*BC$11/unit</f>
        <v>0</v>
      </c>
      <c r="BD61" s="75">
        <f>(NOT(BD$14=exit))*IF($E61=1,Rentroll!$P49*'A&amp;R'!$AF$12*Rentroll!$H49,Rentroll!$P49*'A&amp;R'!$AF$11*Rentroll!$H49)*(MONTH($D61)=MONTH(BD$14))*(YEAR($D61)=YEAR(BD$14))*BD$11/unit</f>
        <v>0</v>
      </c>
      <c r="BE61" s="75">
        <f>(NOT(BE$14=exit))*IF($E61=1,Rentroll!$P49*'A&amp;R'!$AF$12*Rentroll!$H49,Rentroll!$P49*'A&amp;R'!$AF$11*Rentroll!$H49)*(MONTH($D61)=MONTH(BE$14))*(YEAR($D61)=YEAR(BE$14))*BE$11/unit</f>
        <v>0</v>
      </c>
      <c r="BF61" s="75">
        <f>(NOT(BF$14=exit))*IF($E61=1,Rentroll!$P49*'A&amp;R'!$AF$12*Rentroll!$H49,Rentroll!$P49*'A&amp;R'!$AF$11*Rentroll!$H49)*(MONTH($D61)=MONTH(BF$14))*(YEAR($D61)=YEAR(BF$14))*BF$11/unit</f>
        <v>0</v>
      </c>
      <c r="BG61" s="75">
        <f>(NOT(BG$14=exit))*IF($E61=1,Rentroll!$P49*'A&amp;R'!$AF$12*Rentroll!$H49,Rentroll!$P49*'A&amp;R'!$AF$11*Rentroll!$H49)*(MONTH($D61)=MONTH(BG$14))*(YEAR($D61)=YEAR(BG$14))*BG$11/unit</f>
        <v>0</v>
      </c>
      <c r="BH61" s="75">
        <f>(NOT(BH$14=exit))*IF($E61=1,Rentroll!$P49*'A&amp;R'!$AF$12*Rentroll!$H49,Rentroll!$P49*'A&amp;R'!$AF$11*Rentroll!$H49)*(MONTH($D61)=MONTH(BH$14))*(YEAR($D61)=YEAR(BH$14))*BH$11/unit</f>
        <v>0</v>
      </c>
      <c r="BI61" s="75">
        <f>(NOT(BI$14=exit))*IF($E61=1,Rentroll!$P49*'A&amp;R'!$AF$12*Rentroll!$H49,Rentroll!$P49*'A&amp;R'!$AF$11*Rentroll!$H49)*(MONTH($D61)=MONTH(BI$14))*(YEAR($D61)=YEAR(BI$14))*BI$11/unit</f>
        <v>0</v>
      </c>
      <c r="BJ61" s="75">
        <f>(NOT(BJ$14=exit))*IF($E61=1,Rentroll!$P49*'A&amp;R'!$AF$12*Rentroll!$H49,Rentroll!$P49*'A&amp;R'!$AF$11*Rentroll!$H49)*(MONTH($D61)=MONTH(BJ$14))*(YEAR($D61)=YEAR(BJ$14))*BJ$11/unit</f>
        <v>0</v>
      </c>
      <c r="BK61" s="75">
        <f>(NOT(BK$14=exit))*IF($E61=1,Rentroll!$P49*'A&amp;R'!$AF$12*Rentroll!$H49,Rentroll!$P49*'A&amp;R'!$AF$11*Rentroll!$H49)*(MONTH($D61)=MONTH(BK$14))*(YEAR($D61)=YEAR(BK$14))*BK$11/unit</f>
        <v>0</v>
      </c>
      <c r="BL61" s="75">
        <f>(NOT(BL$14=exit))*IF($E61=1,Rentroll!$P49*'A&amp;R'!$AF$12*Rentroll!$H49,Rentroll!$P49*'A&amp;R'!$AF$11*Rentroll!$H49)*(MONTH($D61)=MONTH(BL$14))*(YEAR($D61)=YEAR(BL$14))*BL$11/unit</f>
        <v>0</v>
      </c>
      <c r="BM61" s="75">
        <f>(NOT(BM$14=exit))*IF($E61=1,Rentroll!$P49*'A&amp;R'!$AF$12*Rentroll!$H49,Rentroll!$P49*'A&amp;R'!$AF$11*Rentroll!$H49)*(MONTH($D61)=MONTH(BM$14))*(YEAR($D61)=YEAR(BM$14))*BM$11/unit</f>
        <v>0</v>
      </c>
      <c r="BN61" s="75">
        <f>(NOT(BN$14=exit))*IF($E61=1,Rentroll!$P49*'A&amp;R'!$AF$12*Rentroll!$H49,Rentroll!$P49*'A&amp;R'!$AF$11*Rentroll!$H49)*(MONTH($D61)=MONTH(BN$14))*(YEAR($D61)=YEAR(BN$14))*BN$11/unit</f>
        <v>0</v>
      </c>
      <c r="BO61" s="75">
        <f>(NOT(BO$14=exit))*IF($E61=1,Rentroll!$P49*'A&amp;R'!$AF$12*Rentroll!$H49,Rentroll!$P49*'A&amp;R'!$AF$11*Rentroll!$H49)*(MONTH($D61)=MONTH(BO$14))*(YEAR($D61)=YEAR(BO$14))*BO$11/unit</f>
        <v>0</v>
      </c>
      <c r="BP61" s="75">
        <f>(NOT(BP$14=exit))*IF($E61=1,Rentroll!$P49*'A&amp;R'!$AF$12*Rentroll!$H49,Rentroll!$P49*'A&amp;R'!$AF$11*Rentroll!$H49)*(MONTH($D61)=MONTH(BP$14))*(YEAR($D61)=YEAR(BP$14))*BP$11/unit</f>
        <v>0</v>
      </c>
      <c r="BQ61" s="75">
        <f>(NOT(BQ$14=exit))*IF($E61=1,Rentroll!$P49*'A&amp;R'!$AF$12*Rentroll!$H49,Rentroll!$P49*'A&amp;R'!$AF$11*Rentroll!$H49)*(MONTH($D61)=MONTH(BQ$14))*(YEAR($D61)=YEAR(BQ$14))*BQ$11/unit</f>
        <v>0</v>
      </c>
      <c r="BR61" s="75">
        <f>(NOT(BR$14=exit))*IF($E61=1,Rentroll!$P49*'A&amp;R'!$AF$12*Rentroll!$H49,Rentroll!$P49*'A&amp;R'!$AF$11*Rentroll!$H49)*(MONTH($D61)=MONTH(BR$14))*(YEAR($D61)=YEAR(BR$14))*BR$11/unit</f>
        <v>0</v>
      </c>
      <c r="BS61" s="75">
        <f>(NOT(BS$14=exit))*IF($E61=1,Rentroll!$P49*'A&amp;R'!$AF$12*Rentroll!$H49,Rentroll!$P49*'A&amp;R'!$AF$11*Rentroll!$H49)*(MONTH($D61)=MONTH(BS$14))*(YEAR($D61)=YEAR(BS$14))*BS$11/unit</f>
        <v>0</v>
      </c>
      <c r="BT61" s="75">
        <f>(NOT(BT$14=exit))*IF($E61=1,Rentroll!$P49*'A&amp;R'!$AF$12*Rentroll!$H49,Rentroll!$P49*'A&amp;R'!$AF$11*Rentroll!$H49)*(MONTH($D61)=MONTH(BT$14))*(YEAR($D61)=YEAR(BT$14))*BT$11/unit</f>
        <v>0</v>
      </c>
      <c r="BU61" s="75">
        <f>(NOT(BU$14=exit))*IF($E61=1,Rentroll!$P49*'A&amp;R'!$AF$12*Rentroll!$H49,Rentroll!$P49*'A&amp;R'!$AF$11*Rentroll!$H49)*(MONTH($D61)=MONTH(BU$14))*(YEAR($D61)=YEAR(BU$14))*BU$11/unit</f>
        <v>0</v>
      </c>
      <c r="BV61" s="75">
        <f>(NOT(BV$14=exit))*IF($E61=1,Rentroll!$P49*'A&amp;R'!$AF$12*Rentroll!$H49,Rentroll!$P49*'A&amp;R'!$AF$11*Rentroll!$H49)*(MONTH($D61)=MONTH(BV$14))*(YEAR($D61)=YEAR(BV$14))*BV$11/unit</f>
        <v>0</v>
      </c>
      <c r="BW61" s="75">
        <f>(NOT(BW$14=exit))*IF($E61=1,Rentroll!$P49*'A&amp;R'!$AF$12*Rentroll!$H49,Rentroll!$P49*'A&amp;R'!$AF$11*Rentroll!$H49)*(MONTH($D61)=MONTH(BW$14))*(YEAR($D61)=YEAR(BW$14))*BW$11/unit</f>
        <v>0</v>
      </c>
      <c r="BX61" s="75">
        <f>(NOT(BX$14=exit))*IF($E61=1,Rentroll!$P49*'A&amp;R'!$AF$12*Rentroll!$H49,Rentroll!$P49*'A&amp;R'!$AF$11*Rentroll!$H49)*(MONTH($D61)=MONTH(BX$14))*(YEAR($D61)=YEAR(BX$14))*BX$11/unit</f>
        <v>0</v>
      </c>
      <c r="BY61" s="75">
        <f>(NOT(BY$14=exit))*IF($E61=1,Rentroll!$P49*'A&amp;R'!$AF$12*Rentroll!$H49,Rentroll!$P49*'A&amp;R'!$AF$11*Rentroll!$H49)*(MONTH($D61)=MONTH(BY$14))*(YEAR($D61)=YEAR(BY$14))*BY$11/unit</f>
        <v>0</v>
      </c>
      <c r="BZ61" s="75">
        <f>(NOT(BZ$14=exit))*IF($E61=1,Rentroll!$P49*'A&amp;R'!$AF$12*Rentroll!$H49,Rentroll!$P49*'A&amp;R'!$AF$11*Rentroll!$H49)*(MONTH($D61)=MONTH(BZ$14))*(YEAR($D61)=YEAR(BZ$14))*BZ$11/unit</f>
        <v>0</v>
      </c>
      <c r="CA61" s="75">
        <f>(NOT(CA$14=exit))*IF($E61=1,Rentroll!$P49*'A&amp;R'!$AF$12*Rentroll!$H49,Rentroll!$P49*'A&amp;R'!$AF$11*Rentroll!$H49)*(MONTH($D61)=MONTH(CA$14))*(YEAR($D61)=YEAR(CA$14))*CA$11/unit</f>
        <v>0</v>
      </c>
      <c r="CB61" s="75">
        <f>(NOT(CB$14=exit))*IF($E61=1,Rentroll!$P49*'A&amp;R'!$AF$12*Rentroll!$H49,Rentroll!$P49*'A&amp;R'!$AF$11*Rentroll!$H49)*(MONTH($D61)=MONTH(CB$14))*(YEAR($D61)=YEAR(CB$14))*CB$11/unit</f>
        <v>0</v>
      </c>
      <c r="CC61" s="75">
        <f>(NOT(CC$14=exit))*IF($E61=1,Rentroll!$P49*'A&amp;R'!$AF$12*Rentroll!$H49,Rentroll!$P49*'A&amp;R'!$AF$11*Rentroll!$H49)*(MONTH($D61)=MONTH(CC$14))*(YEAR($D61)=YEAR(CC$14))*CC$11/unit</f>
        <v>0</v>
      </c>
      <c r="CD61" s="75">
        <f>(NOT(CD$14=exit))*IF($E61=1,Rentroll!$P49*'A&amp;R'!$AF$12*Rentroll!$H49,Rentroll!$P49*'A&amp;R'!$AF$11*Rentroll!$H49)*(MONTH($D61)=MONTH(CD$14))*(YEAR($D61)=YEAR(CD$14))*CD$11/unit</f>
        <v>0</v>
      </c>
      <c r="CE61" s="75">
        <f>(NOT(CE$14=exit))*IF($E61=1,Rentroll!$P49*'A&amp;R'!$AF$12*Rentroll!$H49,Rentroll!$P49*'A&amp;R'!$AF$11*Rentroll!$H49)*(MONTH($D61)=MONTH(CE$14))*(YEAR($D61)=YEAR(CE$14))*CE$11/unit</f>
        <v>0</v>
      </c>
      <c r="CF61" s="75">
        <f>(NOT(CF$14=exit))*IF($E61=1,Rentroll!$P49*'A&amp;R'!$AF$12*Rentroll!$H49,Rentroll!$P49*'A&amp;R'!$AF$11*Rentroll!$H49)*(MONTH($D61)=MONTH(CF$14))*(YEAR($D61)=YEAR(CF$14))*CF$11/unit</f>
        <v>0</v>
      </c>
      <c r="CG61" s="75">
        <f>(NOT(CG$14=exit))*IF($E61=1,Rentroll!$P49*'A&amp;R'!$AF$12*Rentroll!$H49,Rentroll!$P49*'A&amp;R'!$AF$11*Rentroll!$H49)*(MONTH($D61)=MONTH(CG$14))*(YEAR($D61)=YEAR(CG$14))*CG$11/unit</f>
        <v>0</v>
      </c>
      <c r="CH61" s="75">
        <f>(NOT(CH$14=exit))*IF($E61=1,Rentroll!$P49*'A&amp;R'!$AF$12*Rentroll!$H49,Rentroll!$P49*'A&amp;R'!$AF$11*Rentroll!$H49)*(MONTH($D61)=MONTH(CH$14))*(YEAR($D61)=YEAR(CH$14))*CH$11/unit</f>
        <v>0</v>
      </c>
      <c r="CI61" s="75">
        <f>(NOT(CI$14=exit))*IF($E61=1,Rentroll!$P49*'A&amp;R'!$AF$12*Rentroll!$H49,Rentroll!$P49*'A&amp;R'!$AF$11*Rentroll!$H49)*(MONTH($D61)=MONTH(CI$14))*(YEAR($D61)=YEAR(CI$14))*CI$11/unit</f>
        <v>0</v>
      </c>
      <c r="CJ61" s="75">
        <f>(NOT(CJ$14=exit))*IF($E61=1,Rentroll!$P49*'A&amp;R'!$AF$12*Rentroll!$H49,Rentroll!$P49*'A&amp;R'!$AF$11*Rentroll!$H49)*(MONTH($D61)=MONTH(CJ$14))*(YEAR($D61)=YEAR(CJ$14))*CJ$11/unit</f>
        <v>0</v>
      </c>
      <c r="CK61" s="75">
        <f>(NOT(CK$14=exit))*IF($E61=1,Rentroll!$P49*'A&amp;R'!$AF$12*Rentroll!$H49,Rentroll!$P49*'A&amp;R'!$AF$11*Rentroll!$H49)*(MONTH($D61)=MONTH(CK$14))*(YEAR($D61)=YEAR(CK$14))*CK$11/unit</f>
        <v>0</v>
      </c>
      <c r="CL61" s="75">
        <f>(NOT(CL$14=exit))*IF($E61=1,Rentroll!$P49*'A&amp;R'!$AF$12*Rentroll!$H49,Rentroll!$P49*'A&amp;R'!$AF$11*Rentroll!$H49)*(MONTH($D61)=MONTH(CL$14))*(YEAR($D61)=YEAR(CL$14))*CL$11/unit</f>
        <v>0</v>
      </c>
      <c r="CM61" s="75">
        <f>(NOT(CM$14=exit))*IF($E61=1,Rentroll!$P49*'A&amp;R'!$AF$12*Rentroll!$H49,Rentroll!$P49*'A&amp;R'!$AF$11*Rentroll!$H49)*(MONTH($D61)=MONTH(CM$14))*(YEAR($D61)=YEAR(CM$14))*CM$11/unit</f>
        <v>0</v>
      </c>
      <c r="CN61" s="75">
        <f>(NOT(CN$14=exit))*IF($E61=1,Rentroll!$P49*'A&amp;R'!$AF$12*Rentroll!$H49,Rentroll!$P49*'A&amp;R'!$AF$11*Rentroll!$H49)*(MONTH($D61)=MONTH(CN$14))*(YEAR($D61)=YEAR(CN$14))*CN$11/unit</f>
        <v>0</v>
      </c>
      <c r="CO61" s="75">
        <f>(NOT(CO$14=exit))*IF($E61=1,Rentroll!$P49*'A&amp;R'!$AF$12*Rentroll!$H49,Rentroll!$P49*'A&amp;R'!$AF$11*Rentroll!$H49)*(MONTH($D61)=MONTH(CO$14))*(YEAR($D61)=YEAR(CO$14))*CO$11/unit</f>
        <v>0</v>
      </c>
      <c r="CP61" s="75">
        <f>(NOT(CP$14=exit))*IF($E61=1,Rentroll!$P49*'A&amp;R'!$AF$12*Rentroll!$H49,Rentroll!$P49*'A&amp;R'!$AF$11*Rentroll!$H49)*(MONTH($D61)=MONTH(CP$14))*(YEAR($D61)=YEAR(CP$14))*CP$11/unit</f>
        <v>0</v>
      </c>
      <c r="CQ61" s="75">
        <f>(NOT(CQ$14=exit))*IF($E61=1,Rentroll!$P49*'A&amp;R'!$AF$12*Rentroll!$H49,Rentroll!$P49*'A&amp;R'!$AF$11*Rentroll!$H49)*(MONTH($D61)=MONTH(CQ$14))*(YEAR($D61)=YEAR(CQ$14))*CQ$11/unit</f>
        <v>0</v>
      </c>
      <c r="CR61" s="75">
        <f>(NOT(CR$14=exit))*IF($E61=1,Rentroll!$P49*'A&amp;R'!$AF$12*Rentroll!$H49,Rentroll!$P49*'A&amp;R'!$AF$11*Rentroll!$H49)*(MONTH($D61)=MONTH(CR$14))*(YEAR($D61)=YEAR(CR$14))*CR$11/unit</f>
        <v>0</v>
      </c>
      <c r="CS61" s="75">
        <f>(NOT(CS$14=exit))*IF($E61=1,Rentroll!$P49*'A&amp;R'!$AF$12*Rentroll!$H49,Rentroll!$P49*'A&amp;R'!$AF$11*Rentroll!$H49)*(MONTH($D61)=MONTH(CS$14))*(YEAR($D61)=YEAR(CS$14))*CS$11/unit</f>
        <v>0</v>
      </c>
      <c r="CT61" s="75">
        <f>(NOT(CT$14=exit))*IF($E61=1,Rentroll!$P49*'A&amp;R'!$AF$12*Rentroll!$H49,Rentroll!$P49*'A&amp;R'!$AF$11*Rentroll!$H49)*(MONTH($D61)=MONTH(CT$14))*(YEAR($D61)=YEAR(CT$14))*CT$11/unit</f>
        <v>0</v>
      </c>
      <c r="CU61" s="75">
        <f>(NOT(CU$14=exit))*IF($E61=1,Rentroll!$P49*'A&amp;R'!$AF$12*Rentroll!$H49,Rentroll!$P49*'A&amp;R'!$AF$11*Rentroll!$H49)*(MONTH($D61)=MONTH(CU$14))*(YEAR($D61)=YEAR(CU$14))*CU$11/unit</f>
        <v>0</v>
      </c>
      <c r="CV61" s="75">
        <f>(NOT(CV$14=exit))*IF($E61=1,Rentroll!$P49*'A&amp;R'!$AF$12*Rentroll!$H49,Rentroll!$P49*'A&amp;R'!$AF$11*Rentroll!$H49)*(MONTH($D61)=MONTH(CV$14))*(YEAR($D61)=YEAR(CV$14))*CV$11/unit</f>
        <v>0</v>
      </c>
      <c r="CW61" s="75">
        <f>(NOT(CW$14=exit))*IF($E61=1,Rentroll!$P49*'A&amp;R'!$AF$12*Rentroll!$H49,Rentroll!$P49*'A&amp;R'!$AF$11*Rentroll!$H49)*(MONTH($D61)=MONTH(CW$14))*(YEAR($D61)=YEAR(CW$14))*CW$11/unit</f>
        <v>0</v>
      </c>
      <c r="CX61" s="75">
        <f>(NOT(CX$14=exit))*IF($E61=1,Rentroll!$P49*'A&amp;R'!$AF$12*Rentroll!$H49,Rentroll!$P49*'A&amp;R'!$AF$11*Rentroll!$H49)*(MONTH($D61)=MONTH(CX$14))*(YEAR($D61)=YEAR(CX$14))*CX$11/unit</f>
        <v>0</v>
      </c>
      <c r="CY61" s="75">
        <f>(NOT(CY$14=exit))*IF($E61=1,Rentroll!$P49*'A&amp;R'!$AF$12*Rentroll!$H49,Rentroll!$P49*'A&amp;R'!$AF$11*Rentroll!$H49)*(MONTH($D61)=MONTH(CY$14))*(YEAR($D61)=YEAR(CY$14))*CY$11/unit</f>
        <v>0</v>
      </c>
      <c r="CZ61" s="75">
        <f>(NOT(CZ$14=exit))*IF($E61=1,Rentroll!$P49*'A&amp;R'!$AF$12*Rentroll!$H49,Rentroll!$P49*'A&amp;R'!$AF$11*Rentroll!$H49)*(MONTH($D61)=MONTH(CZ$14))*(YEAR($D61)=YEAR(CZ$14))*CZ$11/unit</f>
        <v>0</v>
      </c>
      <c r="DA61" s="75">
        <f>(NOT(DA$14=exit))*IF($E61=1,Rentroll!$P49*'A&amp;R'!$AF$12*Rentroll!$H49,Rentroll!$P49*'A&amp;R'!$AF$11*Rentroll!$H49)*(MONTH($D61)=MONTH(DA$14))*(YEAR($D61)=YEAR(DA$14))*DA$11/unit</f>
        <v>0</v>
      </c>
      <c r="DB61" s="75">
        <f>(NOT(DB$14=exit))*IF($E61=1,Rentroll!$P49*'A&amp;R'!$AF$12*Rentroll!$H49,Rentroll!$P49*'A&amp;R'!$AF$11*Rentroll!$H49)*(MONTH($D61)=MONTH(DB$14))*(YEAR($D61)=YEAR(DB$14))*DB$11/unit</f>
        <v>0</v>
      </c>
    </row>
    <row r="62" spans="3:106">
      <c r="C62" s="27">
        <f>Rentroll!$C$50</f>
        <v>4</v>
      </c>
      <c r="D62" s="80">
        <f>VLOOKUP($C62,Rentroll!$C$37:$Z$60,9,FALSE)</f>
        <v>45688</v>
      </c>
      <c r="E62" s="150">
        <f>VLOOKUP($C62,Rentroll!$C$37:$Z$60,24,FALSE)</f>
        <v>1</v>
      </c>
      <c r="F62" s="75">
        <f t="shared" si="44"/>
        <v>0</v>
      </c>
      <c r="G62" s="75"/>
      <c r="H62" s="75">
        <f>(NOT(H$14=exit))*IF($E62=1,Rentroll!$P50*'A&amp;R'!$AF$12*Rentroll!$H50,Rentroll!$P50*'A&amp;R'!$AF$11*Rentroll!$H50)*(MONTH($D62)=MONTH(H$14))*(YEAR($D62)=YEAR(H$14))*H$11/unit</f>
        <v>0</v>
      </c>
      <c r="I62" s="75">
        <f>(NOT(I$14=exit))*IF($E62=1,Rentroll!$P50*'A&amp;R'!$AF$12*Rentroll!$H50,Rentroll!$P50*'A&amp;R'!$AF$11*Rentroll!$H50)*(MONTH($D62)=MONTH(I$14))*(YEAR($D62)=YEAR(I$14))*I$11/unit</f>
        <v>0</v>
      </c>
      <c r="J62" s="75">
        <f>(NOT(J$14=exit))*IF($E62=1,Rentroll!$P50*'A&amp;R'!$AF$12*Rentroll!$H50,Rentroll!$P50*'A&amp;R'!$AF$11*Rentroll!$H50)*(MONTH($D62)=MONTH(J$14))*(YEAR($D62)=YEAR(J$14))*J$11/unit</f>
        <v>0</v>
      </c>
      <c r="K62" s="75">
        <f>(NOT(K$14=exit))*IF($E62=1,Rentroll!$P50*'A&amp;R'!$AF$12*Rentroll!$H50,Rentroll!$P50*'A&amp;R'!$AF$11*Rentroll!$H50)*(MONTH($D62)=MONTH(K$14))*(YEAR($D62)=YEAR(K$14))*K$11/unit</f>
        <v>0</v>
      </c>
      <c r="L62" s="75">
        <f>(NOT(L$14=exit))*IF($E62=1,Rentroll!$P50*'A&amp;R'!$AF$12*Rentroll!$H50,Rentroll!$P50*'A&amp;R'!$AF$11*Rentroll!$H50)*(MONTH($D62)=MONTH(L$14))*(YEAR($D62)=YEAR(L$14))*L$11/unit</f>
        <v>0</v>
      </c>
      <c r="M62" s="75">
        <f>(NOT(M$14=exit))*IF($E62=1,Rentroll!$P50*'A&amp;R'!$AF$12*Rentroll!$H50,Rentroll!$P50*'A&amp;R'!$AF$11*Rentroll!$H50)*(MONTH($D62)=MONTH(M$14))*(YEAR($D62)=YEAR(M$14))*M$11/unit</f>
        <v>0</v>
      </c>
      <c r="N62" s="75">
        <f>(NOT(N$14=exit))*IF($E62=1,Rentroll!$P50*'A&amp;R'!$AF$12*Rentroll!$H50,Rentroll!$P50*'A&amp;R'!$AF$11*Rentroll!$H50)*(MONTH($D62)=MONTH(N$14))*(YEAR($D62)=YEAR(N$14))*N$11/unit</f>
        <v>0</v>
      </c>
      <c r="O62" s="75">
        <f>(NOT(O$14=exit))*IF($E62=1,Rentroll!$P50*'A&amp;R'!$AF$12*Rentroll!$H50,Rentroll!$P50*'A&amp;R'!$AF$11*Rentroll!$H50)*(MONTH($D62)=MONTH(O$14))*(YEAR($D62)=YEAR(O$14))*O$11/unit</f>
        <v>0</v>
      </c>
      <c r="P62" s="75">
        <f>(NOT(P$14=exit))*IF($E62=1,Rentroll!$P50*'A&amp;R'!$AF$12*Rentroll!$H50,Rentroll!$P50*'A&amp;R'!$AF$11*Rentroll!$H50)*(MONTH($D62)=MONTH(P$14))*(YEAR($D62)=YEAR(P$14))*P$11/unit</f>
        <v>0</v>
      </c>
      <c r="Q62" s="75">
        <f>(NOT(Q$14=exit))*IF($E62=1,Rentroll!$P50*'A&amp;R'!$AF$12*Rentroll!$H50,Rentroll!$P50*'A&amp;R'!$AF$11*Rentroll!$H50)*(MONTH($D62)=MONTH(Q$14))*(YEAR($D62)=YEAR(Q$14))*Q$11/unit</f>
        <v>0</v>
      </c>
      <c r="R62" s="75">
        <f>(NOT(R$14=exit))*IF($E62=1,Rentroll!$P50*'A&amp;R'!$AF$12*Rentroll!$H50,Rentroll!$P50*'A&amp;R'!$AF$11*Rentroll!$H50)*(MONTH($D62)=MONTH(R$14))*(YEAR($D62)=YEAR(R$14))*R$11/unit</f>
        <v>0</v>
      </c>
      <c r="S62" s="75">
        <f>(NOT(S$14=exit))*IF($E62=1,Rentroll!$P50*'A&amp;R'!$AF$12*Rentroll!$H50,Rentroll!$P50*'A&amp;R'!$AF$11*Rentroll!$H50)*(MONTH($D62)=MONTH(S$14))*(YEAR($D62)=YEAR(S$14))*S$11/unit</f>
        <v>0</v>
      </c>
      <c r="T62" s="75">
        <f>(NOT(T$14=exit))*IF($E62=1,Rentroll!$P50*'A&amp;R'!$AF$12*Rentroll!$H50,Rentroll!$P50*'A&amp;R'!$AF$11*Rentroll!$H50)*(MONTH($D62)=MONTH(T$14))*(YEAR($D62)=YEAR(T$14))*T$11/unit</f>
        <v>0</v>
      </c>
      <c r="U62" s="75">
        <f>(NOT(U$14=exit))*IF($E62=1,Rentroll!$P50*'A&amp;R'!$AF$12*Rentroll!$H50,Rentroll!$P50*'A&amp;R'!$AF$11*Rentroll!$H50)*(MONTH($D62)=MONTH(U$14))*(YEAR($D62)=YEAR(U$14))*U$11/unit</f>
        <v>0</v>
      </c>
      <c r="V62" s="75">
        <f>(NOT(V$14=exit))*IF($E62=1,Rentroll!$P50*'A&amp;R'!$AF$12*Rentroll!$H50,Rentroll!$P50*'A&amp;R'!$AF$11*Rentroll!$H50)*(MONTH($D62)=MONTH(V$14))*(YEAR($D62)=YEAR(V$14))*V$11/unit</f>
        <v>0</v>
      </c>
      <c r="W62" s="75">
        <f>(NOT(W$14=exit))*IF($E62=1,Rentroll!$P50*'A&amp;R'!$AF$12*Rentroll!$H50,Rentroll!$P50*'A&amp;R'!$AF$11*Rentroll!$H50)*(MONTH($D62)=MONTH(W$14))*(YEAR($D62)=YEAR(W$14))*W$11/unit</f>
        <v>0</v>
      </c>
      <c r="X62" s="75">
        <f>(NOT(X$14=exit))*IF($E62=1,Rentroll!$P50*'A&amp;R'!$AF$12*Rentroll!$H50,Rentroll!$P50*'A&amp;R'!$AF$11*Rentroll!$H50)*(MONTH($D62)=MONTH(X$14))*(YEAR($D62)=YEAR(X$14))*X$11/unit</f>
        <v>0</v>
      </c>
      <c r="Y62" s="75">
        <f>(NOT(Y$14=exit))*IF($E62=1,Rentroll!$P50*'A&amp;R'!$AF$12*Rentroll!$H50,Rentroll!$P50*'A&amp;R'!$AF$11*Rentroll!$H50)*(MONTH($D62)=MONTH(Y$14))*(YEAR($D62)=YEAR(Y$14))*Y$11/unit</f>
        <v>0</v>
      </c>
      <c r="Z62" s="75">
        <f>(NOT(Z$14=exit))*IF($E62=1,Rentroll!$P50*'A&amp;R'!$AF$12*Rentroll!$H50,Rentroll!$P50*'A&amp;R'!$AF$11*Rentroll!$H50)*(MONTH($D62)=MONTH(Z$14))*(YEAR($D62)=YEAR(Z$14))*Z$11/unit</f>
        <v>0</v>
      </c>
      <c r="AA62" s="75">
        <f>(NOT(AA$14=exit))*IF($E62=1,Rentroll!$P50*'A&amp;R'!$AF$12*Rentroll!$H50,Rentroll!$P50*'A&amp;R'!$AF$11*Rentroll!$H50)*(MONTH($D62)=MONTH(AA$14))*(YEAR($D62)=YEAR(AA$14))*AA$11/unit</f>
        <v>0</v>
      </c>
      <c r="AB62" s="75">
        <f>(NOT(AB$14=exit))*IF($E62=1,Rentroll!$P50*'A&amp;R'!$AF$12*Rentroll!$H50,Rentroll!$P50*'A&amp;R'!$AF$11*Rentroll!$H50)*(MONTH($D62)=MONTH(AB$14))*(YEAR($D62)=YEAR(AB$14))*AB$11/unit</f>
        <v>0</v>
      </c>
      <c r="AC62" s="75">
        <f>(NOT(AC$14=exit))*IF($E62=1,Rentroll!$P50*'A&amp;R'!$AF$12*Rentroll!$H50,Rentroll!$P50*'A&amp;R'!$AF$11*Rentroll!$H50)*(MONTH($D62)=MONTH(AC$14))*(YEAR($D62)=YEAR(AC$14))*AC$11/unit</f>
        <v>0</v>
      </c>
      <c r="AD62" s="75">
        <f>(NOT(AD$14=exit))*IF($E62=1,Rentroll!$P50*'A&amp;R'!$AF$12*Rentroll!$H50,Rentroll!$P50*'A&amp;R'!$AF$11*Rentroll!$H50)*(MONTH($D62)=MONTH(AD$14))*(YEAR($D62)=YEAR(AD$14))*AD$11/unit</f>
        <v>0</v>
      </c>
      <c r="AE62" s="75">
        <f>(NOT(AE$14=exit))*IF($E62=1,Rentroll!$P50*'A&amp;R'!$AF$12*Rentroll!$H50,Rentroll!$P50*'A&amp;R'!$AF$11*Rentroll!$H50)*(MONTH($D62)=MONTH(AE$14))*(YEAR($D62)=YEAR(AE$14))*AE$11/unit</f>
        <v>0</v>
      </c>
      <c r="AF62" s="75">
        <f>(NOT(AF$14=exit))*IF($E62=1,Rentroll!$P50*'A&amp;R'!$AF$12*Rentroll!$H50,Rentroll!$P50*'A&amp;R'!$AF$11*Rentroll!$H50)*(MONTH($D62)=MONTH(AF$14))*(YEAR($D62)=YEAR(AF$14))*AF$11/unit</f>
        <v>0</v>
      </c>
      <c r="AG62" s="75">
        <f>(NOT(AG$14=exit))*IF($E62=1,Rentroll!$P50*'A&amp;R'!$AF$12*Rentroll!$H50,Rentroll!$P50*'A&amp;R'!$AF$11*Rentroll!$H50)*(MONTH($D62)=MONTH(AG$14))*(YEAR($D62)=YEAR(AG$14))*AG$11/unit</f>
        <v>0</v>
      </c>
      <c r="AH62" s="75">
        <f>(NOT(AH$14=exit))*IF($E62=1,Rentroll!$P50*'A&amp;R'!$AF$12*Rentroll!$H50,Rentroll!$P50*'A&amp;R'!$AF$11*Rentroll!$H50)*(MONTH($D62)=MONTH(AH$14))*(YEAR($D62)=YEAR(AH$14))*AH$11/unit</f>
        <v>0</v>
      </c>
      <c r="AI62" s="75">
        <f>(NOT(AI$14=exit))*IF($E62=1,Rentroll!$P50*'A&amp;R'!$AF$12*Rentroll!$H50,Rentroll!$P50*'A&amp;R'!$AF$11*Rentroll!$H50)*(MONTH($D62)=MONTH(AI$14))*(YEAR($D62)=YEAR(AI$14))*AI$11/unit</f>
        <v>0</v>
      </c>
      <c r="AJ62" s="75">
        <f>(NOT(AJ$14=exit))*IF($E62=1,Rentroll!$P50*'A&amp;R'!$AF$12*Rentroll!$H50,Rentroll!$P50*'A&amp;R'!$AF$11*Rentroll!$H50)*(MONTH($D62)=MONTH(AJ$14))*(YEAR($D62)=YEAR(AJ$14))*AJ$11/unit</f>
        <v>0</v>
      </c>
      <c r="AK62" s="75">
        <f>(NOT(AK$14=exit))*IF($E62=1,Rentroll!$P50*'A&amp;R'!$AF$12*Rentroll!$H50,Rentroll!$P50*'A&amp;R'!$AF$11*Rentroll!$H50)*(MONTH($D62)=MONTH(AK$14))*(YEAR($D62)=YEAR(AK$14))*AK$11/unit</f>
        <v>0</v>
      </c>
      <c r="AL62" s="75">
        <f>(NOT(AL$14=exit))*IF($E62=1,Rentroll!$P50*'A&amp;R'!$AF$12*Rentroll!$H50,Rentroll!$P50*'A&amp;R'!$AF$11*Rentroll!$H50)*(MONTH($D62)=MONTH(AL$14))*(YEAR($D62)=YEAR(AL$14))*AL$11/unit</f>
        <v>0</v>
      </c>
      <c r="AM62" s="75">
        <f>(NOT(AM$14=exit))*IF($E62=1,Rentroll!$P50*'A&amp;R'!$AF$12*Rentroll!$H50,Rentroll!$P50*'A&amp;R'!$AF$11*Rentroll!$H50)*(MONTH($D62)=MONTH(AM$14))*(YEAR($D62)=YEAR(AM$14))*AM$11/unit</f>
        <v>0</v>
      </c>
      <c r="AN62" s="75">
        <f>(NOT(AN$14=exit))*IF($E62=1,Rentroll!$P50*'A&amp;R'!$AF$12*Rentroll!$H50,Rentroll!$P50*'A&amp;R'!$AF$11*Rentroll!$H50)*(MONTH($D62)=MONTH(AN$14))*(YEAR($D62)=YEAR(AN$14))*AN$11/unit</f>
        <v>0</v>
      </c>
      <c r="AO62" s="75">
        <f>(NOT(AO$14=exit))*IF($E62=1,Rentroll!$P50*'A&amp;R'!$AF$12*Rentroll!$H50,Rentroll!$P50*'A&amp;R'!$AF$11*Rentroll!$H50)*(MONTH($D62)=MONTH(AO$14))*(YEAR($D62)=YEAR(AO$14))*AO$11/unit</f>
        <v>0</v>
      </c>
      <c r="AP62" s="75">
        <f>(NOT(AP$14=exit))*IF($E62=1,Rentroll!$P50*'A&amp;R'!$AF$12*Rentroll!$H50,Rentroll!$P50*'A&amp;R'!$AF$11*Rentroll!$H50)*(MONTH($D62)=MONTH(AP$14))*(YEAR($D62)=YEAR(AP$14))*AP$11/unit</f>
        <v>0</v>
      </c>
      <c r="AQ62" s="75">
        <f>(NOT(AQ$14=exit))*IF($E62=1,Rentroll!$P50*'A&amp;R'!$AF$12*Rentroll!$H50,Rentroll!$P50*'A&amp;R'!$AF$11*Rentroll!$H50)*(MONTH($D62)=MONTH(AQ$14))*(YEAR($D62)=YEAR(AQ$14))*AQ$11/unit</f>
        <v>0</v>
      </c>
      <c r="AR62" s="75">
        <f>(NOT(AR$14=exit))*IF($E62=1,Rentroll!$P50*'A&amp;R'!$AF$12*Rentroll!$H50,Rentroll!$P50*'A&amp;R'!$AF$11*Rentroll!$H50)*(MONTH($D62)=MONTH(AR$14))*(YEAR($D62)=YEAR(AR$14))*AR$11/unit</f>
        <v>0</v>
      </c>
      <c r="AS62" s="75">
        <f>(NOT(AS$14=exit))*IF($E62=1,Rentroll!$P50*'A&amp;R'!$AF$12*Rentroll!$H50,Rentroll!$P50*'A&amp;R'!$AF$11*Rentroll!$H50)*(MONTH($D62)=MONTH(AS$14))*(YEAR($D62)=YEAR(AS$14))*AS$11/unit</f>
        <v>0</v>
      </c>
      <c r="AT62" s="75">
        <f>(NOT(AT$14=exit))*IF($E62=1,Rentroll!$P50*'A&amp;R'!$AF$12*Rentroll!$H50,Rentroll!$P50*'A&amp;R'!$AF$11*Rentroll!$H50)*(MONTH($D62)=MONTH(AT$14))*(YEAR($D62)=YEAR(AT$14))*AT$11/unit</f>
        <v>0</v>
      </c>
      <c r="AU62" s="75">
        <f>(NOT(AU$14=exit))*IF($E62=1,Rentroll!$P50*'A&amp;R'!$AF$12*Rentroll!$H50,Rentroll!$P50*'A&amp;R'!$AF$11*Rentroll!$H50)*(MONTH($D62)=MONTH(AU$14))*(YEAR($D62)=YEAR(AU$14))*AU$11/unit</f>
        <v>0</v>
      </c>
      <c r="AV62" s="75">
        <f>(NOT(AV$14=exit))*IF($E62=1,Rentroll!$P50*'A&amp;R'!$AF$12*Rentroll!$H50,Rentroll!$P50*'A&amp;R'!$AF$11*Rentroll!$H50)*(MONTH($D62)=MONTH(AV$14))*(YEAR($D62)=YEAR(AV$14))*AV$11/unit</f>
        <v>0</v>
      </c>
      <c r="AW62" s="75">
        <f>(NOT(AW$14=exit))*IF($E62=1,Rentroll!$P50*'A&amp;R'!$AF$12*Rentroll!$H50,Rentroll!$P50*'A&amp;R'!$AF$11*Rentroll!$H50)*(MONTH($D62)=MONTH(AW$14))*(YEAR($D62)=YEAR(AW$14))*AW$11/unit</f>
        <v>0</v>
      </c>
      <c r="AX62" s="75">
        <f>(NOT(AX$14=exit))*IF($E62=1,Rentroll!$P50*'A&amp;R'!$AF$12*Rentroll!$H50,Rentroll!$P50*'A&amp;R'!$AF$11*Rentroll!$H50)*(MONTH($D62)=MONTH(AX$14))*(YEAR($D62)=YEAR(AX$14))*AX$11/unit</f>
        <v>0</v>
      </c>
      <c r="AY62" s="75">
        <f>(NOT(AY$14=exit))*IF($E62=1,Rentroll!$P50*'A&amp;R'!$AF$12*Rentroll!$H50,Rentroll!$P50*'A&amp;R'!$AF$11*Rentroll!$H50)*(MONTH($D62)=MONTH(AY$14))*(YEAR($D62)=YEAR(AY$14))*AY$11/unit</f>
        <v>0</v>
      </c>
      <c r="AZ62" s="75">
        <f>(NOT(AZ$14=exit))*IF($E62=1,Rentroll!$P50*'A&amp;R'!$AF$12*Rentroll!$H50,Rentroll!$P50*'A&amp;R'!$AF$11*Rentroll!$H50)*(MONTH($D62)=MONTH(AZ$14))*(YEAR($D62)=YEAR(AZ$14))*AZ$11/unit</f>
        <v>0</v>
      </c>
      <c r="BA62" s="75">
        <f>(NOT(BA$14=exit))*IF($E62=1,Rentroll!$P50*'A&amp;R'!$AF$12*Rentroll!$H50,Rentroll!$P50*'A&amp;R'!$AF$11*Rentroll!$H50)*(MONTH($D62)=MONTH(BA$14))*(YEAR($D62)=YEAR(BA$14))*BA$11/unit</f>
        <v>0</v>
      </c>
      <c r="BB62" s="75">
        <f>(NOT(BB$14=exit))*IF($E62=1,Rentroll!$P50*'A&amp;R'!$AF$12*Rentroll!$H50,Rentroll!$P50*'A&amp;R'!$AF$11*Rentroll!$H50)*(MONTH($D62)=MONTH(BB$14))*(YEAR($D62)=YEAR(BB$14))*BB$11/unit</f>
        <v>0</v>
      </c>
      <c r="BC62" s="75">
        <f>(NOT(BC$14=exit))*IF($E62=1,Rentroll!$P50*'A&amp;R'!$AF$12*Rentroll!$H50,Rentroll!$P50*'A&amp;R'!$AF$11*Rentroll!$H50)*(MONTH($D62)=MONTH(BC$14))*(YEAR($D62)=YEAR(BC$14))*BC$11/unit</f>
        <v>0</v>
      </c>
      <c r="BD62" s="75">
        <f>(NOT(BD$14=exit))*IF($E62=1,Rentroll!$P50*'A&amp;R'!$AF$12*Rentroll!$H50,Rentroll!$P50*'A&amp;R'!$AF$11*Rentroll!$H50)*(MONTH($D62)=MONTH(BD$14))*(YEAR($D62)=YEAR(BD$14))*BD$11/unit</f>
        <v>0</v>
      </c>
      <c r="BE62" s="75">
        <f>(NOT(BE$14=exit))*IF($E62=1,Rentroll!$P50*'A&amp;R'!$AF$12*Rentroll!$H50,Rentroll!$P50*'A&amp;R'!$AF$11*Rentroll!$H50)*(MONTH($D62)=MONTH(BE$14))*(YEAR($D62)=YEAR(BE$14))*BE$11/unit</f>
        <v>0</v>
      </c>
      <c r="BF62" s="75">
        <f>(NOT(BF$14=exit))*IF($E62=1,Rentroll!$P50*'A&amp;R'!$AF$12*Rentroll!$H50,Rentroll!$P50*'A&amp;R'!$AF$11*Rentroll!$H50)*(MONTH($D62)=MONTH(BF$14))*(YEAR($D62)=YEAR(BF$14))*BF$11/unit</f>
        <v>0</v>
      </c>
      <c r="BG62" s="75">
        <f>(NOT(BG$14=exit))*IF($E62=1,Rentroll!$P50*'A&amp;R'!$AF$12*Rentroll!$H50,Rentroll!$P50*'A&amp;R'!$AF$11*Rentroll!$H50)*(MONTH($D62)=MONTH(BG$14))*(YEAR($D62)=YEAR(BG$14))*BG$11/unit</f>
        <v>0</v>
      </c>
      <c r="BH62" s="75">
        <f>(NOT(BH$14=exit))*IF($E62=1,Rentroll!$P50*'A&amp;R'!$AF$12*Rentroll!$H50,Rentroll!$P50*'A&amp;R'!$AF$11*Rentroll!$H50)*(MONTH($D62)=MONTH(BH$14))*(YEAR($D62)=YEAR(BH$14))*BH$11/unit</f>
        <v>0</v>
      </c>
      <c r="BI62" s="75">
        <f>(NOT(BI$14=exit))*IF($E62=1,Rentroll!$P50*'A&amp;R'!$AF$12*Rentroll!$H50,Rentroll!$P50*'A&amp;R'!$AF$11*Rentroll!$H50)*(MONTH($D62)=MONTH(BI$14))*(YEAR($D62)=YEAR(BI$14))*BI$11/unit</f>
        <v>0</v>
      </c>
      <c r="BJ62" s="75">
        <f>(NOT(BJ$14=exit))*IF($E62=1,Rentroll!$P50*'A&amp;R'!$AF$12*Rentroll!$H50,Rentroll!$P50*'A&amp;R'!$AF$11*Rentroll!$H50)*(MONTH($D62)=MONTH(BJ$14))*(YEAR($D62)=YEAR(BJ$14))*BJ$11/unit</f>
        <v>0</v>
      </c>
      <c r="BK62" s="75">
        <f>(NOT(BK$14=exit))*IF($E62=1,Rentroll!$P50*'A&amp;R'!$AF$12*Rentroll!$H50,Rentroll!$P50*'A&amp;R'!$AF$11*Rentroll!$H50)*(MONTH($D62)=MONTH(BK$14))*(YEAR($D62)=YEAR(BK$14))*BK$11/unit</f>
        <v>0</v>
      </c>
      <c r="BL62" s="75">
        <f>(NOT(BL$14=exit))*IF($E62=1,Rentroll!$P50*'A&amp;R'!$AF$12*Rentroll!$H50,Rentroll!$P50*'A&amp;R'!$AF$11*Rentroll!$H50)*(MONTH($D62)=MONTH(BL$14))*(YEAR($D62)=YEAR(BL$14))*BL$11/unit</f>
        <v>0</v>
      </c>
      <c r="BM62" s="75">
        <f>(NOT(BM$14=exit))*IF($E62=1,Rentroll!$P50*'A&amp;R'!$AF$12*Rentroll!$H50,Rentroll!$P50*'A&amp;R'!$AF$11*Rentroll!$H50)*(MONTH($D62)=MONTH(BM$14))*(YEAR($D62)=YEAR(BM$14))*BM$11/unit</f>
        <v>0</v>
      </c>
      <c r="BN62" s="75">
        <f>(NOT(BN$14=exit))*IF($E62=1,Rentroll!$P50*'A&amp;R'!$AF$12*Rentroll!$H50,Rentroll!$P50*'A&amp;R'!$AF$11*Rentroll!$H50)*(MONTH($D62)=MONTH(BN$14))*(YEAR($D62)=YEAR(BN$14))*BN$11/unit</f>
        <v>0</v>
      </c>
      <c r="BO62" s="75">
        <f>(NOT(BO$14=exit))*IF($E62=1,Rentroll!$P50*'A&amp;R'!$AF$12*Rentroll!$H50,Rentroll!$P50*'A&amp;R'!$AF$11*Rentroll!$H50)*(MONTH($D62)=MONTH(BO$14))*(YEAR($D62)=YEAR(BO$14))*BO$11/unit</f>
        <v>0</v>
      </c>
      <c r="BP62" s="75">
        <f>(NOT(BP$14=exit))*IF($E62=1,Rentroll!$P50*'A&amp;R'!$AF$12*Rentroll!$H50,Rentroll!$P50*'A&amp;R'!$AF$11*Rentroll!$H50)*(MONTH($D62)=MONTH(BP$14))*(YEAR($D62)=YEAR(BP$14))*BP$11/unit</f>
        <v>0</v>
      </c>
      <c r="BQ62" s="75">
        <f>(NOT(BQ$14=exit))*IF($E62=1,Rentroll!$P50*'A&amp;R'!$AF$12*Rentroll!$H50,Rentroll!$P50*'A&amp;R'!$AF$11*Rentroll!$H50)*(MONTH($D62)=MONTH(BQ$14))*(YEAR($D62)=YEAR(BQ$14))*BQ$11/unit</f>
        <v>0</v>
      </c>
      <c r="BR62" s="75">
        <f>(NOT(BR$14=exit))*IF($E62=1,Rentroll!$P50*'A&amp;R'!$AF$12*Rentroll!$H50,Rentroll!$P50*'A&amp;R'!$AF$11*Rentroll!$H50)*(MONTH($D62)=MONTH(BR$14))*(YEAR($D62)=YEAR(BR$14))*BR$11/unit</f>
        <v>0</v>
      </c>
      <c r="BS62" s="75">
        <f>(NOT(BS$14=exit))*IF($E62=1,Rentroll!$P50*'A&amp;R'!$AF$12*Rentroll!$H50,Rentroll!$P50*'A&amp;R'!$AF$11*Rentroll!$H50)*(MONTH($D62)=MONTH(BS$14))*(YEAR($D62)=YEAR(BS$14))*BS$11/unit</f>
        <v>0</v>
      </c>
      <c r="BT62" s="75">
        <f>(NOT(BT$14=exit))*IF($E62=1,Rentroll!$P50*'A&amp;R'!$AF$12*Rentroll!$H50,Rentroll!$P50*'A&amp;R'!$AF$11*Rentroll!$H50)*(MONTH($D62)=MONTH(BT$14))*(YEAR($D62)=YEAR(BT$14))*BT$11/unit</f>
        <v>0</v>
      </c>
      <c r="BU62" s="75">
        <f>(NOT(BU$14=exit))*IF($E62=1,Rentroll!$P50*'A&amp;R'!$AF$12*Rentroll!$H50,Rentroll!$P50*'A&amp;R'!$AF$11*Rentroll!$H50)*(MONTH($D62)=MONTH(BU$14))*(YEAR($D62)=YEAR(BU$14))*BU$11/unit</f>
        <v>0</v>
      </c>
      <c r="BV62" s="75">
        <f>(NOT(BV$14=exit))*IF($E62=1,Rentroll!$P50*'A&amp;R'!$AF$12*Rentroll!$H50,Rentroll!$P50*'A&amp;R'!$AF$11*Rentroll!$H50)*(MONTH($D62)=MONTH(BV$14))*(YEAR($D62)=YEAR(BV$14))*BV$11/unit</f>
        <v>0</v>
      </c>
      <c r="BW62" s="75">
        <f>(NOT(BW$14=exit))*IF($E62=1,Rentroll!$P50*'A&amp;R'!$AF$12*Rentroll!$H50,Rentroll!$P50*'A&amp;R'!$AF$11*Rentroll!$H50)*(MONTH($D62)=MONTH(BW$14))*(YEAR($D62)=YEAR(BW$14))*BW$11/unit</f>
        <v>0</v>
      </c>
      <c r="BX62" s="75">
        <f>(NOT(BX$14=exit))*IF($E62=1,Rentroll!$P50*'A&amp;R'!$AF$12*Rentroll!$H50,Rentroll!$P50*'A&amp;R'!$AF$11*Rentroll!$H50)*(MONTH($D62)=MONTH(BX$14))*(YEAR($D62)=YEAR(BX$14))*BX$11/unit</f>
        <v>0</v>
      </c>
      <c r="BY62" s="75">
        <f>(NOT(BY$14=exit))*IF($E62=1,Rentroll!$P50*'A&amp;R'!$AF$12*Rentroll!$H50,Rentroll!$P50*'A&amp;R'!$AF$11*Rentroll!$H50)*(MONTH($D62)=MONTH(BY$14))*(YEAR($D62)=YEAR(BY$14))*BY$11/unit</f>
        <v>0</v>
      </c>
      <c r="BZ62" s="75">
        <f>(NOT(BZ$14=exit))*IF($E62=1,Rentroll!$P50*'A&amp;R'!$AF$12*Rentroll!$H50,Rentroll!$P50*'A&amp;R'!$AF$11*Rentroll!$H50)*(MONTH($D62)=MONTH(BZ$14))*(YEAR($D62)=YEAR(BZ$14))*BZ$11/unit</f>
        <v>0</v>
      </c>
      <c r="CA62" s="75">
        <f>(NOT(CA$14=exit))*IF($E62=1,Rentroll!$P50*'A&amp;R'!$AF$12*Rentroll!$H50,Rentroll!$P50*'A&amp;R'!$AF$11*Rentroll!$H50)*(MONTH($D62)=MONTH(CA$14))*(YEAR($D62)=YEAR(CA$14))*CA$11/unit</f>
        <v>0</v>
      </c>
      <c r="CB62" s="75">
        <f>(NOT(CB$14=exit))*IF($E62=1,Rentroll!$P50*'A&amp;R'!$AF$12*Rentroll!$H50,Rentroll!$P50*'A&amp;R'!$AF$11*Rentroll!$H50)*(MONTH($D62)=MONTH(CB$14))*(YEAR($D62)=YEAR(CB$14))*CB$11/unit</f>
        <v>0</v>
      </c>
      <c r="CC62" s="75">
        <f>(NOT(CC$14=exit))*IF($E62=1,Rentroll!$P50*'A&amp;R'!$AF$12*Rentroll!$H50,Rentroll!$P50*'A&amp;R'!$AF$11*Rentroll!$H50)*(MONTH($D62)=MONTH(CC$14))*(YEAR($D62)=YEAR(CC$14))*CC$11/unit</f>
        <v>0</v>
      </c>
      <c r="CD62" s="75">
        <f>(NOT(CD$14=exit))*IF($E62=1,Rentroll!$P50*'A&amp;R'!$AF$12*Rentroll!$H50,Rentroll!$P50*'A&amp;R'!$AF$11*Rentroll!$H50)*(MONTH($D62)=MONTH(CD$14))*(YEAR($D62)=YEAR(CD$14))*CD$11/unit</f>
        <v>0</v>
      </c>
      <c r="CE62" s="75">
        <f>(NOT(CE$14=exit))*IF($E62=1,Rentroll!$P50*'A&amp;R'!$AF$12*Rentroll!$H50,Rentroll!$P50*'A&amp;R'!$AF$11*Rentroll!$H50)*(MONTH($D62)=MONTH(CE$14))*(YEAR($D62)=YEAR(CE$14))*CE$11/unit</f>
        <v>0</v>
      </c>
      <c r="CF62" s="75">
        <f>(NOT(CF$14=exit))*IF($E62=1,Rentroll!$P50*'A&amp;R'!$AF$12*Rentroll!$H50,Rentroll!$P50*'A&amp;R'!$AF$11*Rentroll!$H50)*(MONTH($D62)=MONTH(CF$14))*(YEAR($D62)=YEAR(CF$14))*CF$11/unit</f>
        <v>0</v>
      </c>
      <c r="CG62" s="75">
        <f>(NOT(CG$14=exit))*IF($E62=1,Rentroll!$P50*'A&amp;R'!$AF$12*Rentroll!$H50,Rentroll!$P50*'A&amp;R'!$AF$11*Rentroll!$H50)*(MONTH($D62)=MONTH(CG$14))*(YEAR($D62)=YEAR(CG$14))*CG$11/unit</f>
        <v>0</v>
      </c>
      <c r="CH62" s="75">
        <f>(NOT(CH$14=exit))*IF($E62=1,Rentroll!$P50*'A&amp;R'!$AF$12*Rentroll!$H50,Rentroll!$P50*'A&amp;R'!$AF$11*Rentroll!$H50)*(MONTH($D62)=MONTH(CH$14))*(YEAR($D62)=YEAR(CH$14))*CH$11/unit</f>
        <v>0</v>
      </c>
      <c r="CI62" s="75">
        <f>(NOT(CI$14=exit))*IF($E62=1,Rentroll!$P50*'A&amp;R'!$AF$12*Rentroll!$H50,Rentroll!$P50*'A&amp;R'!$AF$11*Rentroll!$H50)*(MONTH($D62)=MONTH(CI$14))*(YEAR($D62)=YEAR(CI$14))*CI$11/unit</f>
        <v>0</v>
      </c>
      <c r="CJ62" s="75">
        <f>(NOT(CJ$14=exit))*IF($E62=1,Rentroll!$P50*'A&amp;R'!$AF$12*Rentroll!$H50,Rentroll!$P50*'A&amp;R'!$AF$11*Rentroll!$H50)*(MONTH($D62)=MONTH(CJ$14))*(YEAR($D62)=YEAR(CJ$14))*CJ$11/unit</f>
        <v>0</v>
      </c>
      <c r="CK62" s="75">
        <f>(NOT(CK$14=exit))*IF($E62=1,Rentroll!$P50*'A&amp;R'!$AF$12*Rentroll!$H50,Rentroll!$P50*'A&amp;R'!$AF$11*Rentroll!$H50)*(MONTH($D62)=MONTH(CK$14))*(YEAR($D62)=YEAR(CK$14))*CK$11/unit</f>
        <v>0</v>
      </c>
      <c r="CL62" s="75">
        <f>(NOT(CL$14=exit))*IF($E62=1,Rentroll!$P50*'A&amp;R'!$AF$12*Rentroll!$H50,Rentroll!$P50*'A&amp;R'!$AF$11*Rentroll!$H50)*(MONTH($D62)=MONTH(CL$14))*(YEAR($D62)=YEAR(CL$14))*CL$11/unit</f>
        <v>0</v>
      </c>
      <c r="CM62" s="75">
        <f>(NOT(CM$14=exit))*IF($E62=1,Rentroll!$P50*'A&amp;R'!$AF$12*Rentroll!$H50,Rentroll!$P50*'A&amp;R'!$AF$11*Rentroll!$H50)*(MONTH($D62)=MONTH(CM$14))*(YEAR($D62)=YEAR(CM$14))*CM$11/unit</f>
        <v>0</v>
      </c>
      <c r="CN62" s="75">
        <f>(NOT(CN$14=exit))*IF($E62=1,Rentroll!$P50*'A&amp;R'!$AF$12*Rentroll!$H50,Rentroll!$P50*'A&amp;R'!$AF$11*Rentroll!$H50)*(MONTH($D62)=MONTH(CN$14))*(YEAR($D62)=YEAR(CN$14))*CN$11/unit</f>
        <v>0</v>
      </c>
      <c r="CO62" s="75">
        <f>(NOT(CO$14=exit))*IF($E62=1,Rentroll!$P50*'A&amp;R'!$AF$12*Rentroll!$H50,Rentroll!$P50*'A&amp;R'!$AF$11*Rentroll!$H50)*(MONTH($D62)=MONTH(CO$14))*(YEAR($D62)=YEAR(CO$14))*CO$11/unit</f>
        <v>0</v>
      </c>
      <c r="CP62" s="75">
        <f>(NOT(CP$14=exit))*IF($E62=1,Rentroll!$P50*'A&amp;R'!$AF$12*Rentroll!$H50,Rentroll!$P50*'A&amp;R'!$AF$11*Rentroll!$H50)*(MONTH($D62)=MONTH(CP$14))*(YEAR($D62)=YEAR(CP$14))*CP$11/unit</f>
        <v>0</v>
      </c>
      <c r="CQ62" s="75">
        <f>(NOT(CQ$14=exit))*IF($E62=1,Rentroll!$P50*'A&amp;R'!$AF$12*Rentroll!$H50,Rentroll!$P50*'A&amp;R'!$AF$11*Rentroll!$H50)*(MONTH($D62)=MONTH(CQ$14))*(YEAR($D62)=YEAR(CQ$14))*CQ$11/unit</f>
        <v>0</v>
      </c>
      <c r="CR62" s="75">
        <f>(NOT(CR$14=exit))*IF($E62=1,Rentroll!$P50*'A&amp;R'!$AF$12*Rentroll!$H50,Rentroll!$P50*'A&amp;R'!$AF$11*Rentroll!$H50)*(MONTH($D62)=MONTH(CR$14))*(YEAR($D62)=YEAR(CR$14))*CR$11/unit</f>
        <v>0</v>
      </c>
      <c r="CS62" s="75">
        <f>(NOT(CS$14=exit))*IF($E62=1,Rentroll!$P50*'A&amp;R'!$AF$12*Rentroll!$H50,Rentroll!$P50*'A&amp;R'!$AF$11*Rentroll!$H50)*(MONTH($D62)=MONTH(CS$14))*(YEAR($D62)=YEAR(CS$14))*CS$11/unit</f>
        <v>0</v>
      </c>
      <c r="CT62" s="75">
        <f>(NOT(CT$14=exit))*IF($E62=1,Rentroll!$P50*'A&amp;R'!$AF$12*Rentroll!$H50,Rentroll!$P50*'A&amp;R'!$AF$11*Rentroll!$H50)*(MONTH($D62)=MONTH(CT$14))*(YEAR($D62)=YEAR(CT$14))*CT$11/unit</f>
        <v>0</v>
      </c>
      <c r="CU62" s="75">
        <f>(NOT(CU$14=exit))*IF($E62=1,Rentroll!$P50*'A&amp;R'!$AF$12*Rentroll!$H50,Rentroll!$P50*'A&amp;R'!$AF$11*Rentroll!$H50)*(MONTH($D62)=MONTH(CU$14))*(YEAR($D62)=YEAR(CU$14))*CU$11/unit</f>
        <v>0</v>
      </c>
      <c r="CV62" s="75">
        <f>(NOT(CV$14=exit))*IF($E62=1,Rentroll!$P50*'A&amp;R'!$AF$12*Rentroll!$H50,Rentroll!$P50*'A&amp;R'!$AF$11*Rentroll!$H50)*(MONTH($D62)=MONTH(CV$14))*(YEAR($D62)=YEAR(CV$14))*CV$11/unit</f>
        <v>0</v>
      </c>
      <c r="CW62" s="75">
        <f>(NOT(CW$14=exit))*IF($E62=1,Rentroll!$P50*'A&amp;R'!$AF$12*Rentroll!$H50,Rentroll!$P50*'A&amp;R'!$AF$11*Rentroll!$H50)*(MONTH($D62)=MONTH(CW$14))*(YEAR($D62)=YEAR(CW$14))*CW$11/unit</f>
        <v>0</v>
      </c>
      <c r="CX62" s="75">
        <f>(NOT(CX$14=exit))*IF($E62=1,Rentroll!$P50*'A&amp;R'!$AF$12*Rentroll!$H50,Rentroll!$P50*'A&amp;R'!$AF$11*Rentroll!$H50)*(MONTH($D62)=MONTH(CX$14))*(YEAR($D62)=YEAR(CX$14))*CX$11/unit</f>
        <v>0</v>
      </c>
      <c r="CY62" s="75">
        <f>(NOT(CY$14=exit))*IF($E62=1,Rentroll!$P50*'A&amp;R'!$AF$12*Rentroll!$H50,Rentroll!$P50*'A&amp;R'!$AF$11*Rentroll!$H50)*(MONTH($D62)=MONTH(CY$14))*(YEAR($D62)=YEAR(CY$14))*CY$11/unit</f>
        <v>0</v>
      </c>
      <c r="CZ62" s="75">
        <f>(NOT(CZ$14=exit))*IF($E62=1,Rentroll!$P50*'A&amp;R'!$AF$12*Rentroll!$H50,Rentroll!$P50*'A&amp;R'!$AF$11*Rentroll!$H50)*(MONTH($D62)=MONTH(CZ$14))*(YEAR($D62)=YEAR(CZ$14))*CZ$11/unit</f>
        <v>0</v>
      </c>
      <c r="DA62" s="75">
        <f>(NOT(DA$14=exit))*IF($E62=1,Rentroll!$P50*'A&amp;R'!$AF$12*Rentroll!$H50,Rentroll!$P50*'A&amp;R'!$AF$11*Rentroll!$H50)*(MONTH($D62)=MONTH(DA$14))*(YEAR($D62)=YEAR(DA$14))*DA$11/unit</f>
        <v>0</v>
      </c>
      <c r="DB62" s="75">
        <f>(NOT(DB$14=exit))*IF($E62=1,Rentroll!$P50*'A&amp;R'!$AF$12*Rentroll!$H50,Rentroll!$P50*'A&amp;R'!$AF$11*Rentroll!$H50)*(MONTH($D62)=MONTH(DB$14))*(YEAR($D62)=YEAR(DB$14))*DB$11/unit</f>
        <v>0</v>
      </c>
    </row>
    <row r="63" spans="3:106">
      <c r="C63" s="27">
        <f>Rentroll!$C$51</f>
        <v>3</v>
      </c>
      <c r="D63" s="80">
        <f>VLOOKUP($C63,Rentroll!$C$37:$Z$60,9,FALSE)</f>
        <v>45688</v>
      </c>
      <c r="E63" s="150">
        <f>VLOOKUP($C63,Rentroll!$C$37:$Z$60,24,FALSE)</f>
        <v>1</v>
      </c>
      <c r="F63" s="75">
        <f t="shared" si="44"/>
        <v>0</v>
      </c>
      <c r="G63" s="75"/>
      <c r="H63" s="75">
        <f>(NOT(H$14=exit))*IF($E63=1,Rentroll!$P51*'A&amp;R'!$AF$12*Rentroll!$H51,Rentroll!$P51*'A&amp;R'!$AF$11*Rentroll!$H51)*(MONTH($D63)=MONTH(H$14))*(YEAR($D63)=YEAR(H$14))*H$11/unit</f>
        <v>0</v>
      </c>
      <c r="I63" s="75">
        <f>(NOT(I$14=exit))*IF($E63=1,Rentroll!$P51*'A&amp;R'!$AF$12*Rentroll!$H51,Rentroll!$P51*'A&amp;R'!$AF$11*Rentroll!$H51)*(MONTH($D63)=MONTH(I$14))*(YEAR($D63)=YEAR(I$14))*I$11/unit</f>
        <v>0</v>
      </c>
      <c r="J63" s="75">
        <f>(NOT(J$14=exit))*IF($E63=1,Rentroll!$P51*'A&amp;R'!$AF$12*Rentroll!$H51,Rentroll!$P51*'A&amp;R'!$AF$11*Rentroll!$H51)*(MONTH($D63)=MONTH(J$14))*(YEAR($D63)=YEAR(J$14))*J$11/unit</f>
        <v>0</v>
      </c>
      <c r="K63" s="75">
        <f>(NOT(K$14=exit))*IF($E63=1,Rentroll!$P51*'A&amp;R'!$AF$12*Rentroll!$H51,Rentroll!$P51*'A&amp;R'!$AF$11*Rentroll!$H51)*(MONTH($D63)=MONTH(K$14))*(YEAR($D63)=YEAR(K$14))*K$11/unit</f>
        <v>0</v>
      </c>
      <c r="L63" s="75">
        <f>(NOT(L$14=exit))*IF($E63=1,Rentroll!$P51*'A&amp;R'!$AF$12*Rentroll!$H51,Rentroll!$P51*'A&amp;R'!$AF$11*Rentroll!$H51)*(MONTH($D63)=MONTH(L$14))*(YEAR($D63)=YEAR(L$14))*L$11/unit</f>
        <v>0</v>
      </c>
      <c r="M63" s="75">
        <f>(NOT(M$14=exit))*IF($E63=1,Rentroll!$P51*'A&amp;R'!$AF$12*Rentroll!$H51,Rentroll!$P51*'A&amp;R'!$AF$11*Rentroll!$H51)*(MONTH($D63)=MONTH(M$14))*(YEAR($D63)=YEAR(M$14))*M$11/unit</f>
        <v>0</v>
      </c>
      <c r="N63" s="75">
        <f>(NOT(N$14=exit))*IF($E63=1,Rentroll!$P51*'A&amp;R'!$AF$12*Rentroll!$H51,Rentroll!$P51*'A&amp;R'!$AF$11*Rentroll!$H51)*(MONTH($D63)=MONTH(N$14))*(YEAR($D63)=YEAR(N$14))*N$11/unit</f>
        <v>0</v>
      </c>
      <c r="O63" s="75">
        <f>(NOT(O$14=exit))*IF($E63=1,Rentroll!$P51*'A&amp;R'!$AF$12*Rentroll!$H51,Rentroll!$P51*'A&amp;R'!$AF$11*Rentroll!$H51)*(MONTH($D63)=MONTH(O$14))*(YEAR($D63)=YEAR(O$14))*O$11/unit</f>
        <v>0</v>
      </c>
      <c r="P63" s="75">
        <f>(NOT(P$14=exit))*IF($E63=1,Rentroll!$P51*'A&amp;R'!$AF$12*Rentroll!$H51,Rentroll!$P51*'A&amp;R'!$AF$11*Rentroll!$H51)*(MONTH($D63)=MONTH(P$14))*(YEAR($D63)=YEAR(P$14))*P$11/unit</f>
        <v>0</v>
      </c>
      <c r="Q63" s="75">
        <f>(NOT(Q$14=exit))*IF($E63=1,Rentroll!$P51*'A&amp;R'!$AF$12*Rentroll!$H51,Rentroll!$P51*'A&amp;R'!$AF$11*Rentroll!$H51)*(MONTH($D63)=MONTH(Q$14))*(YEAR($D63)=YEAR(Q$14))*Q$11/unit</f>
        <v>0</v>
      </c>
      <c r="R63" s="75">
        <f>(NOT(R$14=exit))*IF($E63=1,Rentroll!$P51*'A&amp;R'!$AF$12*Rentroll!$H51,Rentroll!$P51*'A&amp;R'!$AF$11*Rentroll!$H51)*(MONTH($D63)=MONTH(R$14))*(YEAR($D63)=YEAR(R$14))*R$11/unit</f>
        <v>0</v>
      </c>
      <c r="S63" s="75">
        <f>(NOT(S$14=exit))*IF($E63=1,Rentroll!$P51*'A&amp;R'!$AF$12*Rentroll!$H51,Rentroll!$P51*'A&amp;R'!$AF$11*Rentroll!$H51)*(MONTH($D63)=MONTH(S$14))*(YEAR($D63)=YEAR(S$14))*S$11/unit</f>
        <v>0</v>
      </c>
      <c r="T63" s="75">
        <f>(NOT(T$14=exit))*IF($E63=1,Rentroll!$P51*'A&amp;R'!$AF$12*Rentroll!$H51,Rentroll!$P51*'A&amp;R'!$AF$11*Rentroll!$H51)*(MONTH($D63)=MONTH(T$14))*(YEAR($D63)=YEAR(T$14))*T$11/unit</f>
        <v>0</v>
      </c>
      <c r="U63" s="75">
        <f>(NOT(U$14=exit))*IF($E63=1,Rentroll!$P51*'A&amp;R'!$AF$12*Rentroll!$H51,Rentroll!$P51*'A&amp;R'!$AF$11*Rentroll!$H51)*(MONTH($D63)=MONTH(U$14))*(YEAR($D63)=YEAR(U$14))*U$11/unit</f>
        <v>0</v>
      </c>
      <c r="V63" s="75">
        <f>(NOT(V$14=exit))*IF($E63=1,Rentroll!$P51*'A&amp;R'!$AF$12*Rentroll!$H51,Rentroll!$P51*'A&amp;R'!$AF$11*Rentroll!$H51)*(MONTH($D63)=MONTH(V$14))*(YEAR($D63)=YEAR(V$14))*V$11/unit</f>
        <v>0</v>
      </c>
      <c r="W63" s="75">
        <f>(NOT(W$14=exit))*IF($E63=1,Rentroll!$P51*'A&amp;R'!$AF$12*Rentroll!$H51,Rentroll!$P51*'A&amp;R'!$AF$11*Rentroll!$H51)*(MONTH($D63)=MONTH(W$14))*(YEAR($D63)=YEAR(W$14))*W$11/unit</f>
        <v>0</v>
      </c>
      <c r="X63" s="75">
        <f>(NOT(X$14=exit))*IF($E63=1,Rentroll!$P51*'A&amp;R'!$AF$12*Rentroll!$H51,Rentroll!$P51*'A&amp;R'!$AF$11*Rentroll!$H51)*(MONTH($D63)=MONTH(X$14))*(YEAR($D63)=YEAR(X$14))*X$11/unit</f>
        <v>0</v>
      </c>
      <c r="Y63" s="75">
        <f>(NOT(Y$14=exit))*IF($E63=1,Rentroll!$P51*'A&amp;R'!$AF$12*Rentroll!$H51,Rentroll!$P51*'A&amp;R'!$AF$11*Rentroll!$H51)*(MONTH($D63)=MONTH(Y$14))*(YEAR($D63)=YEAR(Y$14))*Y$11/unit</f>
        <v>0</v>
      </c>
      <c r="Z63" s="75">
        <f>(NOT(Z$14=exit))*IF($E63=1,Rentroll!$P51*'A&amp;R'!$AF$12*Rentroll!$H51,Rentroll!$P51*'A&amp;R'!$AF$11*Rentroll!$H51)*(MONTH($D63)=MONTH(Z$14))*(YEAR($D63)=YEAR(Z$14))*Z$11/unit</f>
        <v>0</v>
      </c>
      <c r="AA63" s="75">
        <f>(NOT(AA$14=exit))*IF($E63=1,Rentroll!$P51*'A&amp;R'!$AF$12*Rentroll!$H51,Rentroll!$P51*'A&amp;R'!$AF$11*Rentroll!$H51)*(MONTH($D63)=MONTH(AA$14))*(YEAR($D63)=YEAR(AA$14))*AA$11/unit</f>
        <v>0</v>
      </c>
      <c r="AB63" s="75">
        <f>(NOT(AB$14=exit))*IF($E63=1,Rentroll!$P51*'A&amp;R'!$AF$12*Rentroll!$H51,Rentroll!$P51*'A&amp;R'!$AF$11*Rentroll!$H51)*(MONTH($D63)=MONTH(AB$14))*(YEAR($D63)=YEAR(AB$14))*AB$11/unit</f>
        <v>0</v>
      </c>
      <c r="AC63" s="75">
        <f>(NOT(AC$14=exit))*IF($E63=1,Rentroll!$P51*'A&amp;R'!$AF$12*Rentroll!$H51,Rentroll!$P51*'A&amp;R'!$AF$11*Rentroll!$H51)*(MONTH($D63)=MONTH(AC$14))*(YEAR($D63)=YEAR(AC$14))*AC$11/unit</f>
        <v>0</v>
      </c>
      <c r="AD63" s="75">
        <f>(NOT(AD$14=exit))*IF($E63=1,Rentroll!$P51*'A&amp;R'!$AF$12*Rentroll!$H51,Rentroll!$P51*'A&amp;R'!$AF$11*Rentroll!$H51)*(MONTH($D63)=MONTH(AD$14))*(YEAR($D63)=YEAR(AD$14))*AD$11/unit</f>
        <v>0</v>
      </c>
      <c r="AE63" s="75">
        <f>(NOT(AE$14=exit))*IF($E63=1,Rentroll!$P51*'A&amp;R'!$AF$12*Rentroll!$H51,Rentroll!$P51*'A&amp;R'!$AF$11*Rentroll!$H51)*(MONTH($D63)=MONTH(AE$14))*(YEAR($D63)=YEAR(AE$14))*AE$11/unit</f>
        <v>0</v>
      </c>
      <c r="AF63" s="75">
        <f>(NOT(AF$14=exit))*IF($E63=1,Rentroll!$P51*'A&amp;R'!$AF$12*Rentroll!$H51,Rentroll!$P51*'A&amp;R'!$AF$11*Rentroll!$H51)*(MONTH($D63)=MONTH(AF$14))*(YEAR($D63)=YEAR(AF$14))*AF$11/unit</f>
        <v>0</v>
      </c>
      <c r="AG63" s="75">
        <f>(NOT(AG$14=exit))*IF($E63=1,Rentroll!$P51*'A&amp;R'!$AF$12*Rentroll!$H51,Rentroll!$P51*'A&amp;R'!$AF$11*Rentroll!$H51)*(MONTH($D63)=MONTH(AG$14))*(YEAR($D63)=YEAR(AG$14))*AG$11/unit</f>
        <v>0</v>
      </c>
      <c r="AH63" s="75">
        <f>(NOT(AH$14=exit))*IF($E63=1,Rentroll!$P51*'A&amp;R'!$AF$12*Rentroll!$H51,Rentroll!$P51*'A&amp;R'!$AF$11*Rentroll!$H51)*(MONTH($D63)=MONTH(AH$14))*(YEAR($D63)=YEAR(AH$14))*AH$11/unit</f>
        <v>0</v>
      </c>
      <c r="AI63" s="75">
        <f>(NOT(AI$14=exit))*IF($E63=1,Rentroll!$P51*'A&amp;R'!$AF$12*Rentroll!$H51,Rentroll!$P51*'A&amp;R'!$AF$11*Rentroll!$H51)*(MONTH($D63)=MONTH(AI$14))*(YEAR($D63)=YEAR(AI$14))*AI$11/unit</f>
        <v>0</v>
      </c>
      <c r="AJ63" s="75">
        <f>(NOT(AJ$14=exit))*IF($E63=1,Rentroll!$P51*'A&amp;R'!$AF$12*Rentroll!$H51,Rentroll!$P51*'A&amp;R'!$AF$11*Rentroll!$H51)*(MONTH($D63)=MONTH(AJ$14))*(YEAR($D63)=YEAR(AJ$14))*AJ$11/unit</f>
        <v>0</v>
      </c>
      <c r="AK63" s="75">
        <f>(NOT(AK$14=exit))*IF($E63=1,Rentroll!$P51*'A&amp;R'!$AF$12*Rentroll!$H51,Rentroll!$P51*'A&amp;R'!$AF$11*Rentroll!$H51)*(MONTH($D63)=MONTH(AK$14))*(YEAR($D63)=YEAR(AK$14))*AK$11/unit</f>
        <v>0</v>
      </c>
      <c r="AL63" s="75">
        <f>(NOT(AL$14=exit))*IF($E63=1,Rentroll!$P51*'A&amp;R'!$AF$12*Rentroll!$H51,Rentroll!$P51*'A&amp;R'!$AF$11*Rentroll!$H51)*(MONTH($D63)=MONTH(AL$14))*(YEAR($D63)=YEAR(AL$14))*AL$11/unit</f>
        <v>0</v>
      </c>
      <c r="AM63" s="75">
        <f>(NOT(AM$14=exit))*IF($E63=1,Rentroll!$P51*'A&amp;R'!$AF$12*Rentroll!$H51,Rentroll!$P51*'A&amp;R'!$AF$11*Rentroll!$H51)*(MONTH($D63)=MONTH(AM$14))*(YEAR($D63)=YEAR(AM$14))*AM$11/unit</f>
        <v>0</v>
      </c>
      <c r="AN63" s="75">
        <f>(NOT(AN$14=exit))*IF($E63=1,Rentroll!$P51*'A&amp;R'!$AF$12*Rentroll!$H51,Rentroll!$P51*'A&amp;R'!$AF$11*Rentroll!$H51)*(MONTH($D63)=MONTH(AN$14))*(YEAR($D63)=YEAR(AN$14))*AN$11/unit</f>
        <v>0</v>
      </c>
      <c r="AO63" s="75">
        <f>(NOT(AO$14=exit))*IF($E63=1,Rentroll!$P51*'A&amp;R'!$AF$12*Rentroll!$H51,Rentroll!$P51*'A&amp;R'!$AF$11*Rentroll!$H51)*(MONTH($D63)=MONTH(AO$14))*(YEAR($D63)=YEAR(AO$14))*AO$11/unit</f>
        <v>0</v>
      </c>
      <c r="AP63" s="75">
        <f>(NOT(AP$14=exit))*IF($E63=1,Rentroll!$P51*'A&amp;R'!$AF$12*Rentroll!$H51,Rentroll!$P51*'A&amp;R'!$AF$11*Rentroll!$H51)*(MONTH($D63)=MONTH(AP$14))*(YEAR($D63)=YEAR(AP$14))*AP$11/unit</f>
        <v>0</v>
      </c>
      <c r="AQ63" s="75">
        <f>(NOT(AQ$14=exit))*IF($E63=1,Rentroll!$P51*'A&amp;R'!$AF$12*Rentroll!$H51,Rentroll!$P51*'A&amp;R'!$AF$11*Rentroll!$H51)*(MONTH($D63)=MONTH(AQ$14))*(YEAR($D63)=YEAR(AQ$14))*AQ$11/unit</f>
        <v>0</v>
      </c>
      <c r="AR63" s="75">
        <f>(NOT(AR$14=exit))*IF($E63=1,Rentroll!$P51*'A&amp;R'!$AF$12*Rentroll!$H51,Rentroll!$P51*'A&amp;R'!$AF$11*Rentroll!$H51)*(MONTH($D63)=MONTH(AR$14))*(YEAR($D63)=YEAR(AR$14))*AR$11/unit</f>
        <v>0</v>
      </c>
      <c r="AS63" s="75">
        <f>(NOT(AS$14=exit))*IF($E63=1,Rentroll!$P51*'A&amp;R'!$AF$12*Rentroll!$H51,Rentroll!$P51*'A&amp;R'!$AF$11*Rentroll!$H51)*(MONTH($D63)=MONTH(AS$14))*(YEAR($D63)=YEAR(AS$14))*AS$11/unit</f>
        <v>0</v>
      </c>
      <c r="AT63" s="75">
        <f>(NOT(AT$14=exit))*IF($E63=1,Rentroll!$P51*'A&amp;R'!$AF$12*Rentroll!$H51,Rentroll!$P51*'A&amp;R'!$AF$11*Rentroll!$H51)*(MONTH($D63)=MONTH(AT$14))*(YEAR($D63)=YEAR(AT$14))*AT$11/unit</f>
        <v>0</v>
      </c>
      <c r="AU63" s="75">
        <f>(NOT(AU$14=exit))*IF($E63=1,Rentroll!$P51*'A&amp;R'!$AF$12*Rentroll!$H51,Rentroll!$P51*'A&amp;R'!$AF$11*Rentroll!$H51)*(MONTH($D63)=MONTH(AU$14))*(YEAR($D63)=YEAR(AU$14))*AU$11/unit</f>
        <v>0</v>
      </c>
      <c r="AV63" s="75">
        <f>(NOT(AV$14=exit))*IF($E63=1,Rentroll!$P51*'A&amp;R'!$AF$12*Rentroll!$H51,Rentroll!$P51*'A&amp;R'!$AF$11*Rentroll!$H51)*(MONTH($D63)=MONTH(AV$14))*(YEAR($D63)=YEAR(AV$14))*AV$11/unit</f>
        <v>0</v>
      </c>
      <c r="AW63" s="75">
        <f>(NOT(AW$14=exit))*IF($E63=1,Rentroll!$P51*'A&amp;R'!$AF$12*Rentroll!$H51,Rentroll!$P51*'A&amp;R'!$AF$11*Rentroll!$H51)*(MONTH($D63)=MONTH(AW$14))*(YEAR($D63)=YEAR(AW$14))*AW$11/unit</f>
        <v>0</v>
      </c>
      <c r="AX63" s="75">
        <f>(NOT(AX$14=exit))*IF($E63=1,Rentroll!$P51*'A&amp;R'!$AF$12*Rentroll!$H51,Rentroll!$P51*'A&amp;R'!$AF$11*Rentroll!$H51)*(MONTH($D63)=MONTH(AX$14))*(YEAR($D63)=YEAR(AX$14))*AX$11/unit</f>
        <v>0</v>
      </c>
      <c r="AY63" s="75">
        <f>(NOT(AY$14=exit))*IF($E63=1,Rentroll!$P51*'A&amp;R'!$AF$12*Rentroll!$H51,Rentroll!$P51*'A&amp;R'!$AF$11*Rentroll!$H51)*(MONTH($D63)=MONTH(AY$14))*(YEAR($D63)=YEAR(AY$14))*AY$11/unit</f>
        <v>0</v>
      </c>
      <c r="AZ63" s="75">
        <f>(NOT(AZ$14=exit))*IF($E63=1,Rentroll!$P51*'A&amp;R'!$AF$12*Rentroll!$H51,Rentroll!$P51*'A&amp;R'!$AF$11*Rentroll!$H51)*(MONTH($D63)=MONTH(AZ$14))*(YEAR($D63)=YEAR(AZ$14))*AZ$11/unit</f>
        <v>0</v>
      </c>
      <c r="BA63" s="75">
        <f>(NOT(BA$14=exit))*IF($E63=1,Rentroll!$P51*'A&amp;R'!$AF$12*Rentroll!$H51,Rentroll!$P51*'A&amp;R'!$AF$11*Rentroll!$H51)*(MONTH($D63)=MONTH(BA$14))*(YEAR($D63)=YEAR(BA$14))*BA$11/unit</f>
        <v>0</v>
      </c>
      <c r="BB63" s="75">
        <f>(NOT(BB$14=exit))*IF($E63=1,Rentroll!$P51*'A&amp;R'!$AF$12*Rentroll!$H51,Rentroll!$P51*'A&amp;R'!$AF$11*Rentroll!$H51)*(MONTH($D63)=MONTH(BB$14))*(YEAR($D63)=YEAR(BB$14))*BB$11/unit</f>
        <v>0</v>
      </c>
      <c r="BC63" s="75">
        <f>(NOT(BC$14=exit))*IF($E63=1,Rentroll!$P51*'A&amp;R'!$AF$12*Rentroll!$H51,Rentroll!$P51*'A&amp;R'!$AF$11*Rentroll!$H51)*(MONTH($D63)=MONTH(BC$14))*(YEAR($D63)=YEAR(BC$14))*BC$11/unit</f>
        <v>0</v>
      </c>
      <c r="BD63" s="75">
        <f>(NOT(BD$14=exit))*IF($E63=1,Rentroll!$P51*'A&amp;R'!$AF$12*Rentroll!$H51,Rentroll!$P51*'A&amp;R'!$AF$11*Rentroll!$H51)*(MONTH($D63)=MONTH(BD$14))*(YEAR($D63)=YEAR(BD$14))*BD$11/unit</f>
        <v>0</v>
      </c>
      <c r="BE63" s="75">
        <f>(NOT(BE$14=exit))*IF($E63=1,Rentroll!$P51*'A&amp;R'!$AF$12*Rentroll!$H51,Rentroll!$P51*'A&amp;R'!$AF$11*Rentroll!$H51)*(MONTH($D63)=MONTH(BE$14))*(YEAR($D63)=YEAR(BE$14))*BE$11/unit</f>
        <v>0</v>
      </c>
      <c r="BF63" s="75">
        <f>(NOT(BF$14=exit))*IF($E63=1,Rentroll!$P51*'A&amp;R'!$AF$12*Rentroll!$H51,Rentroll!$P51*'A&amp;R'!$AF$11*Rentroll!$H51)*(MONTH($D63)=MONTH(BF$14))*(YEAR($D63)=YEAR(BF$14))*BF$11/unit</f>
        <v>0</v>
      </c>
      <c r="BG63" s="75">
        <f>(NOT(BG$14=exit))*IF($E63=1,Rentroll!$P51*'A&amp;R'!$AF$12*Rentroll!$H51,Rentroll!$P51*'A&amp;R'!$AF$11*Rentroll!$H51)*(MONTH($D63)=MONTH(BG$14))*(YEAR($D63)=YEAR(BG$14))*BG$11/unit</f>
        <v>0</v>
      </c>
      <c r="BH63" s="75">
        <f>(NOT(BH$14=exit))*IF($E63=1,Rentroll!$P51*'A&amp;R'!$AF$12*Rentroll!$H51,Rentroll!$P51*'A&amp;R'!$AF$11*Rentroll!$H51)*(MONTH($D63)=MONTH(BH$14))*(YEAR($D63)=YEAR(BH$14))*BH$11/unit</f>
        <v>0</v>
      </c>
      <c r="BI63" s="75">
        <f>(NOT(BI$14=exit))*IF($E63=1,Rentroll!$P51*'A&amp;R'!$AF$12*Rentroll!$H51,Rentroll!$P51*'A&amp;R'!$AF$11*Rentroll!$H51)*(MONTH($D63)=MONTH(BI$14))*(YEAR($D63)=YEAR(BI$14))*BI$11/unit</f>
        <v>0</v>
      </c>
      <c r="BJ63" s="75">
        <f>(NOT(BJ$14=exit))*IF($E63=1,Rentroll!$P51*'A&amp;R'!$AF$12*Rentroll!$H51,Rentroll!$P51*'A&amp;R'!$AF$11*Rentroll!$H51)*(MONTH($D63)=MONTH(BJ$14))*(YEAR($D63)=YEAR(BJ$14))*BJ$11/unit</f>
        <v>0</v>
      </c>
      <c r="BK63" s="75">
        <f>(NOT(BK$14=exit))*IF($E63=1,Rentroll!$P51*'A&amp;R'!$AF$12*Rentroll!$H51,Rentroll!$P51*'A&amp;R'!$AF$11*Rentroll!$H51)*(MONTH($D63)=MONTH(BK$14))*(YEAR($D63)=YEAR(BK$14))*BK$11/unit</f>
        <v>0</v>
      </c>
      <c r="BL63" s="75">
        <f>(NOT(BL$14=exit))*IF($E63=1,Rentroll!$P51*'A&amp;R'!$AF$12*Rentroll!$H51,Rentroll!$P51*'A&amp;R'!$AF$11*Rentroll!$H51)*(MONTH($D63)=MONTH(BL$14))*(YEAR($D63)=YEAR(BL$14))*BL$11/unit</f>
        <v>0</v>
      </c>
      <c r="BM63" s="75">
        <f>(NOT(BM$14=exit))*IF($E63=1,Rentroll!$P51*'A&amp;R'!$AF$12*Rentroll!$H51,Rentroll!$P51*'A&amp;R'!$AF$11*Rentroll!$H51)*(MONTH($D63)=MONTH(BM$14))*(YEAR($D63)=YEAR(BM$14))*BM$11/unit</f>
        <v>0</v>
      </c>
      <c r="BN63" s="75">
        <f>(NOT(BN$14=exit))*IF($E63=1,Rentroll!$P51*'A&amp;R'!$AF$12*Rentroll!$H51,Rentroll!$P51*'A&amp;R'!$AF$11*Rentroll!$H51)*(MONTH($D63)=MONTH(BN$14))*(YEAR($D63)=YEAR(BN$14))*BN$11/unit</f>
        <v>0</v>
      </c>
      <c r="BO63" s="75">
        <f>(NOT(BO$14=exit))*IF($E63=1,Rentroll!$P51*'A&amp;R'!$AF$12*Rentroll!$H51,Rentroll!$P51*'A&amp;R'!$AF$11*Rentroll!$H51)*(MONTH($D63)=MONTH(BO$14))*(YEAR($D63)=YEAR(BO$14))*BO$11/unit</f>
        <v>0</v>
      </c>
      <c r="BP63" s="75">
        <f>(NOT(BP$14=exit))*IF($E63=1,Rentroll!$P51*'A&amp;R'!$AF$12*Rentroll!$H51,Rentroll!$P51*'A&amp;R'!$AF$11*Rentroll!$H51)*(MONTH($D63)=MONTH(BP$14))*(YEAR($D63)=YEAR(BP$14))*BP$11/unit</f>
        <v>0</v>
      </c>
      <c r="BQ63" s="75">
        <f>(NOT(BQ$14=exit))*IF($E63=1,Rentroll!$P51*'A&amp;R'!$AF$12*Rentroll!$H51,Rentroll!$P51*'A&amp;R'!$AF$11*Rentroll!$H51)*(MONTH($D63)=MONTH(BQ$14))*(YEAR($D63)=YEAR(BQ$14))*BQ$11/unit</f>
        <v>0</v>
      </c>
      <c r="BR63" s="75">
        <f>(NOT(BR$14=exit))*IF($E63=1,Rentroll!$P51*'A&amp;R'!$AF$12*Rentroll!$H51,Rentroll!$P51*'A&amp;R'!$AF$11*Rentroll!$H51)*(MONTH($D63)=MONTH(BR$14))*(YEAR($D63)=YEAR(BR$14))*BR$11/unit</f>
        <v>0</v>
      </c>
      <c r="BS63" s="75">
        <f>(NOT(BS$14=exit))*IF($E63=1,Rentroll!$P51*'A&amp;R'!$AF$12*Rentroll!$H51,Rentroll!$P51*'A&amp;R'!$AF$11*Rentroll!$H51)*(MONTH($D63)=MONTH(BS$14))*(YEAR($D63)=YEAR(BS$14))*BS$11/unit</f>
        <v>0</v>
      </c>
      <c r="BT63" s="75">
        <f>(NOT(BT$14=exit))*IF($E63=1,Rentroll!$P51*'A&amp;R'!$AF$12*Rentroll!$H51,Rentroll!$P51*'A&amp;R'!$AF$11*Rentroll!$H51)*(MONTH($D63)=MONTH(BT$14))*(YEAR($D63)=YEAR(BT$14))*BT$11/unit</f>
        <v>0</v>
      </c>
      <c r="BU63" s="75">
        <f>(NOT(BU$14=exit))*IF($E63=1,Rentroll!$P51*'A&amp;R'!$AF$12*Rentroll!$H51,Rentroll!$P51*'A&amp;R'!$AF$11*Rentroll!$H51)*(MONTH($D63)=MONTH(BU$14))*(YEAR($D63)=YEAR(BU$14))*BU$11/unit</f>
        <v>0</v>
      </c>
      <c r="BV63" s="75">
        <f>(NOT(BV$14=exit))*IF($E63=1,Rentroll!$P51*'A&amp;R'!$AF$12*Rentroll!$H51,Rentroll!$P51*'A&amp;R'!$AF$11*Rentroll!$H51)*(MONTH($D63)=MONTH(BV$14))*(YEAR($D63)=YEAR(BV$14))*BV$11/unit</f>
        <v>0</v>
      </c>
      <c r="BW63" s="75">
        <f>(NOT(BW$14=exit))*IF($E63=1,Rentroll!$P51*'A&amp;R'!$AF$12*Rentroll!$H51,Rentroll!$P51*'A&amp;R'!$AF$11*Rentroll!$H51)*(MONTH($D63)=MONTH(BW$14))*(YEAR($D63)=YEAR(BW$14))*BW$11/unit</f>
        <v>0</v>
      </c>
      <c r="BX63" s="75">
        <f>(NOT(BX$14=exit))*IF($E63=1,Rentroll!$P51*'A&amp;R'!$AF$12*Rentroll!$H51,Rentroll!$P51*'A&amp;R'!$AF$11*Rentroll!$H51)*(MONTH($D63)=MONTH(BX$14))*(YEAR($D63)=YEAR(BX$14))*BX$11/unit</f>
        <v>0</v>
      </c>
      <c r="BY63" s="75">
        <f>(NOT(BY$14=exit))*IF($E63=1,Rentroll!$P51*'A&amp;R'!$AF$12*Rentroll!$H51,Rentroll!$P51*'A&amp;R'!$AF$11*Rentroll!$H51)*(MONTH($D63)=MONTH(BY$14))*(YEAR($D63)=YEAR(BY$14))*BY$11/unit</f>
        <v>0</v>
      </c>
      <c r="BZ63" s="75">
        <f>(NOT(BZ$14=exit))*IF($E63=1,Rentroll!$P51*'A&amp;R'!$AF$12*Rentroll!$H51,Rentroll!$P51*'A&amp;R'!$AF$11*Rentroll!$H51)*(MONTH($D63)=MONTH(BZ$14))*(YEAR($D63)=YEAR(BZ$14))*BZ$11/unit</f>
        <v>0</v>
      </c>
      <c r="CA63" s="75">
        <f>(NOT(CA$14=exit))*IF($E63=1,Rentroll!$P51*'A&amp;R'!$AF$12*Rentroll!$H51,Rentroll!$P51*'A&amp;R'!$AF$11*Rentroll!$H51)*(MONTH($D63)=MONTH(CA$14))*(YEAR($D63)=YEAR(CA$14))*CA$11/unit</f>
        <v>0</v>
      </c>
      <c r="CB63" s="75">
        <f>(NOT(CB$14=exit))*IF($E63=1,Rentroll!$P51*'A&amp;R'!$AF$12*Rentroll!$H51,Rentroll!$P51*'A&amp;R'!$AF$11*Rentroll!$H51)*(MONTH($D63)=MONTH(CB$14))*(YEAR($D63)=YEAR(CB$14))*CB$11/unit</f>
        <v>0</v>
      </c>
      <c r="CC63" s="75">
        <f>(NOT(CC$14=exit))*IF($E63=1,Rentroll!$P51*'A&amp;R'!$AF$12*Rentroll!$H51,Rentroll!$P51*'A&amp;R'!$AF$11*Rentroll!$H51)*(MONTH($D63)=MONTH(CC$14))*(YEAR($D63)=YEAR(CC$14))*CC$11/unit</f>
        <v>0</v>
      </c>
      <c r="CD63" s="75">
        <f>(NOT(CD$14=exit))*IF($E63=1,Rentroll!$P51*'A&amp;R'!$AF$12*Rentroll!$H51,Rentroll!$P51*'A&amp;R'!$AF$11*Rentroll!$H51)*(MONTH($D63)=MONTH(CD$14))*(YEAR($D63)=YEAR(CD$14))*CD$11/unit</f>
        <v>0</v>
      </c>
      <c r="CE63" s="75">
        <f>(NOT(CE$14=exit))*IF($E63=1,Rentroll!$P51*'A&amp;R'!$AF$12*Rentroll!$H51,Rentroll!$P51*'A&amp;R'!$AF$11*Rentroll!$H51)*(MONTH($D63)=MONTH(CE$14))*(YEAR($D63)=YEAR(CE$14))*CE$11/unit</f>
        <v>0</v>
      </c>
      <c r="CF63" s="75">
        <f>(NOT(CF$14=exit))*IF($E63=1,Rentroll!$P51*'A&amp;R'!$AF$12*Rentroll!$H51,Rentroll!$P51*'A&amp;R'!$AF$11*Rentroll!$H51)*(MONTH($D63)=MONTH(CF$14))*(YEAR($D63)=YEAR(CF$14))*CF$11/unit</f>
        <v>0</v>
      </c>
      <c r="CG63" s="75">
        <f>(NOT(CG$14=exit))*IF($E63=1,Rentroll!$P51*'A&amp;R'!$AF$12*Rentroll!$H51,Rentroll!$P51*'A&amp;R'!$AF$11*Rentroll!$H51)*(MONTH($D63)=MONTH(CG$14))*(YEAR($D63)=YEAR(CG$14))*CG$11/unit</f>
        <v>0</v>
      </c>
      <c r="CH63" s="75">
        <f>(NOT(CH$14=exit))*IF($E63=1,Rentroll!$P51*'A&amp;R'!$AF$12*Rentroll!$H51,Rentroll!$P51*'A&amp;R'!$AF$11*Rentroll!$H51)*(MONTH($D63)=MONTH(CH$14))*(YEAR($D63)=YEAR(CH$14))*CH$11/unit</f>
        <v>0</v>
      </c>
      <c r="CI63" s="75">
        <f>(NOT(CI$14=exit))*IF($E63=1,Rentroll!$P51*'A&amp;R'!$AF$12*Rentroll!$H51,Rentroll!$P51*'A&amp;R'!$AF$11*Rentroll!$H51)*(MONTH($D63)=MONTH(CI$14))*(YEAR($D63)=YEAR(CI$14))*CI$11/unit</f>
        <v>0</v>
      </c>
      <c r="CJ63" s="75">
        <f>(NOT(CJ$14=exit))*IF($E63=1,Rentroll!$P51*'A&amp;R'!$AF$12*Rentroll!$H51,Rentroll!$P51*'A&amp;R'!$AF$11*Rentroll!$H51)*(MONTH($D63)=MONTH(CJ$14))*(YEAR($D63)=YEAR(CJ$14))*CJ$11/unit</f>
        <v>0</v>
      </c>
      <c r="CK63" s="75">
        <f>(NOT(CK$14=exit))*IF($E63=1,Rentroll!$P51*'A&amp;R'!$AF$12*Rentroll!$H51,Rentroll!$P51*'A&amp;R'!$AF$11*Rentroll!$H51)*(MONTH($D63)=MONTH(CK$14))*(YEAR($D63)=YEAR(CK$14))*CK$11/unit</f>
        <v>0</v>
      </c>
      <c r="CL63" s="75">
        <f>(NOT(CL$14=exit))*IF($E63=1,Rentroll!$P51*'A&amp;R'!$AF$12*Rentroll!$H51,Rentroll!$P51*'A&amp;R'!$AF$11*Rentroll!$H51)*(MONTH($D63)=MONTH(CL$14))*(YEAR($D63)=YEAR(CL$14))*CL$11/unit</f>
        <v>0</v>
      </c>
      <c r="CM63" s="75">
        <f>(NOT(CM$14=exit))*IF($E63=1,Rentroll!$P51*'A&amp;R'!$AF$12*Rentroll!$H51,Rentroll!$P51*'A&amp;R'!$AF$11*Rentroll!$H51)*(MONTH($D63)=MONTH(CM$14))*(YEAR($D63)=YEAR(CM$14))*CM$11/unit</f>
        <v>0</v>
      </c>
      <c r="CN63" s="75">
        <f>(NOT(CN$14=exit))*IF($E63=1,Rentroll!$P51*'A&amp;R'!$AF$12*Rentroll!$H51,Rentroll!$P51*'A&amp;R'!$AF$11*Rentroll!$H51)*(MONTH($D63)=MONTH(CN$14))*(YEAR($D63)=YEAR(CN$14))*CN$11/unit</f>
        <v>0</v>
      </c>
      <c r="CO63" s="75">
        <f>(NOT(CO$14=exit))*IF($E63=1,Rentroll!$P51*'A&amp;R'!$AF$12*Rentroll!$H51,Rentroll!$P51*'A&amp;R'!$AF$11*Rentroll!$H51)*(MONTH($D63)=MONTH(CO$14))*(YEAR($D63)=YEAR(CO$14))*CO$11/unit</f>
        <v>0</v>
      </c>
      <c r="CP63" s="75">
        <f>(NOT(CP$14=exit))*IF($E63=1,Rentroll!$P51*'A&amp;R'!$AF$12*Rentroll!$H51,Rentroll!$P51*'A&amp;R'!$AF$11*Rentroll!$H51)*(MONTH($D63)=MONTH(CP$14))*(YEAR($D63)=YEAR(CP$14))*CP$11/unit</f>
        <v>0</v>
      </c>
      <c r="CQ63" s="75">
        <f>(NOT(CQ$14=exit))*IF($E63=1,Rentroll!$P51*'A&amp;R'!$AF$12*Rentroll!$H51,Rentroll!$P51*'A&amp;R'!$AF$11*Rentroll!$H51)*(MONTH($D63)=MONTH(CQ$14))*(YEAR($D63)=YEAR(CQ$14))*CQ$11/unit</f>
        <v>0</v>
      </c>
      <c r="CR63" s="75">
        <f>(NOT(CR$14=exit))*IF($E63=1,Rentroll!$P51*'A&amp;R'!$AF$12*Rentroll!$H51,Rentroll!$P51*'A&amp;R'!$AF$11*Rentroll!$H51)*(MONTH($D63)=MONTH(CR$14))*(YEAR($D63)=YEAR(CR$14))*CR$11/unit</f>
        <v>0</v>
      </c>
      <c r="CS63" s="75">
        <f>(NOT(CS$14=exit))*IF($E63=1,Rentroll!$P51*'A&amp;R'!$AF$12*Rentroll!$H51,Rentroll!$P51*'A&amp;R'!$AF$11*Rentroll!$H51)*(MONTH($D63)=MONTH(CS$14))*(YEAR($D63)=YEAR(CS$14))*CS$11/unit</f>
        <v>0</v>
      </c>
      <c r="CT63" s="75">
        <f>(NOT(CT$14=exit))*IF($E63=1,Rentroll!$P51*'A&amp;R'!$AF$12*Rentroll!$H51,Rentroll!$P51*'A&amp;R'!$AF$11*Rentroll!$H51)*(MONTH($D63)=MONTH(CT$14))*(YEAR($D63)=YEAR(CT$14))*CT$11/unit</f>
        <v>0</v>
      </c>
      <c r="CU63" s="75">
        <f>(NOT(CU$14=exit))*IF($E63=1,Rentroll!$P51*'A&amp;R'!$AF$12*Rentroll!$H51,Rentroll!$P51*'A&amp;R'!$AF$11*Rentroll!$H51)*(MONTH($D63)=MONTH(CU$14))*(YEAR($D63)=YEAR(CU$14))*CU$11/unit</f>
        <v>0</v>
      </c>
      <c r="CV63" s="75">
        <f>(NOT(CV$14=exit))*IF($E63=1,Rentroll!$P51*'A&amp;R'!$AF$12*Rentroll!$H51,Rentroll!$P51*'A&amp;R'!$AF$11*Rentroll!$H51)*(MONTH($D63)=MONTH(CV$14))*(YEAR($D63)=YEAR(CV$14))*CV$11/unit</f>
        <v>0</v>
      </c>
      <c r="CW63" s="75">
        <f>(NOT(CW$14=exit))*IF($E63=1,Rentroll!$P51*'A&amp;R'!$AF$12*Rentroll!$H51,Rentroll!$P51*'A&amp;R'!$AF$11*Rentroll!$H51)*(MONTH($D63)=MONTH(CW$14))*(YEAR($D63)=YEAR(CW$14))*CW$11/unit</f>
        <v>0</v>
      </c>
      <c r="CX63" s="75">
        <f>(NOT(CX$14=exit))*IF($E63=1,Rentroll!$P51*'A&amp;R'!$AF$12*Rentroll!$H51,Rentroll!$P51*'A&amp;R'!$AF$11*Rentroll!$H51)*(MONTH($D63)=MONTH(CX$14))*(YEAR($D63)=YEAR(CX$14))*CX$11/unit</f>
        <v>0</v>
      </c>
      <c r="CY63" s="75">
        <f>(NOT(CY$14=exit))*IF($E63=1,Rentroll!$P51*'A&amp;R'!$AF$12*Rentroll!$H51,Rentroll!$P51*'A&amp;R'!$AF$11*Rentroll!$H51)*(MONTH($D63)=MONTH(CY$14))*(YEAR($D63)=YEAR(CY$14))*CY$11/unit</f>
        <v>0</v>
      </c>
      <c r="CZ63" s="75">
        <f>(NOT(CZ$14=exit))*IF($E63=1,Rentroll!$P51*'A&amp;R'!$AF$12*Rentroll!$H51,Rentroll!$P51*'A&amp;R'!$AF$11*Rentroll!$H51)*(MONTH($D63)=MONTH(CZ$14))*(YEAR($D63)=YEAR(CZ$14))*CZ$11/unit</f>
        <v>0</v>
      </c>
      <c r="DA63" s="75">
        <f>(NOT(DA$14=exit))*IF($E63=1,Rentroll!$P51*'A&amp;R'!$AF$12*Rentroll!$H51,Rentroll!$P51*'A&amp;R'!$AF$11*Rentroll!$H51)*(MONTH($D63)=MONTH(DA$14))*(YEAR($D63)=YEAR(DA$14))*DA$11/unit</f>
        <v>0</v>
      </c>
      <c r="DB63" s="75">
        <f>(NOT(DB$14=exit))*IF($E63=1,Rentroll!$P51*'A&amp;R'!$AF$12*Rentroll!$H51,Rentroll!$P51*'A&amp;R'!$AF$11*Rentroll!$H51)*(MONTH($D63)=MONTH(DB$14))*(YEAR($D63)=YEAR(DB$14))*DB$11/unit</f>
        <v>0</v>
      </c>
    </row>
    <row r="64" spans="3:106">
      <c r="C64" s="27" t="str">
        <f>Rentroll!$C$52</f>
        <v>201호</v>
      </c>
      <c r="D64" s="80">
        <f>VLOOKUP($C64,Rentroll!$C$37:$Z$60,9,FALSE)</f>
        <v>45747</v>
      </c>
      <c r="E64" s="150">
        <f>VLOOKUP($C64,Rentroll!$C$37:$Z$60,24,FALSE)</f>
        <v>1</v>
      </c>
      <c r="F64" s="75">
        <f t="shared" si="44"/>
        <v>28.596048731250001</v>
      </c>
      <c r="G64" s="75"/>
      <c r="H64" s="75">
        <f>(NOT(H$14=exit))*IF($E64=1,Rentroll!$P52*'A&amp;R'!$AF$12*Rentroll!$H52,Rentroll!$P52*'A&amp;R'!$AF$11*Rentroll!$H52)*(MONTH($D64)=MONTH(H$14))*(YEAR($D64)=YEAR(H$14))*H$11/unit</f>
        <v>0</v>
      </c>
      <c r="I64" s="75">
        <f>(NOT(I$14=exit))*IF($E64=1,Rentroll!$P52*'A&amp;R'!$AF$12*Rentroll!$H52,Rentroll!$P52*'A&amp;R'!$AF$11*Rentroll!$H52)*(MONTH($D64)=MONTH(I$14))*(YEAR($D64)=YEAR(I$14))*I$11/unit</f>
        <v>0</v>
      </c>
      <c r="J64" s="75">
        <f>(NOT(J$14=exit))*IF($E64=1,Rentroll!$P52*'A&amp;R'!$AF$12*Rentroll!$H52,Rentroll!$P52*'A&amp;R'!$AF$11*Rentroll!$H52)*(MONTH($D64)=MONTH(J$14))*(YEAR($D64)=YEAR(J$14))*J$11/unit</f>
        <v>28.596048731250001</v>
      </c>
      <c r="K64" s="75">
        <f>(NOT(K$14=exit))*IF($E64=1,Rentroll!$P52*'A&amp;R'!$AF$12*Rentroll!$H52,Rentroll!$P52*'A&amp;R'!$AF$11*Rentroll!$H52)*(MONTH($D64)=MONTH(K$14))*(YEAR($D64)=YEAR(K$14))*K$11/unit</f>
        <v>0</v>
      </c>
      <c r="L64" s="75">
        <f>(NOT(L$14=exit))*IF($E64=1,Rentroll!$P52*'A&amp;R'!$AF$12*Rentroll!$H52,Rentroll!$P52*'A&amp;R'!$AF$11*Rentroll!$H52)*(MONTH($D64)=MONTH(L$14))*(YEAR($D64)=YEAR(L$14))*L$11/unit</f>
        <v>0</v>
      </c>
      <c r="M64" s="75">
        <f>(NOT(M$14=exit))*IF($E64=1,Rentroll!$P52*'A&amp;R'!$AF$12*Rentroll!$H52,Rentroll!$P52*'A&amp;R'!$AF$11*Rentroll!$H52)*(MONTH($D64)=MONTH(M$14))*(YEAR($D64)=YEAR(M$14))*M$11/unit</f>
        <v>0</v>
      </c>
      <c r="N64" s="75">
        <f>(NOT(N$14=exit))*IF($E64=1,Rentroll!$P52*'A&amp;R'!$AF$12*Rentroll!$H52,Rentroll!$P52*'A&amp;R'!$AF$11*Rentroll!$H52)*(MONTH($D64)=MONTH(N$14))*(YEAR($D64)=YEAR(N$14))*N$11/unit</f>
        <v>0</v>
      </c>
      <c r="O64" s="75">
        <f>(NOT(O$14=exit))*IF($E64=1,Rentroll!$P52*'A&amp;R'!$AF$12*Rentroll!$H52,Rentroll!$P52*'A&amp;R'!$AF$11*Rentroll!$H52)*(MONTH($D64)=MONTH(O$14))*(YEAR($D64)=YEAR(O$14))*O$11/unit</f>
        <v>0</v>
      </c>
      <c r="P64" s="75">
        <f>(NOT(P$14=exit))*IF($E64=1,Rentroll!$P52*'A&amp;R'!$AF$12*Rentroll!$H52,Rentroll!$P52*'A&amp;R'!$AF$11*Rentroll!$H52)*(MONTH($D64)=MONTH(P$14))*(YEAR($D64)=YEAR(P$14))*P$11/unit</f>
        <v>0</v>
      </c>
      <c r="Q64" s="75">
        <f>(NOT(Q$14=exit))*IF($E64=1,Rentroll!$P52*'A&amp;R'!$AF$12*Rentroll!$H52,Rentroll!$P52*'A&amp;R'!$AF$11*Rentroll!$H52)*(MONTH($D64)=MONTH(Q$14))*(YEAR($D64)=YEAR(Q$14))*Q$11/unit</f>
        <v>0</v>
      </c>
      <c r="R64" s="75">
        <f>(NOT(R$14=exit))*IF($E64=1,Rentroll!$P52*'A&amp;R'!$AF$12*Rentroll!$H52,Rentroll!$P52*'A&amp;R'!$AF$11*Rentroll!$H52)*(MONTH($D64)=MONTH(R$14))*(YEAR($D64)=YEAR(R$14))*R$11/unit</f>
        <v>0</v>
      </c>
      <c r="S64" s="75">
        <f>(NOT(S$14=exit))*IF($E64=1,Rentroll!$P52*'A&amp;R'!$AF$12*Rentroll!$H52,Rentroll!$P52*'A&amp;R'!$AF$11*Rentroll!$H52)*(MONTH($D64)=MONTH(S$14))*(YEAR($D64)=YEAR(S$14))*S$11/unit</f>
        <v>0</v>
      </c>
      <c r="T64" s="75">
        <f>(NOT(T$14=exit))*IF($E64=1,Rentroll!$P52*'A&amp;R'!$AF$12*Rentroll!$H52,Rentroll!$P52*'A&amp;R'!$AF$11*Rentroll!$H52)*(MONTH($D64)=MONTH(T$14))*(YEAR($D64)=YEAR(T$14))*T$11/unit</f>
        <v>0</v>
      </c>
      <c r="U64" s="75">
        <f>(NOT(U$14=exit))*IF($E64=1,Rentroll!$P52*'A&amp;R'!$AF$12*Rentroll!$H52,Rentroll!$P52*'A&amp;R'!$AF$11*Rentroll!$H52)*(MONTH($D64)=MONTH(U$14))*(YEAR($D64)=YEAR(U$14))*U$11/unit</f>
        <v>0</v>
      </c>
      <c r="V64" s="75">
        <f>(NOT(V$14=exit))*IF($E64=1,Rentroll!$P52*'A&amp;R'!$AF$12*Rentroll!$H52,Rentroll!$P52*'A&amp;R'!$AF$11*Rentroll!$H52)*(MONTH($D64)=MONTH(V$14))*(YEAR($D64)=YEAR(V$14))*V$11/unit</f>
        <v>0</v>
      </c>
      <c r="W64" s="75">
        <f>(NOT(W$14=exit))*IF($E64=1,Rentroll!$P52*'A&amp;R'!$AF$12*Rentroll!$H52,Rentroll!$P52*'A&amp;R'!$AF$11*Rentroll!$H52)*(MONTH($D64)=MONTH(W$14))*(YEAR($D64)=YEAR(W$14))*W$11/unit</f>
        <v>0</v>
      </c>
      <c r="X64" s="75">
        <f>(NOT(X$14=exit))*IF($E64=1,Rentroll!$P52*'A&amp;R'!$AF$12*Rentroll!$H52,Rentroll!$P52*'A&amp;R'!$AF$11*Rentroll!$H52)*(MONTH($D64)=MONTH(X$14))*(YEAR($D64)=YEAR(X$14))*X$11/unit</f>
        <v>0</v>
      </c>
      <c r="Y64" s="75">
        <f>(NOT(Y$14=exit))*IF($E64=1,Rentroll!$P52*'A&amp;R'!$AF$12*Rentroll!$H52,Rentroll!$P52*'A&amp;R'!$AF$11*Rentroll!$H52)*(MONTH($D64)=MONTH(Y$14))*(YEAR($D64)=YEAR(Y$14))*Y$11/unit</f>
        <v>0</v>
      </c>
      <c r="Z64" s="75">
        <f>(NOT(Z$14=exit))*IF($E64=1,Rentroll!$P52*'A&amp;R'!$AF$12*Rentroll!$H52,Rentroll!$P52*'A&amp;R'!$AF$11*Rentroll!$H52)*(MONTH($D64)=MONTH(Z$14))*(YEAR($D64)=YEAR(Z$14))*Z$11/unit</f>
        <v>0</v>
      </c>
      <c r="AA64" s="75">
        <f>(NOT(AA$14=exit))*IF($E64=1,Rentroll!$P52*'A&amp;R'!$AF$12*Rentroll!$H52,Rentroll!$P52*'A&amp;R'!$AF$11*Rentroll!$H52)*(MONTH($D64)=MONTH(AA$14))*(YEAR($D64)=YEAR(AA$14))*AA$11/unit</f>
        <v>0</v>
      </c>
      <c r="AB64" s="75">
        <f>(NOT(AB$14=exit))*IF($E64=1,Rentroll!$P52*'A&amp;R'!$AF$12*Rentroll!$H52,Rentroll!$P52*'A&amp;R'!$AF$11*Rentroll!$H52)*(MONTH($D64)=MONTH(AB$14))*(YEAR($D64)=YEAR(AB$14))*AB$11/unit</f>
        <v>0</v>
      </c>
      <c r="AC64" s="75">
        <f>(NOT(AC$14=exit))*IF($E64=1,Rentroll!$P52*'A&amp;R'!$AF$12*Rentroll!$H52,Rentroll!$P52*'A&amp;R'!$AF$11*Rentroll!$H52)*(MONTH($D64)=MONTH(AC$14))*(YEAR($D64)=YEAR(AC$14))*AC$11/unit</f>
        <v>0</v>
      </c>
      <c r="AD64" s="75">
        <f>(NOT(AD$14=exit))*IF($E64=1,Rentroll!$P52*'A&amp;R'!$AF$12*Rentroll!$H52,Rentroll!$P52*'A&amp;R'!$AF$11*Rentroll!$H52)*(MONTH($D64)=MONTH(AD$14))*(YEAR($D64)=YEAR(AD$14))*AD$11/unit</f>
        <v>0</v>
      </c>
      <c r="AE64" s="75">
        <f>(NOT(AE$14=exit))*IF($E64=1,Rentroll!$P52*'A&amp;R'!$AF$12*Rentroll!$H52,Rentroll!$P52*'A&amp;R'!$AF$11*Rentroll!$H52)*(MONTH($D64)=MONTH(AE$14))*(YEAR($D64)=YEAR(AE$14))*AE$11/unit</f>
        <v>0</v>
      </c>
      <c r="AF64" s="75">
        <f>(NOT(AF$14=exit))*IF($E64=1,Rentroll!$P52*'A&amp;R'!$AF$12*Rentroll!$H52,Rentroll!$P52*'A&amp;R'!$AF$11*Rentroll!$H52)*(MONTH($D64)=MONTH(AF$14))*(YEAR($D64)=YEAR(AF$14))*AF$11/unit</f>
        <v>0</v>
      </c>
      <c r="AG64" s="75">
        <f>(NOT(AG$14=exit))*IF($E64=1,Rentroll!$P52*'A&amp;R'!$AF$12*Rentroll!$H52,Rentroll!$P52*'A&amp;R'!$AF$11*Rentroll!$H52)*(MONTH($D64)=MONTH(AG$14))*(YEAR($D64)=YEAR(AG$14))*AG$11/unit</f>
        <v>0</v>
      </c>
      <c r="AH64" s="75">
        <f>(NOT(AH$14=exit))*IF($E64=1,Rentroll!$P52*'A&amp;R'!$AF$12*Rentroll!$H52,Rentroll!$P52*'A&amp;R'!$AF$11*Rentroll!$H52)*(MONTH($D64)=MONTH(AH$14))*(YEAR($D64)=YEAR(AH$14))*AH$11/unit</f>
        <v>0</v>
      </c>
      <c r="AI64" s="75">
        <f>(NOT(AI$14=exit))*IF($E64=1,Rentroll!$P52*'A&amp;R'!$AF$12*Rentroll!$H52,Rentroll!$P52*'A&amp;R'!$AF$11*Rentroll!$H52)*(MONTH($D64)=MONTH(AI$14))*(YEAR($D64)=YEAR(AI$14))*AI$11/unit</f>
        <v>0</v>
      </c>
      <c r="AJ64" s="75">
        <f>(NOT(AJ$14=exit))*IF($E64=1,Rentroll!$P52*'A&amp;R'!$AF$12*Rentroll!$H52,Rentroll!$P52*'A&amp;R'!$AF$11*Rentroll!$H52)*(MONTH($D64)=MONTH(AJ$14))*(YEAR($D64)=YEAR(AJ$14))*AJ$11/unit</f>
        <v>0</v>
      </c>
      <c r="AK64" s="75">
        <f>(NOT(AK$14=exit))*IF($E64=1,Rentroll!$P52*'A&amp;R'!$AF$12*Rentroll!$H52,Rentroll!$P52*'A&amp;R'!$AF$11*Rentroll!$H52)*(MONTH($D64)=MONTH(AK$14))*(YEAR($D64)=YEAR(AK$14))*AK$11/unit</f>
        <v>0</v>
      </c>
      <c r="AL64" s="75">
        <f>(NOT(AL$14=exit))*IF($E64=1,Rentroll!$P52*'A&amp;R'!$AF$12*Rentroll!$H52,Rentroll!$P52*'A&amp;R'!$AF$11*Rentroll!$H52)*(MONTH($D64)=MONTH(AL$14))*(YEAR($D64)=YEAR(AL$14))*AL$11/unit</f>
        <v>0</v>
      </c>
      <c r="AM64" s="75">
        <f>(NOT(AM$14=exit))*IF($E64=1,Rentroll!$P52*'A&amp;R'!$AF$12*Rentroll!$H52,Rentroll!$P52*'A&amp;R'!$AF$11*Rentroll!$H52)*(MONTH($D64)=MONTH(AM$14))*(YEAR($D64)=YEAR(AM$14))*AM$11/unit</f>
        <v>0</v>
      </c>
      <c r="AN64" s="75">
        <f>(NOT(AN$14=exit))*IF($E64=1,Rentroll!$P52*'A&amp;R'!$AF$12*Rentroll!$H52,Rentroll!$P52*'A&amp;R'!$AF$11*Rentroll!$H52)*(MONTH($D64)=MONTH(AN$14))*(YEAR($D64)=YEAR(AN$14))*AN$11/unit</f>
        <v>0</v>
      </c>
      <c r="AO64" s="75">
        <f>(NOT(AO$14=exit))*IF($E64=1,Rentroll!$P52*'A&amp;R'!$AF$12*Rentroll!$H52,Rentroll!$P52*'A&amp;R'!$AF$11*Rentroll!$H52)*(MONTH($D64)=MONTH(AO$14))*(YEAR($D64)=YEAR(AO$14))*AO$11/unit</f>
        <v>0</v>
      </c>
      <c r="AP64" s="75">
        <f>(NOT(AP$14=exit))*IF($E64=1,Rentroll!$P52*'A&amp;R'!$AF$12*Rentroll!$H52,Rentroll!$P52*'A&amp;R'!$AF$11*Rentroll!$H52)*(MONTH($D64)=MONTH(AP$14))*(YEAR($D64)=YEAR(AP$14))*AP$11/unit</f>
        <v>0</v>
      </c>
      <c r="AQ64" s="75">
        <f>(NOT(AQ$14=exit))*IF($E64=1,Rentroll!$P52*'A&amp;R'!$AF$12*Rentroll!$H52,Rentroll!$P52*'A&amp;R'!$AF$11*Rentroll!$H52)*(MONTH($D64)=MONTH(AQ$14))*(YEAR($D64)=YEAR(AQ$14))*AQ$11/unit</f>
        <v>0</v>
      </c>
      <c r="AR64" s="75">
        <f>(NOT(AR$14=exit))*IF($E64=1,Rentroll!$P52*'A&amp;R'!$AF$12*Rentroll!$H52,Rentroll!$P52*'A&amp;R'!$AF$11*Rentroll!$H52)*(MONTH($D64)=MONTH(AR$14))*(YEAR($D64)=YEAR(AR$14))*AR$11/unit</f>
        <v>0</v>
      </c>
      <c r="AS64" s="75">
        <f>(NOT(AS$14=exit))*IF($E64=1,Rentroll!$P52*'A&amp;R'!$AF$12*Rentroll!$H52,Rentroll!$P52*'A&amp;R'!$AF$11*Rentroll!$H52)*(MONTH($D64)=MONTH(AS$14))*(YEAR($D64)=YEAR(AS$14))*AS$11/unit</f>
        <v>0</v>
      </c>
      <c r="AT64" s="75">
        <f>(NOT(AT$14=exit))*IF($E64=1,Rentroll!$P52*'A&amp;R'!$AF$12*Rentroll!$H52,Rentroll!$P52*'A&amp;R'!$AF$11*Rentroll!$H52)*(MONTH($D64)=MONTH(AT$14))*(YEAR($D64)=YEAR(AT$14))*AT$11/unit</f>
        <v>0</v>
      </c>
      <c r="AU64" s="75">
        <f>(NOT(AU$14=exit))*IF($E64=1,Rentroll!$P52*'A&amp;R'!$AF$12*Rentroll!$H52,Rentroll!$P52*'A&amp;R'!$AF$11*Rentroll!$H52)*(MONTH($D64)=MONTH(AU$14))*(YEAR($D64)=YEAR(AU$14))*AU$11/unit</f>
        <v>0</v>
      </c>
      <c r="AV64" s="75">
        <f>(NOT(AV$14=exit))*IF($E64=1,Rentroll!$P52*'A&amp;R'!$AF$12*Rentroll!$H52,Rentroll!$P52*'A&amp;R'!$AF$11*Rentroll!$H52)*(MONTH($D64)=MONTH(AV$14))*(YEAR($D64)=YEAR(AV$14))*AV$11/unit</f>
        <v>0</v>
      </c>
      <c r="AW64" s="75">
        <f>(NOT(AW$14=exit))*IF($E64=1,Rentroll!$P52*'A&amp;R'!$AF$12*Rentroll!$H52,Rentroll!$P52*'A&amp;R'!$AF$11*Rentroll!$H52)*(MONTH($D64)=MONTH(AW$14))*(YEAR($D64)=YEAR(AW$14))*AW$11/unit</f>
        <v>0</v>
      </c>
      <c r="AX64" s="75">
        <f>(NOT(AX$14=exit))*IF($E64=1,Rentroll!$P52*'A&amp;R'!$AF$12*Rentroll!$H52,Rentroll!$P52*'A&amp;R'!$AF$11*Rentroll!$H52)*(MONTH($D64)=MONTH(AX$14))*(YEAR($D64)=YEAR(AX$14))*AX$11/unit</f>
        <v>0</v>
      </c>
      <c r="AY64" s="75">
        <f>(NOT(AY$14=exit))*IF($E64=1,Rentroll!$P52*'A&amp;R'!$AF$12*Rentroll!$H52,Rentroll!$P52*'A&amp;R'!$AF$11*Rentroll!$H52)*(MONTH($D64)=MONTH(AY$14))*(YEAR($D64)=YEAR(AY$14))*AY$11/unit</f>
        <v>0</v>
      </c>
      <c r="AZ64" s="75">
        <f>(NOT(AZ$14=exit))*IF($E64=1,Rentroll!$P52*'A&amp;R'!$AF$12*Rentroll!$H52,Rentroll!$P52*'A&amp;R'!$AF$11*Rentroll!$H52)*(MONTH($D64)=MONTH(AZ$14))*(YEAR($D64)=YEAR(AZ$14))*AZ$11/unit</f>
        <v>0</v>
      </c>
      <c r="BA64" s="75">
        <f>(NOT(BA$14=exit))*IF($E64=1,Rentroll!$P52*'A&amp;R'!$AF$12*Rentroll!$H52,Rentroll!$P52*'A&amp;R'!$AF$11*Rentroll!$H52)*(MONTH($D64)=MONTH(BA$14))*(YEAR($D64)=YEAR(BA$14))*BA$11/unit</f>
        <v>0</v>
      </c>
      <c r="BB64" s="75">
        <f>(NOT(BB$14=exit))*IF($E64=1,Rentroll!$P52*'A&amp;R'!$AF$12*Rentroll!$H52,Rentroll!$P52*'A&amp;R'!$AF$11*Rentroll!$H52)*(MONTH($D64)=MONTH(BB$14))*(YEAR($D64)=YEAR(BB$14))*BB$11/unit</f>
        <v>0</v>
      </c>
      <c r="BC64" s="75">
        <f>(NOT(BC$14=exit))*IF($E64=1,Rentroll!$P52*'A&amp;R'!$AF$12*Rentroll!$H52,Rentroll!$P52*'A&amp;R'!$AF$11*Rentroll!$H52)*(MONTH($D64)=MONTH(BC$14))*(YEAR($D64)=YEAR(BC$14))*BC$11/unit</f>
        <v>0</v>
      </c>
      <c r="BD64" s="75">
        <f>(NOT(BD$14=exit))*IF($E64=1,Rentroll!$P52*'A&amp;R'!$AF$12*Rentroll!$H52,Rentroll!$P52*'A&amp;R'!$AF$11*Rentroll!$H52)*(MONTH($D64)=MONTH(BD$14))*(YEAR($D64)=YEAR(BD$14))*BD$11/unit</f>
        <v>0</v>
      </c>
      <c r="BE64" s="75">
        <f>(NOT(BE$14=exit))*IF($E64=1,Rentroll!$P52*'A&amp;R'!$AF$12*Rentroll!$H52,Rentroll!$P52*'A&amp;R'!$AF$11*Rentroll!$H52)*(MONTH($D64)=MONTH(BE$14))*(YEAR($D64)=YEAR(BE$14))*BE$11/unit</f>
        <v>0</v>
      </c>
      <c r="BF64" s="75">
        <f>(NOT(BF$14=exit))*IF($E64=1,Rentroll!$P52*'A&amp;R'!$AF$12*Rentroll!$H52,Rentroll!$P52*'A&amp;R'!$AF$11*Rentroll!$H52)*(MONTH($D64)=MONTH(BF$14))*(YEAR($D64)=YEAR(BF$14))*BF$11/unit</f>
        <v>0</v>
      </c>
      <c r="BG64" s="75">
        <f>(NOT(BG$14=exit))*IF($E64=1,Rentroll!$P52*'A&amp;R'!$AF$12*Rentroll!$H52,Rentroll!$P52*'A&amp;R'!$AF$11*Rentroll!$H52)*(MONTH($D64)=MONTH(BG$14))*(YEAR($D64)=YEAR(BG$14))*BG$11/unit</f>
        <v>0</v>
      </c>
      <c r="BH64" s="75">
        <f>(NOT(BH$14=exit))*IF($E64=1,Rentroll!$P52*'A&amp;R'!$AF$12*Rentroll!$H52,Rentroll!$P52*'A&amp;R'!$AF$11*Rentroll!$H52)*(MONTH($D64)=MONTH(BH$14))*(YEAR($D64)=YEAR(BH$14))*BH$11/unit</f>
        <v>0</v>
      </c>
      <c r="BI64" s="75">
        <f>(NOT(BI$14=exit))*IF($E64=1,Rentroll!$P52*'A&amp;R'!$AF$12*Rentroll!$H52,Rentroll!$P52*'A&amp;R'!$AF$11*Rentroll!$H52)*(MONTH($D64)=MONTH(BI$14))*(YEAR($D64)=YEAR(BI$14))*BI$11/unit</f>
        <v>0</v>
      </c>
      <c r="BJ64" s="75">
        <f>(NOT(BJ$14=exit))*IF($E64=1,Rentroll!$P52*'A&amp;R'!$AF$12*Rentroll!$H52,Rentroll!$P52*'A&amp;R'!$AF$11*Rentroll!$H52)*(MONTH($D64)=MONTH(BJ$14))*(YEAR($D64)=YEAR(BJ$14))*BJ$11/unit</f>
        <v>0</v>
      </c>
      <c r="BK64" s="75">
        <f>(NOT(BK$14=exit))*IF($E64=1,Rentroll!$P52*'A&amp;R'!$AF$12*Rentroll!$H52,Rentroll!$P52*'A&amp;R'!$AF$11*Rentroll!$H52)*(MONTH($D64)=MONTH(BK$14))*(YEAR($D64)=YEAR(BK$14))*BK$11/unit</f>
        <v>0</v>
      </c>
      <c r="BL64" s="75">
        <f>(NOT(BL$14=exit))*IF($E64=1,Rentroll!$P52*'A&amp;R'!$AF$12*Rentroll!$H52,Rentroll!$P52*'A&amp;R'!$AF$11*Rentroll!$H52)*(MONTH($D64)=MONTH(BL$14))*(YEAR($D64)=YEAR(BL$14))*BL$11/unit</f>
        <v>0</v>
      </c>
      <c r="BM64" s="75">
        <f>(NOT(BM$14=exit))*IF($E64=1,Rentroll!$P52*'A&amp;R'!$AF$12*Rentroll!$H52,Rentroll!$P52*'A&amp;R'!$AF$11*Rentroll!$H52)*(MONTH($D64)=MONTH(BM$14))*(YEAR($D64)=YEAR(BM$14))*BM$11/unit</f>
        <v>0</v>
      </c>
      <c r="BN64" s="75">
        <f>(NOT(BN$14=exit))*IF($E64=1,Rentroll!$P52*'A&amp;R'!$AF$12*Rentroll!$H52,Rentroll!$P52*'A&amp;R'!$AF$11*Rentroll!$H52)*(MONTH($D64)=MONTH(BN$14))*(YEAR($D64)=YEAR(BN$14))*BN$11/unit</f>
        <v>0</v>
      </c>
      <c r="BO64" s="75">
        <f>(NOT(BO$14=exit))*IF($E64=1,Rentroll!$P52*'A&amp;R'!$AF$12*Rentroll!$H52,Rentroll!$P52*'A&amp;R'!$AF$11*Rentroll!$H52)*(MONTH($D64)=MONTH(BO$14))*(YEAR($D64)=YEAR(BO$14))*BO$11/unit</f>
        <v>0</v>
      </c>
      <c r="BP64" s="75">
        <f>(NOT(BP$14=exit))*IF($E64=1,Rentroll!$P52*'A&amp;R'!$AF$12*Rentroll!$H52,Rentroll!$P52*'A&amp;R'!$AF$11*Rentroll!$H52)*(MONTH($D64)=MONTH(BP$14))*(YEAR($D64)=YEAR(BP$14))*BP$11/unit</f>
        <v>0</v>
      </c>
      <c r="BQ64" s="75">
        <f>(NOT(BQ$14=exit))*IF($E64=1,Rentroll!$P52*'A&amp;R'!$AF$12*Rentroll!$H52,Rentroll!$P52*'A&amp;R'!$AF$11*Rentroll!$H52)*(MONTH($D64)=MONTH(BQ$14))*(YEAR($D64)=YEAR(BQ$14))*BQ$11/unit</f>
        <v>0</v>
      </c>
      <c r="BR64" s="75">
        <f>(NOT(BR$14=exit))*IF($E64=1,Rentroll!$P52*'A&amp;R'!$AF$12*Rentroll!$H52,Rentroll!$P52*'A&amp;R'!$AF$11*Rentroll!$H52)*(MONTH($D64)=MONTH(BR$14))*(YEAR($D64)=YEAR(BR$14))*BR$11/unit</f>
        <v>0</v>
      </c>
      <c r="BS64" s="75">
        <f>(NOT(BS$14=exit))*IF($E64=1,Rentroll!$P52*'A&amp;R'!$AF$12*Rentroll!$H52,Rentroll!$P52*'A&amp;R'!$AF$11*Rentroll!$H52)*(MONTH($D64)=MONTH(BS$14))*(YEAR($D64)=YEAR(BS$14))*BS$11/unit</f>
        <v>0</v>
      </c>
      <c r="BT64" s="75">
        <f>(NOT(BT$14=exit))*IF($E64=1,Rentroll!$P52*'A&amp;R'!$AF$12*Rentroll!$H52,Rentroll!$P52*'A&amp;R'!$AF$11*Rentroll!$H52)*(MONTH($D64)=MONTH(BT$14))*(YEAR($D64)=YEAR(BT$14))*BT$11/unit</f>
        <v>0</v>
      </c>
      <c r="BU64" s="75">
        <f>(NOT(BU$14=exit))*IF($E64=1,Rentroll!$P52*'A&amp;R'!$AF$12*Rentroll!$H52,Rentroll!$P52*'A&amp;R'!$AF$11*Rentroll!$H52)*(MONTH($D64)=MONTH(BU$14))*(YEAR($D64)=YEAR(BU$14))*BU$11/unit</f>
        <v>0</v>
      </c>
      <c r="BV64" s="75">
        <f>(NOT(BV$14=exit))*IF($E64=1,Rentroll!$P52*'A&amp;R'!$AF$12*Rentroll!$H52,Rentroll!$P52*'A&amp;R'!$AF$11*Rentroll!$H52)*(MONTH($D64)=MONTH(BV$14))*(YEAR($D64)=YEAR(BV$14))*BV$11/unit</f>
        <v>0</v>
      </c>
      <c r="BW64" s="75">
        <f>(NOT(BW$14=exit))*IF($E64=1,Rentroll!$P52*'A&amp;R'!$AF$12*Rentroll!$H52,Rentroll!$P52*'A&amp;R'!$AF$11*Rentroll!$H52)*(MONTH($D64)=MONTH(BW$14))*(YEAR($D64)=YEAR(BW$14))*BW$11/unit</f>
        <v>0</v>
      </c>
      <c r="BX64" s="75">
        <f>(NOT(BX$14=exit))*IF($E64=1,Rentroll!$P52*'A&amp;R'!$AF$12*Rentroll!$H52,Rentroll!$P52*'A&amp;R'!$AF$11*Rentroll!$H52)*(MONTH($D64)=MONTH(BX$14))*(YEAR($D64)=YEAR(BX$14))*BX$11/unit</f>
        <v>0</v>
      </c>
      <c r="BY64" s="75">
        <f>(NOT(BY$14=exit))*IF($E64=1,Rentroll!$P52*'A&amp;R'!$AF$12*Rentroll!$H52,Rentroll!$P52*'A&amp;R'!$AF$11*Rentroll!$H52)*(MONTH($D64)=MONTH(BY$14))*(YEAR($D64)=YEAR(BY$14))*BY$11/unit</f>
        <v>0</v>
      </c>
      <c r="BZ64" s="75">
        <f>(NOT(BZ$14=exit))*IF($E64=1,Rentroll!$P52*'A&amp;R'!$AF$12*Rentroll!$H52,Rentroll!$P52*'A&amp;R'!$AF$11*Rentroll!$H52)*(MONTH($D64)=MONTH(BZ$14))*(YEAR($D64)=YEAR(BZ$14))*BZ$11/unit</f>
        <v>0</v>
      </c>
      <c r="CA64" s="75">
        <f>(NOT(CA$14=exit))*IF($E64=1,Rentroll!$P52*'A&amp;R'!$AF$12*Rentroll!$H52,Rentroll!$P52*'A&amp;R'!$AF$11*Rentroll!$H52)*(MONTH($D64)=MONTH(CA$14))*(YEAR($D64)=YEAR(CA$14))*CA$11/unit</f>
        <v>0</v>
      </c>
      <c r="CB64" s="75">
        <f>(NOT(CB$14=exit))*IF($E64=1,Rentroll!$P52*'A&amp;R'!$AF$12*Rentroll!$H52,Rentroll!$P52*'A&amp;R'!$AF$11*Rentroll!$H52)*(MONTH($D64)=MONTH(CB$14))*(YEAR($D64)=YEAR(CB$14))*CB$11/unit</f>
        <v>0</v>
      </c>
      <c r="CC64" s="75">
        <f>(NOT(CC$14=exit))*IF($E64=1,Rentroll!$P52*'A&amp;R'!$AF$12*Rentroll!$H52,Rentroll!$P52*'A&amp;R'!$AF$11*Rentroll!$H52)*(MONTH($D64)=MONTH(CC$14))*(YEAR($D64)=YEAR(CC$14))*CC$11/unit</f>
        <v>0</v>
      </c>
      <c r="CD64" s="75">
        <f>(NOT(CD$14=exit))*IF($E64=1,Rentroll!$P52*'A&amp;R'!$AF$12*Rentroll!$H52,Rentroll!$P52*'A&amp;R'!$AF$11*Rentroll!$H52)*(MONTH($D64)=MONTH(CD$14))*(YEAR($D64)=YEAR(CD$14))*CD$11/unit</f>
        <v>0</v>
      </c>
      <c r="CE64" s="75">
        <f>(NOT(CE$14=exit))*IF($E64=1,Rentroll!$P52*'A&amp;R'!$AF$12*Rentroll!$H52,Rentroll!$P52*'A&amp;R'!$AF$11*Rentroll!$H52)*(MONTH($D64)=MONTH(CE$14))*(YEAR($D64)=YEAR(CE$14))*CE$11/unit</f>
        <v>0</v>
      </c>
      <c r="CF64" s="75">
        <f>(NOT(CF$14=exit))*IF($E64=1,Rentroll!$P52*'A&amp;R'!$AF$12*Rentroll!$H52,Rentroll!$P52*'A&amp;R'!$AF$11*Rentroll!$H52)*(MONTH($D64)=MONTH(CF$14))*(YEAR($D64)=YEAR(CF$14))*CF$11/unit</f>
        <v>0</v>
      </c>
      <c r="CG64" s="75">
        <f>(NOT(CG$14=exit))*IF($E64=1,Rentroll!$P52*'A&amp;R'!$AF$12*Rentroll!$H52,Rentroll!$P52*'A&amp;R'!$AF$11*Rentroll!$H52)*(MONTH($D64)=MONTH(CG$14))*(YEAR($D64)=YEAR(CG$14))*CG$11/unit</f>
        <v>0</v>
      </c>
      <c r="CH64" s="75">
        <f>(NOT(CH$14=exit))*IF($E64=1,Rentroll!$P52*'A&amp;R'!$AF$12*Rentroll!$H52,Rentroll!$P52*'A&amp;R'!$AF$11*Rentroll!$H52)*(MONTH($D64)=MONTH(CH$14))*(YEAR($D64)=YEAR(CH$14))*CH$11/unit</f>
        <v>0</v>
      </c>
      <c r="CI64" s="75">
        <f>(NOT(CI$14=exit))*IF($E64=1,Rentroll!$P52*'A&amp;R'!$AF$12*Rentroll!$H52,Rentroll!$P52*'A&amp;R'!$AF$11*Rentroll!$H52)*(MONTH($D64)=MONTH(CI$14))*(YEAR($D64)=YEAR(CI$14))*CI$11/unit</f>
        <v>0</v>
      </c>
      <c r="CJ64" s="75">
        <f>(NOT(CJ$14=exit))*IF($E64=1,Rentroll!$P52*'A&amp;R'!$AF$12*Rentroll!$H52,Rentroll!$P52*'A&amp;R'!$AF$11*Rentroll!$H52)*(MONTH($D64)=MONTH(CJ$14))*(YEAR($D64)=YEAR(CJ$14))*CJ$11/unit</f>
        <v>0</v>
      </c>
      <c r="CK64" s="75">
        <f>(NOT(CK$14=exit))*IF($E64=1,Rentroll!$P52*'A&amp;R'!$AF$12*Rentroll!$H52,Rentroll!$P52*'A&amp;R'!$AF$11*Rentroll!$H52)*(MONTH($D64)=MONTH(CK$14))*(YEAR($D64)=YEAR(CK$14))*CK$11/unit</f>
        <v>0</v>
      </c>
      <c r="CL64" s="75">
        <f>(NOT(CL$14=exit))*IF($E64=1,Rentroll!$P52*'A&amp;R'!$AF$12*Rentroll!$H52,Rentroll!$P52*'A&amp;R'!$AF$11*Rentroll!$H52)*(MONTH($D64)=MONTH(CL$14))*(YEAR($D64)=YEAR(CL$14))*CL$11/unit</f>
        <v>0</v>
      </c>
      <c r="CM64" s="75">
        <f>(NOT(CM$14=exit))*IF($E64=1,Rentroll!$P52*'A&amp;R'!$AF$12*Rentroll!$H52,Rentroll!$P52*'A&amp;R'!$AF$11*Rentroll!$H52)*(MONTH($D64)=MONTH(CM$14))*(YEAR($D64)=YEAR(CM$14))*CM$11/unit</f>
        <v>0</v>
      </c>
      <c r="CN64" s="75">
        <f>(NOT(CN$14=exit))*IF($E64=1,Rentroll!$P52*'A&amp;R'!$AF$12*Rentroll!$H52,Rentroll!$P52*'A&amp;R'!$AF$11*Rentroll!$H52)*(MONTH($D64)=MONTH(CN$14))*(YEAR($D64)=YEAR(CN$14))*CN$11/unit</f>
        <v>0</v>
      </c>
      <c r="CO64" s="75">
        <f>(NOT(CO$14=exit))*IF($E64=1,Rentroll!$P52*'A&amp;R'!$AF$12*Rentroll!$H52,Rentroll!$P52*'A&amp;R'!$AF$11*Rentroll!$H52)*(MONTH($D64)=MONTH(CO$14))*(YEAR($D64)=YEAR(CO$14))*CO$11/unit</f>
        <v>0</v>
      </c>
      <c r="CP64" s="75">
        <f>(NOT(CP$14=exit))*IF($E64=1,Rentroll!$P52*'A&amp;R'!$AF$12*Rentroll!$H52,Rentroll!$P52*'A&amp;R'!$AF$11*Rentroll!$H52)*(MONTH($D64)=MONTH(CP$14))*(YEAR($D64)=YEAR(CP$14))*CP$11/unit</f>
        <v>0</v>
      </c>
      <c r="CQ64" s="75">
        <f>(NOT(CQ$14=exit))*IF($E64=1,Rentroll!$P52*'A&amp;R'!$AF$12*Rentroll!$H52,Rentroll!$P52*'A&amp;R'!$AF$11*Rentroll!$H52)*(MONTH($D64)=MONTH(CQ$14))*(YEAR($D64)=YEAR(CQ$14))*CQ$11/unit</f>
        <v>0</v>
      </c>
      <c r="CR64" s="75">
        <f>(NOT(CR$14=exit))*IF($E64=1,Rentroll!$P52*'A&amp;R'!$AF$12*Rentroll!$H52,Rentroll!$P52*'A&amp;R'!$AF$11*Rentroll!$H52)*(MONTH($D64)=MONTH(CR$14))*(YEAR($D64)=YEAR(CR$14))*CR$11/unit</f>
        <v>0</v>
      </c>
      <c r="CS64" s="75">
        <f>(NOT(CS$14=exit))*IF($E64=1,Rentroll!$P52*'A&amp;R'!$AF$12*Rentroll!$H52,Rentroll!$P52*'A&amp;R'!$AF$11*Rentroll!$H52)*(MONTH($D64)=MONTH(CS$14))*(YEAR($D64)=YEAR(CS$14))*CS$11/unit</f>
        <v>0</v>
      </c>
      <c r="CT64" s="75">
        <f>(NOT(CT$14=exit))*IF($E64=1,Rentroll!$P52*'A&amp;R'!$AF$12*Rentroll!$H52,Rentroll!$P52*'A&amp;R'!$AF$11*Rentroll!$H52)*(MONTH($D64)=MONTH(CT$14))*(YEAR($D64)=YEAR(CT$14))*CT$11/unit</f>
        <v>0</v>
      </c>
      <c r="CU64" s="75">
        <f>(NOT(CU$14=exit))*IF($E64=1,Rentroll!$P52*'A&amp;R'!$AF$12*Rentroll!$H52,Rentroll!$P52*'A&amp;R'!$AF$11*Rentroll!$H52)*(MONTH($D64)=MONTH(CU$14))*(YEAR($D64)=YEAR(CU$14))*CU$11/unit</f>
        <v>0</v>
      </c>
      <c r="CV64" s="75">
        <f>(NOT(CV$14=exit))*IF($E64=1,Rentroll!$P52*'A&amp;R'!$AF$12*Rentroll!$H52,Rentroll!$P52*'A&amp;R'!$AF$11*Rentroll!$H52)*(MONTH($D64)=MONTH(CV$14))*(YEAR($D64)=YEAR(CV$14))*CV$11/unit</f>
        <v>0</v>
      </c>
      <c r="CW64" s="75">
        <f>(NOT(CW$14=exit))*IF($E64=1,Rentroll!$P52*'A&amp;R'!$AF$12*Rentroll!$H52,Rentroll!$P52*'A&amp;R'!$AF$11*Rentroll!$H52)*(MONTH($D64)=MONTH(CW$14))*(YEAR($D64)=YEAR(CW$14))*CW$11/unit</f>
        <v>0</v>
      </c>
      <c r="CX64" s="75">
        <f>(NOT(CX$14=exit))*IF($E64=1,Rentroll!$P52*'A&amp;R'!$AF$12*Rentroll!$H52,Rentroll!$P52*'A&amp;R'!$AF$11*Rentroll!$H52)*(MONTH($D64)=MONTH(CX$14))*(YEAR($D64)=YEAR(CX$14))*CX$11/unit</f>
        <v>0</v>
      </c>
      <c r="CY64" s="75">
        <f>(NOT(CY$14=exit))*IF($E64=1,Rentroll!$P52*'A&amp;R'!$AF$12*Rentroll!$H52,Rentroll!$P52*'A&amp;R'!$AF$11*Rentroll!$H52)*(MONTH($D64)=MONTH(CY$14))*(YEAR($D64)=YEAR(CY$14))*CY$11/unit</f>
        <v>0</v>
      </c>
      <c r="CZ64" s="75">
        <f>(NOT(CZ$14=exit))*IF($E64=1,Rentroll!$P52*'A&amp;R'!$AF$12*Rentroll!$H52,Rentroll!$P52*'A&amp;R'!$AF$11*Rentroll!$H52)*(MONTH($D64)=MONTH(CZ$14))*(YEAR($D64)=YEAR(CZ$14))*CZ$11/unit</f>
        <v>0</v>
      </c>
      <c r="DA64" s="75">
        <f>(NOT(DA$14=exit))*IF($E64=1,Rentroll!$P52*'A&amp;R'!$AF$12*Rentroll!$H52,Rentroll!$P52*'A&amp;R'!$AF$11*Rentroll!$H52)*(MONTH($D64)=MONTH(DA$14))*(YEAR($D64)=YEAR(DA$14))*DA$11/unit</f>
        <v>0</v>
      </c>
      <c r="DB64" s="75">
        <f>(NOT(DB$14=exit))*IF($E64=1,Rentroll!$P52*'A&amp;R'!$AF$12*Rentroll!$H52,Rentroll!$P52*'A&amp;R'!$AF$11*Rentroll!$H52)*(MONTH($D64)=MONTH(DB$14))*(YEAR($D64)=YEAR(DB$14))*DB$11/unit</f>
        <v>0</v>
      </c>
    </row>
    <row r="65" spans="2:106">
      <c r="C65" s="27" t="str">
        <f>Rentroll!$C$53</f>
        <v>202호</v>
      </c>
      <c r="D65" s="80">
        <f>VLOOKUP($C65,Rentroll!$C$37:$Z$60,9,FALSE)</f>
        <v>45747</v>
      </c>
      <c r="E65" s="150">
        <f>VLOOKUP($C65,Rentroll!$C$37:$Z$60,24,FALSE)</f>
        <v>1</v>
      </c>
      <c r="F65" s="75">
        <f t="shared" si="44"/>
        <v>28.596048731250001</v>
      </c>
      <c r="G65" s="75"/>
      <c r="H65" s="75">
        <f>(NOT(H$14=exit))*IF($E65=1,Rentroll!$P53*'A&amp;R'!$AF$12*Rentroll!$H53,Rentroll!$P53*'A&amp;R'!$AF$11*Rentroll!$H53)*(MONTH($D65)=MONTH(H$14))*(YEAR($D65)=YEAR(H$14))*H$11/unit</f>
        <v>0</v>
      </c>
      <c r="I65" s="75">
        <f>(NOT(I$14=exit))*IF($E65=1,Rentroll!$P53*'A&amp;R'!$AF$12*Rentroll!$H53,Rentroll!$P53*'A&amp;R'!$AF$11*Rentroll!$H53)*(MONTH($D65)=MONTH(I$14))*(YEAR($D65)=YEAR(I$14))*I$11/unit</f>
        <v>0</v>
      </c>
      <c r="J65" s="75">
        <f>(NOT(J$14=exit))*IF($E65=1,Rentroll!$P53*'A&amp;R'!$AF$12*Rentroll!$H53,Rentroll!$P53*'A&amp;R'!$AF$11*Rentroll!$H53)*(MONTH($D65)=MONTH(J$14))*(YEAR($D65)=YEAR(J$14))*J$11/unit</f>
        <v>28.596048731250001</v>
      </c>
      <c r="K65" s="75">
        <f>(NOT(K$14=exit))*IF($E65=1,Rentroll!$P53*'A&amp;R'!$AF$12*Rentroll!$H53,Rentroll!$P53*'A&amp;R'!$AF$11*Rentroll!$H53)*(MONTH($D65)=MONTH(K$14))*(YEAR($D65)=YEAR(K$14))*K$11/unit</f>
        <v>0</v>
      </c>
      <c r="L65" s="75">
        <f>(NOT(L$14=exit))*IF($E65=1,Rentroll!$P53*'A&amp;R'!$AF$12*Rentroll!$H53,Rentroll!$P53*'A&amp;R'!$AF$11*Rentroll!$H53)*(MONTH($D65)=MONTH(L$14))*(YEAR($D65)=YEAR(L$14))*L$11/unit</f>
        <v>0</v>
      </c>
      <c r="M65" s="75">
        <f>(NOT(M$14=exit))*IF($E65=1,Rentroll!$P53*'A&amp;R'!$AF$12*Rentroll!$H53,Rentroll!$P53*'A&amp;R'!$AF$11*Rentroll!$H53)*(MONTH($D65)=MONTH(M$14))*(YEAR($D65)=YEAR(M$14))*M$11/unit</f>
        <v>0</v>
      </c>
      <c r="N65" s="75">
        <f>(NOT(N$14=exit))*IF($E65=1,Rentroll!$P53*'A&amp;R'!$AF$12*Rentroll!$H53,Rentroll!$P53*'A&amp;R'!$AF$11*Rentroll!$H53)*(MONTH($D65)=MONTH(N$14))*(YEAR($D65)=YEAR(N$14))*N$11/unit</f>
        <v>0</v>
      </c>
      <c r="O65" s="75">
        <f>(NOT(O$14=exit))*IF($E65=1,Rentroll!$P53*'A&amp;R'!$AF$12*Rentroll!$H53,Rentroll!$P53*'A&amp;R'!$AF$11*Rentroll!$H53)*(MONTH($D65)=MONTH(O$14))*(YEAR($D65)=YEAR(O$14))*O$11/unit</f>
        <v>0</v>
      </c>
      <c r="P65" s="75">
        <f>(NOT(P$14=exit))*IF($E65=1,Rentroll!$P53*'A&amp;R'!$AF$12*Rentroll!$H53,Rentroll!$P53*'A&amp;R'!$AF$11*Rentroll!$H53)*(MONTH($D65)=MONTH(P$14))*(YEAR($D65)=YEAR(P$14))*P$11/unit</f>
        <v>0</v>
      </c>
      <c r="Q65" s="75">
        <f>(NOT(Q$14=exit))*IF($E65=1,Rentroll!$P53*'A&amp;R'!$AF$12*Rentroll!$H53,Rentroll!$P53*'A&amp;R'!$AF$11*Rentroll!$H53)*(MONTH($D65)=MONTH(Q$14))*(YEAR($D65)=YEAR(Q$14))*Q$11/unit</f>
        <v>0</v>
      </c>
      <c r="R65" s="75">
        <f>(NOT(R$14=exit))*IF($E65=1,Rentroll!$P53*'A&amp;R'!$AF$12*Rentroll!$H53,Rentroll!$P53*'A&amp;R'!$AF$11*Rentroll!$H53)*(MONTH($D65)=MONTH(R$14))*(YEAR($D65)=YEAR(R$14))*R$11/unit</f>
        <v>0</v>
      </c>
      <c r="S65" s="75">
        <f>(NOT(S$14=exit))*IF($E65=1,Rentroll!$P53*'A&amp;R'!$AF$12*Rentroll!$H53,Rentroll!$P53*'A&amp;R'!$AF$11*Rentroll!$H53)*(MONTH($D65)=MONTH(S$14))*(YEAR($D65)=YEAR(S$14))*S$11/unit</f>
        <v>0</v>
      </c>
      <c r="T65" s="75">
        <f>(NOT(T$14=exit))*IF($E65=1,Rentroll!$P53*'A&amp;R'!$AF$12*Rentroll!$H53,Rentroll!$P53*'A&amp;R'!$AF$11*Rentroll!$H53)*(MONTH($D65)=MONTH(T$14))*(YEAR($D65)=YEAR(T$14))*T$11/unit</f>
        <v>0</v>
      </c>
      <c r="U65" s="75">
        <f>(NOT(U$14=exit))*IF($E65=1,Rentroll!$P53*'A&amp;R'!$AF$12*Rentroll!$H53,Rentroll!$P53*'A&amp;R'!$AF$11*Rentroll!$H53)*(MONTH($D65)=MONTH(U$14))*(YEAR($D65)=YEAR(U$14))*U$11/unit</f>
        <v>0</v>
      </c>
      <c r="V65" s="75">
        <f>(NOT(V$14=exit))*IF($E65=1,Rentroll!$P53*'A&amp;R'!$AF$12*Rentroll!$H53,Rentroll!$P53*'A&amp;R'!$AF$11*Rentroll!$H53)*(MONTH($D65)=MONTH(V$14))*(YEAR($D65)=YEAR(V$14))*V$11/unit</f>
        <v>0</v>
      </c>
      <c r="W65" s="75">
        <f>(NOT(W$14=exit))*IF($E65=1,Rentroll!$P53*'A&amp;R'!$AF$12*Rentroll!$H53,Rentroll!$P53*'A&amp;R'!$AF$11*Rentroll!$H53)*(MONTH($D65)=MONTH(W$14))*(YEAR($D65)=YEAR(W$14))*W$11/unit</f>
        <v>0</v>
      </c>
      <c r="X65" s="75">
        <f>(NOT(X$14=exit))*IF($E65=1,Rentroll!$P53*'A&amp;R'!$AF$12*Rentroll!$H53,Rentroll!$P53*'A&amp;R'!$AF$11*Rentroll!$H53)*(MONTH($D65)=MONTH(X$14))*(YEAR($D65)=YEAR(X$14))*X$11/unit</f>
        <v>0</v>
      </c>
      <c r="Y65" s="75">
        <f>(NOT(Y$14=exit))*IF($E65=1,Rentroll!$P53*'A&amp;R'!$AF$12*Rentroll!$H53,Rentroll!$P53*'A&amp;R'!$AF$11*Rentroll!$H53)*(MONTH($D65)=MONTH(Y$14))*(YEAR($D65)=YEAR(Y$14))*Y$11/unit</f>
        <v>0</v>
      </c>
      <c r="Z65" s="75">
        <f>(NOT(Z$14=exit))*IF($E65=1,Rentroll!$P53*'A&amp;R'!$AF$12*Rentroll!$H53,Rentroll!$P53*'A&amp;R'!$AF$11*Rentroll!$H53)*(MONTH($D65)=MONTH(Z$14))*(YEAR($D65)=YEAR(Z$14))*Z$11/unit</f>
        <v>0</v>
      </c>
      <c r="AA65" s="75">
        <f>(NOT(AA$14=exit))*IF($E65=1,Rentroll!$P53*'A&amp;R'!$AF$12*Rentroll!$H53,Rentroll!$P53*'A&amp;R'!$AF$11*Rentroll!$H53)*(MONTH($D65)=MONTH(AA$14))*(YEAR($D65)=YEAR(AA$14))*AA$11/unit</f>
        <v>0</v>
      </c>
      <c r="AB65" s="75">
        <f>(NOT(AB$14=exit))*IF($E65=1,Rentroll!$P53*'A&amp;R'!$AF$12*Rentroll!$H53,Rentroll!$P53*'A&amp;R'!$AF$11*Rentroll!$H53)*(MONTH($D65)=MONTH(AB$14))*(YEAR($D65)=YEAR(AB$14))*AB$11/unit</f>
        <v>0</v>
      </c>
      <c r="AC65" s="75">
        <f>(NOT(AC$14=exit))*IF($E65=1,Rentroll!$P53*'A&amp;R'!$AF$12*Rentroll!$H53,Rentroll!$P53*'A&amp;R'!$AF$11*Rentroll!$H53)*(MONTH($D65)=MONTH(AC$14))*(YEAR($D65)=YEAR(AC$14))*AC$11/unit</f>
        <v>0</v>
      </c>
      <c r="AD65" s="75">
        <f>(NOT(AD$14=exit))*IF($E65=1,Rentroll!$P53*'A&amp;R'!$AF$12*Rentroll!$H53,Rentroll!$P53*'A&amp;R'!$AF$11*Rentroll!$H53)*(MONTH($D65)=MONTH(AD$14))*(YEAR($D65)=YEAR(AD$14))*AD$11/unit</f>
        <v>0</v>
      </c>
      <c r="AE65" s="75">
        <f>(NOT(AE$14=exit))*IF($E65=1,Rentroll!$P53*'A&amp;R'!$AF$12*Rentroll!$H53,Rentroll!$P53*'A&amp;R'!$AF$11*Rentroll!$H53)*(MONTH($D65)=MONTH(AE$14))*(YEAR($D65)=YEAR(AE$14))*AE$11/unit</f>
        <v>0</v>
      </c>
      <c r="AF65" s="75">
        <f>(NOT(AF$14=exit))*IF($E65=1,Rentroll!$P53*'A&amp;R'!$AF$12*Rentroll!$H53,Rentroll!$P53*'A&amp;R'!$AF$11*Rentroll!$H53)*(MONTH($D65)=MONTH(AF$14))*(YEAR($D65)=YEAR(AF$14))*AF$11/unit</f>
        <v>0</v>
      </c>
      <c r="AG65" s="75">
        <f>(NOT(AG$14=exit))*IF($E65=1,Rentroll!$P53*'A&amp;R'!$AF$12*Rentroll!$H53,Rentroll!$P53*'A&amp;R'!$AF$11*Rentroll!$H53)*(MONTH($D65)=MONTH(AG$14))*(YEAR($D65)=YEAR(AG$14))*AG$11/unit</f>
        <v>0</v>
      </c>
      <c r="AH65" s="75">
        <f>(NOT(AH$14=exit))*IF($E65=1,Rentroll!$P53*'A&amp;R'!$AF$12*Rentroll!$H53,Rentroll!$P53*'A&amp;R'!$AF$11*Rentroll!$H53)*(MONTH($D65)=MONTH(AH$14))*(YEAR($D65)=YEAR(AH$14))*AH$11/unit</f>
        <v>0</v>
      </c>
      <c r="AI65" s="75">
        <f>(NOT(AI$14=exit))*IF($E65=1,Rentroll!$P53*'A&amp;R'!$AF$12*Rentroll!$H53,Rentroll!$P53*'A&amp;R'!$AF$11*Rentroll!$H53)*(MONTH($D65)=MONTH(AI$14))*(YEAR($D65)=YEAR(AI$14))*AI$11/unit</f>
        <v>0</v>
      </c>
      <c r="AJ65" s="75">
        <f>(NOT(AJ$14=exit))*IF($E65=1,Rentroll!$P53*'A&amp;R'!$AF$12*Rentroll!$H53,Rentroll!$P53*'A&amp;R'!$AF$11*Rentroll!$H53)*(MONTH($D65)=MONTH(AJ$14))*(YEAR($D65)=YEAR(AJ$14))*AJ$11/unit</f>
        <v>0</v>
      </c>
      <c r="AK65" s="75">
        <f>(NOT(AK$14=exit))*IF($E65=1,Rentroll!$P53*'A&amp;R'!$AF$12*Rentroll!$H53,Rentroll!$P53*'A&amp;R'!$AF$11*Rentroll!$H53)*(MONTH($D65)=MONTH(AK$14))*(YEAR($D65)=YEAR(AK$14))*AK$11/unit</f>
        <v>0</v>
      </c>
      <c r="AL65" s="75">
        <f>(NOT(AL$14=exit))*IF($E65=1,Rentroll!$P53*'A&amp;R'!$AF$12*Rentroll!$H53,Rentroll!$P53*'A&amp;R'!$AF$11*Rentroll!$H53)*(MONTH($D65)=MONTH(AL$14))*(YEAR($D65)=YEAR(AL$14))*AL$11/unit</f>
        <v>0</v>
      </c>
      <c r="AM65" s="75">
        <f>(NOT(AM$14=exit))*IF($E65=1,Rentroll!$P53*'A&amp;R'!$AF$12*Rentroll!$H53,Rentroll!$P53*'A&amp;R'!$AF$11*Rentroll!$H53)*(MONTH($D65)=MONTH(AM$14))*(YEAR($D65)=YEAR(AM$14))*AM$11/unit</f>
        <v>0</v>
      </c>
      <c r="AN65" s="75">
        <f>(NOT(AN$14=exit))*IF($E65=1,Rentroll!$P53*'A&amp;R'!$AF$12*Rentroll!$H53,Rentroll!$P53*'A&amp;R'!$AF$11*Rentroll!$H53)*(MONTH($D65)=MONTH(AN$14))*(YEAR($D65)=YEAR(AN$14))*AN$11/unit</f>
        <v>0</v>
      </c>
      <c r="AO65" s="75">
        <f>(NOT(AO$14=exit))*IF($E65=1,Rentroll!$P53*'A&amp;R'!$AF$12*Rentroll!$H53,Rentroll!$P53*'A&amp;R'!$AF$11*Rentroll!$H53)*(MONTH($D65)=MONTH(AO$14))*(YEAR($D65)=YEAR(AO$14))*AO$11/unit</f>
        <v>0</v>
      </c>
      <c r="AP65" s="75">
        <f>(NOT(AP$14=exit))*IF($E65=1,Rentroll!$P53*'A&amp;R'!$AF$12*Rentroll!$H53,Rentroll!$P53*'A&amp;R'!$AF$11*Rentroll!$H53)*(MONTH($D65)=MONTH(AP$14))*(YEAR($D65)=YEAR(AP$14))*AP$11/unit</f>
        <v>0</v>
      </c>
      <c r="AQ65" s="75">
        <f>(NOT(AQ$14=exit))*IF($E65=1,Rentroll!$P53*'A&amp;R'!$AF$12*Rentroll!$H53,Rentroll!$P53*'A&amp;R'!$AF$11*Rentroll!$H53)*(MONTH($D65)=MONTH(AQ$14))*(YEAR($D65)=YEAR(AQ$14))*AQ$11/unit</f>
        <v>0</v>
      </c>
      <c r="AR65" s="75">
        <f>(NOT(AR$14=exit))*IF($E65=1,Rentroll!$P53*'A&amp;R'!$AF$12*Rentroll!$H53,Rentroll!$P53*'A&amp;R'!$AF$11*Rentroll!$H53)*(MONTH($D65)=MONTH(AR$14))*(YEAR($D65)=YEAR(AR$14))*AR$11/unit</f>
        <v>0</v>
      </c>
      <c r="AS65" s="75">
        <f>(NOT(AS$14=exit))*IF($E65=1,Rentroll!$P53*'A&amp;R'!$AF$12*Rentroll!$H53,Rentroll!$P53*'A&amp;R'!$AF$11*Rentroll!$H53)*(MONTH($D65)=MONTH(AS$14))*(YEAR($D65)=YEAR(AS$14))*AS$11/unit</f>
        <v>0</v>
      </c>
      <c r="AT65" s="75">
        <f>(NOT(AT$14=exit))*IF($E65=1,Rentroll!$P53*'A&amp;R'!$AF$12*Rentroll!$H53,Rentroll!$P53*'A&amp;R'!$AF$11*Rentroll!$H53)*(MONTH($D65)=MONTH(AT$14))*(YEAR($D65)=YEAR(AT$14))*AT$11/unit</f>
        <v>0</v>
      </c>
      <c r="AU65" s="75">
        <f>(NOT(AU$14=exit))*IF($E65=1,Rentroll!$P53*'A&amp;R'!$AF$12*Rentroll!$H53,Rentroll!$P53*'A&amp;R'!$AF$11*Rentroll!$H53)*(MONTH($D65)=MONTH(AU$14))*(YEAR($D65)=YEAR(AU$14))*AU$11/unit</f>
        <v>0</v>
      </c>
      <c r="AV65" s="75">
        <f>(NOT(AV$14=exit))*IF($E65=1,Rentroll!$P53*'A&amp;R'!$AF$12*Rentroll!$H53,Rentroll!$P53*'A&amp;R'!$AF$11*Rentroll!$H53)*(MONTH($D65)=MONTH(AV$14))*(YEAR($D65)=YEAR(AV$14))*AV$11/unit</f>
        <v>0</v>
      </c>
      <c r="AW65" s="75">
        <f>(NOT(AW$14=exit))*IF($E65=1,Rentroll!$P53*'A&amp;R'!$AF$12*Rentroll!$H53,Rentroll!$P53*'A&amp;R'!$AF$11*Rentroll!$H53)*(MONTH($D65)=MONTH(AW$14))*(YEAR($D65)=YEAR(AW$14))*AW$11/unit</f>
        <v>0</v>
      </c>
      <c r="AX65" s="75">
        <f>(NOT(AX$14=exit))*IF($E65=1,Rentroll!$P53*'A&amp;R'!$AF$12*Rentroll!$H53,Rentroll!$P53*'A&amp;R'!$AF$11*Rentroll!$H53)*(MONTH($D65)=MONTH(AX$14))*(YEAR($D65)=YEAR(AX$14))*AX$11/unit</f>
        <v>0</v>
      </c>
      <c r="AY65" s="75">
        <f>(NOT(AY$14=exit))*IF($E65=1,Rentroll!$P53*'A&amp;R'!$AF$12*Rentroll!$H53,Rentroll!$P53*'A&amp;R'!$AF$11*Rentroll!$H53)*(MONTH($D65)=MONTH(AY$14))*(YEAR($D65)=YEAR(AY$14))*AY$11/unit</f>
        <v>0</v>
      </c>
      <c r="AZ65" s="75">
        <f>(NOT(AZ$14=exit))*IF($E65=1,Rentroll!$P53*'A&amp;R'!$AF$12*Rentroll!$H53,Rentroll!$P53*'A&amp;R'!$AF$11*Rentroll!$H53)*(MONTH($D65)=MONTH(AZ$14))*(YEAR($D65)=YEAR(AZ$14))*AZ$11/unit</f>
        <v>0</v>
      </c>
      <c r="BA65" s="75">
        <f>(NOT(BA$14=exit))*IF($E65=1,Rentroll!$P53*'A&amp;R'!$AF$12*Rentroll!$H53,Rentroll!$P53*'A&amp;R'!$AF$11*Rentroll!$H53)*(MONTH($D65)=MONTH(BA$14))*(YEAR($D65)=YEAR(BA$14))*BA$11/unit</f>
        <v>0</v>
      </c>
      <c r="BB65" s="75">
        <f>(NOT(BB$14=exit))*IF($E65=1,Rentroll!$P53*'A&amp;R'!$AF$12*Rentroll!$H53,Rentroll!$P53*'A&amp;R'!$AF$11*Rentroll!$H53)*(MONTH($D65)=MONTH(BB$14))*(YEAR($D65)=YEAR(BB$14))*BB$11/unit</f>
        <v>0</v>
      </c>
      <c r="BC65" s="75">
        <f>(NOT(BC$14=exit))*IF($E65=1,Rentroll!$P53*'A&amp;R'!$AF$12*Rentroll!$H53,Rentroll!$P53*'A&amp;R'!$AF$11*Rentroll!$H53)*(MONTH($D65)=MONTH(BC$14))*(YEAR($D65)=YEAR(BC$14))*BC$11/unit</f>
        <v>0</v>
      </c>
      <c r="BD65" s="75">
        <f>(NOT(BD$14=exit))*IF($E65=1,Rentroll!$P53*'A&amp;R'!$AF$12*Rentroll!$H53,Rentroll!$P53*'A&amp;R'!$AF$11*Rentroll!$H53)*(MONTH($D65)=MONTH(BD$14))*(YEAR($D65)=YEAR(BD$14))*BD$11/unit</f>
        <v>0</v>
      </c>
      <c r="BE65" s="75">
        <f>(NOT(BE$14=exit))*IF($E65=1,Rentroll!$P53*'A&amp;R'!$AF$12*Rentroll!$H53,Rentroll!$P53*'A&amp;R'!$AF$11*Rentroll!$H53)*(MONTH($D65)=MONTH(BE$14))*(YEAR($D65)=YEAR(BE$14))*BE$11/unit</f>
        <v>0</v>
      </c>
      <c r="BF65" s="75">
        <f>(NOT(BF$14=exit))*IF($E65=1,Rentroll!$P53*'A&amp;R'!$AF$12*Rentroll!$H53,Rentroll!$P53*'A&amp;R'!$AF$11*Rentroll!$H53)*(MONTH($D65)=MONTH(BF$14))*(YEAR($D65)=YEAR(BF$14))*BF$11/unit</f>
        <v>0</v>
      </c>
      <c r="BG65" s="75">
        <f>(NOT(BG$14=exit))*IF($E65=1,Rentroll!$P53*'A&amp;R'!$AF$12*Rentroll!$H53,Rentroll!$P53*'A&amp;R'!$AF$11*Rentroll!$H53)*(MONTH($D65)=MONTH(BG$14))*(YEAR($D65)=YEAR(BG$14))*BG$11/unit</f>
        <v>0</v>
      </c>
      <c r="BH65" s="75">
        <f>(NOT(BH$14=exit))*IF($E65=1,Rentroll!$P53*'A&amp;R'!$AF$12*Rentroll!$H53,Rentroll!$P53*'A&amp;R'!$AF$11*Rentroll!$H53)*(MONTH($D65)=MONTH(BH$14))*(YEAR($D65)=YEAR(BH$14))*BH$11/unit</f>
        <v>0</v>
      </c>
      <c r="BI65" s="75">
        <f>(NOT(BI$14=exit))*IF($E65=1,Rentroll!$P53*'A&amp;R'!$AF$12*Rentroll!$H53,Rentroll!$P53*'A&amp;R'!$AF$11*Rentroll!$H53)*(MONTH($D65)=MONTH(BI$14))*(YEAR($D65)=YEAR(BI$14))*BI$11/unit</f>
        <v>0</v>
      </c>
      <c r="BJ65" s="75">
        <f>(NOT(BJ$14=exit))*IF($E65=1,Rentroll!$P53*'A&amp;R'!$AF$12*Rentroll!$H53,Rentroll!$P53*'A&amp;R'!$AF$11*Rentroll!$H53)*(MONTH($D65)=MONTH(BJ$14))*(YEAR($D65)=YEAR(BJ$14))*BJ$11/unit</f>
        <v>0</v>
      </c>
      <c r="BK65" s="75">
        <f>(NOT(BK$14=exit))*IF($E65=1,Rentroll!$P53*'A&amp;R'!$AF$12*Rentroll!$H53,Rentroll!$P53*'A&amp;R'!$AF$11*Rentroll!$H53)*(MONTH($D65)=MONTH(BK$14))*(YEAR($D65)=YEAR(BK$14))*BK$11/unit</f>
        <v>0</v>
      </c>
      <c r="BL65" s="75">
        <f>(NOT(BL$14=exit))*IF($E65=1,Rentroll!$P53*'A&amp;R'!$AF$12*Rentroll!$H53,Rentroll!$P53*'A&amp;R'!$AF$11*Rentroll!$H53)*(MONTH($D65)=MONTH(BL$14))*(YEAR($D65)=YEAR(BL$14))*BL$11/unit</f>
        <v>0</v>
      </c>
      <c r="BM65" s="75">
        <f>(NOT(BM$14=exit))*IF($E65=1,Rentroll!$P53*'A&amp;R'!$AF$12*Rentroll!$H53,Rentroll!$P53*'A&amp;R'!$AF$11*Rentroll!$H53)*(MONTH($D65)=MONTH(BM$14))*(YEAR($D65)=YEAR(BM$14))*BM$11/unit</f>
        <v>0</v>
      </c>
      <c r="BN65" s="75">
        <f>(NOT(BN$14=exit))*IF($E65=1,Rentroll!$P53*'A&amp;R'!$AF$12*Rentroll!$H53,Rentroll!$P53*'A&amp;R'!$AF$11*Rentroll!$H53)*(MONTH($D65)=MONTH(BN$14))*(YEAR($D65)=YEAR(BN$14))*BN$11/unit</f>
        <v>0</v>
      </c>
      <c r="BO65" s="75">
        <f>(NOT(BO$14=exit))*IF($E65=1,Rentroll!$P53*'A&amp;R'!$AF$12*Rentroll!$H53,Rentroll!$P53*'A&amp;R'!$AF$11*Rentroll!$H53)*(MONTH($D65)=MONTH(BO$14))*(YEAR($D65)=YEAR(BO$14))*BO$11/unit</f>
        <v>0</v>
      </c>
      <c r="BP65" s="75">
        <f>(NOT(BP$14=exit))*IF($E65=1,Rentroll!$P53*'A&amp;R'!$AF$12*Rentroll!$H53,Rentroll!$P53*'A&amp;R'!$AF$11*Rentroll!$H53)*(MONTH($D65)=MONTH(BP$14))*(YEAR($D65)=YEAR(BP$14))*BP$11/unit</f>
        <v>0</v>
      </c>
      <c r="BQ65" s="75">
        <f>(NOT(BQ$14=exit))*IF($E65=1,Rentroll!$P53*'A&amp;R'!$AF$12*Rentroll!$H53,Rentroll!$P53*'A&amp;R'!$AF$11*Rentroll!$H53)*(MONTH($D65)=MONTH(BQ$14))*(YEAR($D65)=YEAR(BQ$14))*BQ$11/unit</f>
        <v>0</v>
      </c>
      <c r="BR65" s="75">
        <f>(NOT(BR$14=exit))*IF($E65=1,Rentroll!$P53*'A&amp;R'!$AF$12*Rentroll!$H53,Rentroll!$P53*'A&amp;R'!$AF$11*Rentroll!$H53)*(MONTH($D65)=MONTH(BR$14))*(YEAR($D65)=YEAR(BR$14))*BR$11/unit</f>
        <v>0</v>
      </c>
      <c r="BS65" s="75">
        <f>(NOT(BS$14=exit))*IF($E65=1,Rentroll!$P53*'A&amp;R'!$AF$12*Rentroll!$H53,Rentroll!$P53*'A&amp;R'!$AF$11*Rentroll!$H53)*(MONTH($D65)=MONTH(BS$14))*(YEAR($D65)=YEAR(BS$14))*BS$11/unit</f>
        <v>0</v>
      </c>
      <c r="BT65" s="75">
        <f>(NOT(BT$14=exit))*IF($E65=1,Rentroll!$P53*'A&amp;R'!$AF$12*Rentroll!$H53,Rentroll!$P53*'A&amp;R'!$AF$11*Rentroll!$H53)*(MONTH($D65)=MONTH(BT$14))*(YEAR($D65)=YEAR(BT$14))*BT$11/unit</f>
        <v>0</v>
      </c>
      <c r="BU65" s="75">
        <f>(NOT(BU$14=exit))*IF($E65=1,Rentroll!$P53*'A&amp;R'!$AF$12*Rentroll!$H53,Rentroll!$P53*'A&amp;R'!$AF$11*Rentroll!$H53)*(MONTH($D65)=MONTH(BU$14))*(YEAR($D65)=YEAR(BU$14))*BU$11/unit</f>
        <v>0</v>
      </c>
      <c r="BV65" s="75">
        <f>(NOT(BV$14=exit))*IF($E65=1,Rentroll!$P53*'A&amp;R'!$AF$12*Rentroll!$H53,Rentroll!$P53*'A&amp;R'!$AF$11*Rentroll!$H53)*(MONTH($D65)=MONTH(BV$14))*(YEAR($D65)=YEAR(BV$14))*BV$11/unit</f>
        <v>0</v>
      </c>
      <c r="BW65" s="75">
        <f>(NOT(BW$14=exit))*IF($E65=1,Rentroll!$P53*'A&amp;R'!$AF$12*Rentroll!$H53,Rentroll!$P53*'A&amp;R'!$AF$11*Rentroll!$H53)*(MONTH($D65)=MONTH(BW$14))*(YEAR($D65)=YEAR(BW$14))*BW$11/unit</f>
        <v>0</v>
      </c>
      <c r="BX65" s="75">
        <f>(NOT(BX$14=exit))*IF($E65=1,Rentroll!$P53*'A&amp;R'!$AF$12*Rentroll!$H53,Rentroll!$P53*'A&amp;R'!$AF$11*Rentroll!$H53)*(MONTH($D65)=MONTH(BX$14))*(YEAR($D65)=YEAR(BX$14))*BX$11/unit</f>
        <v>0</v>
      </c>
      <c r="BY65" s="75">
        <f>(NOT(BY$14=exit))*IF($E65=1,Rentroll!$P53*'A&amp;R'!$AF$12*Rentroll!$H53,Rentroll!$P53*'A&amp;R'!$AF$11*Rentroll!$H53)*(MONTH($D65)=MONTH(BY$14))*(YEAR($D65)=YEAR(BY$14))*BY$11/unit</f>
        <v>0</v>
      </c>
      <c r="BZ65" s="75">
        <f>(NOT(BZ$14=exit))*IF($E65=1,Rentroll!$P53*'A&amp;R'!$AF$12*Rentroll!$H53,Rentroll!$P53*'A&amp;R'!$AF$11*Rentroll!$H53)*(MONTH($D65)=MONTH(BZ$14))*(YEAR($D65)=YEAR(BZ$14))*BZ$11/unit</f>
        <v>0</v>
      </c>
      <c r="CA65" s="75">
        <f>(NOT(CA$14=exit))*IF($E65=1,Rentroll!$P53*'A&amp;R'!$AF$12*Rentroll!$H53,Rentroll!$P53*'A&amp;R'!$AF$11*Rentroll!$H53)*(MONTH($D65)=MONTH(CA$14))*(YEAR($D65)=YEAR(CA$14))*CA$11/unit</f>
        <v>0</v>
      </c>
      <c r="CB65" s="75">
        <f>(NOT(CB$14=exit))*IF($E65=1,Rentroll!$P53*'A&amp;R'!$AF$12*Rentroll!$H53,Rentroll!$P53*'A&amp;R'!$AF$11*Rentroll!$H53)*(MONTH($D65)=MONTH(CB$14))*(YEAR($D65)=YEAR(CB$14))*CB$11/unit</f>
        <v>0</v>
      </c>
      <c r="CC65" s="75">
        <f>(NOT(CC$14=exit))*IF($E65=1,Rentroll!$P53*'A&amp;R'!$AF$12*Rentroll!$H53,Rentroll!$P53*'A&amp;R'!$AF$11*Rentroll!$H53)*(MONTH($D65)=MONTH(CC$14))*(YEAR($D65)=YEAR(CC$14))*CC$11/unit</f>
        <v>0</v>
      </c>
      <c r="CD65" s="75">
        <f>(NOT(CD$14=exit))*IF($E65=1,Rentroll!$P53*'A&amp;R'!$AF$12*Rentroll!$H53,Rentroll!$P53*'A&amp;R'!$AF$11*Rentroll!$H53)*(MONTH($D65)=MONTH(CD$14))*(YEAR($D65)=YEAR(CD$14))*CD$11/unit</f>
        <v>0</v>
      </c>
      <c r="CE65" s="75">
        <f>(NOT(CE$14=exit))*IF($E65=1,Rentroll!$P53*'A&amp;R'!$AF$12*Rentroll!$H53,Rentroll!$P53*'A&amp;R'!$AF$11*Rentroll!$H53)*(MONTH($D65)=MONTH(CE$14))*(YEAR($D65)=YEAR(CE$14))*CE$11/unit</f>
        <v>0</v>
      </c>
      <c r="CF65" s="75">
        <f>(NOT(CF$14=exit))*IF($E65=1,Rentroll!$P53*'A&amp;R'!$AF$12*Rentroll!$H53,Rentroll!$P53*'A&amp;R'!$AF$11*Rentroll!$H53)*(MONTH($D65)=MONTH(CF$14))*(YEAR($D65)=YEAR(CF$14))*CF$11/unit</f>
        <v>0</v>
      </c>
      <c r="CG65" s="75">
        <f>(NOT(CG$14=exit))*IF($E65=1,Rentroll!$P53*'A&amp;R'!$AF$12*Rentroll!$H53,Rentroll!$P53*'A&amp;R'!$AF$11*Rentroll!$H53)*(MONTH($D65)=MONTH(CG$14))*(YEAR($D65)=YEAR(CG$14))*CG$11/unit</f>
        <v>0</v>
      </c>
      <c r="CH65" s="75">
        <f>(NOT(CH$14=exit))*IF($E65=1,Rentroll!$P53*'A&amp;R'!$AF$12*Rentroll!$H53,Rentroll!$P53*'A&amp;R'!$AF$11*Rentroll!$H53)*(MONTH($D65)=MONTH(CH$14))*(YEAR($D65)=YEAR(CH$14))*CH$11/unit</f>
        <v>0</v>
      </c>
      <c r="CI65" s="75">
        <f>(NOT(CI$14=exit))*IF($E65=1,Rentroll!$P53*'A&amp;R'!$AF$12*Rentroll!$H53,Rentroll!$P53*'A&amp;R'!$AF$11*Rentroll!$H53)*(MONTH($D65)=MONTH(CI$14))*(YEAR($D65)=YEAR(CI$14))*CI$11/unit</f>
        <v>0</v>
      </c>
      <c r="CJ65" s="75">
        <f>(NOT(CJ$14=exit))*IF($E65=1,Rentroll!$P53*'A&amp;R'!$AF$12*Rentroll!$H53,Rentroll!$P53*'A&amp;R'!$AF$11*Rentroll!$H53)*(MONTH($D65)=MONTH(CJ$14))*(YEAR($D65)=YEAR(CJ$14))*CJ$11/unit</f>
        <v>0</v>
      </c>
      <c r="CK65" s="75">
        <f>(NOT(CK$14=exit))*IF($E65=1,Rentroll!$P53*'A&amp;R'!$AF$12*Rentroll!$H53,Rentroll!$P53*'A&amp;R'!$AF$11*Rentroll!$H53)*(MONTH($D65)=MONTH(CK$14))*(YEAR($D65)=YEAR(CK$14))*CK$11/unit</f>
        <v>0</v>
      </c>
      <c r="CL65" s="75">
        <f>(NOT(CL$14=exit))*IF($E65=1,Rentroll!$P53*'A&amp;R'!$AF$12*Rentroll!$H53,Rentroll!$P53*'A&amp;R'!$AF$11*Rentroll!$H53)*(MONTH($D65)=MONTH(CL$14))*(YEAR($D65)=YEAR(CL$14))*CL$11/unit</f>
        <v>0</v>
      </c>
      <c r="CM65" s="75">
        <f>(NOT(CM$14=exit))*IF($E65=1,Rentroll!$P53*'A&amp;R'!$AF$12*Rentroll!$H53,Rentroll!$P53*'A&amp;R'!$AF$11*Rentroll!$H53)*(MONTH($D65)=MONTH(CM$14))*(YEAR($D65)=YEAR(CM$14))*CM$11/unit</f>
        <v>0</v>
      </c>
      <c r="CN65" s="75">
        <f>(NOT(CN$14=exit))*IF($E65=1,Rentroll!$P53*'A&amp;R'!$AF$12*Rentroll!$H53,Rentroll!$P53*'A&amp;R'!$AF$11*Rentroll!$H53)*(MONTH($D65)=MONTH(CN$14))*(YEAR($D65)=YEAR(CN$14))*CN$11/unit</f>
        <v>0</v>
      </c>
      <c r="CO65" s="75">
        <f>(NOT(CO$14=exit))*IF($E65=1,Rentroll!$P53*'A&amp;R'!$AF$12*Rentroll!$H53,Rentroll!$P53*'A&amp;R'!$AF$11*Rentroll!$H53)*(MONTH($D65)=MONTH(CO$14))*(YEAR($D65)=YEAR(CO$14))*CO$11/unit</f>
        <v>0</v>
      </c>
      <c r="CP65" s="75">
        <f>(NOT(CP$14=exit))*IF($E65=1,Rentroll!$P53*'A&amp;R'!$AF$12*Rentroll!$H53,Rentroll!$P53*'A&amp;R'!$AF$11*Rentroll!$H53)*(MONTH($D65)=MONTH(CP$14))*(YEAR($D65)=YEAR(CP$14))*CP$11/unit</f>
        <v>0</v>
      </c>
      <c r="CQ65" s="75">
        <f>(NOT(CQ$14=exit))*IF($E65=1,Rentroll!$P53*'A&amp;R'!$AF$12*Rentroll!$H53,Rentroll!$P53*'A&amp;R'!$AF$11*Rentroll!$H53)*(MONTH($D65)=MONTH(CQ$14))*(YEAR($D65)=YEAR(CQ$14))*CQ$11/unit</f>
        <v>0</v>
      </c>
      <c r="CR65" s="75">
        <f>(NOT(CR$14=exit))*IF($E65=1,Rentroll!$P53*'A&amp;R'!$AF$12*Rentroll!$H53,Rentroll!$P53*'A&amp;R'!$AF$11*Rentroll!$H53)*(MONTH($D65)=MONTH(CR$14))*(YEAR($D65)=YEAR(CR$14))*CR$11/unit</f>
        <v>0</v>
      </c>
      <c r="CS65" s="75">
        <f>(NOT(CS$14=exit))*IF($E65=1,Rentroll!$P53*'A&amp;R'!$AF$12*Rentroll!$H53,Rentroll!$P53*'A&amp;R'!$AF$11*Rentroll!$H53)*(MONTH($D65)=MONTH(CS$14))*(YEAR($D65)=YEAR(CS$14))*CS$11/unit</f>
        <v>0</v>
      </c>
      <c r="CT65" s="75">
        <f>(NOT(CT$14=exit))*IF($E65=1,Rentroll!$P53*'A&amp;R'!$AF$12*Rentroll!$H53,Rentroll!$P53*'A&amp;R'!$AF$11*Rentroll!$H53)*(MONTH($D65)=MONTH(CT$14))*(YEAR($D65)=YEAR(CT$14))*CT$11/unit</f>
        <v>0</v>
      </c>
      <c r="CU65" s="75">
        <f>(NOT(CU$14=exit))*IF($E65=1,Rentroll!$P53*'A&amp;R'!$AF$12*Rentroll!$H53,Rentroll!$P53*'A&amp;R'!$AF$11*Rentroll!$H53)*(MONTH($D65)=MONTH(CU$14))*(YEAR($D65)=YEAR(CU$14))*CU$11/unit</f>
        <v>0</v>
      </c>
      <c r="CV65" s="75">
        <f>(NOT(CV$14=exit))*IF($E65=1,Rentroll!$P53*'A&amp;R'!$AF$12*Rentroll!$H53,Rentroll!$P53*'A&amp;R'!$AF$11*Rentroll!$H53)*(MONTH($D65)=MONTH(CV$14))*(YEAR($D65)=YEAR(CV$14))*CV$11/unit</f>
        <v>0</v>
      </c>
      <c r="CW65" s="75">
        <f>(NOT(CW$14=exit))*IF($E65=1,Rentroll!$P53*'A&amp;R'!$AF$12*Rentroll!$H53,Rentroll!$P53*'A&amp;R'!$AF$11*Rentroll!$H53)*(MONTH($D65)=MONTH(CW$14))*(YEAR($D65)=YEAR(CW$14))*CW$11/unit</f>
        <v>0</v>
      </c>
      <c r="CX65" s="75">
        <f>(NOT(CX$14=exit))*IF($E65=1,Rentroll!$P53*'A&amp;R'!$AF$12*Rentroll!$H53,Rentroll!$P53*'A&amp;R'!$AF$11*Rentroll!$H53)*(MONTH($D65)=MONTH(CX$14))*(YEAR($D65)=YEAR(CX$14))*CX$11/unit</f>
        <v>0</v>
      </c>
      <c r="CY65" s="75">
        <f>(NOT(CY$14=exit))*IF($E65=1,Rentroll!$P53*'A&amp;R'!$AF$12*Rentroll!$H53,Rentroll!$P53*'A&amp;R'!$AF$11*Rentroll!$H53)*(MONTH($D65)=MONTH(CY$14))*(YEAR($D65)=YEAR(CY$14))*CY$11/unit</f>
        <v>0</v>
      </c>
      <c r="CZ65" s="75">
        <f>(NOT(CZ$14=exit))*IF($E65=1,Rentroll!$P53*'A&amp;R'!$AF$12*Rentroll!$H53,Rentroll!$P53*'A&amp;R'!$AF$11*Rentroll!$H53)*(MONTH($D65)=MONTH(CZ$14))*(YEAR($D65)=YEAR(CZ$14))*CZ$11/unit</f>
        <v>0</v>
      </c>
      <c r="DA65" s="75">
        <f>(NOT(DA$14=exit))*IF($E65=1,Rentroll!$P53*'A&amp;R'!$AF$12*Rentroll!$H53,Rentroll!$P53*'A&amp;R'!$AF$11*Rentroll!$H53)*(MONTH($D65)=MONTH(DA$14))*(YEAR($D65)=YEAR(DA$14))*DA$11/unit</f>
        <v>0</v>
      </c>
      <c r="DB65" s="75">
        <f>(NOT(DB$14=exit))*IF($E65=1,Rentroll!$P53*'A&amp;R'!$AF$12*Rentroll!$H53,Rentroll!$P53*'A&amp;R'!$AF$11*Rentroll!$H53)*(MONTH($D65)=MONTH(DB$14))*(YEAR($D65)=YEAR(DB$14))*DB$11/unit</f>
        <v>0</v>
      </c>
    </row>
    <row r="66" spans="2:106">
      <c r="C66" s="27" t="str">
        <f>Rentroll!$C$54</f>
        <v>203호</v>
      </c>
      <c r="D66" s="80">
        <f>VLOOKUP($C66,Rentroll!$C$37:$Z$60,9,FALSE)</f>
        <v>45747</v>
      </c>
      <c r="E66" s="150">
        <f>VLOOKUP($C66,Rentroll!$C$37:$Z$60,24,FALSE)</f>
        <v>1</v>
      </c>
      <c r="F66" s="75">
        <f t="shared" si="44"/>
        <v>28.596048731250001</v>
      </c>
      <c r="G66" s="75"/>
      <c r="H66" s="75">
        <f>(NOT(H$14=exit))*IF($E66=1,Rentroll!$P54*'A&amp;R'!$AF$12*Rentroll!$H54,Rentroll!$P54*'A&amp;R'!$AF$11*Rentroll!$H54)*(MONTH($D66)=MONTH(H$14))*(YEAR($D66)=YEAR(H$14))*H$11/unit</f>
        <v>0</v>
      </c>
      <c r="I66" s="75">
        <f>(NOT(I$14=exit))*IF($E66=1,Rentroll!$P54*'A&amp;R'!$AF$12*Rentroll!$H54,Rentroll!$P54*'A&amp;R'!$AF$11*Rentroll!$H54)*(MONTH($D66)=MONTH(I$14))*(YEAR($D66)=YEAR(I$14))*I$11/unit</f>
        <v>0</v>
      </c>
      <c r="J66" s="75">
        <f>(NOT(J$14=exit))*IF($E66=1,Rentroll!$P54*'A&amp;R'!$AF$12*Rentroll!$H54,Rentroll!$P54*'A&amp;R'!$AF$11*Rentroll!$H54)*(MONTH($D66)=MONTH(J$14))*(YEAR($D66)=YEAR(J$14))*J$11/unit</f>
        <v>28.596048731250001</v>
      </c>
      <c r="K66" s="75">
        <f>(NOT(K$14=exit))*IF($E66=1,Rentroll!$P54*'A&amp;R'!$AF$12*Rentroll!$H54,Rentroll!$P54*'A&amp;R'!$AF$11*Rentroll!$H54)*(MONTH($D66)=MONTH(K$14))*(YEAR($D66)=YEAR(K$14))*K$11/unit</f>
        <v>0</v>
      </c>
      <c r="L66" s="75">
        <f>(NOT(L$14=exit))*IF($E66=1,Rentroll!$P54*'A&amp;R'!$AF$12*Rentroll!$H54,Rentroll!$P54*'A&amp;R'!$AF$11*Rentroll!$H54)*(MONTH($D66)=MONTH(L$14))*(YEAR($D66)=YEAR(L$14))*L$11/unit</f>
        <v>0</v>
      </c>
      <c r="M66" s="75">
        <f>(NOT(M$14=exit))*IF($E66=1,Rentroll!$P54*'A&amp;R'!$AF$12*Rentroll!$H54,Rentroll!$P54*'A&amp;R'!$AF$11*Rentroll!$H54)*(MONTH($D66)=MONTH(M$14))*(YEAR($D66)=YEAR(M$14))*M$11/unit</f>
        <v>0</v>
      </c>
      <c r="N66" s="75">
        <f>(NOT(N$14=exit))*IF($E66=1,Rentroll!$P54*'A&amp;R'!$AF$12*Rentroll!$H54,Rentroll!$P54*'A&amp;R'!$AF$11*Rentroll!$H54)*(MONTH($D66)=MONTH(N$14))*(YEAR($D66)=YEAR(N$14))*N$11/unit</f>
        <v>0</v>
      </c>
      <c r="O66" s="75">
        <f>(NOT(O$14=exit))*IF($E66=1,Rentroll!$P54*'A&amp;R'!$AF$12*Rentroll!$H54,Rentroll!$P54*'A&amp;R'!$AF$11*Rentroll!$H54)*(MONTH($D66)=MONTH(O$14))*(YEAR($D66)=YEAR(O$14))*O$11/unit</f>
        <v>0</v>
      </c>
      <c r="P66" s="75">
        <f>(NOT(P$14=exit))*IF($E66=1,Rentroll!$P54*'A&amp;R'!$AF$12*Rentroll!$H54,Rentroll!$P54*'A&amp;R'!$AF$11*Rentroll!$H54)*(MONTH($D66)=MONTH(P$14))*(YEAR($D66)=YEAR(P$14))*P$11/unit</f>
        <v>0</v>
      </c>
      <c r="Q66" s="75">
        <f>(NOT(Q$14=exit))*IF($E66=1,Rentroll!$P54*'A&amp;R'!$AF$12*Rentroll!$H54,Rentroll!$P54*'A&amp;R'!$AF$11*Rentroll!$H54)*(MONTH($D66)=MONTH(Q$14))*(YEAR($D66)=YEAR(Q$14))*Q$11/unit</f>
        <v>0</v>
      </c>
      <c r="R66" s="75">
        <f>(NOT(R$14=exit))*IF($E66=1,Rentroll!$P54*'A&amp;R'!$AF$12*Rentroll!$H54,Rentroll!$P54*'A&amp;R'!$AF$11*Rentroll!$H54)*(MONTH($D66)=MONTH(R$14))*(YEAR($D66)=YEAR(R$14))*R$11/unit</f>
        <v>0</v>
      </c>
      <c r="S66" s="75">
        <f>(NOT(S$14=exit))*IF($E66=1,Rentroll!$P54*'A&amp;R'!$AF$12*Rentroll!$H54,Rentroll!$P54*'A&amp;R'!$AF$11*Rentroll!$H54)*(MONTH($D66)=MONTH(S$14))*(YEAR($D66)=YEAR(S$14))*S$11/unit</f>
        <v>0</v>
      </c>
      <c r="T66" s="75">
        <f>(NOT(T$14=exit))*IF($E66=1,Rentroll!$P54*'A&amp;R'!$AF$12*Rentroll!$H54,Rentroll!$P54*'A&amp;R'!$AF$11*Rentroll!$H54)*(MONTH($D66)=MONTH(T$14))*(YEAR($D66)=YEAR(T$14))*T$11/unit</f>
        <v>0</v>
      </c>
      <c r="U66" s="75">
        <f>(NOT(U$14=exit))*IF($E66=1,Rentroll!$P54*'A&amp;R'!$AF$12*Rentroll!$H54,Rentroll!$P54*'A&amp;R'!$AF$11*Rentroll!$H54)*(MONTH($D66)=MONTH(U$14))*(YEAR($D66)=YEAR(U$14))*U$11/unit</f>
        <v>0</v>
      </c>
      <c r="V66" s="75">
        <f>(NOT(V$14=exit))*IF($E66=1,Rentroll!$P54*'A&amp;R'!$AF$12*Rentroll!$H54,Rentroll!$P54*'A&amp;R'!$AF$11*Rentroll!$H54)*(MONTH($D66)=MONTH(V$14))*(YEAR($D66)=YEAR(V$14))*V$11/unit</f>
        <v>0</v>
      </c>
      <c r="W66" s="75">
        <f>(NOT(W$14=exit))*IF($E66=1,Rentroll!$P54*'A&amp;R'!$AF$12*Rentroll!$H54,Rentroll!$P54*'A&amp;R'!$AF$11*Rentroll!$H54)*(MONTH($D66)=MONTH(W$14))*(YEAR($D66)=YEAR(W$14))*W$11/unit</f>
        <v>0</v>
      </c>
      <c r="X66" s="75">
        <f>(NOT(X$14=exit))*IF($E66=1,Rentroll!$P54*'A&amp;R'!$AF$12*Rentroll!$H54,Rentroll!$P54*'A&amp;R'!$AF$11*Rentroll!$H54)*(MONTH($D66)=MONTH(X$14))*(YEAR($D66)=YEAR(X$14))*X$11/unit</f>
        <v>0</v>
      </c>
      <c r="Y66" s="75">
        <f>(NOT(Y$14=exit))*IF($E66=1,Rentroll!$P54*'A&amp;R'!$AF$12*Rentroll!$H54,Rentroll!$P54*'A&amp;R'!$AF$11*Rentroll!$H54)*(MONTH($D66)=MONTH(Y$14))*(YEAR($D66)=YEAR(Y$14))*Y$11/unit</f>
        <v>0</v>
      </c>
      <c r="Z66" s="75">
        <f>(NOT(Z$14=exit))*IF($E66=1,Rentroll!$P54*'A&amp;R'!$AF$12*Rentroll!$H54,Rentroll!$P54*'A&amp;R'!$AF$11*Rentroll!$H54)*(MONTH($D66)=MONTH(Z$14))*(YEAR($D66)=YEAR(Z$14))*Z$11/unit</f>
        <v>0</v>
      </c>
      <c r="AA66" s="75">
        <f>(NOT(AA$14=exit))*IF($E66=1,Rentroll!$P54*'A&amp;R'!$AF$12*Rentroll!$H54,Rentroll!$P54*'A&amp;R'!$AF$11*Rentroll!$H54)*(MONTH($D66)=MONTH(AA$14))*(YEAR($D66)=YEAR(AA$14))*AA$11/unit</f>
        <v>0</v>
      </c>
      <c r="AB66" s="75">
        <f>(NOT(AB$14=exit))*IF($E66=1,Rentroll!$P54*'A&amp;R'!$AF$12*Rentroll!$H54,Rentroll!$P54*'A&amp;R'!$AF$11*Rentroll!$H54)*(MONTH($D66)=MONTH(AB$14))*(YEAR($D66)=YEAR(AB$14))*AB$11/unit</f>
        <v>0</v>
      </c>
      <c r="AC66" s="75">
        <f>(NOT(AC$14=exit))*IF($E66=1,Rentroll!$P54*'A&amp;R'!$AF$12*Rentroll!$H54,Rentroll!$P54*'A&amp;R'!$AF$11*Rentroll!$H54)*(MONTH($D66)=MONTH(AC$14))*(YEAR($D66)=YEAR(AC$14))*AC$11/unit</f>
        <v>0</v>
      </c>
      <c r="AD66" s="75">
        <f>(NOT(AD$14=exit))*IF($E66=1,Rentroll!$P54*'A&amp;R'!$AF$12*Rentroll!$H54,Rentroll!$P54*'A&amp;R'!$AF$11*Rentroll!$H54)*(MONTH($D66)=MONTH(AD$14))*(YEAR($D66)=YEAR(AD$14))*AD$11/unit</f>
        <v>0</v>
      </c>
      <c r="AE66" s="75">
        <f>(NOT(AE$14=exit))*IF($E66=1,Rentroll!$P54*'A&amp;R'!$AF$12*Rentroll!$H54,Rentroll!$P54*'A&amp;R'!$AF$11*Rentroll!$H54)*(MONTH($D66)=MONTH(AE$14))*(YEAR($D66)=YEAR(AE$14))*AE$11/unit</f>
        <v>0</v>
      </c>
      <c r="AF66" s="75">
        <f>(NOT(AF$14=exit))*IF($E66=1,Rentroll!$P54*'A&amp;R'!$AF$12*Rentroll!$H54,Rentroll!$P54*'A&amp;R'!$AF$11*Rentroll!$H54)*(MONTH($D66)=MONTH(AF$14))*(YEAR($D66)=YEAR(AF$14))*AF$11/unit</f>
        <v>0</v>
      </c>
      <c r="AG66" s="75">
        <f>(NOT(AG$14=exit))*IF($E66=1,Rentroll!$P54*'A&amp;R'!$AF$12*Rentroll!$H54,Rentroll!$P54*'A&amp;R'!$AF$11*Rentroll!$H54)*(MONTH($D66)=MONTH(AG$14))*(YEAR($D66)=YEAR(AG$14))*AG$11/unit</f>
        <v>0</v>
      </c>
      <c r="AH66" s="75">
        <f>(NOT(AH$14=exit))*IF($E66=1,Rentroll!$P54*'A&amp;R'!$AF$12*Rentroll!$H54,Rentroll!$P54*'A&amp;R'!$AF$11*Rentroll!$H54)*(MONTH($D66)=MONTH(AH$14))*(YEAR($D66)=YEAR(AH$14))*AH$11/unit</f>
        <v>0</v>
      </c>
      <c r="AI66" s="75">
        <f>(NOT(AI$14=exit))*IF($E66=1,Rentroll!$P54*'A&amp;R'!$AF$12*Rentroll!$H54,Rentroll!$P54*'A&amp;R'!$AF$11*Rentroll!$H54)*(MONTH($D66)=MONTH(AI$14))*(YEAR($D66)=YEAR(AI$14))*AI$11/unit</f>
        <v>0</v>
      </c>
      <c r="AJ66" s="75">
        <f>(NOT(AJ$14=exit))*IF($E66=1,Rentroll!$P54*'A&amp;R'!$AF$12*Rentroll!$H54,Rentroll!$P54*'A&amp;R'!$AF$11*Rentroll!$H54)*(MONTH($D66)=MONTH(AJ$14))*(YEAR($D66)=YEAR(AJ$14))*AJ$11/unit</f>
        <v>0</v>
      </c>
      <c r="AK66" s="75">
        <f>(NOT(AK$14=exit))*IF($E66=1,Rentroll!$P54*'A&amp;R'!$AF$12*Rentroll!$H54,Rentroll!$P54*'A&amp;R'!$AF$11*Rentroll!$H54)*(MONTH($D66)=MONTH(AK$14))*(YEAR($D66)=YEAR(AK$14))*AK$11/unit</f>
        <v>0</v>
      </c>
      <c r="AL66" s="75">
        <f>(NOT(AL$14=exit))*IF($E66=1,Rentroll!$P54*'A&amp;R'!$AF$12*Rentroll!$H54,Rentroll!$P54*'A&amp;R'!$AF$11*Rentroll!$H54)*(MONTH($D66)=MONTH(AL$14))*(YEAR($D66)=YEAR(AL$14))*AL$11/unit</f>
        <v>0</v>
      </c>
      <c r="AM66" s="75">
        <f>(NOT(AM$14=exit))*IF($E66=1,Rentroll!$P54*'A&amp;R'!$AF$12*Rentroll!$H54,Rentroll!$P54*'A&amp;R'!$AF$11*Rentroll!$H54)*(MONTH($D66)=MONTH(AM$14))*(YEAR($D66)=YEAR(AM$14))*AM$11/unit</f>
        <v>0</v>
      </c>
      <c r="AN66" s="75">
        <f>(NOT(AN$14=exit))*IF($E66=1,Rentroll!$P54*'A&amp;R'!$AF$12*Rentroll!$H54,Rentroll!$P54*'A&amp;R'!$AF$11*Rentroll!$H54)*(MONTH($D66)=MONTH(AN$14))*(YEAR($D66)=YEAR(AN$14))*AN$11/unit</f>
        <v>0</v>
      </c>
      <c r="AO66" s="75">
        <f>(NOT(AO$14=exit))*IF($E66=1,Rentroll!$P54*'A&amp;R'!$AF$12*Rentroll!$H54,Rentroll!$P54*'A&amp;R'!$AF$11*Rentroll!$H54)*(MONTH($D66)=MONTH(AO$14))*(YEAR($D66)=YEAR(AO$14))*AO$11/unit</f>
        <v>0</v>
      </c>
      <c r="AP66" s="75">
        <f>(NOT(AP$14=exit))*IF($E66=1,Rentroll!$P54*'A&amp;R'!$AF$12*Rentroll!$H54,Rentroll!$P54*'A&amp;R'!$AF$11*Rentroll!$H54)*(MONTH($D66)=MONTH(AP$14))*(YEAR($D66)=YEAR(AP$14))*AP$11/unit</f>
        <v>0</v>
      </c>
      <c r="AQ66" s="75">
        <f>(NOT(AQ$14=exit))*IF($E66=1,Rentroll!$P54*'A&amp;R'!$AF$12*Rentroll!$H54,Rentroll!$P54*'A&amp;R'!$AF$11*Rentroll!$H54)*(MONTH($D66)=MONTH(AQ$14))*(YEAR($D66)=YEAR(AQ$14))*AQ$11/unit</f>
        <v>0</v>
      </c>
      <c r="AR66" s="75">
        <f>(NOT(AR$14=exit))*IF($E66=1,Rentroll!$P54*'A&amp;R'!$AF$12*Rentroll!$H54,Rentroll!$P54*'A&amp;R'!$AF$11*Rentroll!$H54)*(MONTH($D66)=MONTH(AR$14))*(YEAR($D66)=YEAR(AR$14))*AR$11/unit</f>
        <v>0</v>
      </c>
      <c r="AS66" s="75">
        <f>(NOT(AS$14=exit))*IF($E66=1,Rentroll!$P54*'A&amp;R'!$AF$12*Rentroll!$H54,Rentroll!$P54*'A&amp;R'!$AF$11*Rentroll!$H54)*(MONTH($D66)=MONTH(AS$14))*(YEAR($D66)=YEAR(AS$14))*AS$11/unit</f>
        <v>0</v>
      </c>
      <c r="AT66" s="75">
        <f>(NOT(AT$14=exit))*IF($E66=1,Rentroll!$P54*'A&amp;R'!$AF$12*Rentroll!$H54,Rentroll!$P54*'A&amp;R'!$AF$11*Rentroll!$H54)*(MONTH($D66)=MONTH(AT$14))*(YEAR($D66)=YEAR(AT$14))*AT$11/unit</f>
        <v>0</v>
      </c>
      <c r="AU66" s="75">
        <f>(NOT(AU$14=exit))*IF($E66=1,Rentroll!$P54*'A&amp;R'!$AF$12*Rentroll!$H54,Rentroll!$P54*'A&amp;R'!$AF$11*Rentroll!$H54)*(MONTH($D66)=MONTH(AU$14))*(YEAR($D66)=YEAR(AU$14))*AU$11/unit</f>
        <v>0</v>
      </c>
      <c r="AV66" s="75">
        <f>(NOT(AV$14=exit))*IF($E66=1,Rentroll!$P54*'A&amp;R'!$AF$12*Rentroll!$H54,Rentroll!$P54*'A&amp;R'!$AF$11*Rentroll!$H54)*(MONTH($D66)=MONTH(AV$14))*(YEAR($D66)=YEAR(AV$14))*AV$11/unit</f>
        <v>0</v>
      </c>
      <c r="AW66" s="75">
        <f>(NOT(AW$14=exit))*IF($E66=1,Rentroll!$P54*'A&amp;R'!$AF$12*Rentroll!$H54,Rentroll!$P54*'A&amp;R'!$AF$11*Rentroll!$H54)*(MONTH($D66)=MONTH(AW$14))*(YEAR($D66)=YEAR(AW$14))*AW$11/unit</f>
        <v>0</v>
      </c>
      <c r="AX66" s="75">
        <f>(NOT(AX$14=exit))*IF($E66=1,Rentroll!$P54*'A&amp;R'!$AF$12*Rentroll!$H54,Rentroll!$P54*'A&amp;R'!$AF$11*Rentroll!$H54)*(MONTH($D66)=MONTH(AX$14))*(YEAR($D66)=YEAR(AX$14))*AX$11/unit</f>
        <v>0</v>
      </c>
      <c r="AY66" s="75">
        <f>(NOT(AY$14=exit))*IF($E66=1,Rentroll!$P54*'A&amp;R'!$AF$12*Rentroll!$H54,Rentroll!$P54*'A&amp;R'!$AF$11*Rentroll!$H54)*(MONTH($D66)=MONTH(AY$14))*(YEAR($D66)=YEAR(AY$14))*AY$11/unit</f>
        <v>0</v>
      </c>
      <c r="AZ66" s="75">
        <f>(NOT(AZ$14=exit))*IF($E66=1,Rentroll!$P54*'A&amp;R'!$AF$12*Rentroll!$H54,Rentroll!$P54*'A&amp;R'!$AF$11*Rentroll!$H54)*(MONTH($D66)=MONTH(AZ$14))*(YEAR($D66)=YEAR(AZ$14))*AZ$11/unit</f>
        <v>0</v>
      </c>
      <c r="BA66" s="75">
        <f>(NOT(BA$14=exit))*IF($E66=1,Rentroll!$P54*'A&amp;R'!$AF$12*Rentroll!$H54,Rentroll!$P54*'A&amp;R'!$AF$11*Rentroll!$H54)*(MONTH($D66)=MONTH(BA$14))*(YEAR($D66)=YEAR(BA$14))*BA$11/unit</f>
        <v>0</v>
      </c>
      <c r="BB66" s="75">
        <f>(NOT(BB$14=exit))*IF($E66=1,Rentroll!$P54*'A&amp;R'!$AF$12*Rentroll!$H54,Rentroll!$P54*'A&amp;R'!$AF$11*Rentroll!$H54)*(MONTH($D66)=MONTH(BB$14))*(YEAR($D66)=YEAR(BB$14))*BB$11/unit</f>
        <v>0</v>
      </c>
      <c r="BC66" s="75">
        <f>(NOT(BC$14=exit))*IF($E66=1,Rentroll!$P54*'A&amp;R'!$AF$12*Rentroll!$H54,Rentroll!$P54*'A&amp;R'!$AF$11*Rentroll!$H54)*(MONTH($D66)=MONTH(BC$14))*(YEAR($D66)=YEAR(BC$14))*BC$11/unit</f>
        <v>0</v>
      </c>
      <c r="BD66" s="75">
        <f>(NOT(BD$14=exit))*IF($E66=1,Rentroll!$P54*'A&amp;R'!$AF$12*Rentroll!$H54,Rentroll!$P54*'A&amp;R'!$AF$11*Rentroll!$H54)*(MONTH($D66)=MONTH(BD$14))*(YEAR($D66)=YEAR(BD$14))*BD$11/unit</f>
        <v>0</v>
      </c>
      <c r="BE66" s="75">
        <f>(NOT(BE$14=exit))*IF($E66=1,Rentroll!$P54*'A&amp;R'!$AF$12*Rentroll!$H54,Rentroll!$P54*'A&amp;R'!$AF$11*Rentroll!$H54)*(MONTH($D66)=MONTH(BE$14))*(YEAR($D66)=YEAR(BE$14))*BE$11/unit</f>
        <v>0</v>
      </c>
      <c r="BF66" s="75">
        <f>(NOT(BF$14=exit))*IF($E66=1,Rentroll!$P54*'A&amp;R'!$AF$12*Rentroll!$H54,Rentroll!$P54*'A&amp;R'!$AF$11*Rentroll!$H54)*(MONTH($D66)=MONTH(BF$14))*(YEAR($D66)=YEAR(BF$14))*BF$11/unit</f>
        <v>0</v>
      </c>
      <c r="BG66" s="75">
        <f>(NOT(BG$14=exit))*IF($E66=1,Rentroll!$P54*'A&amp;R'!$AF$12*Rentroll!$H54,Rentroll!$P54*'A&amp;R'!$AF$11*Rentroll!$H54)*(MONTH($D66)=MONTH(BG$14))*(YEAR($D66)=YEAR(BG$14))*BG$11/unit</f>
        <v>0</v>
      </c>
      <c r="BH66" s="75">
        <f>(NOT(BH$14=exit))*IF($E66=1,Rentroll!$P54*'A&amp;R'!$AF$12*Rentroll!$H54,Rentroll!$P54*'A&amp;R'!$AF$11*Rentroll!$H54)*(MONTH($D66)=MONTH(BH$14))*(YEAR($D66)=YEAR(BH$14))*BH$11/unit</f>
        <v>0</v>
      </c>
      <c r="BI66" s="75">
        <f>(NOT(BI$14=exit))*IF($E66=1,Rentroll!$P54*'A&amp;R'!$AF$12*Rentroll!$H54,Rentroll!$P54*'A&amp;R'!$AF$11*Rentroll!$H54)*(MONTH($D66)=MONTH(BI$14))*(YEAR($D66)=YEAR(BI$14))*BI$11/unit</f>
        <v>0</v>
      </c>
      <c r="BJ66" s="75">
        <f>(NOT(BJ$14=exit))*IF($E66=1,Rentroll!$P54*'A&amp;R'!$AF$12*Rentroll!$H54,Rentroll!$P54*'A&amp;R'!$AF$11*Rentroll!$H54)*(MONTH($D66)=MONTH(BJ$14))*(YEAR($D66)=YEAR(BJ$14))*BJ$11/unit</f>
        <v>0</v>
      </c>
      <c r="BK66" s="75">
        <f>(NOT(BK$14=exit))*IF($E66=1,Rentroll!$P54*'A&amp;R'!$AF$12*Rentroll!$H54,Rentroll!$P54*'A&amp;R'!$AF$11*Rentroll!$H54)*(MONTH($D66)=MONTH(BK$14))*(YEAR($D66)=YEAR(BK$14))*BK$11/unit</f>
        <v>0</v>
      </c>
      <c r="BL66" s="75">
        <f>(NOT(BL$14=exit))*IF($E66=1,Rentroll!$P54*'A&amp;R'!$AF$12*Rentroll!$H54,Rentroll!$P54*'A&amp;R'!$AF$11*Rentroll!$H54)*(MONTH($D66)=MONTH(BL$14))*(YEAR($D66)=YEAR(BL$14))*BL$11/unit</f>
        <v>0</v>
      </c>
      <c r="BM66" s="75">
        <f>(NOT(BM$14=exit))*IF($E66=1,Rentroll!$P54*'A&amp;R'!$AF$12*Rentroll!$H54,Rentroll!$P54*'A&amp;R'!$AF$11*Rentroll!$H54)*(MONTH($D66)=MONTH(BM$14))*(YEAR($D66)=YEAR(BM$14))*BM$11/unit</f>
        <v>0</v>
      </c>
      <c r="BN66" s="75">
        <f>(NOT(BN$14=exit))*IF($E66=1,Rentroll!$P54*'A&amp;R'!$AF$12*Rentroll!$H54,Rentroll!$P54*'A&amp;R'!$AF$11*Rentroll!$H54)*(MONTH($D66)=MONTH(BN$14))*(YEAR($D66)=YEAR(BN$14))*BN$11/unit</f>
        <v>0</v>
      </c>
      <c r="BO66" s="75">
        <f>(NOT(BO$14=exit))*IF($E66=1,Rentroll!$P54*'A&amp;R'!$AF$12*Rentroll!$H54,Rentroll!$P54*'A&amp;R'!$AF$11*Rentroll!$H54)*(MONTH($D66)=MONTH(BO$14))*(YEAR($D66)=YEAR(BO$14))*BO$11/unit</f>
        <v>0</v>
      </c>
      <c r="BP66" s="75">
        <f>(NOT(BP$14=exit))*IF($E66=1,Rentroll!$P54*'A&amp;R'!$AF$12*Rentroll!$H54,Rentroll!$P54*'A&amp;R'!$AF$11*Rentroll!$H54)*(MONTH($D66)=MONTH(BP$14))*(YEAR($D66)=YEAR(BP$14))*BP$11/unit</f>
        <v>0</v>
      </c>
      <c r="BQ66" s="75">
        <f>(NOT(BQ$14=exit))*IF($E66=1,Rentroll!$P54*'A&amp;R'!$AF$12*Rentroll!$H54,Rentroll!$P54*'A&amp;R'!$AF$11*Rentroll!$H54)*(MONTH($D66)=MONTH(BQ$14))*(YEAR($D66)=YEAR(BQ$14))*BQ$11/unit</f>
        <v>0</v>
      </c>
      <c r="BR66" s="75">
        <f>(NOT(BR$14=exit))*IF($E66=1,Rentroll!$P54*'A&amp;R'!$AF$12*Rentroll!$H54,Rentroll!$P54*'A&amp;R'!$AF$11*Rentroll!$H54)*(MONTH($D66)=MONTH(BR$14))*(YEAR($D66)=YEAR(BR$14))*BR$11/unit</f>
        <v>0</v>
      </c>
      <c r="BS66" s="75">
        <f>(NOT(BS$14=exit))*IF($E66=1,Rentroll!$P54*'A&amp;R'!$AF$12*Rentroll!$H54,Rentroll!$P54*'A&amp;R'!$AF$11*Rentroll!$H54)*(MONTH($D66)=MONTH(BS$14))*(YEAR($D66)=YEAR(BS$14))*BS$11/unit</f>
        <v>0</v>
      </c>
      <c r="BT66" s="75">
        <f>(NOT(BT$14=exit))*IF($E66=1,Rentroll!$P54*'A&amp;R'!$AF$12*Rentroll!$H54,Rentroll!$P54*'A&amp;R'!$AF$11*Rentroll!$H54)*(MONTH($D66)=MONTH(BT$14))*(YEAR($D66)=YEAR(BT$14))*BT$11/unit</f>
        <v>0</v>
      </c>
      <c r="BU66" s="75">
        <f>(NOT(BU$14=exit))*IF($E66=1,Rentroll!$P54*'A&amp;R'!$AF$12*Rentroll!$H54,Rentroll!$P54*'A&amp;R'!$AF$11*Rentroll!$H54)*(MONTH($D66)=MONTH(BU$14))*(YEAR($D66)=YEAR(BU$14))*BU$11/unit</f>
        <v>0</v>
      </c>
      <c r="BV66" s="75">
        <f>(NOT(BV$14=exit))*IF($E66=1,Rentroll!$P54*'A&amp;R'!$AF$12*Rentroll!$H54,Rentroll!$P54*'A&amp;R'!$AF$11*Rentroll!$H54)*(MONTH($D66)=MONTH(BV$14))*(YEAR($D66)=YEAR(BV$14))*BV$11/unit</f>
        <v>0</v>
      </c>
      <c r="BW66" s="75">
        <f>(NOT(BW$14=exit))*IF($E66=1,Rentroll!$P54*'A&amp;R'!$AF$12*Rentroll!$H54,Rentroll!$P54*'A&amp;R'!$AF$11*Rentroll!$H54)*(MONTH($D66)=MONTH(BW$14))*(YEAR($D66)=YEAR(BW$14))*BW$11/unit</f>
        <v>0</v>
      </c>
      <c r="BX66" s="75">
        <f>(NOT(BX$14=exit))*IF($E66=1,Rentroll!$P54*'A&amp;R'!$AF$12*Rentroll!$H54,Rentroll!$P54*'A&amp;R'!$AF$11*Rentroll!$H54)*(MONTH($D66)=MONTH(BX$14))*(YEAR($D66)=YEAR(BX$14))*BX$11/unit</f>
        <v>0</v>
      </c>
      <c r="BY66" s="75">
        <f>(NOT(BY$14=exit))*IF($E66=1,Rentroll!$P54*'A&amp;R'!$AF$12*Rentroll!$H54,Rentroll!$P54*'A&amp;R'!$AF$11*Rentroll!$H54)*(MONTH($D66)=MONTH(BY$14))*(YEAR($D66)=YEAR(BY$14))*BY$11/unit</f>
        <v>0</v>
      </c>
      <c r="BZ66" s="75">
        <f>(NOT(BZ$14=exit))*IF($E66=1,Rentroll!$P54*'A&amp;R'!$AF$12*Rentroll!$H54,Rentroll!$P54*'A&amp;R'!$AF$11*Rentroll!$H54)*(MONTH($D66)=MONTH(BZ$14))*(YEAR($D66)=YEAR(BZ$14))*BZ$11/unit</f>
        <v>0</v>
      </c>
      <c r="CA66" s="75">
        <f>(NOT(CA$14=exit))*IF($E66=1,Rentroll!$P54*'A&amp;R'!$AF$12*Rentroll!$H54,Rentroll!$P54*'A&amp;R'!$AF$11*Rentroll!$H54)*(MONTH($D66)=MONTH(CA$14))*(YEAR($D66)=YEAR(CA$14))*CA$11/unit</f>
        <v>0</v>
      </c>
      <c r="CB66" s="75">
        <f>(NOT(CB$14=exit))*IF($E66=1,Rentroll!$P54*'A&amp;R'!$AF$12*Rentroll!$H54,Rentroll!$P54*'A&amp;R'!$AF$11*Rentroll!$H54)*(MONTH($D66)=MONTH(CB$14))*(YEAR($D66)=YEAR(CB$14))*CB$11/unit</f>
        <v>0</v>
      </c>
      <c r="CC66" s="75">
        <f>(NOT(CC$14=exit))*IF($E66=1,Rentroll!$P54*'A&amp;R'!$AF$12*Rentroll!$H54,Rentroll!$P54*'A&amp;R'!$AF$11*Rentroll!$H54)*(MONTH($D66)=MONTH(CC$14))*(YEAR($D66)=YEAR(CC$14))*CC$11/unit</f>
        <v>0</v>
      </c>
      <c r="CD66" s="75">
        <f>(NOT(CD$14=exit))*IF($E66=1,Rentroll!$P54*'A&amp;R'!$AF$12*Rentroll!$H54,Rentroll!$P54*'A&amp;R'!$AF$11*Rentroll!$H54)*(MONTH($D66)=MONTH(CD$14))*(YEAR($D66)=YEAR(CD$14))*CD$11/unit</f>
        <v>0</v>
      </c>
      <c r="CE66" s="75">
        <f>(NOT(CE$14=exit))*IF($E66=1,Rentroll!$P54*'A&amp;R'!$AF$12*Rentroll!$H54,Rentroll!$P54*'A&amp;R'!$AF$11*Rentroll!$H54)*(MONTH($D66)=MONTH(CE$14))*(YEAR($D66)=YEAR(CE$14))*CE$11/unit</f>
        <v>0</v>
      </c>
      <c r="CF66" s="75">
        <f>(NOT(CF$14=exit))*IF($E66=1,Rentroll!$P54*'A&amp;R'!$AF$12*Rentroll!$H54,Rentroll!$P54*'A&amp;R'!$AF$11*Rentroll!$H54)*(MONTH($D66)=MONTH(CF$14))*(YEAR($D66)=YEAR(CF$14))*CF$11/unit</f>
        <v>0</v>
      </c>
      <c r="CG66" s="75">
        <f>(NOT(CG$14=exit))*IF($E66=1,Rentroll!$P54*'A&amp;R'!$AF$12*Rentroll!$H54,Rentroll!$P54*'A&amp;R'!$AF$11*Rentroll!$H54)*(MONTH($D66)=MONTH(CG$14))*(YEAR($D66)=YEAR(CG$14))*CG$11/unit</f>
        <v>0</v>
      </c>
      <c r="CH66" s="75">
        <f>(NOT(CH$14=exit))*IF($E66=1,Rentroll!$P54*'A&amp;R'!$AF$12*Rentroll!$H54,Rentroll!$P54*'A&amp;R'!$AF$11*Rentroll!$H54)*(MONTH($D66)=MONTH(CH$14))*(YEAR($D66)=YEAR(CH$14))*CH$11/unit</f>
        <v>0</v>
      </c>
      <c r="CI66" s="75">
        <f>(NOT(CI$14=exit))*IF($E66=1,Rentroll!$P54*'A&amp;R'!$AF$12*Rentroll!$H54,Rentroll!$P54*'A&amp;R'!$AF$11*Rentroll!$H54)*(MONTH($D66)=MONTH(CI$14))*(YEAR($D66)=YEAR(CI$14))*CI$11/unit</f>
        <v>0</v>
      </c>
      <c r="CJ66" s="75">
        <f>(NOT(CJ$14=exit))*IF($E66=1,Rentroll!$P54*'A&amp;R'!$AF$12*Rentroll!$H54,Rentroll!$P54*'A&amp;R'!$AF$11*Rentroll!$H54)*(MONTH($D66)=MONTH(CJ$14))*(YEAR($D66)=YEAR(CJ$14))*CJ$11/unit</f>
        <v>0</v>
      </c>
      <c r="CK66" s="75">
        <f>(NOT(CK$14=exit))*IF($E66=1,Rentroll!$P54*'A&amp;R'!$AF$12*Rentroll!$H54,Rentroll!$P54*'A&amp;R'!$AF$11*Rentroll!$H54)*(MONTH($D66)=MONTH(CK$14))*(YEAR($D66)=YEAR(CK$14))*CK$11/unit</f>
        <v>0</v>
      </c>
      <c r="CL66" s="75">
        <f>(NOT(CL$14=exit))*IF($E66=1,Rentroll!$P54*'A&amp;R'!$AF$12*Rentroll!$H54,Rentroll!$P54*'A&amp;R'!$AF$11*Rentroll!$H54)*(MONTH($D66)=MONTH(CL$14))*(YEAR($D66)=YEAR(CL$14))*CL$11/unit</f>
        <v>0</v>
      </c>
      <c r="CM66" s="75">
        <f>(NOT(CM$14=exit))*IF($E66=1,Rentroll!$P54*'A&amp;R'!$AF$12*Rentroll!$H54,Rentroll!$P54*'A&amp;R'!$AF$11*Rentroll!$H54)*(MONTH($D66)=MONTH(CM$14))*(YEAR($D66)=YEAR(CM$14))*CM$11/unit</f>
        <v>0</v>
      </c>
      <c r="CN66" s="75">
        <f>(NOT(CN$14=exit))*IF($E66=1,Rentroll!$P54*'A&amp;R'!$AF$12*Rentroll!$H54,Rentroll!$P54*'A&amp;R'!$AF$11*Rentroll!$H54)*(MONTH($D66)=MONTH(CN$14))*(YEAR($D66)=YEAR(CN$14))*CN$11/unit</f>
        <v>0</v>
      </c>
      <c r="CO66" s="75">
        <f>(NOT(CO$14=exit))*IF($E66=1,Rentroll!$P54*'A&amp;R'!$AF$12*Rentroll!$H54,Rentroll!$P54*'A&amp;R'!$AF$11*Rentroll!$H54)*(MONTH($D66)=MONTH(CO$14))*(YEAR($D66)=YEAR(CO$14))*CO$11/unit</f>
        <v>0</v>
      </c>
      <c r="CP66" s="75">
        <f>(NOT(CP$14=exit))*IF($E66=1,Rentroll!$P54*'A&amp;R'!$AF$12*Rentroll!$H54,Rentroll!$P54*'A&amp;R'!$AF$11*Rentroll!$H54)*(MONTH($D66)=MONTH(CP$14))*(YEAR($D66)=YEAR(CP$14))*CP$11/unit</f>
        <v>0</v>
      </c>
      <c r="CQ66" s="75">
        <f>(NOT(CQ$14=exit))*IF($E66=1,Rentroll!$P54*'A&amp;R'!$AF$12*Rentroll!$H54,Rentroll!$P54*'A&amp;R'!$AF$11*Rentroll!$H54)*(MONTH($D66)=MONTH(CQ$14))*(YEAR($D66)=YEAR(CQ$14))*CQ$11/unit</f>
        <v>0</v>
      </c>
      <c r="CR66" s="75">
        <f>(NOT(CR$14=exit))*IF($E66=1,Rentroll!$P54*'A&amp;R'!$AF$12*Rentroll!$H54,Rentroll!$P54*'A&amp;R'!$AF$11*Rentroll!$H54)*(MONTH($D66)=MONTH(CR$14))*(YEAR($D66)=YEAR(CR$14))*CR$11/unit</f>
        <v>0</v>
      </c>
      <c r="CS66" s="75">
        <f>(NOT(CS$14=exit))*IF($E66=1,Rentroll!$P54*'A&amp;R'!$AF$12*Rentroll!$H54,Rentroll!$P54*'A&amp;R'!$AF$11*Rentroll!$H54)*(MONTH($D66)=MONTH(CS$14))*(YEAR($D66)=YEAR(CS$14))*CS$11/unit</f>
        <v>0</v>
      </c>
      <c r="CT66" s="75">
        <f>(NOT(CT$14=exit))*IF($E66=1,Rentroll!$P54*'A&amp;R'!$AF$12*Rentroll!$H54,Rentroll!$P54*'A&amp;R'!$AF$11*Rentroll!$H54)*(MONTH($D66)=MONTH(CT$14))*(YEAR($D66)=YEAR(CT$14))*CT$11/unit</f>
        <v>0</v>
      </c>
      <c r="CU66" s="75">
        <f>(NOT(CU$14=exit))*IF($E66=1,Rentroll!$P54*'A&amp;R'!$AF$12*Rentroll!$H54,Rentroll!$P54*'A&amp;R'!$AF$11*Rentroll!$H54)*(MONTH($D66)=MONTH(CU$14))*(YEAR($D66)=YEAR(CU$14))*CU$11/unit</f>
        <v>0</v>
      </c>
      <c r="CV66" s="75">
        <f>(NOT(CV$14=exit))*IF($E66=1,Rentroll!$P54*'A&amp;R'!$AF$12*Rentroll!$H54,Rentroll!$P54*'A&amp;R'!$AF$11*Rentroll!$H54)*(MONTH($D66)=MONTH(CV$14))*(YEAR($D66)=YEAR(CV$14))*CV$11/unit</f>
        <v>0</v>
      </c>
      <c r="CW66" s="75">
        <f>(NOT(CW$14=exit))*IF($E66=1,Rentroll!$P54*'A&amp;R'!$AF$12*Rentroll!$H54,Rentroll!$P54*'A&amp;R'!$AF$11*Rentroll!$H54)*(MONTH($D66)=MONTH(CW$14))*(YEAR($D66)=YEAR(CW$14))*CW$11/unit</f>
        <v>0</v>
      </c>
      <c r="CX66" s="75">
        <f>(NOT(CX$14=exit))*IF($E66=1,Rentroll!$P54*'A&amp;R'!$AF$12*Rentroll!$H54,Rentroll!$P54*'A&amp;R'!$AF$11*Rentroll!$H54)*(MONTH($D66)=MONTH(CX$14))*(YEAR($D66)=YEAR(CX$14))*CX$11/unit</f>
        <v>0</v>
      </c>
      <c r="CY66" s="75">
        <f>(NOT(CY$14=exit))*IF($E66=1,Rentroll!$P54*'A&amp;R'!$AF$12*Rentroll!$H54,Rentroll!$P54*'A&amp;R'!$AF$11*Rentroll!$H54)*(MONTH($D66)=MONTH(CY$14))*(YEAR($D66)=YEAR(CY$14))*CY$11/unit</f>
        <v>0</v>
      </c>
      <c r="CZ66" s="75">
        <f>(NOT(CZ$14=exit))*IF($E66=1,Rentroll!$P54*'A&amp;R'!$AF$12*Rentroll!$H54,Rentroll!$P54*'A&amp;R'!$AF$11*Rentroll!$H54)*(MONTH($D66)=MONTH(CZ$14))*(YEAR($D66)=YEAR(CZ$14))*CZ$11/unit</f>
        <v>0</v>
      </c>
      <c r="DA66" s="75">
        <f>(NOT(DA$14=exit))*IF($E66=1,Rentroll!$P54*'A&amp;R'!$AF$12*Rentroll!$H54,Rentroll!$P54*'A&amp;R'!$AF$11*Rentroll!$H54)*(MONTH($D66)=MONTH(DA$14))*(YEAR($D66)=YEAR(DA$14))*DA$11/unit</f>
        <v>0</v>
      </c>
      <c r="DB66" s="75">
        <f>(NOT(DB$14=exit))*IF($E66=1,Rentroll!$P54*'A&amp;R'!$AF$12*Rentroll!$H54,Rentroll!$P54*'A&amp;R'!$AF$11*Rentroll!$H54)*(MONTH($D66)=MONTH(DB$14))*(YEAR($D66)=YEAR(DB$14))*DB$11/unit</f>
        <v>0</v>
      </c>
    </row>
    <row r="67" spans="2:106">
      <c r="C67" s="27" t="str">
        <f>Rentroll!$C$55</f>
        <v>204호</v>
      </c>
      <c r="D67" s="80">
        <f>VLOOKUP($C67,Rentroll!$C$37:$Z$60,9,FALSE)</f>
        <v>45747</v>
      </c>
      <c r="E67" s="150">
        <f>VLOOKUP($C67,Rentroll!$C$37:$Z$60,24,FALSE)</f>
        <v>1</v>
      </c>
      <c r="F67" s="76">
        <f t="shared" si="44"/>
        <v>28.596048731250001</v>
      </c>
      <c r="G67" s="76"/>
      <c r="H67" s="76">
        <f>(NOT(H$14=exit))*IF($E67=1,Rentroll!$P55*'A&amp;R'!$AF$12*Rentroll!$H55,Rentroll!$P55*'A&amp;R'!$AF$11*Rentroll!$H55)*(MONTH($D67)=MONTH(H$14))*(YEAR($D67)=YEAR(H$14))*H$11/unit</f>
        <v>0</v>
      </c>
      <c r="I67" s="76">
        <f>(NOT(I$14=exit))*IF($E67=1,Rentroll!$P55*'A&amp;R'!$AF$12*Rentroll!$H55,Rentroll!$P55*'A&amp;R'!$AF$11*Rentroll!$H55)*(MONTH($D67)=MONTH(I$14))*(YEAR($D67)=YEAR(I$14))*I$11/unit</f>
        <v>0</v>
      </c>
      <c r="J67" s="76">
        <f>(NOT(J$14=exit))*IF($E67=1,Rentroll!$P55*'A&amp;R'!$AF$12*Rentroll!$H55,Rentroll!$P55*'A&amp;R'!$AF$11*Rentroll!$H55)*(MONTH($D67)=MONTH(J$14))*(YEAR($D67)=YEAR(J$14))*J$11/unit</f>
        <v>28.596048731250001</v>
      </c>
      <c r="K67" s="76">
        <f>(NOT(K$14=exit))*IF($E67=1,Rentroll!$P55*'A&amp;R'!$AF$12*Rentroll!$H55,Rentroll!$P55*'A&amp;R'!$AF$11*Rentroll!$H55)*(MONTH($D67)=MONTH(K$14))*(YEAR($D67)=YEAR(K$14))*K$11/unit</f>
        <v>0</v>
      </c>
      <c r="L67" s="76">
        <f>(NOT(L$14=exit))*IF($E67=1,Rentroll!$P55*'A&amp;R'!$AF$12*Rentroll!$H55,Rentroll!$P55*'A&amp;R'!$AF$11*Rentroll!$H55)*(MONTH($D67)=MONTH(L$14))*(YEAR($D67)=YEAR(L$14))*L$11/unit</f>
        <v>0</v>
      </c>
      <c r="M67" s="76">
        <f>(NOT(M$14=exit))*IF($E67=1,Rentroll!$P55*'A&amp;R'!$AF$12*Rentroll!$H55,Rentroll!$P55*'A&amp;R'!$AF$11*Rentroll!$H55)*(MONTH($D67)=MONTH(M$14))*(YEAR($D67)=YEAR(M$14))*M$11/unit</f>
        <v>0</v>
      </c>
      <c r="N67" s="76">
        <f>(NOT(N$14=exit))*IF($E67=1,Rentroll!$P55*'A&amp;R'!$AF$12*Rentroll!$H55,Rentroll!$P55*'A&amp;R'!$AF$11*Rentroll!$H55)*(MONTH($D67)=MONTH(N$14))*(YEAR($D67)=YEAR(N$14))*N$11/unit</f>
        <v>0</v>
      </c>
      <c r="O67" s="76">
        <f>(NOT(O$14=exit))*IF($E67=1,Rentroll!$P55*'A&amp;R'!$AF$12*Rentroll!$H55,Rentroll!$P55*'A&amp;R'!$AF$11*Rentroll!$H55)*(MONTH($D67)=MONTH(O$14))*(YEAR($D67)=YEAR(O$14))*O$11/unit</f>
        <v>0</v>
      </c>
      <c r="P67" s="76">
        <f>(NOT(P$14=exit))*IF($E67=1,Rentroll!$P55*'A&amp;R'!$AF$12*Rentroll!$H55,Rentroll!$P55*'A&amp;R'!$AF$11*Rentroll!$H55)*(MONTH($D67)=MONTH(P$14))*(YEAR($D67)=YEAR(P$14))*P$11/unit</f>
        <v>0</v>
      </c>
      <c r="Q67" s="76">
        <f>(NOT(Q$14=exit))*IF($E67=1,Rentroll!$P55*'A&amp;R'!$AF$12*Rentroll!$H55,Rentroll!$P55*'A&amp;R'!$AF$11*Rentroll!$H55)*(MONTH($D67)=MONTH(Q$14))*(YEAR($D67)=YEAR(Q$14))*Q$11/unit</f>
        <v>0</v>
      </c>
      <c r="R67" s="76">
        <f>(NOT(R$14=exit))*IF($E67=1,Rentroll!$P55*'A&amp;R'!$AF$12*Rentroll!$H55,Rentroll!$P55*'A&amp;R'!$AF$11*Rentroll!$H55)*(MONTH($D67)=MONTH(R$14))*(YEAR($D67)=YEAR(R$14))*R$11/unit</f>
        <v>0</v>
      </c>
      <c r="S67" s="76">
        <f>(NOT(S$14=exit))*IF($E67=1,Rentroll!$P55*'A&amp;R'!$AF$12*Rentroll!$H55,Rentroll!$P55*'A&amp;R'!$AF$11*Rentroll!$H55)*(MONTH($D67)=MONTH(S$14))*(YEAR($D67)=YEAR(S$14))*S$11/unit</f>
        <v>0</v>
      </c>
      <c r="T67" s="76">
        <f>(NOT(T$14=exit))*IF($E67=1,Rentroll!$P55*'A&amp;R'!$AF$12*Rentroll!$H55,Rentroll!$P55*'A&amp;R'!$AF$11*Rentroll!$H55)*(MONTH($D67)=MONTH(T$14))*(YEAR($D67)=YEAR(T$14))*T$11/unit</f>
        <v>0</v>
      </c>
      <c r="U67" s="76">
        <f>(NOT(U$14=exit))*IF($E67=1,Rentroll!$P55*'A&amp;R'!$AF$12*Rentroll!$H55,Rentroll!$P55*'A&amp;R'!$AF$11*Rentroll!$H55)*(MONTH($D67)=MONTH(U$14))*(YEAR($D67)=YEAR(U$14))*U$11/unit</f>
        <v>0</v>
      </c>
      <c r="V67" s="76">
        <f>(NOT(V$14=exit))*IF($E67=1,Rentroll!$P55*'A&amp;R'!$AF$12*Rentroll!$H55,Rentroll!$P55*'A&amp;R'!$AF$11*Rentroll!$H55)*(MONTH($D67)=MONTH(V$14))*(YEAR($D67)=YEAR(V$14))*V$11/unit</f>
        <v>0</v>
      </c>
      <c r="W67" s="76">
        <f>(NOT(W$14=exit))*IF($E67=1,Rentroll!$P55*'A&amp;R'!$AF$12*Rentroll!$H55,Rentroll!$P55*'A&amp;R'!$AF$11*Rentroll!$H55)*(MONTH($D67)=MONTH(W$14))*(YEAR($D67)=YEAR(W$14))*W$11/unit</f>
        <v>0</v>
      </c>
      <c r="X67" s="76">
        <f>(NOT(X$14=exit))*IF($E67=1,Rentroll!$P55*'A&amp;R'!$AF$12*Rentroll!$H55,Rentroll!$P55*'A&amp;R'!$AF$11*Rentroll!$H55)*(MONTH($D67)=MONTH(X$14))*(YEAR($D67)=YEAR(X$14))*X$11/unit</f>
        <v>0</v>
      </c>
      <c r="Y67" s="76">
        <f>(NOT(Y$14=exit))*IF($E67=1,Rentroll!$P55*'A&amp;R'!$AF$12*Rentroll!$H55,Rentroll!$P55*'A&amp;R'!$AF$11*Rentroll!$H55)*(MONTH($D67)=MONTH(Y$14))*(YEAR($D67)=YEAR(Y$14))*Y$11/unit</f>
        <v>0</v>
      </c>
      <c r="Z67" s="76">
        <f>(NOT(Z$14=exit))*IF($E67=1,Rentroll!$P55*'A&amp;R'!$AF$12*Rentroll!$H55,Rentroll!$P55*'A&amp;R'!$AF$11*Rentroll!$H55)*(MONTH($D67)=MONTH(Z$14))*(YEAR($D67)=YEAR(Z$14))*Z$11/unit</f>
        <v>0</v>
      </c>
      <c r="AA67" s="76">
        <f>(NOT(AA$14=exit))*IF($E67=1,Rentroll!$P55*'A&amp;R'!$AF$12*Rentroll!$H55,Rentroll!$P55*'A&amp;R'!$AF$11*Rentroll!$H55)*(MONTH($D67)=MONTH(AA$14))*(YEAR($D67)=YEAR(AA$14))*AA$11/unit</f>
        <v>0</v>
      </c>
      <c r="AB67" s="76">
        <f>(NOT(AB$14=exit))*IF($E67=1,Rentroll!$P55*'A&amp;R'!$AF$12*Rentroll!$H55,Rentroll!$P55*'A&amp;R'!$AF$11*Rentroll!$H55)*(MONTH($D67)=MONTH(AB$14))*(YEAR($D67)=YEAR(AB$14))*AB$11/unit</f>
        <v>0</v>
      </c>
      <c r="AC67" s="76">
        <f>(NOT(AC$14=exit))*IF($E67=1,Rentroll!$P55*'A&amp;R'!$AF$12*Rentroll!$H55,Rentroll!$P55*'A&amp;R'!$AF$11*Rentroll!$H55)*(MONTH($D67)=MONTH(AC$14))*(YEAR($D67)=YEAR(AC$14))*AC$11/unit</f>
        <v>0</v>
      </c>
      <c r="AD67" s="76">
        <f>(NOT(AD$14=exit))*IF($E67=1,Rentroll!$P55*'A&amp;R'!$AF$12*Rentroll!$H55,Rentroll!$P55*'A&amp;R'!$AF$11*Rentroll!$H55)*(MONTH($D67)=MONTH(AD$14))*(YEAR($D67)=YEAR(AD$14))*AD$11/unit</f>
        <v>0</v>
      </c>
      <c r="AE67" s="76">
        <f>(NOT(AE$14=exit))*IF($E67=1,Rentroll!$P55*'A&amp;R'!$AF$12*Rentroll!$H55,Rentroll!$P55*'A&amp;R'!$AF$11*Rentroll!$H55)*(MONTH($D67)=MONTH(AE$14))*(YEAR($D67)=YEAR(AE$14))*AE$11/unit</f>
        <v>0</v>
      </c>
      <c r="AF67" s="76">
        <f>(NOT(AF$14=exit))*IF($E67=1,Rentroll!$P55*'A&amp;R'!$AF$12*Rentroll!$H55,Rentroll!$P55*'A&amp;R'!$AF$11*Rentroll!$H55)*(MONTH($D67)=MONTH(AF$14))*(YEAR($D67)=YEAR(AF$14))*AF$11/unit</f>
        <v>0</v>
      </c>
      <c r="AG67" s="76">
        <f>(NOT(AG$14=exit))*IF($E67=1,Rentroll!$P55*'A&amp;R'!$AF$12*Rentroll!$H55,Rentroll!$P55*'A&amp;R'!$AF$11*Rentroll!$H55)*(MONTH($D67)=MONTH(AG$14))*(YEAR($D67)=YEAR(AG$14))*AG$11/unit</f>
        <v>0</v>
      </c>
      <c r="AH67" s="76">
        <f>(NOT(AH$14=exit))*IF($E67=1,Rentroll!$P55*'A&amp;R'!$AF$12*Rentroll!$H55,Rentroll!$P55*'A&amp;R'!$AF$11*Rentroll!$H55)*(MONTH($D67)=MONTH(AH$14))*(YEAR($D67)=YEAR(AH$14))*AH$11/unit</f>
        <v>0</v>
      </c>
      <c r="AI67" s="76">
        <f>(NOT(AI$14=exit))*IF($E67=1,Rentroll!$P55*'A&amp;R'!$AF$12*Rentroll!$H55,Rentroll!$P55*'A&amp;R'!$AF$11*Rentroll!$H55)*(MONTH($D67)=MONTH(AI$14))*(YEAR($D67)=YEAR(AI$14))*AI$11/unit</f>
        <v>0</v>
      </c>
      <c r="AJ67" s="76">
        <f>(NOT(AJ$14=exit))*IF($E67=1,Rentroll!$P55*'A&amp;R'!$AF$12*Rentroll!$H55,Rentroll!$P55*'A&amp;R'!$AF$11*Rentroll!$H55)*(MONTH($D67)=MONTH(AJ$14))*(YEAR($D67)=YEAR(AJ$14))*AJ$11/unit</f>
        <v>0</v>
      </c>
      <c r="AK67" s="76">
        <f>(NOT(AK$14=exit))*IF($E67=1,Rentroll!$P55*'A&amp;R'!$AF$12*Rentroll!$H55,Rentroll!$P55*'A&amp;R'!$AF$11*Rentroll!$H55)*(MONTH($D67)=MONTH(AK$14))*(YEAR($D67)=YEAR(AK$14))*AK$11/unit</f>
        <v>0</v>
      </c>
      <c r="AL67" s="76">
        <f>(NOT(AL$14=exit))*IF($E67=1,Rentroll!$P55*'A&amp;R'!$AF$12*Rentroll!$H55,Rentroll!$P55*'A&amp;R'!$AF$11*Rentroll!$H55)*(MONTH($D67)=MONTH(AL$14))*(YEAR($D67)=YEAR(AL$14))*AL$11/unit</f>
        <v>0</v>
      </c>
      <c r="AM67" s="76">
        <f>(NOT(AM$14=exit))*IF($E67=1,Rentroll!$P55*'A&amp;R'!$AF$12*Rentroll!$H55,Rentroll!$P55*'A&amp;R'!$AF$11*Rentroll!$H55)*(MONTH($D67)=MONTH(AM$14))*(YEAR($D67)=YEAR(AM$14))*AM$11/unit</f>
        <v>0</v>
      </c>
      <c r="AN67" s="76">
        <f>(NOT(AN$14=exit))*IF($E67=1,Rentroll!$P55*'A&amp;R'!$AF$12*Rentroll!$H55,Rentroll!$P55*'A&amp;R'!$AF$11*Rentroll!$H55)*(MONTH($D67)=MONTH(AN$14))*(YEAR($D67)=YEAR(AN$14))*AN$11/unit</f>
        <v>0</v>
      </c>
      <c r="AO67" s="76">
        <f>(NOT(AO$14=exit))*IF($E67=1,Rentroll!$P55*'A&amp;R'!$AF$12*Rentroll!$H55,Rentroll!$P55*'A&amp;R'!$AF$11*Rentroll!$H55)*(MONTH($D67)=MONTH(AO$14))*(YEAR($D67)=YEAR(AO$14))*AO$11/unit</f>
        <v>0</v>
      </c>
      <c r="AP67" s="76">
        <f>(NOT(AP$14=exit))*IF($E67=1,Rentroll!$P55*'A&amp;R'!$AF$12*Rentroll!$H55,Rentroll!$P55*'A&amp;R'!$AF$11*Rentroll!$H55)*(MONTH($D67)=MONTH(AP$14))*(YEAR($D67)=YEAR(AP$14))*AP$11/unit</f>
        <v>0</v>
      </c>
      <c r="AQ67" s="76">
        <f>(NOT(AQ$14=exit))*IF($E67=1,Rentroll!$P55*'A&amp;R'!$AF$12*Rentroll!$H55,Rentroll!$P55*'A&amp;R'!$AF$11*Rentroll!$H55)*(MONTH($D67)=MONTH(AQ$14))*(YEAR($D67)=YEAR(AQ$14))*AQ$11/unit</f>
        <v>0</v>
      </c>
      <c r="AR67" s="76">
        <f>(NOT(AR$14=exit))*IF($E67=1,Rentroll!$P55*'A&amp;R'!$AF$12*Rentroll!$H55,Rentroll!$P55*'A&amp;R'!$AF$11*Rentroll!$H55)*(MONTH($D67)=MONTH(AR$14))*(YEAR($D67)=YEAR(AR$14))*AR$11/unit</f>
        <v>0</v>
      </c>
      <c r="AS67" s="76">
        <f>(NOT(AS$14=exit))*IF($E67=1,Rentroll!$P55*'A&amp;R'!$AF$12*Rentroll!$H55,Rentroll!$P55*'A&amp;R'!$AF$11*Rentroll!$H55)*(MONTH($D67)=MONTH(AS$14))*(YEAR($D67)=YEAR(AS$14))*AS$11/unit</f>
        <v>0</v>
      </c>
      <c r="AT67" s="76">
        <f>(NOT(AT$14=exit))*IF($E67=1,Rentroll!$P55*'A&amp;R'!$AF$12*Rentroll!$H55,Rentroll!$P55*'A&amp;R'!$AF$11*Rentroll!$H55)*(MONTH($D67)=MONTH(AT$14))*(YEAR($D67)=YEAR(AT$14))*AT$11/unit</f>
        <v>0</v>
      </c>
      <c r="AU67" s="76">
        <f>(NOT(AU$14=exit))*IF($E67=1,Rentroll!$P55*'A&amp;R'!$AF$12*Rentroll!$H55,Rentroll!$P55*'A&amp;R'!$AF$11*Rentroll!$H55)*(MONTH($D67)=MONTH(AU$14))*(YEAR($D67)=YEAR(AU$14))*AU$11/unit</f>
        <v>0</v>
      </c>
      <c r="AV67" s="76">
        <f>(NOT(AV$14=exit))*IF($E67=1,Rentroll!$P55*'A&amp;R'!$AF$12*Rentroll!$H55,Rentroll!$P55*'A&amp;R'!$AF$11*Rentroll!$H55)*(MONTH($D67)=MONTH(AV$14))*(YEAR($D67)=YEAR(AV$14))*AV$11/unit</f>
        <v>0</v>
      </c>
      <c r="AW67" s="76">
        <f>(NOT(AW$14=exit))*IF($E67=1,Rentroll!$P55*'A&amp;R'!$AF$12*Rentroll!$H55,Rentroll!$P55*'A&amp;R'!$AF$11*Rentroll!$H55)*(MONTH($D67)=MONTH(AW$14))*(YEAR($D67)=YEAR(AW$14))*AW$11/unit</f>
        <v>0</v>
      </c>
      <c r="AX67" s="76">
        <f>(NOT(AX$14=exit))*IF($E67=1,Rentroll!$P55*'A&amp;R'!$AF$12*Rentroll!$H55,Rentroll!$P55*'A&amp;R'!$AF$11*Rentroll!$H55)*(MONTH($D67)=MONTH(AX$14))*(YEAR($D67)=YEAR(AX$14))*AX$11/unit</f>
        <v>0</v>
      </c>
      <c r="AY67" s="76">
        <f>(NOT(AY$14=exit))*IF($E67=1,Rentroll!$P55*'A&amp;R'!$AF$12*Rentroll!$H55,Rentroll!$P55*'A&amp;R'!$AF$11*Rentroll!$H55)*(MONTH($D67)=MONTH(AY$14))*(YEAR($D67)=YEAR(AY$14))*AY$11/unit</f>
        <v>0</v>
      </c>
      <c r="AZ67" s="76">
        <f>(NOT(AZ$14=exit))*IF($E67=1,Rentroll!$P55*'A&amp;R'!$AF$12*Rentroll!$H55,Rentroll!$P55*'A&amp;R'!$AF$11*Rentroll!$H55)*(MONTH($D67)=MONTH(AZ$14))*(YEAR($D67)=YEAR(AZ$14))*AZ$11/unit</f>
        <v>0</v>
      </c>
      <c r="BA67" s="76">
        <f>(NOT(BA$14=exit))*IF($E67=1,Rentroll!$P55*'A&amp;R'!$AF$12*Rentroll!$H55,Rentroll!$P55*'A&amp;R'!$AF$11*Rentroll!$H55)*(MONTH($D67)=MONTH(BA$14))*(YEAR($D67)=YEAR(BA$14))*BA$11/unit</f>
        <v>0</v>
      </c>
      <c r="BB67" s="76">
        <f>(NOT(BB$14=exit))*IF($E67=1,Rentroll!$P55*'A&amp;R'!$AF$12*Rentroll!$H55,Rentroll!$P55*'A&amp;R'!$AF$11*Rentroll!$H55)*(MONTH($D67)=MONTH(BB$14))*(YEAR($D67)=YEAR(BB$14))*BB$11/unit</f>
        <v>0</v>
      </c>
      <c r="BC67" s="76">
        <f>(NOT(BC$14=exit))*IF($E67=1,Rentroll!$P55*'A&amp;R'!$AF$12*Rentroll!$H55,Rentroll!$P55*'A&amp;R'!$AF$11*Rentroll!$H55)*(MONTH($D67)=MONTH(BC$14))*(YEAR($D67)=YEAR(BC$14))*BC$11/unit</f>
        <v>0</v>
      </c>
      <c r="BD67" s="76">
        <f>(NOT(BD$14=exit))*IF($E67=1,Rentroll!$P55*'A&amp;R'!$AF$12*Rentroll!$H55,Rentroll!$P55*'A&amp;R'!$AF$11*Rentroll!$H55)*(MONTH($D67)=MONTH(BD$14))*(YEAR($D67)=YEAR(BD$14))*BD$11/unit</f>
        <v>0</v>
      </c>
      <c r="BE67" s="76">
        <f>(NOT(BE$14=exit))*IF($E67=1,Rentroll!$P55*'A&amp;R'!$AF$12*Rentroll!$H55,Rentroll!$P55*'A&amp;R'!$AF$11*Rentroll!$H55)*(MONTH($D67)=MONTH(BE$14))*(YEAR($D67)=YEAR(BE$14))*BE$11/unit</f>
        <v>0</v>
      </c>
      <c r="BF67" s="76">
        <f>(NOT(BF$14=exit))*IF($E67=1,Rentroll!$P55*'A&amp;R'!$AF$12*Rentroll!$H55,Rentroll!$P55*'A&amp;R'!$AF$11*Rentroll!$H55)*(MONTH($D67)=MONTH(BF$14))*(YEAR($D67)=YEAR(BF$14))*BF$11/unit</f>
        <v>0</v>
      </c>
      <c r="BG67" s="76">
        <f>(NOT(BG$14=exit))*IF($E67=1,Rentroll!$P55*'A&amp;R'!$AF$12*Rentroll!$H55,Rentroll!$P55*'A&amp;R'!$AF$11*Rentroll!$H55)*(MONTH($D67)=MONTH(BG$14))*(YEAR($D67)=YEAR(BG$14))*BG$11/unit</f>
        <v>0</v>
      </c>
      <c r="BH67" s="76">
        <f>(NOT(BH$14=exit))*IF($E67=1,Rentroll!$P55*'A&amp;R'!$AF$12*Rentroll!$H55,Rentroll!$P55*'A&amp;R'!$AF$11*Rentroll!$H55)*(MONTH($D67)=MONTH(BH$14))*(YEAR($D67)=YEAR(BH$14))*BH$11/unit</f>
        <v>0</v>
      </c>
      <c r="BI67" s="76">
        <f>(NOT(BI$14=exit))*IF($E67=1,Rentroll!$P55*'A&amp;R'!$AF$12*Rentroll!$H55,Rentroll!$P55*'A&amp;R'!$AF$11*Rentroll!$H55)*(MONTH($D67)=MONTH(BI$14))*(YEAR($D67)=YEAR(BI$14))*BI$11/unit</f>
        <v>0</v>
      </c>
      <c r="BJ67" s="76">
        <f>(NOT(BJ$14=exit))*IF($E67=1,Rentroll!$P55*'A&amp;R'!$AF$12*Rentroll!$H55,Rentroll!$P55*'A&amp;R'!$AF$11*Rentroll!$H55)*(MONTH($D67)=MONTH(BJ$14))*(YEAR($D67)=YEAR(BJ$14))*BJ$11/unit</f>
        <v>0</v>
      </c>
      <c r="BK67" s="76">
        <f>(NOT(BK$14=exit))*IF($E67=1,Rentroll!$P55*'A&amp;R'!$AF$12*Rentroll!$H55,Rentroll!$P55*'A&amp;R'!$AF$11*Rentroll!$H55)*(MONTH($D67)=MONTH(BK$14))*(YEAR($D67)=YEAR(BK$14))*BK$11/unit</f>
        <v>0</v>
      </c>
      <c r="BL67" s="76">
        <f>(NOT(BL$14=exit))*IF($E67=1,Rentroll!$P55*'A&amp;R'!$AF$12*Rentroll!$H55,Rentroll!$P55*'A&amp;R'!$AF$11*Rentroll!$H55)*(MONTH($D67)=MONTH(BL$14))*(YEAR($D67)=YEAR(BL$14))*BL$11/unit</f>
        <v>0</v>
      </c>
      <c r="BM67" s="76">
        <f>(NOT(BM$14=exit))*IF($E67=1,Rentroll!$P55*'A&amp;R'!$AF$12*Rentroll!$H55,Rentroll!$P55*'A&amp;R'!$AF$11*Rentroll!$H55)*(MONTH($D67)=MONTH(BM$14))*(YEAR($D67)=YEAR(BM$14))*BM$11/unit</f>
        <v>0</v>
      </c>
      <c r="BN67" s="76">
        <f>(NOT(BN$14=exit))*IF($E67=1,Rentroll!$P55*'A&amp;R'!$AF$12*Rentroll!$H55,Rentroll!$P55*'A&amp;R'!$AF$11*Rentroll!$H55)*(MONTH($D67)=MONTH(BN$14))*(YEAR($D67)=YEAR(BN$14))*BN$11/unit</f>
        <v>0</v>
      </c>
      <c r="BO67" s="76">
        <f>(NOT(BO$14=exit))*IF($E67=1,Rentroll!$P55*'A&amp;R'!$AF$12*Rentroll!$H55,Rentroll!$P55*'A&amp;R'!$AF$11*Rentroll!$H55)*(MONTH($D67)=MONTH(BO$14))*(YEAR($D67)=YEAR(BO$14))*BO$11/unit</f>
        <v>0</v>
      </c>
      <c r="BP67" s="76">
        <f>(NOT(BP$14=exit))*IF($E67=1,Rentroll!$P55*'A&amp;R'!$AF$12*Rentroll!$H55,Rentroll!$P55*'A&amp;R'!$AF$11*Rentroll!$H55)*(MONTH($D67)=MONTH(BP$14))*(YEAR($D67)=YEAR(BP$14))*BP$11/unit</f>
        <v>0</v>
      </c>
      <c r="BQ67" s="76">
        <f>(NOT(BQ$14=exit))*IF($E67=1,Rentroll!$P55*'A&amp;R'!$AF$12*Rentroll!$H55,Rentroll!$P55*'A&amp;R'!$AF$11*Rentroll!$H55)*(MONTH($D67)=MONTH(BQ$14))*(YEAR($D67)=YEAR(BQ$14))*BQ$11/unit</f>
        <v>0</v>
      </c>
      <c r="BR67" s="76">
        <f>(NOT(BR$14=exit))*IF($E67=1,Rentroll!$P55*'A&amp;R'!$AF$12*Rentroll!$H55,Rentroll!$P55*'A&amp;R'!$AF$11*Rentroll!$H55)*(MONTH($D67)=MONTH(BR$14))*(YEAR($D67)=YEAR(BR$14))*BR$11/unit</f>
        <v>0</v>
      </c>
      <c r="BS67" s="76">
        <f>(NOT(BS$14=exit))*IF($E67=1,Rentroll!$P55*'A&amp;R'!$AF$12*Rentroll!$H55,Rentroll!$P55*'A&amp;R'!$AF$11*Rentroll!$H55)*(MONTH($D67)=MONTH(BS$14))*(YEAR($D67)=YEAR(BS$14))*BS$11/unit</f>
        <v>0</v>
      </c>
      <c r="BT67" s="76">
        <f>(NOT(BT$14=exit))*IF($E67=1,Rentroll!$P55*'A&amp;R'!$AF$12*Rentroll!$H55,Rentroll!$P55*'A&amp;R'!$AF$11*Rentroll!$H55)*(MONTH($D67)=MONTH(BT$14))*(YEAR($D67)=YEAR(BT$14))*BT$11/unit</f>
        <v>0</v>
      </c>
      <c r="BU67" s="76">
        <f>(NOT(BU$14=exit))*IF($E67=1,Rentroll!$P55*'A&amp;R'!$AF$12*Rentroll!$H55,Rentroll!$P55*'A&amp;R'!$AF$11*Rentroll!$H55)*(MONTH($D67)=MONTH(BU$14))*(YEAR($D67)=YEAR(BU$14))*BU$11/unit</f>
        <v>0</v>
      </c>
      <c r="BV67" s="76">
        <f>(NOT(BV$14=exit))*IF($E67=1,Rentroll!$P55*'A&amp;R'!$AF$12*Rentroll!$H55,Rentroll!$P55*'A&amp;R'!$AF$11*Rentroll!$H55)*(MONTH($D67)=MONTH(BV$14))*(YEAR($D67)=YEAR(BV$14))*BV$11/unit</f>
        <v>0</v>
      </c>
      <c r="BW67" s="76">
        <f>(NOT(BW$14=exit))*IF($E67=1,Rentroll!$P55*'A&amp;R'!$AF$12*Rentroll!$H55,Rentroll!$P55*'A&amp;R'!$AF$11*Rentroll!$H55)*(MONTH($D67)=MONTH(BW$14))*(YEAR($D67)=YEAR(BW$14))*BW$11/unit</f>
        <v>0</v>
      </c>
      <c r="BX67" s="76">
        <f>(NOT(BX$14=exit))*IF($E67=1,Rentroll!$P55*'A&amp;R'!$AF$12*Rentroll!$H55,Rentroll!$P55*'A&amp;R'!$AF$11*Rentroll!$H55)*(MONTH($D67)=MONTH(BX$14))*(YEAR($D67)=YEAR(BX$14))*BX$11/unit</f>
        <v>0</v>
      </c>
      <c r="BY67" s="76">
        <f>(NOT(BY$14=exit))*IF($E67=1,Rentroll!$P55*'A&amp;R'!$AF$12*Rentroll!$H55,Rentroll!$P55*'A&amp;R'!$AF$11*Rentroll!$H55)*(MONTH($D67)=MONTH(BY$14))*(YEAR($D67)=YEAR(BY$14))*BY$11/unit</f>
        <v>0</v>
      </c>
      <c r="BZ67" s="76">
        <f>(NOT(BZ$14=exit))*IF($E67=1,Rentroll!$P55*'A&amp;R'!$AF$12*Rentroll!$H55,Rentroll!$P55*'A&amp;R'!$AF$11*Rentroll!$H55)*(MONTH($D67)=MONTH(BZ$14))*(YEAR($D67)=YEAR(BZ$14))*BZ$11/unit</f>
        <v>0</v>
      </c>
      <c r="CA67" s="76">
        <f>(NOT(CA$14=exit))*IF($E67=1,Rentroll!$P55*'A&amp;R'!$AF$12*Rentroll!$H55,Rentroll!$P55*'A&amp;R'!$AF$11*Rentroll!$H55)*(MONTH($D67)=MONTH(CA$14))*(YEAR($D67)=YEAR(CA$14))*CA$11/unit</f>
        <v>0</v>
      </c>
      <c r="CB67" s="76">
        <f>(NOT(CB$14=exit))*IF($E67=1,Rentroll!$P55*'A&amp;R'!$AF$12*Rentroll!$H55,Rentroll!$P55*'A&amp;R'!$AF$11*Rentroll!$H55)*(MONTH($D67)=MONTH(CB$14))*(YEAR($D67)=YEAR(CB$14))*CB$11/unit</f>
        <v>0</v>
      </c>
      <c r="CC67" s="76">
        <f>(NOT(CC$14=exit))*IF($E67=1,Rentroll!$P55*'A&amp;R'!$AF$12*Rentroll!$H55,Rentroll!$P55*'A&amp;R'!$AF$11*Rentroll!$H55)*(MONTH($D67)=MONTH(CC$14))*(YEAR($D67)=YEAR(CC$14))*CC$11/unit</f>
        <v>0</v>
      </c>
      <c r="CD67" s="76">
        <f>(NOT(CD$14=exit))*IF($E67=1,Rentroll!$P55*'A&amp;R'!$AF$12*Rentroll!$H55,Rentroll!$P55*'A&amp;R'!$AF$11*Rentroll!$H55)*(MONTH($D67)=MONTH(CD$14))*(YEAR($D67)=YEAR(CD$14))*CD$11/unit</f>
        <v>0</v>
      </c>
      <c r="CE67" s="76">
        <f>(NOT(CE$14=exit))*IF($E67=1,Rentroll!$P55*'A&amp;R'!$AF$12*Rentroll!$H55,Rentroll!$P55*'A&amp;R'!$AF$11*Rentroll!$H55)*(MONTH($D67)=MONTH(CE$14))*(YEAR($D67)=YEAR(CE$14))*CE$11/unit</f>
        <v>0</v>
      </c>
      <c r="CF67" s="76">
        <f>(NOT(CF$14=exit))*IF($E67=1,Rentroll!$P55*'A&amp;R'!$AF$12*Rentroll!$H55,Rentroll!$P55*'A&amp;R'!$AF$11*Rentroll!$H55)*(MONTH($D67)=MONTH(CF$14))*(YEAR($D67)=YEAR(CF$14))*CF$11/unit</f>
        <v>0</v>
      </c>
      <c r="CG67" s="76">
        <f>(NOT(CG$14=exit))*IF($E67=1,Rentroll!$P55*'A&amp;R'!$AF$12*Rentroll!$H55,Rentroll!$P55*'A&amp;R'!$AF$11*Rentroll!$H55)*(MONTH($D67)=MONTH(CG$14))*(YEAR($D67)=YEAR(CG$14))*CG$11/unit</f>
        <v>0</v>
      </c>
      <c r="CH67" s="76">
        <f>(NOT(CH$14=exit))*IF($E67=1,Rentroll!$P55*'A&amp;R'!$AF$12*Rentroll!$H55,Rentroll!$P55*'A&amp;R'!$AF$11*Rentroll!$H55)*(MONTH($D67)=MONTH(CH$14))*(YEAR($D67)=YEAR(CH$14))*CH$11/unit</f>
        <v>0</v>
      </c>
      <c r="CI67" s="76">
        <f>(NOT(CI$14=exit))*IF($E67=1,Rentroll!$P55*'A&amp;R'!$AF$12*Rentroll!$H55,Rentroll!$P55*'A&amp;R'!$AF$11*Rentroll!$H55)*(MONTH($D67)=MONTH(CI$14))*(YEAR($D67)=YEAR(CI$14))*CI$11/unit</f>
        <v>0</v>
      </c>
      <c r="CJ67" s="76">
        <f>(NOT(CJ$14=exit))*IF($E67=1,Rentroll!$P55*'A&amp;R'!$AF$12*Rentroll!$H55,Rentroll!$P55*'A&amp;R'!$AF$11*Rentroll!$H55)*(MONTH($D67)=MONTH(CJ$14))*(YEAR($D67)=YEAR(CJ$14))*CJ$11/unit</f>
        <v>0</v>
      </c>
      <c r="CK67" s="76">
        <f>(NOT(CK$14=exit))*IF($E67=1,Rentroll!$P55*'A&amp;R'!$AF$12*Rentroll!$H55,Rentroll!$P55*'A&amp;R'!$AF$11*Rentroll!$H55)*(MONTH($D67)=MONTH(CK$14))*(YEAR($D67)=YEAR(CK$14))*CK$11/unit</f>
        <v>0</v>
      </c>
      <c r="CL67" s="76">
        <f>(NOT(CL$14=exit))*IF($E67=1,Rentroll!$P55*'A&amp;R'!$AF$12*Rentroll!$H55,Rentroll!$P55*'A&amp;R'!$AF$11*Rentroll!$H55)*(MONTH($D67)=MONTH(CL$14))*(YEAR($D67)=YEAR(CL$14))*CL$11/unit</f>
        <v>0</v>
      </c>
      <c r="CM67" s="76">
        <f>(NOT(CM$14=exit))*IF($E67=1,Rentroll!$P55*'A&amp;R'!$AF$12*Rentroll!$H55,Rentroll!$P55*'A&amp;R'!$AF$11*Rentroll!$H55)*(MONTH($D67)=MONTH(CM$14))*(YEAR($D67)=YEAR(CM$14))*CM$11/unit</f>
        <v>0</v>
      </c>
      <c r="CN67" s="76">
        <f>(NOT(CN$14=exit))*IF($E67=1,Rentroll!$P55*'A&amp;R'!$AF$12*Rentroll!$H55,Rentroll!$P55*'A&amp;R'!$AF$11*Rentroll!$H55)*(MONTH($D67)=MONTH(CN$14))*(YEAR($D67)=YEAR(CN$14))*CN$11/unit</f>
        <v>0</v>
      </c>
      <c r="CO67" s="76">
        <f>(NOT(CO$14=exit))*IF($E67=1,Rentroll!$P55*'A&amp;R'!$AF$12*Rentroll!$H55,Rentroll!$P55*'A&amp;R'!$AF$11*Rentroll!$H55)*(MONTH($D67)=MONTH(CO$14))*(YEAR($D67)=YEAR(CO$14))*CO$11/unit</f>
        <v>0</v>
      </c>
      <c r="CP67" s="76">
        <f>(NOT(CP$14=exit))*IF($E67=1,Rentroll!$P55*'A&amp;R'!$AF$12*Rentroll!$H55,Rentroll!$P55*'A&amp;R'!$AF$11*Rentroll!$H55)*(MONTH($D67)=MONTH(CP$14))*(YEAR($D67)=YEAR(CP$14))*CP$11/unit</f>
        <v>0</v>
      </c>
      <c r="CQ67" s="76">
        <f>(NOT(CQ$14=exit))*IF($E67=1,Rentroll!$P55*'A&amp;R'!$AF$12*Rentroll!$H55,Rentroll!$P55*'A&amp;R'!$AF$11*Rentroll!$H55)*(MONTH($D67)=MONTH(CQ$14))*(YEAR($D67)=YEAR(CQ$14))*CQ$11/unit</f>
        <v>0</v>
      </c>
      <c r="CR67" s="76">
        <f>(NOT(CR$14=exit))*IF($E67=1,Rentroll!$P55*'A&amp;R'!$AF$12*Rentroll!$H55,Rentroll!$P55*'A&amp;R'!$AF$11*Rentroll!$H55)*(MONTH($D67)=MONTH(CR$14))*(YEAR($D67)=YEAR(CR$14))*CR$11/unit</f>
        <v>0</v>
      </c>
      <c r="CS67" s="76">
        <f>(NOT(CS$14=exit))*IF($E67=1,Rentroll!$P55*'A&amp;R'!$AF$12*Rentroll!$H55,Rentroll!$P55*'A&amp;R'!$AF$11*Rentroll!$H55)*(MONTH($D67)=MONTH(CS$14))*(YEAR($D67)=YEAR(CS$14))*CS$11/unit</f>
        <v>0</v>
      </c>
      <c r="CT67" s="76">
        <f>(NOT(CT$14=exit))*IF($E67=1,Rentroll!$P55*'A&amp;R'!$AF$12*Rentroll!$H55,Rentroll!$P55*'A&amp;R'!$AF$11*Rentroll!$H55)*(MONTH($D67)=MONTH(CT$14))*(YEAR($D67)=YEAR(CT$14))*CT$11/unit</f>
        <v>0</v>
      </c>
      <c r="CU67" s="76">
        <f>(NOT(CU$14=exit))*IF($E67=1,Rentroll!$P55*'A&amp;R'!$AF$12*Rentroll!$H55,Rentroll!$P55*'A&amp;R'!$AF$11*Rentroll!$H55)*(MONTH($D67)=MONTH(CU$14))*(YEAR($D67)=YEAR(CU$14))*CU$11/unit</f>
        <v>0</v>
      </c>
      <c r="CV67" s="76">
        <f>(NOT(CV$14=exit))*IF($E67=1,Rentroll!$P55*'A&amp;R'!$AF$12*Rentroll!$H55,Rentroll!$P55*'A&amp;R'!$AF$11*Rentroll!$H55)*(MONTH($D67)=MONTH(CV$14))*(YEAR($D67)=YEAR(CV$14))*CV$11/unit</f>
        <v>0</v>
      </c>
      <c r="CW67" s="76">
        <f>(NOT(CW$14=exit))*IF($E67=1,Rentroll!$P55*'A&amp;R'!$AF$12*Rentroll!$H55,Rentroll!$P55*'A&amp;R'!$AF$11*Rentroll!$H55)*(MONTH($D67)=MONTH(CW$14))*(YEAR($D67)=YEAR(CW$14))*CW$11/unit</f>
        <v>0</v>
      </c>
      <c r="CX67" s="76">
        <f>(NOT(CX$14=exit))*IF($E67=1,Rentroll!$P55*'A&amp;R'!$AF$12*Rentroll!$H55,Rentroll!$P55*'A&amp;R'!$AF$11*Rentroll!$H55)*(MONTH($D67)=MONTH(CX$14))*(YEAR($D67)=YEAR(CX$14))*CX$11/unit</f>
        <v>0</v>
      </c>
      <c r="CY67" s="76">
        <f>(NOT(CY$14=exit))*IF($E67=1,Rentroll!$P55*'A&amp;R'!$AF$12*Rentroll!$H55,Rentroll!$P55*'A&amp;R'!$AF$11*Rentroll!$H55)*(MONTH($D67)=MONTH(CY$14))*(YEAR($D67)=YEAR(CY$14))*CY$11/unit</f>
        <v>0</v>
      </c>
      <c r="CZ67" s="76">
        <f>(NOT(CZ$14=exit))*IF($E67=1,Rentroll!$P55*'A&amp;R'!$AF$12*Rentroll!$H55,Rentroll!$P55*'A&amp;R'!$AF$11*Rentroll!$H55)*(MONTH($D67)=MONTH(CZ$14))*(YEAR($D67)=YEAR(CZ$14))*CZ$11/unit</f>
        <v>0</v>
      </c>
      <c r="DA67" s="76">
        <f>(NOT(DA$14=exit))*IF($E67=1,Rentroll!$P55*'A&amp;R'!$AF$12*Rentroll!$H55,Rentroll!$P55*'A&amp;R'!$AF$11*Rentroll!$H55)*(MONTH($D67)=MONTH(DA$14))*(YEAR($D67)=YEAR(DA$14))*DA$11/unit</f>
        <v>0</v>
      </c>
      <c r="DB67" s="76">
        <f>(NOT(DB$14=exit))*IF($E67=1,Rentroll!$P55*'A&amp;R'!$AF$12*Rentroll!$H55,Rentroll!$P55*'A&amp;R'!$AF$11*Rentroll!$H55)*(MONTH($D67)=MONTH(DB$14))*(YEAR($D67)=YEAR(DB$14))*DB$11/unit</f>
        <v>0</v>
      </c>
    </row>
    <row r="68" spans="2:106">
      <c r="C68" s="28" t="str">
        <f>Rentroll!$C$56</f>
        <v>101호</v>
      </c>
      <c r="D68" s="80">
        <f>VLOOKUP($C68,Rentroll!$C$37:$Z$60,9,FALSE)</f>
        <v>45838</v>
      </c>
      <c r="E68" s="150">
        <f>VLOOKUP($C68,Rentroll!$C$37:$Z$60,24,FALSE)</f>
        <v>1</v>
      </c>
      <c r="F68" s="75">
        <f t="shared" ref="F68:F72" si="45">SUM(H68:DB68)</f>
        <v>46.193474250000001</v>
      </c>
      <c r="G68" s="75"/>
      <c r="H68" s="75">
        <f>(NOT(H$14=exit))*IF($E68=1,Rentroll!$P56*'A&amp;R'!$AF$12*Rentroll!$H56,Rentroll!$P56*'A&amp;R'!$AF$11*Rentroll!$H56)*(MONTH($D68)=MONTH(H$14))*(YEAR($D68)=YEAR(H$14))*H$11/unit</f>
        <v>0</v>
      </c>
      <c r="I68" s="75">
        <f>(NOT(I$14=exit))*IF($E68=1,Rentroll!$P56*'A&amp;R'!$AF$12*Rentroll!$H56,Rentroll!$P56*'A&amp;R'!$AF$11*Rentroll!$H56)*(MONTH($D68)=MONTH(I$14))*(YEAR($D68)=YEAR(I$14))*I$11/unit</f>
        <v>0</v>
      </c>
      <c r="J68" s="75">
        <f>(NOT(J$14=exit))*IF($E68=1,Rentroll!$P56*'A&amp;R'!$AF$12*Rentroll!$H56,Rentroll!$P56*'A&amp;R'!$AF$11*Rentroll!$H56)*(MONTH($D68)=MONTH(J$14))*(YEAR($D68)=YEAR(J$14))*J$11/unit</f>
        <v>0</v>
      </c>
      <c r="K68" s="75">
        <f>(NOT(K$14=exit))*IF($E68=1,Rentroll!$P56*'A&amp;R'!$AF$12*Rentroll!$H56,Rentroll!$P56*'A&amp;R'!$AF$11*Rentroll!$H56)*(MONTH($D68)=MONTH(K$14))*(YEAR($D68)=YEAR(K$14))*K$11/unit</f>
        <v>0</v>
      </c>
      <c r="L68" s="75">
        <f>(NOT(L$14=exit))*IF($E68=1,Rentroll!$P56*'A&amp;R'!$AF$12*Rentroll!$H56,Rentroll!$P56*'A&amp;R'!$AF$11*Rentroll!$H56)*(MONTH($D68)=MONTH(L$14))*(YEAR($D68)=YEAR(L$14))*L$11/unit</f>
        <v>0</v>
      </c>
      <c r="M68" s="75">
        <f>(NOT(M$14=exit))*IF($E68=1,Rentroll!$P56*'A&amp;R'!$AF$12*Rentroll!$H56,Rentroll!$P56*'A&amp;R'!$AF$11*Rentroll!$H56)*(MONTH($D68)=MONTH(M$14))*(YEAR($D68)=YEAR(M$14))*M$11/unit</f>
        <v>46.193474250000001</v>
      </c>
      <c r="N68" s="75">
        <f>(NOT(N$14=exit))*IF($E68=1,Rentroll!$P56*'A&amp;R'!$AF$12*Rentroll!$H56,Rentroll!$P56*'A&amp;R'!$AF$11*Rentroll!$H56)*(MONTH($D68)=MONTH(N$14))*(YEAR($D68)=YEAR(N$14))*N$11/unit</f>
        <v>0</v>
      </c>
      <c r="O68" s="75">
        <f>(NOT(O$14=exit))*IF($E68=1,Rentroll!$P56*'A&amp;R'!$AF$12*Rentroll!$H56,Rentroll!$P56*'A&amp;R'!$AF$11*Rentroll!$H56)*(MONTH($D68)=MONTH(O$14))*(YEAR($D68)=YEAR(O$14))*O$11/unit</f>
        <v>0</v>
      </c>
      <c r="P68" s="75">
        <f>(NOT(P$14=exit))*IF($E68=1,Rentroll!$P56*'A&amp;R'!$AF$12*Rentroll!$H56,Rentroll!$P56*'A&amp;R'!$AF$11*Rentroll!$H56)*(MONTH($D68)=MONTH(P$14))*(YEAR($D68)=YEAR(P$14))*P$11/unit</f>
        <v>0</v>
      </c>
      <c r="Q68" s="75">
        <f>(NOT(Q$14=exit))*IF($E68=1,Rentroll!$P56*'A&amp;R'!$AF$12*Rentroll!$H56,Rentroll!$P56*'A&amp;R'!$AF$11*Rentroll!$H56)*(MONTH($D68)=MONTH(Q$14))*(YEAR($D68)=YEAR(Q$14))*Q$11/unit</f>
        <v>0</v>
      </c>
      <c r="R68" s="75">
        <f>(NOT(R$14=exit))*IF($E68=1,Rentroll!$P56*'A&amp;R'!$AF$12*Rentroll!$H56,Rentroll!$P56*'A&amp;R'!$AF$11*Rentroll!$H56)*(MONTH($D68)=MONTH(R$14))*(YEAR($D68)=YEAR(R$14))*R$11/unit</f>
        <v>0</v>
      </c>
      <c r="S68" s="75">
        <f>(NOT(S$14=exit))*IF($E68=1,Rentroll!$P56*'A&amp;R'!$AF$12*Rentroll!$H56,Rentroll!$P56*'A&amp;R'!$AF$11*Rentroll!$H56)*(MONTH($D68)=MONTH(S$14))*(YEAR($D68)=YEAR(S$14))*S$11/unit</f>
        <v>0</v>
      </c>
      <c r="T68" s="75">
        <f>(NOT(T$14=exit))*IF($E68=1,Rentroll!$P56*'A&amp;R'!$AF$12*Rentroll!$H56,Rentroll!$P56*'A&amp;R'!$AF$11*Rentroll!$H56)*(MONTH($D68)=MONTH(T$14))*(YEAR($D68)=YEAR(T$14))*T$11/unit</f>
        <v>0</v>
      </c>
      <c r="U68" s="75">
        <f>(NOT(U$14=exit))*IF($E68=1,Rentroll!$P56*'A&amp;R'!$AF$12*Rentroll!$H56,Rentroll!$P56*'A&amp;R'!$AF$11*Rentroll!$H56)*(MONTH($D68)=MONTH(U$14))*(YEAR($D68)=YEAR(U$14))*U$11/unit</f>
        <v>0</v>
      </c>
      <c r="V68" s="75">
        <f>(NOT(V$14=exit))*IF($E68=1,Rentroll!$P56*'A&amp;R'!$AF$12*Rentroll!$H56,Rentroll!$P56*'A&amp;R'!$AF$11*Rentroll!$H56)*(MONTH($D68)=MONTH(V$14))*(YEAR($D68)=YEAR(V$14))*V$11/unit</f>
        <v>0</v>
      </c>
      <c r="W68" s="75">
        <f>(NOT(W$14=exit))*IF($E68=1,Rentroll!$P56*'A&amp;R'!$AF$12*Rentroll!$H56,Rentroll!$P56*'A&amp;R'!$AF$11*Rentroll!$H56)*(MONTH($D68)=MONTH(W$14))*(YEAR($D68)=YEAR(W$14))*W$11/unit</f>
        <v>0</v>
      </c>
      <c r="X68" s="75">
        <f>(NOT(X$14=exit))*IF($E68=1,Rentroll!$P56*'A&amp;R'!$AF$12*Rentroll!$H56,Rentroll!$P56*'A&amp;R'!$AF$11*Rentroll!$H56)*(MONTH($D68)=MONTH(X$14))*(YEAR($D68)=YEAR(X$14))*X$11/unit</f>
        <v>0</v>
      </c>
      <c r="Y68" s="75">
        <f>(NOT(Y$14=exit))*IF($E68=1,Rentroll!$P56*'A&amp;R'!$AF$12*Rentroll!$H56,Rentroll!$P56*'A&amp;R'!$AF$11*Rentroll!$H56)*(MONTH($D68)=MONTH(Y$14))*(YEAR($D68)=YEAR(Y$14))*Y$11/unit</f>
        <v>0</v>
      </c>
      <c r="Z68" s="75">
        <f>(NOT(Z$14=exit))*IF($E68=1,Rentroll!$P56*'A&amp;R'!$AF$12*Rentroll!$H56,Rentroll!$P56*'A&amp;R'!$AF$11*Rentroll!$H56)*(MONTH($D68)=MONTH(Z$14))*(YEAR($D68)=YEAR(Z$14))*Z$11/unit</f>
        <v>0</v>
      </c>
      <c r="AA68" s="75">
        <f>(NOT(AA$14=exit))*IF($E68=1,Rentroll!$P56*'A&amp;R'!$AF$12*Rentroll!$H56,Rentroll!$P56*'A&amp;R'!$AF$11*Rentroll!$H56)*(MONTH($D68)=MONTH(AA$14))*(YEAR($D68)=YEAR(AA$14))*AA$11/unit</f>
        <v>0</v>
      </c>
      <c r="AB68" s="75">
        <f>(NOT(AB$14=exit))*IF($E68=1,Rentroll!$P56*'A&amp;R'!$AF$12*Rentroll!$H56,Rentroll!$P56*'A&amp;R'!$AF$11*Rentroll!$H56)*(MONTH($D68)=MONTH(AB$14))*(YEAR($D68)=YEAR(AB$14))*AB$11/unit</f>
        <v>0</v>
      </c>
      <c r="AC68" s="75">
        <f>(NOT(AC$14=exit))*IF($E68=1,Rentroll!$P56*'A&amp;R'!$AF$12*Rentroll!$H56,Rentroll!$P56*'A&amp;R'!$AF$11*Rentroll!$H56)*(MONTH($D68)=MONTH(AC$14))*(YEAR($D68)=YEAR(AC$14))*AC$11/unit</f>
        <v>0</v>
      </c>
      <c r="AD68" s="75">
        <f>(NOT(AD$14=exit))*IF($E68=1,Rentroll!$P56*'A&amp;R'!$AF$12*Rentroll!$H56,Rentroll!$P56*'A&amp;R'!$AF$11*Rentroll!$H56)*(MONTH($D68)=MONTH(AD$14))*(YEAR($D68)=YEAR(AD$14))*AD$11/unit</f>
        <v>0</v>
      </c>
      <c r="AE68" s="75">
        <f>(NOT(AE$14=exit))*IF($E68=1,Rentroll!$P56*'A&amp;R'!$AF$12*Rentroll!$H56,Rentroll!$P56*'A&amp;R'!$AF$11*Rentroll!$H56)*(MONTH($D68)=MONTH(AE$14))*(YEAR($D68)=YEAR(AE$14))*AE$11/unit</f>
        <v>0</v>
      </c>
      <c r="AF68" s="75">
        <f>(NOT(AF$14=exit))*IF($E68=1,Rentroll!$P56*'A&amp;R'!$AF$12*Rentroll!$H56,Rentroll!$P56*'A&amp;R'!$AF$11*Rentroll!$H56)*(MONTH($D68)=MONTH(AF$14))*(YEAR($D68)=YEAR(AF$14))*AF$11/unit</f>
        <v>0</v>
      </c>
      <c r="AG68" s="75">
        <f>(NOT(AG$14=exit))*IF($E68=1,Rentroll!$P56*'A&amp;R'!$AF$12*Rentroll!$H56,Rentroll!$P56*'A&amp;R'!$AF$11*Rentroll!$H56)*(MONTH($D68)=MONTH(AG$14))*(YEAR($D68)=YEAR(AG$14))*AG$11/unit</f>
        <v>0</v>
      </c>
      <c r="AH68" s="75">
        <f>(NOT(AH$14=exit))*IF($E68=1,Rentroll!$P56*'A&amp;R'!$AF$12*Rentroll!$H56,Rentroll!$P56*'A&amp;R'!$AF$11*Rentroll!$H56)*(MONTH($D68)=MONTH(AH$14))*(YEAR($D68)=YEAR(AH$14))*AH$11/unit</f>
        <v>0</v>
      </c>
      <c r="AI68" s="75">
        <f>(NOT(AI$14=exit))*IF($E68=1,Rentroll!$P56*'A&amp;R'!$AF$12*Rentroll!$H56,Rentroll!$P56*'A&amp;R'!$AF$11*Rentroll!$H56)*(MONTH($D68)=MONTH(AI$14))*(YEAR($D68)=YEAR(AI$14))*AI$11/unit</f>
        <v>0</v>
      </c>
      <c r="AJ68" s="75">
        <f>(NOT(AJ$14=exit))*IF($E68=1,Rentroll!$P56*'A&amp;R'!$AF$12*Rentroll!$H56,Rentroll!$P56*'A&amp;R'!$AF$11*Rentroll!$H56)*(MONTH($D68)=MONTH(AJ$14))*(YEAR($D68)=YEAR(AJ$14))*AJ$11/unit</f>
        <v>0</v>
      </c>
      <c r="AK68" s="75">
        <f>(NOT(AK$14=exit))*IF($E68=1,Rentroll!$P56*'A&amp;R'!$AF$12*Rentroll!$H56,Rentroll!$P56*'A&amp;R'!$AF$11*Rentroll!$H56)*(MONTH($D68)=MONTH(AK$14))*(YEAR($D68)=YEAR(AK$14))*AK$11/unit</f>
        <v>0</v>
      </c>
      <c r="AL68" s="75">
        <f>(NOT(AL$14=exit))*IF($E68=1,Rentroll!$P56*'A&amp;R'!$AF$12*Rentroll!$H56,Rentroll!$P56*'A&amp;R'!$AF$11*Rentroll!$H56)*(MONTH($D68)=MONTH(AL$14))*(YEAR($D68)=YEAR(AL$14))*AL$11/unit</f>
        <v>0</v>
      </c>
      <c r="AM68" s="75">
        <f>(NOT(AM$14=exit))*IF($E68=1,Rentroll!$P56*'A&amp;R'!$AF$12*Rentroll!$H56,Rentroll!$P56*'A&amp;R'!$AF$11*Rentroll!$H56)*(MONTH($D68)=MONTH(AM$14))*(YEAR($D68)=YEAR(AM$14))*AM$11/unit</f>
        <v>0</v>
      </c>
      <c r="AN68" s="75">
        <f>(NOT(AN$14=exit))*IF($E68=1,Rentroll!$P56*'A&amp;R'!$AF$12*Rentroll!$H56,Rentroll!$P56*'A&amp;R'!$AF$11*Rentroll!$H56)*(MONTH($D68)=MONTH(AN$14))*(YEAR($D68)=YEAR(AN$14))*AN$11/unit</f>
        <v>0</v>
      </c>
      <c r="AO68" s="75">
        <f>(NOT(AO$14=exit))*IF($E68=1,Rentroll!$P56*'A&amp;R'!$AF$12*Rentroll!$H56,Rentroll!$P56*'A&amp;R'!$AF$11*Rentroll!$H56)*(MONTH($D68)=MONTH(AO$14))*(YEAR($D68)=YEAR(AO$14))*AO$11/unit</f>
        <v>0</v>
      </c>
      <c r="AP68" s="75">
        <f>(NOT(AP$14=exit))*IF($E68=1,Rentroll!$P56*'A&amp;R'!$AF$12*Rentroll!$H56,Rentroll!$P56*'A&amp;R'!$AF$11*Rentroll!$H56)*(MONTH($D68)=MONTH(AP$14))*(YEAR($D68)=YEAR(AP$14))*AP$11/unit</f>
        <v>0</v>
      </c>
      <c r="AQ68" s="75">
        <f>(NOT(AQ$14=exit))*IF($E68=1,Rentroll!$P56*'A&amp;R'!$AF$12*Rentroll!$H56,Rentroll!$P56*'A&amp;R'!$AF$11*Rentroll!$H56)*(MONTH($D68)=MONTH(AQ$14))*(YEAR($D68)=YEAR(AQ$14))*AQ$11/unit</f>
        <v>0</v>
      </c>
      <c r="AR68" s="75">
        <f>(NOT(AR$14=exit))*IF($E68=1,Rentroll!$P56*'A&amp;R'!$AF$12*Rentroll!$H56,Rentroll!$P56*'A&amp;R'!$AF$11*Rentroll!$H56)*(MONTH($D68)=MONTH(AR$14))*(YEAR($D68)=YEAR(AR$14))*AR$11/unit</f>
        <v>0</v>
      </c>
      <c r="AS68" s="75">
        <f>(NOT(AS$14=exit))*IF($E68=1,Rentroll!$P56*'A&amp;R'!$AF$12*Rentroll!$H56,Rentroll!$P56*'A&amp;R'!$AF$11*Rentroll!$H56)*(MONTH($D68)=MONTH(AS$14))*(YEAR($D68)=YEAR(AS$14))*AS$11/unit</f>
        <v>0</v>
      </c>
      <c r="AT68" s="75">
        <f>(NOT(AT$14=exit))*IF($E68=1,Rentroll!$P56*'A&amp;R'!$AF$12*Rentroll!$H56,Rentroll!$P56*'A&amp;R'!$AF$11*Rentroll!$H56)*(MONTH($D68)=MONTH(AT$14))*(YEAR($D68)=YEAR(AT$14))*AT$11/unit</f>
        <v>0</v>
      </c>
      <c r="AU68" s="75">
        <f>(NOT(AU$14=exit))*IF($E68=1,Rentroll!$P56*'A&amp;R'!$AF$12*Rentroll!$H56,Rentroll!$P56*'A&amp;R'!$AF$11*Rentroll!$H56)*(MONTH($D68)=MONTH(AU$14))*(YEAR($D68)=YEAR(AU$14))*AU$11/unit</f>
        <v>0</v>
      </c>
      <c r="AV68" s="75">
        <f>(NOT(AV$14=exit))*IF($E68=1,Rentroll!$P56*'A&amp;R'!$AF$12*Rentroll!$H56,Rentroll!$P56*'A&amp;R'!$AF$11*Rentroll!$H56)*(MONTH($D68)=MONTH(AV$14))*(YEAR($D68)=YEAR(AV$14))*AV$11/unit</f>
        <v>0</v>
      </c>
      <c r="AW68" s="75">
        <f>(NOT(AW$14=exit))*IF($E68=1,Rentroll!$P56*'A&amp;R'!$AF$12*Rentroll!$H56,Rentroll!$P56*'A&amp;R'!$AF$11*Rentroll!$H56)*(MONTH($D68)=MONTH(AW$14))*(YEAR($D68)=YEAR(AW$14))*AW$11/unit</f>
        <v>0</v>
      </c>
      <c r="AX68" s="75">
        <f>(NOT(AX$14=exit))*IF($E68=1,Rentroll!$P56*'A&amp;R'!$AF$12*Rentroll!$H56,Rentroll!$P56*'A&amp;R'!$AF$11*Rentroll!$H56)*(MONTH($D68)=MONTH(AX$14))*(YEAR($D68)=YEAR(AX$14))*AX$11/unit</f>
        <v>0</v>
      </c>
      <c r="AY68" s="75">
        <f>(NOT(AY$14=exit))*IF($E68=1,Rentroll!$P56*'A&amp;R'!$AF$12*Rentroll!$H56,Rentroll!$P56*'A&amp;R'!$AF$11*Rentroll!$H56)*(MONTH($D68)=MONTH(AY$14))*(YEAR($D68)=YEAR(AY$14))*AY$11/unit</f>
        <v>0</v>
      </c>
      <c r="AZ68" s="75">
        <f>(NOT(AZ$14=exit))*IF($E68=1,Rentroll!$P56*'A&amp;R'!$AF$12*Rentroll!$H56,Rentroll!$P56*'A&amp;R'!$AF$11*Rentroll!$H56)*(MONTH($D68)=MONTH(AZ$14))*(YEAR($D68)=YEAR(AZ$14))*AZ$11/unit</f>
        <v>0</v>
      </c>
      <c r="BA68" s="75">
        <f>(NOT(BA$14=exit))*IF($E68=1,Rentroll!$P56*'A&amp;R'!$AF$12*Rentroll!$H56,Rentroll!$P56*'A&amp;R'!$AF$11*Rentroll!$H56)*(MONTH($D68)=MONTH(BA$14))*(YEAR($D68)=YEAR(BA$14))*BA$11/unit</f>
        <v>0</v>
      </c>
      <c r="BB68" s="75">
        <f>(NOT(BB$14=exit))*IF($E68=1,Rentroll!$P56*'A&amp;R'!$AF$12*Rentroll!$H56,Rentroll!$P56*'A&amp;R'!$AF$11*Rentroll!$H56)*(MONTH($D68)=MONTH(BB$14))*(YEAR($D68)=YEAR(BB$14))*BB$11/unit</f>
        <v>0</v>
      </c>
      <c r="BC68" s="75">
        <f>(NOT(BC$14=exit))*IF($E68=1,Rentroll!$P56*'A&amp;R'!$AF$12*Rentroll!$H56,Rentroll!$P56*'A&amp;R'!$AF$11*Rentroll!$H56)*(MONTH($D68)=MONTH(BC$14))*(YEAR($D68)=YEAR(BC$14))*BC$11/unit</f>
        <v>0</v>
      </c>
      <c r="BD68" s="75">
        <f>(NOT(BD$14=exit))*IF($E68=1,Rentroll!$P56*'A&amp;R'!$AF$12*Rentroll!$H56,Rentroll!$P56*'A&amp;R'!$AF$11*Rentroll!$H56)*(MONTH($D68)=MONTH(BD$14))*(YEAR($D68)=YEAR(BD$14))*BD$11/unit</f>
        <v>0</v>
      </c>
      <c r="BE68" s="75">
        <f>(NOT(BE$14=exit))*IF($E68=1,Rentroll!$P56*'A&amp;R'!$AF$12*Rentroll!$H56,Rentroll!$P56*'A&amp;R'!$AF$11*Rentroll!$H56)*(MONTH($D68)=MONTH(BE$14))*(YEAR($D68)=YEAR(BE$14))*BE$11/unit</f>
        <v>0</v>
      </c>
      <c r="BF68" s="75">
        <f>(NOT(BF$14=exit))*IF($E68=1,Rentroll!$P56*'A&amp;R'!$AF$12*Rentroll!$H56,Rentroll!$P56*'A&amp;R'!$AF$11*Rentroll!$H56)*(MONTH($D68)=MONTH(BF$14))*(YEAR($D68)=YEAR(BF$14))*BF$11/unit</f>
        <v>0</v>
      </c>
      <c r="BG68" s="75">
        <f>(NOT(BG$14=exit))*IF($E68=1,Rentroll!$P56*'A&amp;R'!$AF$12*Rentroll!$H56,Rentroll!$P56*'A&amp;R'!$AF$11*Rentroll!$H56)*(MONTH($D68)=MONTH(BG$14))*(YEAR($D68)=YEAR(BG$14))*BG$11/unit</f>
        <v>0</v>
      </c>
      <c r="BH68" s="75">
        <f>(NOT(BH$14=exit))*IF($E68=1,Rentroll!$P56*'A&amp;R'!$AF$12*Rentroll!$H56,Rentroll!$P56*'A&amp;R'!$AF$11*Rentroll!$H56)*(MONTH($D68)=MONTH(BH$14))*(YEAR($D68)=YEAR(BH$14))*BH$11/unit</f>
        <v>0</v>
      </c>
      <c r="BI68" s="75">
        <f>(NOT(BI$14=exit))*IF($E68=1,Rentroll!$P56*'A&amp;R'!$AF$12*Rentroll!$H56,Rentroll!$P56*'A&amp;R'!$AF$11*Rentroll!$H56)*(MONTH($D68)=MONTH(BI$14))*(YEAR($D68)=YEAR(BI$14))*BI$11/unit</f>
        <v>0</v>
      </c>
      <c r="BJ68" s="75">
        <f>(NOT(BJ$14=exit))*IF($E68=1,Rentroll!$P56*'A&amp;R'!$AF$12*Rentroll!$H56,Rentroll!$P56*'A&amp;R'!$AF$11*Rentroll!$H56)*(MONTH($D68)=MONTH(BJ$14))*(YEAR($D68)=YEAR(BJ$14))*BJ$11/unit</f>
        <v>0</v>
      </c>
      <c r="BK68" s="75">
        <f>(NOT(BK$14=exit))*IF($E68=1,Rentroll!$P56*'A&amp;R'!$AF$12*Rentroll!$H56,Rentroll!$P56*'A&amp;R'!$AF$11*Rentroll!$H56)*(MONTH($D68)=MONTH(BK$14))*(YEAR($D68)=YEAR(BK$14))*BK$11/unit</f>
        <v>0</v>
      </c>
      <c r="BL68" s="75">
        <f>(NOT(BL$14=exit))*IF($E68=1,Rentroll!$P56*'A&amp;R'!$AF$12*Rentroll!$H56,Rentroll!$P56*'A&amp;R'!$AF$11*Rentroll!$H56)*(MONTH($D68)=MONTH(BL$14))*(YEAR($D68)=YEAR(BL$14))*BL$11/unit</f>
        <v>0</v>
      </c>
      <c r="BM68" s="75">
        <f>(NOT(BM$14=exit))*IF($E68=1,Rentroll!$P56*'A&amp;R'!$AF$12*Rentroll!$H56,Rentroll!$P56*'A&amp;R'!$AF$11*Rentroll!$H56)*(MONTH($D68)=MONTH(BM$14))*(YEAR($D68)=YEAR(BM$14))*BM$11/unit</f>
        <v>0</v>
      </c>
      <c r="BN68" s="75">
        <f>(NOT(BN$14=exit))*IF($E68=1,Rentroll!$P56*'A&amp;R'!$AF$12*Rentroll!$H56,Rentroll!$P56*'A&amp;R'!$AF$11*Rentroll!$H56)*(MONTH($D68)=MONTH(BN$14))*(YEAR($D68)=YEAR(BN$14))*BN$11/unit</f>
        <v>0</v>
      </c>
      <c r="BO68" s="75">
        <f>(NOT(BO$14=exit))*IF($E68=1,Rentroll!$P56*'A&amp;R'!$AF$12*Rentroll!$H56,Rentroll!$P56*'A&amp;R'!$AF$11*Rentroll!$H56)*(MONTH($D68)=MONTH(BO$14))*(YEAR($D68)=YEAR(BO$14))*BO$11/unit</f>
        <v>0</v>
      </c>
      <c r="BP68" s="75">
        <f>(NOT(BP$14=exit))*IF($E68=1,Rentroll!$P56*'A&amp;R'!$AF$12*Rentroll!$H56,Rentroll!$P56*'A&amp;R'!$AF$11*Rentroll!$H56)*(MONTH($D68)=MONTH(BP$14))*(YEAR($D68)=YEAR(BP$14))*BP$11/unit</f>
        <v>0</v>
      </c>
      <c r="BQ68" s="75">
        <f>(NOT(BQ$14=exit))*IF($E68=1,Rentroll!$P56*'A&amp;R'!$AF$12*Rentroll!$H56,Rentroll!$P56*'A&amp;R'!$AF$11*Rentroll!$H56)*(MONTH($D68)=MONTH(BQ$14))*(YEAR($D68)=YEAR(BQ$14))*BQ$11/unit</f>
        <v>0</v>
      </c>
      <c r="BR68" s="75">
        <f>(NOT(BR$14=exit))*IF($E68=1,Rentroll!$P56*'A&amp;R'!$AF$12*Rentroll!$H56,Rentroll!$P56*'A&amp;R'!$AF$11*Rentroll!$H56)*(MONTH($D68)=MONTH(BR$14))*(YEAR($D68)=YEAR(BR$14))*BR$11/unit</f>
        <v>0</v>
      </c>
      <c r="BS68" s="75">
        <f>(NOT(BS$14=exit))*IF($E68=1,Rentroll!$P56*'A&amp;R'!$AF$12*Rentroll!$H56,Rentroll!$P56*'A&amp;R'!$AF$11*Rentroll!$H56)*(MONTH($D68)=MONTH(BS$14))*(YEAR($D68)=YEAR(BS$14))*BS$11/unit</f>
        <v>0</v>
      </c>
      <c r="BT68" s="75">
        <f>(NOT(BT$14=exit))*IF($E68=1,Rentroll!$P56*'A&amp;R'!$AF$12*Rentroll!$H56,Rentroll!$P56*'A&amp;R'!$AF$11*Rentroll!$H56)*(MONTH($D68)=MONTH(BT$14))*(YEAR($D68)=YEAR(BT$14))*BT$11/unit</f>
        <v>0</v>
      </c>
      <c r="BU68" s="75">
        <f>(NOT(BU$14=exit))*IF($E68=1,Rentroll!$P56*'A&amp;R'!$AF$12*Rentroll!$H56,Rentroll!$P56*'A&amp;R'!$AF$11*Rentroll!$H56)*(MONTH($D68)=MONTH(BU$14))*(YEAR($D68)=YEAR(BU$14))*BU$11/unit</f>
        <v>0</v>
      </c>
      <c r="BV68" s="75">
        <f>(NOT(BV$14=exit))*IF($E68=1,Rentroll!$P56*'A&amp;R'!$AF$12*Rentroll!$H56,Rentroll!$P56*'A&amp;R'!$AF$11*Rentroll!$H56)*(MONTH($D68)=MONTH(BV$14))*(YEAR($D68)=YEAR(BV$14))*BV$11/unit</f>
        <v>0</v>
      </c>
      <c r="BW68" s="75">
        <f>(NOT(BW$14=exit))*IF($E68=1,Rentroll!$P56*'A&amp;R'!$AF$12*Rentroll!$H56,Rentroll!$P56*'A&amp;R'!$AF$11*Rentroll!$H56)*(MONTH($D68)=MONTH(BW$14))*(YEAR($D68)=YEAR(BW$14))*BW$11/unit</f>
        <v>0</v>
      </c>
      <c r="BX68" s="75">
        <f>(NOT(BX$14=exit))*IF($E68=1,Rentroll!$P56*'A&amp;R'!$AF$12*Rentroll!$H56,Rentroll!$P56*'A&amp;R'!$AF$11*Rentroll!$H56)*(MONTH($D68)=MONTH(BX$14))*(YEAR($D68)=YEAR(BX$14))*BX$11/unit</f>
        <v>0</v>
      </c>
      <c r="BY68" s="75">
        <f>(NOT(BY$14=exit))*IF($E68=1,Rentroll!$P56*'A&amp;R'!$AF$12*Rentroll!$H56,Rentroll!$P56*'A&amp;R'!$AF$11*Rentroll!$H56)*(MONTH($D68)=MONTH(BY$14))*(YEAR($D68)=YEAR(BY$14))*BY$11/unit</f>
        <v>0</v>
      </c>
      <c r="BZ68" s="75">
        <f>(NOT(BZ$14=exit))*IF($E68=1,Rentroll!$P56*'A&amp;R'!$AF$12*Rentroll!$H56,Rentroll!$P56*'A&amp;R'!$AF$11*Rentroll!$H56)*(MONTH($D68)=MONTH(BZ$14))*(YEAR($D68)=YEAR(BZ$14))*BZ$11/unit</f>
        <v>0</v>
      </c>
      <c r="CA68" s="75">
        <f>(NOT(CA$14=exit))*IF($E68=1,Rentroll!$P56*'A&amp;R'!$AF$12*Rentroll!$H56,Rentroll!$P56*'A&amp;R'!$AF$11*Rentroll!$H56)*(MONTH($D68)=MONTH(CA$14))*(YEAR($D68)=YEAR(CA$14))*CA$11/unit</f>
        <v>0</v>
      </c>
      <c r="CB68" s="75">
        <f>(NOT(CB$14=exit))*IF($E68=1,Rentroll!$P56*'A&amp;R'!$AF$12*Rentroll!$H56,Rentroll!$P56*'A&amp;R'!$AF$11*Rentroll!$H56)*(MONTH($D68)=MONTH(CB$14))*(YEAR($D68)=YEAR(CB$14))*CB$11/unit</f>
        <v>0</v>
      </c>
      <c r="CC68" s="75">
        <f>(NOT(CC$14=exit))*IF($E68=1,Rentroll!$P56*'A&amp;R'!$AF$12*Rentroll!$H56,Rentroll!$P56*'A&amp;R'!$AF$11*Rentroll!$H56)*(MONTH($D68)=MONTH(CC$14))*(YEAR($D68)=YEAR(CC$14))*CC$11/unit</f>
        <v>0</v>
      </c>
      <c r="CD68" s="75">
        <f>(NOT(CD$14=exit))*IF($E68=1,Rentroll!$P56*'A&amp;R'!$AF$12*Rentroll!$H56,Rentroll!$P56*'A&amp;R'!$AF$11*Rentroll!$H56)*(MONTH($D68)=MONTH(CD$14))*(YEAR($D68)=YEAR(CD$14))*CD$11/unit</f>
        <v>0</v>
      </c>
      <c r="CE68" s="75">
        <f>(NOT(CE$14=exit))*IF($E68=1,Rentroll!$P56*'A&amp;R'!$AF$12*Rentroll!$H56,Rentroll!$P56*'A&amp;R'!$AF$11*Rentroll!$H56)*(MONTH($D68)=MONTH(CE$14))*(YEAR($D68)=YEAR(CE$14))*CE$11/unit</f>
        <v>0</v>
      </c>
      <c r="CF68" s="75">
        <f>(NOT(CF$14=exit))*IF($E68=1,Rentroll!$P56*'A&amp;R'!$AF$12*Rentroll!$H56,Rentroll!$P56*'A&amp;R'!$AF$11*Rentroll!$H56)*(MONTH($D68)=MONTH(CF$14))*(YEAR($D68)=YEAR(CF$14))*CF$11/unit</f>
        <v>0</v>
      </c>
      <c r="CG68" s="75">
        <f>(NOT(CG$14=exit))*IF($E68=1,Rentroll!$P56*'A&amp;R'!$AF$12*Rentroll!$H56,Rentroll!$P56*'A&amp;R'!$AF$11*Rentroll!$H56)*(MONTH($D68)=MONTH(CG$14))*(YEAR($D68)=YEAR(CG$14))*CG$11/unit</f>
        <v>0</v>
      </c>
      <c r="CH68" s="75">
        <f>(NOT(CH$14=exit))*IF($E68=1,Rentroll!$P56*'A&amp;R'!$AF$12*Rentroll!$H56,Rentroll!$P56*'A&amp;R'!$AF$11*Rentroll!$H56)*(MONTH($D68)=MONTH(CH$14))*(YEAR($D68)=YEAR(CH$14))*CH$11/unit</f>
        <v>0</v>
      </c>
      <c r="CI68" s="75">
        <f>(NOT(CI$14=exit))*IF($E68=1,Rentroll!$P56*'A&amp;R'!$AF$12*Rentroll!$H56,Rentroll!$P56*'A&amp;R'!$AF$11*Rentroll!$H56)*(MONTH($D68)=MONTH(CI$14))*(YEAR($D68)=YEAR(CI$14))*CI$11/unit</f>
        <v>0</v>
      </c>
      <c r="CJ68" s="75">
        <f>(NOT(CJ$14=exit))*IF($E68=1,Rentroll!$P56*'A&amp;R'!$AF$12*Rentroll!$H56,Rentroll!$P56*'A&amp;R'!$AF$11*Rentroll!$H56)*(MONTH($D68)=MONTH(CJ$14))*(YEAR($D68)=YEAR(CJ$14))*CJ$11/unit</f>
        <v>0</v>
      </c>
      <c r="CK68" s="75">
        <f>(NOT(CK$14=exit))*IF($E68=1,Rentroll!$P56*'A&amp;R'!$AF$12*Rentroll!$H56,Rentroll!$P56*'A&amp;R'!$AF$11*Rentroll!$H56)*(MONTH($D68)=MONTH(CK$14))*(YEAR($D68)=YEAR(CK$14))*CK$11/unit</f>
        <v>0</v>
      </c>
      <c r="CL68" s="75">
        <f>(NOT(CL$14=exit))*IF($E68=1,Rentroll!$P56*'A&amp;R'!$AF$12*Rentroll!$H56,Rentroll!$P56*'A&amp;R'!$AF$11*Rentroll!$H56)*(MONTH($D68)=MONTH(CL$14))*(YEAR($D68)=YEAR(CL$14))*CL$11/unit</f>
        <v>0</v>
      </c>
      <c r="CM68" s="75">
        <f>(NOT(CM$14=exit))*IF($E68=1,Rentroll!$P56*'A&amp;R'!$AF$12*Rentroll!$H56,Rentroll!$P56*'A&amp;R'!$AF$11*Rentroll!$H56)*(MONTH($D68)=MONTH(CM$14))*(YEAR($D68)=YEAR(CM$14))*CM$11/unit</f>
        <v>0</v>
      </c>
      <c r="CN68" s="75">
        <f>(NOT(CN$14=exit))*IF($E68=1,Rentroll!$P56*'A&amp;R'!$AF$12*Rentroll!$H56,Rentroll!$P56*'A&amp;R'!$AF$11*Rentroll!$H56)*(MONTH($D68)=MONTH(CN$14))*(YEAR($D68)=YEAR(CN$14))*CN$11/unit</f>
        <v>0</v>
      </c>
      <c r="CO68" s="75">
        <f>(NOT(CO$14=exit))*IF($E68=1,Rentroll!$P56*'A&amp;R'!$AF$12*Rentroll!$H56,Rentroll!$P56*'A&amp;R'!$AF$11*Rentroll!$H56)*(MONTH($D68)=MONTH(CO$14))*(YEAR($D68)=YEAR(CO$14))*CO$11/unit</f>
        <v>0</v>
      </c>
      <c r="CP68" s="75">
        <f>(NOT(CP$14=exit))*IF($E68=1,Rentroll!$P56*'A&amp;R'!$AF$12*Rentroll!$H56,Rentroll!$P56*'A&amp;R'!$AF$11*Rentroll!$H56)*(MONTH($D68)=MONTH(CP$14))*(YEAR($D68)=YEAR(CP$14))*CP$11/unit</f>
        <v>0</v>
      </c>
      <c r="CQ68" s="75">
        <f>(NOT(CQ$14=exit))*IF($E68=1,Rentroll!$P56*'A&amp;R'!$AF$12*Rentroll!$H56,Rentroll!$P56*'A&amp;R'!$AF$11*Rentroll!$H56)*(MONTH($D68)=MONTH(CQ$14))*(YEAR($D68)=YEAR(CQ$14))*CQ$11/unit</f>
        <v>0</v>
      </c>
      <c r="CR68" s="75">
        <f>(NOT(CR$14=exit))*IF($E68=1,Rentroll!$P56*'A&amp;R'!$AF$12*Rentroll!$H56,Rentroll!$P56*'A&amp;R'!$AF$11*Rentroll!$H56)*(MONTH($D68)=MONTH(CR$14))*(YEAR($D68)=YEAR(CR$14))*CR$11/unit</f>
        <v>0</v>
      </c>
      <c r="CS68" s="75">
        <f>(NOT(CS$14=exit))*IF($E68=1,Rentroll!$P56*'A&amp;R'!$AF$12*Rentroll!$H56,Rentroll!$P56*'A&amp;R'!$AF$11*Rentroll!$H56)*(MONTH($D68)=MONTH(CS$14))*(YEAR($D68)=YEAR(CS$14))*CS$11/unit</f>
        <v>0</v>
      </c>
      <c r="CT68" s="75">
        <f>(NOT(CT$14=exit))*IF($E68=1,Rentroll!$P56*'A&amp;R'!$AF$12*Rentroll!$H56,Rentroll!$P56*'A&amp;R'!$AF$11*Rentroll!$H56)*(MONTH($D68)=MONTH(CT$14))*(YEAR($D68)=YEAR(CT$14))*CT$11/unit</f>
        <v>0</v>
      </c>
      <c r="CU68" s="75">
        <f>(NOT(CU$14=exit))*IF($E68=1,Rentroll!$P56*'A&amp;R'!$AF$12*Rentroll!$H56,Rentroll!$P56*'A&amp;R'!$AF$11*Rentroll!$H56)*(MONTH($D68)=MONTH(CU$14))*(YEAR($D68)=YEAR(CU$14))*CU$11/unit</f>
        <v>0</v>
      </c>
      <c r="CV68" s="75">
        <f>(NOT(CV$14=exit))*IF($E68=1,Rentroll!$P56*'A&amp;R'!$AF$12*Rentroll!$H56,Rentroll!$P56*'A&amp;R'!$AF$11*Rentroll!$H56)*(MONTH($D68)=MONTH(CV$14))*(YEAR($D68)=YEAR(CV$14))*CV$11/unit</f>
        <v>0</v>
      </c>
      <c r="CW68" s="75">
        <f>(NOT(CW$14=exit))*IF($E68=1,Rentroll!$P56*'A&amp;R'!$AF$12*Rentroll!$H56,Rentroll!$P56*'A&amp;R'!$AF$11*Rentroll!$H56)*(MONTH($D68)=MONTH(CW$14))*(YEAR($D68)=YEAR(CW$14))*CW$11/unit</f>
        <v>0</v>
      </c>
      <c r="CX68" s="75">
        <f>(NOT(CX$14=exit))*IF($E68=1,Rentroll!$P56*'A&amp;R'!$AF$12*Rentroll!$H56,Rentroll!$P56*'A&amp;R'!$AF$11*Rentroll!$H56)*(MONTH($D68)=MONTH(CX$14))*(YEAR($D68)=YEAR(CX$14))*CX$11/unit</f>
        <v>0</v>
      </c>
      <c r="CY68" s="75">
        <f>(NOT(CY$14=exit))*IF($E68=1,Rentroll!$P56*'A&amp;R'!$AF$12*Rentroll!$H56,Rentroll!$P56*'A&amp;R'!$AF$11*Rentroll!$H56)*(MONTH($D68)=MONTH(CY$14))*(YEAR($D68)=YEAR(CY$14))*CY$11/unit</f>
        <v>0</v>
      </c>
      <c r="CZ68" s="75">
        <f>(NOT(CZ$14=exit))*IF($E68=1,Rentroll!$P56*'A&amp;R'!$AF$12*Rentroll!$H56,Rentroll!$P56*'A&amp;R'!$AF$11*Rentroll!$H56)*(MONTH($D68)=MONTH(CZ$14))*(YEAR($D68)=YEAR(CZ$14))*CZ$11/unit</f>
        <v>0</v>
      </c>
      <c r="DA68" s="75">
        <f>(NOT(DA$14=exit))*IF($E68=1,Rentroll!$P56*'A&amp;R'!$AF$12*Rentroll!$H56,Rentroll!$P56*'A&amp;R'!$AF$11*Rentroll!$H56)*(MONTH($D68)=MONTH(DA$14))*(YEAR($D68)=YEAR(DA$14))*DA$11/unit</f>
        <v>0</v>
      </c>
      <c r="DB68" s="75">
        <f>(NOT(DB$14=exit))*IF($E68=1,Rentroll!$P56*'A&amp;R'!$AF$12*Rentroll!$H56,Rentroll!$P56*'A&amp;R'!$AF$11*Rentroll!$H56)*(MONTH($D68)=MONTH(DB$14))*(YEAR($D68)=YEAR(DB$14))*DB$11/unit</f>
        <v>0</v>
      </c>
    </row>
    <row r="69" spans="2:106">
      <c r="C69" s="28" t="str">
        <f>Rentroll!$C$57</f>
        <v>102호</v>
      </c>
      <c r="D69" s="80">
        <f>VLOOKUP($C69,Rentroll!$C$37:$Z$60,9,FALSE)</f>
        <v>45838</v>
      </c>
      <c r="E69" s="150">
        <f>VLOOKUP($C69,Rentroll!$C$37:$Z$60,24,FALSE)</f>
        <v>1</v>
      </c>
      <c r="F69" s="75">
        <f t="shared" si="45"/>
        <v>46.193474250000001</v>
      </c>
      <c r="G69" s="75"/>
      <c r="H69" s="75">
        <f>(NOT(H$14=exit))*IF($E69=1,Rentroll!$P57*'A&amp;R'!$AF$12*Rentroll!$H57,Rentroll!$P57*'A&amp;R'!$AF$11*Rentroll!$H57)*(MONTH($D69)=MONTH(H$14))*(YEAR($D69)=YEAR(H$14))*H$11/unit</f>
        <v>0</v>
      </c>
      <c r="I69" s="75">
        <f>(NOT(I$14=exit))*IF($E69=1,Rentroll!$P57*'A&amp;R'!$AF$12*Rentroll!$H57,Rentroll!$P57*'A&amp;R'!$AF$11*Rentroll!$H57)*(MONTH($D69)=MONTH(I$14))*(YEAR($D69)=YEAR(I$14))*I$11/unit</f>
        <v>0</v>
      </c>
      <c r="J69" s="75">
        <f>(NOT(J$14=exit))*IF($E69=1,Rentroll!$P57*'A&amp;R'!$AF$12*Rentroll!$H57,Rentroll!$P57*'A&amp;R'!$AF$11*Rentroll!$H57)*(MONTH($D69)=MONTH(J$14))*(YEAR($D69)=YEAR(J$14))*J$11/unit</f>
        <v>0</v>
      </c>
      <c r="K69" s="75">
        <f>(NOT(K$14=exit))*IF($E69=1,Rentroll!$P57*'A&amp;R'!$AF$12*Rentroll!$H57,Rentroll!$P57*'A&amp;R'!$AF$11*Rentroll!$H57)*(MONTH($D69)=MONTH(K$14))*(YEAR($D69)=YEAR(K$14))*K$11/unit</f>
        <v>0</v>
      </c>
      <c r="L69" s="75">
        <f>(NOT(L$14=exit))*IF($E69=1,Rentroll!$P57*'A&amp;R'!$AF$12*Rentroll!$H57,Rentroll!$P57*'A&amp;R'!$AF$11*Rentroll!$H57)*(MONTH($D69)=MONTH(L$14))*(YEAR($D69)=YEAR(L$14))*L$11/unit</f>
        <v>0</v>
      </c>
      <c r="M69" s="75">
        <f>(NOT(M$14=exit))*IF($E69=1,Rentroll!$P57*'A&amp;R'!$AF$12*Rentroll!$H57,Rentroll!$P57*'A&amp;R'!$AF$11*Rentroll!$H57)*(MONTH($D69)=MONTH(M$14))*(YEAR($D69)=YEAR(M$14))*M$11/unit</f>
        <v>46.193474250000001</v>
      </c>
      <c r="N69" s="75">
        <f>(NOT(N$14=exit))*IF($E69=1,Rentroll!$P57*'A&amp;R'!$AF$12*Rentroll!$H57,Rentroll!$P57*'A&amp;R'!$AF$11*Rentroll!$H57)*(MONTH($D69)=MONTH(N$14))*(YEAR($D69)=YEAR(N$14))*N$11/unit</f>
        <v>0</v>
      </c>
      <c r="O69" s="75">
        <f>(NOT(O$14=exit))*IF($E69=1,Rentroll!$P57*'A&amp;R'!$AF$12*Rentroll!$H57,Rentroll!$P57*'A&amp;R'!$AF$11*Rentroll!$H57)*(MONTH($D69)=MONTH(O$14))*(YEAR($D69)=YEAR(O$14))*O$11/unit</f>
        <v>0</v>
      </c>
      <c r="P69" s="75">
        <f>(NOT(P$14=exit))*IF($E69=1,Rentroll!$P57*'A&amp;R'!$AF$12*Rentroll!$H57,Rentroll!$P57*'A&amp;R'!$AF$11*Rentroll!$H57)*(MONTH($D69)=MONTH(P$14))*(YEAR($D69)=YEAR(P$14))*P$11/unit</f>
        <v>0</v>
      </c>
      <c r="Q69" s="75">
        <f>(NOT(Q$14=exit))*IF($E69=1,Rentroll!$P57*'A&amp;R'!$AF$12*Rentroll!$H57,Rentroll!$P57*'A&amp;R'!$AF$11*Rentroll!$H57)*(MONTH($D69)=MONTH(Q$14))*(YEAR($D69)=YEAR(Q$14))*Q$11/unit</f>
        <v>0</v>
      </c>
      <c r="R69" s="75">
        <f>(NOT(R$14=exit))*IF($E69=1,Rentroll!$P57*'A&amp;R'!$AF$12*Rentroll!$H57,Rentroll!$P57*'A&amp;R'!$AF$11*Rentroll!$H57)*(MONTH($D69)=MONTH(R$14))*(YEAR($D69)=YEAR(R$14))*R$11/unit</f>
        <v>0</v>
      </c>
      <c r="S69" s="75">
        <f>(NOT(S$14=exit))*IF($E69=1,Rentroll!$P57*'A&amp;R'!$AF$12*Rentroll!$H57,Rentroll!$P57*'A&amp;R'!$AF$11*Rentroll!$H57)*(MONTH($D69)=MONTH(S$14))*(YEAR($D69)=YEAR(S$14))*S$11/unit</f>
        <v>0</v>
      </c>
      <c r="T69" s="75">
        <f>(NOT(T$14=exit))*IF($E69=1,Rentroll!$P57*'A&amp;R'!$AF$12*Rentroll!$H57,Rentroll!$P57*'A&amp;R'!$AF$11*Rentroll!$H57)*(MONTH($D69)=MONTH(T$14))*(YEAR($D69)=YEAR(T$14))*T$11/unit</f>
        <v>0</v>
      </c>
      <c r="U69" s="75">
        <f>(NOT(U$14=exit))*IF($E69=1,Rentroll!$P57*'A&amp;R'!$AF$12*Rentroll!$H57,Rentroll!$P57*'A&amp;R'!$AF$11*Rentroll!$H57)*(MONTH($D69)=MONTH(U$14))*(YEAR($D69)=YEAR(U$14))*U$11/unit</f>
        <v>0</v>
      </c>
      <c r="V69" s="75">
        <f>(NOT(V$14=exit))*IF($E69=1,Rentroll!$P57*'A&amp;R'!$AF$12*Rentroll!$H57,Rentroll!$P57*'A&amp;R'!$AF$11*Rentroll!$H57)*(MONTH($D69)=MONTH(V$14))*(YEAR($D69)=YEAR(V$14))*V$11/unit</f>
        <v>0</v>
      </c>
      <c r="W69" s="75">
        <f>(NOT(W$14=exit))*IF($E69=1,Rentroll!$P57*'A&amp;R'!$AF$12*Rentroll!$H57,Rentroll!$P57*'A&amp;R'!$AF$11*Rentroll!$H57)*(MONTH($D69)=MONTH(W$14))*(YEAR($D69)=YEAR(W$14))*W$11/unit</f>
        <v>0</v>
      </c>
      <c r="X69" s="75">
        <f>(NOT(X$14=exit))*IF($E69=1,Rentroll!$P57*'A&amp;R'!$AF$12*Rentroll!$H57,Rentroll!$P57*'A&amp;R'!$AF$11*Rentroll!$H57)*(MONTH($D69)=MONTH(X$14))*(YEAR($D69)=YEAR(X$14))*X$11/unit</f>
        <v>0</v>
      </c>
      <c r="Y69" s="75">
        <f>(NOT(Y$14=exit))*IF($E69=1,Rentroll!$P57*'A&amp;R'!$AF$12*Rentroll!$H57,Rentroll!$P57*'A&amp;R'!$AF$11*Rentroll!$H57)*(MONTH($D69)=MONTH(Y$14))*(YEAR($D69)=YEAR(Y$14))*Y$11/unit</f>
        <v>0</v>
      </c>
      <c r="Z69" s="75">
        <f>(NOT(Z$14=exit))*IF($E69=1,Rentroll!$P57*'A&amp;R'!$AF$12*Rentroll!$H57,Rentroll!$P57*'A&amp;R'!$AF$11*Rentroll!$H57)*(MONTH($D69)=MONTH(Z$14))*(YEAR($D69)=YEAR(Z$14))*Z$11/unit</f>
        <v>0</v>
      </c>
      <c r="AA69" s="75">
        <f>(NOT(AA$14=exit))*IF($E69=1,Rentroll!$P57*'A&amp;R'!$AF$12*Rentroll!$H57,Rentroll!$P57*'A&amp;R'!$AF$11*Rentroll!$H57)*(MONTH($D69)=MONTH(AA$14))*(YEAR($D69)=YEAR(AA$14))*AA$11/unit</f>
        <v>0</v>
      </c>
      <c r="AB69" s="75">
        <f>(NOT(AB$14=exit))*IF($E69=1,Rentroll!$P57*'A&amp;R'!$AF$12*Rentroll!$H57,Rentroll!$P57*'A&amp;R'!$AF$11*Rentroll!$H57)*(MONTH($D69)=MONTH(AB$14))*(YEAR($D69)=YEAR(AB$14))*AB$11/unit</f>
        <v>0</v>
      </c>
      <c r="AC69" s="75">
        <f>(NOT(AC$14=exit))*IF($E69=1,Rentroll!$P57*'A&amp;R'!$AF$12*Rentroll!$H57,Rentroll!$P57*'A&amp;R'!$AF$11*Rentroll!$H57)*(MONTH($D69)=MONTH(AC$14))*(YEAR($D69)=YEAR(AC$14))*AC$11/unit</f>
        <v>0</v>
      </c>
      <c r="AD69" s="75">
        <f>(NOT(AD$14=exit))*IF($E69=1,Rentroll!$P57*'A&amp;R'!$AF$12*Rentroll!$H57,Rentroll!$P57*'A&amp;R'!$AF$11*Rentroll!$H57)*(MONTH($D69)=MONTH(AD$14))*(YEAR($D69)=YEAR(AD$14))*AD$11/unit</f>
        <v>0</v>
      </c>
      <c r="AE69" s="75">
        <f>(NOT(AE$14=exit))*IF($E69=1,Rentroll!$P57*'A&amp;R'!$AF$12*Rentroll!$H57,Rentroll!$P57*'A&amp;R'!$AF$11*Rentroll!$H57)*(MONTH($D69)=MONTH(AE$14))*(YEAR($D69)=YEAR(AE$14))*AE$11/unit</f>
        <v>0</v>
      </c>
      <c r="AF69" s="75">
        <f>(NOT(AF$14=exit))*IF($E69=1,Rentroll!$P57*'A&amp;R'!$AF$12*Rentroll!$H57,Rentroll!$P57*'A&amp;R'!$AF$11*Rentroll!$H57)*(MONTH($D69)=MONTH(AF$14))*(YEAR($D69)=YEAR(AF$14))*AF$11/unit</f>
        <v>0</v>
      </c>
      <c r="AG69" s="75">
        <f>(NOT(AG$14=exit))*IF($E69=1,Rentroll!$P57*'A&amp;R'!$AF$12*Rentroll!$H57,Rentroll!$P57*'A&amp;R'!$AF$11*Rentroll!$H57)*(MONTH($D69)=MONTH(AG$14))*(YEAR($D69)=YEAR(AG$14))*AG$11/unit</f>
        <v>0</v>
      </c>
      <c r="AH69" s="75">
        <f>(NOT(AH$14=exit))*IF($E69=1,Rentroll!$P57*'A&amp;R'!$AF$12*Rentroll!$H57,Rentroll!$P57*'A&amp;R'!$AF$11*Rentroll!$H57)*(MONTH($D69)=MONTH(AH$14))*(YEAR($D69)=YEAR(AH$14))*AH$11/unit</f>
        <v>0</v>
      </c>
      <c r="AI69" s="75">
        <f>(NOT(AI$14=exit))*IF($E69=1,Rentroll!$P57*'A&amp;R'!$AF$12*Rentroll!$H57,Rentroll!$P57*'A&amp;R'!$AF$11*Rentroll!$H57)*(MONTH($D69)=MONTH(AI$14))*(YEAR($D69)=YEAR(AI$14))*AI$11/unit</f>
        <v>0</v>
      </c>
      <c r="AJ69" s="75">
        <f>(NOT(AJ$14=exit))*IF($E69=1,Rentroll!$P57*'A&amp;R'!$AF$12*Rentroll!$H57,Rentroll!$P57*'A&amp;R'!$AF$11*Rentroll!$H57)*(MONTH($D69)=MONTH(AJ$14))*(YEAR($D69)=YEAR(AJ$14))*AJ$11/unit</f>
        <v>0</v>
      </c>
      <c r="AK69" s="75">
        <f>(NOT(AK$14=exit))*IF($E69=1,Rentroll!$P57*'A&amp;R'!$AF$12*Rentroll!$H57,Rentroll!$P57*'A&amp;R'!$AF$11*Rentroll!$H57)*(MONTH($D69)=MONTH(AK$14))*(YEAR($D69)=YEAR(AK$14))*AK$11/unit</f>
        <v>0</v>
      </c>
      <c r="AL69" s="75">
        <f>(NOT(AL$14=exit))*IF($E69=1,Rentroll!$P57*'A&amp;R'!$AF$12*Rentroll!$H57,Rentroll!$P57*'A&amp;R'!$AF$11*Rentroll!$H57)*(MONTH($D69)=MONTH(AL$14))*(YEAR($D69)=YEAR(AL$14))*AL$11/unit</f>
        <v>0</v>
      </c>
      <c r="AM69" s="75">
        <f>(NOT(AM$14=exit))*IF($E69=1,Rentroll!$P57*'A&amp;R'!$AF$12*Rentroll!$H57,Rentroll!$P57*'A&amp;R'!$AF$11*Rentroll!$H57)*(MONTH($D69)=MONTH(AM$14))*(YEAR($D69)=YEAR(AM$14))*AM$11/unit</f>
        <v>0</v>
      </c>
      <c r="AN69" s="75">
        <f>(NOT(AN$14=exit))*IF($E69=1,Rentroll!$P57*'A&amp;R'!$AF$12*Rentroll!$H57,Rentroll!$P57*'A&amp;R'!$AF$11*Rentroll!$H57)*(MONTH($D69)=MONTH(AN$14))*(YEAR($D69)=YEAR(AN$14))*AN$11/unit</f>
        <v>0</v>
      </c>
      <c r="AO69" s="75">
        <f>(NOT(AO$14=exit))*IF($E69=1,Rentroll!$P57*'A&amp;R'!$AF$12*Rentroll!$H57,Rentroll!$P57*'A&amp;R'!$AF$11*Rentroll!$H57)*(MONTH($D69)=MONTH(AO$14))*(YEAR($D69)=YEAR(AO$14))*AO$11/unit</f>
        <v>0</v>
      </c>
      <c r="AP69" s="75">
        <f>(NOT(AP$14=exit))*IF($E69=1,Rentroll!$P57*'A&amp;R'!$AF$12*Rentroll!$H57,Rentroll!$P57*'A&amp;R'!$AF$11*Rentroll!$H57)*(MONTH($D69)=MONTH(AP$14))*(YEAR($D69)=YEAR(AP$14))*AP$11/unit</f>
        <v>0</v>
      </c>
      <c r="AQ69" s="75">
        <f>(NOT(AQ$14=exit))*IF($E69=1,Rentroll!$P57*'A&amp;R'!$AF$12*Rentroll!$H57,Rentroll!$P57*'A&amp;R'!$AF$11*Rentroll!$H57)*(MONTH($D69)=MONTH(AQ$14))*(YEAR($D69)=YEAR(AQ$14))*AQ$11/unit</f>
        <v>0</v>
      </c>
      <c r="AR69" s="75">
        <f>(NOT(AR$14=exit))*IF($E69=1,Rentroll!$P57*'A&amp;R'!$AF$12*Rentroll!$H57,Rentroll!$P57*'A&amp;R'!$AF$11*Rentroll!$H57)*(MONTH($D69)=MONTH(AR$14))*(YEAR($D69)=YEAR(AR$14))*AR$11/unit</f>
        <v>0</v>
      </c>
      <c r="AS69" s="75">
        <f>(NOT(AS$14=exit))*IF($E69=1,Rentroll!$P57*'A&amp;R'!$AF$12*Rentroll!$H57,Rentroll!$P57*'A&amp;R'!$AF$11*Rentroll!$H57)*(MONTH($D69)=MONTH(AS$14))*(YEAR($D69)=YEAR(AS$14))*AS$11/unit</f>
        <v>0</v>
      </c>
      <c r="AT69" s="75">
        <f>(NOT(AT$14=exit))*IF($E69=1,Rentroll!$P57*'A&amp;R'!$AF$12*Rentroll!$H57,Rentroll!$P57*'A&amp;R'!$AF$11*Rentroll!$H57)*(MONTH($D69)=MONTH(AT$14))*(YEAR($D69)=YEAR(AT$14))*AT$11/unit</f>
        <v>0</v>
      </c>
      <c r="AU69" s="75">
        <f>(NOT(AU$14=exit))*IF($E69=1,Rentroll!$P57*'A&amp;R'!$AF$12*Rentroll!$H57,Rentroll!$P57*'A&amp;R'!$AF$11*Rentroll!$H57)*(MONTH($D69)=MONTH(AU$14))*(YEAR($D69)=YEAR(AU$14))*AU$11/unit</f>
        <v>0</v>
      </c>
      <c r="AV69" s="75">
        <f>(NOT(AV$14=exit))*IF($E69=1,Rentroll!$P57*'A&amp;R'!$AF$12*Rentroll!$H57,Rentroll!$P57*'A&amp;R'!$AF$11*Rentroll!$H57)*(MONTH($D69)=MONTH(AV$14))*(YEAR($D69)=YEAR(AV$14))*AV$11/unit</f>
        <v>0</v>
      </c>
      <c r="AW69" s="75">
        <f>(NOT(AW$14=exit))*IF($E69=1,Rentroll!$P57*'A&amp;R'!$AF$12*Rentroll!$H57,Rentroll!$P57*'A&amp;R'!$AF$11*Rentroll!$H57)*(MONTH($D69)=MONTH(AW$14))*(YEAR($D69)=YEAR(AW$14))*AW$11/unit</f>
        <v>0</v>
      </c>
      <c r="AX69" s="75">
        <f>(NOT(AX$14=exit))*IF($E69=1,Rentroll!$P57*'A&amp;R'!$AF$12*Rentroll!$H57,Rentroll!$P57*'A&amp;R'!$AF$11*Rentroll!$H57)*(MONTH($D69)=MONTH(AX$14))*(YEAR($D69)=YEAR(AX$14))*AX$11/unit</f>
        <v>0</v>
      </c>
      <c r="AY69" s="75">
        <f>(NOT(AY$14=exit))*IF($E69=1,Rentroll!$P57*'A&amp;R'!$AF$12*Rentroll!$H57,Rentroll!$P57*'A&amp;R'!$AF$11*Rentroll!$H57)*(MONTH($D69)=MONTH(AY$14))*(YEAR($D69)=YEAR(AY$14))*AY$11/unit</f>
        <v>0</v>
      </c>
      <c r="AZ69" s="75">
        <f>(NOT(AZ$14=exit))*IF($E69=1,Rentroll!$P57*'A&amp;R'!$AF$12*Rentroll!$H57,Rentroll!$P57*'A&amp;R'!$AF$11*Rentroll!$H57)*(MONTH($D69)=MONTH(AZ$14))*(YEAR($D69)=YEAR(AZ$14))*AZ$11/unit</f>
        <v>0</v>
      </c>
      <c r="BA69" s="75">
        <f>(NOT(BA$14=exit))*IF($E69=1,Rentroll!$P57*'A&amp;R'!$AF$12*Rentroll!$H57,Rentroll!$P57*'A&amp;R'!$AF$11*Rentroll!$H57)*(MONTH($D69)=MONTH(BA$14))*(YEAR($D69)=YEAR(BA$14))*BA$11/unit</f>
        <v>0</v>
      </c>
      <c r="BB69" s="75">
        <f>(NOT(BB$14=exit))*IF($E69=1,Rentroll!$P57*'A&amp;R'!$AF$12*Rentroll!$H57,Rentroll!$P57*'A&amp;R'!$AF$11*Rentroll!$H57)*(MONTH($D69)=MONTH(BB$14))*(YEAR($D69)=YEAR(BB$14))*BB$11/unit</f>
        <v>0</v>
      </c>
      <c r="BC69" s="75">
        <f>(NOT(BC$14=exit))*IF($E69=1,Rentroll!$P57*'A&amp;R'!$AF$12*Rentroll!$H57,Rentroll!$P57*'A&amp;R'!$AF$11*Rentroll!$H57)*(MONTH($D69)=MONTH(BC$14))*(YEAR($D69)=YEAR(BC$14))*BC$11/unit</f>
        <v>0</v>
      </c>
      <c r="BD69" s="75">
        <f>(NOT(BD$14=exit))*IF($E69=1,Rentroll!$P57*'A&amp;R'!$AF$12*Rentroll!$H57,Rentroll!$P57*'A&amp;R'!$AF$11*Rentroll!$H57)*(MONTH($D69)=MONTH(BD$14))*(YEAR($D69)=YEAR(BD$14))*BD$11/unit</f>
        <v>0</v>
      </c>
      <c r="BE69" s="75">
        <f>(NOT(BE$14=exit))*IF($E69=1,Rentroll!$P57*'A&amp;R'!$AF$12*Rentroll!$H57,Rentroll!$P57*'A&amp;R'!$AF$11*Rentroll!$H57)*(MONTH($D69)=MONTH(BE$14))*(YEAR($D69)=YEAR(BE$14))*BE$11/unit</f>
        <v>0</v>
      </c>
      <c r="BF69" s="75">
        <f>(NOT(BF$14=exit))*IF($E69=1,Rentroll!$P57*'A&amp;R'!$AF$12*Rentroll!$H57,Rentroll!$P57*'A&amp;R'!$AF$11*Rentroll!$H57)*(MONTH($D69)=MONTH(BF$14))*(YEAR($D69)=YEAR(BF$14))*BF$11/unit</f>
        <v>0</v>
      </c>
      <c r="BG69" s="75">
        <f>(NOT(BG$14=exit))*IF($E69=1,Rentroll!$P57*'A&amp;R'!$AF$12*Rentroll!$H57,Rentroll!$P57*'A&amp;R'!$AF$11*Rentroll!$H57)*(MONTH($D69)=MONTH(BG$14))*(YEAR($D69)=YEAR(BG$14))*BG$11/unit</f>
        <v>0</v>
      </c>
      <c r="BH69" s="75">
        <f>(NOT(BH$14=exit))*IF($E69=1,Rentroll!$P57*'A&amp;R'!$AF$12*Rentroll!$H57,Rentroll!$P57*'A&amp;R'!$AF$11*Rentroll!$H57)*(MONTH($D69)=MONTH(BH$14))*(YEAR($D69)=YEAR(BH$14))*BH$11/unit</f>
        <v>0</v>
      </c>
      <c r="BI69" s="75">
        <f>(NOT(BI$14=exit))*IF($E69=1,Rentroll!$P57*'A&amp;R'!$AF$12*Rentroll!$H57,Rentroll!$P57*'A&amp;R'!$AF$11*Rentroll!$H57)*(MONTH($D69)=MONTH(BI$14))*(YEAR($D69)=YEAR(BI$14))*BI$11/unit</f>
        <v>0</v>
      </c>
      <c r="BJ69" s="75">
        <f>(NOT(BJ$14=exit))*IF($E69=1,Rentroll!$P57*'A&amp;R'!$AF$12*Rentroll!$H57,Rentroll!$P57*'A&amp;R'!$AF$11*Rentroll!$H57)*(MONTH($D69)=MONTH(BJ$14))*(YEAR($D69)=YEAR(BJ$14))*BJ$11/unit</f>
        <v>0</v>
      </c>
      <c r="BK69" s="75">
        <f>(NOT(BK$14=exit))*IF($E69=1,Rentroll!$P57*'A&amp;R'!$AF$12*Rentroll!$H57,Rentroll!$P57*'A&amp;R'!$AF$11*Rentroll!$H57)*(MONTH($D69)=MONTH(BK$14))*(YEAR($D69)=YEAR(BK$14))*BK$11/unit</f>
        <v>0</v>
      </c>
      <c r="BL69" s="75">
        <f>(NOT(BL$14=exit))*IF($E69=1,Rentroll!$P57*'A&amp;R'!$AF$12*Rentroll!$H57,Rentroll!$P57*'A&amp;R'!$AF$11*Rentroll!$H57)*(MONTH($D69)=MONTH(BL$14))*(YEAR($D69)=YEAR(BL$14))*BL$11/unit</f>
        <v>0</v>
      </c>
      <c r="BM69" s="75">
        <f>(NOT(BM$14=exit))*IF($E69=1,Rentroll!$P57*'A&amp;R'!$AF$12*Rentroll!$H57,Rentroll!$P57*'A&amp;R'!$AF$11*Rentroll!$H57)*(MONTH($D69)=MONTH(BM$14))*(YEAR($D69)=YEAR(BM$14))*BM$11/unit</f>
        <v>0</v>
      </c>
      <c r="BN69" s="75">
        <f>(NOT(BN$14=exit))*IF($E69=1,Rentroll!$P57*'A&amp;R'!$AF$12*Rentroll!$H57,Rentroll!$P57*'A&amp;R'!$AF$11*Rentroll!$H57)*(MONTH($D69)=MONTH(BN$14))*(YEAR($D69)=YEAR(BN$14))*BN$11/unit</f>
        <v>0</v>
      </c>
      <c r="BO69" s="75">
        <f>(NOT(BO$14=exit))*IF($E69=1,Rentroll!$P57*'A&amp;R'!$AF$12*Rentroll!$H57,Rentroll!$P57*'A&amp;R'!$AF$11*Rentroll!$H57)*(MONTH($D69)=MONTH(BO$14))*(YEAR($D69)=YEAR(BO$14))*BO$11/unit</f>
        <v>0</v>
      </c>
      <c r="BP69" s="75">
        <f>(NOT(BP$14=exit))*IF($E69=1,Rentroll!$P57*'A&amp;R'!$AF$12*Rentroll!$H57,Rentroll!$P57*'A&amp;R'!$AF$11*Rentroll!$H57)*(MONTH($D69)=MONTH(BP$14))*(YEAR($D69)=YEAR(BP$14))*BP$11/unit</f>
        <v>0</v>
      </c>
      <c r="BQ69" s="75">
        <f>(NOT(BQ$14=exit))*IF($E69=1,Rentroll!$P57*'A&amp;R'!$AF$12*Rentroll!$H57,Rentroll!$P57*'A&amp;R'!$AF$11*Rentroll!$H57)*(MONTH($D69)=MONTH(BQ$14))*(YEAR($D69)=YEAR(BQ$14))*BQ$11/unit</f>
        <v>0</v>
      </c>
      <c r="BR69" s="75">
        <f>(NOT(BR$14=exit))*IF($E69=1,Rentroll!$P57*'A&amp;R'!$AF$12*Rentroll!$H57,Rentroll!$P57*'A&amp;R'!$AF$11*Rentroll!$H57)*(MONTH($D69)=MONTH(BR$14))*(YEAR($D69)=YEAR(BR$14))*BR$11/unit</f>
        <v>0</v>
      </c>
      <c r="BS69" s="75">
        <f>(NOT(BS$14=exit))*IF($E69=1,Rentroll!$P57*'A&amp;R'!$AF$12*Rentroll!$H57,Rentroll!$P57*'A&amp;R'!$AF$11*Rentroll!$H57)*(MONTH($D69)=MONTH(BS$14))*(YEAR($D69)=YEAR(BS$14))*BS$11/unit</f>
        <v>0</v>
      </c>
      <c r="BT69" s="75">
        <f>(NOT(BT$14=exit))*IF($E69=1,Rentroll!$P57*'A&amp;R'!$AF$12*Rentroll!$H57,Rentroll!$P57*'A&amp;R'!$AF$11*Rentroll!$H57)*(MONTH($D69)=MONTH(BT$14))*(YEAR($D69)=YEAR(BT$14))*BT$11/unit</f>
        <v>0</v>
      </c>
      <c r="BU69" s="75">
        <f>(NOT(BU$14=exit))*IF($E69=1,Rentroll!$P57*'A&amp;R'!$AF$12*Rentroll!$H57,Rentroll!$P57*'A&amp;R'!$AF$11*Rentroll!$H57)*(MONTH($D69)=MONTH(BU$14))*(YEAR($D69)=YEAR(BU$14))*BU$11/unit</f>
        <v>0</v>
      </c>
      <c r="BV69" s="75">
        <f>(NOT(BV$14=exit))*IF($E69=1,Rentroll!$P57*'A&amp;R'!$AF$12*Rentroll!$H57,Rentroll!$P57*'A&amp;R'!$AF$11*Rentroll!$H57)*(MONTH($D69)=MONTH(BV$14))*(YEAR($D69)=YEAR(BV$14))*BV$11/unit</f>
        <v>0</v>
      </c>
      <c r="BW69" s="75">
        <f>(NOT(BW$14=exit))*IF($E69=1,Rentroll!$P57*'A&amp;R'!$AF$12*Rentroll!$H57,Rentroll!$P57*'A&amp;R'!$AF$11*Rentroll!$H57)*(MONTH($D69)=MONTH(BW$14))*(YEAR($D69)=YEAR(BW$14))*BW$11/unit</f>
        <v>0</v>
      </c>
      <c r="BX69" s="75">
        <f>(NOT(BX$14=exit))*IF($E69=1,Rentroll!$P57*'A&amp;R'!$AF$12*Rentroll!$H57,Rentroll!$P57*'A&amp;R'!$AF$11*Rentroll!$H57)*(MONTH($D69)=MONTH(BX$14))*(YEAR($D69)=YEAR(BX$14))*BX$11/unit</f>
        <v>0</v>
      </c>
      <c r="BY69" s="75">
        <f>(NOT(BY$14=exit))*IF($E69=1,Rentroll!$P57*'A&amp;R'!$AF$12*Rentroll!$H57,Rentroll!$P57*'A&amp;R'!$AF$11*Rentroll!$H57)*(MONTH($D69)=MONTH(BY$14))*(YEAR($D69)=YEAR(BY$14))*BY$11/unit</f>
        <v>0</v>
      </c>
      <c r="BZ69" s="75">
        <f>(NOT(BZ$14=exit))*IF($E69=1,Rentroll!$P57*'A&amp;R'!$AF$12*Rentroll!$H57,Rentroll!$P57*'A&amp;R'!$AF$11*Rentroll!$H57)*(MONTH($D69)=MONTH(BZ$14))*(YEAR($D69)=YEAR(BZ$14))*BZ$11/unit</f>
        <v>0</v>
      </c>
      <c r="CA69" s="75">
        <f>(NOT(CA$14=exit))*IF($E69=1,Rentroll!$P57*'A&amp;R'!$AF$12*Rentroll!$H57,Rentroll!$P57*'A&amp;R'!$AF$11*Rentroll!$H57)*(MONTH($D69)=MONTH(CA$14))*(YEAR($D69)=YEAR(CA$14))*CA$11/unit</f>
        <v>0</v>
      </c>
      <c r="CB69" s="75">
        <f>(NOT(CB$14=exit))*IF($E69=1,Rentroll!$P57*'A&amp;R'!$AF$12*Rentroll!$H57,Rentroll!$P57*'A&amp;R'!$AF$11*Rentroll!$H57)*(MONTH($D69)=MONTH(CB$14))*(YEAR($D69)=YEAR(CB$14))*CB$11/unit</f>
        <v>0</v>
      </c>
      <c r="CC69" s="75">
        <f>(NOT(CC$14=exit))*IF($E69=1,Rentroll!$P57*'A&amp;R'!$AF$12*Rentroll!$H57,Rentroll!$P57*'A&amp;R'!$AF$11*Rentroll!$H57)*(MONTH($D69)=MONTH(CC$14))*(YEAR($D69)=YEAR(CC$14))*CC$11/unit</f>
        <v>0</v>
      </c>
      <c r="CD69" s="75">
        <f>(NOT(CD$14=exit))*IF($E69=1,Rentroll!$P57*'A&amp;R'!$AF$12*Rentroll!$H57,Rentroll!$P57*'A&amp;R'!$AF$11*Rentroll!$H57)*(MONTH($D69)=MONTH(CD$14))*(YEAR($D69)=YEAR(CD$14))*CD$11/unit</f>
        <v>0</v>
      </c>
      <c r="CE69" s="75">
        <f>(NOT(CE$14=exit))*IF($E69=1,Rentroll!$P57*'A&amp;R'!$AF$12*Rentroll!$H57,Rentroll!$P57*'A&amp;R'!$AF$11*Rentroll!$H57)*(MONTH($D69)=MONTH(CE$14))*(YEAR($D69)=YEAR(CE$14))*CE$11/unit</f>
        <v>0</v>
      </c>
      <c r="CF69" s="75">
        <f>(NOT(CF$14=exit))*IF($E69=1,Rentroll!$P57*'A&amp;R'!$AF$12*Rentroll!$H57,Rentroll!$P57*'A&amp;R'!$AF$11*Rentroll!$H57)*(MONTH($D69)=MONTH(CF$14))*(YEAR($D69)=YEAR(CF$14))*CF$11/unit</f>
        <v>0</v>
      </c>
      <c r="CG69" s="75">
        <f>(NOT(CG$14=exit))*IF($E69=1,Rentroll!$P57*'A&amp;R'!$AF$12*Rentroll!$H57,Rentroll!$P57*'A&amp;R'!$AF$11*Rentroll!$H57)*(MONTH($D69)=MONTH(CG$14))*(YEAR($D69)=YEAR(CG$14))*CG$11/unit</f>
        <v>0</v>
      </c>
      <c r="CH69" s="75">
        <f>(NOT(CH$14=exit))*IF($E69=1,Rentroll!$P57*'A&amp;R'!$AF$12*Rentroll!$H57,Rentroll!$P57*'A&amp;R'!$AF$11*Rentroll!$H57)*(MONTH($D69)=MONTH(CH$14))*(YEAR($D69)=YEAR(CH$14))*CH$11/unit</f>
        <v>0</v>
      </c>
      <c r="CI69" s="75">
        <f>(NOT(CI$14=exit))*IF($E69=1,Rentroll!$P57*'A&amp;R'!$AF$12*Rentroll!$H57,Rentroll!$P57*'A&amp;R'!$AF$11*Rentroll!$H57)*(MONTH($D69)=MONTH(CI$14))*(YEAR($D69)=YEAR(CI$14))*CI$11/unit</f>
        <v>0</v>
      </c>
      <c r="CJ69" s="75">
        <f>(NOT(CJ$14=exit))*IF($E69=1,Rentroll!$P57*'A&amp;R'!$AF$12*Rentroll!$H57,Rentroll!$P57*'A&amp;R'!$AF$11*Rentroll!$H57)*(MONTH($D69)=MONTH(CJ$14))*(YEAR($D69)=YEAR(CJ$14))*CJ$11/unit</f>
        <v>0</v>
      </c>
      <c r="CK69" s="75">
        <f>(NOT(CK$14=exit))*IF($E69=1,Rentroll!$P57*'A&amp;R'!$AF$12*Rentroll!$H57,Rentroll!$P57*'A&amp;R'!$AF$11*Rentroll!$H57)*(MONTH($D69)=MONTH(CK$14))*(YEAR($D69)=YEAR(CK$14))*CK$11/unit</f>
        <v>0</v>
      </c>
      <c r="CL69" s="75">
        <f>(NOT(CL$14=exit))*IF($E69=1,Rentroll!$P57*'A&amp;R'!$AF$12*Rentroll!$H57,Rentroll!$P57*'A&amp;R'!$AF$11*Rentroll!$H57)*(MONTH($D69)=MONTH(CL$14))*(YEAR($D69)=YEAR(CL$14))*CL$11/unit</f>
        <v>0</v>
      </c>
      <c r="CM69" s="75">
        <f>(NOT(CM$14=exit))*IF($E69=1,Rentroll!$P57*'A&amp;R'!$AF$12*Rentroll!$H57,Rentroll!$P57*'A&amp;R'!$AF$11*Rentroll!$H57)*(MONTH($D69)=MONTH(CM$14))*(YEAR($D69)=YEAR(CM$14))*CM$11/unit</f>
        <v>0</v>
      </c>
      <c r="CN69" s="75">
        <f>(NOT(CN$14=exit))*IF($E69=1,Rentroll!$P57*'A&amp;R'!$AF$12*Rentroll!$H57,Rentroll!$P57*'A&amp;R'!$AF$11*Rentroll!$H57)*(MONTH($D69)=MONTH(CN$14))*(YEAR($D69)=YEAR(CN$14))*CN$11/unit</f>
        <v>0</v>
      </c>
      <c r="CO69" s="75">
        <f>(NOT(CO$14=exit))*IF($E69=1,Rentroll!$P57*'A&amp;R'!$AF$12*Rentroll!$H57,Rentroll!$P57*'A&amp;R'!$AF$11*Rentroll!$H57)*(MONTH($D69)=MONTH(CO$14))*(YEAR($D69)=YEAR(CO$14))*CO$11/unit</f>
        <v>0</v>
      </c>
      <c r="CP69" s="75">
        <f>(NOT(CP$14=exit))*IF($E69=1,Rentroll!$P57*'A&amp;R'!$AF$12*Rentroll!$H57,Rentroll!$P57*'A&amp;R'!$AF$11*Rentroll!$H57)*(MONTH($D69)=MONTH(CP$14))*(YEAR($D69)=YEAR(CP$14))*CP$11/unit</f>
        <v>0</v>
      </c>
      <c r="CQ69" s="75">
        <f>(NOT(CQ$14=exit))*IF($E69=1,Rentroll!$P57*'A&amp;R'!$AF$12*Rentroll!$H57,Rentroll!$P57*'A&amp;R'!$AF$11*Rentroll!$H57)*(MONTH($D69)=MONTH(CQ$14))*(YEAR($D69)=YEAR(CQ$14))*CQ$11/unit</f>
        <v>0</v>
      </c>
      <c r="CR69" s="75">
        <f>(NOT(CR$14=exit))*IF($E69=1,Rentroll!$P57*'A&amp;R'!$AF$12*Rentroll!$H57,Rentroll!$P57*'A&amp;R'!$AF$11*Rentroll!$H57)*(MONTH($D69)=MONTH(CR$14))*(YEAR($D69)=YEAR(CR$14))*CR$11/unit</f>
        <v>0</v>
      </c>
      <c r="CS69" s="75">
        <f>(NOT(CS$14=exit))*IF($E69=1,Rentroll!$P57*'A&amp;R'!$AF$12*Rentroll!$H57,Rentroll!$P57*'A&amp;R'!$AF$11*Rentroll!$H57)*(MONTH($D69)=MONTH(CS$14))*(YEAR($D69)=YEAR(CS$14))*CS$11/unit</f>
        <v>0</v>
      </c>
      <c r="CT69" s="75">
        <f>(NOT(CT$14=exit))*IF($E69=1,Rentroll!$P57*'A&amp;R'!$AF$12*Rentroll!$H57,Rentroll!$P57*'A&amp;R'!$AF$11*Rentroll!$H57)*(MONTH($D69)=MONTH(CT$14))*(YEAR($D69)=YEAR(CT$14))*CT$11/unit</f>
        <v>0</v>
      </c>
      <c r="CU69" s="75">
        <f>(NOT(CU$14=exit))*IF($E69=1,Rentroll!$P57*'A&amp;R'!$AF$12*Rentroll!$H57,Rentroll!$P57*'A&amp;R'!$AF$11*Rentroll!$H57)*(MONTH($D69)=MONTH(CU$14))*(YEAR($D69)=YEAR(CU$14))*CU$11/unit</f>
        <v>0</v>
      </c>
      <c r="CV69" s="75">
        <f>(NOT(CV$14=exit))*IF($E69=1,Rentroll!$P57*'A&amp;R'!$AF$12*Rentroll!$H57,Rentroll!$P57*'A&amp;R'!$AF$11*Rentroll!$H57)*(MONTH($D69)=MONTH(CV$14))*(YEAR($D69)=YEAR(CV$14))*CV$11/unit</f>
        <v>0</v>
      </c>
      <c r="CW69" s="75">
        <f>(NOT(CW$14=exit))*IF($E69=1,Rentroll!$P57*'A&amp;R'!$AF$12*Rentroll!$H57,Rentroll!$P57*'A&amp;R'!$AF$11*Rentroll!$H57)*(MONTH($D69)=MONTH(CW$14))*(YEAR($D69)=YEAR(CW$14))*CW$11/unit</f>
        <v>0</v>
      </c>
      <c r="CX69" s="75">
        <f>(NOT(CX$14=exit))*IF($E69=1,Rentroll!$P57*'A&amp;R'!$AF$12*Rentroll!$H57,Rentroll!$P57*'A&amp;R'!$AF$11*Rentroll!$H57)*(MONTH($D69)=MONTH(CX$14))*(YEAR($D69)=YEAR(CX$14))*CX$11/unit</f>
        <v>0</v>
      </c>
      <c r="CY69" s="75">
        <f>(NOT(CY$14=exit))*IF($E69=1,Rentroll!$P57*'A&amp;R'!$AF$12*Rentroll!$H57,Rentroll!$P57*'A&amp;R'!$AF$11*Rentroll!$H57)*(MONTH($D69)=MONTH(CY$14))*(YEAR($D69)=YEAR(CY$14))*CY$11/unit</f>
        <v>0</v>
      </c>
      <c r="CZ69" s="75">
        <f>(NOT(CZ$14=exit))*IF($E69=1,Rentroll!$P57*'A&amp;R'!$AF$12*Rentroll!$H57,Rentroll!$P57*'A&amp;R'!$AF$11*Rentroll!$H57)*(MONTH($D69)=MONTH(CZ$14))*(YEAR($D69)=YEAR(CZ$14))*CZ$11/unit</f>
        <v>0</v>
      </c>
      <c r="DA69" s="75">
        <f>(NOT(DA$14=exit))*IF($E69=1,Rentroll!$P57*'A&amp;R'!$AF$12*Rentroll!$H57,Rentroll!$P57*'A&amp;R'!$AF$11*Rentroll!$H57)*(MONTH($D69)=MONTH(DA$14))*(YEAR($D69)=YEAR(DA$14))*DA$11/unit</f>
        <v>0</v>
      </c>
      <c r="DB69" s="75">
        <f>(NOT(DB$14=exit))*IF($E69=1,Rentroll!$P57*'A&amp;R'!$AF$12*Rentroll!$H57,Rentroll!$P57*'A&amp;R'!$AF$11*Rentroll!$H57)*(MONTH($D69)=MONTH(DB$14))*(YEAR($D69)=YEAR(DB$14))*DB$11/unit</f>
        <v>0</v>
      </c>
    </row>
    <row r="70" spans="2:106">
      <c r="C70" s="28" t="str">
        <f>Rentroll!$C$58</f>
        <v>B101호</v>
      </c>
      <c r="D70" s="80">
        <f>VLOOKUP($C70,Rentroll!$C$37:$Z$60,9,FALSE)</f>
        <v>46752</v>
      </c>
      <c r="E70" s="150">
        <f>VLOOKUP($C70,Rentroll!$C$37:$Z$60,24,FALSE)</f>
        <v>1</v>
      </c>
      <c r="F70" s="75">
        <f t="shared" ref="F70" si="46">SUM(H70:DB70)</f>
        <v>32.09936022484537</v>
      </c>
      <c r="G70" s="75"/>
      <c r="H70" s="75">
        <f>(NOT(H$14=exit))*IF($E70=1,Rentroll!$P58*'A&amp;R'!$AF$12*Rentroll!$H58,Rentroll!$P58*'A&amp;R'!$AF$11*Rentroll!$H58)*(MONTH($D70)=MONTH(H$14))*(YEAR($D70)=YEAR(H$14))*H$11/unit</f>
        <v>0</v>
      </c>
      <c r="I70" s="75">
        <f>(NOT(I$14=exit))*IF($E70=1,Rentroll!$P58*'A&amp;R'!$AF$12*Rentroll!$H58,Rentroll!$P58*'A&amp;R'!$AF$11*Rentroll!$H58)*(MONTH($D70)=MONTH(I$14))*(YEAR($D70)=YEAR(I$14))*I$11/unit</f>
        <v>0</v>
      </c>
      <c r="J70" s="75">
        <f>(NOT(J$14=exit))*IF($E70=1,Rentroll!$P58*'A&amp;R'!$AF$12*Rentroll!$H58,Rentroll!$P58*'A&amp;R'!$AF$11*Rentroll!$H58)*(MONTH($D70)=MONTH(J$14))*(YEAR($D70)=YEAR(J$14))*J$11/unit</f>
        <v>0</v>
      </c>
      <c r="K70" s="75">
        <f>(NOT(K$14=exit))*IF($E70=1,Rentroll!$P58*'A&amp;R'!$AF$12*Rentroll!$H58,Rentroll!$P58*'A&amp;R'!$AF$11*Rentroll!$H58)*(MONTH($D70)=MONTH(K$14))*(YEAR($D70)=YEAR(K$14))*K$11/unit</f>
        <v>0</v>
      </c>
      <c r="L70" s="75">
        <f>(NOT(L$14=exit))*IF($E70=1,Rentroll!$P58*'A&amp;R'!$AF$12*Rentroll!$H58,Rentroll!$P58*'A&amp;R'!$AF$11*Rentroll!$H58)*(MONTH($D70)=MONTH(L$14))*(YEAR($D70)=YEAR(L$14))*L$11/unit</f>
        <v>0</v>
      </c>
      <c r="M70" s="75">
        <f>(NOT(M$14=exit))*IF($E70=1,Rentroll!$P58*'A&amp;R'!$AF$12*Rentroll!$H58,Rentroll!$P58*'A&amp;R'!$AF$11*Rentroll!$H58)*(MONTH($D70)=MONTH(M$14))*(YEAR($D70)=YEAR(M$14))*M$11/unit</f>
        <v>0</v>
      </c>
      <c r="N70" s="75">
        <f>(NOT(N$14=exit))*IF($E70=1,Rentroll!$P58*'A&amp;R'!$AF$12*Rentroll!$H58,Rentroll!$P58*'A&amp;R'!$AF$11*Rentroll!$H58)*(MONTH($D70)=MONTH(N$14))*(YEAR($D70)=YEAR(N$14))*N$11/unit</f>
        <v>0</v>
      </c>
      <c r="O70" s="75">
        <f>(NOT(O$14=exit))*IF($E70=1,Rentroll!$P58*'A&amp;R'!$AF$12*Rentroll!$H58,Rentroll!$P58*'A&amp;R'!$AF$11*Rentroll!$H58)*(MONTH($D70)=MONTH(O$14))*(YEAR($D70)=YEAR(O$14))*O$11/unit</f>
        <v>0</v>
      </c>
      <c r="P70" s="75">
        <f>(NOT(P$14=exit))*IF($E70=1,Rentroll!$P58*'A&amp;R'!$AF$12*Rentroll!$H58,Rentroll!$P58*'A&amp;R'!$AF$11*Rentroll!$H58)*(MONTH($D70)=MONTH(P$14))*(YEAR($D70)=YEAR(P$14))*P$11/unit</f>
        <v>0</v>
      </c>
      <c r="Q70" s="75">
        <f>(NOT(Q$14=exit))*IF($E70=1,Rentroll!$P58*'A&amp;R'!$AF$12*Rentroll!$H58,Rentroll!$P58*'A&amp;R'!$AF$11*Rentroll!$H58)*(MONTH($D70)=MONTH(Q$14))*(YEAR($D70)=YEAR(Q$14))*Q$11/unit</f>
        <v>0</v>
      </c>
      <c r="R70" s="75">
        <f>(NOT(R$14=exit))*IF($E70=1,Rentroll!$P58*'A&amp;R'!$AF$12*Rentroll!$H58,Rentroll!$P58*'A&amp;R'!$AF$11*Rentroll!$H58)*(MONTH($D70)=MONTH(R$14))*(YEAR($D70)=YEAR(R$14))*R$11/unit</f>
        <v>0</v>
      </c>
      <c r="S70" s="75">
        <f>(NOT(S$14=exit))*IF($E70=1,Rentroll!$P58*'A&amp;R'!$AF$12*Rentroll!$H58,Rentroll!$P58*'A&amp;R'!$AF$11*Rentroll!$H58)*(MONTH($D70)=MONTH(S$14))*(YEAR($D70)=YEAR(S$14))*S$11/unit</f>
        <v>0</v>
      </c>
      <c r="T70" s="75">
        <f>(NOT(T$14=exit))*IF($E70=1,Rentroll!$P58*'A&amp;R'!$AF$12*Rentroll!$H58,Rentroll!$P58*'A&amp;R'!$AF$11*Rentroll!$H58)*(MONTH($D70)=MONTH(T$14))*(YEAR($D70)=YEAR(T$14))*T$11/unit</f>
        <v>0</v>
      </c>
      <c r="U70" s="75">
        <f>(NOT(U$14=exit))*IF($E70=1,Rentroll!$P58*'A&amp;R'!$AF$12*Rentroll!$H58,Rentroll!$P58*'A&amp;R'!$AF$11*Rentroll!$H58)*(MONTH($D70)=MONTH(U$14))*(YEAR($D70)=YEAR(U$14))*U$11/unit</f>
        <v>0</v>
      </c>
      <c r="V70" s="75">
        <f>(NOT(V$14=exit))*IF($E70=1,Rentroll!$P58*'A&amp;R'!$AF$12*Rentroll!$H58,Rentroll!$P58*'A&amp;R'!$AF$11*Rentroll!$H58)*(MONTH($D70)=MONTH(V$14))*(YEAR($D70)=YEAR(V$14))*V$11/unit</f>
        <v>0</v>
      </c>
      <c r="W70" s="75">
        <f>(NOT(W$14=exit))*IF($E70=1,Rentroll!$P58*'A&amp;R'!$AF$12*Rentroll!$H58,Rentroll!$P58*'A&amp;R'!$AF$11*Rentroll!$H58)*(MONTH($D70)=MONTH(W$14))*(YEAR($D70)=YEAR(W$14))*W$11/unit</f>
        <v>0</v>
      </c>
      <c r="X70" s="75">
        <f>(NOT(X$14=exit))*IF($E70=1,Rentroll!$P58*'A&amp;R'!$AF$12*Rentroll!$H58,Rentroll!$P58*'A&amp;R'!$AF$11*Rentroll!$H58)*(MONTH($D70)=MONTH(X$14))*(YEAR($D70)=YEAR(X$14))*X$11/unit</f>
        <v>0</v>
      </c>
      <c r="Y70" s="75">
        <f>(NOT(Y$14=exit))*IF($E70=1,Rentroll!$P58*'A&amp;R'!$AF$12*Rentroll!$H58,Rentroll!$P58*'A&amp;R'!$AF$11*Rentroll!$H58)*(MONTH($D70)=MONTH(Y$14))*(YEAR($D70)=YEAR(Y$14))*Y$11/unit</f>
        <v>0</v>
      </c>
      <c r="Z70" s="75">
        <f>(NOT(Z$14=exit))*IF($E70=1,Rentroll!$P58*'A&amp;R'!$AF$12*Rentroll!$H58,Rentroll!$P58*'A&amp;R'!$AF$11*Rentroll!$H58)*(MONTH($D70)=MONTH(Z$14))*(YEAR($D70)=YEAR(Z$14))*Z$11/unit</f>
        <v>0</v>
      </c>
      <c r="AA70" s="75">
        <f>(NOT(AA$14=exit))*IF($E70=1,Rentroll!$P58*'A&amp;R'!$AF$12*Rentroll!$H58,Rentroll!$P58*'A&amp;R'!$AF$11*Rentroll!$H58)*(MONTH($D70)=MONTH(AA$14))*(YEAR($D70)=YEAR(AA$14))*AA$11/unit</f>
        <v>0</v>
      </c>
      <c r="AB70" s="75">
        <f>(NOT(AB$14=exit))*IF($E70=1,Rentroll!$P58*'A&amp;R'!$AF$12*Rentroll!$H58,Rentroll!$P58*'A&amp;R'!$AF$11*Rentroll!$H58)*(MONTH($D70)=MONTH(AB$14))*(YEAR($D70)=YEAR(AB$14))*AB$11/unit</f>
        <v>0</v>
      </c>
      <c r="AC70" s="75">
        <f>(NOT(AC$14=exit))*IF($E70=1,Rentroll!$P58*'A&amp;R'!$AF$12*Rentroll!$H58,Rentroll!$P58*'A&amp;R'!$AF$11*Rentroll!$H58)*(MONTH($D70)=MONTH(AC$14))*(YEAR($D70)=YEAR(AC$14))*AC$11/unit</f>
        <v>0</v>
      </c>
      <c r="AD70" s="75">
        <f>(NOT(AD$14=exit))*IF($E70=1,Rentroll!$P58*'A&amp;R'!$AF$12*Rentroll!$H58,Rentroll!$P58*'A&amp;R'!$AF$11*Rentroll!$H58)*(MONTH($D70)=MONTH(AD$14))*(YEAR($D70)=YEAR(AD$14))*AD$11/unit</f>
        <v>0</v>
      </c>
      <c r="AE70" s="75">
        <f>(NOT(AE$14=exit))*IF($E70=1,Rentroll!$P58*'A&amp;R'!$AF$12*Rentroll!$H58,Rentroll!$P58*'A&amp;R'!$AF$11*Rentroll!$H58)*(MONTH($D70)=MONTH(AE$14))*(YEAR($D70)=YEAR(AE$14))*AE$11/unit</f>
        <v>0</v>
      </c>
      <c r="AF70" s="75">
        <f>(NOT(AF$14=exit))*IF($E70=1,Rentroll!$P58*'A&amp;R'!$AF$12*Rentroll!$H58,Rentroll!$P58*'A&amp;R'!$AF$11*Rentroll!$H58)*(MONTH($D70)=MONTH(AF$14))*(YEAR($D70)=YEAR(AF$14))*AF$11/unit</f>
        <v>0</v>
      </c>
      <c r="AG70" s="75">
        <f>(NOT(AG$14=exit))*IF($E70=1,Rentroll!$P58*'A&amp;R'!$AF$12*Rentroll!$H58,Rentroll!$P58*'A&amp;R'!$AF$11*Rentroll!$H58)*(MONTH($D70)=MONTH(AG$14))*(YEAR($D70)=YEAR(AG$14))*AG$11/unit</f>
        <v>0</v>
      </c>
      <c r="AH70" s="75">
        <f>(NOT(AH$14=exit))*IF($E70=1,Rentroll!$P58*'A&amp;R'!$AF$12*Rentroll!$H58,Rentroll!$P58*'A&amp;R'!$AF$11*Rentroll!$H58)*(MONTH($D70)=MONTH(AH$14))*(YEAR($D70)=YEAR(AH$14))*AH$11/unit</f>
        <v>0</v>
      </c>
      <c r="AI70" s="75">
        <f>(NOT(AI$14=exit))*IF($E70=1,Rentroll!$P58*'A&amp;R'!$AF$12*Rentroll!$H58,Rentroll!$P58*'A&amp;R'!$AF$11*Rentroll!$H58)*(MONTH($D70)=MONTH(AI$14))*(YEAR($D70)=YEAR(AI$14))*AI$11/unit</f>
        <v>0</v>
      </c>
      <c r="AJ70" s="75">
        <f>(NOT(AJ$14=exit))*IF($E70=1,Rentroll!$P58*'A&amp;R'!$AF$12*Rentroll!$H58,Rentroll!$P58*'A&amp;R'!$AF$11*Rentroll!$H58)*(MONTH($D70)=MONTH(AJ$14))*(YEAR($D70)=YEAR(AJ$14))*AJ$11/unit</f>
        <v>0</v>
      </c>
      <c r="AK70" s="75">
        <f>(NOT(AK$14=exit))*IF($E70=1,Rentroll!$P58*'A&amp;R'!$AF$12*Rentroll!$H58,Rentroll!$P58*'A&amp;R'!$AF$11*Rentroll!$H58)*(MONTH($D70)=MONTH(AK$14))*(YEAR($D70)=YEAR(AK$14))*AK$11/unit</f>
        <v>0</v>
      </c>
      <c r="AL70" s="75">
        <f>(NOT(AL$14=exit))*IF($E70=1,Rentroll!$P58*'A&amp;R'!$AF$12*Rentroll!$H58,Rentroll!$P58*'A&amp;R'!$AF$11*Rentroll!$H58)*(MONTH($D70)=MONTH(AL$14))*(YEAR($D70)=YEAR(AL$14))*AL$11/unit</f>
        <v>0</v>
      </c>
      <c r="AM70" s="75">
        <f>(NOT(AM$14=exit))*IF($E70=1,Rentroll!$P58*'A&amp;R'!$AF$12*Rentroll!$H58,Rentroll!$P58*'A&amp;R'!$AF$11*Rentroll!$H58)*(MONTH($D70)=MONTH(AM$14))*(YEAR($D70)=YEAR(AM$14))*AM$11/unit</f>
        <v>0</v>
      </c>
      <c r="AN70" s="75">
        <f>(NOT(AN$14=exit))*IF($E70=1,Rentroll!$P58*'A&amp;R'!$AF$12*Rentroll!$H58,Rentroll!$P58*'A&amp;R'!$AF$11*Rentroll!$H58)*(MONTH($D70)=MONTH(AN$14))*(YEAR($D70)=YEAR(AN$14))*AN$11/unit</f>
        <v>0</v>
      </c>
      <c r="AO70" s="75">
        <f>(NOT(AO$14=exit))*IF($E70=1,Rentroll!$P58*'A&amp;R'!$AF$12*Rentroll!$H58,Rentroll!$P58*'A&amp;R'!$AF$11*Rentroll!$H58)*(MONTH($D70)=MONTH(AO$14))*(YEAR($D70)=YEAR(AO$14))*AO$11/unit</f>
        <v>0</v>
      </c>
      <c r="AP70" s="75">
        <f>(NOT(AP$14=exit))*IF($E70=1,Rentroll!$P58*'A&amp;R'!$AF$12*Rentroll!$H58,Rentroll!$P58*'A&amp;R'!$AF$11*Rentroll!$H58)*(MONTH($D70)=MONTH(AP$14))*(YEAR($D70)=YEAR(AP$14))*AP$11/unit</f>
        <v>0</v>
      </c>
      <c r="AQ70" s="75">
        <f>(NOT(AQ$14=exit))*IF($E70=1,Rentroll!$P58*'A&amp;R'!$AF$12*Rentroll!$H58,Rentroll!$P58*'A&amp;R'!$AF$11*Rentroll!$H58)*(MONTH($D70)=MONTH(AQ$14))*(YEAR($D70)=YEAR(AQ$14))*AQ$11/unit</f>
        <v>32.09936022484537</v>
      </c>
      <c r="AR70" s="75">
        <f>(NOT(AR$14=exit))*IF($E70=1,Rentroll!$P58*'A&amp;R'!$AF$12*Rentroll!$H58,Rentroll!$P58*'A&amp;R'!$AF$11*Rentroll!$H58)*(MONTH($D70)=MONTH(AR$14))*(YEAR($D70)=YEAR(AR$14))*AR$11/unit</f>
        <v>0</v>
      </c>
      <c r="AS70" s="75">
        <f>(NOT(AS$14=exit))*IF($E70=1,Rentroll!$P58*'A&amp;R'!$AF$12*Rentroll!$H58,Rentroll!$P58*'A&amp;R'!$AF$11*Rentroll!$H58)*(MONTH($D70)=MONTH(AS$14))*(YEAR($D70)=YEAR(AS$14))*AS$11/unit</f>
        <v>0</v>
      </c>
      <c r="AT70" s="75">
        <f>(NOT(AT$14=exit))*IF($E70=1,Rentroll!$P58*'A&amp;R'!$AF$12*Rentroll!$H58,Rentroll!$P58*'A&amp;R'!$AF$11*Rentroll!$H58)*(MONTH($D70)=MONTH(AT$14))*(YEAR($D70)=YEAR(AT$14))*AT$11/unit</f>
        <v>0</v>
      </c>
      <c r="AU70" s="75">
        <f>(NOT(AU$14=exit))*IF($E70=1,Rentroll!$P58*'A&amp;R'!$AF$12*Rentroll!$H58,Rentroll!$P58*'A&amp;R'!$AF$11*Rentroll!$H58)*(MONTH($D70)=MONTH(AU$14))*(YEAR($D70)=YEAR(AU$14))*AU$11/unit</f>
        <v>0</v>
      </c>
      <c r="AV70" s="75">
        <f>(NOT(AV$14=exit))*IF($E70=1,Rentroll!$P58*'A&amp;R'!$AF$12*Rentroll!$H58,Rentroll!$P58*'A&amp;R'!$AF$11*Rentroll!$H58)*(MONTH($D70)=MONTH(AV$14))*(YEAR($D70)=YEAR(AV$14))*AV$11/unit</f>
        <v>0</v>
      </c>
      <c r="AW70" s="75">
        <f>(NOT(AW$14=exit))*IF($E70=1,Rentroll!$P58*'A&amp;R'!$AF$12*Rentroll!$H58,Rentroll!$P58*'A&amp;R'!$AF$11*Rentroll!$H58)*(MONTH($D70)=MONTH(AW$14))*(YEAR($D70)=YEAR(AW$14))*AW$11/unit</f>
        <v>0</v>
      </c>
      <c r="AX70" s="75">
        <f>(NOT(AX$14=exit))*IF($E70=1,Rentroll!$P58*'A&amp;R'!$AF$12*Rentroll!$H58,Rentroll!$P58*'A&amp;R'!$AF$11*Rentroll!$H58)*(MONTH($D70)=MONTH(AX$14))*(YEAR($D70)=YEAR(AX$14))*AX$11/unit</f>
        <v>0</v>
      </c>
      <c r="AY70" s="75">
        <f>(NOT(AY$14=exit))*IF($E70=1,Rentroll!$P58*'A&amp;R'!$AF$12*Rentroll!$H58,Rentroll!$P58*'A&amp;R'!$AF$11*Rentroll!$H58)*(MONTH($D70)=MONTH(AY$14))*(YEAR($D70)=YEAR(AY$14))*AY$11/unit</f>
        <v>0</v>
      </c>
      <c r="AZ70" s="75">
        <f>(NOT(AZ$14=exit))*IF($E70=1,Rentroll!$P58*'A&amp;R'!$AF$12*Rentroll!$H58,Rentroll!$P58*'A&amp;R'!$AF$11*Rentroll!$H58)*(MONTH($D70)=MONTH(AZ$14))*(YEAR($D70)=YEAR(AZ$14))*AZ$11/unit</f>
        <v>0</v>
      </c>
      <c r="BA70" s="75">
        <f>(NOT(BA$14=exit))*IF($E70=1,Rentroll!$P58*'A&amp;R'!$AF$12*Rentroll!$H58,Rentroll!$P58*'A&amp;R'!$AF$11*Rentroll!$H58)*(MONTH($D70)=MONTH(BA$14))*(YEAR($D70)=YEAR(BA$14))*BA$11/unit</f>
        <v>0</v>
      </c>
      <c r="BB70" s="75">
        <f>(NOT(BB$14=exit))*IF($E70=1,Rentroll!$P58*'A&amp;R'!$AF$12*Rentroll!$H58,Rentroll!$P58*'A&amp;R'!$AF$11*Rentroll!$H58)*(MONTH($D70)=MONTH(BB$14))*(YEAR($D70)=YEAR(BB$14))*BB$11/unit</f>
        <v>0</v>
      </c>
      <c r="BC70" s="75">
        <f>(NOT(BC$14=exit))*IF($E70=1,Rentroll!$P58*'A&amp;R'!$AF$12*Rentroll!$H58,Rentroll!$P58*'A&amp;R'!$AF$11*Rentroll!$H58)*(MONTH($D70)=MONTH(BC$14))*(YEAR($D70)=YEAR(BC$14))*BC$11/unit</f>
        <v>0</v>
      </c>
      <c r="BD70" s="75">
        <f>(NOT(BD$14=exit))*IF($E70=1,Rentroll!$P58*'A&amp;R'!$AF$12*Rentroll!$H58,Rentroll!$P58*'A&amp;R'!$AF$11*Rentroll!$H58)*(MONTH($D70)=MONTH(BD$14))*(YEAR($D70)=YEAR(BD$14))*BD$11/unit</f>
        <v>0</v>
      </c>
      <c r="BE70" s="75">
        <f>(NOT(BE$14=exit))*IF($E70=1,Rentroll!$P58*'A&amp;R'!$AF$12*Rentroll!$H58,Rentroll!$P58*'A&amp;R'!$AF$11*Rentroll!$H58)*(MONTH($D70)=MONTH(BE$14))*(YEAR($D70)=YEAR(BE$14))*BE$11/unit</f>
        <v>0</v>
      </c>
      <c r="BF70" s="75">
        <f>(NOT(BF$14=exit))*IF($E70=1,Rentroll!$P58*'A&amp;R'!$AF$12*Rentroll!$H58,Rentroll!$P58*'A&amp;R'!$AF$11*Rentroll!$H58)*(MONTH($D70)=MONTH(BF$14))*(YEAR($D70)=YEAR(BF$14))*BF$11/unit</f>
        <v>0</v>
      </c>
      <c r="BG70" s="75">
        <f>(NOT(BG$14=exit))*IF($E70=1,Rentroll!$P58*'A&amp;R'!$AF$12*Rentroll!$H58,Rentroll!$P58*'A&amp;R'!$AF$11*Rentroll!$H58)*(MONTH($D70)=MONTH(BG$14))*(YEAR($D70)=YEAR(BG$14))*BG$11/unit</f>
        <v>0</v>
      </c>
      <c r="BH70" s="75">
        <f>(NOT(BH$14=exit))*IF($E70=1,Rentroll!$P58*'A&amp;R'!$AF$12*Rentroll!$H58,Rentroll!$P58*'A&amp;R'!$AF$11*Rentroll!$H58)*(MONTH($D70)=MONTH(BH$14))*(YEAR($D70)=YEAR(BH$14))*BH$11/unit</f>
        <v>0</v>
      </c>
      <c r="BI70" s="75">
        <f>(NOT(BI$14=exit))*IF($E70=1,Rentroll!$P58*'A&amp;R'!$AF$12*Rentroll!$H58,Rentroll!$P58*'A&amp;R'!$AF$11*Rentroll!$H58)*(MONTH($D70)=MONTH(BI$14))*(YEAR($D70)=YEAR(BI$14))*BI$11/unit</f>
        <v>0</v>
      </c>
      <c r="BJ70" s="75">
        <f>(NOT(BJ$14=exit))*IF($E70=1,Rentroll!$P58*'A&amp;R'!$AF$12*Rentroll!$H58,Rentroll!$P58*'A&amp;R'!$AF$11*Rentroll!$H58)*(MONTH($D70)=MONTH(BJ$14))*(YEAR($D70)=YEAR(BJ$14))*BJ$11/unit</f>
        <v>0</v>
      </c>
      <c r="BK70" s="75">
        <f>(NOT(BK$14=exit))*IF($E70=1,Rentroll!$P58*'A&amp;R'!$AF$12*Rentroll!$H58,Rentroll!$P58*'A&amp;R'!$AF$11*Rentroll!$H58)*(MONTH($D70)=MONTH(BK$14))*(YEAR($D70)=YEAR(BK$14))*BK$11/unit</f>
        <v>0</v>
      </c>
      <c r="BL70" s="75">
        <f>(NOT(BL$14=exit))*IF($E70=1,Rentroll!$P58*'A&amp;R'!$AF$12*Rentroll!$H58,Rentroll!$P58*'A&amp;R'!$AF$11*Rentroll!$H58)*(MONTH($D70)=MONTH(BL$14))*(YEAR($D70)=YEAR(BL$14))*BL$11/unit</f>
        <v>0</v>
      </c>
      <c r="BM70" s="75">
        <f>(NOT(BM$14=exit))*IF($E70=1,Rentroll!$P58*'A&amp;R'!$AF$12*Rentroll!$H58,Rentroll!$P58*'A&amp;R'!$AF$11*Rentroll!$H58)*(MONTH($D70)=MONTH(BM$14))*(YEAR($D70)=YEAR(BM$14))*BM$11/unit</f>
        <v>0</v>
      </c>
      <c r="BN70" s="75">
        <f>(NOT(BN$14=exit))*IF($E70=1,Rentroll!$P58*'A&amp;R'!$AF$12*Rentroll!$H58,Rentroll!$P58*'A&amp;R'!$AF$11*Rentroll!$H58)*(MONTH($D70)=MONTH(BN$14))*(YEAR($D70)=YEAR(BN$14))*BN$11/unit</f>
        <v>0</v>
      </c>
      <c r="BO70" s="75">
        <f>(NOT(BO$14=exit))*IF($E70=1,Rentroll!$P58*'A&amp;R'!$AF$12*Rentroll!$H58,Rentroll!$P58*'A&amp;R'!$AF$11*Rentroll!$H58)*(MONTH($D70)=MONTH(BO$14))*(YEAR($D70)=YEAR(BO$14))*BO$11/unit</f>
        <v>0</v>
      </c>
      <c r="BP70" s="75">
        <f>(NOT(BP$14=exit))*IF($E70=1,Rentroll!$P58*'A&amp;R'!$AF$12*Rentroll!$H58,Rentroll!$P58*'A&amp;R'!$AF$11*Rentroll!$H58)*(MONTH($D70)=MONTH(BP$14))*(YEAR($D70)=YEAR(BP$14))*BP$11/unit</f>
        <v>0</v>
      </c>
      <c r="BQ70" s="75">
        <f>(NOT(BQ$14=exit))*IF($E70=1,Rentroll!$P58*'A&amp;R'!$AF$12*Rentroll!$H58,Rentroll!$P58*'A&amp;R'!$AF$11*Rentroll!$H58)*(MONTH($D70)=MONTH(BQ$14))*(YEAR($D70)=YEAR(BQ$14))*BQ$11/unit</f>
        <v>0</v>
      </c>
      <c r="BR70" s="75">
        <f>(NOT(BR$14=exit))*IF($E70=1,Rentroll!$P58*'A&amp;R'!$AF$12*Rentroll!$H58,Rentroll!$P58*'A&amp;R'!$AF$11*Rentroll!$H58)*(MONTH($D70)=MONTH(BR$14))*(YEAR($D70)=YEAR(BR$14))*BR$11/unit</f>
        <v>0</v>
      </c>
      <c r="BS70" s="75">
        <f>(NOT(BS$14=exit))*IF($E70=1,Rentroll!$P58*'A&amp;R'!$AF$12*Rentroll!$H58,Rentroll!$P58*'A&amp;R'!$AF$11*Rentroll!$H58)*(MONTH($D70)=MONTH(BS$14))*(YEAR($D70)=YEAR(BS$14))*BS$11/unit</f>
        <v>0</v>
      </c>
      <c r="BT70" s="75">
        <f>(NOT(BT$14=exit))*IF($E70=1,Rentroll!$P58*'A&amp;R'!$AF$12*Rentroll!$H58,Rentroll!$P58*'A&amp;R'!$AF$11*Rentroll!$H58)*(MONTH($D70)=MONTH(BT$14))*(YEAR($D70)=YEAR(BT$14))*BT$11/unit</f>
        <v>0</v>
      </c>
      <c r="BU70" s="75">
        <f>(NOT(BU$14=exit))*IF($E70=1,Rentroll!$P58*'A&amp;R'!$AF$12*Rentroll!$H58,Rentroll!$P58*'A&amp;R'!$AF$11*Rentroll!$H58)*(MONTH($D70)=MONTH(BU$14))*(YEAR($D70)=YEAR(BU$14))*BU$11/unit</f>
        <v>0</v>
      </c>
      <c r="BV70" s="75">
        <f>(NOT(BV$14=exit))*IF($E70=1,Rentroll!$P58*'A&amp;R'!$AF$12*Rentroll!$H58,Rentroll!$P58*'A&amp;R'!$AF$11*Rentroll!$H58)*(MONTH($D70)=MONTH(BV$14))*(YEAR($D70)=YEAR(BV$14))*BV$11/unit</f>
        <v>0</v>
      </c>
      <c r="BW70" s="75">
        <f>(NOT(BW$14=exit))*IF($E70=1,Rentroll!$P58*'A&amp;R'!$AF$12*Rentroll!$H58,Rentroll!$P58*'A&amp;R'!$AF$11*Rentroll!$H58)*(MONTH($D70)=MONTH(BW$14))*(YEAR($D70)=YEAR(BW$14))*BW$11/unit</f>
        <v>0</v>
      </c>
      <c r="BX70" s="75">
        <f>(NOT(BX$14=exit))*IF($E70=1,Rentroll!$P58*'A&amp;R'!$AF$12*Rentroll!$H58,Rentroll!$P58*'A&amp;R'!$AF$11*Rentroll!$H58)*(MONTH($D70)=MONTH(BX$14))*(YEAR($D70)=YEAR(BX$14))*BX$11/unit</f>
        <v>0</v>
      </c>
      <c r="BY70" s="75">
        <f>(NOT(BY$14=exit))*IF($E70=1,Rentroll!$P58*'A&amp;R'!$AF$12*Rentroll!$H58,Rentroll!$P58*'A&amp;R'!$AF$11*Rentroll!$H58)*(MONTH($D70)=MONTH(BY$14))*(YEAR($D70)=YEAR(BY$14))*BY$11/unit</f>
        <v>0</v>
      </c>
      <c r="BZ70" s="75">
        <f>(NOT(BZ$14=exit))*IF($E70=1,Rentroll!$P58*'A&amp;R'!$AF$12*Rentroll!$H58,Rentroll!$P58*'A&amp;R'!$AF$11*Rentroll!$H58)*(MONTH($D70)=MONTH(BZ$14))*(YEAR($D70)=YEAR(BZ$14))*BZ$11/unit</f>
        <v>0</v>
      </c>
      <c r="CA70" s="75">
        <f>(NOT(CA$14=exit))*IF($E70=1,Rentroll!$P58*'A&amp;R'!$AF$12*Rentroll!$H58,Rentroll!$P58*'A&amp;R'!$AF$11*Rentroll!$H58)*(MONTH($D70)=MONTH(CA$14))*(YEAR($D70)=YEAR(CA$14))*CA$11/unit</f>
        <v>0</v>
      </c>
      <c r="CB70" s="75">
        <f>(NOT(CB$14=exit))*IF($E70=1,Rentroll!$P58*'A&amp;R'!$AF$12*Rentroll!$H58,Rentroll!$P58*'A&amp;R'!$AF$11*Rentroll!$H58)*(MONTH($D70)=MONTH(CB$14))*(YEAR($D70)=YEAR(CB$14))*CB$11/unit</f>
        <v>0</v>
      </c>
      <c r="CC70" s="75">
        <f>(NOT(CC$14=exit))*IF($E70=1,Rentroll!$P58*'A&amp;R'!$AF$12*Rentroll!$H58,Rentroll!$P58*'A&amp;R'!$AF$11*Rentroll!$H58)*(MONTH($D70)=MONTH(CC$14))*(YEAR($D70)=YEAR(CC$14))*CC$11/unit</f>
        <v>0</v>
      </c>
      <c r="CD70" s="75">
        <f>(NOT(CD$14=exit))*IF($E70=1,Rentroll!$P58*'A&amp;R'!$AF$12*Rentroll!$H58,Rentroll!$P58*'A&amp;R'!$AF$11*Rentroll!$H58)*(MONTH($D70)=MONTH(CD$14))*(YEAR($D70)=YEAR(CD$14))*CD$11/unit</f>
        <v>0</v>
      </c>
      <c r="CE70" s="75">
        <f>(NOT(CE$14=exit))*IF($E70=1,Rentroll!$P58*'A&amp;R'!$AF$12*Rentroll!$H58,Rentroll!$P58*'A&amp;R'!$AF$11*Rentroll!$H58)*(MONTH($D70)=MONTH(CE$14))*(YEAR($D70)=YEAR(CE$14))*CE$11/unit</f>
        <v>0</v>
      </c>
      <c r="CF70" s="75">
        <f>(NOT(CF$14=exit))*IF($E70=1,Rentroll!$P58*'A&amp;R'!$AF$12*Rentroll!$H58,Rentroll!$P58*'A&amp;R'!$AF$11*Rentroll!$H58)*(MONTH($D70)=MONTH(CF$14))*(YEAR($D70)=YEAR(CF$14))*CF$11/unit</f>
        <v>0</v>
      </c>
      <c r="CG70" s="75">
        <f>(NOT(CG$14=exit))*IF($E70=1,Rentroll!$P58*'A&amp;R'!$AF$12*Rentroll!$H58,Rentroll!$P58*'A&amp;R'!$AF$11*Rentroll!$H58)*(MONTH($D70)=MONTH(CG$14))*(YEAR($D70)=YEAR(CG$14))*CG$11/unit</f>
        <v>0</v>
      </c>
      <c r="CH70" s="75">
        <f>(NOT(CH$14=exit))*IF($E70=1,Rentroll!$P58*'A&amp;R'!$AF$12*Rentroll!$H58,Rentroll!$P58*'A&amp;R'!$AF$11*Rentroll!$H58)*(MONTH($D70)=MONTH(CH$14))*(YEAR($D70)=YEAR(CH$14))*CH$11/unit</f>
        <v>0</v>
      </c>
      <c r="CI70" s="75">
        <f>(NOT(CI$14=exit))*IF($E70=1,Rentroll!$P58*'A&amp;R'!$AF$12*Rentroll!$H58,Rentroll!$P58*'A&amp;R'!$AF$11*Rentroll!$H58)*(MONTH($D70)=MONTH(CI$14))*(YEAR($D70)=YEAR(CI$14))*CI$11/unit</f>
        <v>0</v>
      </c>
      <c r="CJ70" s="75">
        <f>(NOT(CJ$14=exit))*IF($E70=1,Rentroll!$P58*'A&amp;R'!$AF$12*Rentroll!$H58,Rentroll!$P58*'A&amp;R'!$AF$11*Rentroll!$H58)*(MONTH($D70)=MONTH(CJ$14))*(YEAR($D70)=YEAR(CJ$14))*CJ$11/unit</f>
        <v>0</v>
      </c>
      <c r="CK70" s="75">
        <f>(NOT(CK$14=exit))*IF($E70=1,Rentroll!$P58*'A&amp;R'!$AF$12*Rentroll!$H58,Rentroll!$P58*'A&amp;R'!$AF$11*Rentroll!$H58)*(MONTH($D70)=MONTH(CK$14))*(YEAR($D70)=YEAR(CK$14))*CK$11/unit</f>
        <v>0</v>
      </c>
      <c r="CL70" s="75">
        <f>(NOT(CL$14=exit))*IF($E70=1,Rentroll!$P58*'A&amp;R'!$AF$12*Rentroll!$H58,Rentroll!$P58*'A&amp;R'!$AF$11*Rentroll!$H58)*(MONTH($D70)=MONTH(CL$14))*(YEAR($D70)=YEAR(CL$14))*CL$11/unit</f>
        <v>0</v>
      </c>
      <c r="CM70" s="75">
        <f>(NOT(CM$14=exit))*IF($E70=1,Rentroll!$P58*'A&amp;R'!$AF$12*Rentroll!$H58,Rentroll!$P58*'A&amp;R'!$AF$11*Rentroll!$H58)*(MONTH($D70)=MONTH(CM$14))*(YEAR($D70)=YEAR(CM$14))*CM$11/unit</f>
        <v>0</v>
      </c>
      <c r="CN70" s="75">
        <f>(NOT(CN$14=exit))*IF($E70=1,Rentroll!$P58*'A&amp;R'!$AF$12*Rentroll!$H58,Rentroll!$P58*'A&amp;R'!$AF$11*Rentroll!$H58)*(MONTH($D70)=MONTH(CN$14))*(YEAR($D70)=YEAR(CN$14))*CN$11/unit</f>
        <v>0</v>
      </c>
      <c r="CO70" s="75">
        <f>(NOT(CO$14=exit))*IF($E70=1,Rentroll!$P58*'A&amp;R'!$AF$12*Rentroll!$H58,Rentroll!$P58*'A&amp;R'!$AF$11*Rentroll!$H58)*(MONTH($D70)=MONTH(CO$14))*(YEAR($D70)=YEAR(CO$14))*CO$11/unit</f>
        <v>0</v>
      </c>
      <c r="CP70" s="75">
        <f>(NOT(CP$14=exit))*IF($E70=1,Rentroll!$P58*'A&amp;R'!$AF$12*Rentroll!$H58,Rentroll!$P58*'A&amp;R'!$AF$11*Rentroll!$H58)*(MONTH($D70)=MONTH(CP$14))*(YEAR($D70)=YEAR(CP$14))*CP$11/unit</f>
        <v>0</v>
      </c>
      <c r="CQ70" s="75">
        <f>(NOT(CQ$14=exit))*IF($E70=1,Rentroll!$P58*'A&amp;R'!$AF$12*Rentroll!$H58,Rentroll!$P58*'A&amp;R'!$AF$11*Rentroll!$H58)*(MONTH($D70)=MONTH(CQ$14))*(YEAR($D70)=YEAR(CQ$14))*CQ$11/unit</f>
        <v>0</v>
      </c>
      <c r="CR70" s="75">
        <f>(NOT(CR$14=exit))*IF($E70=1,Rentroll!$P58*'A&amp;R'!$AF$12*Rentroll!$H58,Rentroll!$P58*'A&amp;R'!$AF$11*Rentroll!$H58)*(MONTH($D70)=MONTH(CR$14))*(YEAR($D70)=YEAR(CR$14))*CR$11/unit</f>
        <v>0</v>
      </c>
      <c r="CS70" s="75">
        <f>(NOT(CS$14=exit))*IF($E70=1,Rentroll!$P58*'A&amp;R'!$AF$12*Rentroll!$H58,Rentroll!$P58*'A&amp;R'!$AF$11*Rentroll!$H58)*(MONTH($D70)=MONTH(CS$14))*(YEAR($D70)=YEAR(CS$14))*CS$11/unit</f>
        <v>0</v>
      </c>
      <c r="CT70" s="75">
        <f>(NOT(CT$14=exit))*IF($E70=1,Rentroll!$P58*'A&amp;R'!$AF$12*Rentroll!$H58,Rentroll!$P58*'A&amp;R'!$AF$11*Rentroll!$H58)*(MONTH($D70)=MONTH(CT$14))*(YEAR($D70)=YEAR(CT$14))*CT$11/unit</f>
        <v>0</v>
      </c>
      <c r="CU70" s="75">
        <f>(NOT(CU$14=exit))*IF($E70=1,Rentroll!$P58*'A&amp;R'!$AF$12*Rentroll!$H58,Rentroll!$P58*'A&amp;R'!$AF$11*Rentroll!$H58)*(MONTH($D70)=MONTH(CU$14))*(YEAR($D70)=YEAR(CU$14))*CU$11/unit</f>
        <v>0</v>
      </c>
      <c r="CV70" s="75">
        <f>(NOT(CV$14=exit))*IF($E70=1,Rentroll!$P58*'A&amp;R'!$AF$12*Rentroll!$H58,Rentroll!$P58*'A&amp;R'!$AF$11*Rentroll!$H58)*(MONTH($D70)=MONTH(CV$14))*(YEAR($D70)=YEAR(CV$14))*CV$11/unit</f>
        <v>0</v>
      </c>
      <c r="CW70" s="75">
        <f>(NOT(CW$14=exit))*IF($E70=1,Rentroll!$P58*'A&amp;R'!$AF$12*Rentroll!$H58,Rentroll!$P58*'A&amp;R'!$AF$11*Rentroll!$H58)*(MONTH($D70)=MONTH(CW$14))*(YEAR($D70)=YEAR(CW$14))*CW$11/unit</f>
        <v>0</v>
      </c>
      <c r="CX70" s="75">
        <f>(NOT(CX$14=exit))*IF($E70=1,Rentroll!$P58*'A&amp;R'!$AF$12*Rentroll!$H58,Rentroll!$P58*'A&amp;R'!$AF$11*Rentroll!$H58)*(MONTH($D70)=MONTH(CX$14))*(YEAR($D70)=YEAR(CX$14))*CX$11/unit</f>
        <v>0</v>
      </c>
      <c r="CY70" s="75">
        <f>(NOT(CY$14=exit))*IF($E70=1,Rentroll!$P58*'A&amp;R'!$AF$12*Rentroll!$H58,Rentroll!$P58*'A&amp;R'!$AF$11*Rentroll!$H58)*(MONTH($D70)=MONTH(CY$14))*(YEAR($D70)=YEAR(CY$14))*CY$11/unit</f>
        <v>0</v>
      </c>
      <c r="CZ70" s="75">
        <f>(NOT(CZ$14=exit))*IF($E70=1,Rentroll!$P58*'A&amp;R'!$AF$12*Rentroll!$H58,Rentroll!$P58*'A&amp;R'!$AF$11*Rentroll!$H58)*(MONTH($D70)=MONTH(CZ$14))*(YEAR($D70)=YEAR(CZ$14))*CZ$11/unit</f>
        <v>0</v>
      </c>
      <c r="DA70" s="75">
        <f>(NOT(DA$14=exit))*IF($E70=1,Rentroll!$P58*'A&amp;R'!$AF$12*Rentroll!$H58,Rentroll!$P58*'A&amp;R'!$AF$11*Rentroll!$H58)*(MONTH($D70)=MONTH(DA$14))*(YEAR($D70)=YEAR(DA$14))*DA$11/unit</f>
        <v>0</v>
      </c>
      <c r="DB70" s="75">
        <f>(NOT(DB$14=exit))*IF($E70=1,Rentroll!$P58*'A&amp;R'!$AF$12*Rentroll!$H58,Rentroll!$P58*'A&amp;R'!$AF$11*Rentroll!$H58)*(MONTH($D70)=MONTH(DB$14))*(YEAR($D70)=YEAR(DB$14))*DB$11/unit</f>
        <v>0</v>
      </c>
    </row>
    <row r="71" spans="2:106">
      <c r="C71" s="28" t="str">
        <f>Rentroll!$C$59</f>
        <v>B102호</v>
      </c>
      <c r="D71" s="80">
        <f>VLOOKUP($C71,Rentroll!$C$37:$Z$60,9,FALSE)</f>
        <v>46418</v>
      </c>
      <c r="E71" s="150">
        <f>VLOOKUP($C71,Rentroll!$C$37:$Z$60,24,FALSE)</f>
        <v>1</v>
      </c>
      <c r="F71" s="75">
        <f t="shared" si="45"/>
        <v>32.09936022484537</v>
      </c>
      <c r="G71" s="75"/>
      <c r="H71" s="75">
        <f>(NOT(H$14=exit))*IF($E71=1,Rentroll!$P59*'A&amp;R'!$AF$12*Rentroll!$H59,Rentroll!$P59*'A&amp;R'!$AF$11*Rentroll!$H59)*(MONTH($D71)=MONTH(H$14))*(YEAR($D71)=YEAR(H$14))*H$11/unit</f>
        <v>0</v>
      </c>
      <c r="I71" s="75">
        <f>(NOT(I$14=exit))*IF($E71=1,Rentroll!$P59*'A&amp;R'!$AF$12*Rentroll!$H59,Rentroll!$P59*'A&amp;R'!$AF$11*Rentroll!$H59)*(MONTH($D71)=MONTH(I$14))*(YEAR($D71)=YEAR(I$14))*I$11/unit</f>
        <v>0</v>
      </c>
      <c r="J71" s="75">
        <f>(NOT(J$14=exit))*IF($E71=1,Rentroll!$P59*'A&amp;R'!$AF$12*Rentroll!$H59,Rentroll!$P59*'A&amp;R'!$AF$11*Rentroll!$H59)*(MONTH($D71)=MONTH(J$14))*(YEAR($D71)=YEAR(J$14))*J$11/unit</f>
        <v>0</v>
      </c>
      <c r="K71" s="75">
        <f>(NOT(K$14=exit))*IF($E71=1,Rentroll!$P59*'A&amp;R'!$AF$12*Rentroll!$H59,Rentroll!$P59*'A&amp;R'!$AF$11*Rentroll!$H59)*(MONTH($D71)=MONTH(K$14))*(YEAR($D71)=YEAR(K$14))*K$11/unit</f>
        <v>0</v>
      </c>
      <c r="L71" s="75">
        <f>(NOT(L$14=exit))*IF($E71=1,Rentroll!$P59*'A&amp;R'!$AF$12*Rentroll!$H59,Rentroll!$P59*'A&amp;R'!$AF$11*Rentroll!$H59)*(MONTH($D71)=MONTH(L$14))*(YEAR($D71)=YEAR(L$14))*L$11/unit</f>
        <v>0</v>
      </c>
      <c r="M71" s="75">
        <f>(NOT(M$14=exit))*IF($E71=1,Rentroll!$P59*'A&amp;R'!$AF$12*Rentroll!$H59,Rentroll!$P59*'A&amp;R'!$AF$11*Rentroll!$H59)*(MONTH($D71)=MONTH(M$14))*(YEAR($D71)=YEAR(M$14))*M$11/unit</f>
        <v>0</v>
      </c>
      <c r="N71" s="75">
        <f>(NOT(N$14=exit))*IF($E71=1,Rentroll!$P59*'A&amp;R'!$AF$12*Rentroll!$H59,Rentroll!$P59*'A&amp;R'!$AF$11*Rentroll!$H59)*(MONTH($D71)=MONTH(N$14))*(YEAR($D71)=YEAR(N$14))*N$11/unit</f>
        <v>0</v>
      </c>
      <c r="O71" s="75">
        <f>(NOT(O$14=exit))*IF($E71=1,Rentroll!$P59*'A&amp;R'!$AF$12*Rentroll!$H59,Rentroll!$P59*'A&amp;R'!$AF$11*Rentroll!$H59)*(MONTH($D71)=MONTH(O$14))*(YEAR($D71)=YEAR(O$14))*O$11/unit</f>
        <v>0</v>
      </c>
      <c r="P71" s="75">
        <f>(NOT(P$14=exit))*IF($E71=1,Rentroll!$P59*'A&amp;R'!$AF$12*Rentroll!$H59,Rentroll!$P59*'A&amp;R'!$AF$11*Rentroll!$H59)*(MONTH($D71)=MONTH(P$14))*(YEAR($D71)=YEAR(P$14))*P$11/unit</f>
        <v>0</v>
      </c>
      <c r="Q71" s="75">
        <f>(NOT(Q$14=exit))*IF($E71=1,Rentroll!$P59*'A&amp;R'!$AF$12*Rentroll!$H59,Rentroll!$P59*'A&amp;R'!$AF$11*Rentroll!$H59)*(MONTH($D71)=MONTH(Q$14))*(YEAR($D71)=YEAR(Q$14))*Q$11/unit</f>
        <v>0</v>
      </c>
      <c r="R71" s="75">
        <f>(NOT(R$14=exit))*IF($E71=1,Rentroll!$P59*'A&amp;R'!$AF$12*Rentroll!$H59,Rentroll!$P59*'A&amp;R'!$AF$11*Rentroll!$H59)*(MONTH($D71)=MONTH(R$14))*(YEAR($D71)=YEAR(R$14))*R$11/unit</f>
        <v>0</v>
      </c>
      <c r="S71" s="75">
        <f>(NOT(S$14=exit))*IF($E71=1,Rentroll!$P59*'A&amp;R'!$AF$12*Rentroll!$H59,Rentroll!$P59*'A&amp;R'!$AF$11*Rentroll!$H59)*(MONTH($D71)=MONTH(S$14))*(YEAR($D71)=YEAR(S$14))*S$11/unit</f>
        <v>0</v>
      </c>
      <c r="T71" s="75">
        <f>(NOT(T$14=exit))*IF($E71=1,Rentroll!$P59*'A&amp;R'!$AF$12*Rentroll!$H59,Rentroll!$P59*'A&amp;R'!$AF$11*Rentroll!$H59)*(MONTH($D71)=MONTH(T$14))*(YEAR($D71)=YEAR(T$14))*T$11/unit</f>
        <v>0</v>
      </c>
      <c r="U71" s="75">
        <f>(NOT(U$14=exit))*IF($E71=1,Rentroll!$P59*'A&amp;R'!$AF$12*Rentroll!$H59,Rentroll!$P59*'A&amp;R'!$AF$11*Rentroll!$H59)*(MONTH($D71)=MONTH(U$14))*(YEAR($D71)=YEAR(U$14))*U$11/unit</f>
        <v>0</v>
      </c>
      <c r="V71" s="75">
        <f>(NOT(V$14=exit))*IF($E71=1,Rentroll!$P59*'A&amp;R'!$AF$12*Rentroll!$H59,Rentroll!$P59*'A&amp;R'!$AF$11*Rentroll!$H59)*(MONTH($D71)=MONTH(V$14))*(YEAR($D71)=YEAR(V$14))*V$11/unit</f>
        <v>0</v>
      </c>
      <c r="W71" s="75">
        <f>(NOT(W$14=exit))*IF($E71=1,Rentroll!$P59*'A&amp;R'!$AF$12*Rentroll!$H59,Rentroll!$P59*'A&amp;R'!$AF$11*Rentroll!$H59)*(MONTH($D71)=MONTH(W$14))*(YEAR($D71)=YEAR(W$14))*W$11/unit</f>
        <v>0</v>
      </c>
      <c r="X71" s="75">
        <f>(NOT(X$14=exit))*IF($E71=1,Rentroll!$P59*'A&amp;R'!$AF$12*Rentroll!$H59,Rentroll!$P59*'A&amp;R'!$AF$11*Rentroll!$H59)*(MONTH($D71)=MONTH(X$14))*(YEAR($D71)=YEAR(X$14))*X$11/unit</f>
        <v>0</v>
      </c>
      <c r="Y71" s="75">
        <f>(NOT(Y$14=exit))*IF($E71=1,Rentroll!$P59*'A&amp;R'!$AF$12*Rentroll!$H59,Rentroll!$P59*'A&amp;R'!$AF$11*Rentroll!$H59)*(MONTH($D71)=MONTH(Y$14))*(YEAR($D71)=YEAR(Y$14))*Y$11/unit</f>
        <v>0</v>
      </c>
      <c r="Z71" s="75">
        <f>(NOT(Z$14=exit))*IF($E71=1,Rentroll!$P59*'A&amp;R'!$AF$12*Rentroll!$H59,Rentroll!$P59*'A&amp;R'!$AF$11*Rentroll!$H59)*(MONTH($D71)=MONTH(Z$14))*(YEAR($D71)=YEAR(Z$14))*Z$11/unit</f>
        <v>0</v>
      </c>
      <c r="AA71" s="75">
        <f>(NOT(AA$14=exit))*IF($E71=1,Rentroll!$P59*'A&amp;R'!$AF$12*Rentroll!$H59,Rentroll!$P59*'A&amp;R'!$AF$11*Rentroll!$H59)*(MONTH($D71)=MONTH(AA$14))*(YEAR($D71)=YEAR(AA$14))*AA$11/unit</f>
        <v>0</v>
      </c>
      <c r="AB71" s="75">
        <f>(NOT(AB$14=exit))*IF($E71=1,Rentroll!$P59*'A&amp;R'!$AF$12*Rentroll!$H59,Rentroll!$P59*'A&amp;R'!$AF$11*Rentroll!$H59)*(MONTH($D71)=MONTH(AB$14))*(YEAR($D71)=YEAR(AB$14))*AB$11/unit</f>
        <v>0</v>
      </c>
      <c r="AC71" s="75">
        <f>(NOT(AC$14=exit))*IF($E71=1,Rentroll!$P59*'A&amp;R'!$AF$12*Rentroll!$H59,Rentroll!$P59*'A&amp;R'!$AF$11*Rentroll!$H59)*(MONTH($D71)=MONTH(AC$14))*(YEAR($D71)=YEAR(AC$14))*AC$11/unit</f>
        <v>0</v>
      </c>
      <c r="AD71" s="75">
        <f>(NOT(AD$14=exit))*IF($E71=1,Rentroll!$P59*'A&amp;R'!$AF$12*Rentroll!$H59,Rentroll!$P59*'A&amp;R'!$AF$11*Rentroll!$H59)*(MONTH($D71)=MONTH(AD$14))*(YEAR($D71)=YEAR(AD$14))*AD$11/unit</f>
        <v>0</v>
      </c>
      <c r="AE71" s="75">
        <f>(NOT(AE$14=exit))*IF($E71=1,Rentroll!$P59*'A&amp;R'!$AF$12*Rentroll!$H59,Rentroll!$P59*'A&amp;R'!$AF$11*Rentroll!$H59)*(MONTH($D71)=MONTH(AE$14))*(YEAR($D71)=YEAR(AE$14))*AE$11/unit</f>
        <v>0</v>
      </c>
      <c r="AF71" s="75">
        <f>(NOT(AF$14=exit))*IF($E71=1,Rentroll!$P59*'A&amp;R'!$AF$12*Rentroll!$H59,Rentroll!$P59*'A&amp;R'!$AF$11*Rentroll!$H59)*(MONTH($D71)=MONTH(AF$14))*(YEAR($D71)=YEAR(AF$14))*AF$11/unit</f>
        <v>32.09936022484537</v>
      </c>
      <c r="AG71" s="75">
        <f>(NOT(AG$14=exit))*IF($E71=1,Rentroll!$P59*'A&amp;R'!$AF$12*Rentroll!$H59,Rentroll!$P59*'A&amp;R'!$AF$11*Rentroll!$H59)*(MONTH($D71)=MONTH(AG$14))*(YEAR($D71)=YEAR(AG$14))*AG$11/unit</f>
        <v>0</v>
      </c>
      <c r="AH71" s="75">
        <f>(NOT(AH$14=exit))*IF($E71=1,Rentroll!$P59*'A&amp;R'!$AF$12*Rentroll!$H59,Rentroll!$P59*'A&amp;R'!$AF$11*Rentroll!$H59)*(MONTH($D71)=MONTH(AH$14))*(YEAR($D71)=YEAR(AH$14))*AH$11/unit</f>
        <v>0</v>
      </c>
      <c r="AI71" s="75">
        <f>(NOT(AI$14=exit))*IF($E71=1,Rentroll!$P59*'A&amp;R'!$AF$12*Rentroll!$H59,Rentroll!$P59*'A&amp;R'!$AF$11*Rentroll!$H59)*(MONTH($D71)=MONTH(AI$14))*(YEAR($D71)=YEAR(AI$14))*AI$11/unit</f>
        <v>0</v>
      </c>
      <c r="AJ71" s="75">
        <f>(NOT(AJ$14=exit))*IF($E71=1,Rentroll!$P59*'A&amp;R'!$AF$12*Rentroll!$H59,Rentroll!$P59*'A&amp;R'!$AF$11*Rentroll!$H59)*(MONTH($D71)=MONTH(AJ$14))*(YEAR($D71)=YEAR(AJ$14))*AJ$11/unit</f>
        <v>0</v>
      </c>
      <c r="AK71" s="75">
        <f>(NOT(AK$14=exit))*IF($E71=1,Rentroll!$P59*'A&amp;R'!$AF$12*Rentroll!$H59,Rentroll!$P59*'A&amp;R'!$AF$11*Rentroll!$H59)*(MONTH($D71)=MONTH(AK$14))*(YEAR($D71)=YEAR(AK$14))*AK$11/unit</f>
        <v>0</v>
      </c>
      <c r="AL71" s="75">
        <f>(NOT(AL$14=exit))*IF($E71=1,Rentroll!$P59*'A&amp;R'!$AF$12*Rentroll!$H59,Rentroll!$P59*'A&amp;R'!$AF$11*Rentroll!$H59)*(MONTH($D71)=MONTH(AL$14))*(YEAR($D71)=YEAR(AL$14))*AL$11/unit</f>
        <v>0</v>
      </c>
      <c r="AM71" s="75">
        <f>(NOT(AM$14=exit))*IF($E71=1,Rentroll!$P59*'A&amp;R'!$AF$12*Rentroll!$H59,Rentroll!$P59*'A&amp;R'!$AF$11*Rentroll!$H59)*(MONTH($D71)=MONTH(AM$14))*(YEAR($D71)=YEAR(AM$14))*AM$11/unit</f>
        <v>0</v>
      </c>
      <c r="AN71" s="75">
        <f>(NOT(AN$14=exit))*IF($E71=1,Rentroll!$P59*'A&amp;R'!$AF$12*Rentroll!$H59,Rentroll!$P59*'A&amp;R'!$AF$11*Rentroll!$H59)*(MONTH($D71)=MONTH(AN$14))*(YEAR($D71)=YEAR(AN$14))*AN$11/unit</f>
        <v>0</v>
      </c>
      <c r="AO71" s="75">
        <f>(NOT(AO$14=exit))*IF($E71=1,Rentroll!$P59*'A&amp;R'!$AF$12*Rentroll!$H59,Rentroll!$P59*'A&amp;R'!$AF$11*Rentroll!$H59)*(MONTH($D71)=MONTH(AO$14))*(YEAR($D71)=YEAR(AO$14))*AO$11/unit</f>
        <v>0</v>
      </c>
      <c r="AP71" s="75">
        <f>(NOT(AP$14=exit))*IF($E71=1,Rentroll!$P59*'A&amp;R'!$AF$12*Rentroll!$H59,Rentroll!$P59*'A&amp;R'!$AF$11*Rentroll!$H59)*(MONTH($D71)=MONTH(AP$14))*(YEAR($D71)=YEAR(AP$14))*AP$11/unit</f>
        <v>0</v>
      </c>
      <c r="AQ71" s="75">
        <f>(NOT(AQ$14=exit))*IF($E71=1,Rentroll!$P59*'A&amp;R'!$AF$12*Rentroll!$H59,Rentroll!$P59*'A&amp;R'!$AF$11*Rentroll!$H59)*(MONTH($D71)=MONTH(AQ$14))*(YEAR($D71)=YEAR(AQ$14))*AQ$11/unit</f>
        <v>0</v>
      </c>
      <c r="AR71" s="75">
        <f>(NOT(AR$14=exit))*IF($E71=1,Rentroll!$P59*'A&amp;R'!$AF$12*Rentroll!$H59,Rentroll!$P59*'A&amp;R'!$AF$11*Rentroll!$H59)*(MONTH($D71)=MONTH(AR$14))*(YEAR($D71)=YEAR(AR$14))*AR$11/unit</f>
        <v>0</v>
      </c>
      <c r="AS71" s="75">
        <f>(NOT(AS$14=exit))*IF($E71=1,Rentroll!$P59*'A&amp;R'!$AF$12*Rentroll!$H59,Rentroll!$P59*'A&amp;R'!$AF$11*Rentroll!$H59)*(MONTH($D71)=MONTH(AS$14))*(YEAR($D71)=YEAR(AS$14))*AS$11/unit</f>
        <v>0</v>
      </c>
      <c r="AT71" s="75">
        <f>(NOT(AT$14=exit))*IF($E71=1,Rentroll!$P59*'A&amp;R'!$AF$12*Rentroll!$H59,Rentroll!$P59*'A&amp;R'!$AF$11*Rentroll!$H59)*(MONTH($D71)=MONTH(AT$14))*(YEAR($D71)=YEAR(AT$14))*AT$11/unit</f>
        <v>0</v>
      </c>
      <c r="AU71" s="75">
        <f>(NOT(AU$14=exit))*IF($E71=1,Rentroll!$P59*'A&amp;R'!$AF$12*Rentroll!$H59,Rentroll!$P59*'A&amp;R'!$AF$11*Rentroll!$H59)*(MONTH($D71)=MONTH(AU$14))*(YEAR($D71)=YEAR(AU$14))*AU$11/unit</f>
        <v>0</v>
      </c>
      <c r="AV71" s="75">
        <f>(NOT(AV$14=exit))*IF($E71=1,Rentroll!$P59*'A&amp;R'!$AF$12*Rentroll!$H59,Rentroll!$P59*'A&amp;R'!$AF$11*Rentroll!$H59)*(MONTH($D71)=MONTH(AV$14))*(YEAR($D71)=YEAR(AV$14))*AV$11/unit</f>
        <v>0</v>
      </c>
      <c r="AW71" s="75">
        <f>(NOT(AW$14=exit))*IF($E71=1,Rentroll!$P59*'A&amp;R'!$AF$12*Rentroll!$H59,Rentroll!$P59*'A&amp;R'!$AF$11*Rentroll!$H59)*(MONTH($D71)=MONTH(AW$14))*(YEAR($D71)=YEAR(AW$14))*AW$11/unit</f>
        <v>0</v>
      </c>
      <c r="AX71" s="75">
        <f>(NOT(AX$14=exit))*IF($E71=1,Rentroll!$P59*'A&amp;R'!$AF$12*Rentroll!$H59,Rentroll!$P59*'A&amp;R'!$AF$11*Rentroll!$H59)*(MONTH($D71)=MONTH(AX$14))*(YEAR($D71)=YEAR(AX$14))*AX$11/unit</f>
        <v>0</v>
      </c>
      <c r="AY71" s="75">
        <f>(NOT(AY$14=exit))*IF($E71=1,Rentroll!$P59*'A&amp;R'!$AF$12*Rentroll!$H59,Rentroll!$P59*'A&amp;R'!$AF$11*Rentroll!$H59)*(MONTH($D71)=MONTH(AY$14))*(YEAR($D71)=YEAR(AY$14))*AY$11/unit</f>
        <v>0</v>
      </c>
      <c r="AZ71" s="75">
        <f>(NOT(AZ$14=exit))*IF($E71=1,Rentroll!$P59*'A&amp;R'!$AF$12*Rentroll!$H59,Rentroll!$P59*'A&amp;R'!$AF$11*Rentroll!$H59)*(MONTH($D71)=MONTH(AZ$14))*(YEAR($D71)=YEAR(AZ$14))*AZ$11/unit</f>
        <v>0</v>
      </c>
      <c r="BA71" s="75">
        <f>(NOT(BA$14=exit))*IF($E71=1,Rentroll!$P59*'A&amp;R'!$AF$12*Rentroll!$H59,Rentroll!$P59*'A&amp;R'!$AF$11*Rentroll!$H59)*(MONTH($D71)=MONTH(BA$14))*(YEAR($D71)=YEAR(BA$14))*BA$11/unit</f>
        <v>0</v>
      </c>
      <c r="BB71" s="75">
        <f>(NOT(BB$14=exit))*IF($E71=1,Rentroll!$P59*'A&amp;R'!$AF$12*Rentroll!$H59,Rentroll!$P59*'A&amp;R'!$AF$11*Rentroll!$H59)*(MONTH($D71)=MONTH(BB$14))*(YEAR($D71)=YEAR(BB$14))*BB$11/unit</f>
        <v>0</v>
      </c>
      <c r="BC71" s="75">
        <f>(NOT(BC$14=exit))*IF($E71=1,Rentroll!$P59*'A&amp;R'!$AF$12*Rentroll!$H59,Rentroll!$P59*'A&amp;R'!$AF$11*Rentroll!$H59)*(MONTH($D71)=MONTH(BC$14))*(YEAR($D71)=YEAR(BC$14))*BC$11/unit</f>
        <v>0</v>
      </c>
      <c r="BD71" s="75">
        <f>(NOT(BD$14=exit))*IF($E71=1,Rentroll!$P59*'A&amp;R'!$AF$12*Rentroll!$H59,Rentroll!$P59*'A&amp;R'!$AF$11*Rentroll!$H59)*(MONTH($D71)=MONTH(BD$14))*(YEAR($D71)=YEAR(BD$14))*BD$11/unit</f>
        <v>0</v>
      </c>
      <c r="BE71" s="75">
        <f>(NOT(BE$14=exit))*IF($E71=1,Rentroll!$P59*'A&amp;R'!$AF$12*Rentroll!$H59,Rentroll!$P59*'A&amp;R'!$AF$11*Rentroll!$H59)*(MONTH($D71)=MONTH(BE$14))*(YEAR($D71)=YEAR(BE$14))*BE$11/unit</f>
        <v>0</v>
      </c>
      <c r="BF71" s="75">
        <f>(NOT(BF$14=exit))*IF($E71=1,Rentroll!$P59*'A&amp;R'!$AF$12*Rentroll!$H59,Rentroll!$P59*'A&amp;R'!$AF$11*Rentroll!$H59)*(MONTH($D71)=MONTH(BF$14))*(YEAR($D71)=YEAR(BF$14))*BF$11/unit</f>
        <v>0</v>
      </c>
      <c r="BG71" s="75">
        <f>(NOT(BG$14=exit))*IF($E71=1,Rentroll!$P59*'A&amp;R'!$AF$12*Rentroll!$H59,Rentroll!$P59*'A&amp;R'!$AF$11*Rentroll!$H59)*(MONTH($D71)=MONTH(BG$14))*(YEAR($D71)=YEAR(BG$14))*BG$11/unit</f>
        <v>0</v>
      </c>
      <c r="BH71" s="75">
        <f>(NOT(BH$14=exit))*IF($E71=1,Rentroll!$P59*'A&amp;R'!$AF$12*Rentroll!$H59,Rentroll!$P59*'A&amp;R'!$AF$11*Rentroll!$H59)*(MONTH($D71)=MONTH(BH$14))*(YEAR($D71)=YEAR(BH$14))*BH$11/unit</f>
        <v>0</v>
      </c>
      <c r="BI71" s="75">
        <f>(NOT(BI$14=exit))*IF($E71=1,Rentroll!$P59*'A&amp;R'!$AF$12*Rentroll!$H59,Rentroll!$P59*'A&amp;R'!$AF$11*Rentroll!$H59)*(MONTH($D71)=MONTH(BI$14))*(YEAR($D71)=YEAR(BI$14))*BI$11/unit</f>
        <v>0</v>
      </c>
      <c r="BJ71" s="75">
        <f>(NOT(BJ$14=exit))*IF($E71=1,Rentroll!$P59*'A&amp;R'!$AF$12*Rentroll!$H59,Rentroll!$P59*'A&amp;R'!$AF$11*Rentroll!$H59)*(MONTH($D71)=MONTH(BJ$14))*(YEAR($D71)=YEAR(BJ$14))*BJ$11/unit</f>
        <v>0</v>
      </c>
      <c r="BK71" s="75">
        <f>(NOT(BK$14=exit))*IF($E71=1,Rentroll!$P59*'A&amp;R'!$AF$12*Rentroll!$H59,Rentroll!$P59*'A&amp;R'!$AF$11*Rentroll!$H59)*(MONTH($D71)=MONTH(BK$14))*(YEAR($D71)=YEAR(BK$14))*BK$11/unit</f>
        <v>0</v>
      </c>
      <c r="BL71" s="75">
        <f>(NOT(BL$14=exit))*IF($E71=1,Rentroll!$P59*'A&amp;R'!$AF$12*Rentroll!$H59,Rentroll!$P59*'A&amp;R'!$AF$11*Rentroll!$H59)*(MONTH($D71)=MONTH(BL$14))*(YEAR($D71)=YEAR(BL$14))*BL$11/unit</f>
        <v>0</v>
      </c>
      <c r="BM71" s="75">
        <f>(NOT(BM$14=exit))*IF($E71=1,Rentroll!$P59*'A&amp;R'!$AF$12*Rentroll!$H59,Rentroll!$P59*'A&amp;R'!$AF$11*Rentroll!$H59)*(MONTH($D71)=MONTH(BM$14))*(YEAR($D71)=YEAR(BM$14))*BM$11/unit</f>
        <v>0</v>
      </c>
      <c r="BN71" s="75">
        <f>(NOT(BN$14=exit))*IF($E71=1,Rentroll!$P59*'A&amp;R'!$AF$12*Rentroll!$H59,Rentroll!$P59*'A&amp;R'!$AF$11*Rentroll!$H59)*(MONTH($D71)=MONTH(BN$14))*(YEAR($D71)=YEAR(BN$14))*BN$11/unit</f>
        <v>0</v>
      </c>
      <c r="BO71" s="75">
        <f>(NOT(BO$14=exit))*IF($E71=1,Rentroll!$P59*'A&amp;R'!$AF$12*Rentroll!$H59,Rentroll!$P59*'A&amp;R'!$AF$11*Rentroll!$H59)*(MONTH($D71)=MONTH(BO$14))*(YEAR($D71)=YEAR(BO$14))*BO$11/unit</f>
        <v>0</v>
      </c>
      <c r="BP71" s="75">
        <f>(NOT(BP$14=exit))*IF($E71=1,Rentroll!$P59*'A&amp;R'!$AF$12*Rentroll!$H59,Rentroll!$P59*'A&amp;R'!$AF$11*Rentroll!$H59)*(MONTH($D71)=MONTH(BP$14))*(YEAR($D71)=YEAR(BP$14))*BP$11/unit</f>
        <v>0</v>
      </c>
      <c r="BQ71" s="75">
        <f>(NOT(BQ$14=exit))*IF($E71=1,Rentroll!$P59*'A&amp;R'!$AF$12*Rentroll!$H59,Rentroll!$P59*'A&amp;R'!$AF$11*Rentroll!$H59)*(MONTH($D71)=MONTH(BQ$14))*(YEAR($D71)=YEAR(BQ$14))*BQ$11/unit</f>
        <v>0</v>
      </c>
      <c r="BR71" s="75">
        <f>(NOT(BR$14=exit))*IF($E71=1,Rentroll!$P59*'A&amp;R'!$AF$12*Rentroll!$H59,Rentroll!$P59*'A&amp;R'!$AF$11*Rentroll!$H59)*(MONTH($D71)=MONTH(BR$14))*(YEAR($D71)=YEAR(BR$14))*BR$11/unit</f>
        <v>0</v>
      </c>
      <c r="BS71" s="75">
        <f>(NOT(BS$14=exit))*IF($E71=1,Rentroll!$P59*'A&amp;R'!$AF$12*Rentroll!$H59,Rentroll!$P59*'A&amp;R'!$AF$11*Rentroll!$H59)*(MONTH($D71)=MONTH(BS$14))*(YEAR($D71)=YEAR(BS$14))*BS$11/unit</f>
        <v>0</v>
      </c>
      <c r="BT71" s="75">
        <f>(NOT(BT$14=exit))*IF($E71=1,Rentroll!$P59*'A&amp;R'!$AF$12*Rentroll!$H59,Rentroll!$P59*'A&amp;R'!$AF$11*Rentroll!$H59)*(MONTH($D71)=MONTH(BT$14))*(YEAR($D71)=YEAR(BT$14))*BT$11/unit</f>
        <v>0</v>
      </c>
      <c r="BU71" s="75">
        <f>(NOT(BU$14=exit))*IF($E71=1,Rentroll!$P59*'A&amp;R'!$AF$12*Rentroll!$H59,Rentroll!$P59*'A&amp;R'!$AF$11*Rentroll!$H59)*(MONTH($D71)=MONTH(BU$14))*(YEAR($D71)=YEAR(BU$14))*BU$11/unit</f>
        <v>0</v>
      </c>
      <c r="BV71" s="75">
        <f>(NOT(BV$14=exit))*IF($E71=1,Rentroll!$P59*'A&amp;R'!$AF$12*Rentroll!$H59,Rentroll!$P59*'A&amp;R'!$AF$11*Rentroll!$H59)*(MONTH($D71)=MONTH(BV$14))*(YEAR($D71)=YEAR(BV$14))*BV$11/unit</f>
        <v>0</v>
      </c>
      <c r="BW71" s="75">
        <f>(NOT(BW$14=exit))*IF($E71=1,Rentroll!$P59*'A&amp;R'!$AF$12*Rentroll!$H59,Rentroll!$P59*'A&amp;R'!$AF$11*Rentroll!$H59)*(MONTH($D71)=MONTH(BW$14))*(YEAR($D71)=YEAR(BW$14))*BW$11/unit</f>
        <v>0</v>
      </c>
      <c r="BX71" s="75">
        <f>(NOT(BX$14=exit))*IF($E71=1,Rentroll!$P59*'A&amp;R'!$AF$12*Rentroll!$H59,Rentroll!$P59*'A&amp;R'!$AF$11*Rentroll!$H59)*(MONTH($D71)=MONTH(BX$14))*(YEAR($D71)=YEAR(BX$14))*BX$11/unit</f>
        <v>0</v>
      </c>
      <c r="BY71" s="75">
        <f>(NOT(BY$14=exit))*IF($E71=1,Rentroll!$P59*'A&amp;R'!$AF$12*Rentroll!$H59,Rentroll!$P59*'A&amp;R'!$AF$11*Rentroll!$H59)*(MONTH($D71)=MONTH(BY$14))*(YEAR($D71)=YEAR(BY$14))*BY$11/unit</f>
        <v>0</v>
      </c>
      <c r="BZ71" s="75">
        <f>(NOT(BZ$14=exit))*IF($E71=1,Rentroll!$P59*'A&amp;R'!$AF$12*Rentroll!$H59,Rentroll!$P59*'A&amp;R'!$AF$11*Rentroll!$H59)*(MONTH($D71)=MONTH(BZ$14))*(YEAR($D71)=YEAR(BZ$14))*BZ$11/unit</f>
        <v>0</v>
      </c>
      <c r="CA71" s="75">
        <f>(NOT(CA$14=exit))*IF($E71=1,Rentroll!$P59*'A&amp;R'!$AF$12*Rentroll!$H59,Rentroll!$P59*'A&amp;R'!$AF$11*Rentroll!$H59)*(MONTH($D71)=MONTH(CA$14))*(YEAR($D71)=YEAR(CA$14))*CA$11/unit</f>
        <v>0</v>
      </c>
      <c r="CB71" s="75">
        <f>(NOT(CB$14=exit))*IF($E71=1,Rentroll!$P59*'A&amp;R'!$AF$12*Rentroll!$H59,Rentroll!$P59*'A&amp;R'!$AF$11*Rentroll!$H59)*(MONTH($D71)=MONTH(CB$14))*(YEAR($D71)=YEAR(CB$14))*CB$11/unit</f>
        <v>0</v>
      </c>
      <c r="CC71" s="75">
        <f>(NOT(CC$14=exit))*IF($E71=1,Rentroll!$P59*'A&amp;R'!$AF$12*Rentroll!$H59,Rentroll!$P59*'A&amp;R'!$AF$11*Rentroll!$H59)*(MONTH($D71)=MONTH(CC$14))*(YEAR($D71)=YEAR(CC$14))*CC$11/unit</f>
        <v>0</v>
      </c>
      <c r="CD71" s="75">
        <f>(NOT(CD$14=exit))*IF($E71=1,Rentroll!$P59*'A&amp;R'!$AF$12*Rentroll!$H59,Rentroll!$P59*'A&amp;R'!$AF$11*Rentroll!$H59)*(MONTH($D71)=MONTH(CD$14))*(YEAR($D71)=YEAR(CD$14))*CD$11/unit</f>
        <v>0</v>
      </c>
      <c r="CE71" s="75">
        <f>(NOT(CE$14=exit))*IF($E71=1,Rentroll!$P59*'A&amp;R'!$AF$12*Rentroll!$H59,Rentroll!$P59*'A&amp;R'!$AF$11*Rentroll!$H59)*(MONTH($D71)=MONTH(CE$14))*(YEAR($D71)=YEAR(CE$14))*CE$11/unit</f>
        <v>0</v>
      </c>
      <c r="CF71" s="75">
        <f>(NOT(CF$14=exit))*IF($E71=1,Rentroll!$P59*'A&amp;R'!$AF$12*Rentroll!$H59,Rentroll!$P59*'A&amp;R'!$AF$11*Rentroll!$H59)*(MONTH($D71)=MONTH(CF$14))*(YEAR($D71)=YEAR(CF$14))*CF$11/unit</f>
        <v>0</v>
      </c>
      <c r="CG71" s="75">
        <f>(NOT(CG$14=exit))*IF($E71=1,Rentroll!$P59*'A&amp;R'!$AF$12*Rentroll!$H59,Rentroll!$P59*'A&amp;R'!$AF$11*Rentroll!$H59)*(MONTH($D71)=MONTH(CG$14))*(YEAR($D71)=YEAR(CG$14))*CG$11/unit</f>
        <v>0</v>
      </c>
      <c r="CH71" s="75">
        <f>(NOT(CH$14=exit))*IF($E71=1,Rentroll!$P59*'A&amp;R'!$AF$12*Rentroll!$H59,Rentroll!$P59*'A&amp;R'!$AF$11*Rentroll!$H59)*(MONTH($D71)=MONTH(CH$14))*(YEAR($D71)=YEAR(CH$14))*CH$11/unit</f>
        <v>0</v>
      </c>
      <c r="CI71" s="75">
        <f>(NOT(CI$14=exit))*IF($E71=1,Rentroll!$P59*'A&amp;R'!$AF$12*Rentroll!$H59,Rentroll!$P59*'A&amp;R'!$AF$11*Rentroll!$H59)*(MONTH($D71)=MONTH(CI$14))*(YEAR($D71)=YEAR(CI$14))*CI$11/unit</f>
        <v>0</v>
      </c>
      <c r="CJ71" s="75">
        <f>(NOT(CJ$14=exit))*IF($E71=1,Rentroll!$P59*'A&amp;R'!$AF$12*Rentroll!$H59,Rentroll!$P59*'A&amp;R'!$AF$11*Rentroll!$H59)*(MONTH($D71)=MONTH(CJ$14))*(YEAR($D71)=YEAR(CJ$14))*CJ$11/unit</f>
        <v>0</v>
      </c>
      <c r="CK71" s="75">
        <f>(NOT(CK$14=exit))*IF($E71=1,Rentroll!$P59*'A&amp;R'!$AF$12*Rentroll!$H59,Rentroll!$P59*'A&amp;R'!$AF$11*Rentroll!$H59)*(MONTH($D71)=MONTH(CK$14))*(YEAR($D71)=YEAR(CK$14))*CK$11/unit</f>
        <v>0</v>
      </c>
      <c r="CL71" s="75">
        <f>(NOT(CL$14=exit))*IF($E71=1,Rentroll!$P59*'A&amp;R'!$AF$12*Rentroll!$H59,Rentroll!$P59*'A&amp;R'!$AF$11*Rentroll!$H59)*(MONTH($D71)=MONTH(CL$14))*(YEAR($D71)=YEAR(CL$14))*CL$11/unit</f>
        <v>0</v>
      </c>
      <c r="CM71" s="75">
        <f>(NOT(CM$14=exit))*IF($E71=1,Rentroll!$P59*'A&amp;R'!$AF$12*Rentroll!$H59,Rentroll!$P59*'A&amp;R'!$AF$11*Rentroll!$H59)*(MONTH($D71)=MONTH(CM$14))*(YEAR($D71)=YEAR(CM$14))*CM$11/unit</f>
        <v>0</v>
      </c>
      <c r="CN71" s="75">
        <f>(NOT(CN$14=exit))*IF($E71=1,Rentroll!$P59*'A&amp;R'!$AF$12*Rentroll!$H59,Rentroll!$P59*'A&amp;R'!$AF$11*Rentroll!$H59)*(MONTH($D71)=MONTH(CN$14))*(YEAR($D71)=YEAR(CN$14))*CN$11/unit</f>
        <v>0</v>
      </c>
      <c r="CO71" s="75">
        <f>(NOT(CO$14=exit))*IF($E71=1,Rentroll!$P59*'A&amp;R'!$AF$12*Rentroll!$H59,Rentroll!$P59*'A&amp;R'!$AF$11*Rentroll!$H59)*(MONTH($D71)=MONTH(CO$14))*(YEAR($D71)=YEAR(CO$14))*CO$11/unit</f>
        <v>0</v>
      </c>
      <c r="CP71" s="75">
        <f>(NOT(CP$14=exit))*IF($E71=1,Rentroll!$P59*'A&amp;R'!$AF$12*Rentroll!$H59,Rentroll!$P59*'A&amp;R'!$AF$11*Rentroll!$H59)*(MONTH($D71)=MONTH(CP$14))*(YEAR($D71)=YEAR(CP$14))*CP$11/unit</f>
        <v>0</v>
      </c>
      <c r="CQ71" s="75">
        <f>(NOT(CQ$14=exit))*IF($E71=1,Rentroll!$P59*'A&amp;R'!$AF$12*Rentroll!$H59,Rentroll!$P59*'A&amp;R'!$AF$11*Rentroll!$H59)*(MONTH($D71)=MONTH(CQ$14))*(YEAR($D71)=YEAR(CQ$14))*CQ$11/unit</f>
        <v>0</v>
      </c>
      <c r="CR71" s="75">
        <f>(NOT(CR$14=exit))*IF($E71=1,Rentroll!$P59*'A&amp;R'!$AF$12*Rentroll!$H59,Rentroll!$P59*'A&amp;R'!$AF$11*Rentroll!$H59)*(MONTH($D71)=MONTH(CR$14))*(YEAR($D71)=YEAR(CR$14))*CR$11/unit</f>
        <v>0</v>
      </c>
      <c r="CS71" s="75">
        <f>(NOT(CS$14=exit))*IF($E71=1,Rentroll!$P59*'A&amp;R'!$AF$12*Rentroll!$H59,Rentroll!$P59*'A&amp;R'!$AF$11*Rentroll!$H59)*(MONTH($D71)=MONTH(CS$14))*(YEAR($D71)=YEAR(CS$14))*CS$11/unit</f>
        <v>0</v>
      </c>
      <c r="CT71" s="75">
        <f>(NOT(CT$14=exit))*IF($E71=1,Rentroll!$P59*'A&amp;R'!$AF$12*Rentroll!$H59,Rentroll!$P59*'A&amp;R'!$AF$11*Rentroll!$H59)*(MONTH($D71)=MONTH(CT$14))*(YEAR($D71)=YEAR(CT$14))*CT$11/unit</f>
        <v>0</v>
      </c>
      <c r="CU71" s="75">
        <f>(NOT(CU$14=exit))*IF($E71=1,Rentroll!$P59*'A&amp;R'!$AF$12*Rentroll!$H59,Rentroll!$P59*'A&amp;R'!$AF$11*Rentroll!$H59)*(MONTH($D71)=MONTH(CU$14))*(YEAR($D71)=YEAR(CU$14))*CU$11/unit</f>
        <v>0</v>
      </c>
      <c r="CV71" s="75">
        <f>(NOT(CV$14=exit))*IF($E71=1,Rentroll!$P59*'A&amp;R'!$AF$12*Rentroll!$H59,Rentroll!$P59*'A&amp;R'!$AF$11*Rentroll!$H59)*(MONTH($D71)=MONTH(CV$14))*(YEAR($D71)=YEAR(CV$14))*CV$11/unit</f>
        <v>0</v>
      </c>
      <c r="CW71" s="75">
        <f>(NOT(CW$14=exit))*IF($E71=1,Rentroll!$P59*'A&amp;R'!$AF$12*Rentroll!$H59,Rentroll!$P59*'A&amp;R'!$AF$11*Rentroll!$H59)*(MONTH($D71)=MONTH(CW$14))*(YEAR($D71)=YEAR(CW$14))*CW$11/unit</f>
        <v>0</v>
      </c>
      <c r="CX71" s="75">
        <f>(NOT(CX$14=exit))*IF($E71=1,Rentroll!$P59*'A&amp;R'!$AF$12*Rentroll!$H59,Rentroll!$P59*'A&amp;R'!$AF$11*Rentroll!$H59)*(MONTH($D71)=MONTH(CX$14))*(YEAR($D71)=YEAR(CX$14))*CX$11/unit</f>
        <v>0</v>
      </c>
      <c r="CY71" s="75">
        <f>(NOT(CY$14=exit))*IF($E71=1,Rentroll!$P59*'A&amp;R'!$AF$12*Rentroll!$H59,Rentroll!$P59*'A&amp;R'!$AF$11*Rentroll!$H59)*(MONTH($D71)=MONTH(CY$14))*(YEAR($D71)=YEAR(CY$14))*CY$11/unit</f>
        <v>0</v>
      </c>
      <c r="CZ71" s="75">
        <f>(NOT(CZ$14=exit))*IF($E71=1,Rentroll!$P59*'A&amp;R'!$AF$12*Rentroll!$H59,Rentroll!$P59*'A&amp;R'!$AF$11*Rentroll!$H59)*(MONTH($D71)=MONTH(CZ$14))*(YEAR($D71)=YEAR(CZ$14))*CZ$11/unit</f>
        <v>0</v>
      </c>
      <c r="DA71" s="75">
        <f>(NOT(DA$14=exit))*IF($E71=1,Rentroll!$P59*'A&amp;R'!$AF$12*Rentroll!$H59,Rentroll!$P59*'A&amp;R'!$AF$11*Rentroll!$H59)*(MONTH($D71)=MONTH(DA$14))*(YEAR($D71)=YEAR(DA$14))*DA$11/unit</f>
        <v>0</v>
      </c>
      <c r="DB71" s="75">
        <f>(NOT(DB$14=exit))*IF($E71=1,Rentroll!$P59*'A&amp;R'!$AF$12*Rentroll!$H59,Rentroll!$P59*'A&amp;R'!$AF$11*Rentroll!$H59)*(MONTH($D71)=MONTH(DB$14))*(YEAR($D71)=YEAR(DB$14))*DB$11/unit</f>
        <v>0</v>
      </c>
    </row>
    <row r="72" spans="2:106">
      <c r="C72" s="28">
        <f>Rentroll!$C$60</f>
        <v>0</v>
      </c>
      <c r="D72" s="204">
        <f>VLOOKUP($C72,Rentroll!$C$37:$Z$60,9,FALSE)</f>
        <v>0</v>
      </c>
      <c r="E72" s="205">
        <f>VLOOKUP($C72,Rentroll!$C$37:$Z$60,24,FALSE)</f>
        <v>0</v>
      </c>
      <c r="F72" s="75">
        <f t="shared" si="45"/>
        <v>0</v>
      </c>
      <c r="G72" s="75"/>
      <c r="H72" s="75">
        <f>(NOT(H$14=exit))*IF($E72=1,Rentroll!$P60*'A&amp;R'!$AF$12*Rentroll!$H60,Rentroll!$P60*'A&amp;R'!$AF$11*Rentroll!$H60)*(MONTH($D72)=MONTH(H$14))*(YEAR($D72)=YEAR(H$14))*H$11/unit</f>
        <v>0</v>
      </c>
      <c r="I72" s="75">
        <f>(NOT(I$14=exit))*IF($E72=1,Rentroll!$P60*'A&amp;R'!$AF$12*Rentroll!$H60,Rentroll!$P60*'A&amp;R'!$AF$11*Rentroll!$H60)*(MONTH($D72)=MONTH(I$14))*(YEAR($D72)=YEAR(I$14))*I$11/unit</f>
        <v>0</v>
      </c>
      <c r="J72" s="75">
        <f>(NOT(J$14=exit))*IF($E72=1,Rentroll!$P60*'A&amp;R'!$AF$12*Rentroll!$H60,Rentroll!$P60*'A&amp;R'!$AF$11*Rentroll!$H60)*(MONTH($D72)=MONTH(J$14))*(YEAR($D72)=YEAR(J$14))*J$11/unit</f>
        <v>0</v>
      </c>
      <c r="K72" s="75">
        <f>(NOT(K$14=exit))*IF($E72=1,Rentroll!$P60*'A&amp;R'!$AF$12*Rentroll!$H60,Rentroll!$P60*'A&amp;R'!$AF$11*Rentroll!$H60)*(MONTH($D72)=MONTH(K$14))*(YEAR($D72)=YEAR(K$14))*K$11/unit</f>
        <v>0</v>
      </c>
      <c r="L72" s="75">
        <f>(NOT(L$14=exit))*IF($E72=1,Rentroll!$P60*'A&amp;R'!$AF$12*Rentroll!$H60,Rentroll!$P60*'A&amp;R'!$AF$11*Rentroll!$H60)*(MONTH($D72)=MONTH(L$14))*(YEAR($D72)=YEAR(L$14))*L$11/unit</f>
        <v>0</v>
      </c>
      <c r="M72" s="75">
        <f>(NOT(M$14=exit))*IF($E72=1,Rentroll!$P60*'A&amp;R'!$AF$12*Rentroll!$H60,Rentroll!$P60*'A&amp;R'!$AF$11*Rentroll!$H60)*(MONTH($D72)=MONTH(M$14))*(YEAR($D72)=YEAR(M$14))*M$11/unit</f>
        <v>0</v>
      </c>
      <c r="N72" s="75">
        <f>(NOT(N$14=exit))*IF($E72=1,Rentroll!$P60*'A&amp;R'!$AF$12*Rentroll!$H60,Rentroll!$P60*'A&amp;R'!$AF$11*Rentroll!$H60)*(MONTH($D72)=MONTH(N$14))*(YEAR($D72)=YEAR(N$14))*N$11/unit</f>
        <v>0</v>
      </c>
      <c r="O72" s="75">
        <f>(NOT(O$14=exit))*IF($E72=1,Rentroll!$P60*'A&amp;R'!$AF$12*Rentroll!$H60,Rentroll!$P60*'A&amp;R'!$AF$11*Rentroll!$H60)*(MONTH($D72)=MONTH(O$14))*(YEAR($D72)=YEAR(O$14))*O$11/unit</f>
        <v>0</v>
      </c>
      <c r="P72" s="75">
        <f>(NOT(P$14=exit))*IF($E72=1,Rentroll!$P60*'A&amp;R'!$AF$12*Rentroll!$H60,Rentroll!$P60*'A&amp;R'!$AF$11*Rentroll!$H60)*(MONTH($D72)=MONTH(P$14))*(YEAR($D72)=YEAR(P$14))*P$11/unit</f>
        <v>0</v>
      </c>
      <c r="Q72" s="75">
        <f>(NOT(Q$14=exit))*IF($E72=1,Rentroll!$P60*'A&amp;R'!$AF$12*Rentroll!$H60,Rentroll!$P60*'A&amp;R'!$AF$11*Rentroll!$H60)*(MONTH($D72)=MONTH(Q$14))*(YEAR($D72)=YEAR(Q$14))*Q$11/unit</f>
        <v>0</v>
      </c>
      <c r="R72" s="75">
        <f>(NOT(R$14=exit))*IF($E72=1,Rentroll!$P60*'A&amp;R'!$AF$12*Rentroll!$H60,Rentroll!$P60*'A&amp;R'!$AF$11*Rentroll!$H60)*(MONTH($D72)=MONTH(R$14))*(YEAR($D72)=YEAR(R$14))*R$11/unit</f>
        <v>0</v>
      </c>
      <c r="S72" s="75">
        <f>(NOT(S$14=exit))*IF($E72=1,Rentroll!$P60*'A&amp;R'!$AF$12*Rentroll!$H60,Rentroll!$P60*'A&amp;R'!$AF$11*Rentroll!$H60)*(MONTH($D72)=MONTH(S$14))*(YEAR($D72)=YEAR(S$14))*S$11/unit</f>
        <v>0</v>
      </c>
      <c r="T72" s="75">
        <f>(NOT(T$14=exit))*IF($E72=1,Rentroll!$P60*'A&amp;R'!$AF$12*Rentroll!$H60,Rentroll!$P60*'A&amp;R'!$AF$11*Rentroll!$H60)*(MONTH($D72)=MONTH(T$14))*(YEAR($D72)=YEAR(T$14))*T$11/unit</f>
        <v>0</v>
      </c>
      <c r="U72" s="75">
        <f>(NOT(U$14=exit))*IF($E72=1,Rentroll!$P60*'A&amp;R'!$AF$12*Rentroll!$H60,Rentroll!$P60*'A&amp;R'!$AF$11*Rentroll!$H60)*(MONTH($D72)=MONTH(U$14))*(YEAR($D72)=YEAR(U$14))*U$11/unit</f>
        <v>0</v>
      </c>
      <c r="V72" s="75">
        <f>(NOT(V$14=exit))*IF($E72=1,Rentroll!$P60*'A&amp;R'!$AF$12*Rentroll!$H60,Rentroll!$P60*'A&amp;R'!$AF$11*Rentroll!$H60)*(MONTH($D72)=MONTH(V$14))*(YEAR($D72)=YEAR(V$14))*V$11/unit</f>
        <v>0</v>
      </c>
      <c r="W72" s="75">
        <f>(NOT(W$14=exit))*IF($E72=1,Rentroll!$P60*'A&amp;R'!$AF$12*Rentroll!$H60,Rentroll!$P60*'A&amp;R'!$AF$11*Rentroll!$H60)*(MONTH($D72)=MONTH(W$14))*(YEAR($D72)=YEAR(W$14))*W$11/unit</f>
        <v>0</v>
      </c>
      <c r="X72" s="75">
        <f>(NOT(X$14=exit))*IF($E72=1,Rentroll!$P60*'A&amp;R'!$AF$12*Rentroll!$H60,Rentroll!$P60*'A&amp;R'!$AF$11*Rentroll!$H60)*(MONTH($D72)=MONTH(X$14))*(YEAR($D72)=YEAR(X$14))*X$11/unit</f>
        <v>0</v>
      </c>
      <c r="Y72" s="75">
        <f>(NOT(Y$14=exit))*IF($E72=1,Rentroll!$P60*'A&amp;R'!$AF$12*Rentroll!$H60,Rentroll!$P60*'A&amp;R'!$AF$11*Rentroll!$H60)*(MONTH($D72)=MONTH(Y$14))*(YEAR($D72)=YEAR(Y$14))*Y$11/unit</f>
        <v>0</v>
      </c>
      <c r="Z72" s="75">
        <f>(NOT(Z$14=exit))*IF($E72=1,Rentroll!$P60*'A&amp;R'!$AF$12*Rentroll!$H60,Rentroll!$P60*'A&amp;R'!$AF$11*Rentroll!$H60)*(MONTH($D72)=MONTH(Z$14))*(YEAR($D72)=YEAR(Z$14))*Z$11/unit</f>
        <v>0</v>
      </c>
      <c r="AA72" s="75">
        <f>(NOT(AA$14=exit))*IF($E72=1,Rentroll!$P60*'A&amp;R'!$AF$12*Rentroll!$H60,Rentroll!$P60*'A&amp;R'!$AF$11*Rentroll!$H60)*(MONTH($D72)=MONTH(AA$14))*(YEAR($D72)=YEAR(AA$14))*AA$11/unit</f>
        <v>0</v>
      </c>
      <c r="AB72" s="75">
        <f>(NOT(AB$14=exit))*IF($E72=1,Rentroll!$P60*'A&amp;R'!$AF$12*Rentroll!$H60,Rentroll!$P60*'A&amp;R'!$AF$11*Rentroll!$H60)*(MONTH($D72)=MONTH(AB$14))*(YEAR($D72)=YEAR(AB$14))*AB$11/unit</f>
        <v>0</v>
      </c>
      <c r="AC72" s="75">
        <f>(NOT(AC$14=exit))*IF($E72=1,Rentroll!$P60*'A&amp;R'!$AF$12*Rentroll!$H60,Rentroll!$P60*'A&amp;R'!$AF$11*Rentroll!$H60)*(MONTH($D72)=MONTH(AC$14))*(YEAR($D72)=YEAR(AC$14))*AC$11/unit</f>
        <v>0</v>
      </c>
      <c r="AD72" s="75">
        <f>(NOT(AD$14=exit))*IF($E72=1,Rentroll!$P60*'A&amp;R'!$AF$12*Rentroll!$H60,Rentroll!$P60*'A&amp;R'!$AF$11*Rentroll!$H60)*(MONTH($D72)=MONTH(AD$14))*(YEAR($D72)=YEAR(AD$14))*AD$11/unit</f>
        <v>0</v>
      </c>
      <c r="AE72" s="75">
        <f>(NOT(AE$14=exit))*IF($E72=1,Rentroll!$P60*'A&amp;R'!$AF$12*Rentroll!$H60,Rentroll!$P60*'A&amp;R'!$AF$11*Rentroll!$H60)*(MONTH($D72)=MONTH(AE$14))*(YEAR($D72)=YEAR(AE$14))*AE$11/unit</f>
        <v>0</v>
      </c>
      <c r="AF72" s="75">
        <f>(NOT(AF$14=exit))*IF($E72=1,Rentroll!$P60*'A&amp;R'!$AF$12*Rentroll!$H60,Rentroll!$P60*'A&amp;R'!$AF$11*Rentroll!$H60)*(MONTH($D72)=MONTH(AF$14))*(YEAR($D72)=YEAR(AF$14))*AF$11/unit</f>
        <v>0</v>
      </c>
      <c r="AG72" s="75">
        <f>(NOT(AG$14=exit))*IF($E72=1,Rentroll!$P60*'A&amp;R'!$AF$12*Rentroll!$H60,Rentroll!$P60*'A&amp;R'!$AF$11*Rentroll!$H60)*(MONTH($D72)=MONTH(AG$14))*(YEAR($D72)=YEAR(AG$14))*AG$11/unit</f>
        <v>0</v>
      </c>
      <c r="AH72" s="75">
        <f>(NOT(AH$14=exit))*IF($E72=1,Rentroll!$P60*'A&amp;R'!$AF$12*Rentroll!$H60,Rentroll!$P60*'A&amp;R'!$AF$11*Rentroll!$H60)*(MONTH($D72)=MONTH(AH$14))*(YEAR($D72)=YEAR(AH$14))*AH$11/unit</f>
        <v>0</v>
      </c>
      <c r="AI72" s="75">
        <f>(NOT(AI$14=exit))*IF($E72=1,Rentroll!$P60*'A&amp;R'!$AF$12*Rentroll!$H60,Rentroll!$P60*'A&amp;R'!$AF$11*Rentroll!$H60)*(MONTH($D72)=MONTH(AI$14))*(YEAR($D72)=YEAR(AI$14))*AI$11/unit</f>
        <v>0</v>
      </c>
      <c r="AJ72" s="75">
        <f>(NOT(AJ$14=exit))*IF($E72=1,Rentroll!$P60*'A&amp;R'!$AF$12*Rentroll!$H60,Rentroll!$P60*'A&amp;R'!$AF$11*Rentroll!$H60)*(MONTH($D72)=MONTH(AJ$14))*(YEAR($D72)=YEAR(AJ$14))*AJ$11/unit</f>
        <v>0</v>
      </c>
      <c r="AK72" s="75">
        <f>(NOT(AK$14=exit))*IF($E72=1,Rentroll!$P60*'A&amp;R'!$AF$12*Rentroll!$H60,Rentroll!$P60*'A&amp;R'!$AF$11*Rentroll!$H60)*(MONTH($D72)=MONTH(AK$14))*(YEAR($D72)=YEAR(AK$14))*AK$11/unit</f>
        <v>0</v>
      </c>
      <c r="AL72" s="75">
        <f>(NOT(AL$14=exit))*IF($E72=1,Rentroll!$P60*'A&amp;R'!$AF$12*Rentroll!$H60,Rentroll!$P60*'A&amp;R'!$AF$11*Rentroll!$H60)*(MONTH($D72)=MONTH(AL$14))*(YEAR($D72)=YEAR(AL$14))*AL$11/unit</f>
        <v>0</v>
      </c>
      <c r="AM72" s="75">
        <f>(NOT(AM$14=exit))*IF($E72=1,Rentroll!$P60*'A&amp;R'!$AF$12*Rentroll!$H60,Rentroll!$P60*'A&amp;R'!$AF$11*Rentroll!$H60)*(MONTH($D72)=MONTH(AM$14))*(YEAR($D72)=YEAR(AM$14))*AM$11/unit</f>
        <v>0</v>
      </c>
      <c r="AN72" s="75">
        <f>(NOT(AN$14=exit))*IF($E72=1,Rentroll!$P60*'A&amp;R'!$AF$12*Rentroll!$H60,Rentroll!$P60*'A&amp;R'!$AF$11*Rentroll!$H60)*(MONTH($D72)=MONTH(AN$14))*(YEAR($D72)=YEAR(AN$14))*AN$11/unit</f>
        <v>0</v>
      </c>
      <c r="AO72" s="75">
        <f>(NOT(AO$14=exit))*IF($E72=1,Rentroll!$P60*'A&amp;R'!$AF$12*Rentroll!$H60,Rentroll!$P60*'A&amp;R'!$AF$11*Rentroll!$H60)*(MONTH($D72)=MONTH(AO$14))*(YEAR($D72)=YEAR(AO$14))*AO$11/unit</f>
        <v>0</v>
      </c>
      <c r="AP72" s="75">
        <f>(NOT(AP$14=exit))*IF($E72=1,Rentroll!$P60*'A&amp;R'!$AF$12*Rentroll!$H60,Rentroll!$P60*'A&amp;R'!$AF$11*Rentroll!$H60)*(MONTH($D72)=MONTH(AP$14))*(YEAR($D72)=YEAR(AP$14))*AP$11/unit</f>
        <v>0</v>
      </c>
      <c r="AQ72" s="75">
        <f>(NOT(AQ$14=exit))*IF($E72=1,Rentroll!$P60*'A&amp;R'!$AF$12*Rentroll!$H60,Rentroll!$P60*'A&amp;R'!$AF$11*Rentroll!$H60)*(MONTH($D72)=MONTH(AQ$14))*(YEAR($D72)=YEAR(AQ$14))*AQ$11/unit</f>
        <v>0</v>
      </c>
      <c r="AR72" s="75">
        <f>(NOT(AR$14=exit))*IF($E72=1,Rentroll!$P60*'A&amp;R'!$AF$12*Rentroll!$H60,Rentroll!$P60*'A&amp;R'!$AF$11*Rentroll!$H60)*(MONTH($D72)=MONTH(AR$14))*(YEAR($D72)=YEAR(AR$14))*AR$11/unit</f>
        <v>0</v>
      </c>
      <c r="AS72" s="75">
        <f>(NOT(AS$14=exit))*IF($E72=1,Rentroll!$P60*'A&amp;R'!$AF$12*Rentroll!$H60,Rentroll!$P60*'A&amp;R'!$AF$11*Rentroll!$H60)*(MONTH($D72)=MONTH(AS$14))*(YEAR($D72)=YEAR(AS$14))*AS$11/unit</f>
        <v>0</v>
      </c>
      <c r="AT72" s="75">
        <f>(NOT(AT$14=exit))*IF($E72=1,Rentroll!$P60*'A&amp;R'!$AF$12*Rentroll!$H60,Rentroll!$P60*'A&amp;R'!$AF$11*Rentroll!$H60)*(MONTH($D72)=MONTH(AT$14))*(YEAR($D72)=YEAR(AT$14))*AT$11/unit</f>
        <v>0</v>
      </c>
      <c r="AU72" s="75">
        <f>(NOT(AU$14=exit))*IF($E72=1,Rentroll!$P60*'A&amp;R'!$AF$12*Rentroll!$H60,Rentroll!$P60*'A&amp;R'!$AF$11*Rentroll!$H60)*(MONTH($D72)=MONTH(AU$14))*(YEAR($D72)=YEAR(AU$14))*AU$11/unit</f>
        <v>0</v>
      </c>
      <c r="AV72" s="75">
        <f>(NOT(AV$14=exit))*IF($E72=1,Rentroll!$P60*'A&amp;R'!$AF$12*Rentroll!$H60,Rentroll!$P60*'A&amp;R'!$AF$11*Rentroll!$H60)*(MONTH($D72)=MONTH(AV$14))*(YEAR($D72)=YEAR(AV$14))*AV$11/unit</f>
        <v>0</v>
      </c>
      <c r="AW72" s="75">
        <f>(NOT(AW$14=exit))*IF($E72=1,Rentroll!$P60*'A&amp;R'!$AF$12*Rentroll!$H60,Rentroll!$P60*'A&amp;R'!$AF$11*Rentroll!$H60)*(MONTH($D72)=MONTH(AW$14))*(YEAR($D72)=YEAR(AW$14))*AW$11/unit</f>
        <v>0</v>
      </c>
      <c r="AX72" s="75">
        <f>(NOT(AX$14=exit))*IF($E72=1,Rentroll!$P60*'A&amp;R'!$AF$12*Rentroll!$H60,Rentroll!$P60*'A&amp;R'!$AF$11*Rentroll!$H60)*(MONTH($D72)=MONTH(AX$14))*(YEAR($D72)=YEAR(AX$14))*AX$11/unit</f>
        <v>0</v>
      </c>
      <c r="AY72" s="75">
        <f>(NOT(AY$14=exit))*IF($E72=1,Rentroll!$P60*'A&amp;R'!$AF$12*Rentroll!$H60,Rentroll!$P60*'A&amp;R'!$AF$11*Rentroll!$H60)*(MONTH($D72)=MONTH(AY$14))*(YEAR($D72)=YEAR(AY$14))*AY$11/unit</f>
        <v>0</v>
      </c>
      <c r="AZ72" s="75">
        <f>(NOT(AZ$14=exit))*IF($E72=1,Rentroll!$P60*'A&amp;R'!$AF$12*Rentroll!$H60,Rentroll!$P60*'A&amp;R'!$AF$11*Rentroll!$H60)*(MONTH($D72)=MONTH(AZ$14))*(YEAR($D72)=YEAR(AZ$14))*AZ$11/unit</f>
        <v>0</v>
      </c>
      <c r="BA72" s="75">
        <f>(NOT(BA$14=exit))*IF($E72=1,Rentroll!$P60*'A&amp;R'!$AF$12*Rentroll!$H60,Rentroll!$P60*'A&amp;R'!$AF$11*Rentroll!$H60)*(MONTH($D72)=MONTH(BA$14))*(YEAR($D72)=YEAR(BA$14))*BA$11/unit</f>
        <v>0</v>
      </c>
      <c r="BB72" s="75">
        <f>(NOT(BB$14=exit))*IF($E72=1,Rentroll!$P60*'A&amp;R'!$AF$12*Rentroll!$H60,Rentroll!$P60*'A&amp;R'!$AF$11*Rentroll!$H60)*(MONTH($D72)=MONTH(BB$14))*(YEAR($D72)=YEAR(BB$14))*BB$11/unit</f>
        <v>0</v>
      </c>
      <c r="BC72" s="75">
        <f>(NOT(BC$14=exit))*IF($E72=1,Rentroll!$P60*'A&amp;R'!$AF$12*Rentroll!$H60,Rentroll!$P60*'A&amp;R'!$AF$11*Rentroll!$H60)*(MONTH($D72)=MONTH(BC$14))*(YEAR($D72)=YEAR(BC$14))*BC$11/unit</f>
        <v>0</v>
      </c>
      <c r="BD72" s="75">
        <f>(NOT(BD$14=exit))*IF($E72=1,Rentroll!$P60*'A&amp;R'!$AF$12*Rentroll!$H60,Rentroll!$P60*'A&amp;R'!$AF$11*Rentroll!$H60)*(MONTH($D72)=MONTH(BD$14))*(YEAR($D72)=YEAR(BD$14))*BD$11/unit</f>
        <v>0</v>
      </c>
      <c r="BE72" s="75">
        <f>(NOT(BE$14=exit))*IF($E72=1,Rentroll!$P60*'A&amp;R'!$AF$12*Rentroll!$H60,Rentroll!$P60*'A&amp;R'!$AF$11*Rentroll!$H60)*(MONTH($D72)=MONTH(BE$14))*(YEAR($D72)=YEAR(BE$14))*BE$11/unit</f>
        <v>0</v>
      </c>
      <c r="BF72" s="75">
        <f>(NOT(BF$14=exit))*IF($E72=1,Rentroll!$P60*'A&amp;R'!$AF$12*Rentroll!$H60,Rentroll!$P60*'A&amp;R'!$AF$11*Rentroll!$H60)*(MONTH($D72)=MONTH(BF$14))*(YEAR($D72)=YEAR(BF$14))*BF$11/unit</f>
        <v>0</v>
      </c>
      <c r="BG72" s="75">
        <f>(NOT(BG$14=exit))*IF($E72=1,Rentroll!$P60*'A&amp;R'!$AF$12*Rentroll!$H60,Rentroll!$P60*'A&amp;R'!$AF$11*Rentroll!$H60)*(MONTH($D72)=MONTH(BG$14))*(YEAR($D72)=YEAR(BG$14))*BG$11/unit</f>
        <v>0</v>
      </c>
      <c r="BH72" s="75">
        <f>(NOT(BH$14=exit))*IF($E72=1,Rentroll!$P60*'A&amp;R'!$AF$12*Rentroll!$H60,Rentroll!$P60*'A&amp;R'!$AF$11*Rentroll!$H60)*(MONTH($D72)=MONTH(BH$14))*(YEAR($D72)=YEAR(BH$14))*BH$11/unit</f>
        <v>0</v>
      </c>
      <c r="BI72" s="75">
        <f>(NOT(BI$14=exit))*IF($E72=1,Rentroll!$P60*'A&amp;R'!$AF$12*Rentroll!$H60,Rentroll!$P60*'A&amp;R'!$AF$11*Rentroll!$H60)*(MONTH($D72)=MONTH(BI$14))*(YEAR($D72)=YEAR(BI$14))*BI$11/unit</f>
        <v>0</v>
      </c>
      <c r="BJ72" s="75">
        <f>(NOT(BJ$14=exit))*IF($E72=1,Rentroll!$P60*'A&amp;R'!$AF$12*Rentroll!$H60,Rentroll!$P60*'A&amp;R'!$AF$11*Rentroll!$H60)*(MONTH($D72)=MONTH(BJ$14))*(YEAR($D72)=YEAR(BJ$14))*BJ$11/unit</f>
        <v>0</v>
      </c>
      <c r="BK72" s="75">
        <f>(NOT(BK$14=exit))*IF($E72=1,Rentroll!$P60*'A&amp;R'!$AF$12*Rentroll!$H60,Rentroll!$P60*'A&amp;R'!$AF$11*Rentroll!$H60)*(MONTH($D72)=MONTH(BK$14))*(YEAR($D72)=YEAR(BK$14))*BK$11/unit</f>
        <v>0</v>
      </c>
      <c r="BL72" s="75">
        <f>(NOT(BL$14=exit))*IF($E72=1,Rentroll!$P60*'A&amp;R'!$AF$12*Rentroll!$H60,Rentroll!$P60*'A&amp;R'!$AF$11*Rentroll!$H60)*(MONTH($D72)=MONTH(BL$14))*(YEAR($D72)=YEAR(BL$14))*BL$11/unit</f>
        <v>0</v>
      </c>
      <c r="BM72" s="75">
        <f>(NOT(BM$14=exit))*IF($E72=1,Rentroll!$P60*'A&amp;R'!$AF$12*Rentroll!$H60,Rentroll!$P60*'A&amp;R'!$AF$11*Rentroll!$H60)*(MONTH($D72)=MONTH(BM$14))*(YEAR($D72)=YEAR(BM$14))*BM$11/unit</f>
        <v>0</v>
      </c>
      <c r="BN72" s="75">
        <f>(NOT(BN$14=exit))*IF($E72=1,Rentroll!$P60*'A&amp;R'!$AF$12*Rentroll!$H60,Rentroll!$P60*'A&amp;R'!$AF$11*Rentroll!$H60)*(MONTH($D72)=MONTH(BN$14))*(YEAR($D72)=YEAR(BN$14))*BN$11/unit</f>
        <v>0</v>
      </c>
      <c r="BO72" s="75">
        <f>(NOT(BO$14=exit))*IF($E72=1,Rentroll!$P60*'A&amp;R'!$AF$12*Rentroll!$H60,Rentroll!$P60*'A&amp;R'!$AF$11*Rentroll!$H60)*(MONTH($D72)=MONTH(BO$14))*(YEAR($D72)=YEAR(BO$14))*BO$11/unit</f>
        <v>0</v>
      </c>
      <c r="BP72" s="75">
        <f>(NOT(BP$14=exit))*IF($E72=1,Rentroll!$P60*'A&amp;R'!$AF$12*Rentroll!$H60,Rentroll!$P60*'A&amp;R'!$AF$11*Rentroll!$H60)*(MONTH($D72)=MONTH(BP$14))*(YEAR($D72)=YEAR(BP$14))*BP$11/unit</f>
        <v>0</v>
      </c>
      <c r="BQ72" s="75">
        <f>(NOT(BQ$14=exit))*IF($E72=1,Rentroll!$P60*'A&amp;R'!$AF$12*Rentroll!$H60,Rentroll!$P60*'A&amp;R'!$AF$11*Rentroll!$H60)*(MONTH($D72)=MONTH(BQ$14))*(YEAR($D72)=YEAR(BQ$14))*BQ$11/unit</f>
        <v>0</v>
      </c>
      <c r="BR72" s="75">
        <f>(NOT(BR$14=exit))*IF($E72=1,Rentroll!$P60*'A&amp;R'!$AF$12*Rentroll!$H60,Rentroll!$P60*'A&amp;R'!$AF$11*Rentroll!$H60)*(MONTH($D72)=MONTH(BR$14))*(YEAR($D72)=YEAR(BR$14))*BR$11/unit</f>
        <v>0</v>
      </c>
      <c r="BS72" s="75">
        <f>(NOT(BS$14=exit))*IF($E72=1,Rentroll!$P60*'A&amp;R'!$AF$12*Rentroll!$H60,Rentroll!$P60*'A&amp;R'!$AF$11*Rentroll!$H60)*(MONTH($D72)=MONTH(BS$14))*(YEAR($D72)=YEAR(BS$14))*BS$11/unit</f>
        <v>0</v>
      </c>
      <c r="BT72" s="75">
        <f>(NOT(BT$14=exit))*IF($E72=1,Rentroll!$P60*'A&amp;R'!$AF$12*Rentroll!$H60,Rentroll!$P60*'A&amp;R'!$AF$11*Rentroll!$H60)*(MONTH($D72)=MONTH(BT$14))*(YEAR($D72)=YEAR(BT$14))*BT$11/unit</f>
        <v>0</v>
      </c>
      <c r="BU72" s="75">
        <f>(NOT(BU$14=exit))*IF($E72=1,Rentroll!$P60*'A&amp;R'!$AF$12*Rentroll!$H60,Rentroll!$P60*'A&amp;R'!$AF$11*Rentroll!$H60)*(MONTH($D72)=MONTH(BU$14))*(YEAR($D72)=YEAR(BU$14))*BU$11/unit</f>
        <v>0</v>
      </c>
      <c r="BV72" s="75">
        <f>(NOT(BV$14=exit))*IF($E72=1,Rentroll!$P60*'A&amp;R'!$AF$12*Rentroll!$H60,Rentroll!$P60*'A&amp;R'!$AF$11*Rentroll!$H60)*(MONTH($D72)=MONTH(BV$14))*(YEAR($D72)=YEAR(BV$14))*BV$11/unit</f>
        <v>0</v>
      </c>
      <c r="BW72" s="75">
        <f>(NOT(BW$14=exit))*IF($E72=1,Rentroll!$P60*'A&amp;R'!$AF$12*Rentroll!$H60,Rentroll!$P60*'A&amp;R'!$AF$11*Rentroll!$H60)*(MONTH($D72)=MONTH(BW$14))*(YEAR($D72)=YEAR(BW$14))*BW$11/unit</f>
        <v>0</v>
      </c>
      <c r="BX72" s="75">
        <f>(NOT(BX$14=exit))*IF($E72=1,Rentroll!$P60*'A&amp;R'!$AF$12*Rentroll!$H60,Rentroll!$P60*'A&amp;R'!$AF$11*Rentroll!$H60)*(MONTH($D72)=MONTH(BX$14))*(YEAR($D72)=YEAR(BX$14))*BX$11/unit</f>
        <v>0</v>
      </c>
      <c r="BY72" s="75">
        <f>(NOT(BY$14=exit))*IF($E72=1,Rentroll!$P60*'A&amp;R'!$AF$12*Rentroll!$H60,Rentroll!$P60*'A&amp;R'!$AF$11*Rentroll!$H60)*(MONTH($D72)=MONTH(BY$14))*(YEAR($D72)=YEAR(BY$14))*BY$11/unit</f>
        <v>0</v>
      </c>
      <c r="BZ72" s="75">
        <f>(NOT(BZ$14=exit))*IF($E72=1,Rentroll!$P60*'A&amp;R'!$AF$12*Rentroll!$H60,Rentroll!$P60*'A&amp;R'!$AF$11*Rentroll!$H60)*(MONTH($D72)=MONTH(BZ$14))*(YEAR($D72)=YEAR(BZ$14))*BZ$11/unit</f>
        <v>0</v>
      </c>
      <c r="CA72" s="75">
        <f>(NOT(CA$14=exit))*IF($E72=1,Rentroll!$P60*'A&amp;R'!$AF$12*Rentroll!$H60,Rentroll!$P60*'A&amp;R'!$AF$11*Rentroll!$H60)*(MONTH($D72)=MONTH(CA$14))*(YEAR($D72)=YEAR(CA$14))*CA$11/unit</f>
        <v>0</v>
      </c>
      <c r="CB72" s="75">
        <f>(NOT(CB$14=exit))*IF($E72=1,Rentroll!$P60*'A&amp;R'!$AF$12*Rentroll!$H60,Rentroll!$P60*'A&amp;R'!$AF$11*Rentroll!$H60)*(MONTH($D72)=MONTH(CB$14))*(YEAR($D72)=YEAR(CB$14))*CB$11/unit</f>
        <v>0</v>
      </c>
      <c r="CC72" s="75">
        <f>(NOT(CC$14=exit))*IF($E72=1,Rentroll!$P60*'A&amp;R'!$AF$12*Rentroll!$H60,Rentroll!$P60*'A&amp;R'!$AF$11*Rentroll!$H60)*(MONTH($D72)=MONTH(CC$14))*(YEAR($D72)=YEAR(CC$14))*CC$11/unit</f>
        <v>0</v>
      </c>
      <c r="CD72" s="75">
        <f>(NOT(CD$14=exit))*IF($E72=1,Rentroll!$P60*'A&amp;R'!$AF$12*Rentroll!$H60,Rentroll!$P60*'A&amp;R'!$AF$11*Rentroll!$H60)*(MONTH($D72)=MONTH(CD$14))*(YEAR($D72)=YEAR(CD$14))*CD$11/unit</f>
        <v>0</v>
      </c>
      <c r="CE72" s="75">
        <f>(NOT(CE$14=exit))*IF($E72=1,Rentroll!$P60*'A&amp;R'!$AF$12*Rentroll!$H60,Rentroll!$P60*'A&amp;R'!$AF$11*Rentroll!$H60)*(MONTH($D72)=MONTH(CE$14))*(YEAR($D72)=YEAR(CE$14))*CE$11/unit</f>
        <v>0</v>
      </c>
      <c r="CF72" s="75">
        <f>(NOT(CF$14=exit))*IF($E72=1,Rentroll!$P60*'A&amp;R'!$AF$12*Rentroll!$H60,Rentroll!$P60*'A&amp;R'!$AF$11*Rentroll!$H60)*(MONTH($D72)=MONTH(CF$14))*(YEAR($D72)=YEAR(CF$14))*CF$11/unit</f>
        <v>0</v>
      </c>
      <c r="CG72" s="75">
        <f>(NOT(CG$14=exit))*IF($E72=1,Rentroll!$P60*'A&amp;R'!$AF$12*Rentroll!$H60,Rentroll!$P60*'A&amp;R'!$AF$11*Rentroll!$H60)*(MONTH($D72)=MONTH(CG$14))*(YEAR($D72)=YEAR(CG$14))*CG$11/unit</f>
        <v>0</v>
      </c>
      <c r="CH72" s="75">
        <f>(NOT(CH$14=exit))*IF($E72=1,Rentroll!$P60*'A&amp;R'!$AF$12*Rentroll!$H60,Rentroll!$P60*'A&amp;R'!$AF$11*Rentroll!$H60)*(MONTH($D72)=MONTH(CH$14))*(YEAR($D72)=YEAR(CH$14))*CH$11/unit</f>
        <v>0</v>
      </c>
      <c r="CI72" s="75">
        <f>(NOT(CI$14=exit))*IF($E72=1,Rentroll!$P60*'A&amp;R'!$AF$12*Rentroll!$H60,Rentroll!$P60*'A&amp;R'!$AF$11*Rentroll!$H60)*(MONTH($D72)=MONTH(CI$14))*(YEAR($D72)=YEAR(CI$14))*CI$11/unit</f>
        <v>0</v>
      </c>
      <c r="CJ72" s="75">
        <f>(NOT(CJ$14=exit))*IF($E72=1,Rentroll!$P60*'A&amp;R'!$AF$12*Rentroll!$H60,Rentroll!$P60*'A&amp;R'!$AF$11*Rentroll!$H60)*(MONTH($D72)=MONTH(CJ$14))*(YEAR($D72)=YEAR(CJ$14))*CJ$11/unit</f>
        <v>0</v>
      </c>
      <c r="CK72" s="75">
        <f>(NOT(CK$14=exit))*IF($E72=1,Rentroll!$P60*'A&amp;R'!$AF$12*Rentroll!$H60,Rentroll!$P60*'A&amp;R'!$AF$11*Rentroll!$H60)*(MONTH($D72)=MONTH(CK$14))*(YEAR($D72)=YEAR(CK$14))*CK$11/unit</f>
        <v>0</v>
      </c>
      <c r="CL72" s="75">
        <f>(NOT(CL$14=exit))*IF($E72=1,Rentroll!$P60*'A&amp;R'!$AF$12*Rentroll!$H60,Rentroll!$P60*'A&amp;R'!$AF$11*Rentroll!$H60)*(MONTH($D72)=MONTH(CL$14))*(YEAR($D72)=YEAR(CL$14))*CL$11/unit</f>
        <v>0</v>
      </c>
      <c r="CM72" s="75">
        <f>(NOT(CM$14=exit))*IF($E72=1,Rentroll!$P60*'A&amp;R'!$AF$12*Rentroll!$H60,Rentroll!$P60*'A&amp;R'!$AF$11*Rentroll!$H60)*(MONTH($D72)=MONTH(CM$14))*(YEAR($D72)=YEAR(CM$14))*CM$11/unit</f>
        <v>0</v>
      </c>
      <c r="CN72" s="75">
        <f>(NOT(CN$14=exit))*IF($E72=1,Rentroll!$P60*'A&amp;R'!$AF$12*Rentroll!$H60,Rentroll!$P60*'A&amp;R'!$AF$11*Rentroll!$H60)*(MONTH($D72)=MONTH(CN$14))*(YEAR($D72)=YEAR(CN$14))*CN$11/unit</f>
        <v>0</v>
      </c>
      <c r="CO72" s="75">
        <f>(NOT(CO$14=exit))*IF($E72=1,Rentroll!$P60*'A&amp;R'!$AF$12*Rentroll!$H60,Rentroll!$P60*'A&amp;R'!$AF$11*Rentroll!$H60)*(MONTH($D72)=MONTH(CO$14))*(YEAR($D72)=YEAR(CO$14))*CO$11/unit</f>
        <v>0</v>
      </c>
      <c r="CP72" s="75">
        <f>(NOT(CP$14=exit))*IF($E72=1,Rentroll!$P60*'A&amp;R'!$AF$12*Rentroll!$H60,Rentroll!$P60*'A&amp;R'!$AF$11*Rentroll!$H60)*(MONTH($D72)=MONTH(CP$14))*(YEAR($D72)=YEAR(CP$14))*CP$11/unit</f>
        <v>0</v>
      </c>
      <c r="CQ72" s="75">
        <f>(NOT(CQ$14=exit))*IF($E72=1,Rentroll!$P60*'A&amp;R'!$AF$12*Rentroll!$H60,Rentroll!$P60*'A&amp;R'!$AF$11*Rentroll!$H60)*(MONTH($D72)=MONTH(CQ$14))*(YEAR($D72)=YEAR(CQ$14))*CQ$11/unit</f>
        <v>0</v>
      </c>
      <c r="CR72" s="75">
        <f>(NOT(CR$14=exit))*IF($E72=1,Rentroll!$P60*'A&amp;R'!$AF$12*Rentroll!$H60,Rentroll!$P60*'A&amp;R'!$AF$11*Rentroll!$H60)*(MONTH($D72)=MONTH(CR$14))*(YEAR($D72)=YEAR(CR$14))*CR$11/unit</f>
        <v>0</v>
      </c>
      <c r="CS72" s="75">
        <f>(NOT(CS$14=exit))*IF($E72=1,Rentroll!$P60*'A&amp;R'!$AF$12*Rentroll!$H60,Rentroll!$P60*'A&amp;R'!$AF$11*Rentroll!$H60)*(MONTH($D72)=MONTH(CS$14))*(YEAR($D72)=YEAR(CS$14))*CS$11/unit</f>
        <v>0</v>
      </c>
      <c r="CT72" s="75">
        <f>(NOT(CT$14=exit))*IF($E72=1,Rentroll!$P60*'A&amp;R'!$AF$12*Rentroll!$H60,Rentroll!$P60*'A&amp;R'!$AF$11*Rentroll!$H60)*(MONTH($D72)=MONTH(CT$14))*(YEAR($D72)=YEAR(CT$14))*CT$11/unit</f>
        <v>0</v>
      </c>
      <c r="CU72" s="75">
        <f>(NOT(CU$14=exit))*IF($E72=1,Rentroll!$P60*'A&amp;R'!$AF$12*Rentroll!$H60,Rentroll!$P60*'A&amp;R'!$AF$11*Rentroll!$H60)*(MONTH($D72)=MONTH(CU$14))*(YEAR($D72)=YEAR(CU$14))*CU$11/unit</f>
        <v>0</v>
      </c>
      <c r="CV72" s="75">
        <f>(NOT(CV$14=exit))*IF($E72=1,Rentroll!$P60*'A&amp;R'!$AF$12*Rentroll!$H60,Rentroll!$P60*'A&amp;R'!$AF$11*Rentroll!$H60)*(MONTH($D72)=MONTH(CV$14))*(YEAR($D72)=YEAR(CV$14))*CV$11/unit</f>
        <v>0</v>
      </c>
      <c r="CW72" s="75">
        <f>(NOT(CW$14=exit))*IF($E72=1,Rentroll!$P60*'A&amp;R'!$AF$12*Rentroll!$H60,Rentroll!$P60*'A&amp;R'!$AF$11*Rentroll!$H60)*(MONTH($D72)=MONTH(CW$14))*(YEAR($D72)=YEAR(CW$14))*CW$11/unit</f>
        <v>0</v>
      </c>
      <c r="CX72" s="75">
        <f>(NOT(CX$14=exit))*IF($E72=1,Rentroll!$P60*'A&amp;R'!$AF$12*Rentroll!$H60,Rentroll!$P60*'A&amp;R'!$AF$11*Rentroll!$H60)*(MONTH($D72)=MONTH(CX$14))*(YEAR($D72)=YEAR(CX$14))*CX$11/unit</f>
        <v>0</v>
      </c>
      <c r="CY72" s="75">
        <f>(NOT(CY$14=exit))*IF($E72=1,Rentroll!$P60*'A&amp;R'!$AF$12*Rentroll!$H60,Rentroll!$P60*'A&amp;R'!$AF$11*Rentroll!$H60)*(MONTH($D72)=MONTH(CY$14))*(YEAR($D72)=YEAR(CY$14))*CY$11/unit</f>
        <v>0</v>
      </c>
      <c r="CZ72" s="75">
        <f>(NOT(CZ$14=exit))*IF($E72=1,Rentroll!$P60*'A&amp;R'!$AF$12*Rentroll!$H60,Rentroll!$P60*'A&amp;R'!$AF$11*Rentroll!$H60)*(MONTH($D72)=MONTH(CZ$14))*(YEAR($D72)=YEAR(CZ$14))*CZ$11/unit</f>
        <v>0</v>
      </c>
      <c r="DA72" s="75">
        <f>(NOT(DA$14=exit))*IF($E72=1,Rentroll!$P60*'A&amp;R'!$AF$12*Rentroll!$H60,Rentroll!$P60*'A&amp;R'!$AF$11*Rentroll!$H60)*(MONTH($D72)=MONTH(DA$14))*(YEAR($D72)=YEAR(DA$14))*DA$11/unit</f>
        <v>0</v>
      </c>
      <c r="DB72" s="75">
        <f>(NOT(DB$14=exit))*IF($E72=1,Rentroll!$P60*'A&amp;R'!$AF$12*Rentroll!$H60,Rentroll!$P60*'A&amp;R'!$AF$11*Rentroll!$H60)*(MONTH($D72)=MONTH(DB$14))*(YEAR($D72)=YEAR(DB$14))*DB$11/unit</f>
        <v>0</v>
      </c>
    </row>
    <row r="73" spans="2:106">
      <c r="C73" s="96" t="s">
        <v>429</v>
      </c>
      <c r="D73" s="96"/>
      <c r="E73" s="96"/>
      <c r="F73" s="96">
        <f>SUM(H73:DB73)</f>
        <v>1020.7870858498441</v>
      </c>
      <c r="G73" s="96"/>
      <c r="H73" s="96">
        <f>SUM(H49:H72)</f>
        <v>0</v>
      </c>
      <c r="I73" s="96">
        <f t="shared" ref="I73:BT73" si="47">SUM(I49:I72)</f>
        <v>0</v>
      </c>
      <c r="J73" s="96">
        <f t="shared" si="47"/>
        <v>114.384194925</v>
      </c>
      <c r="K73" s="96">
        <f t="shared" si="47"/>
        <v>0</v>
      </c>
      <c r="L73" s="96">
        <f t="shared" si="47"/>
        <v>0</v>
      </c>
      <c r="M73" s="96">
        <f t="shared" si="47"/>
        <v>92.386948500000003</v>
      </c>
      <c r="N73" s="96">
        <f t="shared" si="47"/>
        <v>332.30075089750005</v>
      </c>
      <c r="O73" s="96">
        <f t="shared" si="47"/>
        <v>0</v>
      </c>
      <c r="P73" s="96">
        <f t="shared" si="47"/>
        <v>0</v>
      </c>
      <c r="Q73" s="96">
        <f t="shared" si="47"/>
        <v>0</v>
      </c>
      <c r="R73" s="96">
        <f t="shared" si="47"/>
        <v>0</v>
      </c>
      <c r="S73" s="96">
        <f t="shared" si="47"/>
        <v>0</v>
      </c>
      <c r="T73" s="96">
        <f t="shared" si="47"/>
        <v>0</v>
      </c>
      <c r="U73" s="96">
        <f t="shared" si="47"/>
        <v>0</v>
      </c>
      <c r="V73" s="96">
        <f t="shared" si="47"/>
        <v>0</v>
      </c>
      <c r="W73" s="96">
        <f t="shared" si="47"/>
        <v>0</v>
      </c>
      <c r="X73" s="96">
        <f t="shared" si="47"/>
        <v>0</v>
      </c>
      <c r="Y73" s="96">
        <f t="shared" si="47"/>
        <v>0</v>
      </c>
      <c r="Z73" s="96">
        <f t="shared" si="47"/>
        <v>0</v>
      </c>
      <c r="AA73" s="96">
        <f t="shared" si="47"/>
        <v>0</v>
      </c>
      <c r="AB73" s="96">
        <f t="shared" si="47"/>
        <v>0</v>
      </c>
      <c r="AC73" s="96">
        <f t="shared" si="47"/>
        <v>0</v>
      </c>
      <c r="AD73" s="96">
        <f t="shared" si="47"/>
        <v>0</v>
      </c>
      <c r="AE73" s="96">
        <f t="shared" si="47"/>
        <v>0</v>
      </c>
      <c r="AF73" s="96">
        <f t="shared" si="47"/>
        <v>32.09936022484537</v>
      </c>
      <c r="AG73" s="96">
        <f t="shared" si="47"/>
        <v>0</v>
      </c>
      <c r="AH73" s="96">
        <f t="shared" si="47"/>
        <v>264.40339997036835</v>
      </c>
      <c r="AI73" s="96">
        <f t="shared" si="47"/>
        <v>0</v>
      </c>
      <c r="AJ73" s="96">
        <f t="shared" si="47"/>
        <v>0</v>
      </c>
      <c r="AK73" s="96">
        <f t="shared" si="47"/>
        <v>0</v>
      </c>
      <c r="AL73" s="96">
        <f t="shared" si="47"/>
        <v>0</v>
      </c>
      <c r="AM73" s="96">
        <f t="shared" si="47"/>
        <v>0</v>
      </c>
      <c r="AN73" s="96">
        <f t="shared" si="47"/>
        <v>0</v>
      </c>
      <c r="AO73" s="96">
        <f t="shared" si="47"/>
        <v>0</v>
      </c>
      <c r="AP73" s="96">
        <f t="shared" si="47"/>
        <v>0</v>
      </c>
      <c r="AQ73" s="96">
        <f t="shared" si="47"/>
        <v>32.09936022484537</v>
      </c>
      <c r="AR73" s="96">
        <f t="shared" si="47"/>
        <v>0</v>
      </c>
      <c r="AS73" s="96">
        <f t="shared" si="47"/>
        <v>0</v>
      </c>
      <c r="AT73" s="96">
        <f t="shared" si="47"/>
        <v>0</v>
      </c>
      <c r="AU73" s="96">
        <f t="shared" si="47"/>
        <v>0</v>
      </c>
      <c r="AV73" s="96">
        <f t="shared" si="47"/>
        <v>90.778500656493108</v>
      </c>
      <c r="AW73" s="96">
        <f t="shared" si="47"/>
        <v>0</v>
      </c>
      <c r="AX73" s="96">
        <f t="shared" si="47"/>
        <v>0</v>
      </c>
      <c r="AY73" s="96">
        <f t="shared" si="47"/>
        <v>0</v>
      </c>
      <c r="AZ73" s="96">
        <f t="shared" si="47"/>
        <v>0</v>
      </c>
      <c r="BA73" s="96">
        <f t="shared" si="47"/>
        <v>0</v>
      </c>
      <c r="BB73" s="96">
        <f t="shared" si="47"/>
        <v>0</v>
      </c>
      <c r="BC73" s="96">
        <f t="shared" si="47"/>
        <v>0</v>
      </c>
      <c r="BD73" s="96">
        <f t="shared" si="47"/>
        <v>62.334570450791922</v>
      </c>
      <c r="BE73" s="96">
        <f t="shared" si="47"/>
        <v>0</v>
      </c>
      <c r="BF73" s="96">
        <f t="shared" si="47"/>
        <v>0</v>
      </c>
      <c r="BG73" s="96">
        <f t="shared" si="47"/>
        <v>0</v>
      </c>
      <c r="BH73" s="96">
        <f t="shared" si="47"/>
        <v>0</v>
      </c>
      <c r="BI73" s="96">
        <f t="shared" si="47"/>
        <v>0</v>
      </c>
      <c r="BJ73" s="96">
        <f t="shared" si="47"/>
        <v>0</v>
      </c>
      <c r="BK73" s="96">
        <f t="shared" si="47"/>
        <v>0</v>
      </c>
      <c r="BL73" s="96">
        <f t="shared" si="47"/>
        <v>0</v>
      </c>
      <c r="BM73" s="96">
        <f t="shared" si="47"/>
        <v>0</v>
      </c>
      <c r="BN73" s="96">
        <f t="shared" si="47"/>
        <v>0</v>
      </c>
      <c r="BO73" s="96">
        <f t="shared" si="47"/>
        <v>0</v>
      </c>
      <c r="BP73" s="96">
        <f t="shared" si="47"/>
        <v>0</v>
      </c>
      <c r="BQ73" s="96">
        <f t="shared" si="47"/>
        <v>0</v>
      </c>
      <c r="BR73" s="96">
        <f t="shared" si="47"/>
        <v>0</v>
      </c>
      <c r="BS73" s="96">
        <f t="shared" si="47"/>
        <v>0</v>
      </c>
      <c r="BT73" s="96">
        <f t="shared" si="47"/>
        <v>0</v>
      </c>
      <c r="BU73" s="96">
        <f t="shared" ref="BU73:DB73" si="48">SUM(BU49:BU72)</f>
        <v>0</v>
      </c>
      <c r="BV73" s="96">
        <f t="shared" si="48"/>
        <v>0</v>
      </c>
      <c r="BW73" s="96">
        <f t="shared" si="48"/>
        <v>0</v>
      </c>
      <c r="BX73" s="96">
        <f t="shared" si="48"/>
        <v>0</v>
      </c>
      <c r="BY73" s="96">
        <f t="shared" si="48"/>
        <v>0</v>
      </c>
      <c r="BZ73" s="96">
        <f t="shared" si="48"/>
        <v>0</v>
      </c>
      <c r="CA73" s="96">
        <f t="shared" si="48"/>
        <v>0</v>
      </c>
      <c r="CB73" s="96">
        <f t="shared" si="48"/>
        <v>0</v>
      </c>
      <c r="CC73" s="96">
        <f t="shared" si="48"/>
        <v>0</v>
      </c>
      <c r="CD73" s="96">
        <f t="shared" si="48"/>
        <v>0</v>
      </c>
      <c r="CE73" s="96">
        <f t="shared" si="48"/>
        <v>0</v>
      </c>
      <c r="CF73" s="96">
        <f t="shared" si="48"/>
        <v>0</v>
      </c>
      <c r="CG73" s="96">
        <f t="shared" si="48"/>
        <v>0</v>
      </c>
      <c r="CH73" s="96">
        <f t="shared" si="48"/>
        <v>0</v>
      </c>
      <c r="CI73" s="96">
        <f t="shared" si="48"/>
        <v>0</v>
      </c>
      <c r="CJ73" s="96">
        <f t="shared" si="48"/>
        <v>0</v>
      </c>
      <c r="CK73" s="96">
        <f t="shared" si="48"/>
        <v>0</v>
      </c>
      <c r="CL73" s="96">
        <f t="shared" si="48"/>
        <v>0</v>
      </c>
      <c r="CM73" s="96">
        <f t="shared" si="48"/>
        <v>0</v>
      </c>
      <c r="CN73" s="96">
        <f t="shared" si="48"/>
        <v>0</v>
      </c>
      <c r="CO73" s="96">
        <f t="shared" si="48"/>
        <v>0</v>
      </c>
      <c r="CP73" s="96">
        <f t="shared" si="48"/>
        <v>0</v>
      </c>
      <c r="CQ73" s="96">
        <f t="shared" si="48"/>
        <v>0</v>
      </c>
      <c r="CR73" s="96">
        <f t="shared" si="48"/>
        <v>0</v>
      </c>
      <c r="CS73" s="96">
        <f t="shared" si="48"/>
        <v>0</v>
      </c>
      <c r="CT73" s="96">
        <f t="shared" si="48"/>
        <v>0</v>
      </c>
      <c r="CU73" s="96">
        <f t="shared" si="48"/>
        <v>0</v>
      </c>
      <c r="CV73" s="96">
        <f t="shared" si="48"/>
        <v>0</v>
      </c>
      <c r="CW73" s="96">
        <f t="shared" si="48"/>
        <v>0</v>
      </c>
      <c r="CX73" s="96">
        <f t="shared" si="48"/>
        <v>0</v>
      </c>
      <c r="CY73" s="96">
        <f t="shared" si="48"/>
        <v>0</v>
      </c>
      <c r="CZ73" s="96">
        <f t="shared" si="48"/>
        <v>0</v>
      </c>
      <c r="DA73" s="96">
        <f t="shared" si="48"/>
        <v>0</v>
      </c>
      <c r="DB73" s="96">
        <f t="shared" si="48"/>
        <v>0</v>
      </c>
    </row>
    <row r="75" spans="2:106">
      <c r="B75" s="2" t="s">
        <v>491</v>
      </c>
    </row>
    <row r="76" spans="2:106">
      <c r="C76" s="70" t="s">
        <v>47</v>
      </c>
      <c r="D76" s="71" t="s">
        <v>237</v>
      </c>
      <c r="E76" s="71" t="s">
        <v>238</v>
      </c>
      <c r="F76" s="72" t="s">
        <v>240</v>
      </c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2"/>
      <c r="BL76" s="152"/>
      <c r="BM76" s="152"/>
      <c r="BN76" s="152"/>
      <c r="BO76" s="152"/>
      <c r="BP76" s="152"/>
      <c r="BQ76" s="152"/>
      <c r="BR76" s="152"/>
      <c r="BS76" s="152"/>
      <c r="BT76" s="152"/>
      <c r="BU76" s="152"/>
      <c r="BV76" s="152"/>
      <c r="BW76" s="152"/>
      <c r="BX76" s="152"/>
      <c r="BY76" s="152"/>
      <c r="BZ76" s="152"/>
      <c r="CA76" s="152"/>
      <c r="CB76" s="152"/>
      <c r="CC76" s="152"/>
      <c r="CD76" s="152"/>
      <c r="CE76" s="152"/>
      <c r="CF76" s="152"/>
      <c r="CG76" s="152"/>
      <c r="CH76" s="152"/>
      <c r="CI76" s="152"/>
      <c r="CJ76" s="152"/>
      <c r="CK76" s="152"/>
      <c r="CL76" s="152"/>
      <c r="CM76" s="152"/>
      <c r="CN76" s="152"/>
      <c r="CO76" s="152"/>
      <c r="CP76" s="152"/>
      <c r="CQ76" s="152"/>
      <c r="CR76" s="152"/>
      <c r="CS76" s="152"/>
      <c r="CT76" s="152"/>
      <c r="CU76" s="152"/>
      <c r="CV76" s="152"/>
      <c r="CW76" s="152"/>
      <c r="CX76" s="152"/>
      <c r="CY76" s="152"/>
      <c r="CZ76" s="152"/>
      <c r="DA76" s="152"/>
      <c r="DB76" s="152"/>
    </row>
    <row r="77" spans="2:106">
      <c r="C77" s="27">
        <f>Rentroll!$C$37</f>
        <v>17</v>
      </c>
      <c r="D77" s="80">
        <f>VLOOKUP($C77,Rentroll!$C$37:$Z$60,9,FALSE)</f>
        <v>47149</v>
      </c>
      <c r="E77" s="150">
        <f>VLOOKUP($C77,Rentroll!$C$37:$Z$60,24,FALSE)</f>
        <v>0</v>
      </c>
      <c r="F77" s="73">
        <f>SUM(H77:DB77)</f>
        <v>0</v>
      </c>
      <c r="G77" s="73"/>
      <c r="H77" s="73">
        <v>0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f>I49</f>
        <v>0</v>
      </c>
      <c r="P77" s="73">
        <f t="shared" ref="P77:T77" si="49">J49</f>
        <v>0</v>
      </c>
      <c r="Q77" s="73">
        <f t="shared" si="49"/>
        <v>0</v>
      </c>
      <c r="R77" s="73">
        <f t="shared" si="49"/>
        <v>0</v>
      </c>
      <c r="S77" s="73">
        <f t="shared" si="49"/>
        <v>0</v>
      </c>
      <c r="T77" s="73">
        <f t="shared" si="49"/>
        <v>0</v>
      </c>
      <c r="U77" s="73">
        <v>0</v>
      </c>
      <c r="V77" s="73">
        <v>0</v>
      </c>
      <c r="W77" s="73">
        <v>0</v>
      </c>
      <c r="X77" s="73">
        <v>0</v>
      </c>
      <c r="Y77" s="73">
        <v>0</v>
      </c>
      <c r="Z77" s="73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0</v>
      </c>
      <c r="AF77" s="73">
        <v>0</v>
      </c>
      <c r="AG77" s="73">
        <v>0</v>
      </c>
      <c r="AH77" s="73">
        <v>0</v>
      </c>
      <c r="AI77" s="73">
        <v>0</v>
      </c>
      <c r="AJ77" s="73">
        <v>0</v>
      </c>
      <c r="AK77" s="73">
        <v>0</v>
      </c>
      <c r="AL77" s="73">
        <v>0</v>
      </c>
      <c r="AM77" s="73">
        <v>0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3">
        <v>0</v>
      </c>
      <c r="AT77" s="73">
        <v>0</v>
      </c>
      <c r="AU77" s="73">
        <v>0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0</v>
      </c>
      <c r="BB77" s="73">
        <v>0</v>
      </c>
      <c r="BC77" s="73">
        <v>0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0</v>
      </c>
      <c r="BJ77" s="73">
        <v>0</v>
      </c>
      <c r="BK77" s="73">
        <v>0</v>
      </c>
      <c r="BL77" s="73">
        <v>0</v>
      </c>
      <c r="BM77" s="73">
        <v>0</v>
      </c>
      <c r="BN77" s="73">
        <v>0</v>
      </c>
      <c r="BO77" s="73">
        <v>0</v>
      </c>
      <c r="BP77" s="73">
        <v>0</v>
      </c>
      <c r="BQ77" s="73">
        <v>0</v>
      </c>
      <c r="BR77" s="73">
        <v>0</v>
      </c>
      <c r="BS77" s="73">
        <v>0</v>
      </c>
      <c r="BT77" s="73">
        <v>0</v>
      </c>
      <c r="BU77" s="73">
        <v>0</v>
      </c>
      <c r="BV77" s="73">
        <v>0</v>
      </c>
      <c r="BW77" s="73">
        <v>0</v>
      </c>
      <c r="BX77" s="73">
        <v>0</v>
      </c>
      <c r="BY77" s="73">
        <v>0</v>
      </c>
      <c r="BZ77" s="73">
        <v>0</v>
      </c>
      <c r="CA77" s="73">
        <v>0</v>
      </c>
      <c r="CB77" s="73">
        <v>0</v>
      </c>
      <c r="CC77" s="73">
        <v>0</v>
      </c>
      <c r="CD77" s="73">
        <v>0</v>
      </c>
      <c r="CE77" s="73">
        <v>0</v>
      </c>
      <c r="CF77" s="73">
        <v>0</v>
      </c>
      <c r="CG77" s="73">
        <v>0</v>
      </c>
      <c r="CH77" s="73">
        <v>0</v>
      </c>
      <c r="CI77" s="73">
        <v>0</v>
      </c>
      <c r="CJ77" s="73">
        <v>0</v>
      </c>
      <c r="CK77" s="73">
        <v>0</v>
      </c>
      <c r="CL77" s="73">
        <v>0</v>
      </c>
      <c r="CM77" s="73">
        <v>0</v>
      </c>
      <c r="CN77" s="73">
        <v>0</v>
      </c>
      <c r="CO77" s="73">
        <v>0</v>
      </c>
      <c r="CP77" s="73">
        <v>0</v>
      </c>
      <c r="CQ77" s="73">
        <v>0</v>
      </c>
      <c r="CR77" s="73">
        <v>0</v>
      </c>
      <c r="CS77" s="73">
        <v>0</v>
      </c>
      <c r="CT77" s="73">
        <v>0</v>
      </c>
      <c r="CU77" s="73">
        <v>0</v>
      </c>
      <c r="CV77" s="73">
        <v>0</v>
      </c>
      <c r="CW77" s="73">
        <v>0</v>
      </c>
      <c r="CX77" s="73">
        <v>0</v>
      </c>
      <c r="CY77" s="73">
        <v>0</v>
      </c>
      <c r="CZ77" s="73">
        <v>0</v>
      </c>
      <c r="DA77" s="73">
        <v>0</v>
      </c>
      <c r="DB77" s="73">
        <v>0</v>
      </c>
    </row>
    <row r="78" spans="2:106">
      <c r="C78" s="27">
        <f>Rentroll!$C$38</f>
        <v>16</v>
      </c>
      <c r="D78" s="80">
        <f>VLOOKUP($C78,Rentroll!$C$37:$Z$60,9,FALSE)</f>
        <v>47149</v>
      </c>
      <c r="E78" s="150">
        <f>VLOOKUP($C78,Rentroll!$C$37:$Z$60,24,FALSE)</f>
        <v>0</v>
      </c>
      <c r="F78" s="75">
        <f t="shared" ref="F78:F100" si="50">SUM(H78:DB78)</f>
        <v>0</v>
      </c>
      <c r="G78" s="75"/>
      <c r="H78" s="75">
        <v>0</v>
      </c>
      <c r="I78" s="75">
        <v>0</v>
      </c>
      <c r="J78" s="75">
        <v>0</v>
      </c>
      <c r="K78" s="75">
        <v>0</v>
      </c>
      <c r="L78" s="75">
        <v>0</v>
      </c>
      <c r="M78" s="75">
        <v>0</v>
      </c>
      <c r="N78" s="75">
        <v>0</v>
      </c>
      <c r="O78" s="75">
        <f t="shared" ref="O78:T78" si="51">I50</f>
        <v>0</v>
      </c>
      <c r="P78" s="75">
        <f t="shared" si="51"/>
        <v>0</v>
      </c>
      <c r="Q78" s="75">
        <f t="shared" si="51"/>
        <v>0</v>
      </c>
      <c r="R78" s="75">
        <f t="shared" si="51"/>
        <v>0</v>
      </c>
      <c r="S78" s="75">
        <f t="shared" si="51"/>
        <v>0</v>
      </c>
      <c r="T78" s="75">
        <f t="shared" si="51"/>
        <v>0</v>
      </c>
      <c r="U78" s="75">
        <v>0</v>
      </c>
      <c r="V78" s="75">
        <v>0</v>
      </c>
      <c r="W78" s="75">
        <v>0</v>
      </c>
      <c r="X78" s="75">
        <v>0</v>
      </c>
      <c r="Y78" s="75">
        <v>0</v>
      </c>
      <c r="Z78" s="75">
        <v>0</v>
      </c>
      <c r="AA78" s="75">
        <v>0</v>
      </c>
      <c r="AB78" s="75">
        <v>0</v>
      </c>
      <c r="AC78" s="75">
        <v>0</v>
      </c>
      <c r="AD78" s="75">
        <v>0</v>
      </c>
      <c r="AE78" s="75">
        <v>0</v>
      </c>
      <c r="AF78" s="75">
        <v>0</v>
      </c>
      <c r="AG78" s="75">
        <v>0</v>
      </c>
      <c r="AH78" s="75">
        <v>0</v>
      </c>
      <c r="AI78" s="75">
        <v>0</v>
      </c>
      <c r="AJ78" s="75">
        <v>0</v>
      </c>
      <c r="AK78" s="75">
        <v>0</v>
      </c>
      <c r="AL78" s="75">
        <v>0</v>
      </c>
      <c r="AM78" s="75">
        <v>0</v>
      </c>
      <c r="AN78" s="75">
        <v>0</v>
      </c>
      <c r="AO78" s="75">
        <v>0</v>
      </c>
      <c r="AP78" s="75">
        <v>0</v>
      </c>
      <c r="AQ78" s="75">
        <v>0</v>
      </c>
      <c r="AR78" s="75">
        <v>0</v>
      </c>
      <c r="AS78" s="75">
        <v>0</v>
      </c>
      <c r="AT78" s="75">
        <v>0</v>
      </c>
      <c r="AU78" s="75">
        <v>0</v>
      </c>
      <c r="AV78" s="75">
        <v>0</v>
      </c>
      <c r="AW78" s="75">
        <v>0</v>
      </c>
      <c r="AX78" s="75">
        <v>0</v>
      </c>
      <c r="AY78" s="75">
        <v>0</v>
      </c>
      <c r="AZ78" s="75">
        <v>0</v>
      </c>
      <c r="BA78" s="75">
        <v>0</v>
      </c>
      <c r="BB78" s="75">
        <v>0</v>
      </c>
      <c r="BC78" s="75">
        <v>0</v>
      </c>
      <c r="BD78" s="75">
        <v>0</v>
      </c>
      <c r="BE78" s="75">
        <v>0</v>
      </c>
      <c r="BF78" s="75">
        <v>0</v>
      </c>
      <c r="BG78" s="75">
        <v>0</v>
      </c>
      <c r="BH78" s="75">
        <v>0</v>
      </c>
      <c r="BI78" s="75">
        <v>0</v>
      </c>
      <c r="BJ78" s="75">
        <v>0</v>
      </c>
      <c r="BK78" s="75">
        <v>0</v>
      </c>
      <c r="BL78" s="75">
        <v>0</v>
      </c>
      <c r="BM78" s="75">
        <v>0</v>
      </c>
      <c r="BN78" s="75">
        <v>0</v>
      </c>
      <c r="BO78" s="75">
        <v>0</v>
      </c>
      <c r="BP78" s="75">
        <v>0</v>
      </c>
      <c r="BQ78" s="75">
        <v>0</v>
      </c>
      <c r="BR78" s="75">
        <v>0</v>
      </c>
      <c r="BS78" s="75">
        <v>0</v>
      </c>
      <c r="BT78" s="75">
        <v>0</v>
      </c>
      <c r="BU78" s="75">
        <v>0</v>
      </c>
      <c r="BV78" s="75">
        <v>0</v>
      </c>
      <c r="BW78" s="75">
        <v>0</v>
      </c>
      <c r="BX78" s="75">
        <v>0</v>
      </c>
      <c r="BY78" s="75">
        <v>0</v>
      </c>
      <c r="BZ78" s="75">
        <v>0</v>
      </c>
      <c r="CA78" s="75">
        <v>0</v>
      </c>
      <c r="CB78" s="75">
        <v>0</v>
      </c>
      <c r="CC78" s="75">
        <v>0</v>
      </c>
      <c r="CD78" s="75">
        <v>0</v>
      </c>
      <c r="CE78" s="75">
        <v>0</v>
      </c>
      <c r="CF78" s="75">
        <v>0</v>
      </c>
      <c r="CG78" s="75">
        <v>0</v>
      </c>
      <c r="CH78" s="75">
        <v>0</v>
      </c>
      <c r="CI78" s="75">
        <v>0</v>
      </c>
      <c r="CJ78" s="75">
        <v>0</v>
      </c>
      <c r="CK78" s="75">
        <v>0</v>
      </c>
      <c r="CL78" s="75">
        <v>0</v>
      </c>
      <c r="CM78" s="75">
        <v>0</v>
      </c>
      <c r="CN78" s="75">
        <v>0</v>
      </c>
      <c r="CO78" s="75">
        <v>0</v>
      </c>
      <c r="CP78" s="75">
        <v>0</v>
      </c>
      <c r="CQ78" s="75">
        <v>0</v>
      </c>
      <c r="CR78" s="75">
        <v>0</v>
      </c>
      <c r="CS78" s="75">
        <v>0</v>
      </c>
      <c r="CT78" s="75">
        <v>0</v>
      </c>
      <c r="CU78" s="75">
        <v>0</v>
      </c>
      <c r="CV78" s="75">
        <v>0</v>
      </c>
      <c r="CW78" s="75">
        <v>0</v>
      </c>
      <c r="CX78" s="75">
        <v>0</v>
      </c>
      <c r="CY78" s="75">
        <v>0</v>
      </c>
      <c r="CZ78" s="75">
        <v>0</v>
      </c>
      <c r="DA78" s="75">
        <v>0</v>
      </c>
      <c r="DB78" s="75">
        <v>0</v>
      </c>
    </row>
    <row r="79" spans="2:106">
      <c r="C79" s="27">
        <f>Rentroll!$C$39</f>
        <v>15</v>
      </c>
      <c r="D79" s="80">
        <f>VLOOKUP($C79,Rentroll!$C$37:$Z$60,9,FALSE)</f>
        <v>45869</v>
      </c>
      <c r="E79" s="150">
        <f>VLOOKUP($C79,Rentroll!$C$37:$Z$60,24,FALSE)</f>
        <v>1</v>
      </c>
      <c r="F79" s="75">
        <f t="shared" si="50"/>
        <v>83.075187724375013</v>
      </c>
      <c r="G79" s="75"/>
      <c r="H79" s="75">
        <v>0</v>
      </c>
      <c r="I79" s="75">
        <v>0</v>
      </c>
      <c r="J79" s="75">
        <v>0</v>
      </c>
      <c r="K79" s="75">
        <v>0</v>
      </c>
      <c r="L79" s="75">
        <v>0</v>
      </c>
      <c r="M79" s="75">
        <v>0</v>
      </c>
      <c r="N79" s="75">
        <v>0</v>
      </c>
      <c r="O79" s="75">
        <f t="shared" ref="O79:T79" si="52">I51</f>
        <v>0</v>
      </c>
      <c r="P79" s="75">
        <f t="shared" si="52"/>
        <v>0</v>
      </c>
      <c r="Q79" s="75">
        <f t="shared" si="52"/>
        <v>0</v>
      </c>
      <c r="R79" s="75">
        <f t="shared" si="52"/>
        <v>0</v>
      </c>
      <c r="S79" s="75">
        <f t="shared" si="52"/>
        <v>0</v>
      </c>
      <c r="T79" s="75">
        <f t="shared" si="52"/>
        <v>83.075187724375013</v>
      </c>
      <c r="U79" s="75">
        <v>0</v>
      </c>
      <c r="V79" s="75">
        <v>0</v>
      </c>
      <c r="W79" s="75">
        <v>0</v>
      </c>
      <c r="X79" s="75">
        <v>0</v>
      </c>
      <c r="Y79" s="75">
        <v>0</v>
      </c>
      <c r="Z79" s="75">
        <v>0</v>
      </c>
      <c r="AA79" s="75">
        <v>0</v>
      </c>
      <c r="AB79" s="75">
        <v>0</v>
      </c>
      <c r="AC79" s="75">
        <v>0</v>
      </c>
      <c r="AD79" s="75">
        <v>0</v>
      </c>
      <c r="AE79" s="75">
        <v>0</v>
      </c>
      <c r="AF79" s="75">
        <v>0</v>
      </c>
      <c r="AG79" s="75">
        <v>0</v>
      </c>
      <c r="AH79" s="75">
        <v>0</v>
      </c>
      <c r="AI79" s="75">
        <v>0</v>
      </c>
      <c r="AJ79" s="75">
        <v>0</v>
      </c>
      <c r="AK79" s="75">
        <v>0</v>
      </c>
      <c r="AL79" s="75">
        <v>0</v>
      </c>
      <c r="AM79" s="75">
        <v>0</v>
      </c>
      <c r="AN79" s="75">
        <v>0</v>
      </c>
      <c r="AO79" s="75">
        <v>0</v>
      </c>
      <c r="AP79" s="75">
        <v>0</v>
      </c>
      <c r="AQ79" s="75">
        <v>0</v>
      </c>
      <c r="AR79" s="75">
        <v>0</v>
      </c>
      <c r="AS79" s="75">
        <v>0</v>
      </c>
      <c r="AT79" s="75">
        <v>0</v>
      </c>
      <c r="AU79" s="75">
        <v>0</v>
      </c>
      <c r="AV79" s="75">
        <v>0</v>
      </c>
      <c r="AW79" s="75">
        <v>0</v>
      </c>
      <c r="AX79" s="75">
        <v>0</v>
      </c>
      <c r="AY79" s="75">
        <v>0</v>
      </c>
      <c r="AZ79" s="75">
        <v>0</v>
      </c>
      <c r="BA79" s="75">
        <v>0</v>
      </c>
      <c r="BB79" s="75">
        <v>0</v>
      </c>
      <c r="BC79" s="75">
        <v>0</v>
      </c>
      <c r="BD79" s="75">
        <v>0</v>
      </c>
      <c r="BE79" s="75">
        <v>0</v>
      </c>
      <c r="BF79" s="75">
        <v>0</v>
      </c>
      <c r="BG79" s="75">
        <v>0</v>
      </c>
      <c r="BH79" s="75">
        <v>0</v>
      </c>
      <c r="BI79" s="75">
        <v>0</v>
      </c>
      <c r="BJ79" s="75">
        <v>0</v>
      </c>
      <c r="BK79" s="75">
        <v>0</v>
      </c>
      <c r="BL79" s="75">
        <v>0</v>
      </c>
      <c r="BM79" s="75">
        <v>0</v>
      </c>
      <c r="BN79" s="75">
        <v>0</v>
      </c>
      <c r="BO79" s="75">
        <v>0</v>
      </c>
      <c r="BP79" s="75">
        <v>0</v>
      </c>
      <c r="BQ79" s="75">
        <v>0</v>
      </c>
      <c r="BR79" s="75">
        <v>0</v>
      </c>
      <c r="BS79" s="75">
        <v>0</v>
      </c>
      <c r="BT79" s="75">
        <v>0</v>
      </c>
      <c r="BU79" s="75">
        <v>0</v>
      </c>
      <c r="BV79" s="75">
        <v>0</v>
      </c>
      <c r="BW79" s="75">
        <v>0</v>
      </c>
      <c r="BX79" s="75">
        <v>0</v>
      </c>
      <c r="BY79" s="75">
        <v>0</v>
      </c>
      <c r="BZ79" s="75">
        <v>0</v>
      </c>
      <c r="CA79" s="75">
        <v>0</v>
      </c>
      <c r="CB79" s="75">
        <v>0</v>
      </c>
      <c r="CC79" s="75">
        <v>0</v>
      </c>
      <c r="CD79" s="75">
        <v>0</v>
      </c>
      <c r="CE79" s="75">
        <v>0</v>
      </c>
      <c r="CF79" s="75">
        <v>0</v>
      </c>
      <c r="CG79" s="75">
        <v>0</v>
      </c>
      <c r="CH79" s="75">
        <v>0</v>
      </c>
      <c r="CI79" s="75">
        <v>0</v>
      </c>
      <c r="CJ79" s="75">
        <v>0</v>
      </c>
      <c r="CK79" s="75">
        <v>0</v>
      </c>
      <c r="CL79" s="75">
        <v>0</v>
      </c>
      <c r="CM79" s="75">
        <v>0</v>
      </c>
      <c r="CN79" s="75">
        <v>0</v>
      </c>
      <c r="CO79" s="75">
        <v>0</v>
      </c>
      <c r="CP79" s="75">
        <v>0</v>
      </c>
      <c r="CQ79" s="75">
        <v>0</v>
      </c>
      <c r="CR79" s="75">
        <v>0</v>
      </c>
      <c r="CS79" s="75">
        <v>0</v>
      </c>
      <c r="CT79" s="75">
        <v>0</v>
      </c>
      <c r="CU79" s="75">
        <v>0</v>
      </c>
      <c r="CV79" s="75">
        <v>0</v>
      </c>
      <c r="CW79" s="75">
        <v>0</v>
      </c>
      <c r="CX79" s="75">
        <v>0</v>
      </c>
      <c r="CY79" s="75">
        <v>0</v>
      </c>
      <c r="CZ79" s="75">
        <v>0</v>
      </c>
      <c r="DA79" s="75">
        <v>0</v>
      </c>
      <c r="DB79" s="75">
        <v>0</v>
      </c>
    </row>
    <row r="80" spans="2:106">
      <c r="C80" s="27">
        <f>Rentroll!$C$40</f>
        <v>14</v>
      </c>
      <c r="D80" s="80">
        <f>VLOOKUP($C80,Rentroll!$C$37:$Z$60,9,FALSE)</f>
        <v>45869</v>
      </c>
      <c r="E80" s="150">
        <f>VLOOKUP($C80,Rentroll!$C$37:$Z$60,24,FALSE)</f>
        <v>1</v>
      </c>
      <c r="F80" s="75">
        <f t="shared" si="50"/>
        <v>83.075187724375013</v>
      </c>
      <c r="G80" s="75"/>
      <c r="H80" s="75">
        <v>0</v>
      </c>
      <c r="I80" s="75">
        <v>0</v>
      </c>
      <c r="J80" s="75">
        <v>0</v>
      </c>
      <c r="K80" s="75">
        <v>0</v>
      </c>
      <c r="L80" s="75">
        <v>0</v>
      </c>
      <c r="M80" s="75">
        <v>0</v>
      </c>
      <c r="N80" s="75">
        <v>0</v>
      </c>
      <c r="O80" s="75">
        <f t="shared" ref="O80:T80" si="53">I52</f>
        <v>0</v>
      </c>
      <c r="P80" s="75">
        <f t="shared" si="53"/>
        <v>0</v>
      </c>
      <c r="Q80" s="75">
        <f t="shared" si="53"/>
        <v>0</v>
      </c>
      <c r="R80" s="75">
        <f t="shared" si="53"/>
        <v>0</v>
      </c>
      <c r="S80" s="75">
        <f t="shared" si="53"/>
        <v>0</v>
      </c>
      <c r="T80" s="75">
        <f t="shared" si="53"/>
        <v>83.075187724375013</v>
      </c>
      <c r="U80" s="75">
        <v>0</v>
      </c>
      <c r="V80" s="75">
        <v>0</v>
      </c>
      <c r="W80" s="75">
        <v>0</v>
      </c>
      <c r="X80" s="75">
        <v>0</v>
      </c>
      <c r="Y80" s="75">
        <v>0</v>
      </c>
      <c r="Z80" s="75">
        <v>0</v>
      </c>
      <c r="AA80" s="75">
        <v>0</v>
      </c>
      <c r="AB80" s="75">
        <v>0</v>
      </c>
      <c r="AC80" s="75">
        <v>0</v>
      </c>
      <c r="AD80" s="75">
        <v>0</v>
      </c>
      <c r="AE80" s="75">
        <v>0</v>
      </c>
      <c r="AF80" s="75">
        <v>0</v>
      </c>
      <c r="AG80" s="75">
        <v>0</v>
      </c>
      <c r="AH80" s="75">
        <v>0</v>
      </c>
      <c r="AI80" s="75">
        <v>0</v>
      </c>
      <c r="AJ80" s="75">
        <v>0</v>
      </c>
      <c r="AK80" s="75">
        <v>0</v>
      </c>
      <c r="AL80" s="75">
        <v>0</v>
      </c>
      <c r="AM80" s="75">
        <v>0</v>
      </c>
      <c r="AN80" s="75">
        <v>0</v>
      </c>
      <c r="AO80" s="75">
        <v>0</v>
      </c>
      <c r="AP80" s="75">
        <v>0</v>
      </c>
      <c r="AQ80" s="75">
        <v>0</v>
      </c>
      <c r="AR80" s="75">
        <v>0</v>
      </c>
      <c r="AS80" s="75">
        <v>0</v>
      </c>
      <c r="AT80" s="75">
        <v>0</v>
      </c>
      <c r="AU80" s="75">
        <v>0</v>
      </c>
      <c r="AV80" s="75">
        <v>0</v>
      </c>
      <c r="AW80" s="75">
        <v>0</v>
      </c>
      <c r="AX80" s="75">
        <v>0</v>
      </c>
      <c r="AY80" s="75">
        <v>0</v>
      </c>
      <c r="AZ80" s="75">
        <v>0</v>
      </c>
      <c r="BA80" s="75">
        <v>0</v>
      </c>
      <c r="BB80" s="75">
        <v>0</v>
      </c>
      <c r="BC80" s="75">
        <v>0</v>
      </c>
      <c r="BD80" s="75">
        <v>0</v>
      </c>
      <c r="BE80" s="75">
        <v>0</v>
      </c>
      <c r="BF80" s="75">
        <v>0</v>
      </c>
      <c r="BG80" s="75">
        <v>0</v>
      </c>
      <c r="BH80" s="75">
        <v>0</v>
      </c>
      <c r="BI80" s="75">
        <v>0</v>
      </c>
      <c r="BJ80" s="75">
        <v>0</v>
      </c>
      <c r="BK80" s="75">
        <v>0</v>
      </c>
      <c r="BL80" s="75">
        <v>0</v>
      </c>
      <c r="BM80" s="75">
        <v>0</v>
      </c>
      <c r="BN80" s="75">
        <v>0</v>
      </c>
      <c r="BO80" s="75">
        <v>0</v>
      </c>
      <c r="BP80" s="75">
        <v>0</v>
      </c>
      <c r="BQ80" s="75">
        <v>0</v>
      </c>
      <c r="BR80" s="75">
        <v>0</v>
      </c>
      <c r="BS80" s="75">
        <v>0</v>
      </c>
      <c r="BT80" s="75">
        <v>0</v>
      </c>
      <c r="BU80" s="75">
        <v>0</v>
      </c>
      <c r="BV80" s="75">
        <v>0</v>
      </c>
      <c r="BW80" s="75">
        <v>0</v>
      </c>
      <c r="BX80" s="75">
        <v>0</v>
      </c>
      <c r="BY80" s="75">
        <v>0</v>
      </c>
      <c r="BZ80" s="75">
        <v>0</v>
      </c>
      <c r="CA80" s="75">
        <v>0</v>
      </c>
      <c r="CB80" s="75">
        <v>0</v>
      </c>
      <c r="CC80" s="75">
        <v>0</v>
      </c>
      <c r="CD80" s="75">
        <v>0</v>
      </c>
      <c r="CE80" s="75">
        <v>0</v>
      </c>
      <c r="CF80" s="75">
        <v>0</v>
      </c>
      <c r="CG80" s="75">
        <v>0</v>
      </c>
      <c r="CH80" s="75">
        <v>0</v>
      </c>
      <c r="CI80" s="75">
        <v>0</v>
      </c>
      <c r="CJ80" s="75">
        <v>0</v>
      </c>
      <c r="CK80" s="75">
        <v>0</v>
      </c>
      <c r="CL80" s="75">
        <v>0</v>
      </c>
      <c r="CM80" s="75">
        <v>0</v>
      </c>
      <c r="CN80" s="75">
        <v>0</v>
      </c>
      <c r="CO80" s="75">
        <v>0</v>
      </c>
      <c r="CP80" s="75">
        <v>0</v>
      </c>
      <c r="CQ80" s="75">
        <v>0</v>
      </c>
      <c r="CR80" s="75">
        <v>0</v>
      </c>
      <c r="CS80" s="75">
        <v>0</v>
      </c>
      <c r="CT80" s="75">
        <v>0</v>
      </c>
      <c r="CU80" s="75">
        <v>0</v>
      </c>
      <c r="CV80" s="75">
        <v>0</v>
      </c>
      <c r="CW80" s="75">
        <v>0</v>
      </c>
      <c r="CX80" s="75">
        <v>0</v>
      </c>
      <c r="CY80" s="75">
        <v>0</v>
      </c>
      <c r="CZ80" s="75">
        <v>0</v>
      </c>
      <c r="DA80" s="75">
        <v>0</v>
      </c>
      <c r="DB80" s="75">
        <v>0</v>
      </c>
    </row>
    <row r="81" spans="3:106">
      <c r="C81" s="27">
        <f>Rentroll!$C$41</f>
        <v>13</v>
      </c>
      <c r="D81" s="80">
        <f>VLOOKUP($C81,Rentroll!$C$37:$Z$60,9,FALSE)</f>
        <v>45869</v>
      </c>
      <c r="E81" s="150">
        <f>VLOOKUP($C81,Rentroll!$C$37:$Z$60,24,FALSE)</f>
        <v>1</v>
      </c>
      <c r="F81" s="75">
        <f t="shared" si="50"/>
        <v>83.075187724375013</v>
      </c>
      <c r="G81" s="75"/>
      <c r="H81" s="75">
        <v>0</v>
      </c>
      <c r="I81" s="75">
        <v>0</v>
      </c>
      <c r="J81" s="75">
        <v>0</v>
      </c>
      <c r="K81" s="75">
        <v>0</v>
      </c>
      <c r="L81" s="75">
        <v>0</v>
      </c>
      <c r="M81" s="75">
        <v>0</v>
      </c>
      <c r="N81" s="75">
        <v>0</v>
      </c>
      <c r="O81" s="75">
        <f t="shared" ref="O81:T81" si="54">I53</f>
        <v>0</v>
      </c>
      <c r="P81" s="75">
        <f t="shared" si="54"/>
        <v>0</v>
      </c>
      <c r="Q81" s="75">
        <f t="shared" si="54"/>
        <v>0</v>
      </c>
      <c r="R81" s="75">
        <f t="shared" si="54"/>
        <v>0</v>
      </c>
      <c r="S81" s="75">
        <f t="shared" si="54"/>
        <v>0</v>
      </c>
      <c r="T81" s="75">
        <f t="shared" si="54"/>
        <v>83.075187724375013</v>
      </c>
      <c r="U81" s="75">
        <v>0</v>
      </c>
      <c r="V81" s="75">
        <v>0</v>
      </c>
      <c r="W81" s="75">
        <v>0</v>
      </c>
      <c r="X81" s="75">
        <v>0</v>
      </c>
      <c r="Y81" s="75">
        <v>0</v>
      </c>
      <c r="Z81" s="75">
        <v>0</v>
      </c>
      <c r="AA81" s="75">
        <v>0</v>
      </c>
      <c r="AB81" s="75">
        <v>0</v>
      </c>
      <c r="AC81" s="75">
        <v>0</v>
      </c>
      <c r="AD81" s="75">
        <v>0</v>
      </c>
      <c r="AE81" s="75">
        <v>0</v>
      </c>
      <c r="AF81" s="75">
        <v>0</v>
      </c>
      <c r="AG81" s="75">
        <v>0</v>
      </c>
      <c r="AH81" s="75">
        <v>0</v>
      </c>
      <c r="AI81" s="75">
        <v>0</v>
      </c>
      <c r="AJ81" s="75">
        <v>0</v>
      </c>
      <c r="AK81" s="75">
        <v>0</v>
      </c>
      <c r="AL81" s="75">
        <v>0</v>
      </c>
      <c r="AM81" s="75">
        <v>0</v>
      </c>
      <c r="AN81" s="75">
        <v>0</v>
      </c>
      <c r="AO81" s="75">
        <v>0</v>
      </c>
      <c r="AP81" s="75">
        <v>0</v>
      </c>
      <c r="AQ81" s="75">
        <v>0</v>
      </c>
      <c r="AR81" s="75">
        <v>0</v>
      </c>
      <c r="AS81" s="75">
        <v>0</v>
      </c>
      <c r="AT81" s="75">
        <v>0</v>
      </c>
      <c r="AU81" s="75">
        <v>0</v>
      </c>
      <c r="AV81" s="75">
        <v>0</v>
      </c>
      <c r="AW81" s="75">
        <v>0</v>
      </c>
      <c r="AX81" s="75">
        <v>0</v>
      </c>
      <c r="AY81" s="75">
        <v>0</v>
      </c>
      <c r="AZ81" s="75">
        <v>0</v>
      </c>
      <c r="BA81" s="75">
        <v>0</v>
      </c>
      <c r="BB81" s="75">
        <v>0</v>
      </c>
      <c r="BC81" s="75">
        <v>0</v>
      </c>
      <c r="BD81" s="75">
        <v>0</v>
      </c>
      <c r="BE81" s="75">
        <v>0</v>
      </c>
      <c r="BF81" s="75">
        <v>0</v>
      </c>
      <c r="BG81" s="75">
        <v>0</v>
      </c>
      <c r="BH81" s="75">
        <v>0</v>
      </c>
      <c r="BI81" s="75">
        <v>0</v>
      </c>
      <c r="BJ81" s="75">
        <v>0</v>
      </c>
      <c r="BK81" s="75">
        <v>0</v>
      </c>
      <c r="BL81" s="75">
        <v>0</v>
      </c>
      <c r="BM81" s="75">
        <v>0</v>
      </c>
      <c r="BN81" s="75">
        <v>0</v>
      </c>
      <c r="BO81" s="75">
        <v>0</v>
      </c>
      <c r="BP81" s="75">
        <v>0</v>
      </c>
      <c r="BQ81" s="75">
        <v>0</v>
      </c>
      <c r="BR81" s="75">
        <v>0</v>
      </c>
      <c r="BS81" s="75">
        <v>0</v>
      </c>
      <c r="BT81" s="75">
        <v>0</v>
      </c>
      <c r="BU81" s="75">
        <v>0</v>
      </c>
      <c r="BV81" s="75">
        <v>0</v>
      </c>
      <c r="BW81" s="75">
        <v>0</v>
      </c>
      <c r="BX81" s="75">
        <v>0</v>
      </c>
      <c r="BY81" s="75">
        <v>0</v>
      </c>
      <c r="BZ81" s="75">
        <v>0</v>
      </c>
      <c r="CA81" s="75">
        <v>0</v>
      </c>
      <c r="CB81" s="75">
        <v>0</v>
      </c>
      <c r="CC81" s="75">
        <v>0</v>
      </c>
      <c r="CD81" s="75">
        <v>0</v>
      </c>
      <c r="CE81" s="75">
        <v>0</v>
      </c>
      <c r="CF81" s="75">
        <v>0</v>
      </c>
      <c r="CG81" s="75">
        <v>0</v>
      </c>
      <c r="CH81" s="75">
        <v>0</v>
      </c>
      <c r="CI81" s="75">
        <v>0</v>
      </c>
      <c r="CJ81" s="75">
        <v>0</v>
      </c>
      <c r="CK81" s="75">
        <v>0</v>
      </c>
      <c r="CL81" s="75">
        <v>0</v>
      </c>
      <c r="CM81" s="75">
        <v>0</v>
      </c>
      <c r="CN81" s="75">
        <v>0</v>
      </c>
      <c r="CO81" s="75">
        <v>0</v>
      </c>
      <c r="CP81" s="75">
        <v>0</v>
      </c>
      <c r="CQ81" s="75">
        <v>0</v>
      </c>
      <c r="CR81" s="75">
        <v>0</v>
      </c>
      <c r="CS81" s="75">
        <v>0</v>
      </c>
      <c r="CT81" s="75">
        <v>0</v>
      </c>
      <c r="CU81" s="75">
        <v>0</v>
      </c>
      <c r="CV81" s="75">
        <v>0</v>
      </c>
      <c r="CW81" s="75">
        <v>0</v>
      </c>
      <c r="CX81" s="75">
        <v>0</v>
      </c>
      <c r="CY81" s="75">
        <v>0</v>
      </c>
      <c r="CZ81" s="75">
        <v>0</v>
      </c>
      <c r="DA81" s="75">
        <v>0</v>
      </c>
      <c r="DB81" s="75">
        <v>0</v>
      </c>
    </row>
    <row r="82" spans="3:106">
      <c r="C82" s="27">
        <f>Rentroll!$C$42</f>
        <v>12</v>
      </c>
      <c r="D82" s="80">
        <f>VLOOKUP($C82,Rentroll!$C$37:$Z$60,9,FALSE)</f>
        <v>45869</v>
      </c>
      <c r="E82" s="150">
        <f>VLOOKUP($C82,Rentroll!$C$37:$Z$60,24,FALSE)</f>
        <v>1</v>
      </c>
      <c r="F82" s="75">
        <f t="shared" si="50"/>
        <v>83.075187724375013</v>
      </c>
      <c r="G82" s="75"/>
      <c r="H82" s="75">
        <v>0</v>
      </c>
      <c r="I82" s="75">
        <v>0</v>
      </c>
      <c r="J82" s="75">
        <v>0</v>
      </c>
      <c r="K82" s="75">
        <v>0</v>
      </c>
      <c r="L82" s="75">
        <v>0</v>
      </c>
      <c r="M82" s="75">
        <v>0</v>
      </c>
      <c r="N82" s="75">
        <v>0</v>
      </c>
      <c r="O82" s="75">
        <f t="shared" ref="O82:T82" si="55">I54</f>
        <v>0</v>
      </c>
      <c r="P82" s="75">
        <f t="shared" si="55"/>
        <v>0</v>
      </c>
      <c r="Q82" s="75">
        <f t="shared" si="55"/>
        <v>0</v>
      </c>
      <c r="R82" s="75">
        <f t="shared" si="55"/>
        <v>0</v>
      </c>
      <c r="S82" s="75">
        <f t="shared" si="55"/>
        <v>0</v>
      </c>
      <c r="T82" s="75">
        <f t="shared" si="55"/>
        <v>83.075187724375013</v>
      </c>
      <c r="U82" s="75">
        <v>0</v>
      </c>
      <c r="V82" s="75">
        <v>0</v>
      </c>
      <c r="W82" s="75">
        <v>0</v>
      </c>
      <c r="X82" s="75">
        <v>0</v>
      </c>
      <c r="Y82" s="75">
        <v>0</v>
      </c>
      <c r="Z82" s="75">
        <v>0</v>
      </c>
      <c r="AA82" s="75">
        <v>0</v>
      </c>
      <c r="AB82" s="75">
        <v>0</v>
      </c>
      <c r="AC82" s="75">
        <v>0</v>
      </c>
      <c r="AD82" s="75">
        <v>0</v>
      </c>
      <c r="AE82" s="75">
        <v>0</v>
      </c>
      <c r="AF82" s="75">
        <v>0</v>
      </c>
      <c r="AG82" s="75">
        <v>0</v>
      </c>
      <c r="AH82" s="75">
        <v>0</v>
      </c>
      <c r="AI82" s="75">
        <v>0</v>
      </c>
      <c r="AJ82" s="75">
        <v>0</v>
      </c>
      <c r="AK82" s="75">
        <v>0</v>
      </c>
      <c r="AL82" s="75">
        <v>0</v>
      </c>
      <c r="AM82" s="75">
        <v>0</v>
      </c>
      <c r="AN82" s="75">
        <v>0</v>
      </c>
      <c r="AO82" s="75">
        <v>0</v>
      </c>
      <c r="AP82" s="75">
        <v>0</v>
      </c>
      <c r="AQ82" s="75">
        <v>0</v>
      </c>
      <c r="AR82" s="75">
        <v>0</v>
      </c>
      <c r="AS82" s="75">
        <v>0</v>
      </c>
      <c r="AT82" s="75">
        <v>0</v>
      </c>
      <c r="AU82" s="75">
        <v>0</v>
      </c>
      <c r="AV82" s="75">
        <v>0</v>
      </c>
      <c r="AW82" s="75">
        <v>0</v>
      </c>
      <c r="AX82" s="75">
        <v>0</v>
      </c>
      <c r="AY82" s="75">
        <v>0</v>
      </c>
      <c r="AZ82" s="75">
        <v>0</v>
      </c>
      <c r="BA82" s="75">
        <v>0</v>
      </c>
      <c r="BB82" s="75">
        <v>0</v>
      </c>
      <c r="BC82" s="75">
        <v>0</v>
      </c>
      <c r="BD82" s="75">
        <v>0</v>
      </c>
      <c r="BE82" s="75">
        <v>0</v>
      </c>
      <c r="BF82" s="75">
        <v>0</v>
      </c>
      <c r="BG82" s="75">
        <v>0</v>
      </c>
      <c r="BH82" s="75">
        <v>0</v>
      </c>
      <c r="BI82" s="75">
        <v>0</v>
      </c>
      <c r="BJ82" s="75">
        <v>0</v>
      </c>
      <c r="BK82" s="75">
        <v>0</v>
      </c>
      <c r="BL82" s="75">
        <v>0</v>
      </c>
      <c r="BM82" s="75">
        <v>0</v>
      </c>
      <c r="BN82" s="75">
        <v>0</v>
      </c>
      <c r="BO82" s="75">
        <v>0</v>
      </c>
      <c r="BP82" s="75">
        <v>0</v>
      </c>
      <c r="BQ82" s="75">
        <v>0</v>
      </c>
      <c r="BR82" s="75">
        <v>0</v>
      </c>
      <c r="BS82" s="75">
        <v>0</v>
      </c>
      <c r="BT82" s="75">
        <v>0</v>
      </c>
      <c r="BU82" s="75">
        <v>0</v>
      </c>
      <c r="BV82" s="75">
        <v>0</v>
      </c>
      <c r="BW82" s="75">
        <v>0</v>
      </c>
      <c r="BX82" s="75">
        <v>0</v>
      </c>
      <c r="BY82" s="75">
        <v>0</v>
      </c>
      <c r="BZ82" s="75">
        <v>0</v>
      </c>
      <c r="CA82" s="75">
        <v>0</v>
      </c>
      <c r="CB82" s="75">
        <v>0</v>
      </c>
      <c r="CC82" s="75">
        <v>0</v>
      </c>
      <c r="CD82" s="75">
        <v>0</v>
      </c>
      <c r="CE82" s="75">
        <v>0</v>
      </c>
      <c r="CF82" s="75">
        <v>0</v>
      </c>
      <c r="CG82" s="75">
        <v>0</v>
      </c>
      <c r="CH82" s="75">
        <v>0</v>
      </c>
      <c r="CI82" s="75">
        <v>0</v>
      </c>
      <c r="CJ82" s="75">
        <v>0</v>
      </c>
      <c r="CK82" s="75">
        <v>0</v>
      </c>
      <c r="CL82" s="75">
        <v>0</v>
      </c>
      <c r="CM82" s="75">
        <v>0</v>
      </c>
      <c r="CN82" s="75">
        <v>0</v>
      </c>
      <c r="CO82" s="75">
        <v>0</v>
      </c>
      <c r="CP82" s="75">
        <v>0</v>
      </c>
      <c r="CQ82" s="75">
        <v>0</v>
      </c>
      <c r="CR82" s="75">
        <v>0</v>
      </c>
      <c r="CS82" s="75">
        <v>0</v>
      </c>
      <c r="CT82" s="75">
        <v>0</v>
      </c>
      <c r="CU82" s="75">
        <v>0</v>
      </c>
      <c r="CV82" s="75">
        <v>0</v>
      </c>
      <c r="CW82" s="75">
        <v>0</v>
      </c>
      <c r="CX82" s="75">
        <v>0</v>
      </c>
      <c r="CY82" s="75">
        <v>0</v>
      </c>
      <c r="CZ82" s="75">
        <v>0</v>
      </c>
      <c r="DA82" s="75">
        <v>0</v>
      </c>
      <c r="DB82" s="75">
        <v>0</v>
      </c>
    </row>
    <row r="83" spans="3:106">
      <c r="C83" s="27">
        <f>Rentroll!$C$43</f>
        <v>11</v>
      </c>
      <c r="D83" s="80">
        <f>VLOOKUP($C83,Rentroll!$C$37:$Z$60,9,FALSE)</f>
        <v>46904</v>
      </c>
      <c r="E83" s="150">
        <f>VLOOKUP($C83,Rentroll!$C$37:$Z$60,24,FALSE)</f>
        <v>0</v>
      </c>
      <c r="F83" s="75">
        <f t="shared" si="50"/>
        <v>0</v>
      </c>
      <c r="G83" s="75"/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f t="shared" ref="O83:T83" si="56">I55</f>
        <v>0</v>
      </c>
      <c r="P83" s="75">
        <f t="shared" si="56"/>
        <v>0</v>
      </c>
      <c r="Q83" s="75">
        <f t="shared" si="56"/>
        <v>0</v>
      </c>
      <c r="R83" s="75">
        <f t="shared" si="56"/>
        <v>0</v>
      </c>
      <c r="S83" s="75">
        <f t="shared" si="56"/>
        <v>0</v>
      </c>
      <c r="T83" s="75">
        <f t="shared" si="56"/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  <c r="AK83" s="75">
        <v>0</v>
      </c>
      <c r="AL83" s="75">
        <v>0</v>
      </c>
      <c r="AM83" s="75">
        <v>0</v>
      </c>
      <c r="AN83" s="75">
        <v>0</v>
      </c>
      <c r="AO83" s="75">
        <v>0</v>
      </c>
      <c r="AP83" s="75">
        <v>0</v>
      </c>
      <c r="AQ83" s="75">
        <v>0</v>
      </c>
      <c r="AR83" s="75">
        <v>0</v>
      </c>
      <c r="AS83" s="75">
        <v>0</v>
      </c>
      <c r="AT83" s="75">
        <v>0</v>
      </c>
      <c r="AU83" s="75">
        <v>0</v>
      </c>
      <c r="AV83" s="75">
        <v>0</v>
      </c>
      <c r="AW83" s="75">
        <v>0</v>
      </c>
      <c r="AX83" s="75">
        <v>0</v>
      </c>
      <c r="AY83" s="75">
        <v>0</v>
      </c>
      <c r="AZ83" s="75">
        <v>0</v>
      </c>
      <c r="BA83" s="75">
        <v>0</v>
      </c>
      <c r="BB83" s="75">
        <v>0</v>
      </c>
      <c r="BC83" s="75">
        <v>0</v>
      </c>
      <c r="BD83" s="75">
        <v>0</v>
      </c>
      <c r="BE83" s="75">
        <v>0</v>
      </c>
      <c r="BF83" s="75">
        <v>0</v>
      </c>
      <c r="BG83" s="75">
        <v>0</v>
      </c>
      <c r="BH83" s="75">
        <v>0</v>
      </c>
      <c r="BI83" s="75">
        <v>0</v>
      </c>
      <c r="BJ83" s="75">
        <v>0</v>
      </c>
      <c r="BK83" s="75">
        <v>0</v>
      </c>
      <c r="BL83" s="75">
        <v>0</v>
      </c>
      <c r="BM83" s="75">
        <v>0</v>
      </c>
      <c r="BN83" s="75">
        <v>0</v>
      </c>
      <c r="BO83" s="75">
        <v>0</v>
      </c>
      <c r="BP83" s="75">
        <v>0</v>
      </c>
      <c r="BQ83" s="75">
        <v>0</v>
      </c>
      <c r="BR83" s="75">
        <v>0</v>
      </c>
      <c r="BS83" s="75">
        <v>0</v>
      </c>
      <c r="BT83" s="75">
        <v>0</v>
      </c>
      <c r="BU83" s="75">
        <v>0</v>
      </c>
      <c r="BV83" s="75">
        <v>0</v>
      </c>
      <c r="BW83" s="75">
        <v>0</v>
      </c>
      <c r="BX83" s="75">
        <v>0</v>
      </c>
      <c r="BY83" s="75">
        <v>0</v>
      </c>
      <c r="BZ83" s="75">
        <v>0</v>
      </c>
      <c r="CA83" s="75">
        <v>0</v>
      </c>
      <c r="CB83" s="75">
        <v>0</v>
      </c>
      <c r="CC83" s="75">
        <v>0</v>
      </c>
      <c r="CD83" s="75">
        <v>0</v>
      </c>
      <c r="CE83" s="75">
        <v>0</v>
      </c>
      <c r="CF83" s="75">
        <v>0</v>
      </c>
      <c r="CG83" s="75">
        <v>0</v>
      </c>
      <c r="CH83" s="75">
        <v>0</v>
      </c>
      <c r="CI83" s="75">
        <v>0</v>
      </c>
      <c r="CJ83" s="75">
        <v>0</v>
      </c>
      <c r="CK83" s="75">
        <v>0</v>
      </c>
      <c r="CL83" s="75">
        <v>0</v>
      </c>
      <c r="CM83" s="75">
        <v>0</v>
      </c>
      <c r="CN83" s="75">
        <v>0</v>
      </c>
      <c r="CO83" s="75">
        <v>0</v>
      </c>
      <c r="CP83" s="75">
        <v>0</v>
      </c>
      <c r="CQ83" s="75">
        <v>0</v>
      </c>
      <c r="CR83" s="75">
        <v>0</v>
      </c>
      <c r="CS83" s="75">
        <v>0</v>
      </c>
      <c r="CT83" s="75">
        <v>0</v>
      </c>
      <c r="CU83" s="75">
        <v>0</v>
      </c>
      <c r="CV83" s="75">
        <v>0</v>
      </c>
      <c r="CW83" s="75">
        <v>0</v>
      </c>
      <c r="CX83" s="75">
        <v>0</v>
      </c>
      <c r="CY83" s="75">
        <v>0</v>
      </c>
      <c r="CZ83" s="75">
        <v>0</v>
      </c>
      <c r="DA83" s="75">
        <v>0</v>
      </c>
      <c r="DB83" s="75">
        <v>0</v>
      </c>
    </row>
    <row r="84" spans="3:106">
      <c r="C84" s="27">
        <f>Rentroll!$C$44</f>
        <v>10</v>
      </c>
      <c r="D84" s="80">
        <f>VLOOKUP($C84,Rentroll!$C$37:$Z$60,9,FALSE)</f>
        <v>46904</v>
      </c>
      <c r="E84" s="150">
        <f>VLOOKUP($C84,Rentroll!$C$37:$Z$60,24,FALSE)</f>
        <v>0</v>
      </c>
      <c r="F84" s="75">
        <f t="shared" si="50"/>
        <v>0</v>
      </c>
      <c r="G84" s="75"/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f t="shared" ref="O84:T84" si="57">I56</f>
        <v>0</v>
      </c>
      <c r="P84" s="75">
        <f t="shared" si="57"/>
        <v>0</v>
      </c>
      <c r="Q84" s="75">
        <f t="shared" si="57"/>
        <v>0</v>
      </c>
      <c r="R84" s="75">
        <f t="shared" si="57"/>
        <v>0</v>
      </c>
      <c r="S84" s="75">
        <f t="shared" si="57"/>
        <v>0</v>
      </c>
      <c r="T84" s="75">
        <f t="shared" si="57"/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  <c r="AK84" s="75">
        <v>0</v>
      </c>
      <c r="AL84" s="75">
        <v>0</v>
      </c>
      <c r="AM84" s="75">
        <v>0</v>
      </c>
      <c r="AN84" s="75">
        <v>0</v>
      </c>
      <c r="AO84" s="75">
        <v>0</v>
      </c>
      <c r="AP84" s="75">
        <v>0</v>
      </c>
      <c r="AQ84" s="75">
        <v>0</v>
      </c>
      <c r="AR84" s="75">
        <v>0</v>
      </c>
      <c r="AS84" s="75">
        <v>0</v>
      </c>
      <c r="AT84" s="75">
        <v>0</v>
      </c>
      <c r="AU84" s="75">
        <v>0</v>
      </c>
      <c r="AV84" s="75">
        <v>0</v>
      </c>
      <c r="AW84" s="75">
        <v>0</v>
      </c>
      <c r="AX84" s="75">
        <v>0</v>
      </c>
      <c r="AY84" s="75">
        <v>0</v>
      </c>
      <c r="AZ84" s="75">
        <v>0</v>
      </c>
      <c r="BA84" s="75">
        <v>0</v>
      </c>
      <c r="BB84" s="75">
        <v>0</v>
      </c>
      <c r="BC84" s="75">
        <v>0</v>
      </c>
      <c r="BD84" s="75">
        <v>0</v>
      </c>
      <c r="BE84" s="75">
        <v>0</v>
      </c>
      <c r="BF84" s="75">
        <v>0</v>
      </c>
      <c r="BG84" s="75">
        <v>0</v>
      </c>
      <c r="BH84" s="75">
        <v>0</v>
      </c>
      <c r="BI84" s="75">
        <v>0</v>
      </c>
      <c r="BJ84" s="75">
        <v>0</v>
      </c>
      <c r="BK84" s="75">
        <v>0</v>
      </c>
      <c r="BL84" s="75">
        <v>0</v>
      </c>
      <c r="BM84" s="75">
        <v>0</v>
      </c>
      <c r="BN84" s="75">
        <v>0</v>
      </c>
      <c r="BO84" s="75">
        <v>0</v>
      </c>
      <c r="BP84" s="75">
        <v>0</v>
      </c>
      <c r="BQ84" s="75">
        <v>0</v>
      </c>
      <c r="BR84" s="75">
        <v>0</v>
      </c>
      <c r="BS84" s="75">
        <v>0</v>
      </c>
      <c r="BT84" s="75">
        <v>0</v>
      </c>
      <c r="BU84" s="75">
        <v>0</v>
      </c>
      <c r="BV84" s="75">
        <v>0</v>
      </c>
      <c r="BW84" s="75">
        <v>0</v>
      </c>
      <c r="BX84" s="75">
        <v>0</v>
      </c>
      <c r="BY84" s="75">
        <v>0</v>
      </c>
      <c r="BZ84" s="75">
        <v>0</v>
      </c>
      <c r="CA84" s="75">
        <v>0</v>
      </c>
      <c r="CB84" s="75">
        <v>0</v>
      </c>
      <c r="CC84" s="75">
        <v>0</v>
      </c>
      <c r="CD84" s="75">
        <v>0</v>
      </c>
      <c r="CE84" s="75">
        <v>0</v>
      </c>
      <c r="CF84" s="75">
        <v>0</v>
      </c>
      <c r="CG84" s="75">
        <v>0</v>
      </c>
      <c r="CH84" s="75">
        <v>0</v>
      </c>
      <c r="CI84" s="75">
        <v>0</v>
      </c>
      <c r="CJ84" s="75">
        <v>0</v>
      </c>
      <c r="CK84" s="75">
        <v>0</v>
      </c>
      <c r="CL84" s="75">
        <v>0</v>
      </c>
      <c r="CM84" s="75">
        <v>0</v>
      </c>
      <c r="CN84" s="75">
        <v>0</v>
      </c>
      <c r="CO84" s="75">
        <v>0</v>
      </c>
      <c r="CP84" s="75">
        <v>0</v>
      </c>
      <c r="CQ84" s="75">
        <v>0</v>
      </c>
      <c r="CR84" s="75">
        <v>0</v>
      </c>
      <c r="CS84" s="75">
        <v>0</v>
      </c>
      <c r="CT84" s="75">
        <v>0</v>
      </c>
      <c r="CU84" s="75">
        <v>0</v>
      </c>
      <c r="CV84" s="75">
        <v>0</v>
      </c>
      <c r="CW84" s="75">
        <v>0</v>
      </c>
      <c r="CX84" s="75">
        <v>0</v>
      </c>
      <c r="CY84" s="75">
        <v>0</v>
      </c>
      <c r="CZ84" s="75">
        <v>0</v>
      </c>
      <c r="DA84" s="75">
        <v>0</v>
      </c>
      <c r="DB84" s="75">
        <v>0</v>
      </c>
    </row>
    <row r="85" spans="3:106">
      <c r="C85" s="27">
        <f>Rentroll!$C$45</f>
        <v>9</v>
      </c>
      <c r="D85" s="80">
        <f>VLOOKUP($C85,Rentroll!$C$37:$Z$60,9,FALSE)</f>
        <v>46904</v>
      </c>
      <c r="E85" s="150">
        <f>VLOOKUP($C85,Rentroll!$C$37:$Z$60,24,FALSE)</f>
        <v>0</v>
      </c>
      <c r="F85" s="75">
        <f t="shared" si="50"/>
        <v>0</v>
      </c>
      <c r="G85" s="75"/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75">
        <v>0</v>
      </c>
      <c r="O85" s="75">
        <f t="shared" ref="O85:T85" si="58">I57</f>
        <v>0</v>
      </c>
      <c r="P85" s="75">
        <f t="shared" si="58"/>
        <v>0</v>
      </c>
      <c r="Q85" s="75">
        <f t="shared" si="58"/>
        <v>0</v>
      </c>
      <c r="R85" s="75">
        <f t="shared" si="58"/>
        <v>0</v>
      </c>
      <c r="S85" s="75">
        <f t="shared" si="58"/>
        <v>0</v>
      </c>
      <c r="T85" s="75">
        <f t="shared" si="58"/>
        <v>0</v>
      </c>
      <c r="U85" s="75">
        <v>0</v>
      </c>
      <c r="V85" s="75">
        <v>0</v>
      </c>
      <c r="W85" s="75">
        <v>0</v>
      </c>
      <c r="X85" s="75">
        <v>0</v>
      </c>
      <c r="Y85" s="75">
        <v>0</v>
      </c>
      <c r="Z85" s="75">
        <v>0</v>
      </c>
      <c r="AA85" s="75">
        <v>0</v>
      </c>
      <c r="AB85" s="75">
        <v>0</v>
      </c>
      <c r="AC85" s="75">
        <v>0</v>
      </c>
      <c r="AD85" s="75">
        <v>0</v>
      </c>
      <c r="AE85" s="75">
        <v>0</v>
      </c>
      <c r="AF85" s="75">
        <v>0</v>
      </c>
      <c r="AG85" s="75">
        <v>0</v>
      </c>
      <c r="AH85" s="75">
        <v>0</v>
      </c>
      <c r="AI85" s="75">
        <v>0</v>
      </c>
      <c r="AJ85" s="75">
        <v>0</v>
      </c>
      <c r="AK85" s="75">
        <v>0</v>
      </c>
      <c r="AL85" s="75">
        <v>0</v>
      </c>
      <c r="AM85" s="75">
        <v>0</v>
      </c>
      <c r="AN85" s="75">
        <v>0</v>
      </c>
      <c r="AO85" s="75">
        <v>0</v>
      </c>
      <c r="AP85" s="75">
        <v>0</v>
      </c>
      <c r="AQ85" s="75">
        <v>0</v>
      </c>
      <c r="AR85" s="75">
        <v>0</v>
      </c>
      <c r="AS85" s="75">
        <v>0</v>
      </c>
      <c r="AT85" s="75">
        <v>0</v>
      </c>
      <c r="AU85" s="75">
        <v>0</v>
      </c>
      <c r="AV85" s="75">
        <v>0</v>
      </c>
      <c r="AW85" s="75">
        <v>0</v>
      </c>
      <c r="AX85" s="75">
        <v>0</v>
      </c>
      <c r="AY85" s="75">
        <v>0</v>
      </c>
      <c r="AZ85" s="75">
        <v>0</v>
      </c>
      <c r="BA85" s="75">
        <v>0</v>
      </c>
      <c r="BB85" s="75">
        <v>0</v>
      </c>
      <c r="BC85" s="75">
        <v>0</v>
      </c>
      <c r="BD85" s="75">
        <v>0</v>
      </c>
      <c r="BE85" s="75">
        <v>0</v>
      </c>
      <c r="BF85" s="75">
        <v>0</v>
      </c>
      <c r="BG85" s="75">
        <v>0</v>
      </c>
      <c r="BH85" s="75">
        <v>0</v>
      </c>
      <c r="BI85" s="75">
        <v>0</v>
      </c>
      <c r="BJ85" s="75">
        <v>0</v>
      </c>
      <c r="BK85" s="75">
        <v>0</v>
      </c>
      <c r="BL85" s="75">
        <v>0</v>
      </c>
      <c r="BM85" s="75">
        <v>0</v>
      </c>
      <c r="BN85" s="75">
        <v>0</v>
      </c>
      <c r="BO85" s="75">
        <v>0</v>
      </c>
      <c r="BP85" s="75">
        <v>0</v>
      </c>
      <c r="BQ85" s="75">
        <v>0</v>
      </c>
      <c r="BR85" s="75">
        <v>0</v>
      </c>
      <c r="BS85" s="75">
        <v>0</v>
      </c>
      <c r="BT85" s="75">
        <v>0</v>
      </c>
      <c r="BU85" s="75">
        <v>0</v>
      </c>
      <c r="BV85" s="75">
        <v>0</v>
      </c>
      <c r="BW85" s="75">
        <v>0</v>
      </c>
      <c r="BX85" s="75">
        <v>0</v>
      </c>
      <c r="BY85" s="75">
        <v>0</v>
      </c>
      <c r="BZ85" s="75">
        <v>0</v>
      </c>
      <c r="CA85" s="75">
        <v>0</v>
      </c>
      <c r="CB85" s="75">
        <v>0</v>
      </c>
      <c r="CC85" s="75">
        <v>0</v>
      </c>
      <c r="CD85" s="75">
        <v>0</v>
      </c>
      <c r="CE85" s="75">
        <v>0</v>
      </c>
      <c r="CF85" s="75">
        <v>0</v>
      </c>
      <c r="CG85" s="75">
        <v>0</v>
      </c>
      <c r="CH85" s="75">
        <v>0</v>
      </c>
      <c r="CI85" s="75">
        <v>0</v>
      </c>
      <c r="CJ85" s="75">
        <v>0</v>
      </c>
      <c r="CK85" s="75">
        <v>0</v>
      </c>
      <c r="CL85" s="75">
        <v>0</v>
      </c>
      <c r="CM85" s="75">
        <v>0</v>
      </c>
      <c r="CN85" s="75">
        <v>0</v>
      </c>
      <c r="CO85" s="75">
        <v>0</v>
      </c>
      <c r="CP85" s="75">
        <v>0</v>
      </c>
      <c r="CQ85" s="75">
        <v>0</v>
      </c>
      <c r="CR85" s="75">
        <v>0</v>
      </c>
      <c r="CS85" s="75">
        <v>0</v>
      </c>
      <c r="CT85" s="75">
        <v>0</v>
      </c>
      <c r="CU85" s="75">
        <v>0</v>
      </c>
      <c r="CV85" s="75">
        <v>0</v>
      </c>
      <c r="CW85" s="75">
        <v>0</v>
      </c>
      <c r="CX85" s="75">
        <v>0</v>
      </c>
      <c r="CY85" s="75">
        <v>0</v>
      </c>
      <c r="CZ85" s="75">
        <v>0</v>
      </c>
      <c r="DA85" s="75">
        <v>0</v>
      </c>
      <c r="DB85" s="75">
        <v>0</v>
      </c>
    </row>
    <row r="86" spans="3:106">
      <c r="C86" s="27">
        <f>Rentroll!$C$46</f>
        <v>8</v>
      </c>
      <c r="D86" s="80">
        <f>VLOOKUP($C86,Rentroll!$C$37:$Z$60,9,FALSE)</f>
        <v>46477</v>
      </c>
      <c r="E86" s="150">
        <f>VLOOKUP($C86,Rentroll!$C$37:$Z$60,24,FALSE)</f>
        <v>1</v>
      </c>
      <c r="F86" s="75">
        <f t="shared" si="50"/>
        <v>0</v>
      </c>
      <c r="G86" s="75"/>
      <c r="H86" s="75">
        <v>0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f t="shared" ref="O86:T86" si="59">I58</f>
        <v>0</v>
      </c>
      <c r="P86" s="75">
        <f t="shared" si="59"/>
        <v>0</v>
      </c>
      <c r="Q86" s="75">
        <f t="shared" si="59"/>
        <v>0</v>
      </c>
      <c r="R86" s="75">
        <f t="shared" si="59"/>
        <v>0</v>
      </c>
      <c r="S86" s="75">
        <f t="shared" si="59"/>
        <v>0</v>
      </c>
      <c r="T86" s="75">
        <f t="shared" si="59"/>
        <v>0</v>
      </c>
      <c r="U86" s="75">
        <v>0</v>
      </c>
      <c r="V86" s="75">
        <v>0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0</v>
      </c>
      <c r="AD86" s="75">
        <v>0</v>
      </c>
      <c r="AE86" s="75">
        <v>0</v>
      </c>
      <c r="AF86" s="75">
        <v>0</v>
      </c>
      <c r="AG86" s="75">
        <v>0</v>
      </c>
      <c r="AH86" s="75">
        <v>0</v>
      </c>
      <c r="AI86" s="75">
        <v>0</v>
      </c>
      <c r="AJ86" s="75">
        <v>0</v>
      </c>
      <c r="AK86" s="75">
        <v>0</v>
      </c>
      <c r="AL86" s="75">
        <v>0</v>
      </c>
      <c r="AM86" s="75">
        <v>0</v>
      </c>
      <c r="AN86" s="75">
        <v>0</v>
      </c>
      <c r="AO86" s="75">
        <v>0</v>
      </c>
      <c r="AP86" s="75">
        <v>0</v>
      </c>
      <c r="AQ86" s="75">
        <v>0</v>
      </c>
      <c r="AR86" s="75">
        <v>0</v>
      </c>
      <c r="AS86" s="75">
        <v>0</v>
      </c>
      <c r="AT86" s="75">
        <v>0</v>
      </c>
      <c r="AU86" s="75">
        <v>0</v>
      </c>
      <c r="AV86" s="75">
        <v>0</v>
      </c>
      <c r="AW86" s="75">
        <v>0</v>
      </c>
      <c r="AX86" s="75">
        <v>0</v>
      </c>
      <c r="AY86" s="75">
        <v>0</v>
      </c>
      <c r="AZ86" s="75">
        <v>0</v>
      </c>
      <c r="BA86" s="75">
        <v>0</v>
      </c>
      <c r="BB86" s="75">
        <v>0</v>
      </c>
      <c r="BC86" s="75">
        <v>0</v>
      </c>
      <c r="BD86" s="75">
        <v>0</v>
      </c>
      <c r="BE86" s="75">
        <v>0</v>
      </c>
      <c r="BF86" s="75">
        <v>0</v>
      </c>
      <c r="BG86" s="75">
        <v>0</v>
      </c>
      <c r="BH86" s="75">
        <v>0</v>
      </c>
      <c r="BI86" s="75">
        <v>0</v>
      </c>
      <c r="BJ86" s="75">
        <v>0</v>
      </c>
      <c r="BK86" s="75">
        <v>0</v>
      </c>
      <c r="BL86" s="75">
        <v>0</v>
      </c>
      <c r="BM86" s="75">
        <v>0</v>
      </c>
      <c r="BN86" s="75">
        <v>0</v>
      </c>
      <c r="BO86" s="75">
        <v>0</v>
      </c>
      <c r="BP86" s="75">
        <v>0</v>
      </c>
      <c r="BQ86" s="75">
        <v>0</v>
      </c>
      <c r="BR86" s="75">
        <v>0</v>
      </c>
      <c r="BS86" s="75">
        <v>0</v>
      </c>
      <c r="BT86" s="75">
        <v>0</v>
      </c>
      <c r="BU86" s="75">
        <v>0</v>
      </c>
      <c r="BV86" s="75">
        <v>0</v>
      </c>
      <c r="BW86" s="75">
        <v>0</v>
      </c>
      <c r="BX86" s="75">
        <v>0</v>
      </c>
      <c r="BY86" s="75">
        <v>0</v>
      </c>
      <c r="BZ86" s="75">
        <v>0</v>
      </c>
      <c r="CA86" s="75">
        <v>0</v>
      </c>
      <c r="CB86" s="75">
        <v>0</v>
      </c>
      <c r="CC86" s="75">
        <v>0</v>
      </c>
      <c r="CD86" s="75">
        <v>0</v>
      </c>
      <c r="CE86" s="75">
        <v>0</v>
      </c>
      <c r="CF86" s="75">
        <v>0</v>
      </c>
      <c r="CG86" s="75">
        <v>0</v>
      </c>
      <c r="CH86" s="75">
        <v>0</v>
      </c>
      <c r="CI86" s="75">
        <v>0</v>
      </c>
      <c r="CJ86" s="75">
        <v>0</v>
      </c>
      <c r="CK86" s="75">
        <v>0</v>
      </c>
      <c r="CL86" s="75">
        <v>0</v>
      </c>
      <c r="CM86" s="75">
        <v>0</v>
      </c>
      <c r="CN86" s="75">
        <v>0</v>
      </c>
      <c r="CO86" s="75">
        <v>0</v>
      </c>
      <c r="CP86" s="75">
        <v>0</v>
      </c>
      <c r="CQ86" s="75">
        <v>0</v>
      </c>
      <c r="CR86" s="75">
        <v>0</v>
      </c>
      <c r="CS86" s="75">
        <v>0</v>
      </c>
      <c r="CT86" s="75">
        <v>0</v>
      </c>
      <c r="CU86" s="75">
        <v>0</v>
      </c>
      <c r="CV86" s="75">
        <v>0</v>
      </c>
      <c r="CW86" s="75">
        <v>0</v>
      </c>
      <c r="CX86" s="75">
        <v>0</v>
      </c>
      <c r="CY86" s="75">
        <v>0</v>
      </c>
      <c r="CZ86" s="75">
        <v>0</v>
      </c>
      <c r="DA86" s="75">
        <v>0</v>
      </c>
      <c r="DB86" s="75">
        <v>0</v>
      </c>
    </row>
    <row r="87" spans="3:106">
      <c r="C87" s="27">
        <f>Rentroll!$C$47</f>
        <v>7</v>
      </c>
      <c r="D87" s="80">
        <f>VLOOKUP($C87,Rentroll!$C$37:$Z$60,9,FALSE)</f>
        <v>46477</v>
      </c>
      <c r="E87" s="150">
        <f>VLOOKUP($C87,Rentroll!$C$37:$Z$60,24,FALSE)</f>
        <v>1</v>
      </c>
      <c r="F87" s="75">
        <f t="shared" si="50"/>
        <v>0</v>
      </c>
      <c r="G87" s="75"/>
      <c r="H87" s="75">
        <v>0</v>
      </c>
      <c r="I87" s="75">
        <v>0</v>
      </c>
      <c r="J87" s="75">
        <v>0</v>
      </c>
      <c r="K87" s="75">
        <v>0</v>
      </c>
      <c r="L87" s="75">
        <v>0</v>
      </c>
      <c r="M87" s="75">
        <v>0</v>
      </c>
      <c r="N87" s="75">
        <v>0</v>
      </c>
      <c r="O87" s="75">
        <f t="shared" ref="O87:T87" si="60">I59</f>
        <v>0</v>
      </c>
      <c r="P87" s="75">
        <f t="shared" si="60"/>
        <v>0</v>
      </c>
      <c r="Q87" s="75">
        <f t="shared" si="60"/>
        <v>0</v>
      </c>
      <c r="R87" s="75">
        <f t="shared" si="60"/>
        <v>0</v>
      </c>
      <c r="S87" s="75">
        <f t="shared" si="60"/>
        <v>0</v>
      </c>
      <c r="T87" s="75">
        <f t="shared" si="60"/>
        <v>0</v>
      </c>
      <c r="U87" s="75">
        <v>0</v>
      </c>
      <c r="V87" s="75">
        <v>0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0</v>
      </c>
      <c r="AE87" s="75">
        <v>0</v>
      </c>
      <c r="AF87" s="75">
        <v>0</v>
      </c>
      <c r="AG87" s="75">
        <v>0</v>
      </c>
      <c r="AH87" s="75">
        <v>0</v>
      </c>
      <c r="AI87" s="75">
        <v>0</v>
      </c>
      <c r="AJ87" s="75">
        <v>0</v>
      </c>
      <c r="AK87" s="75">
        <v>0</v>
      </c>
      <c r="AL87" s="75">
        <v>0</v>
      </c>
      <c r="AM87" s="75">
        <v>0</v>
      </c>
      <c r="AN87" s="75">
        <v>0</v>
      </c>
      <c r="AO87" s="75">
        <v>0</v>
      </c>
      <c r="AP87" s="75">
        <v>0</v>
      </c>
      <c r="AQ87" s="75">
        <v>0</v>
      </c>
      <c r="AR87" s="75">
        <v>0</v>
      </c>
      <c r="AS87" s="75">
        <v>0</v>
      </c>
      <c r="AT87" s="75">
        <v>0</v>
      </c>
      <c r="AU87" s="75">
        <v>0</v>
      </c>
      <c r="AV87" s="75">
        <v>0</v>
      </c>
      <c r="AW87" s="75">
        <v>0</v>
      </c>
      <c r="AX87" s="75">
        <v>0</v>
      </c>
      <c r="AY87" s="75">
        <v>0</v>
      </c>
      <c r="AZ87" s="75">
        <v>0</v>
      </c>
      <c r="BA87" s="75">
        <v>0</v>
      </c>
      <c r="BB87" s="75">
        <v>0</v>
      </c>
      <c r="BC87" s="75">
        <v>0</v>
      </c>
      <c r="BD87" s="75">
        <v>0</v>
      </c>
      <c r="BE87" s="75">
        <v>0</v>
      </c>
      <c r="BF87" s="75">
        <v>0</v>
      </c>
      <c r="BG87" s="75">
        <v>0</v>
      </c>
      <c r="BH87" s="75">
        <v>0</v>
      </c>
      <c r="BI87" s="75">
        <v>0</v>
      </c>
      <c r="BJ87" s="75">
        <v>0</v>
      </c>
      <c r="BK87" s="75">
        <v>0</v>
      </c>
      <c r="BL87" s="75">
        <v>0</v>
      </c>
      <c r="BM87" s="75">
        <v>0</v>
      </c>
      <c r="BN87" s="75">
        <v>0</v>
      </c>
      <c r="BO87" s="75">
        <v>0</v>
      </c>
      <c r="BP87" s="75">
        <v>0</v>
      </c>
      <c r="BQ87" s="75">
        <v>0</v>
      </c>
      <c r="BR87" s="75">
        <v>0</v>
      </c>
      <c r="BS87" s="75">
        <v>0</v>
      </c>
      <c r="BT87" s="75">
        <v>0</v>
      </c>
      <c r="BU87" s="75">
        <v>0</v>
      </c>
      <c r="BV87" s="75">
        <v>0</v>
      </c>
      <c r="BW87" s="75">
        <v>0</v>
      </c>
      <c r="BX87" s="75">
        <v>0</v>
      </c>
      <c r="BY87" s="75">
        <v>0</v>
      </c>
      <c r="BZ87" s="75">
        <v>0</v>
      </c>
      <c r="CA87" s="75">
        <v>0</v>
      </c>
      <c r="CB87" s="75">
        <v>0</v>
      </c>
      <c r="CC87" s="75">
        <v>0</v>
      </c>
      <c r="CD87" s="75">
        <v>0</v>
      </c>
      <c r="CE87" s="75">
        <v>0</v>
      </c>
      <c r="CF87" s="75">
        <v>0</v>
      </c>
      <c r="CG87" s="75">
        <v>0</v>
      </c>
      <c r="CH87" s="75">
        <v>0</v>
      </c>
      <c r="CI87" s="75">
        <v>0</v>
      </c>
      <c r="CJ87" s="75">
        <v>0</v>
      </c>
      <c r="CK87" s="75">
        <v>0</v>
      </c>
      <c r="CL87" s="75">
        <v>0</v>
      </c>
      <c r="CM87" s="75">
        <v>0</v>
      </c>
      <c r="CN87" s="75">
        <v>0</v>
      </c>
      <c r="CO87" s="75">
        <v>0</v>
      </c>
      <c r="CP87" s="75">
        <v>0</v>
      </c>
      <c r="CQ87" s="75">
        <v>0</v>
      </c>
      <c r="CR87" s="75">
        <v>0</v>
      </c>
      <c r="CS87" s="75">
        <v>0</v>
      </c>
      <c r="CT87" s="75">
        <v>0</v>
      </c>
      <c r="CU87" s="75">
        <v>0</v>
      </c>
      <c r="CV87" s="75">
        <v>0</v>
      </c>
      <c r="CW87" s="75">
        <v>0</v>
      </c>
      <c r="CX87" s="75">
        <v>0</v>
      </c>
      <c r="CY87" s="75">
        <v>0</v>
      </c>
      <c r="CZ87" s="75">
        <v>0</v>
      </c>
      <c r="DA87" s="75">
        <v>0</v>
      </c>
      <c r="DB87" s="75">
        <v>0</v>
      </c>
    </row>
    <row r="88" spans="3:106">
      <c r="C88" s="27">
        <f>Rentroll!$C$48</f>
        <v>6</v>
      </c>
      <c r="D88" s="80">
        <f>VLOOKUP($C88,Rentroll!$C$37:$Z$60,9,FALSE)</f>
        <v>46477</v>
      </c>
      <c r="E88" s="150">
        <f>VLOOKUP($C88,Rentroll!$C$37:$Z$60,24,FALSE)</f>
        <v>1</v>
      </c>
      <c r="F88" s="75">
        <f t="shared" si="50"/>
        <v>0</v>
      </c>
      <c r="G88" s="75"/>
      <c r="H88" s="75">
        <v>0</v>
      </c>
      <c r="I88" s="75">
        <v>0</v>
      </c>
      <c r="J88" s="75">
        <v>0</v>
      </c>
      <c r="K88" s="75">
        <v>0</v>
      </c>
      <c r="L88" s="75">
        <v>0</v>
      </c>
      <c r="M88" s="75">
        <v>0</v>
      </c>
      <c r="N88" s="75">
        <v>0</v>
      </c>
      <c r="O88" s="75">
        <f t="shared" ref="O88:T88" si="61">I60</f>
        <v>0</v>
      </c>
      <c r="P88" s="75">
        <f t="shared" si="61"/>
        <v>0</v>
      </c>
      <c r="Q88" s="75">
        <f t="shared" si="61"/>
        <v>0</v>
      </c>
      <c r="R88" s="75">
        <f t="shared" si="61"/>
        <v>0</v>
      </c>
      <c r="S88" s="75">
        <f t="shared" si="61"/>
        <v>0</v>
      </c>
      <c r="T88" s="75">
        <f t="shared" si="61"/>
        <v>0</v>
      </c>
      <c r="U88" s="75">
        <v>0</v>
      </c>
      <c r="V88" s="75">
        <v>0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0</v>
      </c>
      <c r="AE88" s="75">
        <v>0</v>
      </c>
      <c r="AF88" s="75">
        <v>0</v>
      </c>
      <c r="AG88" s="75">
        <v>0</v>
      </c>
      <c r="AH88" s="75">
        <v>0</v>
      </c>
      <c r="AI88" s="75">
        <v>0</v>
      </c>
      <c r="AJ88" s="75">
        <v>0</v>
      </c>
      <c r="AK88" s="75">
        <v>0</v>
      </c>
      <c r="AL88" s="75">
        <v>0</v>
      </c>
      <c r="AM88" s="75">
        <v>0</v>
      </c>
      <c r="AN88" s="75">
        <v>0</v>
      </c>
      <c r="AO88" s="75">
        <v>0</v>
      </c>
      <c r="AP88" s="75">
        <v>0</v>
      </c>
      <c r="AQ88" s="75">
        <v>0</v>
      </c>
      <c r="AR88" s="75">
        <v>0</v>
      </c>
      <c r="AS88" s="75">
        <v>0</v>
      </c>
      <c r="AT88" s="75">
        <v>0</v>
      </c>
      <c r="AU88" s="75">
        <v>0</v>
      </c>
      <c r="AV88" s="75">
        <v>0</v>
      </c>
      <c r="AW88" s="75">
        <v>0</v>
      </c>
      <c r="AX88" s="75">
        <v>0</v>
      </c>
      <c r="AY88" s="75">
        <v>0</v>
      </c>
      <c r="AZ88" s="75">
        <v>0</v>
      </c>
      <c r="BA88" s="75">
        <v>0</v>
      </c>
      <c r="BB88" s="75">
        <v>0</v>
      </c>
      <c r="BC88" s="75">
        <v>0</v>
      </c>
      <c r="BD88" s="75">
        <v>0</v>
      </c>
      <c r="BE88" s="75">
        <v>0</v>
      </c>
      <c r="BF88" s="75">
        <v>0</v>
      </c>
      <c r="BG88" s="75">
        <v>0</v>
      </c>
      <c r="BH88" s="75">
        <v>0</v>
      </c>
      <c r="BI88" s="75">
        <v>0</v>
      </c>
      <c r="BJ88" s="75">
        <v>0</v>
      </c>
      <c r="BK88" s="75">
        <v>0</v>
      </c>
      <c r="BL88" s="75">
        <v>0</v>
      </c>
      <c r="BM88" s="75">
        <v>0</v>
      </c>
      <c r="BN88" s="75">
        <v>0</v>
      </c>
      <c r="BO88" s="75">
        <v>0</v>
      </c>
      <c r="BP88" s="75">
        <v>0</v>
      </c>
      <c r="BQ88" s="75">
        <v>0</v>
      </c>
      <c r="BR88" s="75">
        <v>0</v>
      </c>
      <c r="BS88" s="75">
        <v>0</v>
      </c>
      <c r="BT88" s="75">
        <v>0</v>
      </c>
      <c r="BU88" s="75">
        <v>0</v>
      </c>
      <c r="BV88" s="75">
        <v>0</v>
      </c>
      <c r="BW88" s="75">
        <v>0</v>
      </c>
      <c r="BX88" s="75">
        <v>0</v>
      </c>
      <c r="BY88" s="75">
        <v>0</v>
      </c>
      <c r="BZ88" s="75">
        <v>0</v>
      </c>
      <c r="CA88" s="75">
        <v>0</v>
      </c>
      <c r="CB88" s="75">
        <v>0</v>
      </c>
      <c r="CC88" s="75">
        <v>0</v>
      </c>
      <c r="CD88" s="75">
        <v>0</v>
      </c>
      <c r="CE88" s="75">
        <v>0</v>
      </c>
      <c r="CF88" s="75">
        <v>0</v>
      </c>
      <c r="CG88" s="75">
        <v>0</v>
      </c>
      <c r="CH88" s="75">
        <v>0</v>
      </c>
      <c r="CI88" s="75">
        <v>0</v>
      </c>
      <c r="CJ88" s="75">
        <v>0</v>
      </c>
      <c r="CK88" s="75">
        <v>0</v>
      </c>
      <c r="CL88" s="75">
        <v>0</v>
      </c>
      <c r="CM88" s="75">
        <v>0</v>
      </c>
      <c r="CN88" s="75">
        <v>0</v>
      </c>
      <c r="CO88" s="75">
        <v>0</v>
      </c>
      <c r="CP88" s="75">
        <v>0</v>
      </c>
      <c r="CQ88" s="75">
        <v>0</v>
      </c>
      <c r="CR88" s="75">
        <v>0</v>
      </c>
      <c r="CS88" s="75">
        <v>0</v>
      </c>
      <c r="CT88" s="75">
        <v>0</v>
      </c>
      <c r="CU88" s="75">
        <v>0</v>
      </c>
      <c r="CV88" s="75">
        <v>0</v>
      </c>
      <c r="CW88" s="75">
        <v>0</v>
      </c>
      <c r="CX88" s="75">
        <v>0</v>
      </c>
      <c r="CY88" s="75">
        <v>0</v>
      </c>
      <c r="CZ88" s="75">
        <v>0</v>
      </c>
      <c r="DA88" s="75">
        <v>0</v>
      </c>
      <c r="DB88" s="75">
        <v>0</v>
      </c>
    </row>
    <row r="89" spans="3:106">
      <c r="C89" s="27">
        <f>Rentroll!$C$49</f>
        <v>5</v>
      </c>
      <c r="D89" s="80">
        <f>VLOOKUP($C89,Rentroll!$C$37:$Z$60,9,FALSE)</f>
        <v>45688</v>
      </c>
      <c r="E89" s="150">
        <f>VLOOKUP($C89,Rentroll!$C$37:$Z$60,24,FALSE)</f>
        <v>1</v>
      </c>
      <c r="F89" s="75">
        <f t="shared" si="50"/>
        <v>0</v>
      </c>
      <c r="G89" s="75"/>
      <c r="H89" s="75">
        <v>0</v>
      </c>
      <c r="I89" s="75">
        <v>0</v>
      </c>
      <c r="J89" s="75">
        <v>0</v>
      </c>
      <c r="K89" s="75">
        <v>0</v>
      </c>
      <c r="L89" s="75">
        <v>0</v>
      </c>
      <c r="M89" s="75">
        <v>0</v>
      </c>
      <c r="N89" s="75">
        <v>0</v>
      </c>
      <c r="O89" s="75">
        <f t="shared" ref="O89:T89" si="62">I61</f>
        <v>0</v>
      </c>
      <c r="P89" s="75">
        <f t="shared" si="62"/>
        <v>0</v>
      </c>
      <c r="Q89" s="75">
        <f t="shared" si="62"/>
        <v>0</v>
      </c>
      <c r="R89" s="75">
        <f t="shared" si="62"/>
        <v>0</v>
      </c>
      <c r="S89" s="75">
        <f t="shared" si="62"/>
        <v>0</v>
      </c>
      <c r="T89" s="75">
        <f t="shared" si="62"/>
        <v>0</v>
      </c>
      <c r="U89" s="75">
        <v>0</v>
      </c>
      <c r="V89" s="75">
        <v>0</v>
      </c>
      <c r="W89" s="75">
        <v>0</v>
      </c>
      <c r="X89" s="75">
        <v>0</v>
      </c>
      <c r="Y89" s="75">
        <v>0</v>
      </c>
      <c r="Z89" s="75">
        <v>0</v>
      </c>
      <c r="AA89" s="75">
        <v>0</v>
      </c>
      <c r="AB89" s="75">
        <v>0</v>
      </c>
      <c r="AC89" s="75">
        <v>0</v>
      </c>
      <c r="AD89" s="75">
        <v>0</v>
      </c>
      <c r="AE89" s="75">
        <v>0</v>
      </c>
      <c r="AF89" s="75">
        <v>0</v>
      </c>
      <c r="AG89" s="75">
        <v>0</v>
      </c>
      <c r="AH89" s="75">
        <v>0</v>
      </c>
      <c r="AI89" s="75">
        <v>0</v>
      </c>
      <c r="AJ89" s="75">
        <v>0</v>
      </c>
      <c r="AK89" s="75">
        <v>0</v>
      </c>
      <c r="AL89" s="75">
        <v>0</v>
      </c>
      <c r="AM89" s="75">
        <v>0</v>
      </c>
      <c r="AN89" s="75">
        <v>0</v>
      </c>
      <c r="AO89" s="75">
        <v>0</v>
      </c>
      <c r="AP89" s="75">
        <v>0</v>
      </c>
      <c r="AQ89" s="75">
        <v>0</v>
      </c>
      <c r="AR89" s="75">
        <v>0</v>
      </c>
      <c r="AS89" s="75">
        <v>0</v>
      </c>
      <c r="AT89" s="75">
        <v>0</v>
      </c>
      <c r="AU89" s="75">
        <v>0</v>
      </c>
      <c r="AV89" s="75">
        <v>0</v>
      </c>
      <c r="AW89" s="75">
        <v>0</v>
      </c>
      <c r="AX89" s="75">
        <v>0</v>
      </c>
      <c r="AY89" s="75">
        <v>0</v>
      </c>
      <c r="AZ89" s="75">
        <v>0</v>
      </c>
      <c r="BA89" s="75">
        <v>0</v>
      </c>
      <c r="BB89" s="75">
        <v>0</v>
      </c>
      <c r="BC89" s="75">
        <v>0</v>
      </c>
      <c r="BD89" s="75">
        <v>0</v>
      </c>
      <c r="BE89" s="75">
        <v>0</v>
      </c>
      <c r="BF89" s="75">
        <v>0</v>
      </c>
      <c r="BG89" s="75">
        <v>0</v>
      </c>
      <c r="BH89" s="75">
        <v>0</v>
      </c>
      <c r="BI89" s="75">
        <v>0</v>
      </c>
      <c r="BJ89" s="75">
        <v>0</v>
      </c>
      <c r="BK89" s="75">
        <v>0</v>
      </c>
      <c r="BL89" s="75">
        <v>0</v>
      </c>
      <c r="BM89" s="75">
        <v>0</v>
      </c>
      <c r="BN89" s="75">
        <v>0</v>
      </c>
      <c r="BO89" s="75">
        <v>0</v>
      </c>
      <c r="BP89" s="75">
        <v>0</v>
      </c>
      <c r="BQ89" s="75">
        <v>0</v>
      </c>
      <c r="BR89" s="75">
        <v>0</v>
      </c>
      <c r="BS89" s="75">
        <v>0</v>
      </c>
      <c r="BT89" s="75">
        <v>0</v>
      </c>
      <c r="BU89" s="75">
        <v>0</v>
      </c>
      <c r="BV89" s="75">
        <v>0</v>
      </c>
      <c r="BW89" s="75">
        <v>0</v>
      </c>
      <c r="BX89" s="75">
        <v>0</v>
      </c>
      <c r="BY89" s="75">
        <v>0</v>
      </c>
      <c r="BZ89" s="75">
        <v>0</v>
      </c>
      <c r="CA89" s="75">
        <v>0</v>
      </c>
      <c r="CB89" s="75">
        <v>0</v>
      </c>
      <c r="CC89" s="75">
        <v>0</v>
      </c>
      <c r="CD89" s="75">
        <v>0</v>
      </c>
      <c r="CE89" s="75">
        <v>0</v>
      </c>
      <c r="CF89" s="75">
        <v>0</v>
      </c>
      <c r="CG89" s="75">
        <v>0</v>
      </c>
      <c r="CH89" s="75">
        <v>0</v>
      </c>
      <c r="CI89" s="75">
        <v>0</v>
      </c>
      <c r="CJ89" s="75">
        <v>0</v>
      </c>
      <c r="CK89" s="75">
        <v>0</v>
      </c>
      <c r="CL89" s="75">
        <v>0</v>
      </c>
      <c r="CM89" s="75">
        <v>0</v>
      </c>
      <c r="CN89" s="75">
        <v>0</v>
      </c>
      <c r="CO89" s="75">
        <v>0</v>
      </c>
      <c r="CP89" s="75">
        <v>0</v>
      </c>
      <c r="CQ89" s="75">
        <v>0</v>
      </c>
      <c r="CR89" s="75">
        <v>0</v>
      </c>
      <c r="CS89" s="75">
        <v>0</v>
      </c>
      <c r="CT89" s="75">
        <v>0</v>
      </c>
      <c r="CU89" s="75">
        <v>0</v>
      </c>
      <c r="CV89" s="75">
        <v>0</v>
      </c>
      <c r="CW89" s="75">
        <v>0</v>
      </c>
      <c r="CX89" s="75">
        <v>0</v>
      </c>
      <c r="CY89" s="75">
        <v>0</v>
      </c>
      <c r="CZ89" s="75">
        <v>0</v>
      </c>
      <c r="DA89" s="75">
        <v>0</v>
      </c>
      <c r="DB89" s="75">
        <v>0</v>
      </c>
    </row>
    <row r="90" spans="3:106">
      <c r="C90" s="27">
        <f>Rentroll!$C$50</f>
        <v>4</v>
      </c>
      <c r="D90" s="80">
        <f>VLOOKUP($C90,Rentroll!$C$37:$Z$60,9,FALSE)</f>
        <v>45688</v>
      </c>
      <c r="E90" s="150">
        <f>VLOOKUP($C90,Rentroll!$C$37:$Z$60,24,FALSE)</f>
        <v>1</v>
      </c>
      <c r="F90" s="75">
        <f t="shared" si="50"/>
        <v>0</v>
      </c>
      <c r="G90" s="75"/>
      <c r="H90" s="75">
        <v>0</v>
      </c>
      <c r="I90" s="75">
        <v>0</v>
      </c>
      <c r="J90" s="75">
        <v>0</v>
      </c>
      <c r="K90" s="75">
        <v>0</v>
      </c>
      <c r="L90" s="75">
        <v>0</v>
      </c>
      <c r="M90" s="75">
        <v>0</v>
      </c>
      <c r="N90" s="75">
        <v>0</v>
      </c>
      <c r="O90" s="75">
        <f t="shared" ref="O90:T90" si="63">I62</f>
        <v>0</v>
      </c>
      <c r="P90" s="75">
        <f t="shared" si="63"/>
        <v>0</v>
      </c>
      <c r="Q90" s="75">
        <f t="shared" si="63"/>
        <v>0</v>
      </c>
      <c r="R90" s="75">
        <f t="shared" si="63"/>
        <v>0</v>
      </c>
      <c r="S90" s="75">
        <f t="shared" si="63"/>
        <v>0</v>
      </c>
      <c r="T90" s="75">
        <f t="shared" si="63"/>
        <v>0</v>
      </c>
      <c r="U90" s="75">
        <v>0</v>
      </c>
      <c r="V90" s="75">
        <v>0</v>
      </c>
      <c r="W90" s="75">
        <v>0</v>
      </c>
      <c r="X90" s="75">
        <v>0</v>
      </c>
      <c r="Y90" s="75">
        <v>0</v>
      </c>
      <c r="Z90" s="75">
        <v>0</v>
      </c>
      <c r="AA90" s="75">
        <v>0</v>
      </c>
      <c r="AB90" s="75">
        <v>0</v>
      </c>
      <c r="AC90" s="75">
        <v>0</v>
      </c>
      <c r="AD90" s="75">
        <v>0</v>
      </c>
      <c r="AE90" s="75">
        <v>0</v>
      </c>
      <c r="AF90" s="75">
        <v>0</v>
      </c>
      <c r="AG90" s="75">
        <v>0</v>
      </c>
      <c r="AH90" s="75">
        <v>0</v>
      </c>
      <c r="AI90" s="75">
        <v>0</v>
      </c>
      <c r="AJ90" s="75">
        <v>0</v>
      </c>
      <c r="AK90" s="75">
        <v>0</v>
      </c>
      <c r="AL90" s="75">
        <v>0</v>
      </c>
      <c r="AM90" s="75">
        <v>0</v>
      </c>
      <c r="AN90" s="75">
        <v>0</v>
      </c>
      <c r="AO90" s="75">
        <v>0</v>
      </c>
      <c r="AP90" s="75">
        <v>0</v>
      </c>
      <c r="AQ90" s="75">
        <v>0</v>
      </c>
      <c r="AR90" s="75">
        <v>0</v>
      </c>
      <c r="AS90" s="75">
        <v>0</v>
      </c>
      <c r="AT90" s="75">
        <v>0</v>
      </c>
      <c r="AU90" s="75">
        <v>0</v>
      </c>
      <c r="AV90" s="75">
        <v>0</v>
      </c>
      <c r="AW90" s="75">
        <v>0</v>
      </c>
      <c r="AX90" s="75">
        <v>0</v>
      </c>
      <c r="AY90" s="75">
        <v>0</v>
      </c>
      <c r="AZ90" s="75">
        <v>0</v>
      </c>
      <c r="BA90" s="75">
        <v>0</v>
      </c>
      <c r="BB90" s="75">
        <v>0</v>
      </c>
      <c r="BC90" s="75">
        <v>0</v>
      </c>
      <c r="BD90" s="75">
        <v>0</v>
      </c>
      <c r="BE90" s="75">
        <v>0</v>
      </c>
      <c r="BF90" s="75">
        <v>0</v>
      </c>
      <c r="BG90" s="75">
        <v>0</v>
      </c>
      <c r="BH90" s="75">
        <v>0</v>
      </c>
      <c r="BI90" s="75">
        <v>0</v>
      </c>
      <c r="BJ90" s="75">
        <v>0</v>
      </c>
      <c r="BK90" s="75">
        <v>0</v>
      </c>
      <c r="BL90" s="75">
        <v>0</v>
      </c>
      <c r="BM90" s="75">
        <v>0</v>
      </c>
      <c r="BN90" s="75">
        <v>0</v>
      </c>
      <c r="BO90" s="75">
        <v>0</v>
      </c>
      <c r="BP90" s="75">
        <v>0</v>
      </c>
      <c r="BQ90" s="75">
        <v>0</v>
      </c>
      <c r="BR90" s="75">
        <v>0</v>
      </c>
      <c r="BS90" s="75">
        <v>0</v>
      </c>
      <c r="BT90" s="75">
        <v>0</v>
      </c>
      <c r="BU90" s="75">
        <v>0</v>
      </c>
      <c r="BV90" s="75">
        <v>0</v>
      </c>
      <c r="BW90" s="75">
        <v>0</v>
      </c>
      <c r="BX90" s="75">
        <v>0</v>
      </c>
      <c r="BY90" s="75">
        <v>0</v>
      </c>
      <c r="BZ90" s="75">
        <v>0</v>
      </c>
      <c r="CA90" s="75">
        <v>0</v>
      </c>
      <c r="CB90" s="75">
        <v>0</v>
      </c>
      <c r="CC90" s="75">
        <v>0</v>
      </c>
      <c r="CD90" s="75">
        <v>0</v>
      </c>
      <c r="CE90" s="75">
        <v>0</v>
      </c>
      <c r="CF90" s="75">
        <v>0</v>
      </c>
      <c r="CG90" s="75">
        <v>0</v>
      </c>
      <c r="CH90" s="75">
        <v>0</v>
      </c>
      <c r="CI90" s="75">
        <v>0</v>
      </c>
      <c r="CJ90" s="75">
        <v>0</v>
      </c>
      <c r="CK90" s="75">
        <v>0</v>
      </c>
      <c r="CL90" s="75">
        <v>0</v>
      </c>
      <c r="CM90" s="75">
        <v>0</v>
      </c>
      <c r="CN90" s="75">
        <v>0</v>
      </c>
      <c r="CO90" s="75">
        <v>0</v>
      </c>
      <c r="CP90" s="75">
        <v>0</v>
      </c>
      <c r="CQ90" s="75">
        <v>0</v>
      </c>
      <c r="CR90" s="75">
        <v>0</v>
      </c>
      <c r="CS90" s="75">
        <v>0</v>
      </c>
      <c r="CT90" s="75">
        <v>0</v>
      </c>
      <c r="CU90" s="75">
        <v>0</v>
      </c>
      <c r="CV90" s="75">
        <v>0</v>
      </c>
      <c r="CW90" s="75">
        <v>0</v>
      </c>
      <c r="CX90" s="75">
        <v>0</v>
      </c>
      <c r="CY90" s="75">
        <v>0</v>
      </c>
      <c r="CZ90" s="75">
        <v>0</v>
      </c>
      <c r="DA90" s="75">
        <v>0</v>
      </c>
      <c r="DB90" s="75">
        <v>0</v>
      </c>
    </row>
    <row r="91" spans="3:106">
      <c r="C91" s="27">
        <f>Rentroll!$C$51</f>
        <v>3</v>
      </c>
      <c r="D91" s="80">
        <f>VLOOKUP($C91,Rentroll!$C$37:$Z$60,9,FALSE)</f>
        <v>45688</v>
      </c>
      <c r="E91" s="150">
        <f>VLOOKUP($C91,Rentroll!$C$37:$Z$60,24,FALSE)</f>
        <v>1</v>
      </c>
      <c r="F91" s="75">
        <f t="shared" si="50"/>
        <v>0</v>
      </c>
      <c r="G91" s="75"/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f t="shared" ref="O91:T91" si="64">I63</f>
        <v>0</v>
      </c>
      <c r="P91" s="75">
        <f t="shared" si="64"/>
        <v>0</v>
      </c>
      <c r="Q91" s="75">
        <f t="shared" si="64"/>
        <v>0</v>
      </c>
      <c r="R91" s="75">
        <f t="shared" si="64"/>
        <v>0</v>
      </c>
      <c r="S91" s="75">
        <f t="shared" si="64"/>
        <v>0</v>
      </c>
      <c r="T91" s="75">
        <f t="shared" si="64"/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  <c r="AJ91" s="75">
        <v>0</v>
      </c>
      <c r="AK91" s="75">
        <v>0</v>
      </c>
      <c r="AL91" s="75">
        <v>0</v>
      </c>
      <c r="AM91" s="75">
        <v>0</v>
      </c>
      <c r="AN91" s="75">
        <v>0</v>
      </c>
      <c r="AO91" s="75">
        <v>0</v>
      </c>
      <c r="AP91" s="75">
        <v>0</v>
      </c>
      <c r="AQ91" s="75">
        <v>0</v>
      </c>
      <c r="AR91" s="75">
        <v>0</v>
      </c>
      <c r="AS91" s="75">
        <v>0</v>
      </c>
      <c r="AT91" s="75">
        <v>0</v>
      </c>
      <c r="AU91" s="75">
        <v>0</v>
      </c>
      <c r="AV91" s="75">
        <v>0</v>
      </c>
      <c r="AW91" s="75">
        <v>0</v>
      </c>
      <c r="AX91" s="75">
        <v>0</v>
      </c>
      <c r="AY91" s="75">
        <v>0</v>
      </c>
      <c r="AZ91" s="75">
        <v>0</v>
      </c>
      <c r="BA91" s="75">
        <v>0</v>
      </c>
      <c r="BB91" s="75">
        <v>0</v>
      </c>
      <c r="BC91" s="75">
        <v>0</v>
      </c>
      <c r="BD91" s="75">
        <v>0</v>
      </c>
      <c r="BE91" s="75">
        <v>0</v>
      </c>
      <c r="BF91" s="75">
        <v>0</v>
      </c>
      <c r="BG91" s="75">
        <v>0</v>
      </c>
      <c r="BH91" s="75">
        <v>0</v>
      </c>
      <c r="BI91" s="75">
        <v>0</v>
      </c>
      <c r="BJ91" s="75">
        <v>0</v>
      </c>
      <c r="BK91" s="75">
        <v>0</v>
      </c>
      <c r="BL91" s="75">
        <v>0</v>
      </c>
      <c r="BM91" s="75">
        <v>0</v>
      </c>
      <c r="BN91" s="75">
        <v>0</v>
      </c>
      <c r="BO91" s="75">
        <v>0</v>
      </c>
      <c r="BP91" s="75">
        <v>0</v>
      </c>
      <c r="BQ91" s="75">
        <v>0</v>
      </c>
      <c r="BR91" s="75">
        <v>0</v>
      </c>
      <c r="BS91" s="75">
        <v>0</v>
      </c>
      <c r="BT91" s="75">
        <v>0</v>
      </c>
      <c r="BU91" s="75">
        <v>0</v>
      </c>
      <c r="BV91" s="75">
        <v>0</v>
      </c>
      <c r="BW91" s="75">
        <v>0</v>
      </c>
      <c r="BX91" s="75">
        <v>0</v>
      </c>
      <c r="BY91" s="75">
        <v>0</v>
      </c>
      <c r="BZ91" s="75">
        <v>0</v>
      </c>
      <c r="CA91" s="75">
        <v>0</v>
      </c>
      <c r="CB91" s="75">
        <v>0</v>
      </c>
      <c r="CC91" s="75">
        <v>0</v>
      </c>
      <c r="CD91" s="75">
        <v>0</v>
      </c>
      <c r="CE91" s="75">
        <v>0</v>
      </c>
      <c r="CF91" s="75">
        <v>0</v>
      </c>
      <c r="CG91" s="75">
        <v>0</v>
      </c>
      <c r="CH91" s="75">
        <v>0</v>
      </c>
      <c r="CI91" s="75">
        <v>0</v>
      </c>
      <c r="CJ91" s="75">
        <v>0</v>
      </c>
      <c r="CK91" s="75">
        <v>0</v>
      </c>
      <c r="CL91" s="75">
        <v>0</v>
      </c>
      <c r="CM91" s="75">
        <v>0</v>
      </c>
      <c r="CN91" s="75">
        <v>0</v>
      </c>
      <c r="CO91" s="75">
        <v>0</v>
      </c>
      <c r="CP91" s="75">
        <v>0</v>
      </c>
      <c r="CQ91" s="75">
        <v>0</v>
      </c>
      <c r="CR91" s="75">
        <v>0</v>
      </c>
      <c r="CS91" s="75">
        <v>0</v>
      </c>
      <c r="CT91" s="75">
        <v>0</v>
      </c>
      <c r="CU91" s="75">
        <v>0</v>
      </c>
      <c r="CV91" s="75">
        <v>0</v>
      </c>
      <c r="CW91" s="75">
        <v>0</v>
      </c>
      <c r="CX91" s="75">
        <v>0</v>
      </c>
      <c r="CY91" s="75">
        <v>0</v>
      </c>
      <c r="CZ91" s="75">
        <v>0</v>
      </c>
      <c r="DA91" s="75">
        <v>0</v>
      </c>
      <c r="DB91" s="75">
        <v>0</v>
      </c>
    </row>
    <row r="92" spans="3:106">
      <c r="C92" s="27" t="str">
        <f>Rentroll!$C$52</f>
        <v>201호</v>
      </c>
      <c r="D92" s="80">
        <f>VLOOKUP($C92,Rentroll!$C$37:$Z$60,9,FALSE)</f>
        <v>45747</v>
      </c>
      <c r="E92" s="150">
        <f>VLOOKUP($C92,Rentroll!$C$37:$Z$60,24,FALSE)</f>
        <v>1</v>
      </c>
      <c r="F92" s="75">
        <f t="shared" si="50"/>
        <v>28.596048731250001</v>
      </c>
      <c r="G92" s="75"/>
      <c r="H92" s="75">
        <v>0</v>
      </c>
      <c r="I92" s="75">
        <v>0</v>
      </c>
      <c r="J92" s="75">
        <v>0</v>
      </c>
      <c r="K92" s="75">
        <v>0</v>
      </c>
      <c r="L92" s="75">
        <v>0</v>
      </c>
      <c r="M92" s="75">
        <v>0</v>
      </c>
      <c r="N92" s="75">
        <v>0</v>
      </c>
      <c r="O92" s="75">
        <f t="shared" ref="O92:T92" si="65">I64</f>
        <v>0</v>
      </c>
      <c r="P92" s="75">
        <f t="shared" si="65"/>
        <v>28.596048731250001</v>
      </c>
      <c r="Q92" s="75">
        <f t="shared" si="65"/>
        <v>0</v>
      </c>
      <c r="R92" s="75">
        <f t="shared" si="65"/>
        <v>0</v>
      </c>
      <c r="S92" s="75">
        <f t="shared" si="65"/>
        <v>0</v>
      </c>
      <c r="T92" s="75">
        <f t="shared" si="65"/>
        <v>0</v>
      </c>
      <c r="U92" s="75">
        <v>0</v>
      </c>
      <c r="V92" s="75">
        <v>0</v>
      </c>
      <c r="W92" s="75">
        <v>0</v>
      </c>
      <c r="X92" s="75">
        <v>0</v>
      </c>
      <c r="Y92" s="75">
        <v>0</v>
      </c>
      <c r="Z92" s="75">
        <v>0</v>
      </c>
      <c r="AA92" s="75">
        <v>0</v>
      </c>
      <c r="AB92" s="75">
        <v>0</v>
      </c>
      <c r="AC92" s="75">
        <v>0</v>
      </c>
      <c r="AD92" s="75">
        <v>0</v>
      </c>
      <c r="AE92" s="75">
        <v>0</v>
      </c>
      <c r="AF92" s="75">
        <v>0</v>
      </c>
      <c r="AG92" s="75">
        <v>0</v>
      </c>
      <c r="AH92" s="75">
        <v>0</v>
      </c>
      <c r="AI92" s="75">
        <v>0</v>
      </c>
      <c r="AJ92" s="75">
        <v>0</v>
      </c>
      <c r="AK92" s="75">
        <v>0</v>
      </c>
      <c r="AL92" s="75">
        <v>0</v>
      </c>
      <c r="AM92" s="75">
        <v>0</v>
      </c>
      <c r="AN92" s="75">
        <v>0</v>
      </c>
      <c r="AO92" s="75">
        <v>0</v>
      </c>
      <c r="AP92" s="75">
        <v>0</v>
      </c>
      <c r="AQ92" s="75">
        <v>0</v>
      </c>
      <c r="AR92" s="75">
        <v>0</v>
      </c>
      <c r="AS92" s="75">
        <v>0</v>
      </c>
      <c r="AT92" s="75">
        <v>0</v>
      </c>
      <c r="AU92" s="75">
        <v>0</v>
      </c>
      <c r="AV92" s="75">
        <v>0</v>
      </c>
      <c r="AW92" s="75">
        <v>0</v>
      </c>
      <c r="AX92" s="75">
        <v>0</v>
      </c>
      <c r="AY92" s="75">
        <v>0</v>
      </c>
      <c r="AZ92" s="75">
        <v>0</v>
      </c>
      <c r="BA92" s="75">
        <v>0</v>
      </c>
      <c r="BB92" s="75">
        <v>0</v>
      </c>
      <c r="BC92" s="75">
        <v>0</v>
      </c>
      <c r="BD92" s="75">
        <v>0</v>
      </c>
      <c r="BE92" s="75">
        <v>0</v>
      </c>
      <c r="BF92" s="75">
        <v>0</v>
      </c>
      <c r="BG92" s="75">
        <v>0</v>
      </c>
      <c r="BH92" s="75">
        <v>0</v>
      </c>
      <c r="BI92" s="75">
        <v>0</v>
      </c>
      <c r="BJ92" s="75">
        <v>0</v>
      </c>
      <c r="BK92" s="75">
        <v>0</v>
      </c>
      <c r="BL92" s="75">
        <v>0</v>
      </c>
      <c r="BM92" s="75">
        <v>0</v>
      </c>
      <c r="BN92" s="75">
        <v>0</v>
      </c>
      <c r="BO92" s="75">
        <v>0</v>
      </c>
      <c r="BP92" s="75">
        <v>0</v>
      </c>
      <c r="BQ92" s="75">
        <v>0</v>
      </c>
      <c r="BR92" s="75">
        <v>0</v>
      </c>
      <c r="BS92" s="75">
        <v>0</v>
      </c>
      <c r="BT92" s="75">
        <v>0</v>
      </c>
      <c r="BU92" s="75">
        <v>0</v>
      </c>
      <c r="BV92" s="75">
        <v>0</v>
      </c>
      <c r="BW92" s="75">
        <v>0</v>
      </c>
      <c r="BX92" s="75">
        <v>0</v>
      </c>
      <c r="BY92" s="75">
        <v>0</v>
      </c>
      <c r="BZ92" s="75">
        <v>0</v>
      </c>
      <c r="CA92" s="75">
        <v>0</v>
      </c>
      <c r="CB92" s="75">
        <v>0</v>
      </c>
      <c r="CC92" s="75">
        <v>0</v>
      </c>
      <c r="CD92" s="75">
        <v>0</v>
      </c>
      <c r="CE92" s="75">
        <v>0</v>
      </c>
      <c r="CF92" s="75">
        <v>0</v>
      </c>
      <c r="CG92" s="75">
        <v>0</v>
      </c>
      <c r="CH92" s="75">
        <v>0</v>
      </c>
      <c r="CI92" s="75">
        <v>0</v>
      </c>
      <c r="CJ92" s="75">
        <v>0</v>
      </c>
      <c r="CK92" s="75">
        <v>0</v>
      </c>
      <c r="CL92" s="75">
        <v>0</v>
      </c>
      <c r="CM92" s="75">
        <v>0</v>
      </c>
      <c r="CN92" s="75">
        <v>0</v>
      </c>
      <c r="CO92" s="75">
        <v>0</v>
      </c>
      <c r="CP92" s="75">
        <v>0</v>
      </c>
      <c r="CQ92" s="75">
        <v>0</v>
      </c>
      <c r="CR92" s="75">
        <v>0</v>
      </c>
      <c r="CS92" s="75">
        <v>0</v>
      </c>
      <c r="CT92" s="75">
        <v>0</v>
      </c>
      <c r="CU92" s="75">
        <v>0</v>
      </c>
      <c r="CV92" s="75">
        <v>0</v>
      </c>
      <c r="CW92" s="75">
        <v>0</v>
      </c>
      <c r="CX92" s="75">
        <v>0</v>
      </c>
      <c r="CY92" s="75">
        <v>0</v>
      </c>
      <c r="CZ92" s="75">
        <v>0</v>
      </c>
      <c r="DA92" s="75">
        <v>0</v>
      </c>
      <c r="DB92" s="75">
        <v>0</v>
      </c>
    </row>
    <row r="93" spans="3:106">
      <c r="C93" s="27" t="str">
        <f>Rentroll!$C$53</f>
        <v>202호</v>
      </c>
      <c r="D93" s="80">
        <f>VLOOKUP($C93,Rentroll!$C$37:$Z$60,9,FALSE)</f>
        <v>45747</v>
      </c>
      <c r="E93" s="150">
        <f>VLOOKUP($C93,Rentroll!$C$37:$Z$60,24,FALSE)</f>
        <v>1</v>
      </c>
      <c r="F93" s="75">
        <f t="shared" si="50"/>
        <v>28.596048731250001</v>
      </c>
      <c r="G93" s="75"/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5">
        <f t="shared" ref="O93:T93" si="66">I65</f>
        <v>0</v>
      </c>
      <c r="P93" s="75">
        <f t="shared" si="66"/>
        <v>28.596048731250001</v>
      </c>
      <c r="Q93" s="75">
        <f t="shared" si="66"/>
        <v>0</v>
      </c>
      <c r="R93" s="75">
        <f t="shared" si="66"/>
        <v>0</v>
      </c>
      <c r="S93" s="75">
        <f t="shared" si="66"/>
        <v>0</v>
      </c>
      <c r="T93" s="75">
        <f t="shared" si="66"/>
        <v>0</v>
      </c>
      <c r="U93" s="75">
        <v>0</v>
      </c>
      <c r="V93" s="75">
        <v>0</v>
      </c>
      <c r="W93" s="75">
        <v>0</v>
      </c>
      <c r="X93" s="75">
        <v>0</v>
      </c>
      <c r="Y93" s="75">
        <v>0</v>
      </c>
      <c r="Z93" s="75">
        <v>0</v>
      </c>
      <c r="AA93" s="75">
        <v>0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75">
        <v>0</v>
      </c>
      <c r="AH93" s="75">
        <v>0</v>
      </c>
      <c r="AI93" s="75">
        <v>0</v>
      </c>
      <c r="AJ93" s="75">
        <v>0</v>
      </c>
      <c r="AK93" s="75">
        <v>0</v>
      </c>
      <c r="AL93" s="75">
        <v>0</v>
      </c>
      <c r="AM93" s="75">
        <v>0</v>
      </c>
      <c r="AN93" s="75">
        <v>0</v>
      </c>
      <c r="AO93" s="75">
        <v>0</v>
      </c>
      <c r="AP93" s="75">
        <v>0</v>
      </c>
      <c r="AQ93" s="75">
        <v>0</v>
      </c>
      <c r="AR93" s="75">
        <v>0</v>
      </c>
      <c r="AS93" s="75">
        <v>0</v>
      </c>
      <c r="AT93" s="75">
        <v>0</v>
      </c>
      <c r="AU93" s="75">
        <v>0</v>
      </c>
      <c r="AV93" s="75">
        <v>0</v>
      </c>
      <c r="AW93" s="75">
        <v>0</v>
      </c>
      <c r="AX93" s="75">
        <v>0</v>
      </c>
      <c r="AY93" s="75">
        <v>0</v>
      </c>
      <c r="AZ93" s="75">
        <v>0</v>
      </c>
      <c r="BA93" s="75">
        <v>0</v>
      </c>
      <c r="BB93" s="75">
        <v>0</v>
      </c>
      <c r="BC93" s="75">
        <v>0</v>
      </c>
      <c r="BD93" s="75">
        <v>0</v>
      </c>
      <c r="BE93" s="75">
        <v>0</v>
      </c>
      <c r="BF93" s="75">
        <v>0</v>
      </c>
      <c r="BG93" s="75">
        <v>0</v>
      </c>
      <c r="BH93" s="75">
        <v>0</v>
      </c>
      <c r="BI93" s="75">
        <v>0</v>
      </c>
      <c r="BJ93" s="75">
        <v>0</v>
      </c>
      <c r="BK93" s="75">
        <v>0</v>
      </c>
      <c r="BL93" s="75">
        <v>0</v>
      </c>
      <c r="BM93" s="75">
        <v>0</v>
      </c>
      <c r="BN93" s="75">
        <v>0</v>
      </c>
      <c r="BO93" s="75">
        <v>0</v>
      </c>
      <c r="BP93" s="75">
        <v>0</v>
      </c>
      <c r="BQ93" s="75">
        <v>0</v>
      </c>
      <c r="BR93" s="75">
        <v>0</v>
      </c>
      <c r="BS93" s="75">
        <v>0</v>
      </c>
      <c r="BT93" s="75">
        <v>0</v>
      </c>
      <c r="BU93" s="75">
        <v>0</v>
      </c>
      <c r="BV93" s="75">
        <v>0</v>
      </c>
      <c r="BW93" s="75">
        <v>0</v>
      </c>
      <c r="BX93" s="75">
        <v>0</v>
      </c>
      <c r="BY93" s="75">
        <v>0</v>
      </c>
      <c r="BZ93" s="75">
        <v>0</v>
      </c>
      <c r="CA93" s="75">
        <v>0</v>
      </c>
      <c r="CB93" s="75">
        <v>0</v>
      </c>
      <c r="CC93" s="75">
        <v>0</v>
      </c>
      <c r="CD93" s="75">
        <v>0</v>
      </c>
      <c r="CE93" s="75">
        <v>0</v>
      </c>
      <c r="CF93" s="75">
        <v>0</v>
      </c>
      <c r="CG93" s="75">
        <v>0</v>
      </c>
      <c r="CH93" s="75">
        <v>0</v>
      </c>
      <c r="CI93" s="75">
        <v>0</v>
      </c>
      <c r="CJ93" s="75">
        <v>0</v>
      </c>
      <c r="CK93" s="75">
        <v>0</v>
      </c>
      <c r="CL93" s="75">
        <v>0</v>
      </c>
      <c r="CM93" s="75">
        <v>0</v>
      </c>
      <c r="CN93" s="75">
        <v>0</v>
      </c>
      <c r="CO93" s="75">
        <v>0</v>
      </c>
      <c r="CP93" s="75">
        <v>0</v>
      </c>
      <c r="CQ93" s="75">
        <v>0</v>
      </c>
      <c r="CR93" s="75">
        <v>0</v>
      </c>
      <c r="CS93" s="75">
        <v>0</v>
      </c>
      <c r="CT93" s="75">
        <v>0</v>
      </c>
      <c r="CU93" s="75">
        <v>0</v>
      </c>
      <c r="CV93" s="75">
        <v>0</v>
      </c>
      <c r="CW93" s="75">
        <v>0</v>
      </c>
      <c r="CX93" s="75">
        <v>0</v>
      </c>
      <c r="CY93" s="75">
        <v>0</v>
      </c>
      <c r="CZ93" s="75">
        <v>0</v>
      </c>
      <c r="DA93" s="75">
        <v>0</v>
      </c>
      <c r="DB93" s="75">
        <v>0</v>
      </c>
    </row>
    <row r="94" spans="3:106">
      <c r="C94" s="27" t="str">
        <f>Rentroll!$C$54</f>
        <v>203호</v>
      </c>
      <c r="D94" s="80">
        <f>VLOOKUP($C94,Rentroll!$C$37:$Z$60,9,FALSE)</f>
        <v>45747</v>
      </c>
      <c r="E94" s="150">
        <f>VLOOKUP($C94,Rentroll!$C$37:$Z$60,24,FALSE)</f>
        <v>1</v>
      </c>
      <c r="F94" s="75">
        <f t="shared" si="50"/>
        <v>28.596048731250001</v>
      </c>
      <c r="G94" s="75"/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f t="shared" ref="O94:T94" si="67">I66</f>
        <v>0</v>
      </c>
      <c r="P94" s="75">
        <f t="shared" si="67"/>
        <v>28.596048731250001</v>
      </c>
      <c r="Q94" s="75">
        <f t="shared" si="67"/>
        <v>0</v>
      </c>
      <c r="R94" s="75">
        <f t="shared" si="67"/>
        <v>0</v>
      </c>
      <c r="S94" s="75">
        <f t="shared" si="67"/>
        <v>0</v>
      </c>
      <c r="T94" s="75">
        <f t="shared" si="67"/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  <c r="AK94" s="75">
        <v>0</v>
      </c>
      <c r="AL94" s="75">
        <v>0</v>
      </c>
      <c r="AM94" s="75">
        <v>0</v>
      </c>
      <c r="AN94" s="75">
        <v>0</v>
      </c>
      <c r="AO94" s="75">
        <v>0</v>
      </c>
      <c r="AP94" s="75">
        <v>0</v>
      </c>
      <c r="AQ94" s="75">
        <v>0</v>
      </c>
      <c r="AR94" s="75">
        <v>0</v>
      </c>
      <c r="AS94" s="75">
        <v>0</v>
      </c>
      <c r="AT94" s="75">
        <v>0</v>
      </c>
      <c r="AU94" s="75">
        <v>0</v>
      </c>
      <c r="AV94" s="75">
        <v>0</v>
      </c>
      <c r="AW94" s="75">
        <v>0</v>
      </c>
      <c r="AX94" s="75">
        <v>0</v>
      </c>
      <c r="AY94" s="75">
        <v>0</v>
      </c>
      <c r="AZ94" s="75">
        <v>0</v>
      </c>
      <c r="BA94" s="75">
        <v>0</v>
      </c>
      <c r="BB94" s="75">
        <v>0</v>
      </c>
      <c r="BC94" s="75">
        <v>0</v>
      </c>
      <c r="BD94" s="75">
        <v>0</v>
      </c>
      <c r="BE94" s="75">
        <v>0</v>
      </c>
      <c r="BF94" s="75">
        <v>0</v>
      </c>
      <c r="BG94" s="75">
        <v>0</v>
      </c>
      <c r="BH94" s="75">
        <v>0</v>
      </c>
      <c r="BI94" s="75">
        <v>0</v>
      </c>
      <c r="BJ94" s="75">
        <v>0</v>
      </c>
      <c r="BK94" s="75">
        <v>0</v>
      </c>
      <c r="BL94" s="75">
        <v>0</v>
      </c>
      <c r="BM94" s="75">
        <v>0</v>
      </c>
      <c r="BN94" s="75">
        <v>0</v>
      </c>
      <c r="BO94" s="75">
        <v>0</v>
      </c>
      <c r="BP94" s="75">
        <v>0</v>
      </c>
      <c r="BQ94" s="75">
        <v>0</v>
      </c>
      <c r="BR94" s="75">
        <v>0</v>
      </c>
      <c r="BS94" s="75">
        <v>0</v>
      </c>
      <c r="BT94" s="75">
        <v>0</v>
      </c>
      <c r="BU94" s="75">
        <v>0</v>
      </c>
      <c r="BV94" s="75">
        <v>0</v>
      </c>
      <c r="BW94" s="75">
        <v>0</v>
      </c>
      <c r="BX94" s="75">
        <v>0</v>
      </c>
      <c r="BY94" s="75">
        <v>0</v>
      </c>
      <c r="BZ94" s="75">
        <v>0</v>
      </c>
      <c r="CA94" s="75">
        <v>0</v>
      </c>
      <c r="CB94" s="75">
        <v>0</v>
      </c>
      <c r="CC94" s="75">
        <v>0</v>
      </c>
      <c r="CD94" s="75">
        <v>0</v>
      </c>
      <c r="CE94" s="75">
        <v>0</v>
      </c>
      <c r="CF94" s="75">
        <v>0</v>
      </c>
      <c r="CG94" s="75">
        <v>0</v>
      </c>
      <c r="CH94" s="75">
        <v>0</v>
      </c>
      <c r="CI94" s="75">
        <v>0</v>
      </c>
      <c r="CJ94" s="75">
        <v>0</v>
      </c>
      <c r="CK94" s="75">
        <v>0</v>
      </c>
      <c r="CL94" s="75">
        <v>0</v>
      </c>
      <c r="CM94" s="75">
        <v>0</v>
      </c>
      <c r="CN94" s="75">
        <v>0</v>
      </c>
      <c r="CO94" s="75">
        <v>0</v>
      </c>
      <c r="CP94" s="75">
        <v>0</v>
      </c>
      <c r="CQ94" s="75">
        <v>0</v>
      </c>
      <c r="CR94" s="75">
        <v>0</v>
      </c>
      <c r="CS94" s="75">
        <v>0</v>
      </c>
      <c r="CT94" s="75">
        <v>0</v>
      </c>
      <c r="CU94" s="75">
        <v>0</v>
      </c>
      <c r="CV94" s="75">
        <v>0</v>
      </c>
      <c r="CW94" s="75">
        <v>0</v>
      </c>
      <c r="CX94" s="75">
        <v>0</v>
      </c>
      <c r="CY94" s="75">
        <v>0</v>
      </c>
      <c r="CZ94" s="75">
        <v>0</v>
      </c>
      <c r="DA94" s="75">
        <v>0</v>
      </c>
      <c r="DB94" s="75">
        <v>0</v>
      </c>
    </row>
    <row r="95" spans="3:106">
      <c r="C95" s="27" t="str">
        <f>Rentroll!$C$55</f>
        <v>204호</v>
      </c>
      <c r="D95" s="80">
        <f>VLOOKUP($C95,Rentroll!$C$37:$Z$60,9,FALSE)</f>
        <v>45747</v>
      </c>
      <c r="E95" s="150">
        <f>VLOOKUP($C95,Rentroll!$C$37:$Z$60,24,FALSE)</f>
        <v>1</v>
      </c>
      <c r="F95" s="76">
        <f t="shared" si="50"/>
        <v>28.596048731250001</v>
      </c>
      <c r="G95" s="76"/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f t="shared" ref="O95:T95" si="68">I67</f>
        <v>0</v>
      </c>
      <c r="P95" s="76">
        <f t="shared" si="68"/>
        <v>28.596048731250001</v>
      </c>
      <c r="Q95" s="76">
        <f t="shared" si="68"/>
        <v>0</v>
      </c>
      <c r="R95" s="76">
        <f t="shared" si="68"/>
        <v>0</v>
      </c>
      <c r="S95" s="76">
        <f t="shared" si="68"/>
        <v>0</v>
      </c>
      <c r="T95" s="76">
        <f t="shared" si="68"/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76">
        <v>0</v>
      </c>
      <c r="AH95" s="76">
        <v>0</v>
      </c>
      <c r="AI95" s="76">
        <v>0</v>
      </c>
      <c r="AJ95" s="76">
        <v>0</v>
      </c>
      <c r="AK95" s="76">
        <v>0</v>
      </c>
      <c r="AL95" s="76">
        <v>0</v>
      </c>
      <c r="AM95" s="76">
        <v>0</v>
      </c>
      <c r="AN95" s="76">
        <v>0</v>
      </c>
      <c r="AO95" s="76">
        <v>0</v>
      </c>
      <c r="AP95" s="76">
        <v>0</v>
      </c>
      <c r="AQ95" s="76">
        <v>0</v>
      </c>
      <c r="AR95" s="76">
        <v>0</v>
      </c>
      <c r="AS95" s="76">
        <v>0</v>
      </c>
      <c r="AT95" s="76">
        <v>0</v>
      </c>
      <c r="AU95" s="76">
        <v>0</v>
      </c>
      <c r="AV95" s="76">
        <v>0</v>
      </c>
      <c r="AW95" s="76">
        <v>0</v>
      </c>
      <c r="AX95" s="76">
        <v>0</v>
      </c>
      <c r="AY95" s="76">
        <v>0</v>
      </c>
      <c r="AZ95" s="76">
        <v>0</v>
      </c>
      <c r="BA95" s="76">
        <v>0</v>
      </c>
      <c r="BB95" s="76">
        <v>0</v>
      </c>
      <c r="BC95" s="76">
        <v>0</v>
      </c>
      <c r="BD95" s="76">
        <v>0</v>
      </c>
      <c r="BE95" s="76">
        <v>0</v>
      </c>
      <c r="BF95" s="76">
        <v>0</v>
      </c>
      <c r="BG95" s="76">
        <v>0</v>
      </c>
      <c r="BH95" s="76">
        <v>0</v>
      </c>
      <c r="BI95" s="76">
        <v>0</v>
      </c>
      <c r="BJ95" s="76">
        <v>0</v>
      </c>
      <c r="BK95" s="76">
        <v>0</v>
      </c>
      <c r="BL95" s="76">
        <v>0</v>
      </c>
      <c r="BM95" s="76">
        <v>0</v>
      </c>
      <c r="BN95" s="76">
        <v>0</v>
      </c>
      <c r="BO95" s="76">
        <v>0</v>
      </c>
      <c r="BP95" s="76">
        <v>0</v>
      </c>
      <c r="BQ95" s="76">
        <v>0</v>
      </c>
      <c r="BR95" s="76">
        <v>0</v>
      </c>
      <c r="BS95" s="76">
        <v>0</v>
      </c>
      <c r="BT95" s="76">
        <v>0</v>
      </c>
      <c r="BU95" s="76">
        <v>0</v>
      </c>
      <c r="BV95" s="76">
        <v>0</v>
      </c>
      <c r="BW95" s="76">
        <v>0</v>
      </c>
      <c r="BX95" s="76">
        <v>0</v>
      </c>
      <c r="BY95" s="76">
        <v>0</v>
      </c>
      <c r="BZ95" s="76">
        <v>0</v>
      </c>
      <c r="CA95" s="76">
        <v>0</v>
      </c>
      <c r="CB95" s="76">
        <v>0</v>
      </c>
      <c r="CC95" s="76">
        <v>0</v>
      </c>
      <c r="CD95" s="76">
        <v>0</v>
      </c>
      <c r="CE95" s="76">
        <v>0</v>
      </c>
      <c r="CF95" s="76">
        <v>0</v>
      </c>
      <c r="CG95" s="76">
        <v>0</v>
      </c>
      <c r="CH95" s="76">
        <v>0</v>
      </c>
      <c r="CI95" s="76">
        <v>0</v>
      </c>
      <c r="CJ95" s="76">
        <v>0</v>
      </c>
      <c r="CK95" s="76">
        <v>0</v>
      </c>
      <c r="CL95" s="76">
        <v>0</v>
      </c>
      <c r="CM95" s="76">
        <v>0</v>
      </c>
      <c r="CN95" s="76">
        <v>0</v>
      </c>
      <c r="CO95" s="76">
        <v>0</v>
      </c>
      <c r="CP95" s="76">
        <v>0</v>
      </c>
      <c r="CQ95" s="76">
        <v>0</v>
      </c>
      <c r="CR95" s="76">
        <v>0</v>
      </c>
      <c r="CS95" s="76">
        <v>0</v>
      </c>
      <c r="CT95" s="76">
        <v>0</v>
      </c>
      <c r="CU95" s="76">
        <v>0</v>
      </c>
      <c r="CV95" s="76">
        <v>0</v>
      </c>
      <c r="CW95" s="76">
        <v>0</v>
      </c>
      <c r="CX95" s="76">
        <v>0</v>
      </c>
      <c r="CY95" s="76">
        <v>0</v>
      </c>
      <c r="CZ95" s="76">
        <v>0</v>
      </c>
      <c r="DA95" s="76">
        <v>0</v>
      </c>
      <c r="DB95" s="76">
        <v>0</v>
      </c>
    </row>
    <row r="96" spans="3:106">
      <c r="C96" s="28" t="str">
        <f>Rentroll!$C$56</f>
        <v>101호</v>
      </c>
      <c r="D96" s="80">
        <f>VLOOKUP($C96,Rentroll!$C$37:$Z$60,9,FALSE)</f>
        <v>45838</v>
      </c>
      <c r="E96" s="150">
        <f>VLOOKUP($C96,Rentroll!$C$37:$Z$60,24,FALSE)</f>
        <v>1</v>
      </c>
      <c r="F96" s="75">
        <f t="shared" si="50"/>
        <v>46.193474250000001</v>
      </c>
      <c r="G96" s="75"/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f t="shared" ref="O96:T96" si="69">I68</f>
        <v>0</v>
      </c>
      <c r="P96" s="75">
        <f t="shared" si="69"/>
        <v>0</v>
      </c>
      <c r="Q96" s="75">
        <f t="shared" si="69"/>
        <v>0</v>
      </c>
      <c r="R96" s="75">
        <f t="shared" si="69"/>
        <v>0</v>
      </c>
      <c r="S96" s="75">
        <f t="shared" si="69"/>
        <v>46.193474250000001</v>
      </c>
      <c r="T96" s="75">
        <f t="shared" si="69"/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  <c r="AJ96" s="75">
        <v>0</v>
      </c>
      <c r="AK96" s="75">
        <v>0</v>
      </c>
      <c r="AL96" s="75">
        <v>0</v>
      </c>
      <c r="AM96" s="75">
        <v>0</v>
      </c>
      <c r="AN96" s="75">
        <v>0</v>
      </c>
      <c r="AO96" s="75">
        <v>0</v>
      </c>
      <c r="AP96" s="75">
        <v>0</v>
      </c>
      <c r="AQ96" s="75">
        <v>0</v>
      </c>
      <c r="AR96" s="75">
        <v>0</v>
      </c>
      <c r="AS96" s="75">
        <v>0</v>
      </c>
      <c r="AT96" s="75">
        <v>0</v>
      </c>
      <c r="AU96" s="75">
        <v>0</v>
      </c>
      <c r="AV96" s="75">
        <v>0</v>
      </c>
      <c r="AW96" s="75">
        <v>0</v>
      </c>
      <c r="AX96" s="75">
        <v>0</v>
      </c>
      <c r="AY96" s="75">
        <v>0</v>
      </c>
      <c r="AZ96" s="75">
        <v>0</v>
      </c>
      <c r="BA96" s="75">
        <v>0</v>
      </c>
      <c r="BB96" s="75">
        <v>0</v>
      </c>
      <c r="BC96" s="75">
        <v>0</v>
      </c>
      <c r="BD96" s="75">
        <v>0</v>
      </c>
      <c r="BE96" s="75">
        <v>0</v>
      </c>
      <c r="BF96" s="75">
        <v>0</v>
      </c>
      <c r="BG96" s="75">
        <v>0</v>
      </c>
      <c r="BH96" s="75">
        <v>0</v>
      </c>
      <c r="BI96" s="75">
        <v>0</v>
      </c>
      <c r="BJ96" s="75">
        <v>0</v>
      </c>
      <c r="BK96" s="75">
        <v>0</v>
      </c>
      <c r="BL96" s="75">
        <v>0</v>
      </c>
      <c r="BM96" s="75">
        <v>0</v>
      </c>
      <c r="BN96" s="75">
        <v>0</v>
      </c>
      <c r="BO96" s="75">
        <v>0</v>
      </c>
      <c r="BP96" s="75">
        <v>0</v>
      </c>
      <c r="BQ96" s="75">
        <v>0</v>
      </c>
      <c r="BR96" s="75">
        <v>0</v>
      </c>
      <c r="BS96" s="75">
        <v>0</v>
      </c>
      <c r="BT96" s="75">
        <v>0</v>
      </c>
      <c r="BU96" s="75">
        <v>0</v>
      </c>
      <c r="BV96" s="75">
        <v>0</v>
      </c>
      <c r="BW96" s="75">
        <v>0</v>
      </c>
      <c r="BX96" s="75">
        <v>0</v>
      </c>
      <c r="BY96" s="75">
        <v>0</v>
      </c>
      <c r="BZ96" s="75">
        <v>0</v>
      </c>
      <c r="CA96" s="75">
        <v>0</v>
      </c>
      <c r="CB96" s="75">
        <v>0</v>
      </c>
      <c r="CC96" s="75">
        <v>0</v>
      </c>
      <c r="CD96" s="75">
        <v>0</v>
      </c>
      <c r="CE96" s="75">
        <v>0</v>
      </c>
      <c r="CF96" s="75">
        <v>0</v>
      </c>
      <c r="CG96" s="75">
        <v>0</v>
      </c>
      <c r="CH96" s="75">
        <v>0</v>
      </c>
      <c r="CI96" s="75">
        <v>0</v>
      </c>
      <c r="CJ96" s="75">
        <v>0</v>
      </c>
      <c r="CK96" s="75">
        <v>0</v>
      </c>
      <c r="CL96" s="75">
        <v>0</v>
      </c>
      <c r="CM96" s="75">
        <v>0</v>
      </c>
      <c r="CN96" s="75">
        <v>0</v>
      </c>
      <c r="CO96" s="75">
        <v>0</v>
      </c>
      <c r="CP96" s="75">
        <v>0</v>
      </c>
      <c r="CQ96" s="75">
        <v>0</v>
      </c>
      <c r="CR96" s="75">
        <v>0</v>
      </c>
      <c r="CS96" s="75">
        <v>0</v>
      </c>
      <c r="CT96" s="75">
        <v>0</v>
      </c>
      <c r="CU96" s="75">
        <v>0</v>
      </c>
      <c r="CV96" s="75">
        <v>0</v>
      </c>
      <c r="CW96" s="75">
        <v>0</v>
      </c>
      <c r="CX96" s="75">
        <v>0</v>
      </c>
      <c r="CY96" s="75">
        <v>0</v>
      </c>
      <c r="CZ96" s="75">
        <v>0</v>
      </c>
      <c r="DA96" s="75">
        <v>0</v>
      </c>
      <c r="DB96" s="75">
        <v>0</v>
      </c>
    </row>
    <row r="97" spans="2:106">
      <c r="C97" s="28" t="str">
        <f>Rentroll!$C$57</f>
        <v>102호</v>
      </c>
      <c r="D97" s="80">
        <f>VLOOKUP($C97,Rentroll!$C$37:$Z$60,9,FALSE)</f>
        <v>45838</v>
      </c>
      <c r="E97" s="150">
        <f>VLOOKUP($C97,Rentroll!$C$37:$Z$60,24,FALSE)</f>
        <v>1</v>
      </c>
      <c r="F97" s="75">
        <f t="shared" si="50"/>
        <v>46.193474250000001</v>
      </c>
      <c r="G97" s="75"/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f t="shared" ref="O97:T97" si="70">I69</f>
        <v>0</v>
      </c>
      <c r="P97" s="75">
        <f t="shared" si="70"/>
        <v>0</v>
      </c>
      <c r="Q97" s="75">
        <f t="shared" si="70"/>
        <v>0</v>
      </c>
      <c r="R97" s="75">
        <f t="shared" si="70"/>
        <v>0</v>
      </c>
      <c r="S97" s="75">
        <f t="shared" si="70"/>
        <v>46.193474250000001</v>
      </c>
      <c r="T97" s="75">
        <f t="shared" si="70"/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0</v>
      </c>
      <c r="AE97" s="75">
        <v>0</v>
      </c>
      <c r="AF97" s="75">
        <v>0</v>
      </c>
      <c r="AG97" s="75">
        <v>0</v>
      </c>
      <c r="AH97" s="75">
        <v>0</v>
      </c>
      <c r="AI97" s="75">
        <v>0</v>
      </c>
      <c r="AJ97" s="75">
        <v>0</v>
      </c>
      <c r="AK97" s="75">
        <v>0</v>
      </c>
      <c r="AL97" s="75">
        <v>0</v>
      </c>
      <c r="AM97" s="75">
        <v>0</v>
      </c>
      <c r="AN97" s="75">
        <v>0</v>
      </c>
      <c r="AO97" s="75">
        <v>0</v>
      </c>
      <c r="AP97" s="75">
        <v>0</v>
      </c>
      <c r="AQ97" s="75">
        <v>0</v>
      </c>
      <c r="AR97" s="75">
        <v>0</v>
      </c>
      <c r="AS97" s="75">
        <v>0</v>
      </c>
      <c r="AT97" s="75">
        <v>0</v>
      </c>
      <c r="AU97" s="75">
        <v>0</v>
      </c>
      <c r="AV97" s="75">
        <v>0</v>
      </c>
      <c r="AW97" s="75">
        <v>0</v>
      </c>
      <c r="AX97" s="75">
        <v>0</v>
      </c>
      <c r="AY97" s="75">
        <v>0</v>
      </c>
      <c r="AZ97" s="75">
        <v>0</v>
      </c>
      <c r="BA97" s="75">
        <v>0</v>
      </c>
      <c r="BB97" s="75">
        <v>0</v>
      </c>
      <c r="BC97" s="75">
        <v>0</v>
      </c>
      <c r="BD97" s="75">
        <v>0</v>
      </c>
      <c r="BE97" s="75">
        <v>0</v>
      </c>
      <c r="BF97" s="75">
        <v>0</v>
      </c>
      <c r="BG97" s="75">
        <v>0</v>
      </c>
      <c r="BH97" s="75">
        <v>0</v>
      </c>
      <c r="BI97" s="75">
        <v>0</v>
      </c>
      <c r="BJ97" s="75">
        <v>0</v>
      </c>
      <c r="BK97" s="75">
        <v>0</v>
      </c>
      <c r="BL97" s="75">
        <v>0</v>
      </c>
      <c r="BM97" s="75">
        <v>0</v>
      </c>
      <c r="BN97" s="75">
        <v>0</v>
      </c>
      <c r="BO97" s="75">
        <v>0</v>
      </c>
      <c r="BP97" s="75">
        <v>0</v>
      </c>
      <c r="BQ97" s="75">
        <v>0</v>
      </c>
      <c r="BR97" s="75">
        <v>0</v>
      </c>
      <c r="BS97" s="75">
        <v>0</v>
      </c>
      <c r="BT97" s="75">
        <v>0</v>
      </c>
      <c r="BU97" s="75">
        <v>0</v>
      </c>
      <c r="BV97" s="75">
        <v>0</v>
      </c>
      <c r="BW97" s="75">
        <v>0</v>
      </c>
      <c r="BX97" s="75">
        <v>0</v>
      </c>
      <c r="BY97" s="75">
        <v>0</v>
      </c>
      <c r="BZ97" s="75">
        <v>0</v>
      </c>
      <c r="CA97" s="75">
        <v>0</v>
      </c>
      <c r="CB97" s="75">
        <v>0</v>
      </c>
      <c r="CC97" s="75">
        <v>0</v>
      </c>
      <c r="CD97" s="75">
        <v>0</v>
      </c>
      <c r="CE97" s="75">
        <v>0</v>
      </c>
      <c r="CF97" s="75">
        <v>0</v>
      </c>
      <c r="CG97" s="75">
        <v>0</v>
      </c>
      <c r="CH97" s="75">
        <v>0</v>
      </c>
      <c r="CI97" s="75">
        <v>0</v>
      </c>
      <c r="CJ97" s="75">
        <v>0</v>
      </c>
      <c r="CK97" s="75">
        <v>0</v>
      </c>
      <c r="CL97" s="75">
        <v>0</v>
      </c>
      <c r="CM97" s="75">
        <v>0</v>
      </c>
      <c r="CN97" s="75">
        <v>0</v>
      </c>
      <c r="CO97" s="75">
        <v>0</v>
      </c>
      <c r="CP97" s="75">
        <v>0</v>
      </c>
      <c r="CQ97" s="75">
        <v>0</v>
      </c>
      <c r="CR97" s="75">
        <v>0</v>
      </c>
      <c r="CS97" s="75">
        <v>0</v>
      </c>
      <c r="CT97" s="75">
        <v>0</v>
      </c>
      <c r="CU97" s="75">
        <v>0</v>
      </c>
      <c r="CV97" s="75">
        <v>0</v>
      </c>
      <c r="CW97" s="75">
        <v>0</v>
      </c>
      <c r="CX97" s="75">
        <v>0</v>
      </c>
      <c r="CY97" s="75">
        <v>0</v>
      </c>
      <c r="CZ97" s="75">
        <v>0</v>
      </c>
      <c r="DA97" s="75">
        <v>0</v>
      </c>
      <c r="DB97" s="75">
        <v>0</v>
      </c>
    </row>
    <row r="98" spans="2:106">
      <c r="C98" s="28" t="str">
        <f>Rentroll!$C$58</f>
        <v>B101호</v>
      </c>
      <c r="D98" s="80">
        <f>VLOOKUP($C98,Rentroll!$C$37:$Z$60,9,FALSE)</f>
        <v>46752</v>
      </c>
      <c r="E98" s="150">
        <f>VLOOKUP($C98,Rentroll!$C$37:$Z$60,24,FALSE)</f>
        <v>1</v>
      </c>
      <c r="F98" s="75">
        <f t="shared" si="50"/>
        <v>0</v>
      </c>
      <c r="G98" s="75"/>
      <c r="H98" s="75">
        <v>0</v>
      </c>
      <c r="I98" s="75">
        <v>0</v>
      </c>
      <c r="J98" s="75">
        <v>0</v>
      </c>
      <c r="K98" s="75">
        <v>0</v>
      </c>
      <c r="L98" s="75">
        <v>0</v>
      </c>
      <c r="M98" s="75">
        <v>0</v>
      </c>
      <c r="N98" s="75">
        <v>0</v>
      </c>
      <c r="O98" s="75">
        <f t="shared" ref="O98:T98" si="71">I70</f>
        <v>0</v>
      </c>
      <c r="P98" s="75">
        <f t="shared" si="71"/>
        <v>0</v>
      </c>
      <c r="Q98" s="75">
        <f t="shared" si="71"/>
        <v>0</v>
      </c>
      <c r="R98" s="75">
        <f t="shared" si="71"/>
        <v>0</v>
      </c>
      <c r="S98" s="75">
        <f t="shared" si="71"/>
        <v>0</v>
      </c>
      <c r="T98" s="75">
        <f t="shared" si="71"/>
        <v>0</v>
      </c>
      <c r="U98" s="75">
        <v>0</v>
      </c>
      <c r="V98" s="75">
        <v>0</v>
      </c>
      <c r="W98" s="75">
        <v>0</v>
      </c>
      <c r="X98" s="75">
        <v>0</v>
      </c>
      <c r="Y98" s="75">
        <v>0</v>
      </c>
      <c r="Z98" s="75">
        <v>0</v>
      </c>
      <c r="AA98" s="75">
        <v>0</v>
      </c>
      <c r="AB98" s="75">
        <v>0</v>
      </c>
      <c r="AC98" s="75">
        <v>0</v>
      </c>
      <c r="AD98" s="75">
        <v>0</v>
      </c>
      <c r="AE98" s="75">
        <v>0</v>
      </c>
      <c r="AF98" s="75">
        <v>0</v>
      </c>
      <c r="AG98" s="75">
        <v>0</v>
      </c>
      <c r="AH98" s="75">
        <v>0</v>
      </c>
      <c r="AI98" s="75">
        <v>0</v>
      </c>
      <c r="AJ98" s="75">
        <v>0</v>
      </c>
      <c r="AK98" s="75">
        <v>0</v>
      </c>
      <c r="AL98" s="75">
        <v>0</v>
      </c>
      <c r="AM98" s="75">
        <v>0</v>
      </c>
      <c r="AN98" s="75">
        <v>0</v>
      </c>
      <c r="AO98" s="75">
        <v>0</v>
      </c>
      <c r="AP98" s="75">
        <v>0</v>
      </c>
      <c r="AQ98" s="75">
        <v>0</v>
      </c>
      <c r="AR98" s="75">
        <v>0</v>
      </c>
      <c r="AS98" s="75">
        <v>0</v>
      </c>
      <c r="AT98" s="75">
        <v>0</v>
      </c>
      <c r="AU98" s="75">
        <v>0</v>
      </c>
      <c r="AV98" s="75">
        <v>0</v>
      </c>
      <c r="AW98" s="75">
        <v>0</v>
      </c>
      <c r="AX98" s="75">
        <v>0</v>
      </c>
      <c r="AY98" s="75">
        <v>0</v>
      </c>
      <c r="AZ98" s="75">
        <v>0</v>
      </c>
      <c r="BA98" s="75">
        <v>0</v>
      </c>
      <c r="BB98" s="75">
        <v>0</v>
      </c>
      <c r="BC98" s="75">
        <v>0</v>
      </c>
      <c r="BD98" s="75">
        <v>0</v>
      </c>
      <c r="BE98" s="75">
        <v>0</v>
      </c>
      <c r="BF98" s="75">
        <v>0</v>
      </c>
      <c r="BG98" s="75">
        <v>0</v>
      </c>
      <c r="BH98" s="75">
        <v>0</v>
      </c>
      <c r="BI98" s="75">
        <v>0</v>
      </c>
      <c r="BJ98" s="75">
        <v>0</v>
      </c>
      <c r="BK98" s="75">
        <v>0</v>
      </c>
      <c r="BL98" s="75">
        <v>0</v>
      </c>
      <c r="BM98" s="75">
        <v>0</v>
      </c>
      <c r="BN98" s="75">
        <v>0</v>
      </c>
      <c r="BO98" s="75">
        <v>0</v>
      </c>
      <c r="BP98" s="75">
        <v>0</v>
      </c>
      <c r="BQ98" s="75">
        <v>0</v>
      </c>
      <c r="BR98" s="75">
        <v>0</v>
      </c>
      <c r="BS98" s="75">
        <v>0</v>
      </c>
      <c r="BT98" s="75">
        <v>0</v>
      </c>
      <c r="BU98" s="75">
        <v>0</v>
      </c>
      <c r="BV98" s="75">
        <v>0</v>
      </c>
      <c r="BW98" s="75">
        <v>0</v>
      </c>
      <c r="BX98" s="75">
        <v>0</v>
      </c>
      <c r="BY98" s="75">
        <v>0</v>
      </c>
      <c r="BZ98" s="75">
        <v>0</v>
      </c>
      <c r="CA98" s="75">
        <v>0</v>
      </c>
      <c r="CB98" s="75">
        <v>0</v>
      </c>
      <c r="CC98" s="75">
        <v>0</v>
      </c>
      <c r="CD98" s="75">
        <v>0</v>
      </c>
      <c r="CE98" s="75">
        <v>0</v>
      </c>
      <c r="CF98" s="75">
        <v>0</v>
      </c>
      <c r="CG98" s="75">
        <v>0</v>
      </c>
      <c r="CH98" s="75">
        <v>0</v>
      </c>
      <c r="CI98" s="75">
        <v>0</v>
      </c>
      <c r="CJ98" s="75">
        <v>0</v>
      </c>
      <c r="CK98" s="75">
        <v>0</v>
      </c>
      <c r="CL98" s="75">
        <v>0</v>
      </c>
      <c r="CM98" s="75">
        <v>0</v>
      </c>
      <c r="CN98" s="75">
        <v>0</v>
      </c>
      <c r="CO98" s="75">
        <v>0</v>
      </c>
      <c r="CP98" s="75">
        <v>0</v>
      </c>
      <c r="CQ98" s="75">
        <v>0</v>
      </c>
      <c r="CR98" s="75">
        <v>0</v>
      </c>
      <c r="CS98" s="75">
        <v>0</v>
      </c>
      <c r="CT98" s="75">
        <v>0</v>
      </c>
      <c r="CU98" s="75">
        <v>0</v>
      </c>
      <c r="CV98" s="75">
        <v>0</v>
      </c>
      <c r="CW98" s="75">
        <v>0</v>
      </c>
      <c r="CX98" s="75">
        <v>0</v>
      </c>
      <c r="CY98" s="75">
        <v>0</v>
      </c>
      <c r="CZ98" s="75">
        <v>0</v>
      </c>
      <c r="DA98" s="75">
        <v>0</v>
      </c>
      <c r="DB98" s="75">
        <v>0</v>
      </c>
    </row>
    <row r="99" spans="2:106">
      <c r="C99" s="28" t="str">
        <f>Rentroll!$C$59</f>
        <v>B102호</v>
      </c>
      <c r="D99" s="80">
        <f>VLOOKUP($C99,Rentroll!$C$37:$Z$60,9,FALSE)</f>
        <v>46418</v>
      </c>
      <c r="E99" s="150">
        <f>VLOOKUP($C99,Rentroll!$C$37:$Z$60,24,FALSE)</f>
        <v>1</v>
      </c>
      <c r="F99" s="75">
        <f t="shared" si="50"/>
        <v>0</v>
      </c>
      <c r="G99" s="75"/>
      <c r="H99" s="75">
        <v>0</v>
      </c>
      <c r="I99" s="75">
        <v>0</v>
      </c>
      <c r="J99" s="75">
        <v>0</v>
      </c>
      <c r="K99" s="75">
        <v>0</v>
      </c>
      <c r="L99" s="75">
        <v>0</v>
      </c>
      <c r="M99" s="75">
        <v>0</v>
      </c>
      <c r="N99" s="75">
        <v>0</v>
      </c>
      <c r="O99" s="75">
        <f t="shared" ref="O99:T99" si="72">I71</f>
        <v>0</v>
      </c>
      <c r="P99" s="75">
        <f t="shared" si="72"/>
        <v>0</v>
      </c>
      <c r="Q99" s="75">
        <f t="shared" si="72"/>
        <v>0</v>
      </c>
      <c r="R99" s="75">
        <f t="shared" si="72"/>
        <v>0</v>
      </c>
      <c r="S99" s="75">
        <f t="shared" si="72"/>
        <v>0</v>
      </c>
      <c r="T99" s="75">
        <f t="shared" si="72"/>
        <v>0</v>
      </c>
      <c r="U99" s="75">
        <v>0</v>
      </c>
      <c r="V99" s="75">
        <v>0</v>
      </c>
      <c r="W99" s="75">
        <v>0</v>
      </c>
      <c r="X99" s="75">
        <v>0</v>
      </c>
      <c r="Y99" s="75">
        <v>0</v>
      </c>
      <c r="Z99" s="75">
        <v>0</v>
      </c>
      <c r="AA99" s="75">
        <v>0</v>
      </c>
      <c r="AB99" s="75">
        <v>0</v>
      </c>
      <c r="AC99" s="75">
        <v>0</v>
      </c>
      <c r="AD99" s="75">
        <v>0</v>
      </c>
      <c r="AE99" s="75">
        <v>0</v>
      </c>
      <c r="AF99" s="75">
        <v>0</v>
      </c>
      <c r="AG99" s="75">
        <v>0</v>
      </c>
      <c r="AH99" s="75">
        <v>0</v>
      </c>
      <c r="AI99" s="75">
        <v>0</v>
      </c>
      <c r="AJ99" s="75">
        <v>0</v>
      </c>
      <c r="AK99" s="75">
        <v>0</v>
      </c>
      <c r="AL99" s="75">
        <v>0</v>
      </c>
      <c r="AM99" s="75">
        <v>0</v>
      </c>
      <c r="AN99" s="75">
        <v>0</v>
      </c>
      <c r="AO99" s="75">
        <v>0</v>
      </c>
      <c r="AP99" s="75">
        <v>0</v>
      </c>
      <c r="AQ99" s="75">
        <v>0</v>
      </c>
      <c r="AR99" s="75">
        <v>0</v>
      </c>
      <c r="AS99" s="75">
        <v>0</v>
      </c>
      <c r="AT99" s="75">
        <v>0</v>
      </c>
      <c r="AU99" s="75">
        <v>0</v>
      </c>
      <c r="AV99" s="75">
        <v>0</v>
      </c>
      <c r="AW99" s="75">
        <v>0</v>
      </c>
      <c r="AX99" s="75">
        <v>0</v>
      </c>
      <c r="AY99" s="75">
        <v>0</v>
      </c>
      <c r="AZ99" s="75">
        <v>0</v>
      </c>
      <c r="BA99" s="75">
        <v>0</v>
      </c>
      <c r="BB99" s="75">
        <v>0</v>
      </c>
      <c r="BC99" s="75">
        <v>0</v>
      </c>
      <c r="BD99" s="75">
        <v>0</v>
      </c>
      <c r="BE99" s="75">
        <v>0</v>
      </c>
      <c r="BF99" s="75">
        <v>0</v>
      </c>
      <c r="BG99" s="75">
        <v>0</v>
      </c>
      <c r="BH99" s="75">
        <v>0</v>
      </c>
      <c r="BI99" s="75">
        <v>0</v>
      </c>
      <c r="BJ99" s="75">
        <v>0</v>
      </c>
      <c r="BK99" s="75">
        <v>0</v>
      </c>
      <c r="BL99" s="75">
        <v>0</v>
      </c>
      <c r="BM99" s="75">
        <v>0</v>
      </c>
      <c r="BN99" s="75">
        <v>0</v>
      </c>
      <c r="BO99" s="75">
        <v>0</v>
      </c>
      <c r="BP99" s="75">
        <v>0</v>
      </c>
      <c r="BQ99" s="75">
        <v>0</v>
      </c>
      <c r="BR99" s="75">
        <v>0</v>
      </c>
      <c r="BS99" s="75">
        <v>0</v>
      </c>
      <c r="BT99" s="75">
        <v>0</v>
      </c>
      <c r="BU99" s="75">
        <v>0</v>
      </c>
      <c r="BV99" s="75">
        <v>0</v>
      </c>
      <c r="BW99" s="75">
        <v>0</v>
      </c>
      <c r="BX99" s="75">
        <v>0</v>
      </c>
      <c r="BY99" s="75">
        <v>0</v>
      </c>
      <c r="BZ99" s="75">
        <v>0</v>
      </c>
      <c r="CA99" s="75">
        <v>0</v>
      </c>
      <c r="CB99" s="75">
        <v>0</v>
      </c>
      <c r="CC99" s="75">
        <v>0</v>
      </c>
      <c r="CD99" s="75">
        <v>0</v>
      </c>
      <c r="CE99" s="75">
        <v>0</v>
      </c>
      <c r="CF99" s="75">
        <v>0</v>
      </c>
      <c r="CG99" s="75">
        <v>0</v>
      </c>
      <c r="CH99" s="75">
        <v>0</v>
      </c>
      <c r="CI99" s="75">
        <v>0</v>
      </c>
      <c r="CJ99" s="75">
        <v>0</v>
      </c>
      <c r="CK99" s="75">
        <v>0</v>
      </c>
      <c r="CL99" s="75">
        <v>0</v>
      </c>
      <c r="CM99" s="75">
        <v>0</v>
      </c>
      <c r="CN99" s="75">
        <v>0</v>
      </c>
      <c r="CO99" s="75">
        <v>0</v>
      </c>
      <c r="CP99" s="75">
        <v>0</v>
      </c>
      <c r="CQ99" s="75">
        <v>0</v>
      </c>
      <c r="CR99" s="75">
        <v>0</v>
      </c>
      <c r="CS99" s="75">
        <v>0</v>
      </c>
      <c r="CT99" s="75">
        <v>0</v>
      </c>
      <c r="CU99" s="75">
        <v>0</v>
      </c>
      <c r="CV99" s="75">
        <v>0</v>
      </c>
      <c r="CW99" s="75">
        <v>0</v>
      </c>
      <c r="CX99" s="75">
        <v>0</v>
      </c>
      <c r="CY99" s="75">
        <v>0</v>
      </c>
      <c r="CZ99" s="75">
        <v>0</v>
      </c>
      <c r="DA99" s="75">
        <v>0</v>
      </c>
      <c r="DB99" s="75">
        <v>0</v>
      </c>
    </row>
    <row r="100" spans="2:106">
      <c r="C100" s="28">
        <f>Rentroll!$C$60</f>
        <v>0</v>
      </c>
      <c r="D100" s="204">
        <f>VLOOKUP($C100,Rentroll!$C$37:$Z$60,9,FALSE)</f>
        <v>0</v>
      </c>
      <c r="E100" s="205">
        <f>VLOOKUP($C100,Rentroll!$C$37:$Z$60,24,FALSE)</f>
        <v>0</v>
      </c>
      <c r="F100" s="75">
        <f t="shared" si="50"/>
        <v>0</v>
      </c>
      <c r="G100" s="75"/>
      <c r="H100" s="75">
        <v>0</v>
      </c>
      <c r="I100" s="75">
        <v>0</v>
      </c>
      <c r="J100" s="75">
        <v>0</v>
      </c>
      <c r="K100" s="75">
        <v>0</v>
      </c>
      <c r="L100" s="75">
        <v>0</v>
      </c>
      <c r="M100" s="75">
        <v>0</v>
      </c>
      <c r="N100" s="75">
        <v>0</v>
      </c>
      <c r="O100" s="75">
        <f t="shared" ref="O100:T100" si="73">I72</f>
        <v>0</v>
      </c>
      <c r="P100" s="75">
        <f t="shared" si="73"/>
        <v>0</v>
      </c>
      <c r="Q100" s="75">
        <f t="shared" si="73"/>
        <v>0</v>
      </c>
      <c r="R100" s="75">
        <f t="shared" si="73"/>
        <v>0</v>
      </c>
      <c r="S100" s="75">
        <f t="shared" si="73"/>
        <v>0</v>
      </c>
      <c r="T100" s="75">
        <f t="shared" si="73"/>
        <v>0</v>
      </c>
      <c r="U100" s="75">
        <v>0</v>
      </c>
      <c r="V100" s="75">
        <v>0</v>
      </c>
      <c r="W100" s="75">
        <v>0</v>
      </c>
      <c r="X100" s="75">
        <v>0</v>
      </c>
      <c r="Y100" s="75">
        <v>0</v>
      </c>
      <c r="Z100" s="75">
        <v>0</v>
      </c>
      <c r="AA100" s="75">
        <v>0</v>
      </c>
      <c r="AB100" s="75">
        <v>0</v>
      </c>
      <c r="AC100" s="75">
        <v>0</v>
      </c>
      <c r="AD100" s="75">
        <v>0</v>
      </c>
      <c r="AE100" s="75">
        <v>0</v>
      </c>
      <c r="AF100" s="75">
        <v>0</v>
      </c>
      <c r="AG100" s="75">
        <v>0</v>
      </c>
      <c r="AH100" s="75">
        <v>0</v>
      </c>
      <c r="AI100" s="75">
        <v>0</v>
      </c>
      <c r="AJ100" s="75">
        <v>0</v>
      </c>
      <c r="AK100" s="75">
        <v>0</v>
      </c>
      <c r="AL100" s="75">
        <v>0</v>
      </c>
      <c r="AM100" s="75">
        <v>0</v>
      </c>
      <c r="AN100" s="75">
        <v>0</v>
      </c>
      <c r="AO100" s="75">
        <v>0</v>
      </c>
      <c r="AP100" s="75">
        <v>0</v>
      </c>
      <c r="AQ100" s="75">
        <v>0</v>
      </c>
      <c r="AR100" s="75">
        <v>0</v>
      </c>
      <c r="AS100" s="75">
        <v>0</v>
      </c>
      <c r="AT100" s="75">
        <v>0</v>
      </c>
      <c r="AU100" s="75">
        <v>0</v>
      </c>
      <c r="AV100" s="75">
        <v>0</v>
      </c>
      <c r="AW100" s="75">
        <v>0</v>
      </c>
      <c r="AX100" s="75">
        <v>0</v>
      </c>
      <c r="AY100" s="75">
        <v>0</v>
      </c>
      <c r="AZ100" s="75">
        <v>0</v>
      </c>
      <c r="BA100" s="75">
        <v>0</v>
      </c>
      <c r="BB100" s="75">
        <v>0</v>
      </c>
      <c r="BC100" s="75">
        <v>0</v>
      </c>
      <c r="BD100" s="75">
        <v>0</v>
      </c>
      <c r="BE100" s="75">
        <v>0</v>
      </c>
      <c r="BF100" s="75">
        <v>0</v>
      </c>
      <c r="BG100" s="75">
        <v>0</v>
      </c>
      <c r="BH100" s="75">
        <v>0</v>
      </c>
      <c r="BI100" s="75">
        <v>0</v>
      </c>
      <c r="BJ100" s="75">
        <v>0</v>
      </c>
      <c r="BK100" s="75">
        <v>0</v>
      </c>
      <c r="BL100" s="75">
        <v>0</v>
      </c>
      <c r="BM100" s="75">
        <v>0</v>
      </c>
      <c r="BN100" s="75">
        <v>0</v>
      </c>
      <c r="BO100" s="75">
        <v>0</v>
      </c>
      <c r="BP100" s="75">
        <v>0</v>
      </c>
      <c r="BQ100" s="75">
        <v>0</v>
      </c>
      <c r="BR100" s="75">
        <v>0</v>
      </c>
      <c r="BS100" s="75">
        <v>0</v>
      </c>
      <c r="BT100" s="75">
        <v>0</v>
      </c>
      <c r="BU100" s="75">
        <v>0</v>
      </c>
      <c r="BV100" s="75">
        <v>0</v>
      </c>
      <c r="BW100" s="75">
        <v>0</v>
      </c>
      <c r="BX100" s="75">
        <v>0</v>
      </c>
      <c r="BY100" s="75">
        <v>0</v>
      </c>
      <c r="BZ100" s="75">
        <v>0</v>
      </c>
      <c r="CA100" s="75">
        <v>0</v>
      </c>
      <c r="CB100" s="75">
        <v>0</v>
      </c>
      <c r="CC100" s="75">
        <v>0</v>
      </c>
      <c r="CD100" s="75">
        <v>0</v>
      </c>
      <c r="CE100" s="75">
        <v>0</v>
      </c>
      <c r="CF100" s="75">
        <v>0</v>
      </c>
      <c r="CG100" s="75">
        <v>0</v>
      </c>
      <c r="CH100" s="75">
        <v>0</v>
      </c>
      <c r="CI100" s="75">
        <v>0</v>
      </c>
      <c r="CJ100" s="75">
        <v>0</v>
      </c>
      <c r="CK100" s="75">
        <v>0</v>
      </c>
      <c r="CL100" s="75">
        <v>0</v>
      </c>
      <c r="CM100" s="75">
        <v>0</v>
      </c>
      <c r="CN100" s="75">
        <v>0</v>
      </c>
      <c r="CO100" s="75">
        <v>0</v>
      </c>
      <c r="CP100" s="75">
        <v>0</v>
      </c>
      <c r="CQ100" s="75">
        <v>0</v>
      </c>
      <c r="CR100" s="75">
        <v>0</v>
      </c>
      <c r="CS100" s="75">
        <v>0</v>
      </c>
      <c r="CT100" s="75">
        <v>0</v>
      </c>
      <c r="CU100" s="75">
        <v>0</v>
      </c>
      <c r="CV100" s="75">
        <v>0</v>
      </c>
      <c r="CW100" s="75">
        <v>0</v>
      </c>
      <c r="CX100" s="75">
        <v>0</v>
      </c>
      <c r="CY100" s="75">
        <v>0</v>
      </c>
      <c r="CZ100" s="75">
        <v>0</v>
      </c>
      <c r="DA100" s="75">
        <v>0</v>
      </c>
      <c r="DB100" s="75">
        <v>0</v>
      </c>
    </row>
    <row r="101" spans="2:106">
      <c r="C101" s="96" t="s">
        <v>432</v>
      </c>
      <c r="D101" s="96"/>
      <c r="E101" s="96"/>
      <c r="F101" s="96">
        <f>SUM(H101:DB101)</f>
        <v>539.07189432250004</v>
      </c>
      <c r="G101" s="96"/>
      <c r="H101" s="96">
        <f>SUM(H77:H100)</f>
        <v>0</v>
      </c>
      <c r="I101" s="96">
        <f t="shared" ref="I101:BT101" si="74">SUM(I77:I100)</f>
        <v>0</v>
      </c>
      <c r="J101" s="96">
        <f t="shared" si="74"/>
        <v>0</v>
      </c>
      <c r="K101" s="96">
        <f t="shared" si="74"/>
        <v>0</v>
      </c>
      <c r="L101" s="96">
        <f t="shared" si="74"/>
        <v>0</v>
      </c>
      <c r="M101" s="96">
        <f t="shared" si="74"/>
        <v>0</v>
      </c>
      <c r="N101" s="96">
        <f t="shared" si="74"/>
        <v>0</v>
      </c>
      <c r="O101" s="96">
        <f t="shared" si="74"/>
        <v>0</v>
      </c>
      <c r="P101" s="96">
        <f t="shared" si="74"/>
        <v>114.384194925</v>
      </c>
      <c r="Q101" s="96">
        <f t="shared" si="74"/>
        <v>0</v>
      </c>
      <c r="R101" s="96">
        <f t="shared" si="74"/>
        <v>0</v>
      </c>
      <c r="S101" s="96">
        <f t="shared" si="74"/>
        <v>92.386948500000003</v>
      </c>
      <c r="T101" s="96">
        <f t="shared" si="74"/>
        <v>332.30075089750005</v>
      </c>
      <c r="U101" s="96">
        <f t="shared" si="74"/>
        <v>0</v>
      </c>
      <c r="V101" s="96">
        <f t="shared" si="74"/>
        <v>0</v>
      </c>
      <c r="W101" s="96">
        <f t="shared" si="74"/>
        <v>0</v>
      </c>
      <c r="X101" s="96">
        <f t="shared" si="74"/>
        <v>0</v>
      </c>
      <c r="Y101" s="96">
        <f t="shared" si="74"/>
        <v>0</v>
      </c>
      <c r="Z101" s="96">
        <f t="shared" si="74"/>
        <v>0</v>
      </c>
      <c r="AA101" s="96">
        <f t="shared" si="74"/>
        <v>0</v>
      </c>
      <c r="AB101" s="96">
        <f t="shared" si="74"/>
        <v>0</v>
      </c>
      <c r="AC101" s="96">
        <f t="shared" si="74"/>
        <v>0</v>
      </c>
      <c r="AD101" s="96">
        <f t="shared" si="74"/>
        <v>0</v>
      </c>
      <c r="AE101" s="96">
        <f t="shared" si="74"/>
        <v>0</v>
      </c>
      <c r="AF101" s="96">
        <f t="shared" si="74"/>
        <v>0</v>
      </c>
      <c r="AG101" s="96">
        <f t="shared" si="74"/>
        <v>0</v>
      </c>
      <c r="AH101" s="96">
        <f t="shared" si="74"/>
        <v>0</v>
      </c>
      <c r="AI101" s="96">
        <f t="shared" si="74"/>
        <v>0</v>
      </c>
      <c r="AJ101" s="96">
        <f t="shared" si="74"/>
        <v>0</v>
      </c>
      <c r="AK101" s="96">
        <f t="shared" si="74"/>
        <v>0</v>
      </c>
      <c r="AL101" s="96">
        <f t="shared" si="74"/>
        <v>0</v>
      </c>
      <c r="AM101" s="96">
        <f t="shared" si="74"/>
        <v>0</v>
      </c>
      <c r="AN101" s="96">
        <f t="shared" si="74"/>
        <v>0</v>
      </c>
      <c r="AO101" s="96">
        <f t="shared" si="74"/>
        <v>0</v>
      </c>
      <c r="AP101" s="96">
        <f t="shared" si="74"/>
        <v>0</v>
      </c>
      <c r="AQ101" s="96">
        <f t="shared" si="74"/>
        <v>0</v>
      </c>
      <c r="AR101" s="96">
        <f t="shared" si="74"/>
        <v>0</v>
      </c>
      <c r="AS101" s="96">
        <f t="shared" si="74"/>
        <v>0</v>
      </c>
      <c r="AT101" s="96">
        <f t="shared" si="74"/>
        <v>0</v>
      </c>
      <c r="AU101" s="96">
        <f t="shared" si="74"/>
        <v>0</v>
      </c>
      <c r="AV101" s="96">
        <f t="shared" si="74"/>
        <v>0</v>
      </c>
      <c r="AW101" s="96">
        <f t="shared" si="74"/>
        <v>0</v>
      </c>
      <c r="AX101" s="96">
        <f t="shared" si="74"/>
        <v>0</v>
      </c>
      <c r="AY101" s="96">
        <f t="shared" si="74"/>
        <v>0</v>
      </c>
      <c r="AZ101" s="96">
        <f t="shared" si="74"/>
        <v>0</v>
      </c>
      <c r="BA101" s="96">
        <f t="shared" si="74"/>
        <v>0</v>
      </c>
      <c r="BB101" s="96">
        <f t="shared" si="74"/>
        <v>0</v>
      </c>
      <c r="BC101" s="96">
        <f t="shared" si="74"/>
        <v>0</v>
      </c>
      <c r="BD101" s="96">
        <f t="shared" si="74"/>
        <v>0</v>
      </c>
      <c r="BE101" s="96">
        <f t="shared" si="74"/>
        <v>0</v>
      </c>
      <c r="BF101" s="96">
        <f t="shared" si="74"/>
        <v>0</v>
      </c>
      <c r="BG101" s="96">
        <f t="shared" si="74"/>
        <v>0</v>
      </c>
      <c r="BH101" s="96">
        <f t="shared" si="74"/>
        <v>0</v>
      </c>
      <c r="BI101" s="96">
        <f t="shared" si="74"/>
        <v>0</v>
      </c>
      <c r="BJ101" s="96">
        <f t="shared" si="74"/>
        <v>0</v>
      </c>
      <c r="BK101" s="96">
        <f t="shared" si="74"/>
        <v>0</v>
      </c>
      <c r="BL101" s="96">
        <f t="shared" si="74"/>
        <v>0</v>
      </c>
      <c r="BM101" s="96">
        <f t="shared" si="74"/>
        <v>0</v>
      </c>
      <c r="BN101" s="96">
        <f t="shared" si="74"/>
        <v>0</v>
      </c>
      <c r="BO101" s="96">
        <f t="shared" si="74"/>
        <v>0</v>
      </c>
      <c r="BP101" s="96">
        <f t="shared" si="74"/>
        <v>0</v>
      </c>
      <c r="BQ101" s="96">
        <f t="shared" si="74"/>
        <v>0</v>
      </c>
      <c r="BR101" s="96">
        <f t="shared" si="74"/>
        <v>0</v>
      </c>
      <c r="BS101" s="96">
        <f t="shared" si="74"/>
        <v>0</v>
      </c>
      <c r="BT101" s="96">
        <f t="shared" si="74"/>
        <v>0</v>
      </c>
      <c r="BU101" s="96">
        <f t="shared" ref="BU101:DB101" si="75">SUM(BU77:BU100)</f>
        <v>0</v>
      </c>
      <c r="BV101" s="96">
        <f t="shared" si="75"/>
        <v>0</v>
      </c>
      <c r="BW101" s="96">
        <f t="shared" si="75"/>
        <v>0</v>
      </c>
      <c r="BX101" s="96">
        <f t="shared" si="75"/>
        <v>0</v>
      </c>
      <c r="BY101" s="96">
        <f t="shared" si="75"/>
        <v>0</v>
      </c>
      <c r="BZ101" s="96">
        <f t="shared" si="75"/>
        <v>0</v>
      </c>
      <c r="CA101" s="96">
        <f t="shared" si="75"/>
        <v>0</v>
      </c>
      <c r="CB101" s="96">
        <f t="shared" si="75"/>
        <v>0</v>
      </c>
      <c r="CC101" s="96">
        <f t="shared" si="75"/>
        <v>0</v>
      </c>
      <c r="CD101" s="96">
        <f t="shared" si="75"/>
        <v>0</v>
      </c>
      <c r="CE101" s="96">
        <f t="shared" si="75"/>
        <v>0</v>
      </c>
      <c r="CF101" s="96">
        <f t="shared" si="75"/>
        <v>0</v>
      </c>
      <c r="CG101" s="96">
        <f t="shared" si="75"/>
        <v>0</v>
      </c>
      <c r="CH101" s="96">
        <f t="shared" si="75"/>
        <v>0</v>
      </c>
      <c r="CI101" s="96">
        <f t="shared" si="75"/>
        <v>0</v>
      </c>
      <c r="CJ101" s="96">
        <f t="shared" si="75"/>
        <v>0</v>
      </c>
      <c r="CK101" s="96">
        <f t="shared" si="75"/>
        <v>0</v>
      </c>
      <c r="CL101" s="96">
        <f t="shared" si="75"/>
        <v>0</v>
      </c>
      <c r="CM101" s="96">
        <f t="shared" si="75"/>
        <v>0</v>
      </c>
      <c r="CN101" s="96">
        <f t="shared" si="75"/>
        <v>0</v>
      </c>
      <c r="CO101" s="96">
        <f t="shared" si="75"/>
        <v>0</v>
      </c>
      <c r="CP101" s="96">
        <f t="shared" si="75"/>
        <v>0</v>
      </c>
      <c r="CQ101" s="96">
        <f t="shared" si="75"/>
        <v>0</v>
      </c>
      <c r="CR101" s="96">
        <f t="shared" si="75"/>
        <v>0</v>
      </c>
      <c r="CS101" s="96">
        <f t="shared" si="75"/>
        <v>0</v>
      </c>
      <c r="CT101" s="96">
        <f t="shared" si="75"/>
        <v>0</v>
      </c>
      <c r="CU101" s="96">
        <f t="shared" si="75"/>
        <v>0</v>
      </c>
      <c r="CV101" s="96">
        <f t="shared" si="75"/>
        <v>0</v>
      </c>
      <c r="CW101" s="96">
        <f t="shared" si="75"/>
        <v>0</v>
      </c>
      <c r="CX101" s="96">
        <f t="shared" si="75"/>
        <v>0</v>
      </c>
      <c r="CY101" s="96">
        <f t="shared" si="75"/>
        <v>0</v>
      </c>
      <c r="CZ101" s="96">
        <f t="shared" si="75"/>
        <v>0</v>
      </c>
      <c r="DA101" s="96">
        <f t="shared" si="75"/>
        <v>0</v>
      </c>
      <c r="DB101" s="96">
        <f t="shared" si="75"/>
        <v>0</v>
      </c>
    </row>
    <row r="103" spans="2:106">
      <c r="C103" s="314" t="s">
        <v>235</v>
      </c>
      <c r="D103" s="314"/>
      <c r="E103" s="314"/>
      <c r="F103" s="314">
        <f>SUM(H103:DB103)</f>
        <v>1020.7870858498441</v>
      </c>
      <c r="G103" s="314"/>
      <c r="H103" s="314">
        <v>0</v>
      </c>
      <c r="I103" s="314">
        <v>0</v>
      </c>
      <c r="J103" s="314">
        <v>0</v>
      </c>
      <c r="K103" s="314">
        <v>0</v>
      </c>
      <c r="L103" s="314">
        <v>0</v>
      </c>
      <c r="M103" s="314">
        <v>0</v>
      </c>
      <c r="N103" s="314">
        <v>0</v>
      </c>
      <c r="O103" s="314">
        <f>O101+O73</f>
        <v>0</v>
      </c>
      <c r="P103" s="314">
        <f t="shared" ref="P103:CA103" si="76">P101+P73</f>
        <v>114.384194925</v>
      </c>
      <c r="Q103" s="314">
        <f t="shared" si="76"/>
        <v>0</v>
      </c>
      <c r="R103" s="314">
        <f t="shared" si="76"/>
        <v>0</v>
      </c>
      <c r="S103" s="314">
        <f t="shared" si="76"/>
        <v>92.386948500000003</v>
      </c>
      <c r="T103" s="314">
        <f t="shared" si="76"/>
        <v>332.30075089750005</v>
      </c>
      <c r="U103" s="314">
        <f t="shared" si="76"/>
        <v>0</v>
      </c>
      <c r="V103" s="314">
        <f t="shared" si="76"/>
        <v>0</v>
      </c>
      <c r="W103" s="314">
        <f t="shared" si="76"/>
        <v>0</v>
      </c>
      <c r="X103" s="314">
        <f t="shared" si="76"/>
        <v>0</v>
      </c>
      <c r="Y103" s="314">
        <f t="shared" si="76"/>
        <v>0</v>
      </c>
      <c r="Z103" s="314">
        <f t="shared" si="76"/>
        <v>0</v>
      </c>
      <c r="AA103" s="314">
        <f t="shared" si="76"/>
        <v>0</v>
      </c>
      <c r="AB103" s="314">
        <f t="shared" si="76"/>
        <v>0</v>
      </c>
      <c r="AC103" s="314">
        <f t="shared" si="76"/>
        <v>0</v>
      </c>
      <c r="AD103" s="314">
        <f t="shared" si="76"/>
        <v>0</v>
      </c>
      <c r="AE103" s="314">
        <f t="shared" si="76"/>
        <v>0</v>
      </c>
      <c r="AF103" s="314">
        <f t="shared" si="76"/>
        <v>32.09936022484537</v>
      </c>
      <c r="AG103" s="314">
        <f t="shared" si="76"/>
        <v>0</v>
      </c>
      <c r="AH103" s="314">
        <f t="shared" si="76"/>
        <v>264.40339997036835</v>
      </c>
      <c r="AI103" s="314">
        <f t="shared" si="76"/>
        <v>0</v>
      </c>
      <c r="AJ103" s="314">
        <f t="shared" si="76"/>
        <v>0</v>
      </c>
      <c r="AK103" s="314">
        <f t="shared" si="76"/>
        <v>0</v>
      </c>
      <c r="AL103" s="314">
        <f t="shared" si="76"/>
        <v>0</v>
      </c>
      <c r="AM103" s="314">
        <f t="shared" si="76"/>
        <v>0</v>
      </c>
      <c r="AN103" s="314">
        <f t="shared" si="76"/>
        <v>0</v>
      </c>
      <c r="AO103" s="314">
        <f t="shared" si="76"/>
        <v>0</v>
      </c>
      <c r="AP103" s="314">
        <f t="shared" si="76"/>
        <v>0</v>
      </c>
      <c r="AQ103" s="314">
        <f t="shared" si="76"/>
        <v>32.09936022484537</v>
      </c>
      <c r="AR103" s="314">
        <f t="shared" si="76"/>
        <v>0</v>
      </c>
      <c r="AS103" s="314">
        <f t="shared" si="76"/>
        <v>0</v>
      </c>
      <c r="AT103" s="314">
        <f t="shared" si="76"/>
        <v>0</v>
      </c>
      <c r="AU103" s="314">
        <f t="shared" si="76"/>
        <v>0</v>
      </c>
      <c r="AV103" s="314">
        <f t="shared" si="76"/>
        <v>90.778500656493108</v>
      </c>
      <c r="AW103" s="314">
        <f t="shared" si="76"/>
        <v>0</v>
      </c>
      <c r="AX103" s="314">
        <f t="shared" si="76"/>
        <v>0</v>
      </c>
      <c r="AY103" s="314">
        <f t="shared" si="76"/>
        <v>0</v>
      </c>
      <c r="AZ103" s="314">
        <f t="shared" si="76"/>
        <v>0</v>
      </c>
      <c r="BA103" s="314">
        <f t="shared" si="76"/>
        <v>0</v>
      </c>
      <c r="BB103" s="314">
        <f t="shared" si="76"/>
        <v>0</v>
      </c>
      <c r="BC103" s="314">
        <f t="shared" si="76"/>
        <v>0</v>
      </c>
      <c r="BD103" s="314">
        <f t="shared" si="76"/>
        <v>62.334570450791922</v>
      </c>
      <c r="BE103" s="314">
        <f t="shared" si="76"/>
        <v>0</v>
      </c>
      <c r="BF103" s="314">
        <f t="shared" si="76"/>
        <v>0</v>
      </c>
      <c r="BG103" s="314">
        <f t="shared" si="76"/>
        <v>0</v>
      </c>
      <c r="BH103" s="314">
        <f t="shared" si="76"/>
        <v>0</v>
      </c>
      <c r="BI103" s="314">
        <f t="shared" si="76"/>
        <v>0</v>
      </c>
      <c r="BJ103" s="314">
        <f t="shared" si="76"/>
        <v>0</v>
      </c>
      <c r="BK103" s="314">
        <f t="shared" si="76"/>
        <v>0</v>
      </c>
      <c r="BL103" s="314">
        <f t="shared" si="76"/>
        <v>0</v>
      </c>
      <c r="BM103" s="314">
        <f t="shared" si="76"/>
        <v>0</v>
      </c>
      <c r="BN103" s="314">
        <f t="shared" si="76"/>
        <v>0</v>
      </c>
      <c r="BO103" s="314">
        <f t="shared" si="76"/>
        <v>0</v>
      </c>
      <c r="BP103" s="314">
        <f t="shared" si="76"/>
        <v>0</v>
      </c>
      <c r="BQ103" s="314">
        <f t="shared" si="76"/>
        <v>0</v>
      </c>
      <c r="BR103" s="314">
        <f t="shared" si="76"/>
        <v>0</v>
      </c>
      <c r="BS103" s="314">
        <f t="shared" si="76"/>
        <v>0</v>
      </c>
      <c r="BT103" s="314">
        <f t="shared" si="76"/>
        <v>0</v>
      </c>
      <c r="BU103" s="314">
        <f t="shared" si="76"/>
        <v>0</v>
      </c>
      <c r="BV103" s="314">
        <f t="shared" si="76"/>
        <v>0</v>
      </c>
      <c r="BW103" s="314">
        <f t="shared" si="76"/>
        <v>0</v>
      </c>
      <c r="BX103" s="314">
        <f t="shared" si="76"/>
        <v>0</v>
      </c>
      <c r="BY103" s="314">
        <f t="shared" si="76"/>
        <v>0</v>
      </c>
      <c r="BZ103" s="314">
        <f t="shared" si="76"/>
        <v>0</v>
      </c>
      <c r="CA103" s="314">
        <f t="shared" si="76"/>
        <v>0</v>
      </c>
      <c r="CB103" s="314">
        <f t="shared" ref="CB103:DB103" si="77">CB101+CB73</f>
        <v>0</v>
      </c>
      <c r="CC103" s="314">
        <f t="shared" si="77"/>
        <v>0</v>
      </c>
      <c r="CD103" s="314">
        <f t="shared" si="77"/>
        <v>0</v>
      </c>
      <c r="CE103" s="314">
        <f t="shared" si="77"/>
        <v>0</v>
      </c>
      <c r="CF103" s="314">
        <f t="shared" si="77"/>
        <v>0</v>
      </c>
      <c r="CG103" s="314">
        <f t="shared" si="77"/>
        <v>0</v>
      </c>
      <c r="CH103" s="314">
        <f t="shared" si="77"/>
        <v>0</v>
      </c>
      <c r="CI103" s="314">
        <f t="shared" si="77"/>
        <v>0</v>
      </c>
      <c r="CJ103" s="314">
        <f t="shared" si="77"/>
        <v>0</v>
      </c>
      <c r="CK103" s="314">
        <f t="shared" si="77"/>
        <v>0</v>
      </c>
      <c r="CL103" s="314">
        <f t="shared" si="77"/>
        <v>0</v>
      </c>
      <c r="CM103" s="314">
        <f t="shared" si="77"/>
        <v>0</v>
      </c>
      <c r="CN103" s="314">
        <f t="shared" si="77"/>
        <v>0</v>
      </c>
      <c r="CO103" s="314">
        <f t="shared" si="77"/>
        <v>0</v>
      </c>
      <c r="CP103" s="314">
        <f t="shared" si="77"/>
        <v>0</v>
      </c>
      <c r="CQ103" s="314">
        <f t="shared" si="77"/>
        <v>0</v>
      </c>
      <c r="CR103" s="314">
        <f t="shared" si="77"/>
        <v>0</v>
      </c>
      <c r="CS103" s="314">
        <f t="shared" si="77"/>
        <v>0</v>
      </c>
      <c r="CT103" s="314">
        <f t="shared" si="77"/>
        <v>0</v>
      </c>
      <c r="CU103" s="314">
        <f t="shared" si="77"/>
        <v>0</v>
      </c>
      <c r="CV103" s="314">
        <f t="shared" si="77"/>
        <v>0</v>
      </c>
      <c r="CW103" s="314">
        <f t="shared" si="77"/>
        <v>0</v>
      </c>
      <c r="CX103" s="314">
        <f t="shared" si="77"/>
        <v>0</v>
      </c>
      <c r="CY103" s="314">
        <f t="shared" si="77"/>
        <v>0</v>
      </c>
      <c r="CZ103" s="314">
        <f t="shared" si="77"/>
        <v>0</v>
      </c>
      <c r="DA103" s="314">
        <f t="shared" si="77"/>
        <v>0</v>
      </c>
      <c r="DB103" s="314">
        <f t="shared" si="77"/>
        <v>0</v>
      </c>
    </row>
    <row r="105" spans="2:106">
      <c r="B105" s="315" t="s">
        <v>180</v>
      </c>
      <c r="C105" s="315"/>
      <c r="D105" s="315"/>
      <c r="E105" s="315"/>
      <c r="F105" s="315">
        <f>SUM(H105:DB105)</f>
        <v>18020.535991059369</v>
      </c>
      <c r="G105" s="315"/>
      <c r="H105" s="315">
        <f>H20+H25+H30+H35+H40+H45+H103</f>
        <v>0</v>
      </c>
      <c r="I105" s="315">
        <f>I20+I25+I30+I35+I40+I45+I103</f>
        <v>277.35089733333336</v>
      </c>
      <c r="J105" s="315">
        <f t="shared" ref="J105:BT105" si="78">J20+J25+J30+J35+J40+J45+J103</f>
        <v>269.38613283333336</v>
      </c>
      <c r="K105" s="315">
        <f t="shared" si="78"/>
        <v>269.38613283333336</v>
      </c>
      <c r="L105" s="315">
        <f t="shared" si="78"/>
        <v>269.38613283333336</v>
      </c>
      <c r="M105" s="315">
        <f t="shared" si="78"/>
        <v>269.38613283333336</v>
      </c>
      <c r="N105" s="315">
        <f t="shared" si="78"/>
        <v>269.38613283333336</v>
      </c>
      <c r="O105" s="315">
        <f t="shared" si="78"/>
        <v>269.38613283333336</v>
      </c>
      <c r="P105" s="315">
        <f t="shared" si="78"/>
        <v>383.77032775833334</v>
      </c>
      <c r="Q105" s="315">
        <f t="shared" si="78"/>
        <v>269.38613283333336</v>
      </c>
      <c r="R105" s="315">
        <f t="shared" si="78"/>
        <v>269.38613283333336</v>
      </c>
      <c r="S105" s="315">
        <f t="shared" si="78"/>
        <v>361.77308133333338</v>
      </c>
      <c r="T105" s="315">
        <f t="shared" si="78"/>
        <v>601.68688373083342</v>
      </c>
      <c r="U105" s="315">
        <f t="shared" si="78"/>
        <v>276.12078615416664</v>
      </c>
      <c r="V105" s="315">
        <f t="shared" si="78"/>
        <v>276.12078615416664</v>
      </c>
      <c r="W105" s="315">
        <f t="shared" si="78"/>
        <v>276.12078615416664</v>
      </c>
      <c r="X105" s="315">
        <f t="shared" si="78"/>
        <v>276.12078615416664</v>
      </c>
      <c r="Y105" s="315">
        <f t="shared" si="78"/>
        <v>276.12078615416664</v>
      </c>
      <c r="Z105" s="315">
        <f t="shared" si="78"/>
        <v>276.12078615416664</v>
      </c>
      <c r="AA105" s="315">
        <f t="shared" si="78"/>
        <v>276.12078615416664</v>
      </c>
      <c r="AB105" s="315">
        <f t="shared" si="78"/>
        <v>276.12078615416664</v>
      </c>
      <c r="AC105" s="315">
        <f t="shared" si="78"/>
        <v>276.12078615416664</v>
      </c>
      <c r="AD105" s="315">
        <f t="shared" si="78"/>
        <v>276.12078615416664</v>
      </c>
      <c r="AE105" s="315">
        <f t="shared" si="78"/>
        <v>276.12078615416664</v>
      </c>
      <c r="AF105" s="315">
        <f t="shared" si="78"/>
        <v>308.22014637901202</v>
      </c>
      <c r="AG105" s="315">
        <f t="shared" si="78"/>
        <v>283.02380580802077</v>
      </c>
      <c r="AH105" s="315">
        <f t="shared" si="78"/>
        <v>547.42720577838918</v>
      </c>
      <c r="AI105" s="315">
        <f t="shared" si="78"/>
        <v>283.02380580802077</v>
      </c>
      <c r="AJ105" s="315">
        <f t="shared" si="78"/>
        <v>283.02380580802077</v>
      </c>
      <c r="AK105" s="315">
        <f t="shared" si="78"/>
        <v>283.02380580802077</v>
      </c>
      <c r="AL105" s="315">
        <f t="shared" si="78"/>
        <v>283.02380580802077</v>
      </c>
      <c r="AM105" s="315">
        <f t="shared" si="78"/>
        <v>283.02380580802077</v>
      </c>
      <c r="AN105" s="315">
        <f t="shared" si="78"/>
        <v>283.02380580802077</v>
      </c>
      <c r="AO105" s="315">
        <f t="shared" si="78"/>
        <v>283.02380580802077</v>
      </c>
      <c r="AP105" s="315">
        <f t="shared" si="78"/>
        <v>283.02380580802077</v>
      </c>
      <c r="AQ105" s="315">
        <f t="shared" si="78"/>
        <v>315.12316603286615</v>
      </c>
      <c r="AR105" s="315">
        <f t="shared" si="78"/>
        <v>283.02380580802077</v>
      </c>
      <c r="AS105" s="315">
        <f t="shared" si="78"/>
        <v>290.09940095322133</v>
      </c>
      <c r="AT105" s="315">
        <f t="shared" si="78"/>
        <v>290.09940095322133</v>
      </c>
      <c r="AU105" s="315">
        <f t="shared" si="78"/>
        <v>290.09940095322133</v>
      </c>
      <c r="AV105" s="315">
        <f t="shared" si="78"/>
        <v>380.87790160971446</v>
      </c>
      <c r="AW105" s="315">
        <f t="shared" si="78"/>
        <v>290.09940095322133</v>
      </c>
      <c r="AX105" s="315">
        <f t="shared" si="78"/>
        <v>290.09940095322133</v>
      </c>
      <c r="AY105" s="315">
        <f t="shared" si="78"/>
        <v>290.09940095322133</v>
      </c>
      <c r="AZ105" s="315">
        <f t="shared" si="78"/>
        <v>290.09940095322133</v>
      </c>
      <c r="BA105" s="315">
        <f t="shared" si="78"/>
        <v>290.09940095322133</v>
      </c>
      <c r="BB105" s="315">
        <f t="shared" si="78"/>
        <v>290.09940095322133</v>
      </c>
      <c r="BC105" s="315">
        <f t="shared" si="78"/>
        <v>290.09940095322133</v>
      </c>
      <c r="BD105" s="315">
        <f t="shared" si="78"/>
        <v>352.43397140401328</v>
      </c>
      <c r="BE105" s="315">
        <f t="shared" si="78"/>
        <v>297.35188597705184</v>
      </c>
      <c r="BF105" s="315">
        <f t="shared" si="78"/>
        <v>297.35188597705184</v>
      </c>
      <c r="BG105" s="315">
        <f t="shared" si="78"/>
        <v>297.35188597705184</v>
      </c>
      <c r="BH105" s="315">
        <f t="shared" si="78"/>
        <v>297.35188597705184</v>
      </c>
      <c r="BI105" s="315">
        <f t="shared" si="78"/>
        <v>297.35188597705184</v>
      </c>
      <c r="BJ105" s="315">
        <f t="shared" si="78"/>
        <v>297.35188597705184</v>
      </c>
      <c r="BK105" s="315">
        <f t="shared" si="78"/>
        <v>297.35188597705184</v>
      </c>
      <c r="BL105" s="315">
        <f t="shared" si="78"/>
        <v>297.35188597705184</v>
      </c>
      <c r="BM105" s="315">
        <f t="shared" si="78"/>
        <v>297.35188597705184</v>
      </c>
      <c r="BN105" s="315">
        <f t="shared" si="78"/>
        <v>297.35188597705184</v>
      </c>
      <c r="BO105" s="315">
        <f t="shared" si="78"/>
        <v>297.35188597705184</v>
      </c>
      <c r="BP105" s="315">
        <f t="shared" si="78"/>
        <v>297.35188597705184</v>
      </c>
      <c r="BQ105" s="315">
        <f t="shared" si="78"/>
        <v>0</v>
      </c>
      <c r="BR105" s="315">
        <f t="shared" si="78"/>
        <v>0</v>
      </c>
      <c r="BS105" s="315">
        <f t="shared" si="78"/>
        <v>0</v>
      </c>
      <c r="BT105" s="315">
        <f t="shared" si="78"/>
        <v>0</v>
      </c>
      <c r="BU105" s="315">
        <f t="shared" ref="BU105:DB105" si="79">BU20+BU25+BU30+BU35+BU40+BU45+BU103</f>
        <v>0</v>
      </c>
      <c r="BV105" s="315">
        <f t="shared" si="79"/>
        <v>0</v>
      </c>
      <c r="BW105" s="315">
        <f t="shared" si="79"/>
        <v>0</v>
      </c>
      <c r="BX105" s="315">
        <f t="shared" si="79"/>
        <v>0</v>
      </c>
      <c r="BY105" s="315">
        <f t="shared" si="79"/>
        <v>0</v>
      </c>
      <c r="BZ105" s="315">
        <f t="shared" si="79"/>
        <v>0</v>
      </c>
      <c r="CA105" s="315">
        <f t="shared" si="79"/>
        <v>0</v>
      </c>
      <c r="CB105" s="315">
        <f t="shared" si="79"/>
        <v>0</v>
      </c>
      <c r="CC105" s="315">
        <f t="shared" si="79"/>
        <v>0</v>
      </c>
      <c r="CD105" s="315">
        <f t="shared" si="79"/>
        <v>0</v>
      </c>
      <c r="CE105" s="315">
        <f t="shared" si="79"/>
        <v>0</v>
      </c>
      <c r="CF105" s="315">
        <f t="shared" si="79"/>
        <v>0</v>
      </c>
      <c r="CG105" s="315">
        <f t="shared" si="79"/>
        <v>0</v>
      </c>
      <c r="CH105" s="315">
        <f t="shared" si="79"/>
        <v>0</v>
      </c>
      <c r="CI105" s="315">
        <f t="shared" si="79"/>
        <v>0</v>
      </c>
      <c r="CJ105" s="315">
        <f t="shared" si="79"/>
        <v>0</v>
      </c>
      <c r="CK105" s="315">
        <f t="shared" si="79"/>
        <v>0</v>
      </c>
      <c r="CL105" s="315">
        <f t="shared" si="79"/>
        <v>0</v>
      </c>
      <c r="CM105" s="315">
        <f t="shared" si="79"/>
        <v>0</v>
      </c>
      <c r="CN105" s="315">
        <f t="shared" si="79"/>
        <v>0</v>
      </c>
      <c r="CO105" s="315">
        <f t="shared" si="79"/>
        <v>0</v>
      </c>
      <c r="CP105" s="315">
        <f t="shared" si="79"/>
        <v>0</v>
      </c>
      <c r="CQ105" s="315">
        <f t="shared" si="79"/>
        <v>0</v>
      </c>
      <c r="CR105" s="315">
        <f t="shared" si="79"/>
        <v>0</v>
      </c>
      <c r="CS105" s="315">
        <f t="shared" si="79"/>
        <v>0</v>
      </c>
      <c r="CT105" s="315">
        <f t="shared" si="79"/>
        <v>0</v>
      </c>
      <c r="CU105" s="315">
        <f t="shared" si="79"/>
        <v>0</v>
      </c>
      <c r="CV105" s="315">
        <f t="shared" si="79"/>
        <v>0</v>
      </c>
      <c r="CW105" s="315">
        <f t="shared" si="79"/>
        <v>0</v>
      </c>
      <c r="CX105" s="315">
        <f t="shared" si="79"/>
        <v>0</v>
      </c>
      <c r="CY105" s="315">
        <f t="shared" si="79"/>
        <v>0</v>
      </c>
      <c r="CZ105" s="315">
        <f t="shared" si="79"/>
        <v>0</v>
      </c>
      <c r="DA105" s="315">
        <f t="shared" si="79"/>
        <v>0</v>
      </c>
      <c r="DB105" s="315">
        <f t="shared" si="79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5507-2DAB-A948-AF62-CCFBFF5FF41C}">
  <dimension ref="A1:DB38"/>
  <sheetViews>
    <sheetView showGridLines="0" zoomScale="85" workbookViewId="0">
      <pane xSplit="7" ySplit="17" topLeftCell="H18" activePane="bottomRight" state="frozen"/>
      <selection pane="topRight" activeCell="H1" sqref="H1"/>
      <selection pane="bottomLeft" activeCell="A18" sqref="A18"/>
      <selection pane="bottomRight" activeCell="K41" sqref="K41"/>
    </sheetView>
  </sheetViews>
  <sheetFormatPr baseColWidth="10" defaultRowHeight="15" outlineLevelRow="1"/>
  <cols>
    <col min="1" max="1" width="3.5" style="13" customWidth="1"/>
    <col min="2" max="2" width="4.5" style="13" customWidth="1"/>
    <col min="3" max="3" width="10.83203125" style="13"/>
    <col min="4" max="4" width="12.1640625" style="13" bestFit="1" customWidth="1"/>
    <col min="5" max="6" width="10.83203125" style="13"/>
    <col min="7" max="7" width="6" style="13" customWidth="1"/>
    <col min="8" max="16384" width="10.83203125" style="13"/>
  </cols>
  <sheetData>
    <row r="1" spans="1:106" s="1" customFormat="1" ht="17" customHeight="1"/>
    <row r="2" spans="1:106" s="1" customFormat="1" ht="17" customHeight="1">
      <c r="B2" s="2" t="s">
        <v>10</v>
      </c>
      <c r="S2" s="3" t="s">
        <v>0</v>
      </c>
      <c r="T2" s="4" t="s">
        <v>1</v>
      </c>
      <c r="U2" s="5" t="s">
        <v>2</v>
      </c>
    </row>
    <row r="3" spans="1:106" s="1" customFormat="1" ht="17" customHeight="1">
      <c r="B3" s="2" t="s">
        <v>11</v>
      </c>
      <c r="S3" s="6" t="s">
        <v>3</v>
      </c>
      <c r="T3" s="7" t="s">
        <v>4</v>
      </c>
      <c r="U3" s="8" t="s">
        <v>5</v>
      </c>
    </row>
    <row r="4" spans="1:106" s="1" customFormat="1" ht="17" customHeight="1">
      <c r="B4" s="14"/>
      <c r="S4" s="9" t="s">
        <v>6</v>
      </c>
      <c r="T4" s="10" t="s">
        <v>7</v>
      </c>
      <c r="U4" s="63" t="s">
        <v>8</v>
      </c>
    </row>
    <row r="5" spans="1:106" s="12" customFormat="1" ht="17" customHeight="1" thickBot="1"/>
    <row r="6" spans="1:106" ht="16" thickTop="1">
      <c r="A6" s="13" t="s">
        <v>9</v>
      </c>
    </row>
    <row r="7" spans="1:106">
      <c r="A7" s="2" t="s">
        <v>199</v>
      </c>
    </row>
    <row r="8" spans="1:106" ht="17" customHeight="1" outlineLevel="1">
      <c r="H8" s="60" t="s">
        <v>89</v>
      </c>
      <c r="I8" s="61">
        <v>1</v>
      </c>
      <c r="J8" s="61">
        <v>2</v>
      </c>
      <c r="K8" s="61">
        <v>3</v>
      </c>
      <c r="L8" s="61">
        <v>4</v>
      </c>
      <c r="M8" s="61">
        <v>5</v>
      </c>
      <c r="N8" s="61">
        <v>6</v>
      </c>
      <c r="O8" s="61">
        <v>7</v>
      </c>
      <c r="P8" s="61">
        <v>8</v>
      </c>
      <c r="Q8" s="61">
        <v>9</v>
      </c>
      <c r="R8" s="61">
        <v>10</v>
      </c>
      <c r="S8" s="61">
        <v>11</v>
      </c>
      <c r="T8" s="61">
        <v>12</v>
      </c>
      <c r="U8" s="61">
        <v>13</v>
      </c>
      <c r="V8" s="61">
        <v>14</v>
      </c>
      <c r="W8" s="61">
        <v>15</v>
      </c>
      <c r="X8" s="61">
        <v>16</v>
      </c>
    </row>
    <row r="9" spans="1:106" ht="17" customHeight="1" outlineLevel="1">
      <c r="H9" s="60" t="s">
        <v>60</v>
      </c>
      <c r="I9" s="62">
        <f>start</f>
        <v>45716</v>
      </c>
      <c r="J9" s="62">
        <f>EOMONTH(I10,1)</f>
        <v>45900</v>
      </c>
      <c r="K9" s="62">
        <f t="shared" ref="K9:X9" si="0">EOMONTH(J10,1)</f>
        <v>46081</v>
      </c>
      <c r="L9" s="62">
        <f t="shared" si="0"/>
        <v>46265</v>
      </c>
      <c r="M9" s="62">
        <f t="shared" si="0"/>
        <v>46446</v>
      </c>
      <c r="N9" s="62">
        <f t="shared" si="0"/>
        <v>46630</v>
      </c>
      <c r="O9" s="62">
        <f t="shared" si="0"/>
        <v>46812</v>
      </c>
      <c r="P9" s="62">
        <f t="shared" si="0"/>
        <v>46996</v>
      </c>
      <c r="Q9" s="62">
        <f t="shared" si="0"/>
        <v>47177</v>
      </c>
      <c r="R9" s="62">
        <f t="shared" si="0"/>
        <v>47361</v>
      </c>
      <c r="S9" s="62">
        <f t="shared" si="0"/>
        <v>47542</v>
      </c>
      <c r="T9" s="62">
        <f t="shared" si="0"/>
        <v>47726</v>
      </c>
      <c r="U9" s="62">
        <f t="shared" si="0"/>
        <v>47907</v>
      </c>
      <c r="V9" s="62">
        <f t="shared" si="0"/>
        <v>48091</v>
      </c>
      <c r="W9" s="62">
        <f t="shared" si="0"/>
        <v>48273</v>
      </c>
      <c r="X9" s="62">
        <f t="shared" si="0"/>
        <v>48457</v>
      </c>
    </row>
    <row r="10" spans="1:106" ht="17" customHeight="1" outlineLevel="1">
      <c r="H10" s="60" t="s">
        <v>61</v>
      </c>
      <c r="I10" s="62">
        <f t="shared" ref="I10:X10" si="1">EOMONTH(I9,period-1)</f>
        <v>45869</v>
      </c>
      <c r="J10" s="62">
        <f t="shared" si="1"/>
        <v>46053</v>
      </c>
      <c r="K10" s="62">
        <f t="shared" si="1"/>
        <v>46234</v>
      </c>
      <c r="L10" s="62">
        <f t="shared" si="1"/>
        <v>46418</v>
      </c>
      <c r="M10" s="62">
        <f t="shared" si="1"/>
        <v>46599</v>
      </c>
      <c r="N10" s="62">
        <f t="shared" si="1"/>
        <v>46783</v>
      </c>
      <c r="O10" s="62">
        <f t="shared" si="1"/>
        <v>46965</v>
      </c>
      <c r="P10" s="62">
        <f t="shared" si="1"/>
        <v>47149</v>
      </c>
      <c r="Q10" s="62">
        <f t="shared" si="1"/>
        <v>47330</v>
      </c>
      <c r="R10" s="62">
        <f t="shared" si="1"/>
        <v>47514</v>
      </c>
      <c r="S10" s="62">
        <f t="shared" si="1"/>
        <v>47695</v>
      </c>
      <c r="T10" s="62">
        <f t="shared" si="1"/>
        <v>47879</v>
      </c>
      <c r="U10" s="62">
        <f t="shared" si="1"/>
        <v>48060</v>
      </c>
      <c r="V10" s="62">
        <f t="shared" si="1"/>
        <v>48244</v>
      </c>
      <c r="W10" s="62">
        <f t="shared" si="1"/>
        <v>48426</v>
      </c>
      <c r="X10" s="62">
        <f t="shared" si="1"/>
        <v>48610</v>
      </c>
    </row>
    <row r="11" spans="1:106" s="63" customFormat="1" ht="17" customHeight="1" outlineLevel="1">
      <c r="F11" s="63" t="s">
        <v>90</v>
      </c>
      <c r="H11" s="63">
        <f>(H15&gt;=[0]!start)*(H15&lt;=[0]!exit)*1</f>
        <v>0</v>
      </c>
      <c r="I11" s="63">
        <f>(I15&gt;=[0]!start)*(I15&lt;=[0]!exit)*1</f>
        <v>1</v>
      </c>
      <c r="J11" s="63">
        <f>(J15&gt;=[0]!start)*(J15&lt;=[0]!exit)*1</f>
        <v>1</v>
      </c>
      <c r="K11" s="63">
        <f>(K15&gt;=[0]!start)*(K15&lt;=[0]!exit)*1</f>
        <v>1</v>
      </c>
      <c r="L11" s="63">
        <f>(L15&gt;=[0]!start)*(L15&lt;=[0]!exit)*1</f>
        <v>1</v>
      </c>
      <c r="M11" s="63">
        <f>(M15&gt;=[0]!start)*(M15&lt;=[0]!exit)*1</f>
        <v>1</v>
      </c>
      <c r="N11" s="63">
        <f>(N15&gt;=[0]!start)*(N15&lt;=[0]!exit)*1</f>
        <v>1</v>
      </c>
      <c r="O11" s="63">
        <f>(O15&gt;=[0]!start)*(O15&lt;=[0]!exit)*1</f>
        <v>1</v>
      </c>
      <c r="P11" s="63">
        <f>(P15&gt;=[0]!start)*(P15&lt;=[0]!exit)*1</f>
        <v>1</v>
      </c>
      <c r="Q11" s="63">
        <f>(Q15&gt;=[0]!start)*(Q15&lt;=[0]!exit)*1</f>
        <v>1</v>
      </c>
      <c r="R11" s="63">
        <f>(R15&gt;=[0]!start)*(R15&lt;=[0]!exit)*1</f>
        <v>1</v>
      </c>
      <c r="S11" s="63">
        <f>(S15&gt;=[0]!start)*(S15&lt;=[0]!exit)*1</f>
        <v>1</v>
      </c>
      <c r="T11" s="63">
        <f>(T15&gt;=[0]!start)*(T15&lt;=[0]!exit)*1</f>
        <v>1</v>
      </c>
      <c r="U11" s="63">
        <f>(U15&gt;=[0]!start)*(U15&lt;=[0]!exit)*1</f>
        <v>1</v>
      </c>
      <c r="V11" s="63">
        <f>(V15&gt;=[0]!start)*(V15&lt;=[0]!exit)*1</f>
        <v>1</v>
      </c>
      <c r="W11" s="63">
        <f>(W15&gt;=[0]!start)*(W15&lt;=[0]!exit)*1</f>
        <v>1</v>
      </c>
      <c r="X11" s="63">
        <f>(X15&gt;=[0]!start)*(X15&lt;=[0]!exit)*1</f>
        <v>1</v>
      </c>
      <c r="Y11" s="63">
        <f>(Y15&gt;=[0]!start)*(Y15&lt;=[0]!exit)*1</f>
        <v>1</v>
      </c>
      <c r="Z11" s="63">
        <f>(Z15&gt;=[0]!start)*(Z15&lt;=[0]!exit)*1</f>
        <v>1</v>
      </c>
      <c r="AA11" s="63">
        <f>(AA15&gt;=[0]!start)*(AA15&lt;=[0]!exit)*1</f>
        <v>1</v>
      </c>
      <c r="AB11" s="63">
        <f>(AB15&gt;=[0]!start)*(AB15&lt;=[0]!exit)*1</f>
        <v>1</v>
      </c>
      <c r="AC11" s="63">
        <f>(AC15&gt;=[0]!start)*(AC15&lt;=[0]!exit)*1</f>
        <v>1</v>
      </c>
      <c r="AD11" s="63">
        <f>(AD15&gt;=[0]!start)*(AD15&lt;=[0]!exit)*1</f>
        <v>1</v>
      </c>
      <c r="AE11" s="63">
        <f>(AE15&gt;=[0]!start)*(AE15&lt;=[0]!exit)*1</f>
        <v>1</v>
      </c>
      <c r="AF11" s="63">
        <f>(AF15&gt;=[0]!start)*(AF15&lt;=[0]!exit)*1</f>
        <v>1</v>
      </c>
      <c r="AG11" s="63">
        <f>(AG15&gt;=[0]!start)*(AG15&lt;=[0]!exit)*1</f>
        <v>1</v>
      </c>
      <c r="AH11" s="63">
        <f>(AH15&gt;=[0]!start)*(AH15&lt;=[0]!exit)*1</f>
        <v>1</v>
      </c>
      <c r="AI11" s="63">
        <f>(AI15&gt;=[0]!start)*(AI15&lt;=[0]!exit)*1</f>
        <v>1</v>
      </c>
      <c r="AJ11" s="63">
        <f>(AJ15&gt;=[0]!start)*(AJ15&lt;=[0]!exit)*1</f>
        <v>1</v>
      </c>
      <c r="AK11" s="63">
        <f>(AK15&gt;=[0]!start)*(AK15&lt;=[0]!exit)*1</f>
        <v>1</v>
      </c>
      <c r="AL11" s="63">
        <f>(AL15&gt;=[0]!start)*(AL15&lt;=[0]!exit)*1</f>
        <v>1</v>
      </c>
      <c r="AM11" s="63">
        <f>(AM15&gt;=[0]!start)*(AM15&lt;=[0]!exit)*1</f>
        <v>1</v>
      </c>
      <c r="AN11" s="63">
        <f>(AN15&gt;=[0]!start)*(AN15&lt;=[0]!exit)*1</f>
        <v>1</v>
      </c>
      <c r="AO11" s="63">
        <f>(AO15&gt;=[0]!start)*(AO15&lt;=[0]!exit)*1</f>
        <v>1</v>
      </c>
      <c r="AP11" s="63">
        <f>(AP15&gt;=[0]!start)*(AP15&lt;=[0]!exit)*1</f>
        <v>1</v>
      </c>
      <c r="AQ11" s="63">
        <f>(AQ15&gt;=[0]!start)*(AQ15&lt;=[0]!exit)*1</f>
        <v>1</v>
      </c>
      <c r="AR11" s="63">
        <f>(AR15&gt;=[0]!start)*(AR15&lt;=[0]!exit)*1</f>
        <v>1</v>
      </c>
      <c r="AS11" s="63">
        <f>(AS15&gt;=[0]!start)*(AS15&lt;=[0]!exit)*1</f>
        <v>1</v>
      </c>
      <c r="AT11" s="63">
        <f>(AT15&gt;=[0]!start)*(AT15&lt;=[0]!exit)*1</f>
        <v>1</v>
      </c>
      <c r="AU11" s="63">
        <f>(AU15&gt;=[0]!start)*(AU15&lt;=[0]!exit)*1</f>
        <v>1</v>
      </c>
      <c r="AV11" s="63">
        <f>(AV15&gt;=[0]!start)*(AV15&lt;=[0]!exit)*1</f>
        <v>1</v>
      </c>
      <c r="AW11" s="63">
        <f>(AW15&gt;=[0]!start)*(AW15&lt;=[0]!exit)*1</f>
        <v>1</v>
      </c>
      <c r="AX11" s="63">
        <f>(AX15&gt;=[0]!start)*(AX15&lt;=[0]!exit)*1</f>
        <v>1</v>
      </c>
      <c r="AY11" s="63">
        <f>(AY15&gt;=[0]!start)*(AY15&lt;=[0]!exit)*1</f>
        <v>1</v>
      </c>
      <c r="AZ11" s="63">
        <f>(AZ15&gt;=[0]!start)*(AZ15&lt;=[0]!exit)*1</f>
        <v>1</v>
      </c>
      <c r="BA11" s="63">
        <f>(BA15&gt;=[0]!start)*(BA15&lt;=[0]!exit)*1</f>
        <v>1</v>
      </c>
      <c r="BB11" s="63">
        <f>(BB15&gt;=[0]!start)*(BB15&lt;=[0]!exit)*1</f>
        <v>1</v>
      </c>
      <c r="BC11" s="63">
        <f>(BC15&gt;=[0]!start)*(BC15&lt;=[0]!exit)*1</f>
        <v>1</v>
      </c>
      <c r="BD11" s="63">
        <f>(BD15&gt;=[0]!start)*(BD15&lt;=[0]!exit)*1</f>
        <v>1</v>
      </c>
      <c r="BE11" s="63">
        <f>(BE15&gt;=[0]!start)*(BE15&lt;=[0]!exit)*1</f>
        <v>1</v>
      </c>
      <c r="BF11" s="63">
        <f>(BF15&gt;=[0]!start)*(BF15&lt;=[0]!exit)*1</f>
        <v>1</v>
      </c>
      <c r="BG11" s="63">
        <f>(BG15&gt;=[0]!start)*(BG15&lt;=[0]!exit)*1</f>
        <v>1</v>
      </c>
      <c r="BH11" s="63">
        <f>(BH15&gt;=[0]!start)*(BH15&lt;=[0]!exit)*1</f>
        <v>1</v>
      </c>
      <c r="BI11" s="63">
        <f>(BI15&gt;=[0]!start)*(BI15&lt;=[0]!exit)*1</f>
        <v>1</v>
      </c>
      <c r="BJ11" s="63">
        <f>(BJ15&gt;=[0]!start)*(BJ15&lt;=[0]!exit)*1</f>
        <v>1</v>
      </c>
      <c r="BK11" s="63">
        <f>(BK15&gt;=[0]!start)*(BK15&lt;=[0]!exit)*1</f>
        <v>1</v>
      </c>
      <c r="BL11" s="63">
        <f>(BL15&gt;=[0]!start)*(BL15&lt;=[0]!exit)*1</f>
        <v>1</v>
      </c>
      <c r="BM11" s="63">
        <f>(BM15&gt;=[0]!start)*(BM15&lt;=[0]!exit)*1</f>
        <v>1</v>
      </c>
      <c r="BN11" s="63">
        <f>(BN15&gt;=[0]!start)*(BN15&lt;=[0]!exit)*1</f>
        <v>1</v>
      </c>
      <c r="BO11" s="63">
        <f>(BO15&gt;=[0]!start)*(BO15&lt;=[0]!exit)*1</f>
        <v>1</v>
      </c>
      <c r="BP11" s="63">
        <f>(BP15&gt;=[0]!start)*(BP15&lt;=[0]!exit)*1</f>
        <v>1</v>
      </c>
      <c r="BQ11" s="63">
        <f>(BQ15&gt;=[0]!start)*(BQ15&lt;=[0]!exit)*1</f>
        <v>0</v>
      </c>
      <c r="BR11" s="63">
        <f>(BR15&gt;=[0]!start)*(BR15&lt;=[0]!exit)*1</f>
        <v>0</v>
      </c>
      <c r="BS11" s="63">
        <f>(BS15&gt;=[0]!start)*(BS15&lt;=[0]!exit)*1</f>
        <v>0</v>
      </c>
      <c r="BT11" s="63">
        <f>(BT15&gt;=[0]!start)*(BT15&lt;=[0]!exit)*1</f>
        <v>0</v>
      </c>
      <c r="BU11" s="63">
        <f>(BU15&gt;=[0]!start)*(BU15&lt;=[0]!exit)*1</f>
        <v>0</v>
      </c>
      <c r="BV11" s="63">
        <f>(BV15&gt;=[0]!start)*(BV15&lt;=[0]!exit)*1</f>
        <v>0</v>
      </c>
      <c r="BW11" s="63">
        <f>(BW15&gt;=[0]!start)*(BW15&lt;=[0]!exit)*1</f>
        <v>0</v>
      </c>
      <c r="BX11" s="63">
        <f>(BX15&gt;=[0]!start)*(BX15&lt;=[0]!exit)*1</f>
        <v>0</v>
      </c>
      <c r="BY11" s="63">
        <f>(BY15&gt;=[0]!start)*(BY15&lt;=[0]!exit)*1</f>
        <v>0</v>
      </c>
      <c r="BZ11" s="63">
        <f>(BZ15&gt;=[0]!start)*(BZ15&lt;=[0]!exit)*1</f>
        <v>0</v>
      </c>
      <c r="CA11" s="63">
        <f>(CA15&gt;=[0]!start)*(CA15&lt;=[0]!exit)*1</f>
        <v>0</v>
      </c>
      <c r="CB11" s="63">
        <f>(CB15&gt;=[0]!start)*(CB15&lt;=[0]!exit)*1</f>
        <v>0</v>
      </c>
      <c r="CC11" s="63">
        <f>(CC15&gt;=[0]!start)*(CC15&lt;=[0]!exit)*1</f>
        <v>0</v>
      </c>
      <c r="CD11" s="63">
        <f>(CD15&gt;=[0]!start)*(CD15&lt;=[0]!exit)*1</f>
        <v>0</v>
      </c>
      <c r="CE11" s="63">
        <f>(CE15&gt;=[0]!start)*(CE15&lt;=[0]!exit)*1</f>
        <v>0</v>
      </c>
      <c r="CF11" s="63">
        <f>(CF15&gt;=[0]!start)*(CF15&lt;=[0]!exit)*1</f>
        <v>0</v>
      </c>
      <c r="CG11" s="63">
        <f>(CG15&gt;=[0]!start)*(CG15&lt;=[0]!exit)*1</f>
        <v>0</v>
      </c>
      <c r="CH11" s="63">
        <f>(CH15&gt;=[0]!start)*(CH15&lt;=[0]!exit)*1</f>
        <v>0</v>
      </c>
      <c r="CI11" s="63">
        <f>(CI15&gt;=[0]!start)*(CI15&lt;=[0]!exit)*1</f>
        <v>0</v>
      </c>
      <c r="CJ11" s="63">
        <f>(CJ15&gt;=[0]!start)*(CJ15&lt;=[0]!exit)*1</f>
        <v>0</v>
      </c>
      <c r="CK11" s="63">
        <f>(CK15&gt;=[0]!start)*(CK15&lt;=[0]!exit)*1</f>
        <v>0</v>
      </c>
      <c r="CL11" s="63">
        <f>(CL15&gt;=[0]!start)*(CL15&lt;=[0]!exit)*1</f>
        <v>0</v>
      </c>
      <c r="CM11" s="63">
        <f>(CM15&gt;=[0]!start)*(CM15&lt;=[0]!exit)*1</f>
        <v>0</v>
      </c>
      <c r="CN11" s="63">
        <f>(CN15&gt;=[0]!start)*(CN15&lt;=[0]!exit)*1</f>
        <v>0</v>
      </c>
      <c r="CO11" s="63">
        <f>(CO15&gt;=[0]!start)*(CO15&lt;=[0]!exit)*1</f>
        <v>0</v>
      </c>
      <c r="CP11" s="63">
        <f>(CP15&gt;=[0]!start)*(CP15&lt;=[0]!exit)*1</f>
        <v>0</v>
      </c>
      <c r="CQ11" s="63">
        <f>(CQ15&gt;=[0]!start)*(CQ15&lt;=[0]!exit)*1</f>
        <v>0</v>
      </c>
      <c r="CR11" s="63">
        <f>(CR15&gt;=[0]!start)*(CR15&lt;=[0]!exit)*1</f>
        <v>0</v>
      </c>
      <c r="CS11" s="63">
        <f>(CS15&gt;=[0]!start)*(CS15&lt;=[0]!exit)*1</f>
        <v>0</v>
      </c>
      <c r="CT11" s="63">
        <f>(CT15&gt;=[0]!start)*(CT15&lt;=[0]!exit)*1</f>
        <v>0</v>
      </c>
      <c r="CU11" s="63">
        <f>(CU15&gt;=[0]!start)*(CU15&lt;=[0]!exit)*1</f>
        <v>0</v>
      </c>
      <c r="CV11" s="63">
        <f>(CV15&gt;=[0]!start)*(CV15&lt;=[0]!exit)*1</f>
        <v>0</v>
      </c>
      <c r="CW11" s="63">
        <f>(CW15&gt;=[0]!start)*(CW15&lt;=[0]!exit)*1</f>
        <v>0</v>
      </c>
      <c r="CX11" s="63">
        <f>(CX15&gt;=[0]!start)*(CX15&lt;=[0]!exit)*1</f>
        <v>0</v>
      </c>
      <c r="CY11" s="63">
        <f>(CY15&gt;=[0]!start)*(CY15&lt;=[0]!exit)*1</f>
        <v>0</v>
      </c>
      <c r="CZ11" s="63">
        <f>(CZ15&gt;=[0]!start)*(CZ15&lt;=[0]!exit)*1</f>
        <v>0</v>
      </c>
      <c r="DA11" s="63">
        <f>(DA15&gt;=[0]!start)*(DA15&lt;=[0]!exit)*1</f>
        <v>0</v>
      </c>
      <c r="DB11" s="63">
        <f>(DB15&gt;=[0]!start)*(DB15&lt;=[0]!exit)*1</f>
        <v>0</v>
      </c>
    </row>
    <row r="12" spans="1:106" s="63" customFormat="1" ht="17" customHeight="1" outlineLevel="1">
      <c r="F12" s="63" t="s">
        <v>91</v>
      </c>
      <c r="H12" s="63">
        <f>SUM($H$11:H11)*H11</f>
        <v>0</v>
      </c>
      <c r="I12" s="63">
        <f>SUM($H$11:I11)*I11</f>
        <v>1</v>
      </c>
      <c r="J12" s="63">
        <f>SUM($H$11:J11)*J11</f>
        <v>2</v>
      </c>
      <c r="K12" s="63">
        <f>SUM($H$11:K11)*K11</f>
        <v>3</v>
      </c>
      <c r="L12" s="63">
        <f>SUM($H$11:L11)*L11</f>
        <v>4</v>
      </c>
      <c r="M12" s="63">
        <f>SUM($H$11:M11)*M11</f>
        <v>5</v>
      </c>
      <c r="N12" s="63">
        <f>SUM($H$11:N11)*N11</f>
        <v>6</v>
      </c>
      <c r="O12" s="63">
        <f>SUM($H$11:O11)*O11</f>
        <v>7</v>
      </c>
      <c r="P12" s="63">
        <f>SUM($H$11:P11)*P11</f>
        <v>8</v>
      </c>
      <c r="Q12" s="63">
        <f>SUM($H$11:Q11)*Q11</f>
        <v>9</v>
      </c>
      <c r="R12" s="63">
        <f>SUM($H$11:R11)*R11</f>
        <v>10</v>
      </c>
      <c r="S12" s="63">
        <f>SUM($H$11:S11)*S11</f>
        <v>11</v>
      </c>
      <c r="T12" s="63">
        <f>SUM($H$11:T11)*T11</f>
        <v>12</v>
      </c>
      <c r="U12" s="63">
        <f>SUM($H$11:U11)*U11</f>
        <v>13</v>
      </c>
      <c r="V12" s="63">
        <f>SUM($H$11:V11)*V11</f>
        <v>14</v>
      </c>
      <c r="W12" s="63">
        <f>SUM($H$11:W11)*W11</f>
        <v>15</v>
      </c>
      <c r="X12" s="63">
        <f>SUM($H$11:X11)*X11</f>
        <v>16</v>
      </c>
      <c r="Y12" s="63">
        <f>SUM($H$11:Y11)*Y11</f>
        <v>17</v>
      </c>
      <c r="Z12" s="63">
        <f>SUM($H$11:Z11)*Z11</f>
        <v>18</v>
      </c>
      <c r="AA12" s="63">
        <f>SUM($H$11:AA11)*AA11</f>
        <v>19</v>
      </c>
      <c r="AB12" s="63">
        <f>SUM($H$11:AB11)*AB11</f>
        <v>20</v>
      </c>
      <c r="AC12" s="63">
        <f>SUM($H$11:AC11)*AC11</f>
        <v>21</v>
      </c>
      <c r="AD12" s="63">
        <f>SUM($H$11:AD11)*AD11</f>
        <v>22</v>
      </c>
      <c r="AE12" s="63">
        <f>SUM($H$11:AE11)*AE11</f>
        <v>23</v>
      </c>
      <c r="AF12" s="63">
        <f>SUM($H$11:AF11)*AF11</f>
        <v>24</v>
      </c>
      <c r="AG12" s="63">
        <f>SUM($H$11:AG11)*AG11</f>
        <v>25</v>
      </c>
      <c r="AH12" s="63">
        <f>SUM($H$11:AH11)*AH11</f>
        <v>26</v>
      </c>
      <c r="AI12" s="63">
        <f>SUM($H$11:AI11)*AI11</f>
        <v>27</v>
      </c>
      <c r="AJ12" s="63">
        <f>SUM($H$11:AJ11)*AJ11</f>
        <v>28</v>
      </c>
      <c r="AK12" s="63">
        <f>SUM($H$11:AK11)*AK11</f>
        <v>29</v>
      </c>
      <c r="AL12" s="63">
        <f>SUM($H$11:AL11)*AL11</f>
        <v>30</v>
      </c>
      <c r="AM12" s="63">
        <f>SUM($H$11:AM11)*AM11</f>
        <v>31</v>
      </c>
      <c r="AN12" s="63">
        <f>SUM($H$11:AN11)*AN11</f>
        <v>32</v>
      </c>
      <c r="AO12" s="63">
        <f>SUM($H$11:AO11)*AO11</f>
        <v>33</v>
      </c>
      <c r="AP12" s="63">
        <f>SUM($H$11:AP11)*AP11</f>
        <v>34</v>
      </c>
      <c r="AQ12" s="63">
        <f>SUM($H$11:AQ11)*AQ11</f>
        <v>35</v>
      </c>
      <c r="AR12" s="63">
        <f>SUM($H$11:AR11)*AR11</f>
        <v>36</v>
      </c>
      <c r="AS12" s="63">
        <f>SUM($H$11:AS11)*AS11</f>
        <v>37</v>
      </c>
      <c r="AT12" s="63">
        <f>SUM($H$11:AT11)*AT11</f>
        <v>38</v>
      </c>
      <c r="AU12" s="63">
        <f>SUM($H$11:AU11)*AU11</f>
        <v>39</v>
      </c>
      <c r="AV12" s="63">
        <f>SUM($H$11:AV11)*AV11</f>
        <v>40</v>
      </c>
      <c r="AW12" s="63">
        <f>SUM($H$11:AW11)*AW11</f>
        <v>41</v>
      </c>
      <c r="AX12" s="63">
        <f>SUM($H$11:AX11)*AX11</f>
        <v>42</v>
      </c>
      <c r="AY12" s="63">
        <f>SUM($H$11:AY11)*AY11</f>
        <v>43</v>
      </c>
      <c r="AZ12" s="63">
        <f>SUM($H$11:AZ11)*AZ11</f>
        <v>44</v>
      </c>
      <c r="BA12" s="63">
        <f>SUM($H$11:BA11)*BA11</f>
        <v>45</v>
      </c>
      <c r="BB12" s="63">
        <f>SUM($H$11:BB11)*BB11</f>
        <v>46</v>
      </c>
      <c r="BC12" s="63">
        <f>SUM($H$11:BC11)*BC11</f>
        <v>47</v>
      </c>
      <c r="BD12" s="63">
        <f>SUM($H$11:BD11)*BD11</f>
        <v>48</v>
      </c>
      <c r="BE12" s="63">
        <f>SUM($H$11:BE11)*BE11</f>
        <v>49</v>
      </c>
      <c r="BF12" s="63">
        <f>SUM($H$11:BF11)*BF11</f>
        <v>50</v>
      </c>
      <c r="BG12" s="63">
        <f>SUM($H$11:BG11)*BG11</f>
        <v>51</v>
      </c>
      <c r="BH12" s="63">
        <f>SUM($H$11:BH11)*BH11</f>
        <v>52</v>
      </c>
      <c r="BI12" s="63">
        <f>SUM($H$11:BI11)*BI11</f>
        <v>53</v>
      </c>
      <c r="BJ12" s="63">
        <f>SUM($H$11:BJ11)*BJ11</f>
        <v>54</v>
      </c>
      <c r="BK12" s="63">
        <f>SUM($H$11:BK11)*BK11</f>
        <v>55</v>
      </c>
      <c r="BL12" s="63">
        <f>SUM($H$11:BL11)*BL11</f>
        <v>56</v>
      </c>
      <c r="BM12" s="63">
        <f>SUM($H$11:BM11)*BM11</f>
        <v>57</v>
      </c>
      <c r="BN12" s="63">
        <f>SUM($H$11:BN11)*BN11</f>
        <v>58</v>
      </c>
      <c r="BO12" s="63">
        <f>SUM($H$11:BO11)*BO11</f>
        <v>59</v>
      </c>
      <c r="BP12" s="63">
        <f>SUM($H$11:BP11)*BP11</f>
        <v>60</v>
      </c>
      <c r="BQ12" s="63">
        <f>SUM($H$11:BQ11)*BQ11</f>
        <v>0</v>
      </c>
      <c r="BR12" s="63">
        <f>SUM($H$11:BR11)*BR11</f>
        <v>0</v>
      </c>
      <c r="BS12" s="63">
        <f>SUM($H$11:BS11)*BS11</f>
        <v>0</v>
      </c>
      <c r="BT12" s="63">
        <f>SUM($H$11:BT11)*BT11</f>
        <v>0</v>
      </c>
      <c r="BU12" s="63">
        <f>SUM($H$11:BU11)*BU11</f>
        <v>0</v>
      </c>
      <c r="BV12" s="63">
        <f>SUM($H$11:BV11)*BV11</f>
        <v>0</v>
      </c>
      <c r="BW12" s="63">
        <f>SUM($H$11:BW11)*BW11</f>
        <v>0</v>
      </c>
      <c r="BX12" s="63">
        <f>SUM($H$11:BX11)*BX11</f>
        <v>0</v>
      </c>
      <c r="BY12" s="63">
        <f>SUM($H$11:BY11)*BY11</f>
        <v>0</v>
      </c>
      <c r="BZ12" s="63">
        <f>SUM($H$11:BZ11)*BZ11</f>
        <v>0</v>
      </c>
      <c r="CA12" s="63">
        <f>SUM($H$11:CA11)*CA11</f>
        <v>0</v>
      </c>
      <c r="CB12" s="63">
        <f>SUM($H$11:CB11)*CB11</f>
        <v>0</v>
      </c>
      <c r="CC12" s="63">
        <f>SUM($H$11:CC11)*CC11</f>
        <v>0</v>
      </c>
      <c r="CD12" s="63">
        <f>SUM($H$11:CD11)*CD11</f>
        <v>0</v>
      </c>
      <c r="CE12" s="63">
        <f>SUM($H$11:CE11)*CE11</f>
        <v>0</v>
      </c>
      <c r="CF12" s="63">
        <f>SUM($H$11:CF11)*CF11</f>
        <v>0</v>
      </c>
      <c r="CG12" s="63">
        <f>SUM($H$11:CG11)*CG11</f>
        <v>0</v>
      </c>
      <c r="CH12" s="63">
        <f>SUM($H$11:CH11)*CH11</f>
        <v>0</v>
      </c>
      <c r="CI12" s="63">
        <f>SUM($H$11:CI11)*CI11</f>
        <v>0</v>
      </c>
      <c r="CJ12" s="63">
        <f>SUM($H$11:CJ11)*CJ11</f>
        <v>0</v>
      </c>
      <c r="CK12" s="63">
        <f>SUM($H$11:CK11)*CK11</f>
        <v>0</v>
      </c>
      <c r="CL12" s="63">
        <f>SUM($H$11:CL11)*CL11</f>
        <v>0</v>
      </c>
      <c r="CM12" s="63">
        <f>SUM($H$11:CM11)*CM11</f>
        <v>0</v>
      </c>
      <c r="CN12" s="63">
        <f>SUM($H$11:CN11)*CN11</f>
        <v>0</v>
      </c>
      <c r="CO12" s="63">
        <f>SUM($H$11:CO11)*CO11</f>
        <v>0</v>
      </c>
      <c r="CP12" s="63">
        <f>SUM($H$11:CP11)*CP11</f>
        <v>0</v>
      </c>
      <c r="CQ12" s="63">
        <f>SUM($H$11:CQ11)*CQ11</f>
        <v>0</v>
      </c>
      <c r="CR12" s="63">
        <f>SUM($H$11:CR11)*CR11</f>
        <v>0</v>
      </c>
      <c r="CS12" s="63">
        <f>SUM($H$11:CS11)*CS11</f>
        <v>0</v>
      </c>
      <c r="CT12" s="63">
        <f>SUM($H$11:CT11)*CT11</f>
        <v>0</v>
      </c>
      <c r="CU12" s="63">
        <f>SUM($H$11:CU11)*CU11</f>
        <v>0</v>
      </c>
      <c r="CV12" s="63">
        <f>SUM($H$11:CV11)*CV11</f>
        <v>0</v>
      </c>
      <c r="CW12" s="63">
        <f>SUM($H$11:CW11)*CW11</f>
        <v>0</v>
      </c>
      <c r="CX12" s="63">
        <f>SUM($H$11:CX11)*CX11</f>
        <v>0</v>
      </c>
      <c r="CY12" s="63">
        <f>SUM($H$11:CY11)*CY11</f>
        <v>0</v>
      </c>
      <c r="CZ12" s="63">
        <f>SUM($H$11:CZ11)*CZ11</f>
        <v>0</v>
      </c>
      <c r="DA12" s="63">
        <f>SUM($H$11:DA11)*DA11</f>
        <v>0</v>
      </c>
      <c r="DB12" s="63">
        <f>SUM($H$11:DB11)*DB11</f>
        <v>0</v>
      </c>
    </row>
    <row r="13" spans="1:106" s="63" customFormat="1" ht="17" customHeight="1" outlineLevel="1">
      <c r="D13" s="142">
        <f>MONTH($I$10)</f>
        <v>7</v>
      </c>
      <c r="E13" s="142">
        <f>MONTH($J$10)</f>
        <v>1</v>
      </c>
      <c r="F13" s="63" t="s">
        <v>219</v>
      </c>
      <c r="H13" s="63">
        <f>((MONTH(H$15)=$D$13)*1+(MONTH(H$15)=$E$13)*1)*H$11</f>
        <v>0</v>
      </c>
      <c r="I13" s="63">
        <f t="shared" ref="I13:BT13" si="2">((MONTH(I$15)=$D$13)*1+(MONTH(I$15)=$E$13)*1)*I$11</f>
        <v>0</v>
      </c>
      <c r="J13" s="63">
        <f t="shared" si="2"/>
        <v>0</v>
      </c>
      <c r="K13" s="63">
        <f t="shared" si="2"/>
        <v>0</v>
      </c>
      <c r="L13" s="63">
        <f t="shared" si="2"/>
        <v>0</v>
      </c>
      <c r="M13" s="63">
        <f t="shared" si="2"/>
        <v>0</v>
      </c>
      <c r="N13" s="63">
        <f t="shared" si="2"/>
        <v>1</v>
      </c>
      <c r="O13" s="63">
        <f t="shared" si="2"/>
        <v>0</v>
      </c>
      <c r="P13" s="63">
        <f t="shared" si="2"/>
        <v>0</v>
      </c>
      <c r="Q13" s="63">
        <f t="shared" si="2"/>
        <v>0</v>
      </c>
      <c r="R13" s="63">
        <f t="shared" si="2"/>
        <v>0</v>
      </c>
      <c r="S13" s="63">
        <f t="shared" si="2"/>
        <v>0</v>
      </c>
      <c r="T13" s="63">
        <f t="shared" si="2"/>
        <v>1</v>
      </c>
      <c r="U13" s="63">
        <f t="shared" si="2"/>
        <v>0</v>
      </c>
      <c r="V13" s="63">
        <f t="shared" si="2"/>
        <v>0</v>
      </c>
      <c r="W13" s="63">
        <f t="shared" si="2"/>
        <v>0</v>
      </c>
      <c r="X13" s="63">
        <f t="shared" si="2"/>
        <v>0</v>
      </c>
      <c r="Y13" s="63">
        <f t="shared" si="2"/>
        <v>0</v>
      </c>
      <c r="Z13" s="63">
        <f t="shared" si="2"/>
        <v>1</v>
      </c>
      <c r="AA13" s="63">
        <f t="shared" si="2"/>
        <v>0</v>
      </c>
      <c r="AB13" s="63">
        <f t="shared" si="2"/>
        <v>0</v>
      </c>
      <c r="AC13" s="63">
        <f t="shared" si="2"/>
        <v>0</v>
      </c>
      <c r="AD13" s="63">
        <f t="shared" si="2"/>
        <v>0</v>
      </c>
      <c r="AE13" s="63">
        <f t="shared" si="2"/>
        <v>0</v>
      </c>
      <c r="AF13" s="63">
        <f t="shared" si="2"/>
        <v>1</v>
      </c>
      <c r="AG13" s="63">
        <f t="shared" si="2"/>
        <v>0</v>
      </c>
      <c r="AH13" s="63">
        <f t="shared" si="2"/>
        <v>0</v>
      </c>
      <c r="AI13" s="63">
        <f t="shared" si="2"/>
        <v>0</v>
      </c>
      <c r="AJ13" s="63">
        <f t="shared" si="2"/>
        <v>0</v>
      </c>
      <c r="AK13" s="63">
        <f t="shared" si="2"/>
        <v>0</v>
      </c>
      <c r="AL13" s="63">
        <f t="shared" si="2"/>
        <v>1</v>
      </c>
      <c r="AM13" s="63">
        <f t="shared" si="2"/>
        <v>0</v>
      </c>
      <c r="AN13" s="63">
        <f t="shared" si="2"/>
        <v>0</v>
      </c>
      <c r="AO13" s="63">
        <f t="shared" si="2"/>
        <v>0</v>
      </c>
      <c r="AP13" s="63">
        <f t="shared" si="2"/>
        <v>0</v>
      </c>
      <c r="AQ13" s="63">
        <f t="shared" si="2"/>
        <v>0</v>
      </c>
      <c r="AR13" s="63">
        <f t="shared" si="2"/>
        <v>1</v>
      </c>
      <c r="AS13" s="63">
        <f t="shared" si="2"/>
        <v>0</v>
      </c>
      <c r="AT13" s="63">
        <f t="shared" si="2"/>
        <v>0</v>
      </c>
      <c r="AU13" s="63">
        <f t="shared" si="2"/>
        <v>0</v>
      </c>
      <c r="AV13" s="63">
        <f t="shared" si="2"/>
        <v>0</v>
      </c>
      <c r="AW13" s="63">
        <f t="shared" si="2"/>
        <v>0</v>
      </c>
      <c r="AX13" s="63">
        <f t="shared" si="2"/>
        <v>1</v>
      </c>
      <c r="AY13" s="63">
        <f t="shared" si="2"/>
        <v>0</v>
      </c>
      <c r="AZ13" s="63">
        <f t="shared" si="2"/>
        <v>0</v>
      </c>
      <c r="BA13" s="63">
        <f t="shared" si="2"/>
        <v>0</v>
      </c>
      <c r="BB13" s="63">
        <f t="shared" si="2"/>
        <v>0</v>
      </c>
      <c r="BC13" s="63">
        <f t="shared" si="2"/>
        <v>0</v>
      </c>
      <c r="BD13" s="63">
        <f t="shared" si="2"/>
        <v>1</v>
      </c>
      <c r="BE13" s="63">
        <f t="shared" si="2"/>
        <v>0</v>
      </c>
      <c r="BF13" s="63">
        <f t="shared" si="2"/>
        <v>0</v>
      </c>
      <c r="BG13" s="63">
        <f t="shared" si="2"/>
        <v>0</v>
      </c>
      <c r="BH13" s="63">
        <f t="shared" si="2"/>
        <v>0</v>
      </c>
      <c r="BI13" s="63">
        <f t="shared" si="2"/>
        <v>0</v>
      </c>
      <c r="BJ13" s="63">
        <f t="shared" si="2"/>
        <v>1</v>
      </c>
      <c r="BK13" s="63">
        <f t="shared" si="2"/>
        <v>0</v>
      </c>
      <c r="BL13" s="63">
        <f t="shared" si="2"/>
        <v>0</v>
      </c>
      <c r="BM13" s="63">
        <f t="shared" si="2"/>
        <v>0</v>
      </c>
      <c r="BN13" s="63">
        <f t="shared" si="2"/>
        <v>0</v>
      </c>
      <c r="BO13" s="63">
        <f t="shared" si="2"/>
        <v>0</v>
      </c>
      <c r="BP13" s="63">
        <f t="shared" si="2"/>
        <v>1</v>
      </c>
      <c r="BQ13" s="63">
        <f t="shared" si="2"/>
        <v>0</v>
      </c>
      <c r="BR13" s="63">
        <f t="shared" si="2"/>
        <v>0</v>
      </c>
      <c r="BS13" s="63">
        <f t="shared" si="2"/>
        <v>0</v>
      </c>
      <c r="BT13" s="63">
        <f t="shared" si="2"/>
        <v>0</v>
      </c>
      <c r="BU13" s="63">
        <f t="shared" ref="BU13:DB13" si="3">((MONTH(BU$15)=$D$13)*1+(MONTH(BU$15)=$E$13)*1)*BU$11</f>
        <v>0</v>
      </c>
      <c r="BV13" s="63">
        <f t="shared" si="3"/>
        <v>0</v>
      </c>
      <c r="BW13" s="63">
        <f t="shared" si="3"/>
        <v>0</v>
      </c>
      <c r="BX13" s="63">
        <f t="shared" si="3"/>
        <v>0</v>
      </c>
      <c r="BY13" s="63">
        <f t="shared" si="3"/>
        <v>0</v>
      </c>
      <c r="BZ13" s="63">
        <f t="shared" si="3"/>
        <v>0</v>
      </c>
      <c r="CA13" s="63">
        <f t="shared" si="3"/>
        <v>0</v>
      </c>
      <c r="CB13" s="63">
        <f t="shared" si="3"/>
        <v>0</v>
      </c>
      <c r="CC13" s="63">
        <f t="shared" si="3"/>
        <v>0</v>
      </c>
      <c r="CD13" s="63">
        <f t="shared" si="3"/>
        <v>0</v>
      </c>
      <c r="CE13" s="63">
        <f t="shared" si="3"/>
        <v>0</v>
      </c>
      <c r="CF13" s="63">
        <f t="shared" si="3"/>
        <v>0</v>
      </c>
      <c r="CG13" s="63">
        <f t="shared" si="3"/>
        <v>0</v>
      </c>
      <c r="CH13" s="63">
        <f t="shared" si="3"/>
        <v>0</v>
      </c>
      <c r="CI13" s="63">
        <f t="shared" si="3"/>
        <v>0</v>
      </c>
      <c r="CJ13" s="63">
        <f t="shared" si="3"/>
        <v>0</v>
      </c>
      <c r="CK13" s="63">
        <f t="shared" si="3"/>
        <v>0</v>
      </c>
      <c r="CL13" s="63">
        <f t="shared" si="3"/>
        <v>0</v>
      </c>
      <c r="CM13" s="63">
        <f t="shared" si="3"/>
        <v>0</v>
      </c>
      <c r="CN13" s="63">
        <f t="shared" si="3"/>
        <v>0</v>
      </c>
      <c r="CO13" s="63">
        <f t="shared" si="3"/>
        <v>0</v>
      </c>
      <c r="CP13" s="63">
        <f t="shared" si="3"/>
        <v>0</v>
      </c>
      <c r="CQ13" s="63">
        <f t="shared" si="3"/>
        <v>0</v>
      </c>
      <c r="CR13" s="63">
        <f t="shared" si="3"/>
        <v>0</v>
      </c>
      <c r="CS13" s="63">
        <f t="shared" si="3"/>
        <v>0</v>
      </c>
      <c r="CT13" s="63">
        <f t="shared" si="3"/>
        <v>0</v>
      </c>
      <c r="CU13" s="63">
        <f t="shared" si="3"/>
        <v>0</v>
      </c>
      <c r="CV13" s="63">
        <f t="shared" si="3"/>
        <v>0</v>
      </c>
      <c r="CW13" s="63">
        <f t="shared" si="3"/>
        <v>0</v>
      </c>
      <c r="CX13" s="63">
        <f t="shared" si="3"/>
        <v>0</v>
      </c>
      <c r="CY13" s="63">
        <f t="shared" si="3"/>
        <v>0</v>
      </c>
      <c r="CZ13" s="63">
        <f t="shared" si="3"/>
        <v>0</v>
      </c>
      <c r="DA13" s="63">
        <f t="shared" si="3"/>
        <v>0</v>
      </c>
      <c r="DB13" s="63">
        <f t="shared" si="3"/>
        <v>0</v>
      </c>
    </row>
    <row r="14" spans="1:106" s="63" customFormat="1" ht="17" customHeight="1" outlineLevel="1">
      <c r="F14" s="63" t="s">
        <v>92</v>
      </c>
      <c r="H14" s="63">
        <f>(MOD(H12,12)=1)*1</f>
        <v>0</v>
      </c>
      <c r="I14" s="63">
        <f>(MOD(I12,12)=1)*1</f>
        <v>1</v>
      </c>
      <c r="J14" s="63">
        <f t="shared" ref="J14:BT14" si="4">(MOD(J12,12)=1)*1</f>
        <v>0</v>
      </c>
      <c r="K14" s="63">
        <f t="shared" si="4"/>
        <v>0</v>
      </c>
      <c r="L14" s="63">
        <f t="shared" si="4"/>
        <v>0</v>
      </c>
      <c r="M14" s="63">
        <f t="shared" si="4"/>
        <v>0</v>
      </c>
      <c r="N14" s="63">
        <f t="shared" si="4"/>
        <v>0</v>
      </c>
      <c r="O14" s="63">
        <f t="shared" si="4"/>
        <v>0</v>
      </c>
      <c r="P14" s="63">
        <f t="shared" si="4"/>
        <v>0</v>
      </c>
      <c r="Q14" s="63">
        <f t="shared" si="4"/>
        <v>0</v>
      </c>
      <c r="R14" s="63">
        <f t="shared" si="4"/>
        <v>0</v>
      </c>
      <c r="S14" s="63">
        <f t="shared" si="4"/>
        <v>0</v>
      </c>
      <c r="T14" s="63">
        <f t="shared" si="4"/>
        <v>0</v>
      </c>
      <c r="U14" s="63">
        <f t="shared" si="4"/>
        <v>1</v>
      </c>
      <c r="V14" s="63">
        <f t="shared" si="4"/>
        <v>0</v>
      </c>
      <c r="W14" s="63">
        <f t="shared" si="4"/>
        <v>0</v>
      </c>
      <c r="X14" s="63">
        <f t="shared" si="4"/>
        <v>0</v>
      </c>
      <c r="Y14" s="63">
        <f t="shared" si="4"/>
        <v>0</v>
      </c>
      <c r="Z14" s="63">
        <f t="shared" si="4"/>
        <v>0</v>
      </c>
      <c r="AA14" s="63">
        <f t="shared" si="4"/>
        <v>0</v>
      </c>
      <c r="AB14" s="63">
        <f t="shared" si="4"/>
        <v>0</v>
      </c>
      <c r="AC14" s="63">
        <f t="shared" si="4"/>
        <v>0</v>
      </c>
      <c r="AD14" s="63">
        <f t="shared" si="4"/>
        <v>0</v>
      </c>
      <c r="AE14" s="63">
        <f t="shared" si="4"/>
        <v>0</v>
      </c>
      <c r="AF14" s="63">
        <f t="shared" si="4"/>
        <v>0</v>
      </c>
      <c r="AG14" s="63">
        <f t="shared" si="4"/>
        <v>1</v>
      </c>
      <c r="AH14" s="63">
        <f t="shared" si="4"/>
        <v>0</v>
      </c>
      <c r="AI14" s="63">
        <f t="shared" si="4"/>
        <v>0</v>
      </c>
      <c r="AJ14" s="63">
        <f t="shared" si="4"/>
        <v>0</v>
      </c>
      <c r="AK14" s="63">
        <f t="shared" si="4"/>
        <v>0</v>
      </c>
      <c r="AL14" s="63">
        <f t="shared" si="4"/>
        <v>0</v>
      </c>
      <c r="AM14" s="63">
        <f t="shared" si="4"/>
        <v>0</v>
      </c>
      <c r="AN14" s="63">
        <f t="shared" si="4"/>
        <v>0</v>
      </c>
      <c r="AO14" s="63">
        <f t="shared" si="4"/>
        <v>0</v>
      </c>
      <c r="AP14" s="63">
        <f t="shared" si="4"/>
        <v>0</v>
      </c>
      <c r="AQ14" s="63">
        <f t="shared" si="4"/>
        <v>0</v>
      </c>
      <c r="AR14" s="63">
        <f t="shared" si="4"/>
        <v>0</v>
      </c>
      <c r="AS14" s="63">
        <f t="shared" si="4"/>
        <v>1</v>
      </c>
      <c r="AT14" s="63">
        <f t="shared" si="4"/>
        <v>0</v>
      </c>
      <c r="AU14" s="63">
        <f t="shared" si="4"/>
        <v>0</v>
      </c>
      <c r="AV14" s="63">
        <f t="shared" si="4"/>
        <v>0</v>
      </c>
      <c r="AW14" s="63">
        <f t="shared" si="4"/>
        <v>0</v>
      </c>
      <c r="AX14" s="63">
        <f t="shared" si="4"/>
        <v>0</v>
      </c>
      <c r="AY14" s="63">
        <f t="shared" si="4"/>
        <v>0</v>
      </c>
      <c r="AZ14" s="63">
        <f t="shared" si="4"/>
        <v>0</v>
      </c>
      <c r="BA14" s="63">
        <f t="shared" si="4"/>
        <v>0</v>
      </c>
      <c r="BB14" s="63">
        <f t="shared" si="4"/>
        <v>0</v>
      </c>
      <c r="BC14" s="63">
        <f t="shared" si="4"/>
        <v>0</v>
      </c>
      <c r="BD14" s="63">
        <f t="shared" si="4"/>
        <v>0</v>
      </c>
      <c r="BE14" s="63">
        <f t="shared" si="4"/>
        <v>1</v>
      </c>
      <c r="BF14" s="63">
        <f t="shared" si="4"/>
        <v>0</v>
      </c>
      <c r="BG14" s="63">
        <f t="shared" si="4"/>
        <v>0</v>
      </c>
      <c r="BH14" s="63">
        <f t="shared" si="4"/>
        <v>0</v>
      </c>
      <c r="BI14" s="63">
        <f t="shared" si="4"/>
        <v>0</v>
      </c>
      <c r="BJ14" s="63">
        <f t="shared" si="4"/>
        <v>0</v>
      </c>
      <c r="BK14" s="63">
        <f t="shared" si="4"/>
        <v>0</v>
      </c>
      <c r="BL14" s="63">
        <f t="shared" si="4"/>
        <v>0</v>
      </c>
      <c r="BM14" s="63">
        <f t="shared" si="4"/>
        <v>0</v>
      </c>
      <c r="BN14" s="63">
        <f t="shared" si="4"/>
        <v>0</v>
      </c>
      <c r="BO14" s="63">
        <f t="shared" si="4"/>
        <v>0</v>
      </c>
      <c r="BP14" s="63">
        <f t="shared" si="4"/>
        <v>0</v>
      </c>
      <c r="BQ14" s="63">
        <f t="shared" si="4"/>
        <v>0</v>
      </c>
      <c r="BR14" s="63">
        <f t="shared" si="4"/>
        <v>0</v>
      </c>
      <c r="BS14" s="63">
        <f t="shared" si="4"/>
        <v>0</v>
      </c>
      <c r="BT14" s="63">
        <f t="shared" si="4"/>
        <v>0</v>
      </c>
      <c r="BU14" s="63">
        <f t="shared" ref="BU14:DB14" si="5">(MOD(BU12,12)=1)*1</f>
        <v>0</v>
      </c>
      <c r="BV14" s="63">
        <f t="shared" si="5"/>
        <v>0</v>
      </c>
      <c r="BW14" s="63">
        <f t="shared" si="5"/>
        <v>0</v>
      </c>
      <c r="BX14" s="63">
        <f t="shared" si="5"/>
        <v>0</v>
      </c>
      <c r="BY14" s="63">
        <f t="shared" si="5"/>
        <v>0</v>
      </c>
      <c r="BZ14" s="63">
        <f t="shared" si="5"/>
        <v>0</v>
      </c>
      <c r="CA14" s="63">
        <f t="shared" si="5"/>
        <v>0</v>
      </c>
      <c r="CB14" s="63">
        <f t="shared" si="5"/>
        <v>0</v>
      </c>
      <c r="CC14" s="63">
        <f t="shared" si="5"/>
        <v>0</v>
      </c>
      <c r="CD14" s="63">
        <f t="shared" si="5"/>
        <v>0</v>
      </c>
      <c r="CE14" s="63">
        <f t="shared" si="5"/>
        <v>0</v>
      </c>
      <c r="CF14" s="63">
        <f t="shared" si="5"/>
        <v>0</v>
      </c>
      <c r="CG14" s="63">
        <f t="shared" si="5"/>
        <v>0</v>
      </c>
      <c r="CH14" s="63">
        <f t="shared" si="5"/>
        <v>0</v>
      </c>
      <c r="CI14" s="63">
        <f t="shared" si="5"/>
        <v>0</v>
      </c>
      <c r="CJ14" s="63">
        <f t="shared" si="5"/>
        <v>0</v>
      </c>
      <c r="CK14" s="63">
        <f t="shared" si="5"/>
        <v>0</v>
      </c>
      <c r="CL14" s="63">
        <f t="shared" si="5"/>
        <v>0</v>
      </c>
      <c r="CM14" s="63">
        <f t="shared" si="5"/>
        <v>0</v>
      </c>
      <c r="CN14" s="63">
        <f t="shared" si="5"/>
        <v>0</v>
      </c>
      <c r="CO14" s="63">
        <f t="shared" si="5"/>
        <v>0</v>
      </c>
      <c r="CP14" s="63">
        <f t="shared" si="5"/>
        <v>0</v>
      </c>
      <c r="CQ14" s="63">
        <f t="shared" si="5"/>
        <v>0</v>
      </c>
      <c r="CR14" s="63">
        <f t="shared" si="5"/>
        <v>0</v>
      </c>
      <c r="CS14" s="63">
        <f t="shared" si="5"/>
        <v>0</v>
      </c>
      <c r="CT14" s="63">
        <f t="shared" si="5"/>
        <v>0</v>
      </c>
      <c r="CU14" s="63">
        <f t="shared" si="5"/>
        <v>0</v>
      </c>
      <c r="CV14" s="63">
        <f t="shared" si="5"/>
        <v>0</v>
      </c>
      <c r="CW14" s="63">
        <f t="shared" si="5"/>
        <v>0</v>
      </c>
      <c r="CX14" s="63">
        <f t="shared" si="5"/>
        <v>0</v>
      </c>
      <c r="CY14" s="63">
        <f t="shared" si="5"/>
        <v>0</v>
      </c>
      <c r="CZ14" s="63">
        <f t="shared" si="5"/>
        <v>0</v>
      </c>
      <c r="DA14" s="63">
        <f t="shared" si="5"/>
        <v>0</v>
      </c>
      <c r="DB14" s="63">
        <f t="shared" si="5"/>
        <v>0</v>
      </c>
    </row>
    <row r="15" spans="1:106" ht="17" customHeight="1">
      <c r="B15" s="64"/>
      <c r="C15" s="64"/>
      <c r="D15" s="64"/>
      <c r="E15" s="64"/>
      <c r="F15" s="64" t="s">
        <v>93</v>
      </c>
      <c r="G15" s="64"/>
      <c r="H15" s="65">
        <f>acq</f>
        <v>45688</v>
      </c>
      <c r="I15" s="65">
        <f>EOMONTH(H15,1)</f>
        <v>45716</v>
      </c>
      <c r="J15" s="65">
        <f t="shared" ref="J15:BU15" si="6">EOMONTH(I15,1)</f>
        <v>45747</v>
      </c>
      <c r="K15" s="65">
        <f t="shared" si="6"/>
        <v>45777</v>
      </c>
      <c r="L15" s="65">
        <f t="shared" si="6"/>
        <v>45808</v>
      </c>
      <c r="M15" s="65">
        <f t="shared" si="6"/>
        <v>45838</v>
      </c>
      <c r="N15" s="65">
        <f t="shared" si="6"/>
        <v>45869</v>
      </c>
      <c r="O15" s="65">
        <f t="shared" si="6"/>
        <v>45900</v>
      </c>
      <c r="P15" s="65">
        <f t="shared" si="6"/>
        <v>45930</v>
      </c>
      <c r="Q15" s="65">
        <f t="shared" si="6"/>
        <v>45961</v>
      </c>
      <c r="R15" s="65">
        <f t="shared" si="6"/>
        <v>45991</v>
      </c>
      <c r="S15" s="65">
        <f t="shared" si="6"/>
        <v>46022</v>
      </c>
      <c r="T15" s="65">
        <f t="shared" si="6"/>
        <v>46053</v>
      </c>
      <c r="U15" s="65">
        <f t="shared" si="6"/>
        <v>46081</v>
      </c>
      <c r="V15" s="65">
        <f t="shared" si="6"/>
        <v>46112</v>
      </c>
      <c r="W15" s="65">
        <f t="shared" si="6"/>
        <v>46142</v>
      </c>
      <c r="X15" s="65">
        <f t="shared" si="6"/>
        <v>46173</v>
      </c>
      <c r="Y15" s="65">
        <f t="shared" si="6"/>
        <v>46203</v>
      </c>
      <c r="Z15" s="65">
        <f t="shared" si="6"/>
        <v>46234</v>
      </c>
      <c r="AA15" s="65">
        <f t="shared" si="6"/>
        <v>46265</v>
      </c>
      <c r="AB15" s="65">
        <f t="shared" si="6"/>
        <v>46295</v>
      </c>
      <c r="AC15" s="65">
        <f t="shared" si="6"/>
        <v>46326</v>
      </c>
      <c r="AD15" s="65">
        <f t="shared" si="6"/>
        <v>46356</v>
      </c>
      <c r="AE15" s="65">
        <f t="shared" si="6"/>
        <v>46387</v>
      </c>
      <c r="AF15" s="65">
        <f t="shared" si="6"/>
        <v>46418</v>
      </c>
      <c r="AG15" s="65">
        <f t="shared" si="6"/>
        <v>46446</v>
      </c>
      <c r="AH15" s="65">
        <f t="shared" si="6"/>
        <v>46477</v>
      </c>
      <c r="AI15" s="65">
        <f t="shared" si="6"/>
        <v>46507</v>
      </c>
      <c r="AJ15" s="65">
        <f t="shared" si="6"/>
        <v>46538</v>
      </c>
      <c r="AK15" s="65">
        <f t="shared" si="6"/>
        <v>46568</v>
      </c>
      <c r="AL15" s="65">
        <f t="shared" si="6"/>
        <v>46599</v>
      </c>
      <c r="AM15" s="65">
        <f t="shared" si="6"/>
        <v>46630</v>
      </c>
      <c r="AN15" s="65">
        <f t="shared" si="6"/>
        <v>46660</v>
      </c>
      <c r="AO15" s="65">
        <f t="shared" si="6"/>
        <v>46691</v>
      </c>
      <c r="AP15" s="65">
        <f t="shared" si="6"/>
        <v>46721</v>
      </c>
      <c r="AQ15" s="65">
        <f t="shared" si="6"/>
        <v>46752</v>
      </c>
      <c r="AR15" s="65">
        <f t="shared" si="6"/>
        <v>46783</v>
      </c>
      <c r="AS15" s="65">
        <f t="shared" si="6"/>
        <v>46812</v>
      </c>
      <c r="AT15" s="65">
        <f t="shared" si="6"/>
        <v>46843</v>
      </c>
      <c r="AU15" s="65">
        <f t="shared" si="6"/>
        <v>46873</v>
      </c>
      <c r="AV15" s="65">
        <f t="shared" si="6"/>
        <v>46904</v>
      </c>
      <c r="AW15" s="65">
        <f t="shared" si="6"/>
        <v>46934</v>
      </c>
      <c r="AX15" s="65">
        <f t="shared" si="6"/>
        <v>46965</v>
      </c>
      <c r="AY15" s="65">
        <f t="shared" si="6"/>
        <v>46996</v>
      </c>
      <c r="AZ15" s="65">
        <f t="shared" si="6"/>
        <v>47026</v>
      </c>
      <c r="BA15" s="65">
        <f t="shared" si="6"/>
        <v>47057</v>
      </c>
      <c r="BB15" s="65">
        <f t="shared" si="6"/>
        <v>47087</v>
      </c>
      <c r="BC15" s="65">
        <f t="shared" si="6"/>
        <v>47118</v>
      </c>
      <c r="BD15" s="65">
        <f t="shared" si="6"/>
        <v>47149</v>
      </c>
      <c r="BE15" s="65">
        <f t="shared" si="6"/>
        <v>47177</v>
      </c>
      <c r="BF15" s="65">
        <f t="shared" si="6"/>
        <v>47208</v>
      </c>
      <c r="BG15" s="65">
        <f t="shared" si="6"/>
        <v>47238</v>
      </c>
      <c r="BH15" s="65">
        <f t="shared" si="6"/>
        <v>47269</v>
      </c>
      <c r="BI15" s="65">
        <f t="shared" si="6"/>
        <v>47299</v>
      </c>
      <c r="BJ15" s="65">
        <f t="shared" si="6"/>
        <v>47330</v>
      </c>
      <c r="BK15" s="65">
        <f t="shared" si="6"/>
        <v>47361</v>
      </c>
      <c r="BL15" s="65">
        <f t="shared" si="6"/>
        <v>47391</v>
      </c>
      <c r="BM15" s="65">
        <f t="shared" si="6"/>
        <v>47422</v>
      </c>
      <c r="BN15" s="65">
        <f t="shared" si="6"/>
        <v>47452</v>
      </c>
      <c r="BO15" s="65">
        <f t="shared" si="6"/>
        <v>47483</v>
      </c>
      <c r="BP15" s="65">
        <f t="shared" si="6"/>
        <v>47514</v>
      </c>
      <c r="BQ15" s="65">
        <f t="shared" si="6"/>
        <v>47542</v>
      </c>
      <c r="BR15" s="65">
        <f t="shared" si="6"/>
        <v>47573</v>
      </c>
      <c r="BS15" s="65">
        <f t="shared" si="6"/>
        <v>47603</v>
      </c>
      <c r="BT15" s="65">
        <f t="shared" si="6"/>
        <v>47634</v>
      </c>
      <c r="BU15" s="65">
        <f t="shared" si="6"/>
        <v>47664</v>
      </c>
      <c r="BV15" s="65">
        <f t="shared" ref="BV15:DB15" si="7">EOMONTH(BU15,1)</f>
        <v>47695</v>
      </c>
      <c r="BW15" s="65">
        <f t="shared" si="7"/>
        <v>47726</v>
      </c>
      <c r="BX15" s="65">
        <f t="shared" si="7"/>
        <v>47756</v>
      </c>
      <c r="BY15" s="65">
        <f t="shared" si="7"/>
        <v>47787</v>
      </c>
      <c r="BZ15" s="65">
        <f t="shared" si="7"/>
        <v>47817</v>
      </c>
      <c r="CA15" s="65">
        <f t="shared" si="7"/>
        <v>47848</v>
      </c>
      <c r="CB15" s="65">
        <f t="shared" si="7"/>
        <v>47879</v>
      </c>
      <c r="CC15" s="65">
        <f t="shared" si="7"/>
        <v>47907</v>
      </c>
      <c r="CD15" s="65">
        <f t="shared" si="7"/>
        <v>47938</v>
      </c>
      <c r="CE15" s="65">
        <f t="shared" si="7"/>
        <v>47968</v>
      </c>
      <c r="CF15" s="65">
        <f t="shared" si="7"/>
        <v>47999</v>
      </c>
      <c r="CG15" s="65">
        <f t="shared" si="7"/>
        <v>48029</v>
      </c>
      <c r="CH15" s="65">
        <f t="shared" si="7"/>
        <v>48060</v>
      </c>
      <c r="CI15" s="65">
        <f t="shared" si="7"/>
        <v>48091</v>
      </c>
      <c r="CJ15" s="65">
        <f t="shared" si="7"/>
        <v>48121</v>
      </c>
      <c r="CK15" s="65">
        <f t="shared" si="7"/>
        <v>48152</v>
      </c>
      <c r="CL15" s="65">
        <f t="shared" si="7"/>
        <v>48182</v>
      </c>
      <c r="CM15" s="65">
        <f t="shared" si="7"/>
        <v>48213</v>
      </c>
      <c r="CN15" s="65">
        <f t="shared" si="7"/>
        <v>48244</v>
      </c>
      <c r="CO15" s="65">
        <f t="shared" si="7"/>
        <v>48273</v>
      </c>
      <c r="CP15" s="65">
        <f t="shared" si="7"/>
        <v>48304</v>
      </c>
      <c r="CQ15" s="65">
        <f t="shared" si="7"/>
        <v>48334</v>
      </c>
      <c r="CR15" s="65">
        <f t="shared" si="7"/>
        <v>48365</v>
      </c>
      <c r="CS15" s="65">
        <f t="shared" si="7"/>
        <v>48395</v>
      </c>
      <c r="CT15" s="65">
        <f t="shared" si="7"/>
        <v>48426</v>
      </c>
      <c r="CU15" s="65">
        <f t="shared" si="7"/>
        <v>48457</v>
      </c>
      <c r="CV15" s="65">
        <f t="shared" si="7"/>
        <v>48487</v>
      </c>
      <c r="CW15" s="65">
        <f t="shared" si="7"/>
        <v>48518</v>
      </c>
      <c r="CX15" s="65">
        <f t="shared" si="7"/>
        <v>48548</v>
      </c>
      <c r="CY15" s="65">
        <f t="shared" si="7"/>
        <v>48579</v>
      </c>
      <c r="CZ15" s="65">
        <f t="shared" si="7"/>
        <v>48610</v>
      </c>
      <c r="DA15" s="65">
        <f t="shared" si="7"/>
        <v>48638</v>
      </c>
      <c r="DB15" s="65">
        <f t="shared" si="7"/>
        <v>48669</v>
      </c>
    </row>
    <row r="16" spans="1:106" ht="17" customHeight="1">
      <c r="B16" s="64"/>
      <c r="C16" s="64"/>
      <c r="D16" s="64"/>
      <c r="E16" s="64"/>
      <c r="F16" s="64" t="s">
        <v>94</v>
      </c>
      <c r="G16" s="64"/>
      <c r="H16" s="66">
        <f>SUMIFS($I$8:$X$8,$I$9:$X$9,"&lt;="&amp;H$15,$I$10:$X$10,"&gt;="&amp;H$15)</f>
        <v>0</v>
      </c>
      <c r="I16" s="66">
        <f t="shared" ref="I16:BT16" si="8">SUMIFS($I$8:$X$8,$I$9:$X$9,"&lt;="&amp;I$15,$I$10:$X$10,"&gt;="&amp;I$15)</f>
        <v>1</v>
      </c>
      <c r="J16" s="66">
        <f t="shared" si="8"/>
        <v>1</v>
      </c>
      <c r="K16" s="66">
        <f t="shared" si="8"/>
        <v>1</v>
      </c>
      <c r="L16" s="66">
        <f t="shared" si="8"/>
        <v>1</v>
      </c>
      <c r="M16" s="66">
        <f t="shared" si="8"/>
        <v>1</v>
      </c>
      <c r="N16" s="66">
        <f t="shared" si="8"/>
        <v>1</v>
      </c>
      <c r="O16" s="66">
        <f t="shared" si="8"/>
        <v>2</v>
      </c>
      <c r="P16" s="66">
        <f t="shared" si="8"/>
        <v>2</v>
      </c>
      <c r="Q16" s="66">
        <f t="shared" si="8"/>
        <v>2</v>
      </c>
      <c r="R16" s="66">
        <f t="shared" si="8"/>
        <v>2</v>
      </c>
      <c r="S16" s="66">
        <f t="shared" si="8"/>
        <v>2</v>
      </c>
      <c r="T16" s="66">
        <f t="shared" si="8"/>
        <v>2</v>
      </c>
      <c r="U16" s="66">
        <f t="shared" si="8"/>
        <v>3</v>
      </c>
      <c r="V16" s="66">
        <f t="shared" si="8"/>
        <v>3</v>
      </c>
      <c r="W16" s="66">
        <f t="shared" si="8"/>
        <v>3</v>
      </c>
      <c r="X16" s="66">
        <f t="shared" si="8"/>
        <v>3</v>
      </c>
      <c r="Y16" s="66">
        <f t="shared" si="8"/>
        <v>3</v>
      </c>
      <c r="Z16" s="66">
        <f t="shared" si="8"/>
        <v>3</v>
      </c>
      <c r="AA16" s="66">
        <f t="shared" si="8"/>
        <v>4</v>
      </c>
      <c r="AB16" s="66">
        <f t="shared" si="8"/>
        <v>4</v>
      </c>
      <c r="AC16" s="66">
        <f t="shared" si="8"/>
        <v>4</v>
      </c>
      <c r="AD16" s="66">
        <f t="shared" si="8"/>
        <v>4</v>
      </c>
      <c r="AE16" s="66">
        <f t="shared" si="8"/>
        <v>4</v>
      </c>
      <c r="AF16" s="66">
        <f t="shared" si="8"/>
        <v>4</v>
      </c>
      <c r="AG16" s="66">
        <f t="shared" si="8"/>
        <v>5</v>
      </c>
      <c r="AH16" s="66">
        <f t="shared" si="8"/>
        <v>5</v>
      </c>
      <c r="AI16" s="66">
        <f t="shared" si="8"/>
        <v>5</v>
      </c>
      <c r="AJ16" s="66">
        <f t="shared" si="8"/>
        <v>5</v>
      </c>
      <c r="AK16" s="66">
        <f t="shared" si="8"/>
        <v>5</v>
      </c>
      <c r="AL16" s="66">
        <f t="shared" si="8"/>
        <v>5</v>
      </c>
      <c r="AM16" s="66">
        <f t="shared" si="8"/>
        <v>6</v>
      </c>
      <c r="AN16" s="66">
        <f t="shared" si="8"/>
        <v>6</v>
      </c>
      <c r="AO16" s="66">
        <f t="shared" si="8"/>
        <v>6</v>
      </c>
      <c r="AP16" s="66">
        <f t="shared" si="8"/>
        <v>6</v>
      </c>
      <c r="AQ16" s="66">
        <f t="shared" si="8"/>
        <v>6</v>
      </c>
      <c r="AR16" s="66">
        <f t="shared" si="8"/>
        <v>6</v>
      </c>
      <c r="AS16" s="66">
        <f t="shared" si="8"/>
        <v>7</v>
      </c>
      <c r="AT16" s="66">
        <f t="shared" si="8"/>
        <v>7</v>
      </c>
      <c r="AU16" s="66">
        <f t="shared" si="8"/>
        <v>7</v>
      </c>
      <c r="AV16" s="66">
        <f t="shared" si="8"/>
        <v>7</v>
      </c>
      <c r="AW16" s="66">
        <f t="shared" si="8"/>
        <v>7</v>
      </c>
      <c r="AX16" s="66">
        <f t="shared" si="8"/>
        <v>7</v>
      </c>
      <c r="AY16" s="66">
        <f t="shared" si="8"/>
        <v>8</v>
      </c>
      <c r="AZ16" s="66">
        <f t="shared" si="8"/>
        <v>8</v>
      </c>
      <c r="BA16" s="66">
        <f t="shared" si="8"/>
        <v>8</v>
      </c>
      <c r="BB16" s="66">
        <f t="shared" si="8"/>
        <v>8</v>
      </c>
      <c r="BC16" s="66">
        <f t="shared" si="8"/>
        <v>8</v>
      </c>
      <c r="BD16" s="66">
        <f t="shared" si="8"/>
        <v>8</v>
      </c>
      <c r="BE16" s="66">
        <f t="shared" si="8"/>
        <v>9</v>
      </c>
      <c r="BF16" s="66">
        <f t="shared" si="8"/>
        <v>9</v>
      </c>
      <c r="BG16" s="66">
        <f t="shared" si="8"/>
        <v>9</v>
      </c>
      <c r="BH16" s="66">
        <f t="shared" si="8"/>
        <v>9</v>
      </c>
      <c r="BI16" s="66">
        <f t="shared" si="8"/>
        <v>9</v>
      </c>
      <c r="BJ16" s="66">
        <f t="shared" si="8"/>
        <v>9</v>
      </c>
      <c r="BK16" s="66">
        <f t="shared" si="8"/>
        <v>10</v>
      </c>
      <c r="BL16" s="66">
        <f t="shared" si="8"/>
        <v>10</v>
      </c>
      <c r="BM16" s="66">
        <f t="shared" si="8"/>
        <v>10</v>
      </c>
      <c r="BN16" s="66">
        <f t="shared" si="8"/>
        <v>10</v>
      </c>
      <c r="BO16" s="66">
        <f t="shared" si="8"/>
        <v>10</v>
      </c>
      <c r="BP16" s="66">
        <f t="shared" si="8"/>
        <v>10</v>
      </c>
      <c r="BQ16" s="66">
        <f t="shared" si="8"/>
        <v>11</v>
      </c>
      <c r="BR16" s="66">
        <f t="shared" si="8"/>
        <v>11</v>
      </c>
      <c r="BS16" s="66">
        <f t="shared" si="8"/>
        <v>11</v>
      </c>
      <c r="BT16" s="66">
        <f t="shared" si="8"/>
        <v>11</v>
      </c>
      <c r="BU16" s="66">
        <f t="shared" ref="BU16:DB16" si="9">SUMIFS($I$8:$X$8,$I$9:$X$9,"&lt;="&amp;BU$15,$I$10:$X$10,"&gt;="&amp;BU$15)</f>
        <v>11</v>
      </c>
      <c r="BV16" s="66">
        <f t="shared" si="9"/>
        <v>11</v>
      </c>
      <c r="BW16" s="66">
        <f t="shared" si="9"/>
        <v>12</v>
      </c>
      <c r="BX16" s="66">
        <f t="shared" si="9"/>
        <v>12</v>
      </c>
      <c r="BY16" s="66">
        <f t="shared" si="9"/>
        <v>12</v>
      </c>
      <c r="BZ16" s="66">
        <f t="shared" si="9"/>
        <v>12</v>
      </c>
      <c r="CA16" s="66">
        <f t="shared" si="9"/>
        <v>12</v>
      </c>
      <c r="CB16" s="66">
        <f t="shared" si="9"/>
        <v>12</v>
      </c>
      <c r="CC16" s="66">
        <f t="shared" si="9"/>
        <v>13</v>
      </c>
      <c r="CD16" s="66">
        <f t="shared" si="9"/>
        <v>13</v>
      </c>
      <c r="CE16" s="66">
        <f t="shared" si="9"/>
        <v>13</v>
      </c>
      <c r="CF16" s="66">
        <f t="shared" si="9"/>
        <v>13</v>
      </c>
      <c r="CG16" s="66">
        <f t="shared" si="9"/>
        <v>13</v>
      </c>
      <c r="CH16" s="66">
        <f t="shared" si="9"/>
        <v>13</v>
      </c>
      <c r="CI16" s="66">
        <f t="shared" si="9"/>
        <v>14</v>
      </c>
      <c r="CJ16" s="66">
        <f t="shared" si="9"/>
        <v>14</v>
      </c>
      <c r="CK16" s="66">
        <f t="shared" si="9"/>
        <v>14</v>
      </c>
      <c r="CL16" s="66">
        <f t="shared" si="9"/>
        <v>14</v>
      </c>
      <c r="CM16" s="66">
        <f t="shared" si="9"/>
        <v>14</v>
      </c>
      <c r="CN16" s="66">
        <f t="shared" si="9"/>
        <v>14</v>
      </c>
      <c r="CO16" s="66">
        <f t="shared" si="9"/>
        <v>15</v>
      </c>
      <c r="CP16" s="66">
        <f t="shared" si="9"/>
        <v>15</v>
      </c>
      <c r="CQ16" s="66">
        <f t="shared" si="9"/>
        <v>15</v>
      </c>
      <c r="CR16" s="66">
        <f t="shared" si="9"/>
        <v>15</v>
      </c>
      <c r="CS16" s="66">
        <f t="shared" si="9"/>
        <v>15</v>
      </c>
      <c r="CT16" s="66">
        <f t="shared" si="9"/>
        <v>15</v>
      </c>
      <c r="CU16" s="66">
        <f t="shared" si="9"/>
        <v>16</v>
      </c>
      <c r="CV16" s="66">
        <f t="shared" si="9"/>
        <v>16</v>
      </c>
      <c r="CW16" s="66">
        <f t="shared" si="9"/>
        <v>16</v>
      </c>
      <c r="CX16" s="66">
        <f t="shared" si="9"/>
        <v>16</v>
      </c>
      <c r="CY16" s="66">
        <f t="shared" si="9"/>
        <v>16</v>
      </c>
      <c r="CZ16" s="66">
        <f t="shared" si="9"/>
        <v>16</v>
      </c>
      <c r="DA16" s="66">
        <f t="shared" si="9"/>
        <v>0</v>
      </c>
      <c r="DB16" s="66">
        <f t="shared" si="9"/>
        <v>0</v>
      </c>
    </row>
    <row r="17" spans="2:106" ht="17" customHeight="1">
      <c r="B17" s="67"/>
      <c r="C17" s="67"/>
      <c r="D17" s="67"/>
      <c r="E17" s="67"/>
      <c r="F17" s="67" t="s">
        <v>95</v>
      </c>
      <c r="G17" s="67"/>
      <c r="H17" s="68">
        <f>SUM($H$14:H14)*H11</f>
        <v>0</v>
      </c>
      <c r="I17" s="68">
        <f>SUM($H$14:I14)*I11</f>
        <v>1</v>
      </c>
      <c r="J17" s="68">
        <f>SUM($H$14:J14)*J11</f>
        <v>1</v>
      </c>
      <c r="K17" s="68">
        <f>SUM($H$14:K14)*K11</f>
        <v>1</v>
      </c>
      <c r="L17" s="68">
        <f>SUM($H$14:L14)*L11</f>
        <v>1</v>
      </c>
      <c r="M17" s="68">
        <f>SUM($H$14:M14)*M11</f>
        <v>1</v>
      </c>
      <c r="N17" s="68">
        <f>SUM($H$14:N14)*N11</f>
        <v>1</v>
      </c>
      <c r="O17" s="68">
        <f>SUM($H$14:O14)*O11</f>
        <v>1</v>
      </c>
      <c r="P17" s="68">
        <f>SUM($H$14:P14)*P11</f>
        <v>1</v>
      </c>
      <c r="Q17" s="68">
        <f>SUM($H$14:Q14)*Q11</f>
        <v>1</v>
      </c>
      <c r="R17" s="68">
        <f>SUM($H$14:R14)*R11</f>
        <v>1</v>
      </c>
      <c r="S17" s="68">
        <f>SUM($H$14:S14)*S11</f>
        <v>1</v>
      </c>
      <c r="T17" s="68">
        <f>SUM($H$14:T14)*T11</f>
        <v>1</v>
      </c>
      <c r="U17" s="68">
        <f>SUM($H$14:U14)*U11</f>
        <v>2</v>
      </c>
      <c r="V17" s="68">
        <f>SUM($H$14:V14)*V11</f>
        <v>2</v>
      </c>
      <c r="W17" s="68">
        <f>SUM($H$14:W14)*W11</f>
        <v>2</v>
      </c>
      <c r="X17" s="68">
        <f>SUM($H$14:X14)*X11</f>
        <v>2</v>
      </c>
      <c r="Y17" s="68">
        <f>SUM($H$14:Y14)*Y11</f>
        <v>2</v>
      </c>
      <c r="Z17" s="68">
        <f>SUM($H$14:Z14)*Z11</f>
        <v>2</v>
      </c>
      <c r="AA17" s="68">
        <f>SUM($H$14:AA14)*AA11</f>
        <v>2</v>
      </c>
      <c r="AB17" s="68">
        <f>SUM($H$14:AB14)*AB11</f>
        <v>2</v>
      </c>
      <c r="AC17" s="68">
        <f>SUM($H$14:AC14)*AC11</f>
        <v>2</v>
      </c>
      <c r="AD17" s="68">
        <f>SUM($H$14:AD14)*AD11</f>
        <v>2</v>
      </c>
      <c r="AE17" s="68">
        <f>SUM($H$14:AE14)*AE11</f>
        <v>2</v>
      </c>
      <c r="AF17" s="68">
        <f>SUM($H$14:AF14)*AF11</f>
        <v>2</v>
      </c>
      <c r="AG17" s="68">
        <f>SUM($H$14:AG14)*AG11</f>
        <v>3</v>
      </c>
      <c r="AH17" s="68">
        <f>SUM($H$14:AH14)*AH11</f>
        <v>3</v>
      </c>
      <c r="AI17" s="68">
        <f>SUM($H$14:AI14)*AI11</f>
        <v>3</v>
      </c>
      <c r="AJ17" s="68">
        <f>SUM($H$14:AJ14)*AJ11</f>
        <v>3</v>
      </c>
      <c r="AK17" s="68">
        <f>SUM($H$14:AK14)*AK11</f>
        <v>3</v>
      </c>
      <c r="AL17" s="68">
        <f>SUM($H$14:AL14)*AL11</f>
        <v>3</v>
      </c>
      <c r="AM17" s="68">
        <f>SUM($H$14:AM14)*AM11</f>
        <v>3</v>
      </c>
      <c r="AN17" s="68">
        <f>SUM($H$14:AN14)*AN11</f>
        <v>3</v>
      </c>
      <c r="AO17" s="68">
        <f>SUM($H$14:AO14)*AO11</f>
        <v>3</v>
      </c>
      <c r="AP17" s="68">
        <f>SUM($H$14:AP14)*AP11</f>
        <v>3</v>
      </c>
      <c r="AQ17" s="68">
        <f>SUM($H$14:AQ14)*AQ11</f>
        <v>3</v>
      </c>
      <c r="AR17" s="68">
        <f>SUM($H$14:AR14)*AR11</f>
        <v>3</v>
      </c>
      <c r="AS17" s="68">
        <f>SUM($H$14:AS14)*AS11</f>
        <v>4</v>
      </c>
      <c r="AT17" s="68">
        <f>SUM($H$14:AT14)*AT11</f>
        <v>4</v>
      </c>
      <c r="AU17" s="68">
        <f>SUM($H$14:AU14)*AU11</f>
        <v>4</v>
      </c>
      <c r="AV17" s="68">
        <f>SUM($H$14:AV14)*AV11</f>
        <v>4</v>
      </c>
      <c r="AW17" s="68">
        <f>SUM($H$14:AW14)*AW11</f>
        <v>4</v>
      </c>
      <c r="AX17" s="68">
        <f>SUM($H$14:AX14)*AX11</f>
        <v>4</v>
      </c>
      <c r="AY17" s="68">
        <f>SUM($H$14:AY14)*AY11</f>
        <v>4</v>
      </c>
      <c r="AZ17" s="68">
        <f>SUM($H$14:AZ14)*AZ11</f>
        <v>4</v>
      </c>
      <c r="BA17" s="68">
        <f>SUM($H$14:BA14)*BA11</f>
        <v>4</v>
      </c>
      <c r="BB17" s="68">
        <f>SUM($H$14:BB14)*BB11</f>
        <v>4</v>
      </c>
      <c r="BC17" s="68">
        <f>SUM($H$14:BC14)*BC11</f>
        <v>4</v>
      </c>
      <c r="BD17" s="68">
        <f>SUM($H$14:BD14)*BD11</f>
        <v>4</v>
      </c>
      <c r="BE17" s="68">
        <f>SUM($H$14:BE14)*BE11</f>
        <v>5</v>
      </c>
      <c r="BF17" s="68">
        <f>SUM($H$14:BF14)*BF11</f>
        <v>5</v>
      </c>
      <c r="BG17" s="68">
        <f>SUM($H$14:BG14)*BG11</f>
        <v>5</v>
      </c>
      <c r="BH17" s="68">
        <f>SUM($H$14:BH14)*BH11</f>
        <v>5</v>
      </c>
      <c r="BI17" s="68">
        <f>SUM($H$14:BI14)*BI11</f>
        <v>5</v>
      </c>
      <c r="BJ17" s="68">
        <f>SUM($H$14:BJ14)*BJ11</f>
        <v>5</v>
      </c>
      <c r="BK17" s="68">
        <f>SUM($H$14:BK14)*BK11</f>
        <v>5</v>
      </c>
      <c r="BL17" s="68">
        <f>SUM($H$14:BL14)*BL11</f>
        <v>5</v>
      </c>
      <c r="BM17" s="68">
        <f>SUM($H$14:BM14)*BM11</f>
        <v>5</v>
      </c>
      <c r="BN17" s="68">
        <f>SUM($H$14:BN14)*BN11</f>
        <v>5</v>
      </c>
      <c r="BO17" s="68">
        <f>SUM($H$14:BO14)*BO11</f>
        <v>5</v>
      </c>
      <c r="BP17" s="68">
        <f>SUM($H$14:BP14)*BP11</f>
        <v>5</v>
      </c>
      <c r="BQ17" s="68">
        <f>SUM($H$14:BQ14)*BQ11</f>
        <v>0</v>
      </c>
      <c r="BR17" s="68">
        <f>SUM($H$14:BR14)*BR11</f>
        <v>0</v>
      </c>
      <c r="BS17" s="68">
        <f>SUM($H$14:BS14)*BS11</f>
        <v>0</v>
      </c>
      <c r="BT17" s="68">
        <f>SUM($H$14:BT14)*BT11</f>
        <v>0</v>
      </c>
      <c r="BU17" s="68">
        <f>SUM($H$14:BU14)*BU11</f>
        <v>0</v>
      </c>
      <c r="BV17" s="68">
        <f>SUM($H$14:BV14)*BV11</f>
        <v>0</v>
      </c>
      <c r="BW17" s="68">
        <f>SUM($H$14:BW14)*BW11</f>
        <v>0</v>
      </c>
      <c r="BX17" s="68">
        <f>SUM($H$14:BX14)*BX11</f>
        <v>0</v>
      </c>
      <c r="BY17" s="68">
        <f>SUM($H$14:BY14)*BY11</f>
        <v>0</v>
      </c>
      <c r="BZ17" s="68">
        <f>SUM($H$14:BZ14)*BZ11</f>
        <v>0</v>
      </c>
      <c r="CA17" s="68">
        <f>SUM($H$14:CA14)*CA11</f>
        <v>0</v>
      </c>
      <c r="CB17" s="68">
        <f>SUM($H$14:CB14)*CB11</f>
        <v>0</v>
      </c>
      <c r="CC17" s="68">
        <f>SUM($H$14:CC14)*CC11</f>
        <v>0</v>
      </c>
      <c r="CD17" s="68">
        <f>SUM($H$14:CD14)*CD11</f>
        <v>0</v>
      </c>
      <c r="CE17" s="68">
        <f>SUM($H$14:CE14)*CE11</f>
        <v>0</v>
      </c>
      <c r="CF17" s="68">
        <f>SUM($H$14:CF14)*CF11</f>
        <v>0</v>
      </c>
      <c r="CG17" s="68">
        <f>SUM($H$14:CG14)*CG11</f>
        <v>0</v>
      </c>
      <c r="CH17" s="68">
        <f>SUM($H$14:CH14)*CH11</f>
        <v>0</v>
      </c>
      <c r="CI17" s="68">
        <f>SUM($H$14:CI14)*CI11</f>
        <v>0</v>
      </c>
      <c r="CJ17" s="68">
        <f>SUM($H$14:CJ14)*CJ11</f>
        <v>0</v>
      </c>
      <c r="CK17" s="68">
        <f>SUM($H$14:CK14)*CK11</f>
        <v>0</v>
      </c>
      <c r="CL17" s="68">
        <f>SUM($H$14:CL14)*CL11</f>
        <v>0</v>
      </c>
      <c r="CM17" s="68">
        <f>SUM($H$14:CM14)*CM11</f>
        <v>0</v>
      </c>
      <c r="CN17" s="68">
        <f>SUM($H$14:CN14)*CN11</f>
        <v>0</v>
      </c>
      <c r="CO17" s="68">
        <f>SUM($H$14:CO14)*CO11</f>
        <v>0</v>
      </c>
      <c r="CP17" s="68">
        <f>SUM($H$14:CP14)*CP11</f>
        <v>0</v>
      </c>
      <c r="CQ17" s="68">
        <f>SUM($H$14:CQ14)*CQ11</f>
        <v>0</v>
      </c>
      <c r="CR17" s="68">
        <f>SUM($H$14:CR14)*CR11</f>
        <v>0</v>
      </c>
      <c r="CS17" s="68">
        <f>SUM($H$14:CS14)*CS11</f>
        <v>0</v>
      </c>
      <c r="CT17" s="68">
        <f>SUM($H$14:CT14)*CT11</f>
        <v>0</v>
      </c>
      <c r="CU17" s="68">
        <f>SUM($H$14:CU14)*CU11</f>
        <v>0</v>
      </c>
      <c r="CV17" s="68">
        <f>SUM($H$14:CV14)*CV11</f>
        <v>0</v>
      </c>
      <c r="CW17" s="68">
        <f>SUM($H$14:CW14)*CW11</f>
        <v>0</v>
      </c>
      <c r="CX17" s="68">
        <f>SUM($H$14:CX14)*CX11</f>
        <v>0</v>
      </c>
      <c r="CY17" s="68">
        <f>SUM($H$14:CY14)*CY11</f>
        <v>0</v>
      </c>
      <c r="CZ17" s="68">
        <f>SUM($H$14:CZ14)*CZ11</f>
        <v>0</v>
      </c>
      <c r="DA17" s="68">
        <f>SUM($H$14:DA14)*DA11</f>
        <v>0</v>
      </c>
      <c r="DB17" s="68">
        <f>SUM($H$14:DB14)*DB11</f>
        <v>0</v>
      </c>
    </row>
    <row r="18" spans="2:106">
      <c r="B18" s="2" t="str">
        <f>'A&amp;R'!U20</f>
        <v>집합투자업자 운용보수</v>
      </c>
    </row>
    <row r="19" spans="2:106">
      <c r="C19" s="13" t="s">
        <v>218</v>
      </c>
      <c r="E19" s="119"/>
      <c r="F19" s="13">
        <f>SUM(H19:DB19)</f>
        <v>1999.9999999999982</v>
      </c>
      <c r="H19" s="13">
        <f>'A&amp;R'!$X$20/12*H$11</f>
        <v>0</v>
      </c>
      <c r="I19" s="13">
        <f>'A&amp;R'!$X$20/12*I$11</f>
        <v>33.333333333333336</v>
      </c>
      <c r="J19" s="13">
        <f>'A&amp;R'!$X$20/12*J$11</f>
        <v>33.333333333333336</v>
      </c>
      <c r="K19" s="13">
        <f>'A&amp;R'!$X$20/12*K$11</f>
        <v>33.333333333333336</v>
      </c>
      <c r="L19" s="13">
        <f>'A&amp;R'!$X$20/12*L$11</f>
        <v>33.333333333333336</v>
      </c>
      <c r="M19" s="13">
        <f>'A&amp;R'!$X$20/12*M$11</f>
        <v>33.333333333333336</v>
      </c>
      <c r="N19" s="13">
        <f>'A&amp;R'!$X$20/12*N$11</f>
        <v>33.333333333333336</v>
      </c>
      <c r="O19" s="13">
        <f>'A&amp;R'!$X$20/12*O$11</f>
        <v>33.333333333333336</v>
      </c>
      <c r="P19" s="13">
        <f>'A&amp;R'!$X$20/12*P$11</f>
        <v>33.333333333333336</v>
      </c>
      <c r="Q19" s="13">
        <f>'A&amp;R'!$X$20/12*Q$11</f>
        <v>33.333333333333336</v>
      </c>
      <c r="R19" s="13">
        <f>'A&amp;R'!$X$20/12*R$11</f>
        <v>33.333333333333336</v>
      </c>
      <c r="S19" s="13">
        <f>'A&amp;R'!$X$20/12*S$11</f>
        <v>33.333333333333336</v>
      </c>
      <c r="T19" s="13">
        <f>'A&amp;R'!$X$20/12*T$11</f>
        <v>33.333333333333336</v>
      </c>
      <c r="U19" s="13">
        <f>'A&amp;R'!$X$20/12*U$11</f>
        <v>33.333333333333336</v>
      </c>
      <c r="V19" s="13">
        <f>'A&amp;R'!$X$20/12*V$11</f>
        <v>33.333333333333336</v>
      </c>
      <c r="W19" s="13">
        <f>'A&amp;R'!$X$20/12*W$11</f>
        <v>33.333333333333336</v>
      </c>
      <c r="X19" s="13">
        <f>'A&amp;R'!$X$20/12*X$11</f>
        <v>33.333333333333336</v>
      </c>
      <c r="Y19" s="13">
        <f>'A&amp;R'!$X$20/12*Y$11</f>
        <v>33.333333333333336</v>
      </c>
      <c r="Z19" s="13">
        <f>'A&amp;R'!$X$20/12*Z$11</f>
        <v>33.333333333333336</v>
      </c>
      <c r="AA19" s="13">
        <f>'A&amp;R'!$X$20/12*AA$11</f>
        <v>33.333333333333336</v>
      </c>
      <c r="AB19" s="13">
        <f>'A&amp;R'!$X$20/12*AB$11</f>
        <v>33.333333333333336</v>
      </c>
      <c r="AC19" s="13">
        <f>'A&amp;R'!$X$20/12*AC$11</f>
        <v>33.333333333333336</v>
      </c>
      <c r="AD19" s="13">
        <f>'A&amp;R'!$X$20/12*AD$11</f>
        <v>33.333333333333336</v>
      </c>
      <c r="AE19" s="13">
        <f>'A&amp;R'!$X$20/12*AE$11</f>
        <v>33.333333333333336</v>
      </c>
      <c r="AF19" s="13">
        <f>'A&amp;R'!$X$20/12*AF$11</f>
        <v>33.333333333333336</v>
      </c>
      <c r="AG19" s="13">
        <f>'A&amp;R'!$X$20/12*AG$11</f>
        <v>33.333333333333336</v>
      </c>
      <c r="AH19" s="13">
        <f>'A&amp;R'!$X$20/12*AH$11</f>
        <v>33.333333333333336</v>
      </c>
      <c r="AI19" s="13">
        <f>'A&amp;R'!$X$20/12*AI$11</f>
        <v>33.333333333333336</v>
      </c>
      <c r="AJ19" s="13">
        <f>'A&amp;R'!$X$20/12*AJ$11</f>
        <v>33.333333333333336</v>
      </c>
      <c r="AK19" s="13">
        <f>'A&amp;R'!$X$20/12*AK$11</f>
        <v>33.333333333333336</v>
      </c>
      <c r="AL19" s="13">
        <f>'A&amp;R'!$X$20/12*AL$11</f>
        <v>33.333333333333336</v>
      </c>
      <c r="AM19" s="13">
        <f>'A&amp;R'!$X$20/12*AM$11</f>
        <v>33.333333333333336</v>
      </c>
      <c r="AN19" s="13">
        <f>'A&amp;R'!$X$20/12*AN$11</f>
        <v>33.333333333333336</v>
      </c>
      <c r="AO19" s="13">
        <f>'A&amp;R'!$X$20/12*AO$11</f>
        <v>33.333333333333336</v>
      </c>
      <c r="AP19" s="13">
        <f>'A&amp;R'!$X$20/12*AP$11</f>
        <v>33.333333333333336</v>
      </c>
      <c r="AQ19" s="13">
        <f>'A&amp;R'!$X$20/12*AQ$11</f>
        <v>33.333333333333336</v>
      </c>
      <c r="AR19" s="13">
        <f>'A&amp;R'!$X$20/12*AR$11</f>
        <v>33.333333333333336</v>
      </c>
      <c r="AS19" s="13">
        <f>'A&amp;R'!$X$20/12*AS$11</f>
        <v>33.333333333333336</v>
      </c>
      <c r="AT19" s="13">
        <f>'A&amp;R'!$X$20/12*AT$11</f>
        <v>33.333333333333336</v>
      </c>
      <c r="AU19" s="13">
        <f>'A&amp;R'!$X$20/12*AU$11</f>
        <v>33.333333333333336</v>
      </c>
      <c r="AV19" s="13">
        <f>'A&amp;R'!$X$20/12*AV$11</f>
        <v>33.333333333333336</v>
      </c>
      <c r="AW19" s="13">
        <f>'A&amp;R'!$X$20/12*AW$11</f>
        <v>33.333333333333336</v>
      </c>
      <c r="AX19" s="13">
        <f>'A&amp;R'!$X$20/12*AX$11</f>
        <v>33.333333333333336</v>
      </c>
      <c r="AY19" s="13">
        <f>'A&amp;R'!$X$20/12*AY$11</f>
        <v>33.333333333333336</v>
      </c>
      <c r="AZ19" s="13">
        <f>'A&amp;R'!$X$20/12*AZ$11</f>
        <v>33.333333333333336</v>
      </c>
      <c r="BA19" s="13">
        <f>'A&amp;R'!$X$20/12*BA$11</f>
        <v>33.333333333333336</v>
      </c>
      <c r="BB19" s="13">
        <f>'A&amp;R'!$X$20/12*BB$11</f>
        <v>33.333333333333336</v>
      </c>
      <c r="BC19" s="13">
        <f>'A&amp;R'!$X$20/12*BC$11</f>
        <v>33.333333333333336</v>
      </c>
      <c r="BD19" s="13">
        <f>'A&amp;R'!$X$20/12*BD$11</f>
        <v>33.333333333333336</v>
      </c>
      <c r="BE19" s="13">
        <f>'A&amp;R'!$X$20/12*BE$11</f>
        <v>33.333333333333336</v>
      </c>
      <c r="BF19" s="13">
        <f>'A&amp;R'!$X$20/12*BF$11</f>
        <v>33.333333333333336</v>
      </c>
      <c r="BG19" s="13">
        <f>'A&amp;R'!$X$20/12*BG$11</f>
        <v>33.333333333333336</v>
      </c>
      <c r="BH19" s="13">
        <f>'A&amp;R'!$X$20/12*BH$11</f>
        <v>33.333333333333336</v>
      </c>
      <c r="BI19" s="13">
        <f>'A&amp;R'!$X$20/12*BI$11</f>
        <v>33.333333333333336</v>
      </c>
      <c r="BJ19" s="13">
        <f>'A&amp;R'!$X$20/12*BJ$11</f>
        <v>33.333333333333336</v>
      </c>
      <c r="BK19" s="13">
        <f>'A&amp;R'!$X$20/12*BK$11</f>
        <v>33.333333333333336</v>
      </c>
      <c r="BL19" s="13">
        <f>'A&amp;R'!$X$20/12*BL$11</f>
        <v>33.333333333333336</v>
      </c>
      <c r="BM19" s="13">
        <f>'A&amp;R'!$X$20/12*BM$11</f>
        <v>33.333333333333336</v>
      </c>
      <c r="BN19" s="13">
        <f>'A&amp;R'!$X$20/12*BN$11</f>
        <v>33.333333333333336</v>
      </c>
      <c r="BO19" s="13">
        <f>'A&amp;R'!$X$20/12*BO$11</f>
        <v>33.333333333333336</v>
      </c>
      <c r="BP19" s="13">
        <f>'A&amp;R'!$X$20/12*BP$11</f>
        <v>33.333333333333336</v>
      </c>
      <c r="BQ19" s="13">
        <f>'A&amp;R'!$X$20/12*BQ$11</f>
        <v>0</v>
      </c>
      <c r="BR19" s="13">
        <f>'A&amp;R'!$X$20/12*BR$11</f>
        <v>0</v>
      </c>
      <c r="BS19" s="13">
        <f>'A&amp;R'!$X$20/12*BS$11</f>
        <v>0</v>
      </c>
      <c r="BT19" s="13">
        <f>'A&amp;R'!$X$20/12*BT$11</f>
        <v>0</v>
      </c>
      <c r="BU19" s="13">
        <f>'A&amp;R'!$X$20/12*BU$11</f>
        <v>0</v>
      </c>
      <c r="BV19" s="13">
        <f>'A&amp;R'!$X$20/12*BV$11</f>
        <v>0</v>
      </c>
      <c r="BW19" s="13">
        <f>'A&amp;R'!$X$20/12*BW$11</f>
        <v>0</v>
      </c>
      <c r="BX19" s="13">
        <f>'A&amp;R'!$X$20/12*BX$11</f>
        <v>0</v>
      </c>
      <c r="BY19" s="13">
        <f>'A&amp;R'!$X$20/12*BY$11</f>
        <v>0</v>
      </c>
      <c r="BZ19" s="13">
        <f>'A&amp;R'!$X$20/12*BZ$11</f>
        <v>0</v>
      </c>
      <c r="CA19" s="13">
        <f>'A&amp;R'!$X$20/12*CA$11</f>
        <v>0</v>
      </c>
      <c r="CB19" s="13">
        <f>'A&amp;R'!$X$20/12*CB$11</f>
        <v>0</v>
      </c>
      <c r="CC19" s="13">
        <f>'A&amp;R'!$X$20/12*CC$11</f>
        <v>0</v>
      </c>
      <c r="CD19" s="13">
        <f>'A&amp;R'!$X$20/12*CD$11</f>
        <v>0</v>
      </c>
      <c r="CE19" s="13">
        <f>'A&amp;R'!$X$20/12*CE$11</f>
        <v>0</v>
      </c>
      <c r="CF19" s="13">
        <f>'A&amp;R'!$X$20/12*CF$11</f>
        <v>0</v>
      </c>
      <c r="CG19" s="13">
        <f>'A&amp;R'!$X$20/12*CG$11</f>
        <v>0</v>
      </c>
      <c r="CH19" s="13">
        <f>'A&amp;R'!$X$20/12*CH$11</f>
        <v>0</v>
      </c>
      <c r="CI19" s="13">
        <f>'A&amp;R'!$X$20/12*CI$11</f>
        <v>0</v>
      </c>
      <c r="CJ19" s="13">
        <f>'A&amp;R'!$X$20/12*CJ$11</f>
        <v>0</v>
      </c>
      <c r="CK19" s="13">
        <f>'A&amp;R'!$X$20/12*CK$11</f>
        <v>0</v>
      </c>
      <c r="CL19" s="13">
        <f>'A&amp;R'!$X$20/12*CL$11</f>
        <v>0</v>
      </c>
      <c r="CM19" s="13">
        <f>'A&amp;R'!$X$20/12*CM$11</f>
        <v>0</v>
      </c>
      <c r="CN19" s="13">
        <f>'A&amp;R'!$X$20/12*CN$11</f>
        <v>0</v>
      </c>
      <c r="CO19" s="13">
        <f>'A&amp;R'!$X$20/12*CO$11</f>
        <v>0</v>
      </c>
      <c r="CP19" s="13">
        <f>'A&amp;R'!$X$20/12*CP$11</f>
        <v>0</v>
      </c>
      <c r="CQ19" s="13">
        <f>'A&amp;R'!$X$20/12*CQ$11</f>
        <v>0</v>
      </c>
      <c r="CR19" s="13">
        <f>'A&amp;R'!$X$20/12*CR$11</f>
        <v>0</v>
      </c>
      <c r="CS19" s="13">
        <f>'A&amp;R'!$X$20/12*CS$11</f>
        <v>0</v>
      </c>
      <c r="CT19" s="13">
        <f>'A&amp;R'!$X$20/12*CT$11</f>
        <v>0</v>
      </c>
      <c r="CU19" s="13">
        <f>'A&amp;R'!$X$20/12*CU$11</f>
        <v>0</v>
      </c>
      <c r="CV19" s="13">
        <f>'A&amp;R'!$X$20/12*CV$11</f>
        <v>0</v>
      </c>
      <c r="CW19" s="13">
        <f>'A&amp;R'!$X$20/12*CW$11</f>
        <v>0</v>
      </c>
      <c r="CX19" s="13">
        <f>'A&amp;R'!$X$20/12*CX$11</f>
        <v>0</v>
      </c>
      <c r="CY19" s="13">
        <f>'A&amp;R'!$X$20/12*CY$11</f>
        <v>0</v>
      </c>
      <c r="CZ19" s="13">
        <f>'A&amp;R'!$X$20/12*CZ$11</f>
        <v>0</v>
      </c>
      <c r="DA19" s="13">
        <f>'A&amp;R'!$X$20/12*DA$11</f>
        <v>0</v>
      </c>
      <c r="DB19" s="13">
        <f>'A&amp;R'!$X$20/12*DB$11</f>
        <v>0</v>
      </c>
    </row>
    <row r="20" spans="2:106">
      <c r="C20" s="96" t="s">
        <v>217</v>
      </c>
      <c r="D20" s="143" t="b">
        <f>ABS(F19-F20)&lt;0.001</f>
        <v>1</v>
      </c>
      <c r="E20" s="96"/>
      <c r="F20" s="96">
        <f>SUM(H20:DB20)</f>
        <v>1999.9999999999982</v>
      </c>
      <c r="G20" s="96"/>
      <c r="H20" s="144">
        <f>(SUM($H19:H19)-SUM($G20:G20))*H13</f>
        <v>0</v>
      </c>
      <c r="I20" s="96">
        <f>(SUM($H19:I19)-SUM($G20:H20))*I13</f>
        <v>0</v>
      </c>
      <c r="J20" s="96">
        <f>(SUM($H19:J19)-SUM($G20:I20))*J13</f>
        <v>0</v>
      </c>
      <c r="K20" s="96">
        <f>(SUM($H19:K19)-SUM($G20:J20))*K13</f>
        <v>0</v>
      </c>
      <c r="L20" s="96">
        <f>(SUM($H19:L19)-SUM($G20:K20))*L13</f>
        <v>0</v>
      </c>
      <c r="M20" s="96">
        <f>(SUM($H19:M19)-SUM($G20:L20))*M13</f>
        <v>0</v>
      </c>
      <c r="N20" s="96">
        <f>(SUM($H19:N19)-SUM($G20:M20))*N13</f>
        <v>200.00000000000003</v>
      </c>
      <c r="O20" s="96">
        <f>(SUM($H19:O19)-SUM($G20:N20))*O13</f>
        <v>0</v>
      </c>
      <c r="P20" s="96">
        <f>(SUM($H19:P19)-SUM($G20:O20))*P13</f>
        <v>0</v>
      </c>
      <c r="Q20" s="96">
        <f>(SUM($H19:Q19)-SUM($G20:P20))*Q13</f>
        <v>0</v>
      </c>
      <c r="R20" s="96">
        <f>(SUM($H19:R19)-SUM($G20:Q20))*R13</f>
        <v>0</v>
      </c>
      <c r="S20" s="96">
        <f>(SUM($H19:S19)-SUM($G20:R20))*S13</f>
        <v>0</v>
      </c>
      <c r="T20" s="96">
        <f>(SUM($H19:T19)-SUM($G20:S20))*T13</f>
        <v>199.99999999999991</v>
      </c>
      <c r="U20" s="96">
        <f>(SUM($H19:U19)-SUM($G20:T20))*U13</f>
        <v>0</v>
      </c>
      <c r="V20" s="96">
        <f>(SUM($H19:V19)-SUM($G20:U20))*V13</f>
        <v>0</v>
      </c>
      <c r="W20" s="96">
        <f>(SUM($H19:W19)-SUM($G20:V20))*W13</f>
        <v>0</v>
      </c>
      <c r="X20" s="96">
        <f>(SUM($H19:X19)-SUM($G20:W20))*X13</f>
        <v>0</v>
      </c>
      <c r="Y20" s="96">
        <f>(SUM($H19:Y19)-SUM($G20:X20))*Y13</f>
        <v>0</v>
      </c>
      <c r="Z20" s="96">
        <f>(SUM($H19:Z19)-SUM($G20:Y20))*Z13</f>
        <v>200.00000000000006</v>
      </c>
      <c r="AA20" s="96">
        <f>(SUM($H19:AA19)-SUM($G20:Z20))*AA13</f>
        <v>0</v>
      </c>
      <c r="AB20" s="96">
        <f>(SUM($H19:AB19)-SUM($G20:AA20))*AB13</f>
        <v>0</v>
      </c>
      <c r="AC20" s="96">
        <f>(SUM($H19:AC19)-SUM($G20:AB20))*AC13</f>
        <v>0</v>
      </c>
      <c r="AD20" s="96">
        <f>(SUM($H19:AD19)-SUM($G20:AC20))*AD13</f>
        <v>0</v>
      </c>
      <c r="AE20" s="96">
        <f>(SUM($H19:AE19)-SUM($G20:AD20))*AE13</f>
        <v>0</v>
      </c>
      <c r="AF20" s="96">
        <f>(SUM($H19:AF19)-SUM($G20:AE20))*AF13</f>
        <v>200.00000000000023</v>
      </c>
      <c r="AG20" s="96">
        <f>(SUM($H19:AG19)-SUM($G20:AF20))*AG13</f>
        <v>0</v>
      </c>
      <c r="AH20" s="96">
        <f>(SUM($H19:AH19)-SUM($G20:AG20))*AH13</f>
        <v>0</v>
      </c>
      <c r="AI20" s="96">
        <f>(SUM($H19:AI19)-SUM($G20:AH20))*AI13</f>
        <v>0</v>
      </c>
      <c r="AJ20" s="96">
        <f>(SUM($H19:AJ19)-SUM($G20:AI20))*AJ13</f>
        <v>0</v>
      </c>
      <c r="AK20" s="96">
        <f>(SUM($H19:AK19)-SUM($G20:AJ20))*AK13</f>
        <v>0</v>
      </c>
      <c r="AL20" s="96">
        <f>(SUM($H19:AL19)-SUM($G20:AK20))*AL13</f>
        <v>200.00000000000023</v>
      </c>
      <c r="AM20" s="96">
        <f>(SUM($H19:AM19)-SUM($G20:AL20))*AM13</f>
        <v>0</v>
      </c>
      <c r="AN20" s="96">
        <f>(SUM($H19:AN19)-SUM($G20:AM20))*AN13</f>
        <v>0</v>
      </c>
      <c r="AO20" s="96">
        <f>(SUM($H19:AO19)-SUM($G20:AN20))*AO13</f>
        <v>0</v>
      </c>
      <c r="AP20" s="96">
        <f>(SUM($H19:AP19)-SUM($G20:AO20))*AP13</f>
        <v>0</v>
      </c>
      <c r="AQ20" s="96">
        <f>(SUM($H19:AQ19)-SUM($G20:AP20))*AQ13</f>
        <v>0</v>
      </c>
      <c r="AR20" s="96">
        <f>(SUM($H19:AR19)-SUM($G20:AQ20))*AR13</f>
        <v>199.99999999999955</v>
      </c>
      <c r="AS20" s="96">
        <f>(SUM($H19:AS19)-SUM($G20:AR20))*AS13</f>
        <v>0</v>
      </c>
      <c r="AT20" s="96">
        <f>(SUM($H19:AT19)-SUM($G20:AS20))*AT13</f>
        <v>0</v>
      </c>
      <c r="AU20" s="96">
        <f>(SUM($H19:AU19)-SUM($G20:AT20))*AU13</f>
        <v>0</v>
      </c>
      <c r="AV20" s="96">
        <f>(SUM($H19:AV19)-SUM($G20:AU20))*AV13</f>
        <v>0</v>
      </c>
      <c r="AW20" s="96">
        <f>(SUM($H19:AW19)-SUM($G20:AV20))*AW13</f>
        <v>0</v>
      </c>
      <c r="AX20" s="96">
        <f>(SUM($H19:AX19)-SUM($G20:AW20))*AX13</f>
        <v>199.99999999999955</v>
      </c>
      <c r="AY20" s="96">
        <f>(SUM($H19:AY19)-SUM($G20:AX20))*AY13</f>
        <v>0</v>
      </c>
      <c r="AZ20" s="96">
        <f>(SUM($H19:AZ19)-SUM($G20:AY20))*AZ13</f>
        <v>0</v>
      </c>
      <c r="BA20" s="96">
        <f>(SUM($H19:BA19)-SUM($G20:AZ20))*BA13</f>
        <v>0</v>
      </c>
      <c r="BB20" s="96">
        <f>(SUM($H19:BB19)-SUM($G20:BA20))*BB13</f>
        <v>0</v>
      </c>
      <c r="BC20" s="96">
        <f>(SUM($H19:BC19)-SUM($G20:BB20))*BC13</f>
        <v>0</v>
      </c>
      <c r="BD20" s="96">
        <f>(SUM($H19:BD19)-SUM($G20:BC20))*BD13</f>
        <v>199.99999999999955</v>
      </c>
      <c r="BE20" s="96">
        <f>(SUM($H19:BE19)-SUM($G20:BD20))*BE13</f>
        <v>0</v>
      </c>
      <c r="BF20" s="96">
        <f>(SUM($H19:BF19)-SUM($G20:BE20))*BF13</f>
        <v>0</v>
      </c>
      <c r="BG20" s="96">
        <f>(SUM($H19:BG19)-SUM($G20:BF20))*BG13</f>
        <v>0</v>
      </c>
      <c r="BH20" s="96">
        <f>(SUM($H19:BH19)-SUM($G20:BG20))*BH13</f>
        <v>0</v>
      </c>
      <c r="BI20" s="96">
        <f>(SUM($H19:BI19)-SUM($G20:BH20))*BI13</f>
        <v>0</v>
      </c>
      <c r="BJ20" s="96">
        <f>(SUM($H19:BJ19)-SUM($G20:BI20))*BJ13</f>
        <v>199.99999999999955</v>
      </c>
      <c r="BK20" s="96">
        <f>(SUM($H19:BK19)-SUM($G20:BJ20))*BK13</f>
        <v>0</v>
      </c>
      <c r="BL20" s="96">
        <f>(SUM($H19:BL19)-SUM($G20:BK20))*BL13</f>
        <v>0</v>
      </c>
      <c r="BM20" s="96">
        <f>(SUM($H19:BM19)-SUM($G20:BL20))*BM13</f>
        <v>0</v>
      </c>
      <c r="BN20" s="96">
        <f>(SUM($H19:BN19)-SUM($G20:BM20))*BN13</f>
        <v>0</v>
      </c>
      <c r="BO20" s="96">
        <f>(SUM($H19:BO19)-SUM($G20:BN20))*BO13</f>
        <v>0</v>
      </c>
      <c r="BP20" s="96">
        <f>(SUM($H19:BP19)-SUM($G20:BO20))*BP13</f>
        <v>199.99999999999955</v>
      </c>
      <c r="BQ20" s="96">
        <f>(SUM($H19:BQ19)-SUM($G20:BP20))*BQ13</f>
        <v>0</v>
      </c>
      <c r="BR20" s="96">
        <f>(SUM($H19:BR19)-SUM($G20:BQ20))*BR13</f>
        <v>0</v>
      </c>
      <c r="BS20" s="96">
        <f>(SUM($H19:BS19)-SUM($G20:BR20))*BS13</f>
        <v>0</v>
      </c>
      <c r="BT20" s="96">
        <f>(SUM($H19:BT19)-SUM($G20:BS20))*BT13</f>
        <v>0</v>
      </c>
      <c r="BU20" s="96">
        <f>(SUM($H19:BU19)-SUM($G20:BT20))*BU13</f>
        <v>0</v>
      </c>
      <c r="BV20" s="96">
        <f>(SUM($H19:BV19)-SUM($G20:BU20))*BV13</f>
        <v>0</v>
      </c>
      <c r="BW20" s="96">
        <f>(SUM($H19:BW19)-SUM($G20:BV20))*BW13</f>
        <v>0</v>
      </c>
      <c r="BX20" s="96">
        <f>(SUM($H19:BX19)-SUM($G20:BW20))*BX13</f>
        <v>0</v>
      </c>
      <c r="BY20" s="96">
        <f>(SUM($H19:BY19)-SUM($G20:BX20))*BY13</f>
        <v>0</v>
      </c>
      <c r="BZ20" s="96">
        <f>(SUM($H19:BZ19)-SUM($G20:BY20))*BZ13</f>
        <v>0</v>
      </c>
      <c r="CA20" s="96">
        <f>(SUM($H19:CA19)-SUM($G20:BZ20))*CA13</f>
        <v>0</v>
      </c>
      <c r="CB20" s="96">
        <f>(SUM($H19:CB19)-SUM($G20:CA20))*CB13</f>
        <v>0</v>
      </c>
      <c r="CC20" s="96">
        <f>(SUM($H19:CC19)-SUM($G20:CB20))*CC13</f>
        <v>0</v>
      </c>
      <c r="CD20" s="96">
        <f>(SUM($H19:CD19)-SUM($G20:CC20))*CD13</f>
        <v>0</v>
      </c>
      <c r="CE20" s="96">
        <f>(SUM($H19:CE19)-SUM($G20:CD20))*CE13</f>
        <v>0</v>
      </c>
      <c r="CF20" s="96">
        <f>(SUM($H19:CF19)-SUM($G20:CE20))*CF13</f>
        <v>0</v>
      </c>
      <c r="CG20" s="96">
        <f>(SUM($H19:CG19)-SUM($G20:CF20))*CG13</f>
        <v>0</v>
      </c>
      <c r="CH20" s="96">
        <f>(SUM($H19:CH19)-SUM($G20:CG20))*CH13</f>
        <v>0</v>
      </c>
      <c r="CI20" s="96">
        <f>(SUM($H19:CI19)-SUM($G20:CH20))*CI13</f>
        <v>0</v>
      </c>
      <c r="CJ20" s="96">
        <f>(SUM($H19:CJ19)-SUM($G20:CI20))*CJ13</f>
        <v>0</v>
      </c>
      <c r="CK20" s="96">
        <f>(SUM($H19:CK19)-SUM($G20:CJ20))*CK13</f>
        <v>0</v>
      </c>
      <c r="CL20" s="96">
        <f>(SUM($H19:CL19)-SUM($G20:CK20))*CL13</f>
        <v>0</v>
      </c>
      <c r="CM20" s="96">
        <f>(SUM($H19:CM19)-SUM($G20:CL20))*CM13</f>
        <v>0</v>
      </c>
      <c r="CN20" s="96">
        <f>(SUM($H19:CN19)-SUM($G20:CM20))*CN13</f>
        <v>0</v>
      </c>
      <c r="CO20" s="96">
        <f>(SUM($H19:CO19)-SUM($G20:CN20))*CO13</f>
        <v>0</v>
      </c>
      <c r="CP20" s="96">
        <f>(SUM($H19:CP19)-SUM($G20:CO20))*CP13</f>
        <v>0</v>
      </c>
      <c r="CQ20" s="96">
        <f>(SUM($H19:CQ19)-SUM($G20:CP20))*CQ13</f>
        <v>0</v>
      </c>
      <c r="CR20" s="96">
        <f>(SUM($H19:CR19)-SUM($G20:CQ20))*CR13</f>
        <v>0</v>
      </c>
      <c r="CS20" s="96">
        <f>(SUM($H19:CS19)-SUM($G20:CR20))*CS13</f>
        <v>0</v>
      </c>
      <c r="CT20" s="96">
        <f>(SUM($H19:CT19)-SUM($G20:CS20))*CT13</f>
        <v>0</v>
      </c>
      <c r="CU20" s="96">
        <f>(SUM($H19:CU19)-SUM($G20:CT20))*CU13</f>
        <v>0</v>
      </c>
      <c r="CV20" s="96">
        <f>(SUM($H19:CV19)-SUM($G20:CU20))*CV13</f>
        <v>0</v>
      </c>
      <c r="CW20" s="96">
        <f>(SUM($H19:CW19)-SUM($G20:CV20))*CW13</f>
        <v>0</v>
      </c>
      <c r="CX20" s="96">
        <f>(SUM($H19:CX19)-SUM($G20:CW20))*CX13</f>
        <v>0</v>
      </c>
      <c r="CY20" s="96">
        <f>(SUM($H19:CY19)-SUM($G20:CX20))*CY13</f>
        <v>0</v>
      </c>
      <c r="CZ20" s="96">
        <f>(SUM($H19:CZ19)-SUM($G20:CY20))*CZ13</f>
        <v>0</v>
      </c>
      <c r="DA20" s="96">
        <f>(SUM($H19:DA19)-SUM($G20:CZ20))*DA13</f>
        <v>0</v>
      </c>
      <c r="DB20" s="96">
        <f>(SUM($H19:DB19)-SUM($G20:DA20))*DB13</f>
        <v>0</v>
      </c>
    </row>
    <row r="22" spans="2:106">
      <c r="B22" s="2" t="str">
        <f>'A&amp;R'!U21</f>
        <v>신탁업자 자산수탁 보수</v>
      </c>
    </row>
    <row r="23" spans="2:106">
      <c r="C23" s="13" t="s">
        <v>218</v>
      </c>
      <c r="E23" s="119"/>
      <c r="F23" s="13">
        <f>SUM(H23:DB23)</f>
        <v>300</v>
      </c>
      <c r="H23" s="13">
        <f>'A&amp;R'!$X$21/12*H$11</f>
        <v>0</v>
      </c>
      <c r="I23" s="13">
        <f>'A&amp;R'!$X$21/12*I$11</f>
        <v>5</v>
      </c>
      <c r="J23" s="13">
        <f>'A&amp;R'!$X$21/12*J$11</f>
        <v>5</v>
      </c>
      <c r="K23" s="13">
        <f>'A&amp;R'!$X$21/12*K$11</f>
        <v>5</v>
      </c>
      <c r="L23" s="13">
        <f>'A&amp;R'!$X$21/12*L$11</f>
        <v>5</v>
      </c>
      <c r="M23" s="13">
        <f>'A&amp;R'!$X$21/12*M$11</f>
        <v>5</v>
      </c>
      <c r="N23" s="13">
        <f>'A&amp;R'!$X$21/12*N$11</f>
        <v>5</v>
      </c>
      <c r="O23" s="13">
        <f>'A&amp;R'!$X$21/12*O$11</f>
        <v>5</v>
      </c>
      <c r="P23" s="13">
        <f>'A&amp;R'!$X$21/12*P$11</f>
        <v>5</v>
      </c>
      <c r="Q23" s="13">
        <f>'A&amp;R'!$X$21/12*Q$11</f>
        <v>5</v>
      </c>
      <c r="R23" s="13">
        <f>'A&amp;R'!$X$21/12*R$11</f>
        <v>5</v>
      </c>
      <c r="S23" s="13">
        <f>'A&amp;R'!$X$21/12*S$11</f>
        <v>5</v>
      </c>
      <c r="T23" s="13">
        <f>'A&amp;R'!$X$21/12*T$11</f>
        <v>5</v>
      </c>
      <c r="U23" s="13">
        <f>'A&amp;R'!$X$21/12*U$11</f>
        <v>5</v>
      </c>
      <c r="V23" s="13">
        <f>'A&amp;R'!$X$21/12*V$11</f>
        <v>5</v>
      </c>
      <c r="W23" s="13">
        <f>'A&amp;R'!$X$21/12*W$11</f>
        <v>5</v>
      </c>
      <c r="X23" s="13">
        <f>'A&amp;R'!$X$21/12*X$11</f>
        <v>5</v>
      </c>
      <c r="Y23" s="13">
        <f>'A&amp;R'!$X$21/12*Y$11</f>
        <v>5</v>
      </c>
      <c r="Z23" s="13">
        <f>'A&amp;R'!$X$21/12*Z$11</f>
        <v>5</v>
      </c>
      <c r="AA23" s="13">
        <f>'A&amp;R'!$X$21/12*AA$11</f>
        <v>5</v>
      </c>
      <c r="AB23" s="13">
        <f>'A&amp;R'!$X$21/12*AB$11</f>
        <v>5</v>
      </c>
      <c r="AC23" s="13">
        <f>'A&amp;R'!$X$21/12*AC$11</f>
        <v>5</v>
      </c>
      <c r="AD23" s="13">
        <f>'A&amp;R'!$X$21/12*AD$11</f>
        <v>5</v>
      </c>
      <c r="AE23" s="13">
        <f>'A&amp;R'!$X$21/12*AE$11</f>
        <v>5</v>
      </c>
      <c r="AF23" s="13">
        <f>'A&amp;R'!$X$21/12*AF$11</f>
        <v>5</v>
      </c>
      <c r="AG23" s="13">
        <f>'A&amp;R'!$X$21/12*AG$11</f>
        <v>5</v>
      </c>
      <c r="AH23" s="13">
        <f>'A&amp;R'!$X$21/12*AH$11</f>
        <v>5</v>
      </c>
      <c r="AI23" s="13">
        <f>'A&amp;R'!$X$21/12*AI$11</f>
        <v>5</v>
      </c>
      <c r="AJ23" s="13">
        <f>'A&amp;R'!$X$21/12*AJ$11</f>
        <v>5</v>
      </c>
      <c r="AK23" s="13">
        <f>'A&amp;R'!$X$21/12*AK$11</f>
        <v>5</v>
      </c>
      <c r="AL23" s="13">
        <f>'A&amp;R'!$X$21/12*AL$11</f>
        <v>5</v>
      </c>
      <c r="AM23" s="13">
        <f>'A&amp;R'!$X$21/12*AM$11</f>
        <v>5</v>
      </c>
      <c r="AN23" s="13">
        <f>'A&amp;R'!$X$21/12*AN$11</f>
        <v>5</v>
      </c>
      <c r="AO23" s="13">
        <f>'A&amp;R'!$X$21/12*AO$11</f>
        <v>5</v>
      </c>
      <c r="AP23" s="13">
        <f>'A&amp;R'!$X$21/12*AP$11</f>
        <v>5</v>
      </c>
      <c r="AQ23" s="13">
        <f>'A&amp;R'!$X$21/12*AQ$11</f>
        <v>5</v>
      </c>
      <c r="AR23" s="13">
        <f>'A&amp;R'!$X$21/12*AR$11</f>
        <v>5</v>
      </c>
      <c r="AS23" s="13">
        <f>'A&amp;R'!$X$21/12*AS$11</f>
        <v>5</v>
      </c>
      <c r="AT23" s="13">
        <f>'A&amp;R'!$X$21/12*AT$11</f>
        <v>5</v>
      </c>
      <c r="AU23" s="13">
        <f>'A&amp;R'!$X$21/12*AU$11</f>
        <v>5</v>
      </c>
      <c r="AV23" s="13">
        <f>'A&amp;R'!$X$21/12*AV$11</f>
        <v>5</v>
      </c>
      <c r="AW23" s="13">
        <f>'A&amp;R'!$X$21/12*AW$11</f>
        <v>5</v>
      </c>
      <c r="AX23" s="13">
        <f>'A&amp;R'!$X$21/12*AX$11</f>
        <v>5</v>
      </c>
      <c r="AY23" s="13">
        <f>'A&amp;R'!$X$21/12*AY$11</f>
        <v>5</v>
      </c>
      <c r="AZ23" s="13">
        <f>'A&amp;R'!$X$21/12*AZ$11</f>
        <v>5</v>
      </c>
      <c r="BA23" s="13">
        <f>'A&amp;R'!$X$21/12*BA$11</f>
        <v>5</v>
      </c>
      <c r="BB23" s="13">
        <f>'A&amp;R'!$X$21/12*BB$11</f>
        <v>5</v>
      </c>
      <c r="BC23" s="13">
        <f>'A&amp;R'!$X$21/12*BC$11</f>
        <v>5</v>
      </c>
      <c r="BD23" s="13">
        <f>'A&amp;R'!$X$21/12*BD$11</f>
        <v>5</v>
      </c>
      <c r="BE23" s="13">
        <f>'A&amp;R'!$X$21/12*BE$11</f>
        <v>5</v>
      </c>
      <c r="BF23" s="13">
        <f>'A&amp;R'!$X$21/12*BF$11</f>
        <v>5</v>
      </c>
      <c r="BG23" s="13">
        <f>'A&amp;R'!$X$21/12*BG$11</f>
        <v>5</v>
      </c>
      <c r="BH23" s="13">
        <f>'A&amp;R'!$X$21/12*BH$11</f>
        <v>5</v>
      </c>
      <c r="BI23" s="13">
        <f>'A&amp;R'!$X$21/12*BI$11</f>
        <v>5</v>
      </c>
      <c r="BJ23" s="13">
        <f>'A&amp;R'!$X$21/12*BJ$11</f>
        <v>5</v>
      </c>
      <c r="BK23" s="13">
        <f>'A&amp;R'!$X$21/12*BK$11</f>
        <v>5</v>
      </c>
      <c r="BL23" s="13">
        <f>'A&amp;R'!$X$21/12*BL$11</f>
        <v>5</v>
      </c>
      <c r="BM23" s="13">
        <f>'A&amp;R'!$X$21/12*BM$11</f>
        <v>5</v>
      </c>
      <c r="BN23" s="13">
        <f>'A&amp;R'!$X$21/12*BN$11</f>
        <v>5</v>
      </c>
      <c r="BO23" s="13">
        <f>'A&amp;R'!$X$21/12*BO$11</f>
        <v>5</v>
      </c>
      <c r="BP23" s="13">
        <f>'A&amp;R'!$X$21/12*BP$11</f>
        <v>5</v>
      </c>
      <c r="BQ23" s="13">
        <f>'A&amp;R'!$X$21/12*BQ$11</f>
        <v>0</v>
      </c>
      <c r="BR23" s="13">
        <f>'A&amp;R'!$X$21/12*BR$11</f>
        <v>0</v>
      </c>
      <c r="BS23" s="13">
        <f>'A&amp;R'!$X$21/12*BS$11</f>
        <v>0</v>
      </c>
      <c r="BT23" s="13">
        <f>'A&amp;R'!$X$21/12*BT$11</f>
        <v>0</v>
      </c>
      <c r="BU23" s="13">
        <f>'A&amp;R'!$X$21/12*BU$11</f>
        <v>0</v>
      </c>
      <c r="BV23" s="13">
        <f>'A&amp;R'!$X$21/12*BV$11</f>
        <v>0</v>
      </c>
      <c r="BW23" s="13">
        <f>'A&amp;R'!$X$21/12*BW$11</f>
        <v>0</v>
      </c>
      <c r="BX23" s="13">
        <f>'A&amp;R'!$X$21/12*BX$11</f>
        <v>0</v>
      </c>
      <c r="BY23" s="13">
        <f>'A&amp;R'!$X$21/12*BY$11</f>
        <v>0</v>
      </c>
      <c r="BZ23" s="13">
        <f>'A&amp;R'!$X$21/12*BZ$11</f>
        <v>0</v>
      </c>
      <c r="CA23" s="13">
        <f>'A&amp;R'!$X$21/12*CA$11</f>
        <v>0</v>
      </c>
      <c r="CB23" s="13">
        <f>'A&amp;R'!$X$21/12*CB$11</f>
        <v>0</v>
      </c>
      <c r="CC23" s="13">
        <f>'A&amp;R'!$X$21/12*CC$11</f>
        <v>0</v>
      </c>
      <c r="CD23" s="13">
        <f>'A&amp;R'!$X$21/12*CD$11</f>
        <v>0</v>
      </c>
      <c r="CE23" s="13">
        <f>'A&amp;R'!$X$21/12*CE$11</f>
        <v>0</v>
      </c>
      <c r="CF23" s="13">
        <f>'A&amp;R'!$X$21/12*CF$11</f>
        <v>0</v>
      </c>
      <c r="CG23" s="13">
        <f>'A&amp;R'!$X$21/12*CG$11</f>
        <v>0</v>
      </c>
      <c r="CH23" s="13">
        <f>'A&amp;R'!$X$21/12*CH$11</f>
        <v>0</v>
      </c>
      <c r="CI23" s="13">
        <f>'A&amp;R'!$X$21/12*CI$11</f>
        <v>0</v>
      </c>
      <c r="CJ23" s="13">
        <f>'A&amp;R'!$X$21/12*CJ$11</f>
        <v>0</v>
      </c>
      <c r="CK23" s="13">
        <f>'A&amp;R'!$X$21/12*CK$11</f>
        <v>0</v>
      </c>
      <c r="CL23" s="13">
        <f>'A&amp;R'!$X$21/12*CL$11</f>
        <v>0</v>
      </c>
      <c r="CM23" s="13">
        <f>'A&amp;R'!$X$21/12*CM$11</f>
        <v>0</v>
      </c>
      <c r="CN23" s="13">
        <f>'A&amp;R'!$X$21/12*CN$11</f>
        <v>0</v>
      </c>
      <c r="CO23" s="13">
        <f>'A&amp;R'!$X$21/12*CO$11</f>
        <v>0</v>
      </c>
      <c r="CP23" s="13">
        <f>'A&amp;R'!$X$21/12*CP$11</f>
        <v>0</v>
      </c>
      <c r="CQ23" s="13">
        <f>'A&amp;R'!$X$21/12*CQ$11</f>
        <v>0</v>
      </c>
      <c r="CR23" s="13">
        <f>'A&amp;R'!$X$21/12*CR$11</f>
        <v>0</v>
      </c>
      <c r="CS23" s="13">
        <f>'A&amp;R'!$X$21/12*CS$11</f>
        <v>0</v>
      </c>
      <c r="CT23" s="13">
        <f>'A&amp;R'!$X$21/12*CT$11</f>
        <v>0</v>
      </c>
      <c r="CU23" s="13">
        <f>'A&amp;R'!$X$21/12*CU$11</f>
        <v>0</v>
      </c>
      <c r="CV23" s="13">
        <f>'A&amp;R'!$X$21/12*CV$11</f>
        <v>0</v>
      </c>
      <c r="CW23" s="13">
        <f>'A&amp;R'!$X$21/12*CW$11</f>
        <v>0</v>
      </c>
      <c r="CX23" s="13">
        <f>'A&amp;R'!$X$21/12*CX$11</f>
        <v>0</v>
      </c>
      <c r="CY23" s="13">
        <f>'A&amp;R'!$X$21/12*CY$11</f>
        <v>0</v>
      </c>
      <c r="CZ23" s="13">
        <f>'A&amp;R'!$X$21/12*CZ$11</f>
        <v>0</v>
      </c>
      <c r="DA23" s="13">
        <f>'A&amp;R'!$X$21/12*DA$11</f>
        <v>0</v>
      </c>
      <c r="DB23" s="13">
        <f>'A&amp;R'!$X$21/12*DB$11</f>
        <v>0</v>
      </c>
    </row>
    <row r="24" spans="2:106">
      <c r="C24" s="96" t="s">
        <v>217</v>
      </c>
      <c r="D24" s="143" t="b">
        <f>ABS(F23-F24)&lt;0.001</f>
        <v>1</v>
      </c>
      <c r="E24" s="96"/>
      <c r="F24" s="96">
        <f>SUM(H24:DB24)</f>
        <v>300</v>
      </c>
      <c r="G24" s="96"/>
      <c r="H24" s="144">
        <f>(SUM($H23:H23)-SUM($G24:G24))*H$13</f>
        <v>0</v>
      </c>
      <c r="I24" s="96">
        <f>(SUM($H23:I23)-SUM($G24:H24))*I$13</f>
        <v>0</v>
      </c>
      <c r="J24" s="96">
        <f>(SUM($H23:J23)-SUM($G24:I24))*J$13</f>
        <v>0</v>
      </c>
      <c r="K24" s="96">
        <f>(SUM($H23:K23)-SUM($G24:J24))*K$13</f>
        <v>0</v>
      </c>
      <c r="L24" s="96">
        <f>(SUM($H23:L23)-SUM($G24:K24))*L$13</f>
        <v>0</v>
      </c>
      <c r="M24" s="96">
        <f>(SUM($H23:M23)-SUM($G24:L24))*M$13</f>
        <v>0</v>
      </c>
      <c r="N24" s="96">
        <f>(SUM($H23:N23)-SUM($G24:M24))*N$13</f>
        <v>30</v>
      </c>
      <c r="O24" s="96">
        <f>(SUM($H23:O23)-SUM($G24:N24))*O$13</f>
        <v>0</v>
      </c>
      <c r="P24" s="96">
        <f>(SUM($H23:P23)-SUM($G24:O24))*P$13</f>
        <v>0</v>
      </c>
      <c r="Q24" s="96">
        <f>(SUM($H23:Q23)-SUM($G24:P24))*Q$13</f>
        <v>0</v>
      </c>
      <c r="R24" s="96">
        <f>(SUM($H23:R23)-SUM($G24:Q24))*R$13</f>
        <v>0</v>
      </c>
      <c r="S24" s="96">
        <f>(SUM($H23:S23)-SUM($G24:R24))*S$13</f>
        <v>0</v>
      </c>
      <c r="T24" s="96">
        <f>(SUM($H23:T23)-SUM($G24:S24))*T$13</f>
        <v>30</v>
      </c>
      <c r="U24" s="96">
        <f>(SUM($H23:U23)-SUM($G24:T24))*U$13</f>
        <v>0</v>
      </c>
      <c r="V24" s="96">
        <f>(SUM($H23:V23)-SUM($G24:U24))*V$13</f>
        <v>0</v>
      </c>
      <c r="W24" s="96">
        <f>(SUM($H23:W23)-SUM($G24:V24))*W$13</f>
        <v>0</v>
      </c>
      <c r="X24" s="96">
        <f>(SUM($H23:X23)-SUM($G24:W24))*X$13</f>
        <v>0</v>
      </c>
      <c r="Y24" s="96">
        <f>(SUM($H23:Y23)-SUM($G24:X24))*Y$13</f>
        <v>0</v>
      </c>
      <c r="Z24" s="96">
        <f>(SUM($H23:Z23)-SUM($G24:Y24))*Z$13</f>
        <v>30</v>
      </c>
      <c r="AA24" s="96">
        <f>(SUM($H23:AA23)-SUM($G24:Z24))*AA$13</f>
        <v>0</v>
      </c>
      <c r="AB24" s="96">
        <f>(SUM($H23:AB23)-SUM($G24:AA24))*AB$13</f>
        <v>0</v>
      </c>
      <c r="AC24" s="96">
        <f>(SUM($H23:AC23)-SUM($G24:AB24))*AC$13</f>
        <v>0</v>
      </c>
      <c r="AD24" s="96">
        <f>(SUM($H23:AD23)-SUM($G24:AC24))*AD$13</f>
        <v>0</v>
      </c>
      <c r="AE24" s="96">
        <f>(SUM($H23:AE23)-SUM($G24:AD24))*AE$13</f>
        <v>0</v>
      </c>
      <c r="AF24" s="96">
        <f>(SUM($H23:AF23)-SUM($G24:AE24))*AF$13</f>
        <v>30</v>
      </c>
      <c r="AG24" s="96">
        <f>(SUM($H23:AG23)-SUM($G24:AF24))*AG$13</f>
        <v>0</v>
      </c>
      <c r="AH24" s="96">
        <f>(SUM($H23:AH23)-SUM($G24:AG24))*AH$13</f>
        <v>0</v>
      </c>
      <c r="AI24" s="96">
        <f>(SUM($H23:AI23)-SUM($G24:AH24))*AI$13</f>
        <v>0</v>
      </c>
      <c r="AJ24" s="96">
        <f>(SUM($H23:AJ23)-SUM($G24:AI24))*AJ$13</f>
        <v>0</v>
      </c>
      <c r="AK24" s="96">
        <f>(SUM($H23:AK23)-SUM($G24:AJ24))*AK$13</f>
        <v>0</v>
      </c>
      <c r="AL24" s="96">
        <f>(SUM($H23:AL23)-SUM($G24:AK24))*AL$13</f>
        <v>30</v>
      </c>
      <c r="AM24" s="96">
        <f>(SUM($H23:AM23)-SUM($G24:AL24))*AM$13</f>
        <v>0</v>
      </c>
      <c r="AN24" s="96">
        <f>(SUM($H23:AN23)-SUM($G24:AM24))*AN$13</f>
        <v>0</v>
      </c>
      <c r="AO24" s="96">
        <f>(SUM($H23:AO23)-SUM($G24:AN24))*AO$13</f>
        <v>0</v>
      </c>
      <c r="AP24" s="96">
        <f>(SUM($H23:AP23)-SUM($G24:AO24))*AP$13</f>
        <v>0</v>
      </c>
      <c r="AQ24" s="96">
        <f>(SUM($H23:AQ23)-SUM($G24:AP24))*AQ$13</f>
        <v>0</v>
      </c>
      <c r="AR24" s="96">
        <f>(SUM($H23:AR23)-SUM($G24:AQ24))*AR$13</f>
        <v>30</v>
      </c>
      <c r="AS24" s="96">
        <f>(SUM($H23:AS23)-SUM($G24:AR24))*AS$13</f>
        <v>0</v>
      </c>
      <c r="AT24" s="96">
        <f>(SUM($H23:AT23)-SUM($G24:AS24))*AT$13</f>
        <v>0</v>
      </c>
      <c r="AU24" s="96">
        <f>(SUM($H23:AU23)-SUM($G24:AT24))*AU$13</f>
        <v>0</v>
      </c>
      <c r="AV24" s="96">
        <f>(SUM($H23:AV23)-SUM($G24:AU24))*AV$13</f>
        <v>0</v>
      </c>
      <c r="AW24" s="96">
        <f>(SUM($H23:AW23)-SUM($G24:AV24))*AW$13</f>
        <v>0</v>
      </c>
      <c r="AX24" s="96">
        <f>(SUM($H23:AX23)-SUM($G24:AW24))*AX$13</f>
        <v>30</v>
      </c>
      <c r="AY24" s="96">
        <f>(SUM($H23:AY23)-SUM($G24:AX24))*AY$13</f>
        <v>0</v>
      </c>
      <c r="AZ24" s="96">
        <f>(SUM($H23:AZ23)-SUM($G24:AY24))*AZ$13</f>
        <v>0</v>
      </c>
      <c r="BA24" s="96">
        <f>(SUM($H23:BA23)-SUM($G24:AZ24))*BA$13</f>
        <v>0</v>
      </c>
      <c r="BB24" s="96">
        <f>(SUM($H23:BB23)-SUM($G24:BA24))*BB$13</f>
        <v>0</v>
      </c>
      <c r="BC24" s="96">
        <f>(SUM($H23:BC23)-SUM($G24:BB24))*BC$13</f>
        <v>0</v>
      </c>
      <c r="BD24" s="96">
        <f>(SUM($H23:BD23)-SUM($G24:BC24))*BD$13</f>
        <v>30</v>
      </c>
      <c r="BE24" s="96">
        <f>(SUM($H23:BE23)-SUM($G24:BD24))*BE$13</f>
        <v>0</v>
      </c>
      <c r="BF24" s="96">
        <f>(SUM($H23:BF23)-SUM($G24:BE24))*BF$13</f>
        <v>0</v>
      </c>
      <c r="BG24" s="96">
        <f>(SUM($H23:BG23)-SUM($G24:BF24))*BG$13</f>
        <v>0</v>
      </c>
      <c r="BH24" s="96">
        <f>(SUM($H23:BH23)-SUM($G24:BG24))*BH$13</f>
        <v>0</v>
      </c>
      <c r="BI24" s="96">
        <f>(SUM($H23:BI23)-SUM($G24:BH24))*BI$13</f>
        <v>0</v>
      </c>
      <c r="BJ24" s="96">
        <f>(SUM($H23:BJ23)-SUM($G24:BI24))*BJ$13</f>
        <v>30</v>
      </c>
      <c r="BK24" s="96">
        <f>(SUM($H23:BK23)-SUM($G24:BJ24))*BK$13</f>
        <v>0</v>
      </c>
      <c r="BL24" s="96">
        <f>(SUM($H23:BL23)-SUM($G24:BK24))*BL$13</f>
        <v>0</v>
      </c>
      <c r="BM24" s="96">
        <f>(SUM($H23:BM23)-SUM($G24:BL24))*BM$13</f>
        <v>0</v>
      </c>
      <c r="BN24" s="96">
        <f>(SUM($H23:BN23)-SUM($G24:BM24))*BN$13</f>
        <v>0</v>
      </c>
      <c r="BO24" s="96">
        <f>(SUM($H23:BO23)-SUM($G24:BN24))*BO$13</f>
        <v>0</v>
      </c>
      <c r="BP24" s="96">
        <f>(SUM($H23:BP23)-SUM($G24:BO24))*BP$13</f>
        <v>30</v>
      </c>
      <c r="BQ24" s="96">
        <f>(SUM($H23:BQ23)-SUM($G24:BP24))*BQ$13</f>
        <v>0</v>
      </c>
      <c r="BR24" s="96">
        <f>(SUM($H23:BR23)-SUM($G24:BQ24))*BR$13</f>
        <v>0</v>
      </c>
      <c r="BS24" s="96">
        <f>(SUM($H23:BS23)-SUM($G24:BR24))*BS$13</f>
        <v>0</v>
      </c>
      <c r="BT24" s="96">
        <f>(SUM($H23:BT23)-SUM($G24:BS24))*BT$13</f>
        <v>0</v>
      </c>
      <c r="BU24" s="96">
        <f>(SUM($H23:BU23)-SUM($G24:BT24))*BU$13</f>
        <v>0</v>
      </c>
      <c r="BV24" s="96">
        <f>(SUM($H23:BV23)-SUM($G24:BU24))*BV$13</f>
        <v>0</v>
      </c>
      <c r="BW24" s="96">
        <f>(SUM($H23:BW23)-SUM($G24:BV24))*BW$13</f>
        <v>0</v>
      </c>
      <c r="BX24" s="96">
        <f>(SUM($H23:BX23)-SUM($G24:BW24))*BX$13</f>
        <v>0</v>
      </c>
      <c r="BY24" s="96">
        <f>(SUM($H23:BY23)-SUM($G24:BX24))*BY$13</f>
        <v>0</v>
      </c>
      <c r="BZ24" s="96">
        <f>(SUM($H23:BZ23)-SUM($G24:BY24))*BZ$13</f>
        <v>0</v>
      </c>
      <c r="CA24" s="96">
        <f>(SUM($H23:CA23)-SUM($G24:BZ24))*CA$13</f>
        <v>0</v>
      </c>
      <c r="CB24" s="96">
        <f>(SUM($H23:CB23)-SUM($G24:CA24))*CB$13</f>
        <v>0</v>
      </c>
      <c r="CC24" s="96">
        <f>(SUM($H23:CC23)-SUM($G24:CB24))*CC$13</f>
        <v>0</v>
      </c>
      <c r="CD24" s="96">
        <f>(SUM($H23:CD23)-SUM($G24:CC24))*CD$13</f>
        <v>0</v>
      </c>
      <c r="CE24" s="96">
        <f>(SUM($H23:CE23)-SUM($G24:CD24))*CE$13</f>
        <v>0</v>
      </c>
      <c r="CF24" s="96">
        <f>(SUM($H23:CF23)-SUM($G24:CE24))*CF$13</f>
        <v>0</v>
      </c>
      <c r="CG24" s="96">
        <f>(SUM($H23:CG23)-SUM($G24:CF24))*CG$13</f>
        <v>0</v>
      </c>
      <c r="CH24" s="96">
        <f>(SUM($H23:CH23)-SUM($G24:CG24))*CH$13</f>
        <v>0</v>
      </c>
      <c r="CI24" s="96">
        <f>(SUM($H23:CI23)-SUM($G24:CH24))*CI$13</f>
        <v>0</v>
      </c>
      <c r="CJ24" s="96">
        <f>(SUM($H23:CJ23)-SUM($G24:CI24))*CJ$13</f>
        <v>0</v>
      </c>
      <c r="CK24" s="96">
        <f>(SUM($H23:CK23)-SUM($G24:CJ24))*CK$13</f>
        <v>0</v>
      </c>
      <c r="CL24" s="96">
        <f>(SUM($H23:CL23)-SUM($G24:CK24))*CL$13</f>
        <v>0</v>
      </c>
      <c r="CM24" s="96">
        <f>(SUM($H23:CM23)-SUM($G24:CL24))*CM$13</f>
        <v>0</v>
      </c>
      <c r="CN24" s="96">
        <f>(SUM($H23:CN23)-SUM($G24:CM24))*CN$13</f>
        <v>0</v>
      </c>
      <c r="CO24" s="96">
        <f>(SUM($H23:CO23)-SUM($G24:CN24))*CO$13</f>
        <v>0</v>
      </c>
      <c r="CP24" s="96">
        <f>(SUM($H23:CP23)-SUM($G24:CO24))*CP$13</f>
        <v>0</v>
      </c>
      <c r="CQ24" s="96">
        <f>(SUM($H23:CQ23)-SUM($G24:CP24))*CQ$13</f>
        <v>0</v>
      </c>
      <c r="CR24" s="96">
        <f>(SUM($H23:CR23)-SUM($G24:CQ24))*CR$13</f>
        <v>0</v>
      </c>
      <c r="CS24" s="96">
        <f>(SUM($H23:CS23)-SUM($G24:CR24))*CS$13</f>
        <v>0</v>
      </c>
      <c r="CT24" s="96">
        <f>(SUM($H23:CT23)-SUM($G24:CS24))*CT$13</f>
        <v>0</v>
      </c>
      <c r="CU24" s="96">
        <f>(SUM($H23:CU23)-SUM($G24:CT24))*CU$13</f>
        <v>0</v>
      </c>
      <c r="CV24" s="96">
        <f>(SUM($H23:CV23)-SUM($G24:CU24))*CV$13</f>
        <v>0</v>
      </c>
      <c r="CW24" s="96">
        <f>(SUM($H23:CW23)-SUM($G24:CV24))*CW$13</f>
        <v>0</v>
      </c>
      <c r="CX24" s="96">
        <f>(SUM($H23:CX23)-SUM($G24:CW24))*CX$13</f>
        <v>0</v>
      </c>
      <c r="CY24" s="96">
        <f>(SUM($H23:CY23)-SUM($G24:CX24))*CY$13</f>
        <v>0</v>
      </c>
      <c r="CZ24" s="96">
        <f>(SUM($H23:CZ23)-SUM($G24:CY24))*CZ$13</f>
        <v>0</v>
      </c>
      <c r="DA24" s="96">
        <f>(SUM($H23:DA23)-SUM($G24:CZ24))*DA$13</f>
        <v>0</v>
      </c>
      <c r="DB24" s="96">
        <f>(SUM($H23:DB23)-SUM($G24:DA24))*DB$13</f>
        <v>0</v>
      </c>
    </row>
    <row r="26" spans="2:106">
      <c r="B26" s="2" t="str">
        <f>'A&amp;R'!U22</f>
        <v>투자매매/중개업자 판매보수</v>
      </c>
    </row>
    <row r="27" spans="2:106">
      <c r="C27" s="13" t="s">
        <v>218</v>
      </c>
      <c r="E27" s="119"/>
      <c r="F27" s="13">
        <f>SUM(H27:DB27)</f>
        <v>200.00000000000014</v>
      </c>
      <c r="H27" s="13">
        <f>'A&amp;R'!$X$22/12*H$11</f>
        <v>0</v>
      </c>
      <c r="I27" s="13">
        <f>'A&amp;R'!$X$22/12*I$11</f>
        <v>3.3333333333333335</v>
      </c>
      <c r="J27" s="13">
        <f>'A&amp;R'!$X$22/12*J$11</f>
        <v>3.3333333333333335</v>
      </c>
      <c r="K27" s="13">
        <f>'A&amp;R'!$X$22/12*K$11</f>
        <v>3.3333333333333335</v>
      </c>
      <c r="L27" s="13">
        <f>'A&amp;R'!$X$22/12*L$11</f>
        <v>3.3333333333333335</v>
      </c>
      <c r="M27" s="13">
        <f>'A&amp;R'!$X$22/12*M$11</f>
        <v>3.3333333333333335</v>
      </c>
      <c r="N27" s="13">
        <f>'A&amp;R'!$X$22/12*N$11</f>
        <v>3.3333333333333335</v>
      </c>
      <c r="O27" s="13">
        <f>'A&amp;R'!$X$22/12*O$11</f>
        <v>3.3333333333333335</v>
      </c>
      <c r="P27" s="13">
        <f>'A&amp;R'!$X$22/12*P$11</f>
        <v>3.3333333333333335</v>
      </c>
      <c r="Q27" s="13">
        <f>'A&amp;R'!$X$22/12*Q$11</f>
        <v>3.3333333333333335</v>
      </c>
      <c r="R27" s="13">
        <f>'A&amp;R'!$X$22/12*R$11</f>
        <v>3.3333333333333335</v>
      </c>
      <c r="S27" s="13">
        <f>'A&amp;R'!$X$22/12*S$11</f>
        <v>3.3333333333333335</v>
      </c>
      <c r="T27" s="13">
        <f>'A&amp;R'!$X$22/12*T$11</f>
        <v>3.3333333333333335</v>
      </c>
      <c r="U27" s="13">
        <f>'A&amp;R'!$X$22/12*U$11</f>
        <v>3.3333333333333335</v>
      </c>
      <c r="V27" s="13">
        <f>'A&amp;R'!$X$22/12*V$11</f>
        <v>3.3333333333333335</v>
      </c>
      <c r="W27" s="13">
        <f>'A&amp;R'!$X$22/12*W$11</f>
        <v>3.3333333333333335</v>
      </c>
      <c r="X27" s="13">
        <f>'A&amp;R'!$X$22/12*X$11</f>
        <v>3.3333333333333335</v>
      </c>
      <c r="Y27" s="13">
        <f>'A&amp;R'!$X$22/12*Y$11</f>
        <v>3.3333333333333335</v>
      </c>
      <c r="Z27" s="13">
        <f>'A&amp;R'!$X$22/12*Z$11</f>
        <v>3.3333333333333335</v>
      </c>
      <c r="AA27" s="13">
        <f>'A&amp;R'!$X$22/12*AA$11</f>
        <v>3.3333333333333335</v>
      </c>
      <c r="AB27" s="13">
        <f>'A&amp;R'!$X$22/12*AB$11</f>
        <v>3.3333333333333335</v>
      </c>
      <c r="AC27" s="13">
        <f>'A&amp;R'!$X$22/12*AC$11</f>
        <v>3.3333333333333335</v>
      </c>
      <c r="AD27" s="13">
        <f>'A&amp;R'!$X$22/12*AD$11</f>
        <v>3.3333333333333335</v>
      </c>
      <c r="AE27" s="13">
        <f>'A&amp;R'!$X$22/12*AE$11</f>
        <v>3.3333333333333335</v>
      </c>
      <c r="AF27" s="13">
        <f>'A&amp;R'!$X$22/12*AF$11</f>
        <v>3.3333333333333335</v>
      </c>
      <c r="AG27" s="13">
        <f>'A&amp;R'!$X$22/12*AG$11</f>
        <v>3.3333333333333335</v>
      </c>
      <c r="AH27" s="13">
        <f>'A&amp;R'!$X$22/12*AH$11</f>
        <v>3.3333333333333335</v>
      </c>
      <c r="AI27" s="13">
        <f>'A&amp;R'!$X$22/12*AI$11</f>
        <v>3.3333333333333335</v>
      </c>
      <c r="AJ27" s="13">
        <f>'A&amp;R'!$X$22/12*AJ$11</f>
        <v>3.3333333333333335</v>
      </c>
      <c r="AK27" s="13">
        <f>'A&amp;R'!$X$22/12*AK$11</f>
        <v>3.3333333333333335</v>
      </c>
      <c r="AL27" s="13">
        <f>'A&amp;R'!$X$22/12*AL$11</f>
        <v>3.3333333333333335</v>
      </c>
      <c r="AM27" s="13">
        <f>'A&amp;R'!$X$22/12*AM$11</f>
        <v>3.3333333333333335</v>
      </c>
      <c r="AN27" s="13">
        <f>'A&amp;R'!$X$22/12*AN$11</f>
        <v>3.3333333333333335</v>
      </c>
      <c r="AO27" s="13">
        <f>'A&amp;R'!$X$22/12*AO$11</f>
        <v>3.3333333333333335</v>
      </c>
      <c r="AP27" s="13">
        <f>'A&amp;R'!$X$22/12*AP$11</f>
        <v>3.3333333333333335</v>
      </c>
      <c r="AQ27" s="13">
        <f>'A&amp;R'!$X$22/12*AQ$11</f>
        <v>3.3333333333333335</v>
      </c>
      <c r="AR27" s="13">
        <f>'A&amp;R'!$X$22/12*AR$11</f>
        <v>3.3333333333333335</v>
      </c>
      <c r="AS27" s="13">
        <f>'A&amp;R'!$X$22/12*AS$11</f>
        <v>3.3333333333333335</v>
      </c>
      <c r="AT27" s="13">
        <f>'A&amp;R'!$X$22/12*AT$11</f>
        <v>3.3333333333333335</v>
      </c>
      <c r="AU27" s="13">
        <f>'A&amp;R'!$X$22/12*AU$11</f>
        <v>3.3333333333333335</v>
      </c>
      <c r="AV27" s="13">
        <f>'A&amp;R'!$X$22/12*AV$11</f>
        <v>3.3333333333333335</v>
      </c>
      <c r="AW27" s="13">
        <f>'A&amp;R'!$X$22/12*AW$11</f>
        <v>3.3333333333333335</v>
      </c>
      <c r="AX27" s="13">
        <f>'A&amp;R'!$X$22/12*AX$11</f>
        <v>3.3333333333333335</v>
      </c>
      <c r="AY27" s="13">
        <f>'A&amp;R'!$X$22/12*AY$11</f>
        <v>3.3333333333333335</v>
      </c>
      <c r="AZ27" s="13">
        <f>'A&amp;R'!$X$22/12*AZ$11</f>
        <v>3.3333333333333335</v>
      </c>
      <c r="BA27" s="13">
        <f>'A&amp;R'!$X$22/12*BA$11</f>
        <v>3.3333333333333335</v>
      </c>
      <c r="BB27" s="13">
        <f>'A&amp;R'!$X$22/12*BB$11</f>
        <v>3.3333333333333335</v>
      </c>
      <c r="BC27" s="13">
        <f>'A&amp;R'!$X$22/12*BC$11</f>
        <v>3.3333333333333335</v>
      </c>
      <c r="BD27" s="13">
        <f>'A&amp;R'!$X$22/12*BD$11</f>
        <v>3.3333333333333335</v>
      </c>
      <c r="BE27" s="13">
        <f>'A&amp;R'!$X$22/12*BE$11</f>
        <v>3.3333333333333335</v>
      </c>
      <c r="BF27" s="13">
        <f>'A&amp;R'!$X$22/12*BF$11</f>
        <v>3.3333333333333335</v>
      </c>
      <c r="BG27" s="13">
        <f>'A&amp;R'!$X$22/12*BG$11</f>
        <v>3.3333333333333335</v>
      </c>
      <c r="BH27" s="13">
        <f>'A&amp;R'!$X$22/12*BH$11</f>
        <v>3.3333333333333335</v>
      </c>
      <c r="BI27" s="13">
        <f>'A&amp;R'!$X$22/12*BI$11</f>
        <v>3.3333333333333335</v>
      </c>
      <c r="BJ27" s="13">
        <f>'A&amp;R'!$X$22/12*BJ$11</f>
        <v>3.3333333333333335</v>
      </c>
      <c r="BK27" s="13">
        <f>'A&amp;R'!$X$22/12*BK$11</f>
        <v>3.3333333333333335</v>
      </c>
      <c r="BL27" s="13">
        <f>'A&amp;R'!$X$22/12*BL$11</f>
        <v>3.3333333333333335</v>
      </c>
      <c r="BM27" s="13">
        <f>'A&amp;R'!$X$22/12*BM$11</f>
        <v>3.3333333333333335</v>
      </c>
      <c r="BN27" s="13">
        <f>'A&amp;R'!$X$22/12*BN$11</f>
        <v>3.3333333333333335</v>
      </c>
      <c r="BO27" s="13">
        <f>'A&amp;R'!$X$22/12*BO$11</f>
        <v>3.3333333333333335</v>
      </c>
      <c r="BP27" s="13">
        <f>'A&amp;R'!$X$22/12*BP$11</f>
        <v>3.3333333333333335</v>
      </c>
      <c r="BQ27" s="13">
        <f>'A&amp;R'!$X$22/12*BQ$11</f>
        <v>0</v>
      </c>
      <c r="BR27" s="13">
        <f>'A&amp;R'!$X$22/12*BR$11</f>
        <v>0</v>
      </c>
      <c r="BS27" s="13">
        <f>'A&amp;R'!$X$22/12*BS$11</f>
        <v>0</v>
      </c>
      <c r="BT27" s="13">
        <f>'A&amp;R'!$X$22/12*BT$11</f>
        <v>0</v>
      </c>
      <c r="BU27" s="13">
        <f>'A&amp;R'!$X$22/12*BU$11</f>
        <v>0</v>
      </c>
      <c r="BV27" s="13">
        <f>'A&amp;R'!$X$22/12*BV$11</f>
        <v>0</v>
      </c>
      <c r="BW27" s="13">
        <f>'A&amp;R'!$X$22/12*BW$11</f>
        <v>0</v>
      </c>
      <c r="BX27" s="13">
        <f>'A&amp;R'!$X$22/12*BX$11</f>
        <v>0</v>
      </c>
      <c r="BY27" s="13">
        <f>'A&amp;R'!$X$22/12*BY$11</f>
        <v>0</v>
      </c>
      <c r="BZ27" s="13">
        <f>'A&amp;R'!$X$22/12*BZ$11</f>
        <v>0</v>
      </c>
      <c r="CA27" s="13">
        <f>'A&amp;R'!$X$22/12*CA$11</f>
        <v>0</v>
      </c>
      <c r="CB27" s="13">
        <f>'A&amp;R'!$X$22/12*CB$11</f>
        <v>0</v>
      </c>
      <c r="CC27" s="13">
        <f>'A&amp;R'!$X$22/12*CC$11</f>
        <v>0</v>
      </c>
      <c r="CD27" s="13">
        <f>'A&amp;R'!$X$22/12*CD$11</f>
        <v>0</v>
      </c>
      <c r="CE27" s="13">
        <f>'A&amp;R'!$X$22/12*CE$11</f>
        <v>0</v>
      </c>
      <c r="CF27" s="13">
        <f>'A&amp;R'!$X$22/12*CF$11</f>
        <v>0</v>
      </c>
      <c r="CG27" s="13">
        <f>'A&amp;R'!$X$22/12*CG$11</f>
        <v>0</v>
      </c>
      <c r="CH27" s="13">
        <f>'A&amp;R'!$X$22/12*CH$11</f>
        <v>0</v>
      </c>
      <c r="CI27" s="13">
        <f>'A&amp;R'!$X$22/12*CI$11</f>
        <v>0</v>
      </c>
      <c r="CJ27" s="13">
        <f>'A&amp;R'!$X$22/12*CJ$11</f>
        <v>0</v>
      </c>
      <c r="CK27" s="13">
        <f>'A&amp;R'!$X$22/12*CK$11</f>
        <v>0</v>
      </c>
      <c r="CL27" s="13">
        <f>'A&amp;R'!$X$22/12*CL$11</f>
        <v>0</v>
      </c>
      <c r="CM27" s="13">
        <f>'A&amp;R'!$X$22/12*CM$11</f>
        <v>0</v>
      </c>
      <c r="CN27" s="13">
        <f>'A&amp;R'!$X$22/12*CN$11</f>
        <v>0</v>
      </c>
      <c r="CO27" s="13">
        <f>'A&amp;R'!$X$22/12*CO$11</f>
        <v>0</v>
      </c>
      <c r="CP27" s="13">
        <f>'A&amp;R'!$X$22/12*CP$11</f>
        <v>0</v>
      </c>
      <c r="CQ27" s="13">
        <f>'A&amp;R'!$X$22/12*CQ$11</f>
        <v>0</v>
      </c>
      <c r="CR27" s="13">
        <f>'A&amp;R'!$X$22/12*CR$11</f>
        <v>0</v>
      </c>
      <c r="CS27" s="13">
        <f>'A&amp;R'!$X$22/12*CS$11</f>
        <v>0</v>
      </c>
      <c r="CT27" s="13">
        <f>'A&amp;R'!$X$22/12*CT$11</f>
        <v>0</v>
      </c>
      <c r="CU27" s="13">
        <f>'A&amp;R'!$X$22/12*CU$11</f>
        <v>0</v>
      </c>
      <c r="CV27" s="13">
        <f>'A&amp;R'!$X$22/12*CV$11</f>
        <v>0</v>
      </c>
      <c r="CW27" s="13">
        <f>'A&amp;R'!$X$22/12*CW$11</f>
        <v>0</v>
      </c>
      <c r="CX27" s="13">
        <f>'A&amp;R'!$X$22/12*CX$11</f>
        <v>0</v>
      </c>
      <c r="CY27" s="13">
        <f>'A&amp;R'!$X$22/12*CY$11</f>
        <v>0</v>
      </c>
      <c r="CZ27" s="13">
        <f>'A&amp;R'!$X$22/12*CZ$11</f>
        <v>0</v>
      </c>
      <c r="DA27" s="13">
        <f>'A&amp;R'!$X$22/12*DA$11</f>
        <v>0</v>
      </c>
      <c r="DB27" s="13">
        <f>'A&amp;R'!$X$22/12*DB$11</f>
        <v>0</v>
      </c>
    </row>
    <row r="28" spans="2:106">
      <c r="C28" s="96" t="s">
        <v>217</v>
      </c>
      <c r="D28" s="143" t="b">
        <f>ABS(F27-F28)&lt;0.001</f>
        <v>1</v>
      </c>
      <c r="E28" s="96"/>
      <c r="F28" s="96">
        <f>SUM(H28:DB28)</f>
        <v>200.00000000000014</v>
      </c>
      <c r="G28" s="96"/>
      <c r="H28" s="144">
        <f>(SUM($H27:H27)-SUM($G28:G28))*H$13</f>
        <v>0</v>
      </c>
      <c r="I28" s="96">
        <f>(SUM($H27:I27)-SUM($G28:H28))*I$13</f>
        <v>0</v>
      </c>
      <c r="J28" s="96">
        <f>(SUM($H27:J27)-SUM($G28:I28))*J$13</f>
        <v>0</v>
      </c>
      <c r="K28" s="96">
        <f>(SUM($H27:K27)-SUM($G28:J28))*K$13</f>
        <v>0</v>
      </c>
      <c r="L28" s="96">
        <f>(SUM($H27:L27)-SUM($G28:K28))*L$13</f>
        <v>0</v>
      </c>
      <c r="M28" s="96">
        <f>(SUM($H27:M27)-SUM($G28:L28))*M$13</f>
        <v>0</v>
      </c>
      <c r="N28" s="96">
        <f>(SUM($H27:N27)-SUM($G28:M28))*N$13</f>
        <v>20</v>
      </c>
      <c r="O28" s="96">
        <f>(SUM($H27:O27)-SUM($G28:N28))*O$13</f>
        <v>0</v>
      </c>
      <c r="P28" s="96">
        <f>(SUM($H27:P27)-SUM($G28:O28))*P$13</f>
        <v>0</v>
      </c>
      <c r="Q28" s="96">
        <f>(SUM($H27:Q27)-SUM($G28:P28))*Q$13</f>
        <v>0</v>
      </c>
      <c r="R28" s="96">
        <f>(SUM($H27:R27)-SUM($G28:Q28))*R$13</f>
        <v>0</v>
      </c>
      <c r="S28" s="96">
        <f>(SUM($H27:S27)-SUM($G28:R28))*S$13</f>
        <v>0</v>
      </c>
      <c r="T28" s="96">
        <f>(SUM($H27:T27)-SUM($G28:S28))*T$13</f>
        <v>20</v>
      </c>
      <c r="U28" s="96">
        <f>(SUM($H27:U27)-SUM($G28:T28))*U$13</f>
        <v>0</v>
      </c>
      <c r="V28" s="96">
        <f>(SUM($H27:V27)-SUM($G28:U28))*V$13</f>
        <v>0</v>
      </c>
      <c r="W28" s="96">
        <f>(SUM($H27:W27)-SUM($G28:V28))*W$13</f>
        <v>0</v>
      </c>
      <c r="X28" s="96">
        <f>(SUM($H27:X27)-SUM($G28:W28))*X$13</f>
        <v>0</v>
      </c>
      <c r="Y28" s="96">
        <f>(SUM($H27:Y27)-SUM($G28:X28))*Y$13</f>
        <v>0</v>
      </c>
      <c r="Z28" s="96">
        <f>(SUM($H27:Z27)-SUM($G28:Y28))*Z$13</f>
        <v>20.000000000000014</v>
      </c>
      <c r="AA28" s="96">
        <f>(SUM($H27:AA27)-SUM($G28:Z28))*AA$13</f>
        <v>0</v>
      </c>
      <c r="AB28" s="96">
        <f>(SUM($H27:AB27)-SUM($G28:AA28))*AB$13</f>
        <v>0</v>
      </c>
      <c r="AC28" s="96">
        <f>(SUM($H27:AC27)-SUM($G28:AB28))*AC$13</f>
        <v>0</v>
      </c>
      <c r="AD28" s="96">
        <f>(SUM($H27:AD27)-SUM($G28:AC28))*AD$13</f>
        <v>0</v>
      </c>
      <c r="AE28" s="96">
        <f>(SUM($H27:AE27)-SUM($G28:AD28))*AE$13</f>
        <v>0</v>
      </c>
      <c r="AF28" s="96">
        <f>(SUM($H27:AF27)-SUM($G28:AE28))*AF$13</f>
        <v>19.999999999999986</v>
      </c>
      <c r="AG28" s="96">
        <f>(SUM($H27:AG27)-SUM($G28:AF28))*AG$13</f>
        <v>0</v>
      </c>
      <c r="AH28" s="96">
        <f>(SUM($H27:AH27)-SUM($G28:AG28))*AH$13</f>
        <v>0</v>
      </c>
      <c r="AI28" s="96">
        <f>(SUM($H27:AI27)-SUM($G28:AH28))*AI$13</f>
        <v>0</v>
      </c>
      <c r="AJ28" s="96">
        <f>(SUM($H27:AJ27)-SUM($G28:AI28))*AJ$13</f>
        <v>0</v>
      </c>
      <c r="AK28" s="96">
        <f>(SUM($H27:AK27)-SUM($G28:AJ28))*AK$13</f>
        <v>0</v>
      </c>
      <c r="AL28" s="96">
        <f>(SUM($H27:AL27)-SUM($G28:AK28))*AL$13</f>
        <v>19.999999999999972</v>
      </c>
      <c r="AM28" s="96">
        <f>(SUM($H27:AM27)-SUM($G28:AL28))*AM$13</f>
        <v>0</v>
      </c>
      <c r="AN28" s="96">
        <f>(SUM($H27:AN27)-SUM($G28:AM28))*AN$13</f>
        <v>0</v>
      </c>
      <c r="AO28" s="96">
        <f>(SUM($H27:AO27)-SUM($G28:AN28))*AO$13</f>
        <v>0</v>
      </c>
      <c r="AP28" s="96">
        <f>(SUM($H27:AP27)-SUM($G28:AO28))*AP$13</f>
        <v>0</v>
      </c>
      <c r="AQ28" s="96">
        <f>(SUM($H27:AQ27)-SUM($G28:AP28))*AQ$13</f>
        <v>0</v>
      </c>
      <c r="AR28" s="96">
        <f>(SUM($H27:AR27)-SUM($G28:AQ28))*AR$13</f>
        <v>19.999999999999972</v>
      </c>
      <c r="AS28" s="96">
        <f>(SUM($H27:AS27)-SUM($G28:AR28))*AS$13</f>
        <v>0</v>
      </c>
      <c r="AT28" s="96">
        <f>(SUM($H27:AT27)-SUM($G28:AS28))*AT$13</f>
        <v>0</v>
      </c>
      <c r="AU28" s="96">
        <f>(SUM($H27:AU27)-SUM($G28:AT28))*AU$13</f>
        <v>0</v>
      </c>
      <c r="AV28" s="96">
        <f>(SUM($H27:AV27)-SUM($G28:AU28))*AV$13</f>
        <v>0</v>
      </c>
      <c r="AW28" s="96">
        <f>(SUM($H27:AW27)-SUM($G28:AV28))*AW$13</f>
        <v>0</v>
      </c>
      <c r="AX28" s="96">
        <f>(SUM($H27:AX27)-SUM($G28:AW28))*AX$13</f>
        <v>20.000000000000028</v>
      </c>
      <c r="AY28" s="96">
        <f>(SUM($H27:AY27)-SUM($G28:AX28))*AY$13</f>
        <v>0</v>
      </c>
      <c r="AZ28" s="96">
        <f>(SUM($H27:AZ27)-SUM($G28:AY28))*AZ$13</f>
        <v>0</v>
      </c>
      <c r="BA28" s="96">
        <f>(SUM($H27:BA27)-SUM($G28:AZ28))*BA$13</f>
        <v>0</v>
      </c>
      <c r="BB28" s="96">
        <f>(SUM($H27:BB27)-SUM($G28:BA28))*BB$13</f>
        <v>0</v>
      </c>
      <c r="BC28" s="96">
        <f>(SUM($H27:BC27)-SUM($G28:BB28))*BC$13</f>
        <v>0</v>
      </c>
      <c r="BD28" s="96">
        <f>(SUM($H27:BD27)-SUM($G28:BC28))*BD$13</f>
        <v>20.000000000000057</v>
      </c>
      <c r="BE28" s="96">
        <f>(SUM($H27:BE27)-SUM($G28:BD28))*BE$13</f>
        <v>0</v>
      </c>
      <c r="BF28" s="96">
        <f>(SUM($H27:BF27)-SUM($G28:BE28))*BF$13</f>
        <v>0</v>
      </c>
      <c r="BG28" s="96">
        <f>(SUM($H27:BG27)-SUM($G28:BF28))*BG$13</f>
        <v>0</v>
      </c>
      <c r="BH28" s="96">
        <f>(SUM($H27:BH27)-SUM($G28:BG28))*BH$13</f>
        <v>0</v>
      </c>
      <c r="BI28" s="96">
        <f>(SUM($H27:BI27)-SUM($G28:BH28))*BI$13</f>
        <v>0</v>
      </c>
      <c r="BJ28" s="96">
        <f>(SUM($H27:BJ27)-SUM($G28:BI28))*BJ$13</f>
        <v>20.000000000000057</v>
      </c>
      <c r="BK28" s="96">
        <f>(SUM($H27:BK27)-SUM($G28:BJ28))*BK$13</f>
        <v>0</v>
      </c>
      <c r="BL28" s="96">
        <f>(SUM($H27:BL27)-SUM($G28:BK28))*BL$13</f>
        <v>0</v>
      </c>
      <c r="BM28" s="96">
        <f>(SUM($H27:BM27)-SUM($G28:BL28))*BM$13</f>
        <v>0</v>
      </c>
      <c r="BN28" s="96">
        <f>(SUM($H27:BN27)-SUM($G28:BM28))*BN$13</f>
        <v>0</v>
      </c>
      <c r="BO28" s="96">
        <f>(SUM($H27:BO27)-SUM($G28:BN28))*BO$13</f>
        <v>0</v>
      </c>
      <c r="BP28" s="96">
        <f>(SUM($H27:BP27)-SUM($G28:BO28))*BP$13</f>
        <v>20.000000000000057</v>
      </c>
      <c r="BQ28" s="96">
        <f>(SUM($H27:BQ27)-SUM($G28:BP28))*BQ$13</f>
        <v>0</v>
      </c>
      <c r="BR28" s="96">
        <f>(SUM($H27:BR27)-SUM($G28:BQ28))*BR$13</f>
        <v>0</v>
      </c>
      <c r="BS28" s="96">
        <f>(SUM($H27:BS27)-SUM($G28:BR28))*BS$13</f>
        <v>0</v>
      </c>
      <c r="BT28" s="96">
        <f>(SUM($H27:BT27)-SUM($G28:BS28))*BT$13</f>
        <v>0</v>
      </c>
      <c r="BU28" s="96">
        <f>(SUM($H27:BU27)-SUM($G28:BT28))*BU$13</f>
        <v>0</v>
      </c>
      <c r="BV28" s="96">
        <f>(SUM($H27:BV27)-SUM($G28:BU28))*BV$13</f>
        <v>0</v>
      </c>
      <c r="BW28" s="96">
        <f>(SUM($H27:BW27)-SUM($G28:BV28))*BW$13</f>
        <v>0</v>
      </c>
      <c r="BX28" s="96">
        <f>(SUM($H27:BX27)-SUM($G28:BW28))*BX$13</f>
        <v>0</v>
      </c>
      <c r="BY28" s="96">
        <f>(SUM($H27:BY27)-SUM($G28:BX28))*BY$13</f>
        <v>0</v>
      </c>
      <c r="BZ28" s="96">
        <f>(SUM($H27:BZ27)-SUM($G28:BY28))*BZ$13</f>
        <v>0</v>
      </c>
      <c r="CA28" s="96">
        <f>(SUM($H27:CA27)-SUM($G28:BZ28))*CA$13</f>
        <v>0</v>
      </c>
      <c r="CB28" s="96">
        <f>(SUM($H27:CB27)-SUM($G28:CA28))*CB$13</f>
        <v>0</v>
      </c>
      <c r="CC28" s="96">
        <f>(SUM($H27:CC27)-SUM($G28:CB28))*CC$13</f>
        <v>0</v>
      </c>
      <c r="CD28" s="96">
        <f>(SUM($H27:CD27)-SUM($G28:CC28))*CD$13</f>
        <v>0</v>
      </c>
      <c r="CE28" s="96">
        <f>(SUM($H27:CE27)-SUM($G28:CD28))*CE$13</f>
        <v>0</v>
      </c>
      <c r="CF28" s="96">
        <f>(SUM($H27:CF27)-SUM($G28:CE28))*CF$13</f>
        <v>0</v>
      </c>
      <c r="CG28" s="96">
        <f>(SUM($H27:CG27)-SUM($G28:CF28))*CG$13</f>
        <v>0</v>
      </c>
      <c r="CH28" s="96">
        <f>(SUM($H27:CH27)-SUM($G28:CG28))*CH$13</f>
        <v>0</v>
      </c>
      <c r="CI28" s="96">
        <f>(SUM($H27:CI27)-SUM($G28:CH28))*CI$13</f>
        <v>0</v>
      </c>
      <c r="CJ28" s="96">
        <f>(SUM($H27:CJ27)-SUM($G28:CI28))*CJ$13</f>
        <v>0</v>
      </c>
      <c r="CK28" s="96">
        <f>(SUM($H27:CK27)-SUM($G28:CJ28))*CK$13</f>
        <v>0</v>
      </c>
      <c r="CL28" s="96">
        <f>(SUM($H27:CL27)-SUM($G28:CK28))*CL$13</f>
        <v>0</v>
      </c>
      <c r="CM28" s="96">
        <f>(SUM($H27:CM27)-SUM($G28:CL28))*CM$13</f>
        <v>0</v>
      </c>
      <c r="CN28" s="96">
        <f>(SUM($H27:CN27)-SUM($G28:CM28))*CN$13</f>
        <v>0</v>
      </c>
      <c r="CO28" s="96">
        <f>(SUM($H27:CO27)-SUM($G28:CN28))*CO$13</f>
        <v>0</v>
      </c>
      <c r="CP28" s="96">
        <f>(SUM($H27:CP27)-SUM($G28:CO28))*CP$13</f>
        <v>0</v>
      </c>
      <c r="CQ28" s="96">
        <f>(SUM($H27:CQ27)-SUM($G28:CP28))*CQ$13</f>
        <v>0</v>
      </c>
      <c r="CR28" s="96">
        <f>(SUM($H27:CR27)-SUM($G28:CQ28))*CR$13</f>
        <v>0</v>
      </c>
      <c r="CS28" s="96">
        <f>(SUM($H27:CS27)-SUM($G28:CR28))*CS$13</f>
        <v>0</v>
      </c>
      <c r="CT28" s="96">
        <f>(SUM($H27:CT27)-SUM($G28:CS28))*CT$13</f>
        <v>0</v>
      </c>
      <c r="CU28" s="96">
        <f>(SUM($H27:CU27)-SUM($G28:CT28))*CU$13</f>
        <v>0</v>
      </c>
      <c r="CV28" s="96">
        <f>(SUM($H27:CV27)-SUM($G28:CU28))*CV$13</f>
        <v>0</v>
      </c>
      <c r="CW28" s="96">
        <f>(SUM($H27:CW27)-SUM($G28:CV28))*CW$13</f>
        <v>0</v>
      </c>
      <c r="CX28" s="96">
        <f>(SUM($H27:CX27)-SUM($G28:CW28))*CX$13</f>
        <v>0</v>
      </c>
      <c r="CY28" s="96">
        <f>(SUM($H27:CY27)-SUM($G28:CX28))*CY$13</f>
        <v>0</v>
      </c>
      <c r="CZ28" s="96">
        <f>(SUM($H27:CZ27)-SUM($G28:CY28))*CZ$13</f>
        <v>0</v>
      </c>
      <c r="DA28" s="96">
        <f>(SUM($H27:DA27)-SUM($G28:CZ28))*DA$13</f>
        <v>0</v>
      </c>
      <c r="DB28" s="96">
        <f>(SUM($H27:DB27)-SUM($G28:DA28))*DB$13</f>
        <v>0</v>
      </c>
    </row>
    <row r="30" spans="2:106">
      <c r="B30" s="2" t="str">
        <f>'A&amp;R'!U23</f>
        <v>일반사무관리회사 업무보수</v>
      </c>
    </row>
    <row r="31" spans="2:106">
      <c r="C31" s="13" t="s">
        <v>218</v>
      </c>
      <c r="E31" s="119"/>
      <c r="F31" s="13">
        <f>SUM(H31:DB31)</f>
        <v>124.99999999999989</v>
      </c>
      <c r="H31" s="13">
        <f>'A&amp;R'!$X$23/12*H$11</f>
        <v>0</v>
      </c>
      <c r="I31" s="13">
        <f>'A&amp;R'!$X$23/12*I$11</f>
        <v>2.0833333333333335</v>
      </c>
      <c r="J31" s="13">
        <f>'A&amp;R'!$X$23/12*J$11</f>
        <v>2.0833333333333335</v>
      </c>
      <c r="K31" s="13">
        <f>'A&amp;R'!$X$23/12*K$11</f>
        <v>2.0833333333333335</v>
      </c>
      <c r="L31" s="13">
        <f>'A&amp;R'!$X$23/12*L$11</f>
        <v>2.0833333333333335</v>
      </c>
      <c r="M31" s="13">
        <f>'A&amp;R'!$X$23/12*M$11</f>
        <v>2.0833333333333335</v>
      </c>
      <c r="N31" s="13">
        <f>'A&amp;R'!$X$23/12*N$11</f>
        <v>2.0833333333333335</v>
      </c>
      <c r="O31" s="13">
        <f>'A&amp;R'!$X$23/12*O$11</f>
        <v>2.0833333333333335</v>
      </c>
      <c r="P31" s="13">
        <f>'A&amp;R'!$X$23/12*P$11</f>
        <v>2.0833333333333335</v>
      </c>
      <c r="Q31" s="13">
        <f>'A&amp;R'!$X$23/12*Q$11</f>
        <v>2.0833333333333335</v>
      </c>
      <c r="R31" s="13">
        <f>'A&amp;R'!$X$23/12*R$11</f>
        <v>2.0833333333333335</v>
      </c>
      <c r="S31" s="13">
        <f>'A&amp;R'!$X$23/12*S$11</f>
        <v>2.0833333333333335</v>
      </c>
      <c r="T31" s="13">
        <f>'A&amp;R'!$X$23/12*T$11</f>
        <v>2.0833333333333335</v>
      </c>
      <c r="U31" s="13">
        <f>'A&amp;R'!$X$23/12*U$11</f>
        <v>2.0833333333333335</v>
      </c>
      <c r="V31" s="13">
        <f>'A&amp;R'!$X$23/12*V$11</f>
        <v>2.0833333333333335</v>
      </c>
      <c r="W31" s="13">
        <f>'A&amp;R'!$X$23/12*W$11</f>
        <v>2.0833333333333335</v>
      </c>
      <c r="X31" s="13">
        <f>'A&amp;R'!$X$23/12*X$11</f>
        <v>2.0833333333333335</v>
      </c>
      <c r="Y31" s="13">
        <f>'A&amp;R'!$X$23/12*Y$11</f>
        <v>2.0833333333333335</v>
      </c>
      <c r="Z31" s="13">
        <f>'A&amp;R'!$X$23/12*Z$11</f>
        <v>2.0833333333333335</v>
      </c>
      <c r="AA31" s="13">
        <f>'A&amp;R'!$X$23/12*AA$11</f>
        <v>2.0833333333333335</v>
      </c>
      <c r="AB31" s="13">
        <f>'A&amp;R'!$X$23/12*AB$11</f>
        <v>2.0833333333333335</v>
      </c>
      <c r="AC31" s="13">
        <f>'A&amp;R'!$X$23/12*AC$11</f>
        <v>2.0833333333333335</v>
      </c>
      <c r="AD31" s="13">
        <f>'A&amp;R'!$X$23/12*AD$11</f>
        <v>2.0833333333333335</v>
      </c>
      <c r="AE31" s="13">
        <f>'A&amp;R'!$X$23/12*AE$11</f>
        <v>2.0833333333333335</v>
      </c>
      <c r="AF31" s="13">
        <f>'A&amp;R'!$X$23/12*AF$11</f>
        <v>2.0833333333333335</v>
      </c>
      <c r="AG31" s="13">
        <f>'A&amp;R'!$X$23/12*AG$11</f>
        <v>2.0833333333333335</v>
      </c>
      <c r="AH31" s="13">
        <f>'A&amp;R'!$X$23/12*AH$11</f>
        <v>2.0833333333333335</v>
      </c>
      <c r="AI31" s="13">
        <f>'A&amp;R'!$X$23/12*AI$11</f>
        <v>2.0833333333333335</v>
      </c>
      <c r="AJ31" s="13">
        <f>'A&amp;R'!$X$23/12*AJ$11</f>
        <v>2.0833333333333335</v>
      </c>
      <c r="AK31" s="13">
        <f>'A&amp;R'!$X$23/12*AK$11</f>
        <v>2.0833333333333335</v>
      </c>
      <c r="AL31" s="13">
        <f>'A&amp;R'!$X$23/12*AL$11</f>
        <v>2.0833333333333335</v>
      </c>
      <c r="AM31" s="13">
        <f>'A&amp;R'!$X$23/12*AM$11</f>
        <v>2.0833333333333335</v>
      </c>
      <c r="AN31" s="13">
        <f>'A&amp;R'!$X$23/12*AN$11</f>
        <v>2.0833333333333335</v>
      </c>
      <c r="AO31" s="13">
        <f>'A&amp;R'!$X$23/12*AO$11</f>
        <v>2.0833333333333335</v>
      </c>
      <c r="AP31" s="13">
        <f>'A&amp;R'!$X$23/12*AP$11</f>
        <v>2.0833333333333335</v>
      </c>
      <c r="AQ31" s="13">
        <f>'A&amp;R'!$X$23/12*AQ$11</f>
        <v>2.0833333333333335</v>
      </c>
      <c r="AR31" s="13">
        <f>'A&amp;R'!$X$23/12*AR$11</f>
        <v>2.0833333333333335</v>
      </c>
      <c r="AS31" s="13">
        <f>'A&amp;R'!$X$23/12*AS$11</f>
        <v>2.0833333333333335</v>
      </c>
      <c r="AT31" s="13">
        <f>'A&amp;R'!$X$23/12*AT$11</f>
        <v>2.0833333333333335</v>
      </c>
      <c r="AU31" s="13">
        <f>'A&amp;R'!$X$23/12*AU$11</f>
        <v>2.0833333333333335</v>
      </c>
      <c r="AV31" s="13">
        <f>'A&amp;R'!$X$23/12*AV$11</f>
        <v>2.0833333333333335</v>
      </c>
      <c r="AW31" s="13">
        <f>'A&amp;R'!$X$23/12*AW$11</f>
        <v>2.0833333333333335</v>
      </c>
      <c r="AX31" s="13">
        <f>'A&amp;R'!$X$23/12*AX$11</f>
        <v>2.0833333333333335</v>
      </c>
      <c r="AY31" s="13">
        <f>'A&amp;R'!$X$23/12*AY$11</f>
        <v>2.0833333333333335</v>
      </c>
      <c r="AZ31" s="13">
        <f>'A&amp;R'!$X$23/12*AZ$11</f>
        <v>2.0833333333333335</v>
      </c>
      <c r="BA31" s="13">
        <f>'A&amp;R'!$X$23/12*BA$11</f>
        <v>2.0833333333333335</v>
      </c>
      <c r="BB31" s="13">
        <f>'A&amp;R'!$X$23/12*BB$11</f>
        <v>2.0833333333333335</v>
      </c>
      <c r="BC31" s="13">
        <f>'A&amp;R'!$X$23/12*BC$11</f>
        <v>2.0833333333333335</v>
      </c>
      <c r="BD31" s="13">
        <f>'A&amp;R'!$X$23/12*BD$11</f>
        <v>2.0833333333333335</v>
      </c>
      <c r="BE31" s="13">
        <f>'A&amp;R'!$X$23/12*BE$11</f>
        <v>2.0833333333333335</v>
      </c>
      <c r="BF31" s="13">
        <f>'A&amp;R'!$X$23/12*BF$11</f>
        <v>2.0833333333333335</v>
      </c>
      <c r="BG31" s="13">
        <f>'A&amp;R'!$X$23/12*BG$11</f>
        <v>2.0833333333333335</v>
      </c>
      <c r="BH31" s="13">
        <f>'A&amp;R'!$X$23/12*BH$11</f>
        <v>2.0833333333333335</v>
      </c>
      <c r="BI31" s="13">
        <f>'A&amp;R'!$X$23/12*BI$11</f>
        <v>2.0833333333333335</v>
      </c>
      <c r="BJ31" s="13">
        <f>'A&amp;R'!$X$23/12*BJ$11</f>
        <v>2.0833333333333335</v>
      </c>
      <c r="BK31" s="13">
        <f>'A&amp;R'!$X$23/12*BK$11</f>
        <v>2.0833333333333335</v>
      </c>
      <c r="BL31" s="13">
        <f>'A&amp;R'!$X$23/12*BL$11</f>
        <v>2.0833333333333335</v>
      </c>
      <c r="BM31" s="13">
        <f>'A&amp;R'!$X$23/12*BM$11</f>
        <v>2.0833333333333335</v>
      </c>
      <c r="BN31" s="13">
        <f>'A&amp;R'!$X$23/12*BN$11</f>
        <v>2.0833333333333335</v>
      </c>
      <c r="BO31" s="13">
        <f>'A&amp;R'!$X$23/12*BO$11</f>
        <v>2.0833333333333335</v>
      </c>
      <c r="BP31" s="13">
        <f>'A&amp;R'!$X$23/12*BP$11</f>
        <v>2.0833333333333335</v>
      </c>
      <c r="BQ31" s="13">
        <f>'A&amp;R'!$X$23/12*BQ$11</f>
        <v>0</v>
      </c>
      <c r="BR31" s="13">
        <f>'A&amp;R'!$X$23/12*BR$11</f>
        <v>0</v>
      </c>
      <c r="BS31" s="13">
        <f>'A&amp;R'!$X$23/12*BS$11</f>
        <v>0</v>
      </c>
      <c r="BT31" s="13">
        <f>'A&amp;R'!$X$23/12*BT$11</f>
        <v>0</v>
      </c>
      <c r="BU31" s="13">
        <f>'A&amp;R'!$X$23/12*BU$11</f>
        <v>0</v>
      </c>
      <c r="BV31" s="13">
        <f>'A&amp;R'!$X$23/12*BV$11</f>
        <v>0</v>
      </c>
      <c r="BW31" s="13">
        <f>'A&amp;R'!$X$23/12*BW$11</f>
        <v>0</v>
      </c>
      <c r="BX31" s="13">
        <f>'A&amp;R'!$X$23/12*BX$11</f>
        <v>0</v>
      </c>
      <c r="BY31" s="13">
        <f>'A&amp;R'!$X$23/12*BY$11</f>
        <v>0</v>
      </c>
      <c r="BZ31" s="13">
        <f>'A&amp;R'!$X$23/12*BZ$11</f>
        <v>0</v>
      </c>
      <c r="CA31" s="13">
        <f>'A&amp;R'!$X$23/12*CA$11</f>
        <v>0</v>
      </c>
      <c r="CB31" s="13">
        <f>'A&amp;R'!$X$23/12*CB$11</f>
        <v>0</v>
      </c>
      <c r="CC31" s="13">
        <f>'A&amp;R'!$X$23/12*CC$11</f>
        <v>0</v>
      </c>
      <c r="CD31" s="13">
        <f>'A&amp;R'!$X$23/12*CD$11</f>
        <v>0</v>
      </c>
      <c r="CE31" s="13">
        <f>'A&amp;R'!$X$23/12*CE$11</f>
        <v>0</v>
      </c>
      <c r="CF31" s="13">
        <f>'A&amp;R'!$X$23/12*CF$11</f>
        <v>0</v>
      </c>
      <c r="CG31" s="13">
        <f>'A&amp;R'!$X$23/12*CG$11</f>
        <v>0</v>
      </c>
      <c r="CH31" s="13">
        <f>'A&amp;R'!$X$23/12*CH$11</f>
        <v>0</v>
      </c>
      <c r="CI31" s="13">
        <f>'A&amp;R'!$X$23/12*CI$11</f>
        <v>0</v>
      </c>
      <c r="CJ31" s="13">
        <f>'A&amp;R'!$X$23/12*CJ$11</f>
        <v>0</v>
      </c>
      <c r="CK31" s="13">
        <f>'A&amp;R'!$X$23/12*CK$11</f>
        <v>0</v>
      </c>
      <c r="CL31" s="13">
        <f>'A&amp;R'!$X$23/12*CL$11</f>
        <v>0</v>
      </c>
      <c r="CM31" s="13">
        <f>'A&amp;R'!$X$23/12*CM$11</f>
        <v>0</v>
      </c>
      <c r="CN31" s="13">
        <f>'A&amp;R'!$X$23/12*CN$11</f>
        <v>0</v>
      </c>
      <c r="CO31" s="13">
        <f>'A&amp;R'!$X$23/12*CO$11</f>
        <v>0</v>
      </c>
      <c r="CP31" s="13">
        <f>'A&amp;R'!$X$23/12*CP$11</f>
        <v>0</v>
      </c>
      <c r="CQ31" s="13">
        <f>'A&amp;R'!$X$23/12*CQ$11</f>
        <v>0</v>
      </c>
      <c r="CR31" s="13">
        <f>'A&amp;R'!$X$23/12*CR$11</f>
        <v>0</v>
      </c>
      <c r="CS31" s="13">
        <f>'A&amp;R'!$X$23/12*CS$11</f>
        <v>0</v>
      </c>
      <c r="CT31" s="13">
        <f>'A&amp;R'!$X$23/12*CT$11</f>
        <v>0</v>
      </c>
      <c r="CU31" s="13">
        <f>'A&amp;R'!$X$23/12*CU$11</f>
        <v>0</v>
      </c>
      <c r="CV31" s="13">
        <f>'A&amp;R'!$X$23/12*CV$11</f>
        <v>0</v>
      </c>
      <c r="CW31" s="13">
        <f>'A&amp;R'!$X$23/12*CW$11</f>
        <v>0</v>
      </c>
      <c r="CX31" s="13">
        <f>'A&amp;R'!$X$23/12*CX$11</f>
        <v>0</v>
      </c>
      <c r="CY31" s="13">
        <f>'A&amp;R'!$X$23/12*CY$11</f>
        <v>0</v>
      </c>
      <c r="CZ31" s="13">
        <f>'A&amp;R'!$X$23/12*CZ$11</f>
        <v>0</v>
      </c>
      <c r="DA31" s="13">
        <f>'A&amp;R'!$X$23/12*DA$11</f>
        <v>0</v>
      </c>
      <c r="DB31" s="13">
        <f>'A&amp;R'!$X$23/12*DB$11</f>
        <v>0</v>
      </c>
    </row>
    <row r="32" spans="2:106">
      <c r="C32" s="96" t="s">
        <v>217</v>
      </c>
      <c r="D32" s="143" t="b">
        <f>ABS(F31-F32)&lt;0.001</f>
        <v>1</v>
      </c>
      <c r="E32" s="96"/>
      <c r="F32" s="96">
        <f>SUM(H32:DB32)</f>
        <v>124.99999999999989</v>
      </c>
      <c r="G32" s="96"/>
      <c r="H32" s="144">
        <f>(SUM($H31:H31)-SUM($G32:G32))*H$13</f>
        <v>0</v>
      </c>
      <c r="I32" s="96">
        <f>(SUM($H31:I31)-SUM($G32:H32))*I$13</f>
        <v>0</v>
      </c>
      <c r="J32" s="96">
        <f>(SUM($H31:J31)-SUM($G32:I32))*J$13</f>
        <v>0</v>
      </c>
      <c r="K32" s="96">
        <f>(SUM($H31:K31)-SUM($G32:J32))*K$13</f>
        <v>0</v>
      </c>
      <c r="L32" s="96">
        <f>(SUM($H31:L31)-SUM($G32:K32))*L$13</f>
        <v>0</v>
      </c>
      <c r="M32" s="96">
        <f>(SUM($H31:M31)-SUM($G32:L32))*M$13</f>
        <v>0</v>
      </c>
      <c r="N32" s="96">
        <f>(SUM($H31:N31)-SUM($G32:M32))*N$13</f>
        <v>12.500000000000002</v>
      </c>
      <c r="O32" s="96">
        <f>(SUM($H31:O31)-SUM($G32:N32))*O$13</f>
        <v>0</v>
      </c>
      <c r="P32" s="96">
        <f>(SUM($H31:P31)-SUM($G32:O32))*P$13</f>
        <v>0</v>
      </c>
      <c r="Q32" s="96">
        <f>(SUM($H31:Q31)-SUM($G32:P32))*Q$13</f>
        <v>0</v>
      </c>
      <c r="R32" s="96">
        <f>(SUM($H31:R31)-SUM($G32:Q32))*R$13</f>
        <v>0</v>
      </c>
      <c r="S32" s="96">
        <f>(SUM($H31:S31)-SUM($G32:R32))*S$13</f>
        <v>0</v>
      </c>
      <c r="T32" s="96">
        <f>(SUM($H31:T31)-SUM($G32:S32))*T$13</f>
        <v>12.499999999999995</v>
      </c>
      <c r="U32" s="96">
        <f>(SUM($H31:U31)-SUM($G32:T32))*U$13</f>
        <v>0</v>
      </c>
      <c r="V32" s="96">
        <f>(SUM($H31:V31)-SUM($G32:U32))*V$13</f>
        <v>0</v>
      </c>
      <c r="W32" s="96">
        <f>(SUM($H31:W31)-SUM($G32:V32))*W$13</f>
        <v>0</v>
      </c>
      <c r="X32" s="96">
        <f>(SUM($H31:X31)-SUM($G32:W32))*X$13</f>
        <v>0</v>
      </c>
      <c r="Y32" s="96">
        <f>(SUM($H31:Y31)-SUM($G32:X32))*Y$13</f>
        <v>0</v>
      </c>
      <c r="Z32" s="96">
        <f>(SUM($H31:Z31)-SUM($G32:Y32))*Z$13</f>
        <v>12.500000000000004</v>
      </c>
      <c r="AA32" s="96">
        <f>(SUM($H31:AA31)-SUM($G32:Z32))*AA$13</f>
        <v>0</v>
      </c>
      <c r="AB32" s="96">
        <f>(SUM($H31:AB31)-SUM($G32:AA32))*AB$13</f>
        <v>0</v>
      </c>
      <c r="AC32" s="96">
        <f>(SUM($H31:AC31)-SUM($G32:AB32))*AC$13</f>
        <v>0</v>
      </c>
      <c r="AD32" s="96">
        <f>(SUM($H31:AD31)-SUM($G32:AC32))*AD$13</f>
        <v>0</v>
      </c>
      <c r="AE32" s="96">
        <f>(SUM($H31:AE31)-SUM($G32:AD32))*AE$13</f>
        <v>0</v>
      </c>
      <c r="AF32" s="96">
        <f>(SUM($H31:AF31)-SUM($G32:AE32))*AF$13</f>
        <v>12.500000000000014</v>
      </c>
      <c r="AG32" s="96">
        <f>(SUM($H31:AG31)-SUM($G32:AF32))*AG$13</f>
        <v>0</v>
      </c>
      <c r="AH32" s="96">
        <f>(SUM($H31:AH31)-SUM($G32:AG32))*AH$13</f>
        <v>0</v>
      </c>
      <c r="AI32" s="96">
        <f>(SUM($H31:AI31)-SUM($G32:AH32))*AI$13</f>
        <v>0</v>
      </c>
      <c r="AJ32" s="96">
        <f>(SUM($H31:AJ31)-SUM($G32:AI32))*AJ$13</f>
        <v>0</v>
      </c>
      <c r="AK32" s="96">
        <f>(SUM($H31:AK31)-SUM($G32:AJ32))*AK$13</f>
        <v>0</v>
      </c>
      <c r="AL32" s="96">
        <f>(SUM($H31:AL31)-SUM($G32:AK32))*AL$13</f>
        <v>12.500000000000014</v>
      </c>
      <c r="AM32" s="96">
        <f>(SUM($H31:AM31)-SUM($G32:AL32))*AM$13</f>
        <v>0</v>
      </c>
      <c r="AN32" s="96">
        <f>(SUM($H31:AN31)-SUM($G32:AM32))*AN$13</f>
        <v>0</v>
      </c>
      <c r="AO32" s="96">
        <f>(SUM($H31:AO31)-SUM($G32:AN32))*AO$13</f>
        <v>0</v>
      </c>
      <c r="AP32" s="96">
        <f>(SUM($H31:AP31)-SUM($G32:AO32))*AP$13</f>
        <v>0</v>
      </c>
      <c r="AQ32" s="96">
        <f>(SUM($H31:AQ31)-SUM($G32:AP32))*AQ$13</f>
        <v>0</v>
      </c>
      <c r="AR32" s="96">
        <f>(SUM($H31:AR31)-SUM($G32:AQ32))*AR$13</f>
        <v>12.499999999999972</v>
      </c>
      <c r="AS32" s="96">
        <f>(SUM($H31:AS31)-SUM($G32:AR32))*AS$13</f>
        <v>0</v>
      </c>
      <c r="AT32" s="96">
        <f>(SUM($H31:AT31)-SUM($G32:AS32))*AT$13</f>
        <v>0</v>
      </c>
      <c r="AU32" s="96">
        <f>(SUM($H31:AU31)-SUM($G32:AT32))*AU$13</f>
        <v>0</v>
      </c>
      <c r="AV32" s="96">
        <f>(SUM($H31:AV31)-SUM($G32:AU32))*AV$13</f>
        <v>0</v>
      </c>
      <c r="AW32" s="96">
        <f>(SUM($H31:AW31)-SUM($G32:AV32))*AW$13</f>
        <v>0</v>
      </c>
      <c r="AX32" s="96">
        <f>(SUM($H31:AX31)-SUM($G32:AW32))*AX$13</f>
        <v>12.499999999999972</v>
      </c>
      <c r="AY32" s="96">
        <f>(SUM($H31:AY31)-SUM($G32:AX32))*AY$13</f>
        <v>0</v>
      </c>
      <c r="AZ32" s="96">
        <f>(SUM($H31:AZ31)-SUM($G32:AY32))*AZ$13</f>
        <v>0</v>
      </c>
      <c r="BA32" s="96">
        <f>(SUM($H31:BA31)-SUM($G32:AZ32))*BA$13</f>
        <v>0</v>
      </c>
      <c r="BB32" s="96">
        <f>(SUM($H31:BB31)-SUM($G32:BA32))*BB$13</f>
        <v>0</v>
      </c>
      <c r="BC32" s="96">
        <f>(SUM($H31:BC31)-SUM($G32:BB32))*BC$13</f>
        <v>0</v>
      </c>
      <c r="BD32" s="96">
        <f>(SUM($H31:BD31)-SUM($G32:BC32))*BD$13</f>
        <v>12.499999999999972</v>
      </c>
      <c r="BE32" s="96">
        <f>(SUM($H31:BE31)-SUM($G32:BD32))*BE$13</f>
        <v>0</v>
      </c>
      <c r="BF32" s="96">
        <f>(SUM($H31:BF31)-SUM($G32:BE32))*BF$13</f>
        <v>0</v>
      </c>
      <c r="BG32" s="96">
        <f>(SUM($H31:BG31)-SUM($G32:BF32))*BG$13</f>
        <v>0</v>
      </c>
      <c r="BH32" s="96">
        <f>(SUM($H31:BH31)-SUM($G32:BG32))*BH$13</f>
        <v>0</v>
      </c>
      <c r="BI32" s="96">
        <f>(SUM($H31:BI31)-SUM($G32:BH32))*BI$13</f>
        <v>0</v>
      </c>
      <c r="BJ32" s="96">
        <f>(SUM($H31:BJ31)-SUM($G32:BI32))*BJ$13</f>
        <v>12.499999999999972</v>
      </c>
      <c r="BK32" s="96">
        <f>(SUM($H31:BK31)-SUM($G32:BJ32))*BK$13</f>
        <v>0</v>
      </c>
      <c r="BL32" s="96">
        <f>(SUM($H31:BL31)-SUM($G32:BK32))*BL$13</f>
        <v>0</v>
      </c>
      <c r="BM32" s="96">
        <f>(SUM($H31:BM31)-SUM($G32:BL32))*BM$13</f>
        <v>0</v>
      </c>
      <c r="BN32" s="96">
        <f>(SUM($H31:BN31)-SUM($G32:BM32))*BN$13</f>
        <v>0</v>
      </c>
      <c r="BO32" s="96">
        <f>(SUM($H31:BO31)-SUM($G32:BN32))*BO$13</f>
        <v>0</v>
      </c>
      <c r="BP32" s="96">
        <f>(SUM($H31:BP31)-SUM($G32:BO32))*BP$13</f>
        <v>12.499999999999972</v>
      </c>
      <c r="BQ32" s="96">
        <f>(SUM($H31:BQ31)-SUM($G32:BP32))*BQ$13</f>
        <v>0</v>
      </c>
      <c r="BR32" s="96">
        <f>(SUM($H31:BR31)-SUM($G32:BQ32))*BR$13</f>
        <v>0</v>
      </c>
      <c r="BS32" s="96">
        <f>(SUM($H31:BS31)-SUM($G32:BR32))*BS$13</f>
        <v>0</v>
      </c>
      <c r="BT32" s="96">
        <f>(SUM($H31:BT31)-SUM($G32:BS32))*BT$13</f>
        <v>0</v>
      </c>
      <c r="BU32" s="96">
        <f>(SUM($H31:BU31)-SUM($G32:BT32))*BU$13</f>
        <v>0</v>
      </c>
      <c r="BV32" s="96">
        <f>(SUM($H31:BV31)-SUM($G32:BU32))*BV$13</f>
        <v>0</v>
      </c>
      <c r="BW32" s="96">
        <f>(SUM($H31:BW31)-SUM($G32:BV32))*BW$13</f>
        <v>0</v>
      </c>
      <c r="BX32" s="96">
        <f>(SUM($H31:BX31)-SUM($G32:BW32))*BX$13</f>
        <v>0</v>
      </c>
      <c r="BY32" s="96">
        <f>(SUM($H31:BY31)-SUM($G32:BX32))*BY$13</f>
        <v>0</v>
      </c>
      <c r="BZ32" s="96">
        <f>(SUM($H31:BZ31)-SUM($G32:BY32))*BZ$13</f>
        <v>0</v>
      </c>
      <c r="CA32" s="96">
        <f>(SUM($H31:CA31)-SUM($G32:BZ32))*CA$13</f>
        <v>0</v>
      </c>
      <c r="CB32" s="96">
        <f>(SUM($H31:CB31)-SUM($G32:CA32))*CB$13</f>
        <v>0</v>
      </c>
      <c r="CC32" s="96">
        <f>(SUM($H31:CC31)-SUM($G32:CB32))*CC$13</f>
        <v>0</v>
      </c>
      <c r="CD32" s="96">
        <f>(SUM($H31:CD31)-SUM($G32:CC32))*CD$13</f>
        <v>0</v>
      </c>
      <c r="CE32" s="96">
        <f>(SUM($H31:CE31)-SUM($G32:CD32))*CE$13</f>
        <v>0</v>
      </c>
      <c r="CF32" s="96">
        <f>(SUM($H31:CF31)-SUM($G32:CE32))*CF$13</f>
        <v>0</v>
      </c>
      <c r="CG32" s="96">
        <f>(SUM($H31:CG31)-SUM($G32:CF32))*CG$13</f>
        <v>0</v>
      </c>
      <c r="CH32" s="96">
        <f>(SUM($H31:CH31)-SUM($G32:CG32))*CH$13</f>
        <v>0</v>
      </c>
      <c r="CI32" s="96">
        <f>(SUM($H31:CI31)-SUM($G32:CH32))*CI$13</f>
        <v>0</v>
      </c>
      <c r="CJ32" s="96">
        <f>(SUM($H31:CJ31)-SUM($G32:CI32))*CJ$13</f>
        <v>0</v>
      </c>
      <c r="CK32" s="96">
        <f>(SUM($H31:CK31)-SUM($G32:CJ32))*CK$13</f>
        <v>0</v>
      </c>
      <c r="CL32" s="96">
        <f>(SUM($H31:CL31)-SUM($G32:CK32))*CL$13</f>
        <v>0</v>
      </c>
      <c r="CM32" s="96">
        <f>(SUM($H31:CM31)-SUM($G32:CL32))*CM$13</f>
        <v>0</v>
      </c>
      <c r="CN32" s="96">
        <f>(SUM($H31:CN31)-SUM($G32:CM32))*CN$13</f>
        <v>0</v>
      </c>
      <c r="CO32" s="96">
        <f>(SUM($H31:CO31)-SUM($G32:CN32))*CO$13</f>
        <v>0</v>
      </c>
      <c r="CP32" s="96">
        <f>(SUM($H31:CP31)-SUM($G32:CO32))*CP$13</f>
        <v>0</v>
      </c>
      <c r="CQ32" s="96">
        <f>(SUM($H31:CQ31)-SUM($G32:CP32))*CQ$13</f>
        <v>0</v>
      </c>
      <c r="CR32" s="96">
        <f>(SUM($H31:CR31)-SUM($G32:CQ32))*CR$13</f>
        <v>0</v>
      </c>
      <c r="CS32" s="96">
        <f>(SUM($H31:CS31)-SUM($G32:CR32))*CS$13</f>
        <v>0</v>
      </c>
      <c r="CT32" s="96">
        <f>(SUM($H31:CT31)-SUM($G32:CS32))*CT$13</f>
        <v>0</v>
      </c>
      <c r="CU32" s="96">
        <f>(SUM($H31:CU31)-SUM($G32:CT32))*CU$13</f>
        <v>0</v>
      </c>
      <c r="CV32" s="96">
        <f>(SUM($H31:CV31)-SUM($G32:CU32))*CV$13</f>
        <v>0</v>
      </c>
      <c r="CW32" s="96">
        <f>(SUM($H31:CW31)-SUM($G32:CV32))*CW$13</f>
        <v>0</v>
      </c>
      <c r="CX32" s="96">
        <f>(SUM($H31:CX31)-SUM($G32:CW32))*CX$13</f>
        <v>0</v>
      </c>
      <c r="CY32" s="96">
        <f>(SUM($H31:CY31)-SUM($G32:CX32))*CY$13</f>
        <v>0</v>
      </c>
      <c r="CZ32" s="96">
        <f>(SUM($H31:CZ31)-SUM($G32:CY32))*CZ$13</f>
        <v>0</v>
      </c>
      <c r="DA32" s="96">
        <f>(SUM($H31:DA31)-SUM($G32:CZ32))*DA$13</f>
        <v>0</v>
      </c>
      <c r="DB32" s="96">
        <f>(SUM($H31:DB31)-SUM($G32:DA32))*DB$13</f>
        <v>0</v>
      </c>
    </row>
    <row r="34" spans="2:106">
      <c r="B34" s="2" t="str">
        <f>'A&amp;R'!U24</f>
        <v>Other Fees (Acc./Tax/etc.)</v>
      </c>
    </row>
    <row r="35" spans="2:106">
      <c r="C35" s="13" t="s">
        <v>218</v>
      </c>
      <c r="E35" s="119"/>
      <c r="F35" s="13">
        <f>SUM(H35:DB35)</f>
        <v>225</v>
      </c>
      <c r="H35" s="13">
        <f>'A&amp;R'!$X$24/12*H$11</f>
        <v>0</v>
      </c>
      <c r="I35" s="13">
        <f>'A&amp;R'!$X$24/12*I$11</f>
        <v>3.75</v>
      </c>
      <c r="J35" s="13">
        <f>'A&amp;R'!$X$24/12*J$11</f>
        <v>3.75</v>
      </c>
      <c r="K35" s="13">
        <f>'A&amp;R'!$X$24/12*K$11</f>
        <v>3.75</v>
      </c>
      <c r="L35" s="13">
        <f>'A&amp;R'!$X$24/12*L$11</f>
        <v>3.75</v>
      </c>
      <c r="M35" s="13">
        <f>'A&amp;R'!$X$24/12*M$11</f>
        <v>3.75</v>
      </c>
      <c r="N35" s="13">
        <f>'A&amp;R'!$X$24/12*N$11</f>
        <v>3.75</v>
      </c>
      <c r="O35" s="13">
        <f>'A&amp;R'!$X$24/12*O$11</f>
        <v>3.75</v>
      </c>
      <c r="P35" s="13">
        <f>'A&amp;R'!$X$24/12*P$11</f>
        <v>3.75</v>
      </c>
      <c r="Q35" s="13">
        <f>'A&amp;R'!$X$24/12*Q$11</f>
        <v>3.75</v>
      </c>
      <c r="R35" s="13">
        <f>'A&amp;R'!$X$24/12*R$11</f>
        <v>3.75</v>
      </c>
      <c r="S35" s="13">
        <f>'A&amp;R'!$X$24/12*S$11</f>
        <v>3.75</v>
      </c>
      <c r="T35" s="13">
        <f>'A&amp;R'!$X$24/12*T$11</f>
        <v>3.75</v>
      </c>
      <c r="U35" s="13">
        <f>'A&amp;R'!$X$24/12*U$11</f>
        <v>3.75</v>
      </c>
      <c r="V35" s="13">
        <f>'A&amp;R'!$X$24/12*V$11</f>
        <v>3.75</v>
      </c>
      <c r="W35" s="13">
        <f>'A&amp;R'!$X$24/12*W$11</f>
        <v>3.75</v>
      </c>
      <c r="X35" s="13">
        <f>'A&amp;R'!$X$24/12*X$11</f>
        <v>3.75</v>
      </c>
      <c r="Y35" s="13">
        <f>'A&amp;R'!$X$24/12*Y$11</f>
        <v>3.75</v>
      </c>
      <c r="Z35" s="13">
        <f>'A&amp;R'!$X$24/12*Z$11</f>
        <v>3.75</v>
      </c>
      <c r="AA35" s="13">
        <f>'A&amp;R'!$X$24/12*AA$11</f>
        <v>3.75</v>
      </c>
      <c r="AB35" s="13">
        <f>'A&amp;R'!$X$24/12*AB$11</f>
        <v>3.75</v>
      </c>
      <c r="AC35" s="13">
        <f>'A&amp;R'!$X$24/12*AC$11</f>
        <v>3.75</v>
      </c>
      <c r="AD35" s="13">
        <f>'A&amp;R'!$X$24/12*AD$11</f>
        <v>3.75</v>
      </c>
      <c r="AE35" s="13">
        <f>'A&amp;R'!$X$24/12*AE$11</f>
        <v>3.75</v>
      </c>
      <c r="AF35" s="13">
        <f>'A&amp;R'!$X$24/12*AF$11</f>
        <v>3.75</v>
      </c>
      <c r="AG35" s="13">
        <f>'A&amp;R'!$X$24/12*AG$11</f>
        <v>3.75</v>
      </c>
      <c r="AH35" s="13">
        <f>'A&amp;R'!$X$24/12*AH$11</f>
        <v>3.75</v>
      </c>
      <c r="AI35" s="13">
        <f>'A&amp;R'!$X$24/12*AI$11</f>
        <v>3.75</v>
      </c>
      <c r="AJ35" s="13">
        <f>'A&amp;R'!$X$24/12*AJ$11</f>
        <v>3.75</v>
      </c>
      <c r="AK35" s="13">
        <f>'A&amp;R'!$X$24/12*AK$11</f>
        <v>3.75</v>
      </c>
      <c r="AL35" s="13">
        <f>'A&amp;R'!$X$24/12*AL$11</f>
        <v>3.75</v>
      </c>
      <c r="AM35" s="13">
        <f>'A&amp;R'!$X$24/12*AM$11</f>
        <v>3.75</v>
      </c>
      <c r="AN35" s="13">
        <f>'A&amp;R'!$X$24/12*AN$11</f>
        <v>3.75</v>
      </c>
      <c r="AO35" s="13">
        <f>'A&amp;R'!$X$24/12*AO$11</f>
        <v>3.75</v>
      </c>
      <c r="AP35" s="13">
        <f>'A&amp;R'!$X$24/12*AP$11</f>
        <v>3.75</v>
      </c>
      <c r="AQ35" s="13">
        <f>'A&amp;R'!$X$24/12*AQ$11</f>
        <v>3.75</v>
      </c>
      <c r="AR35" s="13">
        <f>'A&amp;R'!$X$24/12*AR$11</f>
        <v>3.75</v>
      </c>
      <c r="AS35" s="13">
        <f>'A&amp;R'!$X$24/12*AS$11</f>
        <v>3.75</v>
      </c>
      <c r="AT35" s="13">
        <f>'A&amp;R'!$X$24/12*AT$11</f>
        <v>3.75</v>
      </c>
      <c r="AU35" s="13">
        <f>'A&amp;R'!$X$24/12*AU$11</f>
        <v>3.75</v>
      </c>
      <c r="AV35" s="13">
        <f>'A&amp;R'!$X$24/12*AV$11</f>
        <v>3.75</v>
      </c>
      <c r="AW35" s="13">
        <f>'A&amp;R'!$X$24/12*AW$11</f>
        <v>3.75</v>
      </c>
      <c r="AX35" s="13">
        <f>'A&amp;R'!$X$24/12*AX$11</f>
        <v>3.75</v>
      </c>
      <c r="AY35" s="13">
        <f>'A&amp;R'!$X$24/12*AY$11</f>
        <v>3.75</v>
      </c>
      <c r="AZ35" s="13">
        <f>'A&amp;R'!$X$24/12*AZ$11</f>
        <v>3.75</v>
      </c>
      <c r="BA35" s="13">
        <f>'A&amp;R'!$X$24/12*BA$11</f>
        <v>3.75</v>
      </c>
      <c r="BB35" s="13">
        <f>'A&amp;R'!$X$24/12*BB$11</f>
        <v>3.75</v>
      </c>
      <c r="BC35" s="13">
        <f>'A&amp;R'!$X$24/12*BC$11</f>
        <v>3.75</v>
      </c>
      <c r="BD35" s="13">
        <f>'A&amp;R'!$X$24/12*BD$11</f>
        <v>3.75</v>
      </c>
      <c r="BE35" s="13">
        <f>'A&amp;R'!$X$24/12*BE$11</f>
        <v>3.75</v>
      </c>
      <c r="BF35" s="13">
        <f>'A&amp;R'!$X$24/12*BF$11</f>
        <v>3.75</v>
      </c>
      <c r="BG35" s="13">
        <f>'A&amp;R'!$X$24/12*BG$11</f>
        <v>3.75</v>
      </c>
      <c r="BH35" s="13">
        <f>'A&amp;R'!$X$24/12*BH$11</f>
        <v>3.75</v>
      </c>
      <c r="BI35" s="13">
        <f>'A&amp;R'!$X$24/12*BI$11</f>
        <v>3.75</v>
      </c>
      <c r="BJ35" s="13">
        <f>'A&amp;R'!$X$24/12*BJ$11</f>
        <v>3.75</v>
      </c>
      <c r="BK35" s="13">
        <f>'A&amp;R'!$X$24/12*BK$11</f>
        <v>3.75</v>
      </c>
      <c r="BL35" s="13">
        <f>'A&amp;R'!$X$24/12*BL$11</f>
        <v>3.75</v>
      </c>
      <c r="BM35" s="13">
        <f>'A&amp;R'!$X$24/12*BM$11</f>
        <v>3.75</v>
      </c>
      <c r="BN35" s="13">
        <f>'A&amp;R'!$X$24/12*BN$11</f>
        <v>3.75</v>
      </c>
      <c r="BO35" s="13">
        <f>'A&amp;R'!$X$24/12*BO$11</f>
        <v>3.75</v>
      </c>
      <c r="BP35" s="13">
        <f>'A&amp;R'!$X$24/12*BP$11</f>
        <v>3.75</v>
      </c>
      <c r="BQ35" s="13">
        <f>'A&amp;R'!$X$24/12*BQ$11</f>
        <v>0</v>
      </c>
      <c r="BR35" s="13">
        <f>'A&amp;R'!$X$24/12*BR$11</f>
        <v>0</v>
      </c>
      <c r="BS35" s="13">
        <f>'A&amp;R'!$X$24/12*BS$11</f>
        <v>0</v>
      </c>
      <c r="BT35" s="13">
        <f>'A&amp;R'!$X$24/12*BT$11</f>
        <v>0</v>
      </c>
      <c r="BU35" s="13">
        <f>'A&amp;R'!$X$24/12*BU$11</f>
        <v>0</v>
      </c>
      <c r="BV35" s="13">
        <f>'A&amp;R'!$X$24/12*BV$11</f>
        <v>0</v>
      </c>
      <c r="BW35" s="13">
        <f>'A&amp;R'!$X$24/12*BW$11</f>
        <v>0</v>
      </c>
      <c r="BX35" s="13">
        <f>'A&amp;R'!$X$24/12*BX$11</f>
        <v>0</v>
      </c>
      <c r="BY35" s="13">
        <f>'A&amp;R'!$X$24/12*BY$11</f>
        <v>0</v>
      </c>
      <c r="BZ35" s="13">
        <f>'A&amp;R'!$X$24/12*BZ$11</f>
        <v>0</v>
      </c>
      <c r="CA35" s="13">
        <f>'A&amp;R'!$X$24/12*CA$11</f>
        <v>0</v>
      </c>
      <c r="CB35" s="13">
        <f>'A&amp;R'!$X$24/12*CB$11</f>
        <v>0</v>
      </c>
      <c r="CC35" s="13">
        <f>'A&amp;R'!$X$24/12*CC$11</f>
        <v>0</v>
      </c>
      <c r="CD35" s="13">
        <f>'A&amp;R'!$X$24/12*CD$11</f>
        <v>0</v>
      </c>
      <c r="CE35" s="13">
        <f>'A&amp;R'!$X$24/12*CE$11</f>
        <v>0</v>
      </c>
      <c r="CF35" s="13">
        <f>'A&amp;R'!$X$24/12*CF$11</f>
        <v>0</v>
      </c>
      <c r="CG35" s="13">
        <f>'A&amp;R'!$X$24/12*CG$11</f>
        <v>0</v>
      </c>
      <c r="CH35" s="13">
        <f>'A&amp;R'!$X$24/12*CH$11</f>
        <v>0</v>
      </c>
      <c r="CI35" s="13">
        <f>'A&amp;R'!$X$24/12*CI$11</f>
        <v>0</v>
      </c>
      <c r="CJ35" s="13">
        <f>'A&amp;R'!$X$24/12*CJ$11</f>
        <v>0</v>
      </c>
      <c r="CK35" s="13">
        <f>'A&amp;R'!$X$24/12*CK$11</f>
        <v>0</v>
      </c>
      <c r="CL35" s="13">
        <f>'A&amp;R'!$X$24/12*CL$11</f>
        <v>0</v>
      </c>
      <c r="CM35" s="13">
        <f>'A&amp;R'!$X$24/12*CM$11</f>
        <v>0</v>
      </c>
      <c r="CN35" s="13">
        <f>'A&amp;R'!$X$24/12*CN$11</f>
        <v>0</v>
      </c>
      <c r="CO35" s="13">
        <f>'A&amp;R'!$X$24/12*CO$11</f>
        <v>0</v>
      </c>
      <c r="CP35" s="13">
        <f>'A&amp;R'!$X$24/12*CP$11</f>
        <v>0</v>
      </c>
      <c r="CQ35" s="13">
        <f>'A&amp;R'!$X$24/12*CQ$11</f>
        <v>0</v>
      </c>
      <c r="CR35" s="13">
        <f>'A&amp;R'!$X$24/12*CR$11</f>
        <v>0</v>
      </c>
      <c r="CS35" s="13">
        <f>'A&amp;R'!$X$24/12*CS$11</f>
        <v>0</v>
      </c>
      <c r="CT35" s="13">
        <f>'A&amp;R'!$X$24/12*CT$11</f>
        <v>0</v>
      </c>
      <c r="CU35" s="13">
        <f>'A&amp;R'!$X$24/12*CU$11</f>
        <v>0</v>
      </c>
      <c r="CV35" s="13">
        <f>'A&amp;R'!$X$24/12*CV$11</f>
        <v>0</v>
      </c>
      <c r="CW35" s="13">
        <f>'A&amp;R'!$X$24/12*CW$11</f>
        <v>0</v>
      </c>
      <c r="CX35" s="13">
        <f>'A&amp;R'!$X$24/12*CX$11</f>
        <v>0</v>
      </c>
      <c r="CY35" s="13">
        <f>'A&amp;R'!$X$24/12*CY$11</f>
        <v>0</v>
      </c>
      <c r="CZ35" s="13">
        <f>'A&amp;R'!$X$24/12*CZ$11</f>
        <v>0</v>
      </c>
      <c r="DA35" s="13">
        <f>'A&amp;R'!$X$24/12*DA$11</f>
        <v>0</v>
      </c>
      <c r="DB35" s="13">
        <f>'A&amp;R'!$X$24/12*DB$11</f>
        <v>0</v>
      </c>
    </row>
    <row r="36" spans="2:106">
      <c r="C36" s="96" t="s">
        <v>217</v>
      </c>
      <c r="D36" s="143" t="b">
        <f>ABS(F35-F36)&lt;0.001</f>
        <v>1</v>
      </c>
      <c r="E36" s="96"/>
      <c r="F36" s="96">
        <f>SUM(H36:DB36)</f>
        <v>225</v>
      </c>
      <c r="G36" s="96"/>
      <c r="H36" s="144">
        <f>(SUM($H35:H35)-SUM($G36:G36))*H$13</f>
        <v>0</v>
      </c>
      <c r="I36" s="96">
        <f>(SUM($H35:I35)-SUM($G36:H36))*I$13</f>
        <v>0</v>
      </c>
      <c r="J36" s="96">
        <f>(SUM($H35:J35)-SUM($G36:I36))*J$13</f>
        <v>0</v>
      </c>
      <c r="K36" s="96">
        <f>(SUM($H35:K35)-SUM($G36:J36))*K$13</f>
        <v>0</v>
      </c>
      <c r="L36" s="96">
        <f>(SUM($H35:L35)-SUM($G36:K36))*L$13</f>
        <v>0</v>
      </c>
      <c r="M36" s="96">
        <f>(SUM($H35:M35)-SUM($G36:L36))*M$13</f>
        <v>0</v>
      </c>
      <c r="N36" s="96">
        <f>(SUM($H35:N35)-SUM($G36:M36))*N$13</f>
        <v>22.5</v>
      </c>
      <c r="O36" s="96">
        <f>(SUM($H35:O35)-SUM($G36:N36))*O$13</f>
        <v>0</v>
      </c>
      <c r="P36" s="96">
        <f>(SUM($H35:P35)-SUM($G36:O36))*P$13</f>
        <v>0</v>
      </c>
      <c r="Q36" s="96">
        <f>(SUM($H35:Q35)-SUM($G36:P36))*Q$13</f>
        <v>0</v>
      </c>
      <c r="R36" s="96">
        <f>(SUM($H35:R35)-SUM($G36:Q36))*R$13</f>
        <v>0</v>
      </c>
      <c r="S36" s="96">
        <f>(SUM($H35:S35)-SUM($G36:R36))*S$13</f>
        <v>0</v>
      </c>
      <c r="T36" s="96">
        <f>(SUM($H35:T35)-SUM($G36:S36))*T$13</f>
        <v>22.5</v>
      </c>
      <c r="U36" s="96">
        <f>(SUM($H35:U35)-SUM($G36:T36))*U$13</f>
        <v>0</v>
      </c>
      <c r="V36" s="96">
        <f>(SUM($H35:V35)-SUM($G36:U36))*V$13</f>
        <v>0</v>
      </c>
      <c r="W36" s="96">
        <f>(SUM($H35:W35)-SUM($G36:V36))*W$13</f>
        <v>0</v>
      </c>
      <c r="X36" s="96">
        <f>(SUM($H35:X35)-SUM($G36:W36))*X$13</f>
        <v>0</v>
      </c>
      <c r="Y36" s="96">
        <f>(SUM($H35:Y35)-SUM($G36:X36))*Y$13</f>
        <v>0</v>
      </c>
      <c r="Z36" s="96">
        <f>(SUM($H35:Z35)-SUM($G36:Y36))*Z$13</f>
        <v>22.5</v>
      </c>
      <c r="AA36" s="96">
        <f>(SUM($H35:AA35)-SUM($G36:Z36))*AA$13</f>
        <v>0</v>
      </c>
      <c r="AB36" s="96">
        <f>(SUM($H35:AB35)-SUM($G36:AA36))*AB$13</f>
        <v>0</v>
      </c>
      <c r="AC36" s="96">
        <f>(SUM($H35:AC35)-SUM($G36:AB36))*AC$13</f>
        <v>0</v>
      </c>
      <c r="AD36" s="96">
        <f>(SUM($H35:AD35)-SUM($G36:AC36))*AD$13</f>
        <v>0</v>
      </c>
      <c r="AE36" s="96">
        <f>(SUM($H35:AE35)-SUM($G36:AD36))*AE$13</f>
        <v>0</v>
      </c>
      <c r="AF36" s="96">
        <f>(SUM($H35:AF35)-SUM($G36:AE36))*AF$13</f>
        <v>22.5</v>
      </c>
      <c r="AG36" s="96">
        <f>(SUM($H35:AG35)-SUM($G36:AF36))*AG$13</f>
        <v>0</v>
      </c>
      <c r="AH36" s="96">
        <f>(SUM($H35:AH35)-SUM($G36:AG36))*AH$13</f>
        <v>0</v>
      </c>
      <c r="AI36" s="96">
        <f>(SUM($H35:AI35)-SUM($G36:AH36))*AI$13</f>
        <v>0</v>
      </c>
      <c r="AJ36" s="96">
        <f>(SUM($H35:AJ35)-SUM($G36:AI36))*AJ$13</f>
        <v>0</v>
      </c>
      <c r="AK36" s="96">
        <f>(SUM($H35:AK35)-SUM($G36:AJ36))*AK$13</f>
        <v>0</v>
      </c>
      <c r="AL36" s="96">
        <f>(SUM($H35:AL35)-SUM($G36:AK36))*AL$13</f>
        <v>22.5</v>
      </c>
      <c r="AM36" s="96">
        <f>(SUM($H35:AM35)-SUM($G36:AL36))*AM$13</f>
        <v>0</v>
      </c>
      <c r="AN36" s="96">
        <f>(SUM($H35:AN35)-SUM($G36:AM36))*AN$13</f>
        <v>0</v>
      </c>
      <c r="AO36" s="96">
        <f>(SUM($H35:AO35)-SUM($G36:AN36))*AO$13</f>
        <v>0</v>
      </c>
      <c r="AP36" s="96">
        <f>(SUM($H35:AP35)-SUM($G36:AO36))*AP$13</f>
        <v>0</v>
      </c>
      <c r="AQ36" s="96">
        <f>(SUM($H35:AQ35)-SUM($G36:AP36))*AQ$13</f>
        <v>0</v>
      </c>
      <c r="AR36" s="96">
        <f>(SUM($H35:AR35)-SUM($G36:AQ36))*AR$13</f>
        <v>22.5</v>
      </c>
      <c r="AS36" s="96">
        <f>(SUM($H35:AS35)-SUM($G36:AR36))*AS$13</f>
        <v>0</v>
      </c>
      <c r="AT36" s="96">
        <f>(SUM($H35:AT35)-SUM($G36:AS36))*AT$13</f>
        <v>0</v>
      </c>
      <c r="AU36" s="96">
        <f>(SUM($H35:AU35)-SUM($G36:AT36))*AU$13</f>
        <v>0</v>
      </c>
      <c r="AV36" s="96">
        <f>(SUM($H35:AV35)-SUM($G36:AU36))*AV$13</f>
        <v>0</v>
      </c>
      <c r="AW36" s="96">
        <f>(SUM($H35:AW35)-SUM($G36:AV36))*AW$13</f>
        <v>0</v>
      </c>
      <c r="AX36" s="96">
        <f>(SUM($H35:AX35)-SUM($G36:AW36))*AX$13</f>
        <v>22.5</v>
      </c>
      <c r="AY36" s="96">
        <f>(SUM($H35:AY35)-SUM($G36:AX36))*AY$13</f>
        <v>0</v>
      </c>
      <c r="AZ36" s="96">
        <f>(SUM($H35:AZ35)-SUM($G36:AY36))*AZ$13</f>
        <v>0</v>
      </c>
      <c r="BA36" s="96">
        <f>(SUM($H35:BA35)-SUM($G36:AZ36))*BA$13</f>
        <v>0</v>
      </c>
      <c r="BB36" s="96">
        <f>(SUM($H35:BB35)-SUM($G36:BA36))*BB$13</f>
        <v>0</v>
      </c>
      <c r="BC36" s="96">
        <f>(SUM($H35:BC35)-SUM($G36:BB36))*BC$13</f>
        <v>0</v>
      </c>
      <c r="BD36" s="96">
        <f>(SUM($H35:BD35)-SUM($G36:BC36))*BD$13</f>
        <v>22.5</v>
      </c>
      <c r="BE36" s="96">
        <f>(SUM($H35:BE35)-SUM($G36:BD36))*BE$13</f>
        <v>0</v>
      </c>
      <c r="BF36" s="96">
        <f>(SUM($H35:BF35)-SUM($G36:BE36))*BF$13</f>
        <v>0</v>
      </c>
      <c r="BG36" s="96">
        <f>(SUM($H35:BG35)-SUM($G36:BF36))*BG$13</f>
        <v>0</v>
      </c>
      <c r="BH36" s="96">
        <f>(SUM($H35:BH35)-SUM($G36:BG36))*BH$13</f>
        <v>0</v>
      </c>
      <c r="BI36" s="96">
        <f>(SUM($H35:BI35)-SUM($G36:BH36))*BI$13</f>
        <v>0</v>
      </c>
      <c r="BJ36" s="96">
        <f>(SUM($H35:BJ35)-SUM($G36:BI36))*BJ$13</f>
        <v>22.5</v>
      </c>
      <c r="BK36" s="96">
        <f>(SUM($H35:BK35)-SUM($G36:BJ36))*BK$13</f>
        <v>0</v>
      </c>
      <c r="BL36" s="96">
        <f>(SUM($H35:BL35)-SUM($G36:BK36))*BL$13</f>
        <v>0</v>
      </c>
      <c r="BM36" s="96">
        <f>(SUM($H35:BM35)-SUM($G36:BL36))*BM$13</f>
        <v>0</v>
      </c>
      <c r="BN36" s="96">
        <f>(SUM($H35:BN35)-SUM($G36:BM36))*BN$13</f>
        <v>0</v>
      </c>
      <c r="BO36" s="96">
        <f>(SUM($H35:BO35)-SUM($G36:BN36))*BO$13</f>
        <v>0</v>
      </c>
      <c r="BP36" s="96">
        <f>(SUM($H35:BP35)-SUM($G36:BO36))*BP$13</f>
        <v>22.5</v>
      </c>
      <c r="BQ36" s="96">
        <f>(SUM($H35:BQ35)-SUM($G36:BP36))*BQ$13</f>
        <v>0</v>
      </c>
      <c r="BR36" s="96">
        <f>(SUM($H35:BR35)-SUM($G36:BQ36))*BR$13</f>
        <v>0</v>
      </c>
      <c r="BS36" s="96">
        <f>(SUM($H35:BS35)-SUM($G36:BR36))*BS$13</f>
        <v>0</v>
      </c>
      <c r="BT36" s="96">
        <f>(SUM($H35:BT35)-SUM($G36:BS36))*BT$13</f>
        <v>0</v>
      </c>
      <c r="BU36" s="96">
        <f>(SUM($H35:BU35)-SUM($G36:BT36))*BU$13</f>
        <v>0</v>
      </c>
      <c r="BV36" s="96">
        <f>(SUM($H35:BV35)-SUM($G36:BU36))*BV$13</f>
        <v>0</v>
      </c>
      <c r="BW36" s="96">
        <f>(SUM($H35:BW35)-SUM($G36:BV36))*BW$13</f>
        <v>0</v>
      </c>
      <c r="BX36" s="96">
        <f>(SUM($H35:BX35)-SUM($G36:BW36))*BX$13</f>
        <v>0</v>
      </c>
      <c r="BY36" s="96">
        <f>(SUM($H35:BY35)-SUM($G36:BX36))*BY$13</f>
        <v>0</v>
      </c>
      <c r="BZ36" s="96">
        <f>(SUM($H35:BZ35)-SUM($G36:BY36))*BZ$13</f>
        <v>0</v>
      </c>
      <c r="CA36" s="96">
        <f>(SUM($H35:CA35)-SUM($G36:BZ36))*CA$13</f>
        <v>0</v>
      </c>
      <c r="CB36" s="96">
        <f>(SUM($H35:CB35)-SUM($G36:CA36))*CB$13</f>
        <v>0</v>
      </c>
      <c r="CC36" s="96">
        <f>(SUM($H35:CC35)-SUM($G36:CB36))*CC$13</f>
        <v>0</v>
      </c>
      <c r="CD36" s="96">
        <f>(SUM($H35:CD35)-SUM($G36:CC36))*CD$13</f>
        <v>0</v>
      </c>
      <c r="CE36" s="96">
        <f>(SUM($H35:CE35)-SUM($G36:CD36))*CE$13</f>
        <v>0</v>
      </c>
      <c r="CF36" s="96">
        <f>(SUM($H35:CF35)-SUM($G36:CE36))*CF$13</f>
        <v>0</v>
      </c>
      <c r="CG36" s="96">
        <f>(SUM($H35:CG35)-SUM($G36:CF36))*CG$13</f>
        <v>0</v>
      </c>
      <c r="CH36" s="96">
        <f>(SUM($H35:CH35)-SUM($G36:CG36))*CH$13</f>
        <v>0</v>
      </c>
      <c r="CI36" s="96">
        <f>(SUM($H35:CI35)-SUM($G36:CH36))*CI$13</f>
        <v>0</v>
      </c>
      <c r="CJ36" s="96">
        <f>(SUM($H35:CJ35)-SUM($G36:CI36))*CJ$13</f>
        <v>0</v>
      </c>
      <c r="CK36" s="96">
        <f>(SUM($H35:CK35)-SUM($G36:CJ36))*CK$13</f>
        <v>0</v>
      </c>
      <c r="CL36" s="96">
        <f>(SUM($H35:CL35)-SUM($G36:CK36))*CL$13</f>
        <v>0</v>
      </c>
      <c r="CM36" s="96">
        <f>(SUM($H35:CM35)-SUM($G36:CL36))*CM$13</f>
        <v>0</v>
      </c>
      <c r="CN36" s="96">
        <f>(SUM($H35:CN35)-SUM($G36:CM36))*CN$13</f>
        <v>0</v>
      </c>
      <c r="CO36" s="96">
        <f>(SUM($H35:CO35)-SUM($G36:CN36))*CO$13</f>
        <v>0</v>
      </c>
      <c r="CP36" s="96">
        <f>(SUM($H35:CP35)-SUM($G36:CO36))*CP$13</f>
        <v>0</v>
      </c>
      <c r="CQ36" s="96">
        <f>(SUM($H35:CQ35)-SUM($G36:CP36))*CQ$13</f>
        <v>0</v>
      </c>
      <c r="CR36" s="96">
        <f>(SUM($H35:CR35)-SUM($G36:CQ36))*CR$13</f>
        <v>0</v>
      </c>
      <c r="CS36" s="96">
        <f>(SUM($H35:CS35)-SUM($G36:CR36))*CS$13</f>
        <v>0</v>
      </c>
      <c r="CT36" s="96">
        <f>(SUM($H35:CT35)-SUM($G36:CS36))*CT$13</f>
        <v>0</v>
      </c>
      <c r="CU36" s="96">
        <f>(SUM($H35:CU35)-SUM($G36:CT36))*CU$13</f>
        <v>0</v>
      </c>
      <c r="CV36" s="96">
        <f>(SUM($H35:CV35)-SUM($G36:CU36))*CV$13</f>
        <v>0</v>
      </c>
      <c r="CW36" s="96">
        <f>(SUM($H35:CW35)-SUM($G36:CV36))*CW$13</f>
        <v>0</v>
      </c>
      <c r="CX36" s="96">
        <f>(SUM($H35:CX35)-SUM($G36:CW36))*CX$13</f>
        <v>0</v>
      </c>
      <c r="CY36" s="96">
        <f>(SUM($H35:CY35)-SUM($G36:CX36))*CY$13</f>
        <v>0</v>
      </c>
      <c r="CZ36" s="96">
        <f>(SUM($H35:CZ35)-SUM($G36:CY36))*CZ$13</f>
        <v>0</v>
      </c>
      <c r="DA36" s="96">
        <f>(SUM($H35:DA35)-SUM($G36:CZ36))*DA$13</f>
        <v>0</v>
      </c>
      <c r="DB36" s="96">
        <f>(SUM($H35:DB35)-SUM($G36:DA36))*DB$13</f>
        <v>0</v>
      </c>
    </row>
    <row r="38" spans="2:106">
      <c r="B38" s="145" t="s">
        <v>220</v>
      </c>
      <c r="C38" s="145"/>
      <c r="D38" s="145"/>
      <c r="E38" s="145"/>
      <c r="F38" s="145">
        <f>SUM(H38:DB38)</f>
        <v>2849.9999999999982</v>
      </c>
      <c r="G38" s="145"/>
      <c r="H38" s="145">
        <f>H$20+H$24+H$28+H$32+H$36</f>
        <v>0</v>
      </c>
      <c r="I38" s="145">
        <f t="shared" ref="I38:BT38" si="10">I$20+I$24+I$28+I$32+I$36</f>
        <v>0</v>
      </c>
      <c r="J38" s="145">
        <f t="shared" si="10"/>
        <v>0</v>
      </c>
      <c r="K38" s="145">
        <f t="shared" si="10"/>
        <v>0</v>
      </c>
      <c r="L38" s="145">
        <f t="shared" si="10"/>
        <v>0</v>
      </c>
      <c r="M38" s="145">
        <f t="shared" si="10"/>
        <v>0</v>
      </c>
      <c r="N38" s="145">
        <f t="shared" si="10"/>
        <v>285.00000000000006</v>
      </c>
      <c r="O38" s="145">
        <f t="shared" si="10"/>
        <v>0</v>
      </c>
      <c r="P38" s="145">
        <f t="shared" si="10"/>
        <v>0</v>
      </c>
      <c r="Q38" s="145">
        <f t="shared" si="10"/>
        <v>0</v>
      </c>
      <c r="R38" s="145">
        <f t="shared" si="10"/>
        <v>0</v>
      </c>
      <c r="S38" s="145">
        <f t="shared" si="10"/>
        <v>0</v>
      </c>
      <c r="T38" s="145">
        <f t="shared" si="10"/>
        <v>284.99999999999989</v>
      </c>
      <c r="U38" s="145">
        <f t="shared" si="10"/>
        <v>0</v>
      </c>
      <c r="V38" s="145">
        <f t="shared" si="10"/>
        <v>0</v>
      </c>
      <c r="W38" s="145">
        <f t="shared" si="10"/>
        <v>0</v>
      </c>
      <c r="X38" s="145">
        <f t="shared" si="10"/>
        <v>0</v>
      </c>
      <c r="Y38" s="145">
        <f t="shared" si="10"/>
        <v>0</v>
      </c>
      <c r="Z38" s="145">
        <f t="shared" si="10"/>
        <v>285.00000000000006</v>
      </c>
      <c r="AA38" s="145">
        <f t="shared" si="10"/>
        <v>0</v>
      </c>
      <c r="AB38" s="145">
        <f t="shared" si="10"/>
        <v>0</v>
      </c>
      <c r="AC38" s="145">
        <f t="shared" si="10"/>
        <v>0</v>
      </c>
      <c r="AD38" s="145">
        <f t="shared" si="10"/>
        <v>0</v>
      </c>
      <c r="AE38" s="145">
        <f t="shared" si="10"/>
        <v>0</v>
      </c>
      <c r="AF38" s="145">
        <f t="shared" si="10"/>
        <v>285.00000000000023</v>
      </c>
      <c r="AG38" s="145">
        <f t="shared" si="10"/>
        <v>0</v>
      </c>
      <c r="AH38" s="145">
        <f t="shared" si="10"/>
        <v>0</v>
      </c>
      <c r="AI38" s="145">
        <f t="shared" si="10"/>
        <v>0</v>
      </c>
      <c r="AJ38" s="145">
        <f t="shared" si="10"/>
        <v>0</v>
      </c>
      <c r="AK38" s="145">
        <f t="shared" si="10"/>
        <v>0</v>
      </c>
      <c r="AL38" s="145">
        <f t="shared" si="10"/>
        <v>285.00000000000023</v>
      </c>
      <c r="AM38" s="145">
        <f t="shared" si="10"/>
        <v>0</v>
      </c>
      <c r="AN38" s="145">
        <f t="shared" si="10"/>
        <v>0</v>
      </c>
      <c r="AO38" s="145">
        <f t="shared" si="10"/>
        <v>0</v>
      </c>
      <c r="AP38" s="145">
        <f t="shared" si="10"/>
        <v>0</v>
      </c>
      <c r="AQ38" s="145">
        <f t="shared" si="10"/>
        <v>0</v>
      </c>
      <c r="AR38" s="145">
        <f t="shared" si="10"/>
        <v>284.99999999999949</v>
      </c>
      <c r="AS38" s="145">
        <f t="shared" si="10"/>
        <v>0</v>
      </c>
      <c r="AT38" s="145">
        <f t="shared" si="10"/>
        <v>0</v>
      </c>
      <c r="AU38" s="145">
        <f t="shared" si="10"/>
        <v>0</v>
      </c>
      <c r="AV38" s="145">
        <f t="shared" si="10"/>
        <v>0</v>
      </c>
      <c r="AW38" s="145">
        <f t="shared" si="10"/>
        <v>0</v>
      </c>
      <c r="AX38" s="145">
        <f t="shared" si="10"/>
        <v>284.99999999999955</v>
      </c>
      <c r="AY38" s="145">
        <f t="shared" si="10"/>
        <v>0</v>
      </c>
      <c r="AZ38" s="145">
        <f t="shared" si="10"/>
        <v>0</v>
      </c>
      <c r="BA38" s="145">
        <f t="shared" si="10"/>
        <v>0</v>
      </c>
      <c r="BB38" s="145">
        <f t="shared" si="10"/>
        <v>0</v>
      </c>
      <c r="BC38" s="145">
        <f t="shared" si="10"/>
        <v>0</v>
      </c>
      <c r="BD38" s="145">
        <f t="shared" si="10"/>
        <v>284.99999999999955</v>
      </c>
      <c r="BE38" s="145">
        <f t="shared" si="10"/>
        <v>0</v>
      </c>
      <c r="BF38" s="145">
        <f t="shared" si="10"/>
        <v>0</v>
      </c>
      <c r="BG38" s="145">
        <f t="shared" si="10"/>
        <v>0</v>
      </c>
      <c r="BH38" s="145">
        <f t="shared" si="10"/>
        <v>0</v>
      </c>
      <c r="BI38" s="145">
        <f t="shared" si="10"/>
        <v>0</v>
      </c>
      <c r="BJ38" s="145">
        <f t="shared" si="10"/>
        <v>284.99999999999955</v>
      </c>
      <c r="BK38" s="145">
        <f t="shared" si="10"/>
        <v>0</v>
      </c>
      <c r="BL38" s="145">
        <f t="shared" si="10"/>
        <v>0</v>
      </c>
      <c r="BM38" s="145">
        <f t="shared" si="10"/>
        <v>0</v>
      </c>
      <c r="BN38" s="145">
        <f t="shared" si="10"/>
        <v>0</v>
      </c>
      <c r="BO38" s="145">
        <f t="shared" si="10"/>
        <v>0</v>
      </c>
      <c r="BP38" s="145">
        <f t="shared" si="10"/>
        <v>284.99999999999955</v>
      </c>
      <c r="BQ38" s="145">
        <f t="shared" si="10"/>
        <v>0</v>
      </c>
      <c r="BR38" s="145">
        <f t="shared" si="10"/>
        <v>0</v>
      </c>
      <c r="BS38" s="145">
        <f t="shared" si="10"/>
        <v>0</v>
      </c>
      <c r="BT38" s="145">
        <f t="shared" si="10"/>
        <v>0</v>
      </c>
      <c r="BU38" s="145">
        <f t="shared" ref="BU38:DB38" si="11">BU$20+BU$24+BU$28+BU$32+BU$36</f>
        <v>0</v>
      </c>
      <c r="BV38" s="145">
        <f t="shared" si="11"/>
        <v>0</v>
      </c>
      <c r="BW38" s="145">
        <f t="shared" si="11"/>
        <v>0</v>
      </c>
      <c r="BX38" s="145">
        <f t="shared" si="11"/>
        <v>0</v>
      </c>
      <c r="BY38" s="145">
        <f t="shared" si="11"/>
        <v>0</v>
      </c>
      <c r="BZ38" s="145">
        <f t="shared" si="11"/>
        <v>0</v>
      </c>
      <c r="CA38" s="145">
        <f t="shared" si="11"/>
        <v>0</v>
      </c>
      <c r="CB38" s="145">
        <f t="shared" si="11"/>
        <v>0</v>
      </c>
      <c r="CC38" s="145">
        <f t="shared" si="11"/>
        <v>0</v>
      </c>
      <c r="CD38" s="145">
        <f t="shared" si="11"/>
        <v>0</v>
      </c>
      <c r="CE38" s="145">
        <f t="shared" si="11"/>
        <v>0</v>
      </c>
      <c r="CF38" s="145">
        <f t="shared" si="11"/>
        <v>0</v>
      </c>
      <c r="CG38" s="145">
        <f t="shared" si="11"/>
        <v>0</v>
      </c>
      <c r="CH38" s="145">
        <f t="shared" si="11"/>
        <v>0</v>
      </c>
      <c r="CI38" s="145">
        <f t="shared" si="11"/>
        <v>0</v>
      </c>
      <c r="CJ38" s="145">
        <f t="shared" si="11"/>
        <v>0</v>
      </c>
      <c r="CK38" s="145">
        <f t="shared" si="11"/>
        <v>0</v>
      </c>
      <c r="CL38" s="145">
        <f t="shared" si="11"/>
        <v>0</v>
      </c>
      <c r="CM38" s="145">
        <f t="shared" si="11"/>
        <v>0</v>
      </c>
      <c r="CN38" s="145">
        <f t="shared" si="11"/>
        <v>0</v>
      </c>
      <c r="CO38" s="145">
        <f t="shared" si="11"/>
        <v>0</v>
      </c>
      <c r="CP38" s="145">
        <f t="shared" si="11"/>
        <v>0</v>
      </c>
      <c r="CQ38" s="145">
        <f t="shared" si="11"/>
        <v>0</v>
      </c>
      <c r="CR38" s="145">
        <f t="shared" si="11"/>
        <v>0</v>
      </c>
      <c r="CS38" s="145">
        <f t="shared" si="11"/>
        <v>0</v>
      </c>
      <c r="CT38" s="145">
        <f t="shared" si="11"/>
        <v>0</v>
      </c>
      <c r="CU38" s="145">
        <f t="shared" si="11"/>
        <v>0</v>
      </c>
      <c r="CV38" s="145">
        <f t="shared" si="11"/>
        <v>0</v>
      </c>
      <c r="CW38" s="145">
        <f t="shared" si="11"/>
        <v>0</v>
      </c>
      <c r="CX38" s="145">
        <f t="shared" si="11"/>
        <v>0</v>
      </c>
      <c r="CY38" s="145">
        <f t="shared" si="11"/>
        <v>0</v>
      </c>
      <c r="CZ38" s="145">
        <f t="shared" si="11"/>
        <v>0</v>
      </c>
      <c r="DA38" s="145">
        <f t="shared" si="11"/>
        <v>0</v>
      </c>
      <c r="DB38" s="145">
        <f t="shared" si="11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A11F-D9EF-E140-96B2-1BEEA8A2A432}">
  <dimension ref="A1:DB160"/>
  <sheetViews>
    <sheetView showGridLines="0" zoomScale="75" workbookViewId="0">
      <pane xSplit="7" ySplit="16" topLeftCell="H17" activePane="bottomRight" state="frozen"/>
      <selection pane="topRight" activeCell="H1" sqref="H1"/>
      <selection pane="bottomLeft" activeCell="A17" sqref="A17"/>
      <selection pane="bottomRight" activeCell="DC23" sqref="DC23"/>
    </sheetView>
  </sheetViews>
  <sheetFormatPr baseColWidth="10" defaultRowHeight="15" outlineLevelRow="1"/>
  <cols>
    <col min="1" max="1" width="3.5" style="13" customWidth="1"/>
    <col min="2" max="2" width="3.33203125" style="13" customWidth="1"/>
    <col min="3" max="3" width="4.1640625" style="13" customWidth="1"/>
    <col min="4" max="4" width="15" style="13" customWidth="1"/>
    <col min="5" max="6" width="10.83203125" style="13"/>
    <col min="7" max="7" width="4.5" style="13" customWidth="1"/>
    <col min="8" max="16384" width="10.83203125" style="13"/>
  </cols>
  <sheetData>
    <row r="1" spans="1:106" s="1" customFormat="1" ht="17" customHeight="1"/>
    <row r="2" spans="1:106" s="1" customFormat="1" ht="17" customHeight="1">
      <c r="B2" s="2" t="s">
        <v>10</v>
      </c>
      <c r="S2" s="3" t="s">
        <v>0</v>
      </c>
      <c r="T2" s="4" t="s">
        <v>1</v>
      </c>
      <c r="U2" s="5" t="s">
        <v>2</v>
      </c>
    </row>
    <row r="3" spans="1:106" s="1" customFormat="1" ht="17" customHeight="1">
      <c r="B3" s="2" t="s">
        <v>11</v>
      </c>
      <c r="S3" s="6" t="s">
        <v>3</v>
      </c>
      <c r="T3" s="7" t="s">
        <v>4</v>
      </c>
      <c r="U3" s="8" t="s">
        <v>5</v>
      </c>
    </row>
    <row r="4" spans="1:106" s="1" customFormat="1" ht="17" customHeight="1">
      <c r="B4" s="14"/>
      <c r="S4" s="9" t="s">
        <v>6</v>
      </c>
      <c r="T4" s="10" t="s">
        <v>7</v>
      </c>
      <c r="U4" s="63" t="s">
        <v>8</v>
      </c>
    </row>
    <row r="5" spans="1:106" s="12" customFormat="1" ht="17" customHeight="1" thickBot="1"/>
    <row r="6" spans="1:106" ht="16" thickTop="1">
      <c r="A6" s="13" t="s">
        <v>9</v>
      </c>
    </row>
    <row r="7" spans="1:106">
      <c r="A7" s="2" t="s">
        <v>181</v>
      </c>
    </row>
    <row r="8" spans="1:106" ht="17" customHeight="1" outlineLevel="1">
      <c r="H8" s="60" t="s">
        <v>89</v>
      </c>
      <c r="I8" s="61">
        <v>1</v>
      </c>
      <c r="J8" s="61">
        <v>2</v>
      </c>
      <c r="K8" s="61">
        <v>3</v>
      </c>
      <c r="L8" s="61">
        <v>4</v>
      </c>
      <c r="M8" s="61">
        <v>5</v>
      </c>
      <c r="N8" s="61">
        <v>6</v>
      </c>
      <c r="O8" s="61">
        <v>7</v>
      </c>
      <c r="P8" s="61">
        <v>8</v>
      </c>
      <c r="Q8" s="61">
        <v>9</v>
      </c>
      <c r="R8" s="61">
        <v>10</v>
      </c>
      <c r="S8" s="61">
        <v>11</v>
      </c>
      <c r="T8" s="61">
        <v>12</v>
      </c>
      <c r="U8" s="61">
        <v>13</v>
      </c>
      <c r="V8" s="61">
        <v>14</v>
      </c>
      <c r="W8" s="61">
        <v>15</v>
      </c>
      <c r="X8" s="61">
        <v>16</v>
      </c>
    </row>
    <row r="9" spans="1:106" ht="17" customHeight="1" outlineLevel="1">
      <c r="H9" s="60" t="s">
        <v>60</v>
      </c>
      <c r="I9" s="62">
        <f>start</f>
        <v>45716</v>
      </c>
      <c r="J9" s="62">
        <f>EOMONTH(I10,1)</f>
        <v>45900</v>
      </c>
      <c r="K9" s="62">
        <f t="shared" ref="K9:X9" si="0">EOMONTH(J10,1)</f>
        <v>46081</v>
      </c>
      <c r="L9" s="62">
        <f t="shared" si="0"/>
        <v>46265</v>
      </c>
      <c r="M9" s="62">
        <f t="shared" si="0"/>
        <v>46446</v>
      </c>
      <c r="N9" s="62">
        <f t="shared" si="0"/>
        <v>46630</v>
      </c>
      <c r="O9" s="62">
        <f t="shared" si="0"/>
        <v>46812</v>
      </c>
      <c r="P9" s="62">
        <f t="shared" si="0"/>
        <v>46996</v>
      </c>
      <c r="Q9" s="62">
        <f t="shared" si="0"/>
        <v>47177</v>
      </c>
      <c r="R9" s="62">
        <f t="shared" si="0"/>
        <v>47361</v>
      </c>
      <c r="S9" s="62">
        <f t="shared" si="0"/>
        <v>47542</v>
      </c>
      <c r="T9" s="62">
        <f t="shared" si="0"/>
        <v>47726</v>
      </c>
      <c r="U9" s="62">
        <f t="shared" si="0"/>
        <v>47907</v>
      </c>
      <c r="V9" s="62">
        <f t="shared" si="0"/>
        <v>48091</v>
      </c>
      <c r="W9" s="62">
        <f t="shared" si="0"/>
        <v>48273</v>
      </c>
      <c r="X9" s="62">
        <f t="shared" si="0"/>
        <v>48457</v>
      </c>
    </row>
    <row r="10" spans="1:106" ht="17" customHeight="1" outlineLevel="1">
      <c r="H10" s="60" t="s">
        <v>61</v>
      </c>
      <c r="I10" s="62">
        <f t="shared" ref="I10:X10" si="1">EOMONTH(I9,period-1)</f>
        <v>45869</v>
      </c>
      <c r="J10" s="62">
        <f t="shared" si="1"/>
        <v>46053</v>
      </c>
      <c r="K10" s="62">
        <f t="shared" si="1"/>
        <v>46234</v>
      </c>
      <c r="L10" s="62">
        <f t="shared" si="1"/>
        <v>46418</v>
      </c>
      <c r="M10" s="62">
        <f t="shared" si="1"/>
        <v>46599</v>
      </c>
      <c r="N10" s="62">
        <f t="shared" si="1"/>
        <v>46783</v>
      </c>
      <c r="O10" s="62">
        <f t="shared" si="1"/>
        <v>46965</v>
      </c>
      <c r="P10" s="62">
        <f t="shared" si="1"/>
        <v>47149</v>
      </c>
      <c r="Q10" s="62">
        <f t="shared" si="1"/>
        <v>47330</v>
      </c>
      <c r="R10" s="62">
        <f t="shared" si="1"/>
        <v>47514</v>
      </c>
      <c r="S10" s="62">
        <f t="shared" si="1"/>
        <v>47695</v>
      </c>
      <c r="T10" s="62">
        <f t="shared" si="1"/>
        <v>47879</v>
      </c>
      <c r="U10" s="62">
        <f t="shared" si="1"/>
        <v>48060</v>
      </c>
      <c r="V10" s="62">
        <f t="shared" si="1"/>
        <v>48244</v>
      </c>
      <c r="W10" s="62">
        <f t="shared" si="1"/>
        <v>48426</v>
      </c>
      <c r="X10" s="62">
        <f t="shared" si="1"/>
        <v>48610</v>
      </c>
    </row>
    <row r="11" spans="1:106" s="63" customFormat="1" ht="17" customHeight="1" outlineLevel="1">
      <c r="F11" s="63" t="s">
        <v>90</v>
      </c>
      <c r="H11" s="63">
        <f>(H14&gt;=[0]!start)*(H14&lt;=[0]!exit)*1</f>
        <v>0</v>
      </c>
      <c r="I11" s="63">
        <f>(I14&gt;=[0]!start)*(I14&lt;=[0]!exit)*1</f>
        <v>1</v>
      </c>
      <c r="J11" s="63">
        <f>(J14&gt;=[0]!start)*(J14&lt;=[0]!exit)*1</f>
        <v>1</v>
      </c>
      <c r="K11" s="63">
        <f>(K14&gt;=[0]!start)*(K14&lt;=[0]!exit)*1</f>
        <v>1</v>
      </c>
      <c r="L11" s="63">
        <f>(L14&gt;=[0]!start)*(L14&lt;=[0]!exit)*1</f>
        <v>1</v>
      </c>
      <c r="M11" s="63">
        <f>(M14&gt;=[0]!start)*(M14&lt;=[0]!exit)*1</f>
        <v>1</v>
      </c>
      <c r="N11" s="63">
        <f>(N14&gt;=[0]!start)*(N14&lt;=[0]!exit)*1</f>
        <v>1</v>
      </c>
      <c r="O11" s="63">
        <f>(O14&gt;=[0]!start)*(O14&lt;=[0]!exit)*1</f>
        <v>1</v>
      </c>
      <c r="P11" s="63">
        <f>(P14&gt;=[0]!start)*(P14&lt;=[0]!exit)*1</f>
        <v>1</v>
      </c>
      <c r="Q11" s="63">
        <f>(Q14&gt;=[0]!start)*(Q14&lt;=[0]!exit)*1</f>
        <v>1</v>
      </c>
      <c r="R11" s="63">
        <f>(R14&gt;=[0]!start)*(R14&lt;=[0]!exit)*1</f>
        <v>1</v>
      </c>
      <c r="S11" s="63">
        <f>(S14&gt;=[0]!start)*(S14&lt;=[0]!exit)*1</f>
        <v>1</v>
      </c>
      <c r="T11" s="63">
        <f>(T14&gt;=[0]!start)*(T14&lt;=[0]!exit)*1</f>
        <v>1</v>
      </c>
      <c r="U11" s="63">
        <f>(U14&gt;=[0]!start)*(U14&lt;=[0]!exit)*1</f>
        <v>1</v>
      </c>
      <c r="V11" s="63">
        <f>(V14&gt;=[0]!start)*(V14&lt;=[0]!exit)*1</f>
        <v>1</v>
      </c>
      <c r="W11" s="63">
        <f>(W14&gt;=[0]!start)*(W14&lt;=[0]!exit)*1</f>
        <v>1</v>
      </c>
      <c r="X11" s="63">
        <f>(X14&gt;=[0]!start)*(X14&lt;=[0]!exit)*1</f>
        <v>1</v>
      </c>
      <c r="Y11" s="63">
        <f>(Y14&gt;=[0]!start)*(Y14&lt;=[0]!exit)*1</f>
        <v>1</v>
      </c>
      <c r="Z11" s="63">
        <f>(Z14&gt;=[0]!start)*(Z14&lt;=[0]!exit)*1</f>
        <v>1</v>
      </c>
      <c r="AA11" s="63">
        <f>(AA14&gt;=[0]!start)*(AA14&lt;=[0]!exit)*1</f>
        <v>1</v>
      </c>
      <c r="AB11" s="63">
        <f>(AB14&gt;=[0]!start)*(AB14&lt;=[0]!exit)*1</f>
        <v>1</v>
      </c>
      <c r="AC11" s="63">
        <f>(AC14&gt;=[0]!start)*(AC14&lt;=[0]!exit)*1</f>
        <v>1</v>
      </c>
      <c r="AD11" s="63">
        <f>(AD14&gt;=[0]!start)*(AD14&lt;=[0]!exit)*1</f>
        <v>1</v>
      </c>
      <c r="AE11" s="63">
        <f>(AE14&gt;=[0]!start)*(AE14&lt;=[0]!exit)*1</f>
        <v>1</v>
      </c>
      <c r="AF11" s="63">
        <f>(AF14&gt;=[0]!start)*(AF14&lt;=[0]!exit)*1</f>
        <v>1</v>
      </c>
      <c r="AG11" s="63">
        <f>(AG14&gt;=[0]!start)*(AG14&lt;=[0]!exit)*1</f>
        <v>1</v>
      </c>
      <c r="AH11" s="63">
        <f>(AH14&gt;=[0]!start)*(AH14&lt;=[0]!exit)*1</f>
        <v>1</v>
      </c>
      <c r="AI11" s="63">
        <f>(AI14&gt;=[0]!start)*(AI14&lt;=[0]!exit)*1</f>
        <v>1</v>
      </c>
      <c r="AJ11" s="63">
        <f>(AJ14&gt;=[0]!start)*(AJ14&lt;=[0]!exit)*1</f>
        <v>1</v>
      </c>
      <c r="AK11" s="63">
        <f>(AK14&gt;=[0]!start)*(AK14&lt;=[0]!exit)*1</f>
        <v>1</v>
      </c>
      <c r="AL11" s="63">
        <f>(AL14&gt;=[0]!start)*(AL14&lt;=[0]!exit)*1</f>
        <v>1</v>
      </c>
      <c r="AM11" s="63">
        <f>(AM14&gt;=[0]!start)*(AM14&lt;=[0]!exit)*1</f>
        <v>1</v>
      </c>
      <c r="AN11" s="63">
        <f>(AN14&gt;=[0]!start)*(AN14&lt;=[0]!exit)*1</f>
        <v>1</v>
      </c>
      <c r="AO11" s="63">
        <f>(AO14&gt;=[0]!start)*(AO14&lt;=[0]!exit)*1</f>
        <v>1</v>
      </c>
      <c r="AP11" s="63">
        <f>(AP14&gt;=[0]!start)*(AP14&lt;=[0]!exit)*1</f>
        <v>1</v>
      </c>
      <c r="AQ11" s="63">
        <f>(AQ14&gt;=[0]!start)*(AQ14&lt;=[0]!exit)*1</f>
        <v>1</v>
      </c>
      <c r="AR11" s="63">
        <f>(AR14&gt;=[0]!start)*(AR14&lt;=[0]!exit)*1</f>
        <v>1</v>
      </c>
      <c r="AS11" s="63">
        <f>(AS14&gt;=[0]!start)*(AS14&lt;=[0]!exit)*1</f>
        <v>1</v>
      </c>
      <c r="AT11" s="63">
        <f>(AT14&gt;=[0]!start)*(AT14&lt;=[0]!exit)*1</f>
        <v>1</v>
      </c>
      <c r="AU11" s="63">
        <f>(AU14&gt;=[0]!start)*(AU14&lt;=[0]!exit)*1</f>
        <v>1</v>
      </c>
      <c r="AV11" s="63">
        <f>(AV14&gt;=[0]!start)*(AV14&lt;=[0]!exit)*1</f>
        <v>1</v>
      </c>
      <c r="AW11" s="63">
        <f>(AW14&gt;=[0]!start)*(AW14&lt;=[0]!exit)*1</f>
        <v>1</v>
      </c>
      <c r="AX11" s="63">
        <f>(AX14&gt;=[0]!start)*(AX14&lt;=[0]!exit)*1</f>
        <v>1</v>
      </c>
      <c r="AY11" s="63">
        <f>(AY14&gt;=[0]!start)*(AY14&lt;=[0]!exit)*1</f>
        <v>1</v>
      </c>
      <c r="AZ11" s="63">
        <f>(AZ14&gt;=[0]!start)*(AZ14&lt;=[0]!exit)*1</f>
        <v>1</v>
      </c>
      <c r="BA11" s="63">
        <f>(BA14&gt;=[0]!start)*(BA14&lt;=[0]!exit)*1</f>
        <v>1</v>
      </c>
      <c r="BB11" s="63">
        <f>(BB14&gt;=[0]!start)*(BB14&lt;=[0]!exit)*1</f>
        <v>1</v>
      </c>
      <c r="BC11" s="63">
        <f>(BC14&gt;=[0]!start)*(BC14&lt;=[0]!exit)*1</f>
        <v>1</v>
      </c>
      <c r="BD11" s="63">
        <f>(BD14&gt;=[0]!start)*(BD14&lt;=[0]!exit)*1</f>
        <v>1</v>
      </c>
      <c r="BE11" s="63">
        <f>(BE14&gt;=[0]!start)*(BE14&lt;=[0]!exit)*1</f>
        <v>1</v>
      </c>
      <c r="BF11" s="63">
        <f>(BF14&gt;=[0]!start)*(BF14&lt;=[0]!exit)*1</f>
        <v>1</v>
      </c>
      <c r="BG11" s="63">
        <f>(BG14&gt;=[0]!start)*(BG14&lt;=[0]!exit)*1</f>
        <v>1</v>
      </c>
      <c r="BH11" s="63">
        <f>(BH14&gt;=[0]!start)*(BH14&lt;=[0]!exit)*1</f>
        <v>1</v>
      </c>
      <c r="BI11" s="63">
        <f>(BI14&gt;=[0]!start)*(BI14&lt;=[0]!exit)*1</f>
        <v>1</v>
      </c>
      <c r="BJ11" s="63">
        <f>(BJ14&gt;=[0]!start)*(BJ14&lt;=[0]!exit)*1</f>
        <v>1</v>
      </c>
      <c r="BK11" s="63">
        <f>(BK14&gt;=[0]!start)*(BK14&lt;=[0]!exit)*1</f>
        <v>1</v>
      </c>
      <c r="BL11" s="63">
        <f>(BL14&gt;=[0]!start)*(BL14&lt;=[0]!exit)*1</f>
        <v>1</v>
      </c>
      <c r="BM11" s="63">
        <f>(BM14&gt;=[0]!start)*(BM14&lt;=[0]!exit)*1</f>
        <v>1</v>
      </c>
      <c r="BN11" s="63">
        <f>(BN14&gt;=[0]!start)*(BN14&lt;=[0]!exit)*1</f>
        <v>1</v>
      </c>
      <c r="BO11" s="63">
        <f>(BO14&gt;=[0]!start)*(BO14&lt;=[0]!exit)*1</f>
        <v>1</v>
      </c>
      <c r="BP11" s="63">
        <f>(BP14&gt;=[0]!start)*(BP14&lt;=[0]!exit)*1</f>
        <v>1</v>
      </c>
      <c r="BQ11" s="63">
        <f>(BQ14&gt;=[0]!start)*(BQ14&lt;=[0]!exit)*1</f>
        <v>0</v>
      </c>
      <c r="BR11" s="63">
        <f>(BR14&gt;=[0]!start)*(BR14&lt;=[0]!exit)*1</f>
        <v>0</v>
      </c>
      <c r="BS11" s="63">
        <f>(BS14&gt;=[0]!start)*(BS14&lt;=[0]!exit)*1</f>
        <v>0</v>
      </c>
      <c r="BT11" s="63">
        <f>(BT14&gt;=[0]!start)*(BT14&lt;=[0]!exit)*1</f>
        <v>0</v>
      </c>
      <c r="BU11" s="63">
        <f>(BU14&gt;=[0]!start)*(BU14&lt;=[0]!exit)*1</f>
        <v>0</v>
      </c>
      <c r="BV11" s="63">
        <f>(BV14&gt;=[0]!start)*(BV14&lt;=[0]!exit)*1</f>
        <v>0</v>
      </c>
      <c r="BW11" s="63">
        <f>(BW14&gt;=[0]!start)*(BW14&lt;=[0]!exit)*1</f>
        <v>0</v>
      </c>
      <c r="BX11" s="63">
        <f>(BX14&gt;=[0]!start)*(BX14&lt;=[0]!exit)*1</f>
        <v>0</v>
      </c>
      <c r="BY11" s="63">
        <f>(BY14&gt;=[0]!start)*(BY14&lt;=[0]!exit)*1</f>
        <v>0</v>
      </c>
      <c r="BZ11" s="63">
        <f>(BZ14&gt;=[0]!start)*(BZ14&lt;=[0]!exit)*1</f>
        <v>0</v>
      </c>
      <c r="CA11" s="63">
        <f>(CA14&gt;=[0]!start)*(CA14&lt;=[0]!exit)*1</f>
        <v>0</v>
      </c>
      <c r="CB11" s="63">
        <f>(CB14&gt;=[0]!start)*(CB14&lt;=[0]!exit)*1</f>
        <v>0</v>
      </c>
      <c r="CC11" s="63">
        <f>(CC14&gt;=[0]!start)*(CC14&lt;=[0]!exit)*1</f>
        <v>0</v>
      </c>
      <c r="CD11" s="63">
        <f>(CD14&gt;=[0]!start)*(CD14&lt;=[0]!exit)*1</f>
        <v>0</v>
      </c>
      <c r="CE11" s="63">
        <f>(CE14&gt;=[0]!start)*(CE14&lt;=[0]!exit)*1</f>
        <v>0</v>
      </c>
      <c r="CF11" s="63">
        <f>(CF14&gt;=[0]!start)*(CF14&lt;=[0]!exit)*1</f>
        <v>0</v>
      </c>
      <c r="CG11" s="63">
        <f>(CG14&gt;=[0]!start)*(CG14&lt;=[0]!exit)*1</f>
        <v>0</v>
      </c>
      <c r="CH11" s="63">
        <f>(CH14&gt;=[0]!start)*(CH14&lt;=[0]!exit)*1</f>
        <v>0</v>
      </c>
      <c r="CI11" s="63">
        <f>(CI14&gt;=[0]!start)*(CI14&lt;=[0]!exit)*1</f>
        <v>0</v>
      </c>
      <c r="CJ11" s="63">
        <f>(CJ14&gt;=[0]!start)*(CJ14&lt;=[0]!exit)*1</f>
        <v>0</v>
      </c>
      <c r="CK11" s="63">
        <f>(CK14&gt;=[0]!start)*(CK14&lt;=[0]!exit)*1</f>
        <v>0</v>
      </c>
      <c r="CL11" s="63">
        <f>(CL14&gt;=[0]!start)*(CL14&lt;=[0]!exit)*1</f>
        <v>0</v>
      </c>
      <c r="CM11" s="63">
        <f>(CM14&gt;=[0]!start)*(CM14&lt;=[0]!exit)*1</f>
        <v>0</v>
      </c>
      <c r="CN11" s="63">
        <f>(CN14&gt;=[0]!start)*(CN14&lt;=[0]!exit)*1</f>
        <v>0</v>
      </c>
      <c r="CO11" s="63">
        <f>(CO14&gt;=[0]!start)*(CO14&lt;=[0]!exit)*1</f>
        <v>0</v>
      </c>
      <c r="CP11" s="63">
        <f>(CP14&gt;=[0]!start)*(CP14&lt;=[0]!exit)*1</f>
        <v>0</v>
      </c>
      <c r="CQ11" s="63">
        <f>(CQ14&gt;=[0]!start)*(CQ14&lt;=[0]!exit)*1</f>
        <v>0</v>
      </c>
      <c r="CR11" s="63">
        <f>(CR14&gt;=[0]!start)*(CR14&lt;=[0]!exit)*1</f>
        <v>0</v>
      </c>
      <c r="CS11" s="63">
        <f>(CS14&gt;=[0]!start)*(CS14&lt;=[0]!exit)*1</f>
        <v>0</v>
      </c>
      <c r="CT11" s="63">
        <f>(CT14&gt;=[0]!start)*(CT14&lt;=[0]!exit)*1</f>
        <v>0</v>
      </c>
      <c r="CU11" s="63">
        <f>(CU14&gt;=[0]!start)*(CU14&lt;=[0]!exit)*1</f>
        <v>0</v>
      </c>
      <c r="CV11" s="63">
        <f>(CV14&gt;=[0]!start)*(CV14&lt;=[0]!exit)*1</f>
        <v>0</v>
      </c>
      <c r="CW11" s="63">
        <f>(CW14&gt;=[0]!start)*(CW14&lt;=[0]!exit)*1</f>
        <v>0</v>
      </c>
      <c r="CX11" s="63">
        <f>(CX14&gt;=[0]!start)*(CX14&lt;=[0]!exit)*1</f>
        <v>0</v>
      </c>
      <c r="CY11" s="63">
        <f>(CY14&gt;=[0]!start)*(CY14&lt;=[0]!exit)*1</f>
        <v>0</v>
      </c>
      <c r="CZ11" s="63">
        <f>(CZ14&gt;=[0]!start)*(CZ14&lt;=[0]!exit)*1</f>
        <v>0</v>
      </c>
      <c r="DA11" s="63">
        <f>(DA14&gt;=[0]!start)*(DA14&lt;=[0]!exit)*1</f>
        <v>0</v>
      </c>
      <c r="DB11" s="63">
        <f>(DB14&gt;=[0]!start)*(DB14&lt;=[0]!exit)*1</f>
        <v>0</v>
      </c>
    </row>
    <row r="12" spans="1:106" s="63" customFormat="1" ht="17" customHeight="1" outlineLevel="1">
      <c r="F12" s="63" t="s">
        <v>91</v>
      </c>
      <c r="H12" s="63">
        <f>SUM($H$11:H11)*H11</f>
        <v>0</v>
      </c>
      <c r="I12" s="63">
        <f>SUM($H$11:I11)*I11</f>
        <v>1</v>
      </c>
      <c r="J12" s="63">
        <f>SUM($H$11:J11)*J11</f>
        <v>2</v>
      </c>
      <c r="K12" s="63">
        <f>SUM($H$11:K11)*K11</f>
        <v>3</v>
      </c>
      <c r="L12" s="63">
        <f>SUM($H$11:L11)*L11</f>
        <v>4</v>
      </c>
      <c r="M12" s="63">
        <f>SUM($H$11:M11)*M11</f>
        <v>5</v>
      </c>
      <c r="N12" s="63">
        <f>SUM($H$11:N11)*N11</f>
        <v>6</v>
      </c>
      <c r="O12" s="63">
        <f>SUM($H$11:O11)*O11</f>
        <v>7</v>
      </c>
      <c r="P12" s="63">
        <f>SUM($H$11:P11)*P11</f>
        <v>8</v>
      </c>
      <c r="Q12" s="63">
        <f>SUM($H$11:Q11)*Q11</f>
        <v>9</v>
      </c>
      <c r="R12" s="63">
        <f>SUM($H$11:R11)*R11</f>
        <v>10</v>
      </c>
      <c r="S12" s="63">
        <f>SUM($H$11:S11)*S11</f>
        <v>11</v>
      </c>
      <c r="T12" s="63">
        <f>SUM($H$11:T11)*T11</f>
        <v>12</v>
      </c>
      <c r="U12" s="63">
        <f>SUM($H$11:U11)*U11</f>
        <v>13</v>
      </c>
      <c r="V12" s="63">
        <f>SUM($H$11:V11)*V11</f>
        <v>14</v>
      </c>
      <c r="W12" s="63">
        <f>SUM($H$11:W11)*W11</f>
        <v>15</v>
      </c>
      <c r="X12" s="63">
        <f>SUM($H$11:X11)*X11</f>
        <v>16</v>
      </c>
      <c r="Y12" s="63">
        <f>SUM($H$11:Y11)*Y11</f>
        <v>17</v>
      </c>
      <c r="Z12" s="63">
        <f>SUM($H$11:Z11)*Z11</f>
        <v>18</v>
      </c>
      <c r="AA12" s="63">
        <f>SUM($H$11:AA11)*AA11</f>
        <v>19</v>
      </c>
      <c r="AB12" s="63">
        <f>SUM($H$11:AB11)*AB11</f>
        <v>20</v>
      </c>
      <c r="AC12" s="63">
        <f>SUM($H$11:AC11)*AC11</f>
        <v>21</v>
      </c>
      <c r="AD12" s="63">
        <f>SUM($H$11:AD11)*AD11</f>
        <v>22</v>
      </c>
      <c r="AE12" s="63">
        <f>SUM($H$11:AE11)*AE11</f>
        <v>23</v>
      </c>
      <c r="AF12" s="63">
        <f>SUM($H$11:AF11)*AF11</f>
        <v>24</v>
      </c>
      <c r="AG12" s="63">
        <f>SUM($H$11:AG11)*AG11</f>
        <v>25</v>
      </c>
      <c r="AH12" s="63">
        <f>SUM($H$11:AH11)*AH11</f>
        <v>26</v>
      </c>
      <c r="AI12" s="63">
        <f>SUM($H$11:AI11)*AI11</f>
        <v>27</v>
      </c>
      <c r="AJ12" s="63">
        <f>SUM($H$11:AJ11)*AJ11</f>
        <v>28</v>
      </c>
      <c r="AK12" s="63">
        <f>SUM($H$11:AK11)*AK11</f>
        <v>29</v>
      </c>
      <c r="AL12" s="63">
        <f>SUM($H$11:AL11)*AL11</f>
        <v>30</v>
      </c>
      <c r="AM12" s="63">
        <f>SUM($H$11:AM11)*AM11</f>
        <v>31</v>
      </c>
      <c r="AN12" s="63">
        <f>SUM($H$11:AN11)*AN11</f>
        <v>32</v>
      </c>
      <c r="AO12" s="63">
        <f>SUM($H$11:AO11)*AO11</f>
        <v>33</v>
      </c>
      <c r="AP12" s="63">
        <f>SUM($H$11:AP11)*AP11</f>
        <v>34</v>
      </c>
      <c r="AQ12" s="63">
        <f>SUM($H$11:AQ11)*AQ11</f>
        <v>35</v>
      </c>
      <c r="AR12" s="63">
        <f>SUM($H$11:AR11)*AR11</f>
        <v>36</v>
      </c>
      <c r="AS12" s="63">
        <f>SUM($H$11:AS11)*AS11</f>
        <v>37</v>
      </c>
      <c r="AT12" s="63">
        <f>SUM($H$11:AT11)*AT11</f>
        <v>38</v>
      </c>
      <c r="AU12" s="63">
        <f>SUM($H$11:AU11)*AU11</f>
        <v>39</v>
      </c>
      <c r="AV12" s="63">
        <f>SUM($H$11:AV11)*AV11</f>
        <v>40</v>
      </c>
      <c r="AW12" s="63">
        <f>SUM($H$11:AW11)*AW11</f>
        <v>41</v>
      </c>
      <c r="AX12" s="63">
        <f>SUM($H$11:AX11)*AX11</f>
        <v>42</v>
      </c>
      <c r="AY12" s="63">
        <f>SUM($H$11:AY11)*AY11</f>
        <v>43</v>
      </c>
      <c r="AZ12" s="63">
        <f>SUM($H$11:AZ11)*AZ11</f>
        <v>44</v>
      </c>
      <c r="BA12" s="63">
        <f>SUM($H$11:BA11)*BA11</f>
        <v>45</v>
      </c>
      <c r="BB12" s="63">
        <f>SUM($H$11:BB11)*BB11</f>
        <v>46</v>
      </c>
      <c r="BC12" s="63">
        <f>SUM($H$11:BC11)*BC11</f>
        <v>47</v>
      </c>
      <c r="BD12" s="63">
        <f>SUM($H$11:BD11)*BD11</f>
        <v>48</v>
      </c>
      <c r="BE12" s="63">
        <f>SUM($H$11:BE11)*BE11</f>
        <v>49</v>
      </c>
      <c r="BF12" s="63">
        <f>SUM($H$11:BF11)*BF11</f>
        <v>50</v>
      </c>
      <c r="BG12" s="63">
        <f>SUM($H$11:BG11)*BG11</f>
        <v>51</v>
      </c>
      <c r="BH12" s="63">
        <f>SUM($H$11:BH11)*BH11</f>
        <v>52</v>
      </c>
      <c r="BI12" s="63">
        <f>SUM($H$11:BI11)*BI11</f>
        <v>53</v>
      </c>
      <c r="BJ12" s="63">
        <f>SUM($H$11:BJ11)*BJ11</f>
        <v>54</v>
      </c>
      <c r="BK12" s="63">
        <f>SUM($H$11:BK11)*BK11</f>
        <v>55</v>
      </c>
      <c r="BL12" s="63">
        <f>SUM($H$11:BL11)*BL11</f>
        <v>56</v>
      </c>
      <c r="BM12" s="63">
        <f>SUM($H$11:BM11)*BM11</f>
        <v>57</v>
      </c>
      <c r="BN12" s="63">
        <f>SUM($H$11:BN11)*BN11</f>
        <v>58</v>
      </c>
      <c r="BO12" s="63">
        <f>SUM($H$11:BO11)*BO11</f>
        <v>59</v>
      </c>
      <c r="BP12" s="63">
        <f>SUM($H$11:BP11)*BP11</f>
        <v>60</v>
      </c>
      <c r="BQ12" s="63">
        <f>SUM($H$11:BQ11)*BQ11</f>
        <v>0</v>
      </c>
      <c r="BR12" s="63">
        <f>SUM($H$11:BR11)*BR11</f>
        <v>0</v>
      </c>
      <c r="BS12" s="63">
        <f>SUM($H$11:BS11)*BS11</f>
        <v>0</v>
      </c>
      <c r="BT12" s="63">
        <f>SUM($H$11:BT11)*BT11</f>
        <v>0</v>
      </c>
      <c r="BU12" s="63">
        <f>SUM($H$11:BU11)*BU11</f>
        <v>0</v>
      </c>
      <c r="BV12" s="63">
        <f>SUM($H$11:BV11)*BV11</f>
        <v>0</v>
      </c>
      <c r="BW12" s="63">
        <f>SUM($H$11:BW11)*BW11</f>
        <v>0</v>
      </c>
      <c r="BX12" s="63">
        <f>SUM($H$11:BX11)*BX11</f>
        <v>0</v>
      </c>
      <c r="BY12" s="63">
        <f>SUM($H$11:BY11)*BY11</f>
        <v>0</v>
      </c>
      <c r="BZ12" s="63">
        <f>SUM($H$11:BZ11)*BZ11</f>
        <v>0</v>
      </c>
      <c r="CA12" s="63">
        <f>SUM($H$11:CA11)*CA11</f>
        <v>0</v>
      </c>
      <c r="CB12" s="63">
        <f>SUM($H$11:CB11)*CB11</f>
        <v>0</v>
      </c>
      <c r="CC12" s="63">
        <f>SUM($H$11:CC11)*CC11</f>
        <v>0</v>
      </c>
      <c r="CD12" s="63">
        <f>SUM($H$11:CD11)*CD11</f>
        <v>0</v>
      </c>
      <c r="CE12" s="63">
        <f>SUM($H$11:CE11)*CE11</f>
        <v>0</v>
      </c>
      <c r="CF12" s="63">
        <f>SUM($H$11:CF11)*CF11</f>
        <v>0</v>
      </c>
      <c r="CG12" s="63">
        <f>SUM($H$11:CG11)*CG11</f>
        <v>0</v>
      </c>
      <c r="CH12" s="63">
        <f>SUM($H$11:CH11)*CH11</f>
        <v>0</v>
      </c>
      <c r="CI12" s="63">
        <f>SUM($H$11:CI11)*CI11</f>
        <v>0</v>
      </c>
      <c r="CJ12" s="63">
        <f>SUM($H$11:CJ11)*CJ11</f>
        <v>0</v>
      </c>
      <c r="CK12" s="63">
        <f>SUM($H$11:CK11)*CK11</f>
        <v>0</v>
      </c>
      <c r="CL12" s="63">
        <f>SUM($H$11:CL11)*CL11</f>
        <v>0</v>
      </c>
      <c r="CM12" s="63">
        <f>SUM($H$11:CM11)*CM11</f>
        <v>0</v>
      </c>
      <c r="CN12" s="63">
        <f>SUM($H$11:CN11)*CN11</f>
        <v>0</v>
      </c>
      <c r="CO12" s="63">
        <f>SUM($H$11:CO11)*CO11</f>
        <v>0</v>
      </c>
      <c r="CP12" s="63">
        <f>SUM($H$11:CP11)*CP11</f>
        <v>0</v>
      </c>
      <c r="CQ12" s="63">
        <f>SUM($H$11:CQ11)*CQ11</f>
        <v>0</v>
      </c>
      <c r="CR12" s="63">
        <f>SUM($H$11:CR11)*CR11</f>
        <v>0</v>
      </c>
      <c r="CS12" s="63">
        <f>SUM($H$11:CS11)*CS11</f>
        <v>0</v>
      </c>
      <c r="CT12" s="63">
        <f>SUM($H$11:CT11)*CT11</f>
        <v>0</v>
      </c>
      <c r="CU12" s="63">
        <f>SUM($H$11:CU11)*CU11</f>
        <v>0</v>
      </c>
      <c r="CV12" s="63">
        <f>SUM($H$11:CV11)*CV11</f>
        <v>0</v>
      </c>
      <c r="CW12" s="63">
        <f>SUM($H$11:CW11)*CW11</f>
        <v>0</v>
      </c>
      <c r="CX12" s="63">
        <f>SUM($H$11:CX11)*CX11</f>
        <v>0</v>
      </c>
      <c r="CY12" s="63">
        <f>SUM($H$11:CY11)*CY11</f>
        <v>0</v>
      </c>
      <c r="CZ12" s="63">
        <f>SUM($H$11:CZ11)*CZ11</f>
        <v>0</v>
      </c>
      <c r="DA12" s="63">
        <f>SUM($H$11:DA11)*DA11</f>
        <v>0</v>
      </c>
      <c r="DB12" s="63">
        <f>SUM($H$11:DB11)*DB11</f>
        <v>0</v>
      </c>
    </row>
    <row r="13" spans="1:106" s="63" customFormat="1" ht="17" customHeight="1" outlineLevel="1">
      <c r="F13" s="63" t="s">
        <v>92</v>
      </c>
      <c r="H13" s="63">
        <f>(MOD(H12,12)=1)*1</f>
        <v>0</v>
      </c>
      <c r="I13" s="63">
        <f t="shared" ref="I13:BT13" si="2">(MOD(I12,12)=1)*1</f>
        <v>1</v>
      </c>
      <c r="J13" s="63">
        <f t="shared" si="2"/>
        <v>0</v>
      </c>
      <c r="K13" s="63">
        <f t="shared" si="2"/>
        <v>0</v>
      </c>
      <c r="L13" s="63">
        <f t="shared" si="2"/>
        <v>0</v>
      </c>
      <c r="M13" s="63">
        <f t="shared" si="2"/>
        <v>0</v>
      </c>
      <c r="N13" s="63">
        <f t="shared" si="2"/>
        <v>0</v>
      </c>
      <c r="O13" s="63">
        <f t="shared" si="2"/>
        <v>0</v>
      </c>
      <c r="P13" s="63">
        <f t="shared" si="2"/>
        <v>0</v>
      </c>
      <c r="Q13" s="63">
        <f t="shared" si="2"/>
        <v>0</v>
      </c>
      <c r="R13" s="63">
        <f t="shared" si="2"/>
        <v>0</v>
      </c>
      <c r="S13" s="63">
        <f t="shared" si="2"/>
        <v>0</v>
      </c>
      <c r="T13" s="63">
        <f t="shared" si="2"/>
        <v>0</v>
      </c>
      <c r="U13" s="63">
        <f t="shared" si="2"/>
        <v>1</v>
      </c>
      <c r="V13" s="63">
        <f t="shared" si="2"/>
        <v>0</v>
      </c>
      <c r="W13" s="63">
        <f t="shared" si="2"/>
        <v>0</v>
      </c>
      <c r="X13" s="63">
        <f t="shared" si="2"/>
        <v>0</v>
      </c>
      <c r="Y13" s="63">
        <f t="shared" si="2"/>
        <v>0</v>
      </c>
      <c r="Z13" s="63">
        <f t="shared" si="2"/>
        <v>0</v>
      </c>
      <c r="AA13" s="63">
        <f t="shared" si="2"/>
        <v>0</v>
      </c>
      <c r="AB13" s="63">
        <f t="shared" si="2"/>
        <v>0</v>
      </c>
      <c r="AC13" s="63">
        <f t="shared" si="2"/>
        <v>0</v>
      </c>
      <c r="AD13" s="63">
        <f t="shared" si="2"/>
        <v>0</v>
      </c>
      <c r="AE13" s="63">
        <f t="shared" si="2"/>
        <v>0</v>
      </c>
      <c r="AF13" s="63">
        <f t="shared" si="2"/>
        <v>0</v>
      </c>
      <c r="AG13" s="63">
        <f t="shared" si="2"/>
        <v>1</v>
      </c>
      <c r="AH13" s="63">
        <f t="shared" si="2"/>
        <v>0</v>
      </c>
      <c r="AI13" s="63">
        <f t="shared" si="2"/>
        <v>0</v>
      </c>
      <c r="AJ13" s="63">
        <f t="shared" si="2"/>
        <v>0</v>
      </c>
      <c r="AK13" s="63">
        <f t="shared" si="2"/>
        <v>0</v>
      </c>
      <c r="AL13" s="63">
        <f t="shared" si="2"/>
        <v>0</v>
      </c>
      <c r="AM13" s="63">
        <f t="shared" si="2"/>
        <v>0</v>
      </c>
      <c r="AN13" s="63">
        <f t="shared" si="2"/>
        <v>0</v>
      </c>
      <c r="AO13" s="63">
        <f t="shared" si="2"/>
        <v>0</v>
      </c>
      <c r="AP13" s="63">
        <f t="shared" si="2"/>
        <v>0</v>
      </c>
      <c r="AQ13" s="63">
        <f t="shared" si="2"/>
        <v>0</v>
      </c>
      <c r="AR13" s="63">
        <f t="shared" si="2"/>
        <v>0</v>
      </c>
      <c r="AS13" s="63">
        <f t="shared" si="2"/>
        <v>1</v>
      </c>
      <c r="AT13" s="63">
        <f t="shared" si="2"/>
        <v>0</v>
      </c>
      <c r="AU13" s="63">
        <f t="shared" si="2"/>
        <v>0</v>
      </c>
      <c r="AV13" s="63">
        <f t="shared" si="2"/>
        <v>0</v>
      </c>
      <c r="AW13" s="63">
        <f t="shared" si="2"/>
        <v>0</v>
      </c>
      <c r="AX13" s="63">
        <f t="shared" si="2"/>
        <v>0</v>
      </c>
      <c r="AY13" s="63">
        <f t="shared" si="2"/>
        <v>0</v>
      </c>
      <c r="AZ13" s="63">
        <f t="shared" si="2"/>
        <v>0</v>
      </c>
      <c r="BA13" s="63">
        <f t="shared" si="2"/>
        <v>0</v>
      </c>
      <c r="BB13" s="63">
        <f t="shared" si="2"/>
        <v>0</v>
      </c>
      <c r="BC13" s="63">
        <f t="shared" si="2"/>
        <v>0</v>
      </c>
      <c r="BD13" s="63">
        <f t="shared" si="2"/>
        <v>0</v>
      </c>
      <c r="BE13" s="63">
        <f t="shared" si="2"/>
        <v>1</v>
      </c>
      <c r="BF13" s="63">
        <f t="shared" si="2"/>
        <v>0</v>
      </c>
      <c r="BG13" s="63">
        <f t="shared" si="2"/>
        <v>0</v>
      </c>
      <c r="BH13" s="63">
        <f t="shared" si="2"/>
        <v>0</v>
      </c>
      <c r="BI13" s="63">
        <f t="shared" si="2"/>
        <v>0</v>
      </c>
      <c r="BJ13" s="63">
        <f t="shared" si="2"/>
        <v>0</v>
      </c>
      <c r="BK13" s="63">
        <f t="shared" si="2"/>
        <v>0</v>
      </c>
      <c r="BL13" s="63">
        <f t="shared" si="2"/>
        <v>0</v>
      </c>
      <c r="BM13" s="63">
        <f t="shared" si="2"/>
        <v>0</v>
      </c>
      <c r="BN13" s="63">
        <f t="shared" si="2"/>
        <v>0</v>
      </c>
      <c r="BO13" s="63">
        <f t="shared" si="2"/>
        <v>0</v>
      </c>
      <c r="BP13" s="63">
        <f t="shared" si="2"/>
        <v>0</v>
      </c>
      <c r="BQ13" s="63">
        <f t="shared" si="2"/>
        <v>0</v>
      </c>
      <c r="BR13" s="63">
        <f t="shared" si="2"/>
        <v>0</v>
      </c>
      <c r="BS13" s="63">
        <f t="shared" si="2"/>
        <v>0</v>
      </c>
      <c r="BT13" s="63">
        <f t="shared" si="2"/>
        <v>0</v>
      </c>
      <c r="BU13" s="63">
        <f t="shared" ref="BU13:DB13" si="3">(MOD(BU12,12)=1)*1</f>
        <v>0</v>
      </c>
      <c r="BV13" s="63">
        <f t="shared" si="3"/>
        <v>0</v>
      </c>
      <c r="BW13" s="63">
        <f t="shared" si="3"/>
        <v>0</v>
      </c>
      <c r="BX13" s="63">
        <f t="shared" si="3"/>
        <v>0</v>
      </c>
      <c r="BY13" s="63">
        <f t="shared" si="3"/>
        <v>0</v>
      </c>
      <c r="BZ13" s="63">
        <f t="shared" si="3"/>
        <v>0</v>
      </c>
      <c r="CA13" s="63">
        <f t="shared" si="3"/>
        <v>0</v>
      </c>
      <c r="CB13" s="63">
        <f t="shared" si="3"/>
        <v>0</v>
      </c>
      <c r="CC13" s="63">
        <f t="shared" si="3"/>
        <v>0</v>
      </c>
      <c r="CD13" s="63">
        <f t="shared" si="3"/>
        <v>0</v>
      </c>
      <c r="CE13" s="63">
        <f t="shared" si="3"/>
        <v>0</v>
      </c>
      <c r="CF13" s="63">
        <f t="shared" si="3"/>
        <v>0</v>
      </c>
      <c r="CG13" s="63">
        <f t="shared" si="3"/>
        <v>0</v>
      </c>
      <c r="CH13" s="63">
        <f t="shared" si="3"/>
        <v>0</v>
      </c>
      <c r="CI13" s="63">
        <f t="shared" si="3"/>
        <v>0</v>
      </c>
      <c r="CJ13" s="63">
        <f t="shared" si="3"/>
        <v>0</v>
      </c>
      <c r="CK13" s="63">
        <f t="shared" si="3"/>
        <v>0</v>
      </c>
      <c r="CL13" s="63">
        <f t="shared" si="3"/>
        <v>0</v>
      </c>
      <c r="CM13" s="63">
        <f t="shared" si="3"/>
        <v>0</v>
      </c>
      <c r="CN13" s="63">
        <f t="shared" si="3"/>
        <v>0</v>
      </c>
      <c r="CO13" s="63">
        <f t="shared" si="3"/>
        <v>0</v>
      </c>
      <c r="CP13" s="63">
        <f t="shared" si="3"/>
        <v>0</v>
      </c>
      <c r="CQ13" s="63">
        <f t="shared" si="3"/>
        <v>0</v>
      </c>
      <c r="CR13" s="63">
        <f t="shared" si="3"/>
        <v>0</v>
      </c>
      <c r="CS13" s="63">
        <f t="shared" si="3"/>
        <v>0</v>
      </c>
      <c r="CT13" s="63">
        <f t="shared" si="3"/>
        <v>0</v>
      </c>
      <c r="CU13" s="63">
        <f t="shared" si="3"/>
        <v>0</v>
      </c>
      <c r="CV13" s="63">
        <f t="shared" si="3"/>
        <v>0</v>
      </c>
      <c r="CW13" s="63">
        <f t="shared" si="3"/>
        <v>0</v>
      </c>
      <c r="CX13" s="63">
        <f t="shared" si="3"/>
        <v>0</v>
      </c>
      <c r="CY13" s="63">
        <f t="shared" si="3"/>
        <v>0</v>
      </c>
      <c r="CZ13" s="63">
        <f t="shared" si="3"/>
        <v>0</v>
      </c>
      <c r="DA13" s="63">
        <f t="shared" si="3"/>
        <v>0</v>
      </c>
      <c r="DB13" s="63">
        <f t="shared" si="3"/>
        <v>0</v>
      </c>
    </row>
    <row r="14" spans="1:106" ht="17" customHeight="1">
      <c r="B14" s="64"/>
      <c r="C14" s="64"/>
      <c r="D14" s="64"/>
      <c r="E14" s="64"/>
      <c r="F14" s="64" t="s">
        <v>93</v>
      </c>
      <c r="G14" s="64"/>
      <c r="H14" s="65">
        <f>acq</f>
        <v>45688</v>
      </c>
      <c r="I14" s="65">
        <f>EOMONTH(H14,1)</f>
        <v>45716</v>
      </c>
      <c r="J14" s="65">
        <f t="shared" ref="J14:BU14" si="4">EOMONTH(I14,1)</f>
        <v>45747</v>
      </c>
      <c r="K14" s="65">
        <f t="shared" si="4"/>
        <v>45777</v>
      </c>
      <c r="L14" s="65">
        <f t="shared" si="4"/>
        <v>45808</v>
      </c>
      <c r="M14" s="65">
        <f t="shared" si="4"/>
        <v>45838</v>
      </c>
      <c r="N14" s="65">
        <f t="shared" si="4"/>
        <v>45869</v>
      </c>
      <c r="O14" s="65">
        <f t="shared" si="4"/>
        <v>45900</v>
      </c>
      <c r="P14" s="65">
        <f t="shared" si="4"/>
        <v>45930</v>
      </c>
      <c r="Q14" s="65">
        <f t="shared" si="4"/>
        <v>45961</v>
      </c>
      <c r="R14" s="65">
        <f t="shared" si="4"/>
        <v>45991</v>
      </c>
      <c r="S14" s="65">
        <f t="shared" si="4"/>
        <v>46022</v>
      </c>
      <c r="T14" s="65">
        <f t="shared" si="4"/>
        <v>46053</v>
      </c>
      <c r="U14" s="65">
        <f t="shared" si="4"/>
        <v>46081</v>
      </c>
      <c r="V14" s="65">
        <f t="shared" si="4"/>
        <v>46112</v>
      </c>
      <c r="W14" s="65">
        <f t="shared" si="4"/>
        <v>46142</v>
      </c>
      <c r="X14" s="65">
        <f t="shared" si="4"/>
        <v>46173</v>
      </c>
      <c r="Y14" s="65">
        <f t="shared" si="4"/>
        <v>46203</v>
      </c>
      <c r="Z14" s="65">
        <f t="shared" si="4"/>
        <v>46234</v>
      </c>
      <c r="AA14" s="65">
        <f t="shared" si="4"/>
        <v>46265</v>
      </c>
      <c r="AB14" s="65">
        <f t="shared" si="4"/>
        <v>46295</v>
      </c>
      <c r="AC14" s="65">
        <f t="shared" si="4"/>
        <v>46326</v>
      </c>
      <c r="AD14" s="65">
        <f t="shared" si="4"/>
        <v>46356</v>
      </c>
      <c r="AE14" s="65">
        <f t="shared" si="4"/>
        <v>46387</v>
      </c>
      <c r="AF14" s="65">
        <f t="shared" si="4"/>
        <v>46418</v>
      </c>
      <c r="AG14" s="65">
        <f t="shared" si="4"/>
        <v>46446</v>
      </c>
      <c r="AH14" s="65">
        <f t="shared" si="4"/>
        <v>46477</v>
      </c>
      <c r="AI14" s="65">
        <f t="shared" si="4"/>
        <v>46507</v>
      </c>
      <c r="AJ14" s="65">
        <f t="shared" si="4"/>
        <v>46538</v>
      </c>
      <c r="AK14" s="65">
        <f t="shared" si="4"/>
        <v>46568</v>
      </c>
      <c r="AL14" s="65">
        <f t="shared" si="4"/>
        <v>46599</v>
      </c>
      <c r="AM14" s="65">
        <f t="shared" si="4"/>
        <v>46630</v>
      </c>
      <c r="AN14" s="65">
        <f t="shared" si="4"/>
        <v>46660</v>
      </c>
      <c r="AO14" s="65">
        <f t="shared" si="4"/>
        <v>46691</v>
      </c>
      <c r="AP14" s="65">
        <f t="shared" si="4"/>
        <v>46721</v>
      </c>
      <c r="AQ14" s="65">
        <f t="shared" si="4"/>
        <v>46752</v>
      </c>
      <c r="AR14" s="65">
        <f t="shared" si="4"/>
        <v>46783</v>
      </c>
      <c r="AS14" s="65">
        <f t="shared" si="4"/>
        <v>46812</v>
      </c>
      <c r="AT14" s="65">
        <f t="shared" si="4"/>
        <v>46843</v>
      </c>
      <c r="AU14" s="65">
        <f t="shared" si="4"/>
        <v>46873</v>
      </c>
      <c r="AV14" s="65">
        <f t="shared" si="4"/>
        <v>46904</v>
      </c>
      <c r="AW14" s="65">
        <f t="shared" si="4"/>
        <v>46934</v>
      </c>
      <c r="AX14" s="65">
        <f t="shared" si="4"/>
        <v>46965</v>
      </c>
      <c r="AY14" s="65">
        <f t="shared" si="4"/>
        <v>46996</v>
      </c>
      <c r="AZ14" s="65">
        <f t="shared" si="4"/>
        <v>47026</v>
      </c>
      <c r="BA14" s="65">
        <f t="shared" si="4"/>
        <v>47057</v>
      </c>
      <c r="BB14" s="65">
        <f t="shared" si="4"/>
        <v>47087</v>
      </c>
      <c r="BC14" s="65">
        <f t="shared" si="4"/>
        <v>47118</v>
      </c>
      <c r="BD14" s="65">
        <f t="shared" si="4"/>
        <v>47149</v>
      </c>
      <c r="BE14" s="65">
        <f t="shared" si="4"/>
        <v>47177</v>
      </c>
      <c r="BF14" s="65">
        <f t="shared" si="4"/>
        <v>47208</v>
      </c>
      <c r="BG14" s="65">
        <f t="shared" si="4"/>
        <v>47238</v>
      </c>
      <c r="BH14" s="65">
        <f t="shared" si="4"/>
        <v>47269</v>
      </c>
      <c r="BI14" s="65">
        <f t="shared" si="4"/>
        <v>47299</v>
      </c>
      <c r="BJ14" s="65">
        <f t="shared" si="4"/>
        <v>47330</v>
      </c>
      <c r="BK14" s="65">
        <f t="shared" si="4"/>
        <v>47361</v>
      </c>
      <c r="BL14" s="65">
        <f t="shared" si="4"/>
        <v>47391</v>
      </c>
      <c r="BM14" s="65">
        <f t="shared" si="4"/>
        <v>47422</v>
      </c>
      <c r="BN14" s="65">
        <f t="shared" si="4"/>
        <v>47452</v>
      </c>
      <c r="BO14" s="65">
        <f t="shared" si="4"/>
        <v>47483</v>
      </c>
      <c r="BP14" s="65">
        <f t="shared" si="4"/>
        <v>47514</v>
      </c>
      <c r="BQ14" s="65">
        <f t="shared" si="4"/>
        <v>47542</v>
      </c>
      <c r="BR14" s="65">
        <f t="shared" si="4"/>
        <v>47573</v>
      </c>
      <c r="BS14" s="65">
        <f t="shared" si="4"/>
        <v>47603</v>
      </c>
      <c r="BT14" s="65">
        <f t="shared" si="4"/>
        <v>47634</v>
      </c>
      <c r="BU14" s="65">
        <f t="shared" si="4"/>
        <v>47664</v>
      </c>
      <c r="BV14" s="65">
        <f t="shared" ref="BV14:DB14" si="5">EOMONTH(BU14,1)</f>
        <v>47695</v>
      </c>
      <c r="BW14" s="65">
        <f t="shared" si="5"/>
        <v>47726</v>
      </c>
      <c r="BX14" s="65">
        <f t="shared" si="5"/>
        <v>47756</v>
      </c>
      <c r="BY14" s="65">
        <f t="shared" si="5"/>
        <v>47787</v>
      </c>
      <c r="BZ14" s="65">
        <f t="shared" si="5"/>
        <v>47817</v>
      </c>
      <c r="CA14" s="65">
        <f t="shared" si="5"/>
        <v>47848</v>
      </c>
      <c r="CB14" s="65">
        <f t="shared" si="5"/>
        <v>47879</v>
      </c>
      <c r="CC14" s="65">
        <f t="shared" si="5"/>
        <v>47907</v>
      </c>
      <c r="CD14" s="65">
        <f t="shared" si="5"/>
        <v>47938</v>
      </c>
      <c r="CE14" s="65">
        <f t="shared" si="5"/>
        <v>47968</v>
      </c>
      <c r="CF14" s="65">
        <f t="shared" si="5"/>
        <v>47999</v>
      </c>
      <c r="CG14" s="65">
        <f t="shared" si="5"/>
        <v>48029</v>
      </c>
      <c r="CH14" s="65">
        <f t="shared" si="5"/>
        <v>48060</v>
      </c>
      <c r="CI14" s="65">
        <f t="shared" si="5"/>
        <v>48091</v>
      </c>
      <c r="CJ14" s="65">
        <f t="shared" si="5"/>
        <v>48121</v>
      </c>
      <c r="CK14" s="65">
        <f t="shared" si="5"/>
        <v>48152</v>
      </c>
      <c r="CL14" s="65">
        <f t="shared" si="5"/>
        <v>48182</v>
      </c>
      <c r="CM14" s="65">
        <f t="shared" si="5"/>
        <v>48213</v>
      </c>
      <c r="CN14" s="65">
        <f t="shared" si="5"/>
        <v>48244</v>
      </c>
      <c r="CO14" s="65">
        <f t="shared" si="5"/>
        <v>48273</v>
      </c>
      <c r="CP14" s="65">
        <f t="shared" si="5"/>
        <v>48304</v>
      </c>
      <c r="CQ14" s="65">
        <f t="shared" si="5"/>
        <v>48334</v>
      </c>
      <c r="CR14" s="65">
        <f t="shared" si="5"/>
        <v>48365</v>
      </c>
      <c r="CS14" s="65">
        <f t="shared" si="5"/>
        <v>48395</v>
      </c>
      <c r="CT14" s="65">
        <f t="shared" si="5"/>
        <v>48426</v>
      </c>
      <c r="CU14" s="65">
        <f t="shared" si="5"/>
        <v>48457</v>
      </c>
      <c r="CV14" s="65">
        <f t="shared" si="5"/>
        <v>48487</v>
      </c>
      <c r="CW14" s="65">
        <f t="shared" si="5"/>
        <v>48518</v>
      </c>
      <c r="CX14" s="65">
        <f t="shared" si="5"/>
        <v>48548</v>
      </c>
      <c r="CY14" s="65">
        <f t="shared" si="5"/>
        <v>48579</v>
      </c>
      <c r="CZ14" s="65">
        <f t="shared" si="5"/>
        <v>48610</v>
      </c>
      <c r="DA14" s="65">
        <f t="shared" si="5"/>
        <v>48638</v>
      </c>
      <c r="DB14" s="65">
        <f t="shared" si="5"/>
        <v>48669</v>
      </c>
    </row>
    <row r="15" spans="1:106" ht="17" customHeight="1">
      <c r="B15" s="64"/>
      <c r="C15" s="64"/>
      <c r="D15" s="64"/>
      <c r="E15" s="64"/>
      <c r="F15" s="64" t="s">
        <v>94</v>
      </c>
      <c r="G15" s="64"/>
      <c r="H15" s="66">
        <f>SUMIFS($I$8:$X$8,$I$9:$X$9,"&lt;="&amp;H$14,$I$10:$X$10,"&gt;="&amp;H$14)</f>
        <v>0</v>
      </c>
      <c r="I15" s="66">
        <f t="shared" ref="I15:BT15" si="6">SUMIFS($I$8:$X$8,$I$9:$X$9,"&lt;="&amp;I$14,$I$10:$X$10,"&gt;="&amp;I$14)</f>
        <v>1</v>
      </c>
      <c r="J15" s="66">
        <f t="shared" si="6"/>
        <v>1</v>
      </c>
      <c r="K15" s="66">
        <f t="shared" si="6"/>
        <v>1</v>
      </c>
      <c r="L15" s="66">
        <f t="shared" si="6"/>
        <v>1</v>
      </c>
      <c r="M15" s="66">
        <f t="shared" si="6"/>
        <v>1</v>
      </c>
      <c r="N15" s="66">
        <f t="shared" si="6"/>
        <v>1</v>
      </c>
      <c r="O15" s="66">
        <f t="shared" si="6"/>
        <v>2</v>
      </c>
      <c r="P15" s="66">
        <f t="shared" si="6"/>
        <v>2</v>
      </c>
      <c r="Q15" s="66">
        <f t="shared" si="6"/>
        <v>2</v>
      </c>
      <c r="R15" s="66">
        <f t="shared" si="6"/>
        <v>2</v>
      </c>
      <c r="S15" s="66">
        <f t="shared" si="6"/>
        <v>2</v>
      </c>
      <c r="T15" s="66">
        <f t="shared" si="6"/>
        <v>2</v>
      </c>
      <c r="U15" s="66">
        <f t="shared" si="6"/>
        <v>3</v>
      </c>
      <c r="V15" s="66">
        <f t="shared" si="6"/>
        <v>3</v>
      </c>
      <c r="W15" s="66">
        <f t="shared" si="6"/>
        <v>3</v>
      </c>
      <c r="X15" s="66">
        <f t="shared" si="6"/>
        <v>3</v>
      </c>
      <c r="Y15" s="66">
        <f t="shared" si="6"/>
        <v>3</v>
      </c>
      <c r="Z15" s="66">
        <f t="shared" si="6"/>
        <v>3</v>
      </c>
      <c r="AA15" s="66">
        <f t="shared" si="6"/>
        <v>4</v>
      </c>
      <c r="AB15" s="66">
        <f t="shared" si="6"/>
        <v>4</v>
      </c>
      <c r="AC15" s="66">
        <f t="shared" si="6"/>
        <v>4</v>
      </c>
      <c r="AD15" s="66">
        <f t="shared" si="6"/>
        <v>4</v>
      </c>
      <c r="AE15" s="66">
        <f t="shared" si="6"/>
        <v>4</v>
      </c>
      <c r="AF15" s="66">
        <f t="shared" si="6"/>
        <v>4</v>
      </c>
      <c r="AG15" s="66">
        <f t="shared" si="6"/>
        <v>5</v>
      </c>
      <c r="AH15" s="66">
        <f t="shared" si="6"/>
        <v>5</v>
      </c>
      <c r="AI15" s="66">
        <f t="shared" si="6"/>
        <v>5</v>
      </c>
      <c r="AJ15" s="66">
        <f t="shared" si="6"/>
        <v>5</v>
      </c>
      <c r="AK15" s="66">
        <f t="shared" si="6"/>
        <v>5</v>
      </c>
      <c r="AL15" s="66">
        <f t="shared" si="6"/>
        <v>5</v>
      </c>
      <c r="AM15" s="66">
        <f t="shared" si="6"/>
        <v>6</v>
      </c>
      <c r="AN15" s="66">
        <f t="shared" si="6"/>
        <v>6</v>
      </c>
      <c r="AO15" s="66">
        <f t="shared" si="6"/>
        <v>6</v>
      </c>
      <c r="AP15" s="66">
        <f t="shared" si="6"/>
        <v>6</v>
      </c>
      <c r="AQ15" s="66">
        <f t="shared" si="6"/>
        <v>6</v>
      </c>
      <c r="AR15" s="66">
        <f t="shared" si="6"/>
        <v>6</v>
      </c>
      <c r="AS15" s="66">
        <f t="shared" si="6"/>
        <v>7</v>
      </c>
      <c r="AT15" s="66">
        <f t="shared" si="6"/>
        <v>7</v>
      </c>
      <c r="AU15" s="66">
        <f t="shared" si="6"/>
        <v>7</v>
      </c>
      <c r="AV15" s="66">
        <f t="shared" si="6"/>
        <v>7</v>
      </c>
      <c r="AW15" s="66">
        <f t="shared" si="6"/>
        <v>7</v>
      </c>
      <c r="AX15" s="66">
        <f t="shared" si="6"/>
        <v>7</v>
      </c>
      <c r="AY15" s="66">
        <f t="shared" si="6"/>
        <v>8</v>
      </c>
      <c r="AZ15" s="66">
        <f t="shared" si="6"/>
        <v>8</v>
      </c>
      <c r="BA15" s="66">
        <f t="shared" si="6"/>
        <v>8</v>
      </c>
      <c r="BB15" s="66">
        <f t="shared" si="6"/>
        <v>8</v>
      </c>
      <c r="BC15" s="66">
        <f t="shared" si="6"/>
        <v>8</v>
      </c>
      <c r="BD15" s="66">
        <f t="shared" si="6"/>
        <v>8</v>
      </c>
      <c r="BE15" s="66">
        <f t="shared" si="6"/>
        <v>9</v>
      </c>
      <c r="BF15" s="66">
        <f t="shared" si="6"/>
        <v>9</v>
      </c>
      <c r="BG15" s="66">
        <f t="shared" si="6"/>
        <v>9</v>
      </c>
      <c r="BH15" s="66">
        <f t="shared" si="6"/>
        <v>9</v>
      </c>
      <c r="BI15" s="66">
        <f t="shared" si="6"/>
        <v>9</v>
      </c>
      <c r="BJ15" s="66">
        <f t="shared" si="6"/>
        <v>9</v>
      </c>
      <c r="BK15" s="66">
        <f t="shared" si="6"/>
        <v>10</v>
      </c>
      <c r="BL15" s="66">
        <f t="shared" si="6"/>
        <v>10</v>
      </c>
      <c r="BM15" s="66">
        <f t="shared" si="6"/>
        <v>10</v>
      </c>
      <c r="BN15" s="66">
        <f t="shared" si="6"/>
        <v>10</v>
      </c>
      <c r="BO15" s="66">
        <f t="shared" si="6"/>
        <v>10</v>
      </c>
      <c r="BP15" s="66">
        <f t="shared" si="6"/>
        <v>10</v>
      </c>
      <c r="BQ15" s="66">
        <f t="shared" si="6"/>
        <v>11</v>
      </c>
      <c r="BR15" s="66">
        <f t="shared" si="6"/>
        <v>11</v>
      </c>
      <c r="BS15" s="66">
        <f t="shared" si="6"/>
        <v>11</v>
      </c>
      <c r="BT15" s="66">
        <f t="shared" si="6"/>
        <v>11</v>
      </c>
      <c r="BU15" s="66">
        <f t="shared" ref="BU15:DB15" si="7">SUMIFS($I$8:$X$8,$I$9:$X$9,"&lt;="&amp;BU$14,$I$10:$X$10,"&gt;="&amp;BU$14)</f>
        <v>11</v>
      </c>
      <c r="BV15" s="66">
        <f t="shared" si="7"/>
        <v>11</v>
      </c>
      <c r="BW15" s="66">
        <f t="shared" si="7"/>
        <v>12</v>
      </c>
      <c r="BX15" s="66">
        <f t="shared" si="7"/>
        <v>12</v>
      </c>
      <c r="BY15" s="66">
        <f t="shared" si="7"/>
        <v>12</v>
      </c>
      <c r="BZ15" s="66">
        <f t="shared" si="7"/>
        <v>12</v>
      </c>
      <c r="CA15" s="66">
        <f t="shared" si="7"/>
        <v>12</v>
      </c>
      <c r="CB15" s="66">
        <f t="shared" si="7"/>
        <v>12</v>
      </c>
      <c r="CC15" s="66">
        <f t="shared" si="7"/>
        <v>13</v>
      </c>
      <c r="CD15" s="66">
        <f t="shared" si="7"/>
        <v>13</v>
      </c>
      <c r="CE15" s="66">
        <f t="shared" si="7"/>
        <v>13</v>
      </c>
      <c r="CF15" s="66">
        <f t="shared" si="7"/>
        <v>13</v>
      </c>
      <c r="CG15" s="66">
        <f t="shared" si="7"/>
        <v>13</v>
      </c>
      <c r="CH15" s="66">
        <f t="shared" si="7"/>
        <v>13</v>
      </c>
      <c r="CI15" s="66">
        <f t="shared" si="7"/>
        <v>14</v>
      </c>
      <c r="CJ15" s="66">
        <f t="shared" si="7"/>
        <v>14</v>
      </c>
      <c r="CK15" s="66">
        <f t="shared" si="7"/>
        <v>14</v>
      </c>
      <c r="CL15" s="66">
        <f t="shared" si="7"/>
        <v>14</v>
      </c>
      <c r="CM15" s="66">
        <f t="shared" si="7"/>
        <v>14</v>
      </c>
      <c r="CN15" s="66">
        <f t="shared" si="7"/>
        <v>14</v>
      </c>
      <c r="CO15" s="66">
        <f t="shared" si="7"/>
        <v>15</v>
      </c>
      <c r="CP15" s="66">
        <f t="shared" si="7"/>
        <v>15</v>
      </c>
      <c r="CQ15" s="66">
        <f t="shared" si="7"/>
        <v>15</v>
      </c>
      <c r="CR15" s="66">
        <f t="shared" si="7"/>
        <v>15</v>
      </c>
      <c r="CS15" s="66">
        <f t="shared" si="7"/>
        <v>15</v>
      </c>
      <c r="CT15" s="66">
        <f t="shared" si="7"/>
        <v>15</v>
      </c>
      <c r="CU15" s="66">
        <f t="shared" si="7"/>
        <v>16</v>
      </c>
      <c r="CV15" s="66">
        <f t="shared" si="7"/>
        <v>16</v>
      </c>
      <c r="CW15" s="66">
        <f t="shared" si="7"/>
        <v>16</v>
      </c>
      <c r="CX15" s="66">
        <f t="shared" si="7"/>
        <v>16</v>
      </c>
      <c r="CY15" s="66">
        <f t="shared" si="7"/>
        <v>16</v>
      </c>
      <c r="CZ15" s="66">
        <f t="shared" si="7"/>
        <v>16</v>
      </c>
      <c r="DA15" s="66">
        <f t="shared" si="7"/>
        <v>0</v>
      </c>
      <c r="DB15" s="66">
        <f t="shared" si="7"/>
        <v>0</v>
      </c>
    </row>
    <row r="16" spans="1:106" ht="17" customHeight="1">
      <c r="B16" s="67"/>
      <c r="C16" s="67"/>
      <c r="D16" s="67"/>
      <c r="E16" s="67"/>
      <c r="F16" s="67" t="s">
        <v>95</v>
      </c>
      <c r="G16" s="67"/>
      <c r="H16" s="68">
        <f>SUM($H$13:H13)*H11</f>
        <v>0</v>
      </c>
      <c r="I16" s="68">
        <f>SUM($H$13:I13)*I11</f>
        <v>1</v>
      </c>
      <c r="J16" s="68">
        <f>SUM($H$13:J13)*J11</f>
        <v>1</v>
      </c>
      <c r="K16" s="68">
        <f>SUM($H$13:K13)*K11</f>
        <v>1</v>
      </c>
      <c r="L16" s="68">
        <f>SUM($H$13:L13)*L11</f>
        <v>1</v>
      </c>
      <c r="M16" s="68">
        <f>SUM($H$13:M13)*M11</f>
        <v>1</v>
      </c>
      <c r="N16" s="68">
        <f>SUM($H$13:N13)*N11</f>
        <v>1</v>
      </c>
      <c r="O16" s="68">
        <f>SUM($H$13:O13)*O11</f>
        <v>1</v>
      </c>
      <c r="P16" s="68">
        <f>SUM($H$13:P13)*P11</f>
        <v>1</v>
      </c>
      <c r="Q16" s="68">
        <f>SUM($H$13:Q13)*Q11</f>
        <v>1</v>
      </c>
      <c r="R16" s="68">
        <f>SUM($H$13:R13)*R11</f>
        <v>1</v>
      </c>
      <c r="S16" s="68">
        <f>SUM($H$13:S13)*S11</f>
        <v>1</v>
      </c>
      <c r="T16" s="68">
        <f>SUM($H$13:T13)*T11</f>
        <v>1</v>
      </c>
      <c r="U16" s="68">
        <f>SUM($H$13:U13)*U11</f>
        <v>2</v>
      </c>
      <c r="V16" s="68">
        <f>SUM($H$13:V13)*V11</f>
        <v>2</v>
      </c>
      <c r="W16" s="68">
        <f>SUM($H$13:W13)*W11</f>
        <v>2</v>
      </c>
      <c r="X16" s="68">
        <f>SUM($H$13:X13)*X11</f>
        <v>2</v>
      </c>
      <c r="Y16" s="68">
        <f>SUM($H$13:Y13)*Y11</f>
        <v>2</v>
      </c>
      <c r="Z16" s="68">
        <f>SUM($H$13:Z13)*Z11</f>
        <v>2</v>
      </c>
      <c r="AA16" s="68">
        <f>SUM($H$13:AA13)*AA11</f>
        <v>2</v>
      </c>
      <c r="AB16" s="68">
        <f>SUM($H$13:AB13)*AB11</f>
        <v>2</v>
      </c>
      <c r="AC16" s="68">
        <f>SUM($H$13:AC13)*AC11</f>
        <v>2</v>
      </c>
      <c r="AD16" s="68">
        <f>SUM($H$13:AD13)*AD11</f>
        <v>2</v>
      </c>
      <c r="AE16" s="68">
        <f>SUM($H$13:AE13)*AE11</f>
        <v>2</v>
      </c>
      <c r="AF16" s="68">
        <f>SUM($H$13:AF13)*AF11</f>
        <v>2</v>
      </c>
      <c r="AG16" s="68">
        <f>SUM($H$13:AG13)*AG11</f>
        <v>3</v>
      </c>
      <c r="AH16" s="68">
        <f>SUM($H$13:AH13)*AH11</f>
        <v>3</v>
      </c>
      <c r="AI16" s="68">
        <f>SUM($H$13:AI13)*AI11</f>
        <v>3</v>
      </c>
      <c r="AJ16" s="68">
        <f>SUM($H$13:AJ13)*AJ11</f>
        <v>3</v>
      </c>
      <c r="AK16" s="68">
        <f>SUM($H$13:AK13)*AK11</f>
        <v>3</v>
      </c>
      <c r="AL16" s="68">
        <f>SUM($H$13:AL13)*AL11</f>
        <v>3</v>
      </c>
      <c r="AM16" s="68">
        <f>SUM($H$13:AM13)*AM11</f>
        <v>3</v>
      </c>
      <c r="AN16" s="68">
        <f>SUM($H$13:AN13)*AN11</f>
        <v>3</v>
      </c>
      <c r="AO16" s="68">
        <f>SUM($H$13:AO13)*AO11</f>
        <v>3</v>
      </c>
      <c r="AP16" s="68">
        <f>SUM($H$13:AP13)*AP11</f>
        <v>3</v>
      </c>
      <c r="AQ16" s="68">
        <f>SUM($H$13:AQ13)*AQ11</f>
        <v>3</v>
      </c>
      <c r="AR16" s="68">
        <f>SUM($H$13:AR13)*AR11</f>
        <v>3</v>
      </c>
      <c r="AS16" s="68">
        <f>SUM($H$13:AS13)*AS11</f>
        <v>4</v>
      </c>
      <c r="AT16" s="68">
        <f>SUM($H$13:AT13)*AT11</f>
        <v>4</v>
      </c>
      <c r="AU16" s="68">
        <f>SUM($H$13:AU13)*AU11</f>
        <v>4</v>
      </c>
      <c r="AV16" s="68">
        <f>SUM($H$13:AV13)*AV11</f>
        <v>4</v>
      </c>
      <c r="AW16" s="68">
        <f>SUM($H$13:AW13)*AW11</f>
        <v>4</v>
      </c>
      <c r="AX16" s="68">
        <f>SUM($H$13:AX13)*AX11</f>
        <v>4</v>
      </c>
      <c r="AY16" s="68">
        <f>SUM($H$13:AY13)*AY11</f>
        <v>4</v>
      </c>
      <c r="AZ16" s="68">
        <f>SUM($H$13:AZ13)*AZ11</f>
        <v>4</v>
      </c>
      <c r="BA16" s="68">
        <f>SUM($H$13:BA13)*BA11</f>
        <v>4</v>
      </c>
      <c r="BB16" s="68">
        <f>SUM($H$13:BB13)*BB11</f>
        <v>4</v>
      </c>
      <c r="BC16" s="68">
        <f>SUM($H$13:BC13)*BC11</f>
        <v>4</v>
      </c>
      <c r="BD16" s="68">
        <f>SUM($H$13:BD13)*BD11</f>
        <v>4</v>
      </c>
      <c r="BE16" s="68">
        <f>SUM($H$13:BE13)*BE11</f>
        <v>5</v>
      </c>
      <c r="BF16" s="68">
        <f>SUM($H$13:BF13)*BF11</f>
        <v>5</v>
      </c>
      <c r="BG16" s="68">
        <f>SUM($H$13:BG13)*BG11</f>
        <v>5</v>
      </c>
      <c r="BH16" s="68">
        <f>SUM($H$13:BH13)*BH11</f>
        <v>5</v>
      </c>
      <c r="BI16" s="68">
        <f>SUM($H$13:BI13)*BI11</f>
        <v>5</v>
      </c>
      <c r="BJ16" s="68">
        <f>SUM($H$13:BJ13)*BJ11</f>
        <v>5</v>
      </c>
      <c r="BK16" s="68">
        <f>SUM($H$13:BK13)*BK11</f>
        <v>5</v>
      </c>
      <c r="BL16" s="68">
        <f>SUM($H$13:BL13)*BL11</f>
        <v>5</v>
      </c>
      <c r="BM16" s="68">
        <f>SUM($H$13:BM13)*BM11</f>
        <v>5</v>
      </c>
      <c r="BN16" s="68">
        <f>SUM($H$13:BN13)*BN11</f>
        <v>5</v>
      </c>
      <c r="BO16" s="68">
        <f>SUM($H$13:BO13)*BO11</f>
        <v>5</v>
      </c>
      <c r="BP16" s="68">
        <f>SUM($H$13:BP13)*BP11</f>
        <v>5</v>
      </c>
      <c r="BQ16" s="68">
        <f>SUM($H$13:BQ13)*BQ11</f>
        <v>0</v>
      </c>
      <c r="BR16" s="68">
        <f>SUM($H$13:BR13)*BR11</f>
        <v>0</v>
      </c>
      <c r="BS16" s="68">
        <f>SUM($H$13:BS13)*BS11</f>
        <v>0</v>
      </c>
      <c r="BT16" s="68">
        <f>SUM($H$13:BT13)*BT11</f>
        <v>0</v>
      </c>
      <c r="BU16" s="68">
        <f>SUM($H$13:BU13)*BU11</f>
        <v>0</v>
      </c>
      <c r="BV16" s="68">
        <f>SUM($H$13:BV13)*BV11</f>
        <v>0</v>
      </c>
      <c r="BW16" s="68">
        <f>SUM($H$13:BW13)*BW11</f>
        <v>0</v>
      </c>
      <c r="BX16" s="68">
        <f>SUM($H$13:BX13)*BX11</f>
        <v>0</v>
      </c>
      <c r="BY16" s="68">
        <f>SUM($H$13:BY13)*BY11</f>
        <v>0</v>
      </c>
      <c r="BZ16" s="68">
        <f>SUM($H$13:BZ13)*BZ11</f>
        <v>0</v>
      </c>
      <c r="CA16" s="68">
        <f>SUM($H$13:CA13)*CA11</f>
        <v>0</v>
      </c>
      <c r="CB16" s="68">
        <f>SUM($H$13:CB13)*CB11</f>
        <v>0</v>
      </c>
      <c r="CC16" s="68">
        <f>SUM($H$13:CC13)*CC11</f>
        <v>0</v>
      </c>
      <c r="CD16" s="68">
        <f>SUM($H$13:CD13)*CD11</f>
        <v>0</v>
      </c>
      <c r="CE16" s="68">
        <f>SUM($H$13:CE13)*CE11</f>
        <v>0</v>
      </c>
      <c r="CF16" s="68">
        <f>SUM($H$13:CF13)*CF11</f>
        <v>0</v>
      </c>
      <c r="CG16" s="68">
        <f>SUM($H$13:CG13)*CG11</f>
        <v>0</v>
      </c>
      <c r="CH16" s="68">
        <f>SUM($H$13:CH13)*CH11</f>
        <v>0</v>
      </c>
      <c r="CI16" s="68">
        <f>SUM($H$13:CI13)*CI11</f>
        <v>0</v>
      </c>
      <c r="CJ16" s="68">
        <f>SUM($H$13:CJ13)*CJ11</f>
        <v>0</v>
      </c>
      <c r="CK16" s="68">
        <f>SUM($H$13:CK13)*CK11</f>
        <v>0</v>
      </c>
      <c r="CL16" s="68">
        <f>SUM($H$13:CL13)*CL11</f>
        <v>0</v>
      </c>
      <c r="CM16" s="68">
        <f>SUM($H$13:CM13)*CM11</f>
        <v>0</v>
      </c>
      <c r="CN16" s="68">
        <f>SUM($H$13:CN13)*CN11</f>
        <v>0</v>
      </c>
      <c r="CO16" s="68">
        <f>SUM($H$13:CO13)*CO11</f>
        <v>0</v>
      </c>
      <c r="CP16" s="68">
        <f>SUM($H$13:CP13)*CP11</f>
        <v>0</v>
      </c>
      <c r="CQ16" s="68">
        <f>SUM($H$13:CQ13)*CQ11</f>
        <v>0</v>
      </c>
      <c r="CR16" s="68">
        <f>SUM($H$13:CR13)*CR11</f>
        <v>0</v>
      </c>
      <c r="CS16" s="68">
        <f>SUM($H$13:CS13)*CS11</f>
        <v>0</v>
      </c>
      <c r="CT16" s="68">
        <f>SUM($H$13:CT13)*CT11</f>
        <v>0</v>
      </c>
      <c r="CU16" s="68">
        <f>SUM($H$13:CU13)*CU11</f>
        <v>0</v>
      </c>
      <c r="CV16" s="68">
        <f>SUM($H$13:CV13)*CV11</f>
        <v>0</v>
      </c>
      <c r="CW16" s="68">
        <f>SUM($H$13:CW13)*CW11</f>
        <v>0</v>
      </c>
      <c r="CX16" s="68">
        <f>SUM($H$13:CX13)*CX11</f>
        <v>0</v>
      </c>
      <c r="CY16" s="68">
        <f>SUM($H$13:CY13)*CY11</f>
        <v>0</v>
      </c>
      <c r="CZ16" s="68">
        <f>SUM($H$13:CZ13)*CZ11</f>
        <v>0</v>
      </c>
      <c r="DA16" s="68">
        <f>SUM($H$13:DA13)*DA11</f>
        <v>0</v>
      </c>
      <c r="DB16" s="68">
        <f>SUM($H$13:DB13)*DB11</f>
        <v>0</v>
      </c>
    </row>
    <row r="17" spans="2:106">
      <c r="B17" s="2" t="s">
        <v>222</v>
      </c>
    </row>
    <row r="18" spans="2:106">
      <c r="C18" s="13" t="s">
        <v>111</v>
      </c>
      <c r="F18" s="13">
        <f>SUM(H18:DB18)</f>
        <v>81962.917953115844</v>
      </c>
      <c r="H18" s="13">
        <f>운영수입!S$182</f>
        <v>0</v>
      </c>
      <c r="I18" s="13">
        <f>운영수입!T$182</f>
        <v>797.32055860704384</v>
      </c>
      <c r="J18" s="13">
        <f>운영수입!U$182</f>
        <v>1114.5693518005021</v>
      </c>
      <c r="K18" s="13">
        <f>운영수입!V$182</f>
        <v>1138.3245702722606</v>
      </c>
      <c r="L18" s="13">
        <f>운영수입!W$182</f>
        <v>1151.9417363347607</v>
      </c>
      <c r="M18" s="13">
        <f>운영수입!X$182</f>
        <v>1197.7777457857233</v>
      </c>
      <c r="N18" s="13">
        <f>운영수입!Y$182</f>
        <v>1210.9758812857235</v>
      </c>
      <c r="O18" s="13">
        <f>운영수입!Z$182</f>
        <v>1141.7573856215486</v>
      </c>
      <c r="P18" s="13">
        <f>운영수입!AA$182</f>
        <v>1299.9958384298818</v>
      </c>
      <c r="Q18" s="13">
        <f>운영수입!AB$182</f>
        <v>1299.9958384298818</v>
      </c>
      <c r="R18" s="13">
        <f>운영수입!AC$182</f>
        <v>1299.9958384298818</v>
      </c>
      <c r="S18" s="13">
        <f>운영수입!AD$182</f>
        <v>1299.9958384298818</v>
      </c>
      <c r="T18" s="13">
        <f>운영수입!AE$182</f>
        <v>1300.4314531572759</v>
      </c>
      <c r="U18" s="13">
        <f>운영수입!AF$182</f>
        <v>1310.4129590387502</v>
      </c>
      <c r="V18" s="13">
        <f>운영수입!AG$182</f>
        <v>1316.4129590387502</v>
      </c>
      <c r="W18" s="13">
        <f>운영수입!AH$182</f>
        <v>1323.6603563671615</v>
      </c>
      <c r="X18" s="13">
        <f>운영수입!AI$182</f>
        <v>1323.6603563671615</v>
      </c>
      <c r="Y18" s="13">
        <f>운영수입!AJ$182</f>
        <v>1328.7944029685282</v>
      </c>
      <c r="Z18" s="13">
        <f>운영수입!AK$182</f>
        <v>1330.5101605835282</v>
      </c>
      <c r="AA18" s="13">
        <f>운영수입!AL$182</f>
        <v>1337.5198586827782</v>
      </c>
      <c r="AB18" s="13">
        <f>운영수입!AM$182</f>
        <v>1337.5198586827782</v>
      </c>
      <c r="AC18" s="13">
        <f>운영수입!AN$182</f>
        <v>1337.5198586827782</v>
      </c>
      <c r="AD18" s="13">
        <f>운영수입!AO$182</f>
        <v>1337.5198586827782</v>
      </c>
      <c r="AE18" s="13">
        <f>운영수입!AP$182</f>
        <v>1337.5198586827782</v>
      </c>
      <c r="AF18" s="13">
        <f>운영수입!AQ$182</f>
        <v>1337.9685418519939</v>
      </c>
      <c r="AG18" s="13">
        <f>운영수입!AR$182</f>
        <v>1342.6438851264518</v>
      </c>
      <c r="AH18" s="13">
        <f>운영수입!AS$182</f>
        <v>1364.0792947573304</v>
      </c>
      <c r="AI18" s="13">
        <f>운영수입!AT$182</f>
        <v>1253.0489082501413</v>
      </c>
      <c r="AJ18" s="13">
        <f>운영수입!AU$182</f>
        <v>1378.9552891884118</v>
      </c>
      <c r="AK18" s="13">
        <f>운영수입!AV$182</f>
        <v>1384.2433571878191</v>
      </c>
      <c r="AL18" s="13">
        <f>운영수입!AW$182</f>
        <v>1386.0105875312693</v>
      </c>
      <c r="AM18" s="13">
        <f>운영수입!AX$182</f>
        <v>1393.2305765734968</v>
      </c>
      <c r="AN18" s="13">
        <f>운영수입!AY$182</f>
        <v>1393.2305765734968</v>
      </c>
      <c r="AO18" s="13">
        <f>운영수입!AZ$182</f>
        <v>1393.2305765734968</v>
      </c>
      <c r="AP18" s="13">
        <f>운영수입!BA$182</f>
        <v>1393.2305765734968</v>
      </c>
      <c r="AQ18" s="13">
        <f>운영수입!BB$182</f>
        <v>1393.2305765734968</v>
      </c>
      <c r="AR18" s="13">
        <f>운영수입!BC$182</f>
        <v>1389.5574637637533</v>
      </c>
      <c r="AS18" s="13">
        <f>운영수입!BD$182</f>
        <v>1415.7086818853986</v>
      </c>
      <c r="AT18" s="13">
        <f>운영수입!BE$182</f>
        <v>1422.0124318853984</v>
      </c>
      <c r="AU18" s="13">
        <f>운영수입!BF$182</f>
        <v>1429.9235309665949</v>
      </c>
      <c r="AV18" s="13">
        <f>운영수입!BG$182</f>
        <v>1429.9235309665949</v>
      </c>
      <c r="AW18" s="13">
        <f>운영수입!BH$182</f>
        <v>1439.8586890260876</v>
      </c>
      <c r="AX18" s="13">
        <f>운영수입!BI$182</f>
        <v>1441.6789362798411</v>
      </c>
      <c r="AY18" s="13">
        <f>운영수입!BJ$182</f>
        <v>1449.1155249933352</v>
      </c>
      <c r="AZ18" s="13">
        <f>운영수입!BK$182</f>
        <v>1449.1155249933352</v>
      </c>
      <c r="BA18" s="13">
        <f>운영수입!BL$182</f>
        <v>1449.1155249933352</v>
      </c>
      <c r="BB18" s="13">
        <f>운영수입!BM$182</f>
        <v>1449.1155249933352</v>
      </c>
      <c r="BC18" s="13">
        <f>운영수입!BN$182</f>
        <v>1449.1155249933352</v>
      </c>
      <c r="BD18" s="13">
        <f>운영수입!BO$182</f>
        <v>1449.9260375622616</v>
      </c>
      <c r="BE18" s="13">
        <f>운영수입!BP$182</f>
        <v>1479.4234671466209</v>
      </c>
      <c r="BF18" s="13">
        <f>운영수입!BQ$182</f>
        <v>1485.8848108966208</v>
      </c>
      <c r="BG18" s="13">
        <f>운영수입!BR$182</f>
        <v>1494.0332429502532</v>
      </c>
      <c r="BH18" s="13">
        <f>운영수입!BS$182</f>
        <v>1494.0332429502532</v>
      </c>
      <c r="BI18" s="13">
        <f>운영수입!BT$182</f>
        <v>1499.7780077314276</v>
      </c>
      <c r="BJ18" s="13">
        <f>운영수입!BU$182</f>
        <v>1501.6528624027935</v>
      </c>
      <c r="BK18" s="13">
        <f>운영수입!BV$182</f>
        <v>1509.3125487776929</v>
      </c>
      <c r="BL18" s="13">
        <f>운영수입!BW$182</f>
        <v>1509.3125487776929</v>
      </c>
      <c r="BM18" s="13">
        <f>운영수입!BX$182</f>
        <v>1509.3125487776929</v>
      </c>
      <c r="BN18" s="13">
        <f>운영수입!BY$182</f>
        <v>1509.3125487776929</v>
      </c>
      <c r="BO18" s="13">
        <f>운영수입!BZ$182</f>
        <v>1509.3125487776929</v>
      </c>
      <c r="BP18" s="13">
        <f>운영수입!CA$182</f>
        <v>1510.1473767236871</v>
      </c>
      <c r="BQ18" s="13">
        <f>운영수입!CB$182</f>
        <v>0</v>
      </c>
      <c r="BR18" s="13">
        <f>운영수입!CC$182</f>
        <v>0</v>
      </c>
      <c r="BS18" s="13">
        <f>운영수입!CD$182</f>
        <v>0</v>
      </c>
      <c r="BT18" s="13">
        <f>운영수입!CE$182</f>
        <v>0</v>
      </c>
      <c r="BU18" s="13">
        <f>운영수입!CF$182</f>
        <v>0</v>
      </c>
      <c r="BV18" s="13">
        <f>운영수입!CG$182</f>
        <v>0</v>
      </c>
      <c r="BW18" s="13">
        <f>운영수입!CH$182</f>
        <v>0</v>
      </c>
      <c r="BX18" s="13">
        <f>운영수입!CI$182</f>
        <v>0</v>
      </c>
      <c r="BY18" s="13">
        <f>운영수입!CJ$182</f>
        <v>0</v>
      </c>
      <c r="BZ18" s="13">
        <f>운영수입!CK$182</f>
        <v>0</v>
      </c>
      <c r="CA18" s="13">
        <f>운영수입!CL$182</f>
        <v>0</v>
      </c>
      <c r="CB18" s="13">
        <f>운영수입!CM$182</f>
        <v>0</v>
      </c>
      <c r="CC18" s="13">
        <f>운영수입!CN$182</f>
        <v>0</v>
      </c>
      <c r="CD18" s="13">
        <f>운영수입!CO$182</f>
        <v>0</v>
      </c>
      <c r="CE18" s="13">
        <f>운영수입!CP$182</f>
        <v>0</v>
      </c>
      <c r="CF18" s="13">
        <f>운영수입!CQ$182</f>
        <v>0</v>
      </c>
      <c r="CG18" s="13">
        <f>운영수입!CR$182</f>
        <v>0</v>
      </c>
      <c r="CH18" s="13">
        <f>운영수입!CS$182</f>
        <v>0</v>
      </c>
      <c r="CI18" s="13">
        <f>운영수입!CT$182</f>
        <v>0</v>
      </c>
      <c r="CJ18" s="13">
        <f>운영수입!CU$182</f>
        <v>0</v>
      </c>
      <c r="CK18" s="13">
        <f>운영수입!CV$182</f>
        <v>0</v>
      </c>
      <c r="CL18" s="13">
        <f>운영수입!CW$182</f>
        <v>0</v>
      </c>
      <c r="CM18" s="13">
        <f>운영수입!CX$182</f>
        <v>0</v>
      </c>
      <c r="CN18" s="13">
        <f>운영수입!CY$182</f>
        <v>0</v>
      </c>
      <c r="CO18" s="13">
        <f>운영수입!CZ$182</f>
        <v>0</v>
      </c>
      <c r="CP18" s="13">
        <f>운영수입!DA$182</f>
        <v>0</v>
      </c>
      <c r="CQ18" s="13">
        <f>운영수입!DB$182</f>
        <v>0</v>
      </c>
      <c r="CR18" s="13">
        <f>운영수입!DC$182</f>
        <v>0</v>
      </c>
      <c r="CS18" s="13">
        <f>운영수입!DD$182</f>
        <v>0</v>
      </c>
      <c r="CT18" s="13">
        <f>운영수입!DE$182</f>
        <v>0</v>
      </c>
      <c r="CU18" s="13">
        <f>운영수입!DF$182</f>
        <v>0</v>
      </c>
      <c r="CV18" s="13">
        <f>운영수입!DG$182</f>
        <v>0</v>
      </c>
      <c r="CW18" s="13">
        <f>운영수입!DH$182</f>
        <v>0</v>
      </c>
      <c r="CX18" s="13">
        <f>운영수입!DI$182</f>
        <v>0</v>
      </c>
      <c r="CY18" s="13">
        <f>운영수입!DJ$182</f>
        <v>0</v>
      </c>
      <c r="CZ18" s="13">
        <f>운영수입!DK$182</f>
        <v>0</v>
      </c>
      <c r="DA18" s="13">
        <f>운영수입!DL$182</f>
        <v>0</v>
      </c>
      <c r="DB18" s="13">
        <f>운영수입!DM$182</f>
        <v>0</v>
      </c>
    </row>
    <row r="19" spans="2:106">
      <c r="C19" s="13" t="s">
        <v>173</v>
      </c>
      <c r="F19" s="13">
        <f t="shared" ref="F19:F22" si="8">SUM(H19:DB19)</f>
        <v>-18020.535991059369</v>
      </c>
      <c r="H19" s="13">
        <f>운영비용!H$105*-1</f>
        <v>0</v>
      </c>
      <c r="I19" s="13">
        <f>운영비용!I$105*-1</f>
        <v>-277.35089733333336</v>
      </c>
      <c r="J19" s="13">
        <f>운영비용!J$105*-1</f>
        <v>-269.38613283333336</v>
      </c>
      <c r="K19" s="13">
        <f>운영비용!K$105*-1</f>
        <v>-269.38613283333336</v>
      </c>
      <c r="L19" s="13">
        <f>운영비용!L$105*-1</f>
        <v>-269.38613283333336</v>
      </c>
      <c r="M19" s="13">
        <f>운영비용!M$105*-1</f>
        <v>-269.38613283333336</v>
      </c>
      <c r="N19" s="13">
        <f>운영비용!N$105*-1</f>
        <v>-269.38613283333336</v>
      </c>
      <c r="O19" s="13">
        <f>운영비용!O$105*-1</f>
        <v>-269.38613283333336</v>
      </c>
      <c r="P19" s="13">
        <f>운영비용!P$105*-1</f>
        <v>-383.77032775833334</v>
      </c>
      <c r="Q19" s="13">
        <f>운영비용!Q$105*-1</f>
        <v>-269.38613283333336</v>
      </c>
      <c r="R19" s="13">
        <f>운영비용!R$105*-1</f>
        <v>-269.38613283333336</v>
      </c>
      <c r="S19" s="13">
        <f>운영비용!S$105*-1</f>
        <v>-361.77308133333338</v>
      </c>
      <c r="T19" s="13">
        <f>운영비용!T$105*-1</f>
        <v>-601.68688373083342</v>
      </c>
      <c r="U19" s="13">
        <f>운영비용!U$105*-1</f>
        <v>-276.12078615416664</v>
      </c>
      <c r="V19" s="13">
        <f>운영비용!V$105*-1</f>
        <v>-276.12078615416664</v>
      </c>
      <c r="W19" s="13">
        <f>운영비용!W$105*-1</f>
        <v>-276.12078615416664</v>
      </c>
      <c r="X19" s="13">
        <f>운영비용!X$105*-1</f>
        <v>-276.12078615416664</v>
      </c>
      <c r="Y19" s="13">
        <f>운영비용!Y$105*-1</f>
        <v>-276.12078615416664</v>
      </c>
      <c r="Z19" s="13">
        <f>운영비용!Z$105*-1</f>
        <v>-276.12078615416664</v>
      </c>
      <c r="AA19" s="13">
        <f>운영비용!AA$105*-1</f>
        <v>-276.12078615416664</v>
      </c>
      <c r="AB19" s="13">
        <f>운영비용!AB$105*-1</f>
        <v>-276.12078615416664</v>
      </c>
      <c r="AC19" s="13">
        <f>운영비용!AC$105*-1</f>
        <v>-276.12078615416664</v>
      </c>
      <c r="AD19" s="13">
        <f>운영비용!AD$105*-1</f>
        <v>-276.12078615416664</v>
      </c>
      <c r="AE19" s="13">
        <f>운영비용!AE$105*-1</f>
        <v>-276.12078615416664</v>
      </c>
      <c r="AF19" s="13">
        <f>운영비용!AF$105*-1</f>
        <v>-308.22014637901202</v>
      </c>
      <c r="AG19" s="13">
        <f>운영비용!AG$105*-1</f>
        <v>-283.02380580802077</v>
      </c>
      <c r="AH19" s="13">
        <f>운영비용!AH$105*-1</f>
        <v>-547.42720577838918</v>
      </c>
      <c r="AI19" s="13">
        <f>운영비용!AI$105*-1</f>
        <v>-283.02380580802077</v>
      </c>
      <c r="AJ19" s="13">
        <f>운영비용!AJ$105*-1</f>
        <v>-283.02380580802077</v>
      </c>
      <c r="AK19" s="13">
        <f>운영비용!AK$105*-1</f>
        <v>-283.02380580802077</v>
      </c>
      <c r="AL19" s="13">
        <f>운영비용!AL$105*-1</f>
        <v>-283.02380580802077</v>
      </c>
      <c r="AM19" s="13">
        <f>운영비용!AM$105*-1</f>
        <v>-283.02380580802077</v>
      </c>
      <c r="AN19" s="13">
        <f>운영비용!AN$105*-1</f>
        <v>-283.02380580802077</v>
      </c>
      <c r="AO19" s="13">
        <f>운영비용!AO$105*-1</f>
        <v>-283.02380580802077</v>
      </c>
      <c r="AP19" s="13">
        <f>운영비용!AP$105*-1</f>
        <v>-283.02380580802077</v>
      </c>
      <c r="AQ19" s="13">
        <f>운영비용!AQ$105*-1</f>
        <v>-315.12316603286615</v>
      </c>
      <c r="AR19" s="13">
        <f>운영비용!AR$105*-1</f>
        <v>-283.02380580802077</v>
      </c>
      <c r="AS19" s="13">
        <f>운영비용!AS$105*-1</f>
        <v>-290.09940095322133</v>
      </c>
      <c r="AT19" s="13">
        <f>운영비용!AT$105*-1</f>
        <v>-290.09940095322133</v>
      </c>
      <c r="AU19" s="13">
        <f>운영비용!AU$105*-1</f>
        <v>-290.09940095322133</v>
      </c>
      <c r="AV19" s="13">
        <f>운영비용!AV$105*-1</f>
        <v>-380.87790160971446</v>
      </c>
      <c r="AW19" s="13">
        <f>운영비용!AW$105*-1</f>
        <v>-290.09940095322133</v>
      </c>
      <c r="AX19" s="13">
        <f>운영비용!AX$105*-1</f>
        <v>-290.09940095322133</v>
      </c>
      <c r="AY19" s="13">
        <f>운영비용!AY$105*-1</f>
        <v>-290.09940095322133</v>
      </c>
      <c r="AZ19" s="13">
        <f>운영비용!AZ$105*-1</f>
        <v>-290.09940095322133</v>
      </c>
      <c r="BA19" s="13">
        <f>운영비용!BA$105*-1</f>
        <v>-290.09940095322133</v>
      </c>
      <c r="BB19" s="13">
        <f>운영비용!BB$105*-1</f>
        <v>-290.09940095322133</v>
      </c>
      <c r="BC19" s="13">
        <f>운영비용!BC$105*-1</f>
        <v>-290.09940095322133</v>
      </c>
      <c r="BD19" s="13">
        <f>운영비용!BD$105*-1</f>
        <v>-352.43397140401328</v>
      </c>
      <c r="BE19" s="13">
        <f>운영비용!BE$105*-1</f>
        <v>-297.35188597705184</v>
      </c>
      <c r="BF19" s="13">
        <f>운영비용!BF$105*-1</f>
        <v>-297.35188597705184</v>
      </c>
      <c r="BG19" s="13">
        <f>운영비용!BG$105*-1</f>
        <v>-297.35188597705184</v>
      </c>
      <c r="BH19" s="13">
        <f>운영비용!BH$105*-1</f>
        <v>-297.35188597705184</v>
      </c>
      <c r="BI19" s="13">
        <f>운영비용!BI$105*-1</f>
        <v>-297.35188597705184</v>
      </c>
      <c r="BJ19" s="13">
        <f>운영비용!BJ$105*-1</f>
        <v>-297.35188597705184</v>
      </c>
      <c r="BK19" s="13">
        <f>운영비용!BK$105*-1</f>
        <v>-297.35188597705184</v>
      </c>
      <c r="BL19" s="13">
        <f>운영비용!BL$105*-1</f>
        <v>-297.35188597705184</v>
      </c>
      <c r="BM19" s="13">
        <f>운영비용!BM$105*-1</f>
        <v>-297.35188597705184</v>
      </c>
      <c r="BN19" s="13">
        <f>운영비용!BN$105*-1</f>
        <v>-297.35188597705184</v>
      </c>
      <c r="BO19" s="13">
        <f>운영비용!BO$105*-1</f>
        <v>-297.35188597705184</v>
      </c>
      <c r="BP19" s="13">
        <f>운영비용!BP$105*-1</f>
        <v>-297.35188597705184</v>
      </c>
      <c r="BQ19" s="13">
        <f>운영비용!BQ$105*-1</f>
        <v>0</v>
      </c>
      <c r="BR19" s="13">
        <f>운영비용!BR$105*-1</f>
        <v>0</v>
      </c>
      <c r="BS19" s="13">
        <f>운영비용!BS$105*-1</f>
        <v>0</v>
      </c>
      <c r="BT19" s="13">
        <f>운영비용!BT$105*-1</f>
        <v>0</v>
      </c>
      <c r="BU19" s="13">
        <f>운영비용!BU$105*-1</f>
        <v>0</v>
      </c>
      <c r="BV19" s="13">
        <f>운영비용!BV$105*-1</f>
        <v>0</v>
      </c>
      <c r="BW19" s="13">
        <f>운영비용!BW$105*-1</f>
        <v>0</v>
      </c>
      <c r="BX19" s="13">
        <f>운영비용!BX$105*-1</f>
        <v>0</v>
      </c>
      <c r="BY19" s="13">
        <f>운영비용!BY$105*-1</f>
        <v>0</v>
      </c>
      <c r="BZ19" s="13">
        <f>운영비용!BZ$105*-1</f>
        <v>0</v>
      </c>
      <c r="CA19" s="13">
        <f>운영비용!CA$105*-1</f>
        <v>0</v>
      </c>
      <c r="CB19" s="13">
        <f>운영비용!CB$105*-1</f>
        <v>0</v>
      </c>
      <c r="CC19" s="13">
        <f>운영비용!CC$105*-1</f>
        <v>0</v>
      </c>
      <c r="CD19" s="13">
        <f>운영비용!CD$105*-1</f>
        <v>0</v>
      </c>
      <c r="CE19" s="13">
        <f>운영비용!CE$105*-1</f>
        <v>0</v>
      </c>
      <c r="CF19" s="13">
        <f>운영비용!CF$105*-1</f>
        <v>0</v>
      </c>
      <c r="CG19" s="13">
        <f>운영비용!CG$105*-1</f>
        <v>0</v>
      </c>
      <c r="CH19" s="13">
        <f>운영비용!CH$105*-1</f>
        <v>0</v>
      </c>
      <c r="CI19" s="13">
        <f>운영비용!CI$105*-1</f>
        <v>0</v>
      </c>
      <c r="CJ19" s="13">
        <f>운영비용!CJ$105*-1</f>
        <v>0</v>
      </c>
      <c r="CK19" s="13">
        <f>운영비용!CK$105*-1</f>
        <v>0</v>
      </c>
      <c r="CL19" s="13">
        <f>운영비용!CL$105*-1</f>
        <v>0</v>
      </c>
      <c r="CM19" s="13">
        <f>운영비용!CM$105*-1</f>
        <v>0</v>
      </c>
      <c r="CN19" s="13">
        <f>운영비용!CN$105*-1</f>
        <v>0</v>
      </c>
      <c r="CO19" s="13">
        <f>운영비용!CO$105*-1</f>
        <v>0</v>
      </c>
      <c r="CP19" s="13">
        <f>운영비용!CP$105*-1</f>
        <v>0</v>
      </c>
      <c r="CQ19" s="13">
        <f>운영비용!CQ$105*-1</f>
        <v>0</v>
      </c>
      <c r="CR19" s="13">
        <f>운영비용!CR$105*-1</f>
        <v>0</v>
      </c>
      <c r="CS19" s="13">
        <f>운영비용!CS$105*-1</f>
        <v>0</v>
      </c>
      <c r="CT19" s="13">
        <f>운영비용!CT$105*-1</f>
        <v>0</v>
      </c>
      <c r="CU19" s="13">
        <f>운영비용!CU$105*-1</f>
        <v>0</v>
      </c>
      <c r="CV19" s="13">
        <f>운영비용!CV$105*-1</f>
        <v>0</v>
      </c>
      <c r="CW19" s="13">
        <f>운영비용!CW$105*-1</f>
        <v>0</v>
      </c>
      <c r="CX19" s="13">
        <f>운영비용!CX$105*-1</f>
        <v>0</v>
      </c>
      <c r="CY19" s="13">
        <f>운영비용!CY$105*-1</f>
        <v>0</v>
      </c>
      <c r="CZ19" s="13">
        <f>운영비용!CZ$105*-1</f>
        <v>0</v>
      </c>
      <c r="DA19" s="13">
        <f>운영비용!DA$105*-1</f>
        <v>0</v>
      </c>
      <c r="DB19" s="13">
        <f>운영비용!DB$105*-1</f>
        <v>0</v>
      </c>
    </row>
    <row r="20" spans="2:106" ht="17">
      <c r="C20" s="13" t="s">
        <v>199</v>
      </c>
      <c r="F20" s="13">
        <f t="shared" si="8"/>
        <v>-2849.9999999999982</v>
      </c>
      <c r="H20" s="13">
        <f>펀드비용!H$38*-1</f>
        <v>0</v>
      </c>
      <c r="I20" s="13">
        <f>펀드비용!I$38*-1</f>
        <v>0</v>
      </c>
      <c r="J20" s="13">
        <f>펀드비용!J$38*-1</f>
        <v>0</v>
      </c>
      <c r="K20" s="13">
        <f>펀드비용!K$38*-1</f>
        <v>0</v>
      </c>
      <c r="L20" s="13">
        <f>펀드비용!L$38*-1</f>
        <v>0</v>
      </c>
      <c r="M20" s="20">
        <f>펀드비용!M$38*-1</f>
        <v>0</v>
      </c>
      <c r="N20" s="13">
        <f>펀드비용!N$38*-1</f>
        <v>-285.00000000000006</v>
      </c>
      <c r="O20" s="13">
        <f>펀드비용!O$38*-1</f>
        <v>0</v>
      </c>
      <c r="P20" s="13">
        <f>펀드비용!P$38*-1</f>
        <v>0</v>
      </c>
      <c r="Q20" s="13">
        <f>펀드비용!Q$38*-1</f>
        <v>0</v>
      </c>
      <c r="R20" s="13">
        <f>펀드비용!R$38*-1</f>
        <v>0</v>
      </c>
      <c r="S20" s="13">
        <f>펀드비용!S$38*-1</f>
        <v>0</v>
      </c>
      <c r="T20" s="13">
        <f>펀드비용!T$38*-1</f>
        <v>-284.99999999999989</v>
      </c>
      <c r="U20" s="13">
        <f>펀드비용!U$38*-1</f>
        <v>0</v>
      </c>
      <c r="V20" s="13">
        <f>펀드비용!V$38*-1</f>
        <v>0</v>
      </c>
      <c r="W20" s="13">
        <f>펀드비용!W$38*-1</f>
        <v>0</v>
      </c>
      <c r="X20" s="13">
        <f>펀드비용!X$38*-1</f>
        <v>0</v>
      </c>
      <c r="Y20" s="13">
        <f>펀드비용!Y$38*-1</f>
        <v>0</v>
      </c>
      <c r="Z20" s="13">
        <f>펀드비용!Z$38*-1</f>
        <v>-285.00000000000006</v>
      </c>
      <c r="AA20" s="13">
        <f>펀드비용!AA$38*-1</f>
        <v>0</v>
      </c>
      <c r="AB20" s="13">
        <f>펀드비용!AB$38*-1</f>
        <v>0</v>
      </c>
      <c r="AC20" s="13">
        <f>펀드비용!AC$38*-1</f>
        <v>0</v>
      </c>
      <c r="AD20" s="13">
        <f>펀드비용!AD$38*-1</f>
        <v>0</v>
      </c>
      <c r="AE20" s="13">
        <f>펀드비용!AE$38*-1</f>
        <v>0</v>
      </c>
      <c r="AF20" s="13">
        <f>펀드비용!AF$38*-1</f>
        <v>-285.00000000000023</v>
      </c>
      <c r="AG20" s="13">
        <f>펀드비용!AG$38*-1</f>
        <v>0</v>
      </c>
      <c r="AH20" s="13">
        <f>펀드비용!AH$38*-1</f>
        <v>0</v>
      </c>
      <c r="AI20" s="13">
        <f>펀드비용!AI$38*-1</f>
        <v>0</v>
      </c>
      <c r="AJ20" s="13">
        <f>펀드비용!AJ$38*-1</f>
        <v>0</v>
      </c>
      <c r="AK20" s="13">
        <f>펀드비용!AK$38*-1</f>
        <v>0</v>
      </c>
      <c r="AL20" s="13">
        <f>펀드비용!AL$38*-1</f>
        <v>-285.00000000000023</v>
      </c>
      <c r="AM20" s="13">
        <f>펀드비용!AM$38*-1</f>
        <v>0</v>
      </c>
      <c r="AN20" s="13">
        <f>펀드비용!AN$38*-1</f>
        <v>0</v>
      </c>
      <c r="AO20" s="13">
        <f>펀드비용!AO$38*-1</f>
        <v>0</v>
      </c>
      <c r="AP20" s="13">
        <f>펀드비용!AP$38*-1</f>
        <v>0</v>
      </c>
      <c r="AQ20" s="13">
        <f>펀드비용!AQ$38*-1</f>
        <v>0</v>
      </c>
      <c r="AR20" s="13">
        <f>펀드비용!AR$38*-1</f>
        <v>-284.99999999999949</v>
      </c>
      <c r="AS20" s="13">
        <f>펀드비용!AS$38*-1</f>
        <v>0</v>
      </c>
      <c r="AT20" s="13">
        <f>펀드비용!AT$38*-1</f>
        <v>0</v>
      </c>
      <c r="AU20" s="13">
        <f>펀드비용!AU$38*-1</f>
        <v>0</v>
      </c>
      <c r="AV20" s="13">
        <f>펀드비용!AV$38*-1</f>
        <v>0</v>
      </c>
      <c r="AW20" s="13">
        <f>펀드비용!AW$38*-1</f>
        <v>0</v>
      </c>
      <c r="AX20" s="13">
        <f>펀드비용!AX$38*-1</f>
        <v>-284.99999999999955</v>
      </c>
      <c r="AY20" s="13">
        <f>펀드비용!AY$38*-1</f>
        <v>0</v>
      </c>
      <c r="AZ20" s="13">
        <f>펀드비용!AZ$38*-1</f>
        <v>0</v>
      </c>
      <c r="BA20" s="13">
        <f>펀드비용!BA$38*-1</f>
        <v>0</v>
      </c>
      <c r="BB20" s="13">
        <f>펀드비용!BB$38*-1</f>
        <v>0</v>
      </c>
      <c r="BC20" s="13">
        <f>펀드비용!BC$38*-1</f>
        <v>0</v>
      </c>
      <c r="BD20" s="13">
        <f>펀드비용!BD$38*-1</f>
        <v>-284.99999999999955</v>
      </c>
      <c r="BE20" s="13">
        <f>펀드비용!BE$38*-1</f>
        <v>0</v>
      </c>
      <c r="BF20" s="13">
        <f>펀드비용!BF$38*-1</f>
        <v>0</v>
      </c>
      <c r="BG20" s="13">
        <f>펀드비용!BG$38*-1</f>
        <v>0</v>
      </c>
      <c r="BH20" s="13">
        <f>펀드비용!BH$38*-1</f>
        <v>0</v>
      </c>
      <c r="BI20" s="13">
        <f>펀드비용!BI$38*-1</f>
        <v>0</v>
      </c>
      <c r="BJ20" s="13">
        <f>펀드비용!BJ$38*-1</f>
        <v>-284.99999999999955</v>
      </c>
      <c r="BK20" s="13">
        <f>펀드비용!BK$38*-1</f>
        <v>0</v>
      </c>
      <c r="BL20" s="13">
        <f>펀드비용!BL$38*-1</f>
        <v>0</v>
      </c>
      <c r="BM20" s="13">
        <f>펀드비용!BM$38*-1</f>
        <v>0</v>
      </c>
      <c r="BN20" s="13">
        <f>펀드비용!BN$38*-1</f>
        <v>0</v>
      </c>
      <c r="BO20" s="13">
        <f>펀드비용!BO$38*-1</f>
        <v>0</v>
      </c>
      <c r="BP20" s="13">
        <f>펀드비용!BP$38*-1</f>
        <v>-284.99999999999955</v>
      </c>
      <c r="BQ20" s="13">
        <f>펀드비용!BQ$38*-1</f>
        <v>0</v>
      </c>
      <c r="BR20" s="13">
        <f>펀드비용!BR$38*-1</f>
        <v>0</v>
      </c>
      <c r="BS20" s="13">
        <f>펀드비용!BS$38*-1</f>
        <v>0</v>
      </c>
      <c r="BT20" s="13">
        <f>펀드비용!BT$38*-1</f>
        <v>0</v>
      </c>
      <c r="BU20" s="13">
        <f>펀드비용!BU$38*-1</f>
        <v>0</v>
      </c>
      <c r="BV20" s="13">
        <f>펀드비용!BV$38*-1</f>
        <v>0</v>
      </c>
      <c r="BW20" s="13">
        <f>펀드비용!BW$38*-1</f>
        <v>0</v>
      </c>
      <c r="BX20" s="13">
        <f>펀드비용!BX$38*-1</f>
        <v>0</v>
      </c>
      <c r="BY20" s="13">
        <f>펀드비용!BY$38*-1</f>
        <v>0</v>
      </c>
      <c r="BZ20" s="13">
        <f>펀드비용!BZ$38*-1</f>
        <v>0</v>
      </c>
      <c r="CA20" s="13">
        <f>펀드비용!CA$38*-1</f>
        <v>0</v>
      </c>
      <c r="CB20" s="13">
        <f>펀드비용!CB$38*-1</f>
        <v>0</v>
      </c>
      <c r="CC20" s="13">
        <f>펀드비용!CC$38*-1</f>
        <v>0</v>
      </c>
      <c r="CD20" s="13">
        <f>펀드비용!CD$38*-1</f>
        <v>0</v>
      </c>
      <c r="CE20" s="13">
        <f>펀드비용!CE$38*-1</f>
        <v>0</v>
      </c>
      <c r="CF20" s="13">
        <f>펀드비용!CF$38*-1</f>
        <v>0</v>
      </c>
      <c r="CG20" s="13">
        <f>펀드비용!CG$38*-1</f>
        <v>0</v>
      </c>
      <c r="CH20" s="13">
        <f>펀드비용!CH$38*-1</f>
        <v>0</v>
      </c>
      <c r="CI20" s="13">
        <f>펀드비용!CI$38*-1</f>
        <v>0</v>
      </c>
      <c r="CJ20" s="13">
        <f>펀드비용!CJ$38*-1</f>
        <v>0</v>
      </c>
      <c r="CK20" s="13">
        <f>펀드비용!CK$38*-1</f>
        <v>0</v>
      </c>
      <c r="CL20" s="13">
        <f>펀드비용!CL$38*-1</f>
        <v>0</v>
      </c>
      <c r="CM20" s="13">
        <f>펀드비용!CM$38*-1</f>
        <v>0</v>
      </c>
      <c r="CN20" s="13">
        <f>펀드비용!CN$38*-1</f>
        <v>0</v>
      </c>
      <c r="CO20" s="13">
        <f>펀드비용!CO$38*-1</f>
        <v>0</v>
      </c>
      <c r="CP20" s="13">
        <f>펀드비용!CP$38*-1</f>
        <v>0</v>
      </c>
      <c r="CQ20" s="13">
        <f>펀드비용!CQ$38*-1</f>
        <v>0</v>
      </c>
      <c r="CR20" s="13">
        <f>펀드비용!CR$38*-1</f>
        <v>0</v>
      </c>
      <c r="CS20" s="13">
        <f>펀드비용!CS$38*-1</f>
        <v>0</v>
      </c>
      <c r="CT20" s="13">
        <f>펀드비용!CT$38*-1</f>
        <v>0</v>
      </c>
      <c r="CU20" s="13">
        <f>펀드비용!CU$38*-1</f>
        <v>0</v>
      </c>
      <c r="CV20" s="13">
        <f>펀드비용!CV$38*-1</f>
        <v>0</v>
      </c>
      <c r="CW20" s="13">
        <f>펀드비용!CW$38*-1</f>
        <v>0</v>
      </c>
      <c r="CX20" s="13">
        <f>펀드비용!CX$38*-1</f>
        <v>0</v>
      </c>
      <c r="CY20" s="13">
        <f>펀드비용!CY$38*-1</f>
        <v>0</v>
      </c>
      <c r="CZ20" s="13">
        <f>펀드비용!CZ$38*-1</f>
        <v>0</v>
      </c>
      <c r="DA20" s="13">
        <f>펀드비용!DA$38*-1</f>
        <v>0</v>
      </c>
      <c r="DB20" s="13">
        <f>펀드비용!DB$38*-1</f>
        <v>0</v>
      </c>
    </row>
    <row r="21" spans="2:106">
      <c r="C21" s="13" t="s">
        <v>223</v>
      </c>
      <c r="F21" s="13">
        <f t="shared" ca="1" si="8"/>
        <v>-34928.030907406122</v>
      </c>
      <c r="H21" s="13">
        <f t="shared" ref="H21:AM21" ca="1" si="9">IF(Cir=1,H138*-1,0)</f>
        <v>0</v>
      </c>
      <c r="I21" s="13">
        <f t="shared" ca="1" si="9"/>
        <v>0</v>
      </c>
      <c r="J21" s="13">
        <f t="shared" ca="1" si="9"/>
        <v>0</v>
      </c>
      <c r="K21" s="13">
        <f t="shared" ca="1" si="9"/>
        <v>0</v>
      </c>
      <c r="L21" s="13">
        <f t="shared" ca="1" si="9"/>
        <v>0</v>
      </c>
      <c r="M21" s="13">
        <f t="shared" ca="1" si="9"/>
        <v>0</v>
      </c>
      <c r="N21" s="13">
        <f t="shared" ca="1" si="9"/>
        <v>-3624.1754517382028</v>
      </c>
      <c r="O21" s="13">
        <f t="shared" ca="1" si="9"/>
        <v>0</v>
      </c>
      <c r="P21" s="13">
        <f t="shared" ca="1" si="9"/>
        <v>0</v>
      </c>
      <c r="Q21" s="13">
        <f t="shared" ca="1" si="9"/>
        <v>0</v>
      </c>
      <c r="R21" s="13">
        <f t="shared" ca="1" si="9"/>
        <v>0</v>
      </c>
      <c r="S21" s="13">
        <f t="shared" ca="1" si="9"/>
        <v>0</v>
      </c>
      <c r="T21" s="13">
        <f t="shared" ca="1" si="9"/>
        <v>-3597.3837850715372</v>
      </c>
      <c r="U21" s="13">
        <f t="shared" ca="1" si="9"/>
        <v>0</v>
      </c>
      <c r="V21" s="13">
        <f t="shared" ca="1" si="9"/>
        <v>0</v>
      </c>
      <c r="W21" s="13">
        <f t="shared" ca="1" si="9"/>
        <v>0</v>
      </c>
      <c r="X21" s="13">
        <f t="shared" ca="1" si="9"/>
        <v>0</v>
      </c>
      <c r="Y21" s="13">
        <f t="shared" ca="1" si="9"/>
        <v>0</v>
      </c>
      <c r="Z21" s="13">
        <f t="shared" ca="1" si="9"/>
        <v>-3597.3837850715345</v>
      </c>
      <c r="AA21" s="13">
        <f t="shared" ca="1" si="9"/>
        <v>0</v>
      </c>
      <c r="AB21" s="13">
        <f t="shared" ca="1" si="9"/>
        <v>0</v>
      </c>
      <c r="AC21" s="13">
        <f t="shared" ca="1" si="9"/>
        <v>0</v>
      </c>
      <c r="AD21" s="13">
        <f t="shared" ca="1" si="9"/>
        <v>0</v>
      </c>
      <c r="AE21" s="13">
        <f t="shared" ca="1" si="9"/>
        <v>0</v>
      </c>
      <c r="AF21" s="13">
        <f t="shared" ca="1" si="9"/>
        <v>-3570.5921184048648</v>
      </c>
      <c r="AG21" s="13">
        <f t="shared" ca="1" si="9"/>
        <v>0</v>
      </c>
      <c r="AH21" s="13">
        <f t="shared" ca="1" si="9"/>
        <v>0</v>
      </c>
      <c r="AI21" s="13">
        <f t="shared" ca="1" si="9"/>
        <v>0</v>
      </c>
      <c r="AJ21" s="13">
        <f t="shared" ca="1" si="9"/>
        <v>0</v>
      </c>
      <c r="AK21" s="13">
        <f t="shared" ca="1" si="9"/>
        <v>0</v>
      </c>
      <c r="AL21" s="13">
        <f t="shared" ca="1" si="9"/>
        <v>-3603.5921184048652</v>
      </c>
      <c r="AM21" s="13">
        <f t="shared" ca="1" si="9"/>
        <v>0</v>
      </c>
      <c r="AN21" s="13">
        <f t="shared" ref="AN21:BS21" ca="1" si="10">IF(Cir=1,AN138*-1,0)</f>
        <v>0</v>
      </c>
      <c r="AO21" s="13">
        <f t="shared" ca="1" si="10"/>
        <v>0</v>
      </c>
      <c r="AP21" s="13">
        <f t="shared" ca="1" si="10"/>
        <v>0</v>
      </c>
      <c r="AQ21" s="13">
        <f t="shared" ca="1" si="10"/>
        <v>0</v>
      </c>
      <c r="AR21" s="13">
        <f t="shared" ca="1" si="10"/>
        <v>-3578.3837850715408</v>
      </c>
      <c r="AS21" s="13">
        <f t="shared" ca="1" si="10"/>
        <v>0</v>
      </c>
      <c r="AT21" s="13">
        <f t="shared" ca="1" si="10"/>
        <v>0</v>
      </c>
      <c r="AU21" s="13">
        <f t="shared" ca="1" si="10"/>
        <v>0</v>
      </c>
      <c r="AV21" s="13">
        <f t="shared" ca="1" si="10"/>
        <v>0</v>
      </c>
      <c r="AW21" s="13">
        <f t="shared" ca="1" si="10"/>
        <v>0</v>
      </c>
      <c r="AX21" s="13">
        <f t="shared" ca="1" si="10"/>
        <v>-3345.4320492442266</v>
      </c>
      <c r="AY21" s="13">
        <f t="shared" ca="1" si="10"/>
        <v>0</v>
      </c>
      <c r="AZ21" s="13">
        <f t="shared" ca="1" si="10"/>
        <v>0</v>
      </c>
      <c r="BA21" s="13">
        <f t="shared" ca="1" si="10"/>
        <v>0</v>
      </c>
      <c r="BB21" s="13">
        <f t="shared" ca="1" si="10"/>
        <v>0</v>
      </c>
      <c r="BC21" s="13">
        <f t="shared" ca="1" si="10"/>
        <v>0</v>
      </c>
      <c r="BD21" s="13">
        <f t="shared" ca="1" si="10"/>
        <v>-3345.4320492442257</v>
      </c>
      <c r="BE21" s="13">
        <f t="shared" ca="1" si="10"/>
        <v>0</v>
      </c>
      <c r="BF21" s="13">
        <f t="shared" ca="1" si="10"/>
        <v>0</v>
      </c>
      <c r="BG21" s="13">
        <f t="shared" ca="1" si="10"/>
        <v>0</v>
      </c>
      <c r="BH21" s="13">
        <f t="shared" ca="1" si="10"/>
        <v>0</v>
      </c>
      <c r="BI21" s="13">
        <f t="shared" ca="1" si="10"/>
        <v>0</v>
      </c>
      <c r="BJ21" s="13">
        <f t="shared" ca="1" si="10"/>
        <v>-3345.4320492442271</v>
      </c>
      <c r="BK21" s="13">
        <f t="shared" ca="1" si="10"/>
        <v>0</v>
      </c>
      <c r="BL21" s="13">
        <f t="shared" ca="1" si="10"/>
        <v>0</v>
      </c>
      <c r="BM21" s="13">
        <f t="shared" ca="1" si="10"/>
        <v>0</v>
      </c>
      <c r="BN21" s="13">
        <f t="shared" ca="1" si="10"/>
        <v>0</v>
      </c>
      <c r="BO21" s="13">
        <f t="shared" ca="1" si="10"/>
        <v>0</v>
      </c>
      <c r="BP21" s="13">
        <f t="shared" ca="1" si="10"/>
        <v>-3320.2237159108981</v>
      </c>
      <c r="BQ21" s="13">
        <f t="shared" ca="1" si="10"/>
        <v>0</v>
      </c>
      <c r="BR21" s="13">
        <f t="shared" ca="1" si="10"/>
        <v>0</v>
      </c>
      <c r="BS21" s="13">
        <f t="shared" ca="1" si="10"/>
        <v>0</v>
      </c>
      <c r="BT21" s="13">
        <f t="shared" ref="BT21:DB21" ca="1" si="11">IF(Cir=1,BT138*-1,0)</f>
        <v>0</v>
      </c>
      <c r="BU21" s="13">
        <f t="shared" ca="1" si="11"/>
        <v>0</v>
      </c>
      <c r="BV21" s="13">
        <f t="shared" ca="1" si="11"/>
        <v>0</v>
      </c>
      <c r="BW21" s="13">
        <f t="shared" ca="1" si="11"/>
        <v>0</v>
      </c>
      <c r="BX21" s="13">
        <f t="shared" ca="1" si="11"/>
        <v>0</v>
      </c>
      <c r="BY21" s="13">
        <f t="shared" ca="1" si="11"/>
        <v>0</v>
      </c>
      <c r="BZ21" s="13">
        <f t="shared" ca="1" si="11"/>
        <v>0</v>
      </c>
      <c r="CA21" s="13">
        <f t="shared" ca="1" si="11"/>
        <v>0</v>
      </c>
      <c r="CB21" s="13">
        <f t="shared" ca="1" si="11"/>
        <v>0</v>
      </c>
      <c r="CC21" s="13">
        <f t="shared" ca="1" si="11"/>
        <v>0</v>
      </c>
      <c r="CD21" s="13">
        <f t="shared" ca="1" si="11"/>
        <v>0</v>
      </c>
      <c r="CE21" s="13">
        <f t="shared" ca="1" si="11"/>
        <v>0</v>
      </c>
      <c r="CF21" s="13">
        <f t="shared" ca="1" si="11"/>
        <v>0</v>
      </c>
      <c r="CG21" s="13">
        <f t="shared" ca="1" si="11"/>
        <v>0</v>
      </c>
      <c r="CH21" s="13">
        <f t="shared" ca="1" si="11"/>
        <v>0</v>
      </c>
      <c r="CI21" s="13">
        <f t="shared" ca="1" si="11"/>
        <v>0</v>
      </c>
      <c r="CJ21" s="13">
        <f t="shared" ca="1" si="11"/>
        <v>0</v>
      </c>
      <c r="CK21" s="13">
        <f t="shared" ca="1" si="11"/>
        <v>0</v>
      </c>
      <c r="CL21" s="13">
        <f t="shared" ca="1" si="11"/>
        <v>0</v>
      </c>
      <c r="CM21" s="13">
        <f t="shared" ca="1" si="11"/>
        <v>0</v>
      </c>
      <c r="CN21" s="13">
        <f t="shared" ca="1" si="11"/>
        <v>0</v>
      </c>
      <c r="CO21" s="13">
        <f t="shared" ca="1" si="11"/>
        <v>0</v>
      </c>
      <c r="CP21" s="13">
        <f t="shared" ca="1" si="11"/>
        <v>0</v>
      </c>
      <c r="CQ21" s="13">
        <f t="shared" ca="1" si="11"/>
        <v>0</v>
      </c>
      <c r="CR21" s="13">
        <f t="shared" ca="1" si="11"/>
        <v>0</v>
      </c>
      <c r="CS21" s="13">
        <f t="shared" ca="1" si="11"/>
        <v>0</v>
      </c>
      <c r="CT21" s="13">
        <f t="shared" ca="1" si="11"/>
        <v>0</v>
      </c>
      <c r="CU21" s="13">
        <f t="shared" ca="1" si="11"/>
        <v>0</v>
      </c>
      <c r="CV21" s="13">
        <f t="shared" ca="1" si="11"/>
        <v>0</v>
      </c>
      <c r="CW21" s="13">
        <f t="shared" ca="1" si="11"/>
        <v>0</v>
      </c>
      <c r="CX21" s="13">
        <f t="shared" ca="1" si="11"/>
        <v>0</v>
      </c>
      <c r="CY21" s="13">
        <f t="shared" ca="1" si="11"/>
        <v>0</v>
      </c>
      <c r="CZ21" s="13">
        <f t="shared" ca="1" si="11"/>
        <v>0</v>
      </c>
      <c r="DA21" s="13">
        <f t="shared" ca="1" si="11"/>
        <v>0</v>
      </c>
      <c r="DB21" s="13">
        <f t="shared" ca="1" si="11"/>
        <v>0</v>
      </c>
    </row>
    <row r="22" spans="2:106">
      <c r="C22" s="96" t="s">
        <v>224</v>
      </c>
      <c r="D22" s="96"/>
      <c r="E22" s="96"/>
      <c r="F22" s="96">
        <f t="shared" ca="1" si="8"/>
        <v>26164.351054650266</v>
      </c>
      <c r="G22" s="96"/>
      <c r="H22" s="96">
        <f ca="1">SUM(H18:H21)</f>
        <v>0</v>
      </c>
      <c r="I22" s="96">
        <f t="shared" ref="I22:BT22" ca="1" si="12">SUM(I18:I21)</f>
        <v>519.96966127371047</v>
      </c>
      <c r="J22" s="96">
        <f t="shared" ca="1" si="12"/>
        <v>845.18321896716873</v>
      </c>
      <c r="K22" s="96">
        <f t="shared" ca="1" si="12"/>
        <v>868.93843743892728</v>
      </c>
      <c r="L22" s="96">
        <f t="shared" ca="1" si="12"/>
        <v>882.5556035014273</v>
      </c>
      <c r="M22" s="96">
        <f t="shared" ca="1" si="12"/>
        <v>928.39161295238989</v>
      </c>
      <c r="N22" s="96">
        <f t="shared" ca="1" si="12"/>
        <v>-2967.585703285813</v>
      </c>
      <c r="O22" s="96">
        <f t="shared" ca="1" si="12"/>
        <v>872.3712527882152</v>
      </c>
      <c r="P22" s="96">
        <f t="shared" ca="1" si="12"/>
        <v>916.22551067154848</v>
      </c>
      <c r="Q22" s="96">
        <f t="shared" ca="1" si="12"/>
        <v>1030.6097055965483</v>
      </c>
      <c r="R22" s="96">
        <f t="shared" ca="1" si="12"/>
        <v>1030.6097055965483</v>
      </c>
      <c r="S22" s="96">
        <f t="shared" ca="1" si="12"/>
        <v>938.22275709654843</v>
      </c>
      <c r="T22" s="96">
        <f t="shared" ca="1" si="12"/>
        <v>-3183.6392156450947</v>
      </c>
      <c r="U22" s="96">
        <f t="shared" ca="1" si="12"/>
        <v>1034.2921728845836</v>
      </c>
      <c r="V22" s="96">
        <f t="shared" ca="1" si="12"/>
        <v>1040.2921728845836</v>
      </c>
      <c r="W22" s="96">
        <f t="shared" ca="1" si="12"/>
        <v>1047.5395702129949</v>
      </c>
      <c r="X22" s="96">
        <f t="shared" ca="1" si="12"/>
        <v>1047.5395702129949</v>
      </c>
      <c r="Y22" s="96">
        <f t="shared" ca="1" si="12"/>
        <v>1052.6736168143616</v>
      </c>
      <c r="Z22" s="96">
        <f t="shared" ca="1" si="12"/>
        <v>-2827.9944106421726</v>
      </c>
      <c r="AA22" s="96">
        <f t="shared" ca="1" si="12"/>
        <v>1061.3990725286117</v>
      </c>
      <c r="AB22" s="96">
        <f t="shared" ca="1" si="12"/>
        <v>1061.3990725286117</v>
      </c>
      <c r="AC22" s="96">
        <f t="shared" ca="1" si="12"/>
        <v>1061.3990725286117</v>
      </c>
      <c r="AD22" s="96">
        <f t="shared" ca="1" si="12"/>
        <v>1061.3990725286117</v>
      </c>
      <c r="AE22" s="96">
        <f t="shared" ca="1" si="12"/>
        <v>1061.3990725286117</v>
      </c>
      <c r="AF22" s="96">
        <f t="shared" ca="1" si="12"/>
        <v>-2825.8437229318833</v>
      </c>
      <c r="AG22" s="96">
        <f t="shared" ca="1" si="12"/>
        <v>1059.620079318431</v>
      </c>
      <c r="AH22" s="96">
        <f t="shared" ca="1" si="12"/>
        <v>816.65208897894126</v>
      </c>
      <c r="AI22" s="96">
        <f t="shared" ca="1" si="12"/>
        <v>970.02510244212044</v>
      </c>
      <c r="AJ22" s="96">
        <f t="shared" ca="1" si="12"/>
        <v>1095.931483380391</v>
      </c>
      <c r="AK22" s="96">
        <f t="shared" ca="1" si="12"/>
        <v>1101.2195513797983</v>
      </c>
      <c r="AL22" s="96">
        <f t="shared" ca="1" si="12"/>
        <v>-2785.6053366816168</v>
      </c>
      <c r="AM22" s="96">
        <f t="shared" ca="1" si="12"/>
        <v>1110.206770765476</v>
      </c>
      <c r="AN22" s="96">
        <f t="shared" ca="1" si="12"/>
        <v>1110.206770765476</v>
      </c>
      <c r="AO22" s="96">
        <f t="shared" ca="1" si="12"/>
        <v>1110.206770765476</v>
      </c>
      <c r="AP22" s="96">
        <f t="shared" ca="1" si="12"/>
        <v>1110.206770765476</v>
      </c>
      <c r="AQ22" s="96">
        <f t="shared" ca="1" si="12"/>
        <v>1078.1074105406306</v>
      </c>
      <c r="AR22" s="96">
        <f t="shared" ca="1" si="12"/>
        <v>-2756.8501271158079</v>
      </c>
      <c r="AS22" s="96">
        <f t="shared" ca="1" si="12"/>
        <v>1125.6092809321772</v>
      </c>
      <c r="AT22" s="96">
        <f t="shared" ca="1" si="12"/>
        <v>1131.9130309321772</v>
      </c>
      <c r="AU22" s="96">
        <f t="shared" ca="1" si="12"/>
        <v>1139.8241300133736</v>
      </c>
      <c r="AV22" s="96">
        <f t="shared" ca="1" si="12"/>
        <v>1049.0456293568805</v>
      </c>
      <c r="AW22" s="96">
        <f t="shared" ca="1" si="12"/>
        <v>1149.7592880728662</v>
      </c>
      <c r="AX22" s="96">
        <f t="shared" ca="1" si="12"/>
        <v>-2478.8525139176063</v>
      </c>
      <c r="AY22" s="96">
        <f t="shared" ca="1" si="12"/>
        <v>1159.0161240401139</v>
      </c>
      <c r="AZ22" s="96">
        <f t="shared" ca="1" si="12"/>
        <v>1159.0161240401139</v>
      </c>
      <c r="BA22" s="96">
        <f t="shared" ca="1" si="12"/>
        <v>1159.0161240401139</v>
      </c>
      <c r="BB22" s="96">
        <f t="shared" ca="1" si="12"/>
        <v>1159.0161240401139</v>
      </c>
      <c r="BC22" s="96">
        <f t="shared" ca="1" si="12"/>
        <v>1159.0161240401139</v>
      </c>
      <c r="BD22" s="96">
        <f t="shared" ca="1" si="12"/>
        <v>-2532.939983085977</v>
      </c>
      <c r="BE22" s="96">
        <f t="shared" ca="1" si="12"/>
        <v>1182.0715811695691</v>
      </c>
      <c r="BF22" s="96">
        <f t="shared" ca="1" si="12"/>
        <v>1188.532924919569</v>
      </c>
      <c r="BG22" s="96">
        <f t="shared" ca="1" si="12"/>
        <v>1196.6813569732014</v>
      </c>
      <c r="BH22" s="96">
        <f t="shared" ca="1" si="12"/>
        <v>1196.6813569732014</v>
      </c>
      <c r="BI22" s="96">
        <f t="shared" ca="1" si="12"/>
        <v>1202.4261217543758</v>
      </c>
      <c r="BJ22" s="96">
        <f t="shared" ca="1" si="12"/>
        <v>-2426.1310728184849</v>
      </c>
      <c r="BK22" s="96">
        <f t="shared" ca="1" si="12"/>
        <v>1211.9606628006411</v>
      </c>
      <c r="BL22" s="96">
        <f t="shared" ca="1" si="12"/>
        <v>1211.9606628006411</v>
      </c>
      <c r="BM22" s="96">
        <f t="shared" ca="1" si="12"/>
        <v>1211.9606628006411</v>
      </c>
      <c r="BN22" s="96">
        <f t="shared" ca="1" si="12"/>
        <v>1211.9606628006411</v>
      </c>
      <c r="BO22" s="96">
        <f t="shared" ca="1" si="12"/>
        <v>1211.9606628006411</v>
      </c>
      <c r="BP22" s="96">
        <f t="shared" ca="1" si="12"/>
        <v>-2392.4282251642626</v>
      </c>
      <c r="BQ22" s="96">
        <f t="shared" ca="1" si="12"/>
        <v>0</v>
      </c>
      <c r="BR22" s="96">
        <f t="shared" ca="1" si="12"/>
        <v>0</v>
      </c>
      <c r="BS22" s="96">
        <f t="shared" ca="1" si="12"/>
        <v>0</v>
      </c>
      <c r="BT22" s="96">
        <f t="shared" ca="1" si="12"/>
        <v>0</v>
      </c>
      <c r="BU22" s="96">
        <f t="shared" ref="BU22:DB22" ca="1" si="13">SUM(BU18:BU21)</f>
        <v>0</v>
      </c>
      <c r="BV22" s="96">
        <f t="shared" ca="1" si="13"/>
        <v>0</v>
      </c>
      <c r="BW22" s="96">
        <f t="shared" ca="1" si="13"/>
        <v>0</v>
      </c>
      <c r="BX22" s="96">
        <f t="shared" ca="1" si="13"/>
        <v>0</v>
      </c>
      <c r="BY22" s="96">
        <f t="shared" ca="1" si="13"/>
        <v>0</v>
      </c>
      <c r="BZ22" s="96">
        <f t="shared" ca="1" si="13"/>
        <v>0</v>
      </c>
      <c r="CA22" s="96">
        <f t="shared" ca="1" si="13"/>
        <v>0</v>
      </c>
      <c r="CB22" s="96">
        <f t="shared" ca="1" si="13"/>
        <v>0</v>
      </c>
      <c r="CC22" s="96">
        <f t="shared" ca="1" si="13"/>
        <v>0</v>
      </c>
      <c r="CD22" s="96">
        <f t="shared" ca="1" si="13"/>
        <v>0</v>
      </c>
      <c r="CE22" s="96">
        <f t="shared" ca="1" si="13"/>
        <v>0</v>
      </c>
      <c r="CF22" s="96">
        <f t="shared" ca="1" si="13"/>
        <v>0</v>
      </c>
      <c r="CG22" s="96">
        <f t="shared" ca="1" si="13"/>
        <v>0</v>
      </c>
      <c r="CH22" s="96">
        <f t="shared" ca="1" si="13"/>
        <v>0</v>
      </c>
      <c r="CI22" s="96">
        <f t="shared" ca="1" si="13"/>
        <v>0</v>
      </c>
      <c r="CJ22" s="96">
        <f t="shared" ca="1" si="13"/>
        <v>0</v>
      </c>
      <c r="CK22" s="96">
        <f t="shared" ca="1" si="13"/>
        <v>0</v>
      </c>
      <c r="CL22" s="96">
        <f t="shared" ca="1" si="13"/>
        <v>0</v>
      </c>
      <c r="CM22" s="96">
        <f t="shared" ca="1" si="13"/>
        <v>0</v>
      </c>
      <c r="CN22" s="96">
        <f t="shared" ca="1" si="13"/>
        <v>0</v>
      </c>
      <c r="CO22" s="96">
        <f t="shared" ca="1" si="13"/>
        <v>0</v>
      </c>
      <c r="CP22" s="96">
        <f t="shared" ca="1" si="13"/>
        <v>0</v>
      </c>
      <c r="CQ22" s="96">
        <f t="shared" ca="1" si="13"/>
        <v>0</v>
      </c>
      <c r="CR22" s="96">
        <f t="shared" ca="1" si="13"/>
        <v>0</v>
      </c>
      <c r="CS22" s="96">
        <f t="shared" ca="1" si="13"/>
        <v>0</v>
      </c>
      <c r="CT22" s="96">
        <f t="shared" ca="1" si="13"/>
        <v>0</v>
      </c>
      <c r="CU22" s="96">
        <f t="shared" ca="1" si="13"/>
        <v>0</v>
      </c>
      <c r="CV22" s="96">
        <f t="shared" ca="1" si="13"/>
        <v>0</v>
      </c>
      <c r="CW22" s="96">
        <f t="shared" ca="1" si="13"/>
        <v>0</v>
      </c>
      <c r="CX22" s="96">
        <f t="shared" ca="1" si="13"/>
        <v>0</v>
      </c>
      <c r="CY22" s="96">
        <f t="shared" ca="1" si="13"/>
        <v>0</v>
      </c>
      <c r="CZ22" s="96">
        <f t="shared" ca="1" si="13"/>
        <v>0</v>
      </c>
      <c r="DA22" s="96">
        <f t="shared" ca="1" si="13"/>
        <v>0</v>
      </c>
      <c r="DB22" s="96">
        <f t="shared" ca="1" si="13"/>
        <v>0</v>
      </c>
    </row>
    <row r="23" spans="2:106" ht="17">
      <c r="F23" s="20"/>
    </row>
    <row r="24" spans="2:106">
      <c r="B24" s="2" t="s">
        <v>225</v>
      </c>
    </row>
    <row r="25" spans="2:106">
      <c r="C25" s="13" t="s">
        <v>226</v>
      </c>
      <c r="F25" s="13">
        <f t="shared" ref="F25:F27" ca="1" si="14">SUM(H25:DB25)</f>
        <v>-258513.77317456825</v>
      </c>
      <c r="H25" s="13">
        <f ca="1">(H$14=acq)*('A&amp;R'!$E$45*-1)</f>
        <v>-258513.77317456825</v>
      </c>
      <c r="I25" s="13">
        <f ca="1">(I$14=acq)*('A&amp;R'!$E$45*-1)</f>
        <v>0</v>
      </c>
      <c r="J25" s="13">
        <f ca="1">(J$14=acq)*('A&amp;R'!$E$45*-1)</f>
        <v>0</v>
      </c>
      <c r="K25" s="13">
        <f ca="1">(K$14=acq)*('A&amp;R'!$E$45*-1)</f>
        <v>0</v>
      </c>
      <c r="L25" s="13">
        <f ca="1">(L$14=acq)*('A&amp;R'!$E$45*-1)</f>
        <v>0</v>
      </c>
      <c r="M25" s="13">
        <f ca="1">(M$14=acq)*('A&amp;R'!$E$45*-1)</f>
        <v>0</v>
      </c>
      <c r="N25" s="13">
        <f ca="1">(N$14=acq)*('A&amp;R'!$E$45*-1)</f>
        <v>0</v>
      </c>
      <c r="O25" s="13">
        <f ca="1">(O$14=acq)*('A&amp;R'!$E$45*-1)</f>
        <v>0</v>
      </c>
      <c r="P25" s="13">
        <f ca="1">(P$14=acq)*('A&amp;R'!$E$45*-1)</f>
        <v>0</v>
      </c>
      <c r="Q25" s="13">
        <f ca="1">(Q$14=acq)*('A&amp;R'!$E$45*-1)</f>
        <v>0</v>
      </c>
      <c r="R25" s="13">
        <f ca="1">(R$14=acq)*('A&amp;R'!$E$45*-1)</f>
        <v>0</v>
      </c>
      <c r="S25" s="13">
        <f ca="1">(S$14=acq)*('A&amp;R'!$E$45*-1)</f>
        <v>0</v>
      </c>
      <c r="T25" s="13">
        <f ca="1">(T$14=acq)*('A&amp;R'!$E$45*-1)</f>
        <v>0</v>
      </c>
      <c r="U25" s="13">
        <f ca="1">(U$14=acq)*('A&amp;R'!$E$45*-1)</f>
        <v>0</v>
      </c>
      <c r="V25" s="13">
        <f ca="1">(V$14=acq)*('A&amp;R'!$E$45*-1)</f>
        <v>0</v>
      </c>
      <c r="W25" s="13">
        <f ca="1">(W$14=acq)*('A&amp;R'!$E$45*-1)</f>
        <v>0</v>
      </c>
      <c r="X25" s="13">
        <f ca="1">(X$14=acq)*('A&amp;R'!$E$45*-1)</f>
        <v>0</v>
      </c>
      <c r="Y25" s="13">
        <f ca="1">(Y$14=acq)*('A&amp;R'!$E$45*-1)</f>
        <v>0</v>
      </c>
      <c r="Z25" s="13">
        <f ca="1">(Z$14=acq)*('A&amp;R'!$E$45*-1)</f>
        <v>0</v>
      </c>
      <c r="AA25" s="13">
        <f ca="1">(AA$14=acq)*('A&amp;R'!$E$45*-1)</f>
        <v>0</v>
      </c>
      <c r="AB25" s="13">
        <f ca="1">(AB$14=acq)*('A&amp;R'!$E$45*-1)</f>
        <v>0</v>
      </c>
      <c r="AC25" s="13">
        <f ca="1">(AC$14=acq)*('A&amp;R'!$E$45*-1)</f>
        <v>0</v>
      </c>
      <c r="AD25" s="13">
        <f ca="1">(AD$14=acq)*('A&amp;R'!$E$45*-1)</f>
        <v>0</v>
      </c>
      <c r="AE25" s="13">
        <f ca="1">(AE$14=acq)*('A&amp;R'!$E$45*-1)</f>
        <v>0</v>
      </c>
      <c r="AF25" s="13">
        <f ca="1">(AF$14=acq)*('A&amp;R'!$E$45*-1)</f>
        <v>0</v>
      </c>
      <c r="AG25" s="13">
        <f ca="1">(AG$14=acq)*('A&amp;R'!$E$45*-1)</f>
        <v>0</v>
      </c>
      <c r="AH25" s="13">
        <f ca="1">(AH$14=acq)*('A&amp;R'!$E$45*-1)</f>
        <v>0</v>
      </c>
      <c r="AI25" s="13">
        <f ca="1">(AI$14=acq)*('A&amp;R'!$E$45*-1)</f>
        <v>0</v>
      </c>
      <c r="AJ25" s="13">
        <f ca="1">(AJ$14=acq)*('A&amp;R'!$E$45*-1)</f>
        <v>0</v>
      </c>
      <c r="AK25" s="13">
        <f ca="1">(AK$14=acq)*('A&amp;R'!$E$45*-1)</f>
        <v>0</v>
      </c>
      <c r="AL25" s="13">
        <f ca="1">(AL$14=acq)*('A&amp;R'!$E$45*-1)</f>
        <v>0</v>
      </c>
      <c r="AM25" s="13">
        <f ca="1">(AM$14=acq)*('A&amp;R'!$E$45*-1)</f>
        <v>0</v>
      </c>
      <c r="AN25" s="13">
        <f ca="1">(AN$14=acq)*('A&amp;R'!$E$45*-1)</f>
        <v>0</v>
      </c>
      <c r="AO25" s="13">
        <f ca="1">(AO$14=acq)*('A&amp;R'!$E$45*-1)</f>
        <v>0</v>
      </c>
      <c r="AP25" s="13">
        <f ca="1">(AP$14=acq)*('A&amp;R'!$E$45*-1)</f>
        <v>0</v>
      </c>
      <c r="AQ25" s="13">
        <f ca="1">(AQ$14=acq)*('A&amp;R'!$E$45*-1)</f>
        <v>0</v>
      </c>
      <c r="AR25" s="13">
        <f ca="1">(AR$14=acq)*('A&amp;R'!$E$45*-1)</f>
        <v>0</v>
      </c>
      <c r="AS25" s="13">
        <f ca="1">(AS$14=acq)*('A&amp;R'!$E$45*-1)</f>
        <v>0</v>
      </c>
      <c r="AT25" s="13">
        <f ca="1">(AT$14=acq)*('A&amp;R'!$E$45*-1)</f>
        <v>0</v>
      </c>
      <c r="AU25" s="13">
        <f ca="1">(AU$14=acq)*('A&amp;R'!$E$45*-1)</f>
        <v>0</v>
      </c>
      <c r="AV25" s="13">
        <f ca="1">(AV$14=acq)*('A&amp;R'!$E$45*-1)</f>
        <v>0</v>
      </c>
      <c r="AW25" s="13">
        <f ca="1">(AW$14=acq)*('A&amp;R'!$E$45*-1)</f>
        <v>0</v>
      </c>
      <c r="AX25" s="13">
        <f ca="1">(AX$14=acq)*('A&amp;R'!$E$45*-1)</f>
        <v>0</v>
      </c>
      <c r="AY25" s="13">
        <f ca="1">(AY$14=acq)*('A&amp;R'!$E$45*-1)</f>
        <v>0</v>
      </c>
      <c r="AZ25" s="13">
        <f ca="1">(AZ$14=acq)*('A&amp;R'!$E$45*-1)</f>
        <v>0</v>
      </c>
      <c r="BA25" s="13">
        <f ca="1">(BA$14=acq)*('A&amp;R'!$E$45*-1)</f>
        <v>0</v>
      </c>
      <c r="BB25" s="13">
        <f ca="1">(BB$14=acq)*('A&amp;R'!$E$45*-1)</f>
        <v>0</v>
      </c>
      <c r="BC25" s="13">
        <f ca="1">(BC$14=acq)*('A&amp;R'!$E$45*-1)</f>
        <v>0</v>
      </c>
      <c r="BD25" s="13">
        <f ca="1">(BD$14=acq)*('A&amp;R'!$E$45*-1)</f>
        <v>0</v>
      </c>
      <c r="BE25" s="13">
        <f ca="1">(BE$14=acq)*('A&amp;R'!$E$45*-1)</f>
        <v>0</v>
      </c>
      <c r="BF25" s="13">
        <f ca="1">(BF$14=acq)*('A&amp;R'!$E$45*-1)</f>
        <v>0</v>
      </c>
      <c r="BG25" s="13">
        <f ca="1">(BG$14=acq)*('A&amp;R'!$E$45*-1)</f>
        <v>0</v>
      </c>
      <c r="BH25" s="13">
        <f ca="1">(BH$14=acq)*('A&amp;R'!$E$45*-1)</f>
        <v>0</v>
      </c>
      <c r="BI25" s="13">
        <f ca="1">(BI$14=acq)*('A&amp;R'!$E$45*-1)</f>
        <v>0</v>
      </c>
      <c r="BJ25" s="13">
        <f ca="1">(BJ$14=acq)*('A&amp;R'!$E$45*-1)</f>
        <v>0</v>
      </c>
      <c r="BK25" s="13">
        <f ca="1">(BK$14=acq)*('A&amp;R'!$E$45*-1)</f>
        <v>0</v>
      </c>
      <c r="BL25" s="13">
        <f ca="1">(BL$14=acq)*('A&amp;R'!$E$45*-1)</f>
        <v>0</v>
      </c>
      <c r="BM25" s="13">
        <f ca="1">(BM$14=acq)*('A&amp;R'!$E$45*-1)</f>
        <v>0</v>
      </c>
      <c r="BN25" s="13">
        <f ca="1">(BN$14=acq)*('A&amp;R'!$E$45*-1)</f>
        <v>0</v>
      </c>
      <c r="BO25" s="13">
        <f ca="1">(BO$14=acq)*('A&amp;R'!$E$45*-1)</f>
        <v>0</v>
      </c>
      <c r="BP25" s="13">
        <f ca="1">(BP$14=acq)*('A&amp;R'!$E$45*-1)</f>
        <v>0</v>
      </c>
      <c r="BQ25" s="13">
        <f ca="1">(BQ$14=acq)*('A&amp;R'!$E$45*-1)</f>
        <v>0</v>
      </c>
      <c r="BR25" s="13">
        <f ca="1">(BR$14=acq)*('A&amp;R'!$E$45*-1)</f>
        <v>0</v>
      </c>
      <c r="BS25" s="13">
        <f ca="1">(BS$14=acq)*('A&amp;R'!$E$45*-1)</f>
        <v>0</v>
      </c>
      <c r="BT25" s="13">
        <f ca="1">(BT$14=acq)*('A&amp;R'!$E$45*-1)</f>
        <v>0</v>
      </c>
      <c r="BU25" s="13">
        <f ca="1">(BU$14=acq)*('A&amp;R'!$E$45*-1)</f>
        <v>0</v>
      </c>
      <c r="BV25" s="13">
        <f ca="1">(BV$14=acq)*('A&amp;R'!$E$45*-1)</f>
        <v>0</v>
      </c>
      <c r="BW25" s="13">
        <f ca="1">(BW$14=acq)*('A&amp;R'!$E$45*-1)</f>
        <v>0</v>
      </c>
      <c r="BX25" s="13">
        <f ca="1">(BX$14=acq)*('A&amp;R'!$E$45*-1)</f>
        <v>0</v>
      </c>
      <c r="BY25" s="13">
        <f ca="1">(BY$14=acq)*('A&amp;R'!$E$45*-1)</f>
        <v>0</v>
      </c>
      <c r="BZ25" s="13">
        <f ca="1">(BZ$14=acq)*('A&amp;R'!$E$45*-1)</f>
        <v>0</v>
      </c>
      <c r="CA25" s="13">
        <f ca="1">(CA$14=acq)*('A&amp;R'!$E$45*-1)</f>
        <v>0</v>
      </c>
      <c r="CB25" s="13">
        <f ca="1">(CB$14=acq)*('A&amp;R'!$E$45*-1)</f>
        <v>0</v>
      </c>
      <c r="CC25" s="13">
        <f ca="1">(CC$14=acq)*('A&amp;R'!$E$45*-1)</f>
        <v>0</v>
      </c>
      <c r="CD25" s="13">
        <f ca="1">(CD$14=acq)*('A&amp;R'!$E$45*-1)</f>
        <v>0</v>
      </c>
      <c r="CE25" s="13">
        <f ca="1">(CE$14=acq)*('A&amp;R'!$E$45*-1)</f>
        <v>0</v>
      </c>
      <c r="CF25" s="13">
        <f ca="1">(CF$14=acq)*('A&amp;R'!$E$45*-1)</f>
        <v>0</v>
      </c>
      <c r="CG25" s="13">
        <f ca="1">(CG$14=acq)*('A&amp;R'!$E$45*-1)</f>
        <v>0</v>
      </c>
      <c r="CH25" s="13">
        <f ca="1">(CH$14=acq)*('A&amp;R'!$E$45*-1)</f>
        <v>0</v>
      </c>
      <c r="CI25" s="13">
        <f ca="1">(CI$14=acq)*('A&amp;R'!$E$45*-1)</f>
        <v>0</v>
      </c>
      <c r="CJ25" s="13">
        <f ca="1">(CJ$14=acq)*('A&amp;R'!$E$45*-1)</f>
        <v>0</v>
      </c>
      <c r="CK25" s="13">
        <f ca="1">(CK$14=acq)*('A&amp;R'!$E$45*-1)</f>
        <v>0</v>
      </c>
      <c r="CL25" s="13">
        <f ca="1">(CL$14=acq)*('A&amp;R'!$E$45*-1)</f>
        <v>0</v>
      </c>
      <c r="CM25" s="13">
        <f ca="1">(CM$14=acq)*('A&amp;R'!$E$45*-1)</f>
        <v>0</v>
      </c>
      <c r="CN25" s="13">
        <f ca="1">(CN$14=acq)*('A&amp;R'!$E$45*-1)</f>
        <v>0</v>
      </c>
      <c r="CO25" s="13">
        <f ca="1">(CO$14=acq)*('A&amp;R'!$E$45*-1)</f>
        <v>0</v>
      </c>
      <c r="CP25" s="13">
        <f ca="1">(CP$14=acq)*('A&amp;R'!$E$45*-1)</f>
        <v>0</v>
      </c>
      <c r="CQ25" s="13">
        <f ca="1">(CQ$14=acq)*('A&amp;R'!$E$45*-1)</f>
        <v>0</v>
      </c>
      <c r="CR25" s="13">
        <f ca="1">(CR$14=acq)*('A&amp;R'!$E$45*-1)</f>
        <v>0</v>
      </c>
      <c r="CS25" s="13">
        <f ca="1">(CS$14=acq)*('A&amp;R'!$E$45*-1)</f>
        <v>0</v>
      </c>
      <c r="CT25" s="13">
        <f ca="1">(CT$14=acq)*('A&amp;R'!$E$45*-1)</f>
        <v>0</v>
      </c>
      <c r="CU25" s="13">
        <f ca="1">(CU$14=acq)*('A&amp;R'!$E$45*-1)</f>
        <v>0</v>
      </c>
      <c r="CV25" s="13">
        <f ca="1">(CV$14=acq)*('A&amp;R'!$E$45*-1)</f>
        <v>0</v>
      </c>
      <c r="CW25" s="13">
        <f ca="1">(CW$14=acq)*('A&amp;R'!$E$45*-1)</f>
        <v>0</v>
      </c>
      <c r="CX25" s="13">
        <f ca="1">(CX$14=acq)*('A&amp;R'!$E$45*-1)</f>
        <v>0</v>
      </c>
      <c r="CY25" s="13">
        <f ca="1">(CY$14=acq)*('A&amp;R'!$E$45*-1)</f>
        <v>0</v>
      </c>
      <c r="CZ25" s="13">
        <f ca="1">(CZ$14=acq)*('A&amp;R'!$E$45*-1)</f>
        <v>0</v>
      </c>
      <c r="DA25" s="13">
        <f ca="1">(DA$14=acq)*('A&amp;R'!$E$45*-1)</f>
        <v>0</v>
      </c>
      <c r="DB25" s="13">
        <f ca="1">(DB$14=acq)*('A&amp;R'!$E$45*-1)</f>
        <v>0</v>
      </c>
    </row>
    <row r="26" spans="2:106">
      <c r="C26" s="13" t="s">
        <v>227</v>
      </c>
      <c r="F26" s="13">
        <f t="shared" si="14"/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</row>
    <row r="27" spans="2:106">
      <c r="C27" s="13" t="s">
        <v>228</v>
      </c>
      <c r="F27" s="13">
        <f t="shared" ca="1" si="14"/>
        <v>312882.41911738407</v>
      </c>
      <c r="H27" s="13">
        <f ca="1">(H$14=exit)*('A&amp;R'!$AG$101)</f>
        <v>0</v>
      </c>
      <c r="I27" s="13">
        <f ca="1">(I$14=exit)*('A&amp;R'!$AG$101)</f>
        <v>0</v>
      </c>
      <c r="J27" s="13">
        <f ca="1">(J$14=exit)*('A&amp;R'!$AG$101)</f>
        <v>0</v>
      </c>
      <c r="K27" s="13">
        <f ca="1">(K$14=exit)*('A&amp;R'!$AG$101)</f>
        <v>0</v>
      </c>
      <c r="L27" s="13">
        <f ca="1">(L$14=exit)*('A&amp;R'!$AG$101)</f>
        <v>0</v>
      </c>
      <c r="M27" s="13">
        <f ca="1">(M$14=exit)*('A&amp;R'!$AG$101)</f>
        <v>0</v>
      </c>
      <c r="N27" s="13">
        <f ca="1">(N$14=exit)*('A&amp;R'!$AG$101)</f>
        <v>0</v>
      </c>
      <c r="O27" s="13">
        <f ca="1">(O$14=exit)*('A&amp;R'!$AG$101)</f>
        <v>0</v>
      </c>
      <c r="P27" s="13">
        <f ca="1">(P$14=exit)*('A&amp;R'!$AG$101)</f>
        <v>0</v>
      </c>
      <c r="Q27" s="13">
        <f ca="1">(Q$14=exit)*('A&amp;R'!$AG$101)</f>
        <v>0</v>
      </c>
      <c r="R27" s="13">
        <f ca="1">(R$14=exit)*('A&amp;R'!$AG$101)</f>
        <v>0</v>
      </c>
      <c r="S27" s="13">
        <f ca="1">(S$14=exit)*('A&amp;R'!$AG$101)</f>
        <v>0</v>
      </c>
      <c r="T27" s="13">
        <f ca="1">(T$14=exit)*('A&amp;R'!$AG$101)</f>
        <v>0</v>
      </c>
      <c r="U27" s="13">
        <f ca="1">(U$14=exit)*('A&amp;R'!$AG$101)</f>
        <v>0</v>
      </c>
      <c r="V27" s="13">
        <f ca="1">(V$14=exit)*('A&amp;R'!$AG$101)</f>
        <v>0</v>
      </c>
      <c r="W27" s="13">
        <f ca="1">(W$14=exit)*('A&amp;R'!$AG$101)</f>
        <v>0</v>
      </c>
      <c r="X27" s="13">
        <f ca="1">(X$14=exit)*('A&amp;R'!$AG$101)</f>
        <v>0</v>
      </c>
      <c r="Y27" s="13">
        <f ca="1">(Y$14=exit)*('A&amp;R'!$AG$101)</f>
        <v>0</v>
      </c>
      <c r="Z27" s="13">
        <f ca="1">(Z$14=exit)*('A&amp;R'!$AG$101)</f>
        <v>0</v>
      </c>
      <c r="AA27" s="13">
        <f ca="1">(AA$14=exit)*('A&amp;R'!$AG$101)</f>
        <v>0</v>
      </c>
      <c r="AB27" s="13">
        <f ca="1">(AB$14=exit)*('A&amp;R'!$AG$101)</f>
        <v>0</v>
      </c>
      <c r="AC27" s="13">
        <f ca="1">(AC$14=exit)*('A&amp;R'!$AG$101)</f>
        <v>0</v>
      </c>
      <c r="AD27" s="13">
        <f ca="1">(AD$14=exit)*('A&amp;R'!$AG$101)</f>
        <v>0</v>
      </c>
      <c r="AE27" s="13">
        <f ca="1">(AE$14=exit)*('A&amp;R'!$AG$101)</f>
        <v>0</v>
      </c>
      <c r="AF27" s="13">
        <f ca="1">(AF$14=exit)*('A&amp;R'!$AG$101)</f>
        <v>0</v>
      </c>
      <c r="AG27" s="13">
        <f ca="1">(AG$14=exit)*('A&amp;R'!$AG$101)</f>
        <v>0</v>
      </c>
      <c r="AH27" s="13">
        <f ca="1">(AH$14=exit)*('A&amp;R'!$AG$101)</f>
        <v>0</v>
      </c>
      <c r="AI27" s="13">
        <f ca="1">(AI$14=exit)*('A&amp;R'!$AG$101)</f>
        <v>0</v>
      </c>
      <c r="AJ27" s="13">
        <f ca="1">(AJ$14=exit)*('A&amp;R'!$AG$101)</f>
        <v>0</v>
      </c>
      <c r="AK27" s="13">
        <f ca="1">(AK$14=exit)*('A&amp;R'!$AG$101)</f>
        <v>0</v>
      </c>
      <c r="AL27" s="13">
        <f ca="1">(AL$14=exit)*('A&amp;R'!$AG$101)</f>
        <v>0</v>
      </c>
      <c r="AM27" s="13">
        <f ca="1">(AM$14=exit)*('A&amp;R'!$AG$101)</f>
        <v>0</v>
      </c>
      <c r="AN27" s="13">
        <f ca="1">(AN$14=exit)*('A&amp;R'!$AG$101)</f>
        <v>0</v>
      </c>
      <c r="AO27" s="13">
        <f ca="1">(AO$14=exit)*('A&amp;R'!$AG$101)</f>
        <v>0</v>
      </c>
      <c r="AP27" s="13">
        <f ca="1">(AP$14=exit)*('A&amp;R'!$AG$101)</f>
        <v>0</v>
      </c>
      <c r="AQ27" s="13">
        <f ca="1">(AQ$14=exit)*('A&amp;R'!$AG$101)</f>
        <v>0</v>
      </c>
      <c r="AR27" s="13">
        <f ca="1">(AR$14=exit)*('A&amp;R'!$AG$101)</f>
        <v>0</v>
      </c>
      <c r="AS27" s="13">
        <f ca="1">(AS$14=exit)*('A&amp;R'!$AG$101)</f>
        <v>0</v>
      </c>
      <c r="AT27" s="13">
        <f ca="1">(AT$14=exit)*('A&amp;R'!$AG$101)</f>
        <v>0</v>
      </c>
      <c r="AU27" s="13">
        <f ca="1">(AU$14=exit)*('A&amp;R'!$AG$101)</f>
        <v>0</v>
      </c>
      <c r="AV27" s="13">
        <f ca="1">(AV$14=exit)*('A&amp;R'!$AG$101)</f>
        <v>0</v>
      </c>
      <c r="AW27" s="13">
        <f ca="1">(AW$14=exit)*('A&amp;R'!$AG$101)</f>
        <v>0</v>
      </c>
      <c r="AX27" s="13">
        <f ca="1">(AX$14=exit)*('A&amp;R'!$AG$101)</f>
        <v>0</v>
      </c>
      <c r="AY27" s="13">
        <f ca="1">(AY$14=exit)*('A&amp;R'!$AG$101)</f>
        <v>0</v>
      </c>
      <c r="AZ27" s="13">
        <f ca="1">(AZ$14=exit)*('A&amp;R'!$AG$101)</f>
        <v>0</v>
      </c>
      <c r="BA27" s="13">
        <f ca="1">(BA$14=exit)*('A&amp;R'!$AG$101)</f>
        <v>0</v>
      </c>
      <c r="BB27" s="13">
        <f ca="1">(BB$14=exit)*('A&amp;R'!$AG$101)</f>
        <v>0</v>
      </c>
      <c r="BC27" s="13">
        <f ca="1">(BC$14=exit)*('A&amp;R'!$AG$101)</f>
        <v>0</v>
      </c>
      <c r="BD27" s="13">
        <f ca="1">(BD$14=exit)*('A&amp;R'!$AG$101)</f>
        <v>0</v>
      </c>
      <c r="BE27" s="13">
        <f ca="1">(BE$14=exit)*('A&amp;R'!$AG$101)</f>
        <v>0</v>
      </c>
      <c r="BF27" s="13">
        <f ca="1">(BF$14=exit)*('A&amp;R'!$AG$101)</f>
        <v>0</v>
      </c>
      <c r="BG27" s="13">
        <f ca="1">(BG$14=exit)*('A&amp;R'!$AG$101)</f>
        <v>0</v>
      </c>
      <c r="BH27" s="13">
        <f ca="1">(BH$14=exit)*('A&amp;R'!$AG$101)</f>
        <v>0</v>
      </c>
      <c r="BI27" s="13">
        <f ca="1">(BI$14=exit)*('A&amp;R'!$AG$101)</f>
        <v>0</v>
      </c>
      <c r="BJ27" s="13">
        <f ca="1">(BJ$14=exit)*('A&amp;R'!$AG$101)</f>
        <v>0</v>
      </c>
      <c r="BK27" s="13">
        <f ca="1">(BK$14=exit)*('A&amp;R'!$AG$101)</f>
        <v>0</v>
      </c>
      <c r="BL27" s="13">
        <f ca="1">(BL$14=exit)*('A&amp;R'!$AG$101)</f>
        <v>0</v>
      </c>
      <c r="BM27" s="13">
        <f ca="1">(BM$14=exit)*('A&amp;R'!$AG$101)</f>
        <v>0</v>
      </c>
      <c r="BN27" s="13">
        <f ca="1">(BN$14=exit)*('A&amp;R'!$AG$101)</f>
        <v>0</v>
      </c>
      <c r="BO27" s="13">
        <f ca="1">(BO$14=exit)*('A&amp;R'!$AG$101)</f>
        <v>0</v>
      </c>
      <c r="BP27" s="13">
        <f ca="1">(BP$14=exit)*('A&amp;R'!$AG$101)</f>
        <v>312882.41911738407</v>
      </c>
      <c r="BQ27" s="13">
        <f ca="1">(BQ$14=exit)*('A&amp;R'!$AG$101)</f>
        <v>0</v>
      </c>
      <c r="BR27" s="13">
        <f ca="1">(BR$14=exit)*('A&amp;R'!$AG$101)</f>
        <v>0</v>
      </c>
      <c r="BS27" s="13">
        <f ca="1">(BS$14=exit)*('A&amp;R'!$AG$101)</f>
        <v>0</v>
      </c>
      <c r="BT27" s="13">
        <f ca="1">(BT$14=exit)*('A&amp;R'!$AG$101)</f>
        <v>0</v>
      </c>
      <c r="BU27" s="13">
        <f ca="1">(BU$14=exit)*('A&amp;R'!$AG$101)</f>
        <v>0</v>
      </c>
      <c r="BV27" s="13">
        <f ca="1">(BV$14=exit)*('A&amp;R'!$AG$101)</f>
        <v>0</v>
      </c>
      <c r="BW27" s="13">
        <f ca="1">(BW$14=exit)*('A&amp;R'!$AG$101)</f>
        <v>0</v>
      </c>
      <c r="BX27" s="13">
        <f ca="1">(BX$14=exit)*('A&amp;R'!$AG$101)</f>
        <v>0</v>
      </c>
      <c r="BY27" s="13">
        <f ca="1">(BY$14=exit)*('A&amp;R'!$AG$101)</f>
        <v>0</v>
      </c>
      <c r="BZ27" s="13">
        <f ca="1">(BZ$14=exit)*('A&amp;R'!$AG$101)</f>
        <v>0</v>
      </c>
      <c r="CA27" s="13">
        <f ca="1">(CA$14=exit)*('A&amp;R'!$AG$101)</f>
        <v>0</v>
      </c>
      <c r="CB27" s="13">
        <f ca="1">(CB$14=exit)*('A&amp;R'!$AG$101)</f>
        <v>0</v>
      </c>
      <c r="CC27" s="13">
        <f ca="1">(CC$14=exit)*('A&amp;R'!$AG$101)</f>
        <v>0</v>
      </c>
      <c r="CD27" s="13">
        <f ca="1">(CD$14=exit)*('A&amp;R'!$AG$101)</f>
        <v>0</v>
      </c>
      <c r="CE27" s="13">
        <f ca="1">(CE$14=exit)*('A&amp;R'!$AG$101)</f>
        <v>0</v>
      </c>
      <c r="CF27" s="13">
        <f ca="1">(CF$14=exit)*('A&amp;R'!$AG$101)</f>
        <v>0</v>
      </c>
      <c r="CG27" s="13">
        <f ca="1">(CG$14=exit)*('A&amp;R'!$AG$101)</f>
        <v>0</v>
      </c>
      <c r="CH27" s="13">
        <f ca="1">(CH$14=exit)*('A&amp;R'!$AG$101)</f>
        <v>0</v>
      </c>
      <c r="CI27" s="13">
        <f ca="1">(CI$14=exit)*('A&amp;R'!$AG$101)</f>
        <v>0</v>
      </c>
      <c r="CJ27" s="13">
        <f ca="1">(CJ$14=exit)*('A&amp;R'!$AG$101)</f>
        <v>0</v>
      </c>
      <c r="CK27" s="13">
        <f ca="1">(CK$14=exit)*('A&amp;R'!$AG$101)</f>
        <v>0</v>
      </c>
      <c r="CL27" s="13">
        <f ca="1">(CL$14=exit)*('A&amp;R'!$AG$101)</f>
        <v>0</v>
      </c>
      <c r="CM27" s="13">
        <f ca="1">(CM$14=exit)*('A&amp;R'!$AG$101)</f>
        <v>0</v>
      </c>
      <c r="CN27" s="13">
        <f ca="1">(CN$14=exit)*('A&amp;R'!$AG$101)</f>
        <v>0</v>
      </c>
      <c r="CO27" s="13">
        <f ca="1">(CO$14=exit)*('A&amp;R'!$AG$101)</f>
        <v>0</v>
      </c>
      <c r="CP27" s="13">
        <f ca="1">(CP$14=exit)*('A&amp;R'!$AG$101)</f>
        <v>0</v>
      </c>
      <c r="CQ27" s="13">
        <f ca="1">(CQ$14=exit)*('A&amp;R'!$AG$101)</f>
        <v>0</v>
      </c>
      <c r="CR27" s="13">
        <f ca="1">(CR$14=exit)*('A&amp;R'!$AG$101)</f>
        <v>0</v>
      </c>
      <c r="CS27" s="13">
        <f ca="1">(CS$14=exit)*('A&amp;R'!$AG$101)</f>
        <v>0</v>
      </c>
      <c r="CT27" s="13">
        <f ca="1">(CT$14=exit)*('A&amp;R'!$AG$101)</f>
        <v>0</v>
      </c>
      <c r="CU27" s="13">
        <f ca="1">(CU$14=exit)*('A&amp;R'!$AG$101)</f>
        <v>0</v>
      </c>
      <c r="CV27" s="13">
        <f ca="1">(CV$14=exit)*('A&amp;R'!$AG$101)</f>
        <v>0</v>
      </c>
      <c r="CW27" s="13">
        <f ca="1">(CW$14=exit)*('A&amp;R'!$AG$101)</f>
        <v>0</v>
      </c>
      <c r="CX27" s="13">
        <f ca="1">(CX$14=exit)*('A&amp;R'!$AG$101)</f>
        <v>0</v>
      </c>
      <c r="CY27" s="13">
        <f ca="1">(CY$14=exit)*('A&amp;R'!$AG$101)</f>
        <v>0</v>
      </c>
      <c r="CZ27" s="13">
        <f ca="1">(CZ$14=exit)*('A&amp;R'!$AG$101)</f>
        <v>0</v>
      </c>
      <c r="DA27" s="13">
        <f ca="1">(DA$14=exit)*('A&amp;R'!$AG$101)</f>
        <v>0</v>
      </c>
      <c r="DB27" s="13">
        <f ca="1">(DB$14=exit)*('A&amp;R'!$AG$101)</f>
        <v>0</v>
      </c>
    </row>
    <row r="28" spans="2:106">
      <c r="C28" s="96" t="s">
        <v>322</v>
      </c>
      <c r="D28" s="96"/>
      <c r="E28" s="96"/>
      <c r="F28" s="96">
        <f ca="1">SUM(H28:DB28)</f>
        <v>54368.645942815812</v>
      </c>
      <c r="G28" s="96"/>
      <c r="H28" s="96">
        <f t="shared" ref="H28:AM28" ca="1" si="15">SUM(H25:H27)</f>
        <v>-258513.77317456825</v>
      </c>
      <c r="I28" s="96">
        <f t="shared" ca="1" si="15"/>
        <v>0</v>
      </c>
      <c r="J28" s="96">
        <f t="shared" ca="1" si="15"/>
        <v>0</v>
      </c>
      <c r="K28" s="96">
        <f t="shared" ca="1" si="15"/>
        <v>0</v>
      </c>
      <c r="L28" s="96">
        <f t="shared" ca="1" si="15"/>
        <v>0</v>
      </c>
      <c r="M28" s="96">
        <f t="shared" ca="1" si="15"/>
        <v>0</v>
      </c>
      <c r="N28" s="96">
        <f t="shared" ca="1" si="15"/>
        <v>0</v>
      </c>
      <c r="O28" s="96">
        <f t="shared" ca="1" si="15"/>
        <v>0</v>
      </c>
      <c r="P28" s="96">
        <f t="shared" ca="1" si="15"/>
        <v>0</v>
      </c>
      <c r="Q28" s="96">
        <f t="shared" ca="1" si="15"/>
        <v>0</v>
      </c>
      <c r="R28" s="96">
        <f t="shared" ca="1" si="15"/>
        <v>0</v>
      </c>
      <c r="S28" s="96">
        <f t="shared" ca="1" si="15"/>
        <v>0</v>
      </c>
      <c r="T28" s="96">
        <f t="shared" ca="1" si="15"/>
        <v>0</v>
      </c>
      <c r="U28" s="96">
        <f t="shared" ca="1" si="15"/>
        <v>0</v>
      </c>
      <c r="V28" s="96">
        <f t="shared" ca="1" si="15"/>
        <v>0</v>
      </c>
      <c r="W28" s="96">
        <f t="shared" ca="1" si="15"/>
        <v>0</v>
      </c>
      <c r="X28" s="96">
        <f t="shared" ca="1" si="15"/>
        <v>0</v>
      </c>
      <c r="Y28" s="96">
        <f t="shared" ca="1" si="15"/>
        <v>0</v>
      </c>
      <c r="Z28" s="96">
        <f t="shared" ca="1" si="15"/>
        <v>0</v>
      </c>
      <c r="AA28" s="96">
        <f t="shared" ca="1" si="15"/>
        <v>0</v>
      </c>
      <c r="AB28" s="96">
        <f t="shared" ca="1" si="15"/>
        <v>0</v>
      </c>
      <c r="AC28" s="96">
        <f t="shared" ca="1" si="15"/>
        <v>0</v>
      </c>
      <c r="AD28" s="96">
        <f t="shared" ca="1" si="15"/>
        <v>0</v>
      </c>
      <c r="AE28" s="96">
        <f t="shared" ca="1" si="15"/>
        <v>0</v>
      </c>
      <c r="AF28" s="96">
        <f t="shared" ca="1" si="15"/>
        <v>0</v>
      </c>
      <c r="AG28" s="96">
        <f t="shared" ca="1" si="15"/>
        <v>0</v>
      </c>
      <c r="AH28" s="96">
        <f t="shared" ca="1" si="15"/>
        <v>0</v>
      </c>
      <c r="AI28" s="96">
        <f t="shared" ca="1" si="15"/>
        <v>0</v>
      </c>
      <c r="AJ28" s="96">
        <f t="shared" ca="1" si="15"/>
        <v>0</v>
      </c>
      <c r="AK28" s="96">
        <f t="shared" ca="1" si="15"/>
        <v>0</v>
      </c>
      <c r="AL28" s="96">
        <f t="shared" ca="1" si="15"/>
        <v>0</v>
      </c>
      <c r="AM28" s="96">
        <f t="shared" ca="1" si="15"/>
        <v>0</v>
      </c>
      <c r="AN28" s="96">
        <f t="shared" ref="AN28:BS28" ca="1" si="16">SUM(AN25:AN27)</f>
        <v>0</v>
      </c>
      <c r="AO28" s="96">
        <f t="shared" ca="1" si="16"/>
        <v>0</v>
      </c>
      <c r="AP28" s="96">
        <f t="shared" ca="1" si="16"/>
        <v>0</v>
      </c>
      <c r="AQ28" s="96">
        <f t="shared" ca="1" si="16"/>
        <v>0</v>
      </c>
      <c r="AR28" s="96">
        <f t="shared" ca="1" si="16"/>
        <v>0</v>
      </c>
      <c r="AS28" s="96">
        <f t="shared" ca="1" si="16"/>
        <v>0</v>
      </c>
      <c r="AT28" s="96">
        <f t="shared" ca="1" si="16"/>
        <v>0</v>
      </c>
      <c r="AU28" s="96">
        <f t="shared" ca="1" si="16"/>
        <v>0</v>
      </c>
      <c r="AV28" s="96">
        <f t="shared" ca="1" si="16"/>
        <v>0</v>
      </c>
      <c r="AW28" s="96">
        <f t="shared" ca="1" si="16"/>
        <v>0</v>
      </c>
      <c r="AX28" s="96">
        <f t="shared" ca="1" si="16"/>
        <v>0</v>
      </c>
      <c r="AY28" s="96">
        <f t="shared" ca="1" si="16"/>
        <v>0</v>
      </c>
      <c r="AZ28" s="96">
        <f t="shared" ca="1" si="16"/>
        <v>0</v>
      </c>
      <c r="BA28" s="96">
        <f t="shared" ca="1" si="16"/>
        <v>0</v>
      </c>
      <c r="BB28" s="96">
        <f t="shared" ca="1" si="16"/>
        <v>0</v>
      </c>
      <c r="BC28" s="96">
        <f t="shared" ca="1" si="16"/>
        <v>0</v>
      </c>
      <c r="BD28" s="96">
        <f t="shared" ca="1" si="16"/>
        <v>0</v>
      </c>
      <c r="BE28" s="96">
        <f t="shared" ca="1" si="16"/>
        <v>0</v>
      </c>
      <c r="BF28" s="96">
        <f t="shared" ca="1" si="16"/>
        <v>0</v>
      </c>
      <c r="BG28" s="96">
        <f t="shared" ca="1" si="16"/>
        <v>0</v>
      </c>
      <c r="BH28" s="96">
        <f t="shared" ca="1" si="16"/>
        <v>0</v>
      </c>
      <c r="BI28" s="96">
        <f t="shared" ca="1" si="16"/>
        <v>0</v>
      </c>
      <c r="BJ28" s="96">
        <f t="shared" ca="1" si="16"/>
        <v>0</v>
      </c>
      <c r="BK28" s="96">
        <f t="shared" ca="1" si="16"/>
        <v>0</v>
      </c>
      <c r="BL28" s="96">
        <f t="shared" ca="1" si="16"/>
        <v>0</v>
      </c>
      <c r="BM28" s="96">
        <f t="shared" ca="1" si="16"/>
        <v>0</v>
      </c>
      <c r="BN28" s="96">
        <f t="shared" ca="1" si="16"/>
        <v>0</v>
      </c>
      <c r="BO28" s="96">
        <f t="shared" ca="1" si="16"/>
        <v>0</v>
      </c>
      <c r="BP28" s="96">
        <f t="shared" ca="1" si="16"/>
        <v>312882.41911738407</v>
      </c>
      <c r="BQ28" s="96">
        <f t="shared" ca="1" si="16"/>
        <v>0</v>
      </c>
      <c r="BR28" s="96">
        <f t="shared" ca="1" si="16"/>
        <v>0</v>
      </c>
      <c r="BS28" s="96">
        <f t="shared" ca="1" si="16"/>
        <v>0</v>
      </c>
      <c r="BT28" s="96">
        <f t="shared" ref="BT28:CY28" ca="1" si="17">SUM(BT25:BT27)</f>
        <v>0</v>
      </c>
      <c r="BU28" s="96">
        <f t="shared" ca="1" si="17"/>
        <v>0</v>
      </c>
      <c r="BV28" s="96">
        <f t="shared" ca="1" si="17"/>
        <v>0</v>
      </c>
      <c r="BW28" s="96">
        <f t="shared" ca="1" si="17"/>
        <v>0</v>
      </c>
      <c r="BX28" s="96">
        <f t="shared" ca="1" si="17"/>
        <v>0</v>
      </c>
      <c r="BY28" s="96">
        <f t="shared" ca="1" si="17"/>
        <v>0</v>
      </c>
      <c r="BZ28" s="96">
        <f t="shared" ca="1" si="17"/>
        <v>0</v>
      </c>
      <c r="CA28" s="96">
        <f t="shared" ca="1" si="17"/>
        <v>0</v>
      </c>
      <c r="CB28" s="96">
        <f t="shared" ca="1" si="17"/>
        <v>0</v>
      </c>
      <c r="CC28" s="96">
        <f t="shared" ca="1" si="17"/>
        <v>0</v>
      </c>
      <c r="CD28" s="96">
        <f t="shared" ca="1" si="17"/>
        <v>0</v>
      </c>
      <c r="CE28" s="96">
        <f t="shared" ca="1" si="17"/>
        <v>0</v>
      </c>
      <c r="CF28" s="96">
        <f t="shared" ca="1" si="17"/>
        <v>0</v>
      </c>
      <c r="CG28" s="96">
        <f t="shared" ca="1" si="17"/>
        <v>0</v>
      </c>
      <c r="CH28" s="96">
        <f t="shared" ca="1" si="17"/>
        <v>0</v>
      </c>
      <c r="CI28" s="96">
        <f t="shared" ca="1" si="17"/>
        <v>0</v>
      </c>
      <c r="CJ28" s="96">
        <f t="shared" ca="1" si="17"/>
        <v>0</v>
      </c>
      <c r="CK28" s="96">
        <f t="shared" ca="1" si="17"/>
        <v>0</v>
      </c>
      <c r="CL28" s="96">
        <f t="shared" ca="1" si="17"/>
        <v>0</v>
      </c>
      <c r="CM28" s="96">
        <f t="shared" ca="1" si="17"/>
        <v>0</v>
      </c>
      <c r="CN28" s="96">
        <f t="shared" ca="1" si="17"/>
        <v>0</v>
      </c>
      <c r="CO28" s="96">
        <f t="shared" ca="1" si="17"/>
        <v>0</v>
      </c>
      <c r="CP28" s="96">
        <f t="shared" ca="1" si="17"/>
        <v>0</v>
      </c>
      <c r="CQ28" s="96">
        <f t="shared" ca="1" si="17"/>
        <v>0</v>
      </c>
      <c r="CR28" s="96">
        <f t="shared" ca="1" si="17"/>
        <v>0</v>
      </c>
      <c r="CS28" s="96">
        <f t="shared" ca="1" si="17"/>
        <v>0</v>
      </c>
      <c r="CT28" s="96">
        <f t="shared" ca="1" si="17"/>
        <v>0</v>
      </c>
      <c r="CU28" s="96">
        <f t="shared" ca="1" si="17"/>
        <v>0</v>
      </c>
      <c r="CV28" s="96">
        <f t="shared" ca="1" si="17"/>
        <v>0</v>
      </c>
      <c r="CW28" s="96">
        <f t="shared" ca="1" si="17"/>
        <v>0</v>
      </c>
      <c r="CX28" s="96">
        <f t="shared" ca="1" si="17"/>
        <v>0</v>
      </c>
      <c r="CY28" s="96">
        <f t="shared" ca="1" si="17"/>
        <v>0</v>
      </c>
      <c r="CZ28" s="96">
        <f t="shared" ref="CZ28:DB28" ca="1" si="18">SUM(CZ25:CZ27)</f>
        <v>0</v>
      </c>
      <c r="DA28" s="96">
        <f t="shared" ca="1" si="18"/>
        <v>0</v>
      </c>
      <c r="DB28" s="96">
        <f t="shared" ca="1" si="18"/>
        <v>0</v>
      </c>
    </row>
    <row r="30" spans="2:106">
      <c r="B30" s="2" t="s">
        <v>323</v>
      </c>
    </row>
    <row r="31" spans="2:106">
      <c r="C31" s="13" t="s">
        <v>324</v>
      </c>
    </row>
    <row r="32" spans="2:106">
      <c r="D32" s="91" t="str">
        <f>'A&amp;R'!C48</f>
        <v>제1종수익증권</v>
      </c>
      <c r="E32" s="76"/>
      <c r="F32" s="76">
        <f>SUM(H32:DB32)</f>
        <v>51500</v>
      </c>
      <c r="G32" s="76"/>
      <c r="H32" s="76">
        <f>(H$14='A&amp;R'!$F48)*'A&amp;R'!$E48</f>
        <v>51500</v>
      </c>
      <c r="I32" s="76">
        <f>(I$14='A&amp;R'!$F48)*'A&amp;R'!$E48</f>
        <v>0</v>
      </c>
      <c r="J32" s="76">
        <f>(J$14='A&amp;R'!$F48)*'A&amp;R'!$E48</f>
        <v>0</v>
      </c>
      <c r="K32" s="76">
        <f>(K$14='A&amp;R'!$F48)*'A&amp;R'!$E48</f>
        <v>0</v>
      </c>
      <c r="L32" s="76">
        <f>(L$14='A&amp;R'!$F48)*'A&amp;R'!$E48</f>
        <v>0</v>
      </c>
      <c r="M32" s="76">
        <f>(M$14='A&amp;R'!$F48)*'A&amp;R'!$E48</f>
        <v>0</v>
      </c>
      <c r="N32" s="76">
        <f>(N$14='A&amp;R'!$F48)*'A&amp;R'!$E48</f>
        <v>0</v>
      </c>
      <c r="O32" s="76">
        <f>(O$14='A&amp;R'!$F48)*'A&amp;R'!$E48</f>
        <v>0</v>
      </c>
      <c r="P32" s="76">
        <f>(P$14='A&amp;R'!$F48)*'A&amp;R'!$E48</f>
        <v>0</v>
      </c>
      <c r="Q32" s="76">
        <f>(Q$14='A&amp;R'!$F48)*'A&amp;R'!$E48</f>
        <v>0</v>
      </c>
      <c r="R32" s="76">
        <f>(R$14='A&amp;R'!$F48)*'A&amp;R'!$E48</f>
        <v>0</v>
      </c>
      <c r="S32" s="76">
        <f>(S$14='A&amp;R'!$F48)*'A&amp;R'!$E48</f>
        <v>0</v>
      </c>
      <c r="T32" s="76">
        <f>(T$14='A&amp;R'!$F48)*'A&amp;R'!$E48</f>
        <v>0</v>
      </c>
      <c r="U32" s="76">
        <f>(U$14='A&amp;R'!$F48)*'A&amp;R'!$E48</f>
        <v>0</v>
      </c>
      <c r="V32" s="76">
        <f>(V$14='A&amp;R'!$F48)*'A&amp;R'!$E48</f>
        <v>0</v>
      </c>
      <c r="W32" s="76">
        <f>(W$14='A&amp;R'!$F48)*'A&amp;R'!$E48</f>
        <v>0</v>
      </c>
      <c r="X32" s="76">
        <f>(X$14='A&amp;R'!$F48)*'A&amp;R'!$E48</f>
        <v>0</v>
      </c>
      <c r="Y32" s="76">
        <f>(Y$14='A&amp;R'!$F48)*'A&amp;R'!$E48</f>
        <v>0</v>
      </c>
      <c r="Z32" s="76">
        <f>(Z$14='A&amp;R'!$F48)*'A&amp;R'!$E48</f>
        <v>0</v>
      </c>
      <c r="AA32" s="76">
        <f>(AA$14='A&amp;R'!$F48)*'A&amp;R'!$E48</f>
        <v>0</v>
      </c>
      <c r="AB32" s="76">
        <f>(AB$14='A&amp;R'!$F48)*'A&amp;R'!$E48</f>
        <v>0</v>
      </c>
      <c r="AC32" s="76">
        <f>(AC$14='A&amp;R'!$F48)*'A&amp;R'!$E48</f>
        <v>0</v>
      </c>
      <c r="AD32" s="76">
        <f>(AD$14='A&amp;R'!$F48)*'A&amp;R'!$E48</f>
        <v>0</v>
      </c>
      <c r="AE32" s="76">
        <f>(AE$14='A&amp;R'!$F48)*'A&amp;R'!$E48</f>
        <v>0</v>
      </c>
      <c r="AF32" s="76">
        <f>(AF$14='A&amp;R'!$F48)*'A&amp;R'!$E48</f>
        <v>0</v>
      </c>
      <c r="AG32" s="76">
        <f>(AG$14='A&amp;R'!$F48)*'A&amp;R'!$E48</f>
        <v>0</v>
      </c>
      <c r="AH32" s="76">
        <f>(AH$14='A&amp;R'!$F48)*'A&amp;R'!$E48</f>
        <v>0</v>
      </c>
      <c r="AI32" s="76">
        <f>(AI$14='A&amp;R'!$F48)*'A&amp;R'!$E48</f>
        <v>0</v>
      </c>
      <c r="AJ32" s="76">
        <f>(AJ$14='A&amp;R'!$F48)*'A&amp;R'!$E48</f>
        <v>0</v>
      </c>
      <c r="AK32" s="76">
        <f>(AK$14='A&amp;R'!$F48)*'A&amp;R'!$E48</f>
        <v>0</v>
      </c>
      <c r="AL32" s="76">
        <f>(AL$14='A&amp;R'!$F48)*'A&amp;R'!$E48</f>
        <v>0</v>
      </c>
      <c r="AM32" s="76">
        <f>(AM$14='A&amp;R'!$F48)*'A&amp;R'!$E48</f>
        <v>0</v>
      </c>
      <c r="AN32" s="76">
        <f>(AN$14='A&amp;R'!$F48)*'A&amp;R'!$E48</f>
        <v>0</v>
      </c>
      <c r="AO32" s="76">
        <f>(AO$14='A&amp;R'!$F48)*'A&amp;R'!$E48</f>
        <v>0</v>
      </c>
      <c r="AP32" s="76">
        <f>(AP$14='A&amp;R'!$F48)*'A&amp;R'!$E48</f>
        <v>0</v>
      </c>
      <c r="AQ32" s="76">
        <f>(AQ$14='A&amp;R'!$F48)*'A&amp;R'!$E48</f>
        <v>0</v>
      </c>
      <c r="AR32" s="76">
        <f>(AR$14='A&amp;R'!$F48)*'A&amp;R'!$E48</f>
        <v>0</v>
      </c>
      <c r="AS32" s="76">
        <f>(AS$14='A&amp;R'!$F48)*'A&amp;R'!$E48</f>
        <v>0</v>
      </c>
      <c r="AT32" s="76">
        <f>(AT$14='A&amp;R'!$F48)*'A&amp;R'!$E48</f>
        <v>0</v>
      </c>
      <c r="AU32" s="76">
        <f>(AU$14='A&amp;R'!$F48)*'A&amp;R'!$E48</f>
        <v>0</v>
      </c>
      <c r="AV32" s="76">
        <f>(AV$14='A&amp;R'!$F48)*'A&amp;R'!$E48</f>
        <v>0</v>
      </c>
      <c r="AW32" s="76">
        <f>(AW$14='A&amp;R'!$F48)*'A&amp;R'!$E48</f>
        <v>0</v>
      </c>
      <c r="AX32" s="76">
        <f>(AX$14='A&amp;R'!$F48)*'A&amp;R'!$E48</f>
        <v>0</v>
      </c>
      <c r="AY32" s="76">
        <f>(AY$14='A&amp;R'!$F48)*'A&amp;R'!$E48</f>
        <v>0</v>
      </c>
      <c r="AZ32" s="76">
        <f>(AZ$14='A&amp;R'!$F48)*'A&amp;R'!$E48</f>
        <v>0</v>
      </c>
      <c r="BA32" s="76">
        <f>(BA$14='A&amp;R'!$F48)*'A&amp;R'!$E48</f>
        <v>0</v>
      </c>
      <c r="BB32" s="76">
        <f>(BB$14='A&amp;R'!$F48)*'A&amp;R'!$E48</f>
        <v>0</v>
      </c>
      <c r="BC32" s="76">
        <f>(BC$14='A&amp;R'!$F48)*'A&amp;R'!$E48</f>
        <v>0</v>
      </c>
      <c r="BD32" s="76">
        <f>(BD$14='A&amp;R'!$F48)*'A&amp;R'!$E48</f>
        <v>0</v>
      </c>
      <c r="BE32" s="76">
        <f>(BE$14='A&amp;R'!$F48)*'A&amp;R'!$E48</f>
        <v>0</v>
      </c>
      <c r="BF32" s="76">
        <f>(BF$14='A&amp;R'!$F48)*'A&amp;R'!$E48</f>
        <v>0</v>
      </c>
      <c r="BG32" s="76">
        <f>(BG$14='A&amp;R'!$F48)*'A&amp;R'!$E48</f>
        <v>0</v>
      </c>
      <c r="BH32" s="76">
        <f>(BH$14='A&amp;R'!$F48)*'A&amp;R'!$E48</f>
        <v>0</v>
      </c>
      <c r="BI32" s="76">
        <f>(BI$14='A&amp;R'!$F48)*'A&amp;R'!$E48</f>
        <v>0</v>
      </c>
      <c r="BJ32" s="76">
        <f>(BJ$14='A&amp;R'!$F48)*'A&amp;R'!$E48</f>
        <v>0</v>
      </c>
      <c r="BK32" s="76">
        <f>(BK$14='A&amp;R'!$F48)*'A&amp;R'!$E48</f>
        <v>0</v>
      </c>
      <c r="BL32" s="76">
        <f>(BL$14='A&amp;R'!$F48)*'A&amp;R'!$E48</f>
        <v>0</v>
      </c>
      <c r="BM32" s="76">
        <f>(BM$14='A&amp;R'!$F48)*'A&amp;R'!$E48</f>
        <v>0</v>
      </c>
      <c r="BN32" s="76">
        <f>(BN$14='A&amp;R'!$F48)*'A&amp;R'!$E48</f>
        <v>0</v>
      </c>
      <c r="BO32" s="76">
        <f>(BO$14='A&amp;R'!$F48)*'A&amp;R'!$E48</f>
        <v>0</v>
      </c>
      <c r="BP32" s="76">
        <f>(BP$14='A&amp;R'!$F48)*'A&amp;R'!$E48</f>
        <v>0</v>
      </c>
      <c r="BQ32" s="76">
        <f>(BQ$14='A&amp;R'!$F48)*'A&amp;R'!$E48</f>
        <v>0</v>
      </c>
      <c r="BR32" s="76">
        <f>(BR$14='A&amp;R'!$F48)*'A&amp;R'!$E48</f>
        <v>0</v>
      </c>
      <c r="BS32" s="76">
        <f>(BS$14='A&amp;R'!$F48)*'A&amp;R'!$E48</f>
        <v>0</v>
      </c>
      <c r="BT32" s="76">
        <f>(BT$14='A&amp;R'!$F48)*'A&amp;R'!$E48</f>
        <v>0</v>
      </c>
      <c r="BU32" s="76">
        <f>(BU$14='A&amp;R'!$F48)*'A&amp;R'!$E48</f>
        <v>0</v>
      </c>
      <c r="BV32" s="76">
        <f>(BV$14='A&amp;R'!$F48)*'A&amp;R'!$E48</f>
        <v>0</v>
      </c>
      <c r="BW32" s="76">
        <f>(BW$14='A&amp;R'!$F48)*'A&amp;R'!$E48</f>
        <v>0</v>
      </c>
      <c r="BX32" s="76">
        <f>(BX$14='A&amp;R'!$F48)*'A&amp;R'!$E48</f>
        <v>0</v>
      </c>
      <c r="BY32" s="76">
        <f>(BY$14='A&amp;R'!$F48)*'A&amp;R'!$E48</f>
        <v>0</v>
      </c>
      <c r="BZ32" s="76">
        <f>(BZ$14='A&amp;R'!$F48)*'A&amp;R'!$E48</f>
        <v>0</v>
      </c>
      <c r="CA32" s="76">
        <f>(CA$14='A&amp;R'!$F48)*'A&amp;R'!$E48</f>
        <v>0</v>
      </c>
      <c r="CB32" s="76">
        <f>(CB$14='A&amp;R'!$F48)*'A&amp;R'!$E48</f>
        <v>0</v>
      </c>
      <c r="CC32" s="76">
        <f>(CC$14='A&amp;R'!$F48)*'A&amp;R'!$E48</f>
        <v>0</v>
      </c>
      <c r="CD32" s="76">
        <f>(CD$14='A&amp;R'!$F48)*'A&amp;R'!$E48</f>
        <v>0</v>
      </c>
      <c r="CE32" s="76">
        <f>(CE$14='A&amp;R'!$F48)*'A&amp;R'!$E48</f>
        <v>0</v>
      </c>
      <c r="CF32" s="76">
        <f>(CF$14='A&amp;R'!$F48)*'A&amp;R'!$E48</f>
        <v>0</v>
      </c>
      <c r="CG32" s="76">
        <f>(CG$14='A&amp;R'!$F48)*'A&amp;R'!$E48</f>
        <v>0</v>
      </c>
      <c r="CH32" s="76">
        <f>(CH$14='A&amp;R'!$F48)*'A&amp;R'!$E48</f>
        <v>0</v>
      </c>
      <c r="CI32" s="76">
        <f>(CI$14='A&amp;R'!$F48)*'A&amp;R'!$E48</f>
        <v>0</v>
      </c>
      <c r="CJ32" s="76">
        <f>(CJ$14='A&amp;R'!$F48)*'A&amp;R'!$E48</f>
        <v>0</v>
      </c>
      <c r="CK32" s="76">
        <f>(CK$14='A&amp;R'!$F48)*'A&amp;R'!$E48</f>
        <v>0</v>
      </c>
      <c r="CL32" s="76">
        <f>(CL$14='A&amp;R'!$F48)*'A&amp;R'!$E48</f>
        <v>0</v>
      </c>
      <c r="CM32" s="76">
        <f>(CM$14='A&amp;R'!$F48)*'A&amp;R'!$E48</f>
        <v>0</v>
      </c>
      <c r="CN32" s="76">
        <f>(CN$14='A&amp;R'!$F48)*'A&amp;R'!$E48</f>
        <v>0</v>
      </c>
      <c r="CO32" s="76">
        <f>(CO$14='A&amp;R'!$F48)*'A&amp;R'!$E48</f>
        <v>0</v>
      </c>
      <c r="CP32" s="76">
        <f>(CP$14='A&amp;R'!$F48)*'A&amp;R'!$E48</f>
        <v>0</v>
      </c>
      <c r="CQ32" s="76">
        <f>(CQ$14='A&amp;R'!$F48)*'A&amp;R'!$E48</f>
        <v>0</v>
      </c>
      <c r="CR32" s="76">
        <f>(CR$14='A&amp;R'!$F48)*'A&amp;R'!$E48</f>
        <v>0</v>
      </c>
      <c r="CS32" s="76">
        <f>(CS$14='A&amp;R'!$F48)*'A&amp;R'!$E48</f>
        <v>0</v>
      </c>
      <c r="CT32" s="76">
        <f>(CT$14='A&amp;R'!$F48)*'A&amp;R'!$E48</f>
        <v>0</v>
      </c>
      <c r="CU32" s="76">
        <f>(CU$14='A&amp;R'!$F48)*'A&amp;R'!$E48</f>
        <v>0</v>
      </c>
      <c r="CV32" s="76">
        <f>(CV$14='A&amp;R'!$F48)*'A&amp;R'!$E48</f>
        <v>0</v>
      </c>
      <c r="CW32" s="76">
        <f>(CW$14='A&amp;R'!$F48)*'A&amp;R'!$E48</f>
        <v>0</v>
      </c>
      <c r="CX32" s="76">
        <f>(CX$14='A&amp;R'!$F48)*'A&amp;R'!$E48</f>
        <v>0</v>
      </c>
      <c r="CY32" s="76">
        <f>(CY$14='A&amp;R'!$F48)*'A&amp;R'!$E48</f>
        <v>0</v>
      </c>
      <c r="CZ32" s="76">
        <f>(CZ$14='A&amp;R'!$F48)*'A&amp;R'!$E48</f>
        <v>0</v>
      </c>
      <c r="DA32" s="76">
        <f>(DA$14='A&amp;R'!$F48)*'A&amp;R'!$E48</f>
        <v>0</v>
      </c>
      <c r="DB32" s="76">
        <f>(DB$14='A&amp;R'!$F48)*'A&amp;R'!$E48</f>
        <v>0</v>
      </c>
    </row>
    <row r="33" spans="3:106">
      <c r="C33" s="73"/>
      <c r="D33" s="169" t="str">
        <f>'A&amp;R'!C49</f>
        <v>제2종수익증권</v>
      </c>
      <c r="E33" s="73"/>
      <c r="F33" s="73">
        <f>SUM(H33:DB33)</f>
        <v>46500</v>
      </c>
      <c r="G33" s="73"/>
      <c r="H33" s="73">
        <f>(H$14='A&amp;R'!$F49)*'A&amp;R'!$E49</f>
        <v>46500</v>
      </c>
      <c r="I33" s="73">
        <f>(I$14='A&amp;R'!$F49)*'A&amp;R'!$E49</f>
        <v>0</v>
      </c>
      <c r="J33" s="73">
        <f>(J$14='A&amp;R'!$F49)*'A&amp;R'!$E49</f>
        <v>0</v>
      </c>
      <c r="K33" s="73">
        <f>(K$14='A&amp;R'!$F49)*'A&amp;R'!$E49</f>
        <v>0</v>
      </c>
      <c r="L33" s="73">
        <f>(L$14='A&amp;R'!$F49)*'A&amp;R'!$E49</f>
        <v>0</v>
      </c>
      <c r="M33" s="73">
        <f>(M$14='A&amp;R'!$F49)*'A&amp;R'!$E49</f>
        <v>0</v>
      </c>
      <c r="N33" s="73">
        <f>(N$14='A&amp;R'!$F49)*'A&amp;R'!$E49</f>
        <v>0</v>
      </c>
      <c r="O33" s="73">
        <f>(O$14='A&amp;R'!$F49)*'A&amp;R'!$E49</f>
        <v>0</v>
      </c>
      <c r="P33" s="73">
        <f>(P$14='A&amp;R'!$F49)*'A&amp;R'!$E49</f>
        <v>0</v>
      </c>
      <c r="Q33" s="73">
        <f>(Q$14='A&amp;R'!$F49)*'A&amp;R'!$E49</f>
        <v>0</v>
      </c>
      <c r="R33" s="73">
        <f>(R$14='A&amp;R'!$F49)*'A&amp;R'!$E49</f>
        <v>0</v>
      </c>
      <c r="S33" s="73">
        <f>(S$14='A&amp;R'!$F49)*'A&amp;R'!$E49</f>
        <v>0</v>
      </c>
      <c r="T33" s="73">
        <f>(T$14='A&amp;R'!$F49)*'A&amp;R'!$E49</f>
        <v>0</v>
      </c>
      <c r="U33" s="73">
        <f>(U$14='A&amp;R'!$F49)*'A&amp;R'!$E49</f>
        <v>0</v>
      </c>
      <c r="V33" s="73">
        <f>(V$14='A&amp;R'!$F49)*'A&amp;R'!$E49</f>
        <v>0</v>
      </c>
      <c r="W33" s="73">
        <f>(W$14='A&amp;R'!$F49)*'A&amp;R'!$E49</f>
        <v>0</v>
      </c>
      <c r="X33" s="73">
        <f>(X$14='A&amp;R'!$F49)*'A&amp;R'!$E49</f>
        <v>0</v>
      </c>
      <c r="Y33" s="73">
        <f>(Y$14='A&amp;R'!$F49)*'A&amp;R'!$E49</f>
        <v>0</v>
      </c>
      <c r="Z33" s="73">
        <f>(Z$14='A&amp;R'!$F49)*'A&amp;R'!$E49</f>
        <v>0</v>
      </c>
      <c r="AA33" s="73">
        <f>(AA$14='A&amp;R'!$F49)*'A&amp;R'!$E49</f>
        <v>0</v>
      </c>
      <c r="AB33" s="73">
        <f>(AB$14='A&amp;R'!$F49)*'A&amp;R'!$E49</f>
        <v>0</v>
      </c>
      <c r="AC33" s="73">
        <f>(AC$14='A&amp;R'!$F49)*'A&amp;R'!$E49</f>
        <v>0</v>
      </c>
      <c r="AD33" s="73">
        <f>(AD$14='A&amp;R'!$F49)*'A&amp;R'!$E49</f>
        <v>0</v>
      </c>
      <c r="AE33" s="73">
        <f>(AE$14='A&amp;R'!$F49)*'A&amp;R'!$E49</f>
        <v>0</v>
      </c>
      <c r="AF33" s="73">
        <f>(AF$14='A&amp;R'!$F49)*'A&amp;R'!$E49</f>
        <v>0</v>
      </c>
      <c r="AG33" s="73">
        <f>(AG$14='A&amp;R'!$F49)*'A&amp;R'!$E49</f>
        <v>0</v>
      </c>
      <c r="AH33" s="73">
        <f>(AH$14='A&amp;R'!$F49)*'A&amp;R'!$E49</f>
        <v>0</v>
      </c>
      <c r="AI33" s="73">
        <f>(AI$14='A&amp;R'!$F49)*'A&amp;R'!$E49</f>
        <v>0</v>
      </c>
      <c r="AJ33" s="73">
        <f>(AJ$14='A&amp;R'!$F49)*'A&amp;R'!$E49</f>
        <v>0</v>
      </c>
      <c r="AK33" s="73">
        <f>(AK$14='A&amp;R'!$F49)*'A&amp;R'!$E49</f>
        <v>0</v>
      </c>
      <c r="AL33" s="73">
        <f>(AL$14='A&amp;R'!$F49)*'A&amp;R'!$E49</f>
        <v>0</v>
      </c>
      <c r="AM33" s="73">
        <f>(AM$14='A&amp;R'!$F49)*'A&amp;R'!$E49</f>
        <v>0</v>
      </c>
      <c r="AN33" s="73">
        <f>(AN$14='A&amp;R'!$F49)*'A&amp;R'!$E49</f>
        <v>0</v>
      </c>
      <c r="AO33" s="73">
        <f>(AO$14='A&amp;R'!$F49)*'A&amp;R'!$E49</f>
        <v>0</v>
      </c>
      <c r="AP33" s="73">
        <f>(AP$14='A&amp;R'!$F49)*'A&amp;R'!$E49</f>
        <v>0</v>
      </c>
      <c r="AQ33" s="73">
        <f>(AQ$14='A&amp;R'!$F49)*'A&amp;R'!$E49</f>
        <v>0</v>
      </c>
      <c r="AR33" s="73">
        <f>(AR$14='A&amp;R'!$F49)*'A&amp;R'!$E49</f>
        <v>0</v>
      </c>
      <c r="AS33" s="73">
        <f>(AS$14='A&amp;R'!$F49)*'A&amp;R'!$E49</f>
        <v>0</v>
      </c>
      <c r="AT33" s="73">
        <f>(AT$14='A&amp;R'!$F49)*'A&amp;R'!$E49</f>
        <v>0</v>
      </c>
      <c r="AU33" s="73">
        <f>(AU$14='A&amp;R'!$F49)*'A&amp;R'!$E49</f>
        <v>0</v>
      </c>
      <c r="AV33" s="73">
        <f>(AV$14='A&amp;R'!$F49)*'A&amp;R'!$E49</f>
        <v>0</v>
      </c>
      <c r="AW33" s="73">
        <f>(AW$14='A&amp;R'!$F49)*'A&amp;R'!$E49</f>
        <v>0</v>
      </c>
      <c r="AX33" s="73">
        <f>(AX$14='A&amp;R'!$F49)*'A&amp;R'!$E49</f>
        <v>0</v>
      </c>
      <c r="AY33" s="73">
        <f>(AY$14='A&amp;R'!$F49)*'A&amp;R'!$E49</f>
        <v>0</v>
      </c>
      <c r="AZ33" s="73">
        <f>(AZ$14='A&amp;R'!$F49)*'A&amp;R'!$E49</f>
        <v>0</v>
      </c>
      <c r="BA33" s="73">
        <f>(BA$14='A&amp;R'!$F49)*'A&amp;R'!$E49</f>
        <v>0</v>
      </c>
      <c r="BB33" s="73">
        <f>(BB$14='A&amp;R'!$F49)*'A&amp;R'!$E49</f>
        <v>0</v>
      </c>
      <c r="BC33" s="73">
        <f>(BC$14='A&amp;R'!$F49)*'A&amp;R'!$E49</f>
        <v>0</v>
      </c>
      <c r="BD33" s="73">
        <f>(BD$14='A&amp;R'!$F49)*'A&amp;R'!$E49</f>
        <v>0</v>
      </c>
      <c r="BE33" s="73">
        <f>(BE$14='A&amp;R'!$F49)*'A&amp;R'!$E49</f>
        <v>0</v>
      </c>
      <c r="BF33" s="73">
        <f>(BF$14='A&amp;R'!$F49)*'A&amp;R'!$E49</f>
        <v>0</v>
      </c>
      <c r="BG33" s="73">
        <f>(BG$14='A&amp;R'!$F49)*'A&amp;R'!$E49</f>
        <v>0</v>
      </c>
      <c r="BH33" s="73">
        <f>(BH$14='A&amp;R'!$F49)*'A&amp;R'!$E49</f>
        <v>0</v>
      </c>
      <c r="BI33" s="73">
        <f>(BI$14='A&amp;R'!$F49)*'A&amp;R'!$E49</f>
        <v>0</v>
      </c>
      <c r="BJ33" s="73">
        <f>(BJ$14='A&amp;R'!$F49)*'A&amp;R'!$E49</f>
        <v>0</v>
      </c>
      <c r="BK33" s="73">
        <f>(BK$14='A&amp;R'!$F49)*'A&amp;R'!$E49</f>
        <v>0</v>
      </c>
      <c r="BL33" s="73">
        <f>(BL$14='A&amp;R'!$F49)*'A&amp;R'!$E49</f>
        <v>0</v>
      </c>
      <c r="BM33" s="73">
        <f>(BM$14='A&amp;R'!$F49)*'A&amp;R'!$E49</f>
        <v>0</v>
      </c>
      <c r="BN33" s="73">
        <f>(BN$14='A&amp;R'!$F49)*'A&amp;R'!$E49</f>
        <v>0</v>
      </c>
      <c r="BO33" s="73">
        <f>(BO$14='A&amp;R'!$F49)*'A&amp;R'!$E49</f>
        <v>0</v>
      </c>
      <c r="BP33" s="73">
        <f>(BP$14='A&amp;R'!$F49)*'A&amp;R'!$E49</f>
        <v>0</v>
      </c>
      <c r="BQ33" s="73">
        <f>(BQ$14='A&amp;R'!$F49)*'A&amp;R'!$E49</f>
        <v>0</v>
      </c>
      <c r="BR33" s="73">
        <f>(BR$14='A&amp;R'!$F49)*'A&amp;R'!$E49</f>
        <v>0</v>
      </c>
      <c r="BS33" s="73">
        <f>(BS$14='A&amp;R'!$F49)*'A&amp;R'!$E49</f>
        <v>0</v>
      </c>
      <c r="BT33" s="73">
        <f>(BT$14='A&amp;R'!$F49)*'A&amp;R'!$E49</f>
        <v>0</v>
      </c>
      <c r="BU33" s="73">
        <f>(BU$14='A&amp;R'!$F49)*'A&amp;R'!$E49</f>
        <v>0</v>
      </c>
      <c r="BV33" s="73">
        <f>(BV$14='A&amp;R'!$F49)*'A&amp;R'!$E49</f>
        <v>0</v>
      </c>
      <c r="BW33" s="73">
        <f>(BW$14='A&amp;R'!$F49)*'A&amp;R'!$E49</f>
        <v>0</v>
      </c>
      <c r="BX33" s="73">
        <f>(BX$14='A&amp;R'!$F49)*'A&amp;R'!$E49</f>
        <v>0</v>
      </c>
      <c r="BY33" s="73">
        <f>(BY$14='A&amp;R'!$F49)*'A&amp;R'!$E49</f>
        <v>0</v>
      </c>
      <c r="BZ33" s="73">
        <f>(BZ$14='A&amp;R'!$F49)*'A&amp;R'!$E49</f>
        <v>0</v>
      </c>
      <c r="CA33" s="73">
        <f>(CA$14='A&amp;R'!$F49)*'A&amp;R'!$E49</f>
        <v>0</v>
      </c>
      <c r="CB33" s="73">
        <f>(CB$14='A&amp;R'!$F49)*'A&amp;R'!$E49</f>
        <v>0</v>
      </c>
      <c r="CC33" s="73">
        <f>(CC$14='A&amp;R'!$F49)*'A&amp;R'!$E49</f>
        <v>0</v>
      </c>
      <c r="CD33" s="73">
        <f>(CD$14='A&amp;R'!$F49)*'A&amp;R'!$E49</f>
        <v>0</v>
      </c>
      <c r="CE33" s="73">
        <f>(CE$14='A&amp;R'!$F49)*'A&amp;R'!$E49</f>
        <v>0</v>
      </c>
      <c r="CF33" s="73">
        <f>(CF$14='A&amp;R'!$F49)*'A&amp;R'!$E49</f>
        <v>0</v>
      </c>
      <c r="CG33" s="73">
        <f>(CG$14='A&amp;R'!$F49)*'A&amp;R'!$E49</f>
        <v>0</v>
      </c>
      <c r="CH33" s="73">
        <f>(CH$14='A&amp;R'!$F49)*'A&amp;R'!$E49</f>
        <v>0</v>
      </c>
      <c r="CI33" s="73">
        <f>(CI$14='A&amp;R'!$F49)*'A&amp;R'!$E49</f>
        <v>0</v>
      </c>
      <c r="CJ33" s="73">
        <f>(CJ$14='A&amp;R'!$F49)*'A&amp;R'!$E49</f>
        <v>0</v>
      </c>
      <c r="CK33" s="73">
        <f>(CK$14='A&amp;R'!$F49)*'A&amp;R'!$E49</f>
        <v>0</v>
      </c>
      <c r="CL33" s="73">
        <f>(CL$14='A&amp;R'!$F49)*'A&amp;R'!$E49</f>
        <v>0</v>
      </c>
      <c r="CM33" s="73">
        <f>(CM$14='A&amp;R'!$F49)*'A&amp;R'!$E49</f>
        <v>0</v>
      </c>
      <c r="CN33" s="73">
        <f>(CN$14='A&amp;R'!$F49)*'A&amp;R'!$E49</f>
        <v>0</v>
      </c>
      <c r="CO33" s="73">
        <f>(CO$14='A&amp;R'!$F49)*'A&amp;R'!$E49</f>
        <v>0</v>
      </c>
      <c r="CP33" s="73">
        <f>(CP$14='A&amp;R'!$F49)*'A&amp;R'!$E49</f>
        <v>0</v>
      </c>
      <c r="CQ33" s="73">
        <f>(CQ$14='A&amp;R'!$F49)*'A&amp;R'!$E49</f>
        <v>0</v>
      </c>
      <c r="CR33" s="73">
        <f>(CR$14='A&amp;R'!$F49)*'A&amp;R'!$E49</f>
        <v>0</v>
      </c>
      <c r="CS33" s="73">
        <f>(CS$14='A&amp;R'!$F49)*'A&amp;R'!$E49</f>
        <v>0</v>
      </c>
      <c r="CT33" s="73">
        <f>(CT$14='A&amp;R'!$F49)*'A&amp;R'!$E49</f>
        <v>0</v>
      </c>
      <c r="CU33" s="73">
        <f>(CU$14='A&amp;R'!$F49)*'A&amp;R'!$E49</f>
        <v>0</v>
      </c>
      <c r="CV33" s="73">
        <f>(CV$14='A&amp;R'!$F49)*'A&amp;R'!$E49</f>
        <v>0</v>
      </c>
      <c r="CW33" s="73">
        <f>(CW$14='A&amp;R'!$F49)*'A&amp;R'!$E49</f>
        <v>0</v>
      </c>
      <c r="CX33" s="73">
        <f>(CX$14='A&amp;R'!$F49)*'A&amp;R'!$E49</f>
        <v>0</v>
      </c>
      <c r="CY33" s="73">
        <f>(CY$14='A&amp;R'!$F49)*'A&amp;R'!$E49</f>
        <v>0</v>
      </c>
      <c r="CZ33" s="73">
        <f>(CZ$14='A&amp;R'!$F49)*'A&amp;R'!$E49</f>
        <v>0</v>
      </c>
      <c r="DA33" s="73">
        <f>(DA$14='A&amp;R'!$F49)*'A&amp;R'!$E49</f>
        <v>0</v>
      </c>
      <c r="DB33" s="73">
        <f>(DB$14='A&amp;R'!$F49)*'A&amp;R'!$E49</f>
        <v>0</v>
      </c>
    </row>
    <row r="34" spans="3:106">
      <c r="C34" s="13" t="s">
        <v>325</v>
      </c>
    </row>
    <row r="35" spans="3:106">
      <c r="D35" s="91" t="str">
        <f>'A&amp;R'!C52</f>
        <v>Tr.A 담보대출</v>
      </c>
      <c r="E35" s="76"/>
      <c r="F35" s="76">
        <f t="shared" ref="F35:F38" ca="1" si="19">SUM(H35:DB35)</f>
        <v>145594.83489206826</v>
      </c>
      <c r="G35" s="76"/>
      <c r="H35" s="76">
        <f ca="1">(H$14='A&amp;R'!$F52)*'A&amp;R'!$E52</f>
        <v>145594.83489206826</v>
      </c>
      <c r="I35" s="76">
        <f ca="1">(I$14='A&amp;R'!$F52)*'A&amp;R'!$E52</f>
        <v>0</v>
      </c>
      <c r="J35" s="76">
        <f ca="1">(J$14='A&amp;R'!$F52)*'A&amp;R'!$E52</f>
        <v>0</v>
      </c>
      <c r="K35" s="76">
        <f ca="1">(K$14='A&amp;R'!$F52)*'A&amp;R'!$E52</f>
        <v>0</v>
      </c>
      <c r="L35" s="76">
        <f ca="1">(L$14='A&amp;R'!$F52)*'A&amp;R'!$E52</f>
        <v>0</v>
      </c>
      <c r="M35" s="76">
        <f ca="1">(M$14='A&amp;R'!$F52)*'A&amp;R'!$E52</f>
        <v>0</v>
      </c>
      <c r="N35" s="76">
        <f ca="1">(N$14='A&amp;R'!$F52)*'A&amp;R'!$E52</f>
        <v>0</v>
      </c>
      <c r="O35" s="76">
        <f ca="1">(O$14='A&amp;R'!$F52)*'A&amp;R'!$E52</f>
        <v>0</v>
      </c>
      <c r="P35" s="76">
        <f ca="1">(P$14='A&amp;R'!$F52)*'A&amp;R'!$E52</f>
        <v>0</v>
      </c>
      <c r="Q35" s="76">
        <f ca="1">(Q$14='A&amp;R'!$F52)*'A&amp;R'!$E52</f>
        <v>0</v>
      </c>
      <c r="R35" s="76">
        <f ca="1">(R$14='A&amp;R'!$F52)*'A&amp;R'!$E52</f>
        <v>0</v>
      </c>
      <c r="S35" s="76">
        <f ca="1">(S$14='A&amp;R'!$F52)*'A&amp;R'!$E52</f>
        <v>0</v>
      </c>
      <c r="T35" s="76">
        <f ca="1">(T$14='A&amp;R'!$F52)*'A&amp;R'!$E52</f>
        <v>0</v>
      </c>
      <c r="U35" s="76">
        <f ca="1">(U$14='A&amp;R'!$F52)*'A&amp;R'!$E52</f>
        <v>0</v>
      </c>
      <c r="V35" s="76">
        <f ca="1">(V$14='A&amp;R'!$F52)*'A&amp;R'!$E52</f>
        <v>0</v>
      </c>
      <c r="W35" s="76">
        <f ca="1">(W$14='A&amp;R'!$F52)*'A&amp;R'!$E52</f>
        <v>0</v>
      </c>
      <c r="X35" s="76">
        <f ca="1">(X$14='A&amp;R'!$F52)*'A&amp;R'!$E52</f>
        <v>0</v>
      </c>
      <c r="Y35" s="76">
        <f ca="1">(Y$14='A&amp;R'!$F52)*'A&amp;R'!$E52</f>
        <v>0</v>
      </c>
      <c r="Z35" s="76">
        <f ca="1">(Z$14='A&amp;R'!$F52)*'A&amp;R'!$E52</f>
        <v>0</v>
      </c>
      <c r="AA35" s="76">
        <f ca="1">(AA$14='A&amp;R'!$F52)*'A&amp;R'!$E52</f>
        <v>0</v>
      </c>
      <c r="AB35" s="76">
        <f ca="1">(AB$14='A&amp;R'!$F52)*'A&amp;R'!$E52</f>
        <v>0</v>
      </c>
      <c r="AC35" s="76">
        <f ca="1">(AC$14='A&amp;R'!$F52)*'A&amp;R'!$E52</f>
        <v>0</v>
      </c>
      <c r="AD35" s="76">
        <f ca="1">(AD$14='A&amp;R'!$F52)*'A&amp;R'!$E52</f>
        <v>0</v>
      </c>
      <c r="AE35" s="76">
        <f ca="1">(AE$14='A&amp;R'!$F52)*'A&amp;R'!$E52</f>
        <v>0</v>
      </c>
      <c r="AF35" s="76">
        <f ca="1">(AF$14='A&amp;R'!$F52)*'A&amp;R'!$E52</f>
        <v>0</v>
      </c>
      <c r="AG35" s="76">
        <f ca="1">(AG$14='A&amp;R'!$F52)*'A&amp;R'!$E52</f>
        <v>0</v>
      </c>
      <c r="AH35" s="76">
        <f ca="1">(AH$14='A&amp;R'!$F52)*'A&amp;R'!$E52</f>
        <v>0</v>
      </c>
      <c r="AI35" s="76">
        <f ca="1">(AI$14='A&amp;R'!$F52)*'A&amp;R'!$E52</f>
        <v>0</v>
      </c>
      <c r="AJ35" s="76">
        <f ca="1">(AJ$14='A&amp;R'!$F52)*'A&amp;R'!$E52</f>
        <v>0</v>
      </c>
      <c r="AK35" s="76">
        <f ca="1">(AK$14='A&amp;R'!$F52)*'A&amp;R'!$E52</f>
        <v>0</v>
      </c>
      <c r="AL35" s="76">
        <f ca="1">(AL$14='A&amp;R'!$F52)*'A&amp;R'!$E52</f>
        <v>0</v>
      </c>
      <c r="AM35" s="76">
        <f ca="1">(AM$14='A&amp;R'!$F52)*'A&amp;R'!$E52</f>
        <v>0</v>
      </c>
      <c r="AN35" s="76">
        <f ca="1">(AN$14='A&amp;R'!$F52)*'A&amp;R'!$E52</f>
        <v>0</v>
      </c>
      <c r="AO35" s="76">
        <f ca="1">(AO$14='A&amp;R'!$F52)*'A&amp;R'!$E52</f>
        <v>0</v>
      </c>
      <c r="AP35" s="76">
        <f ca="1">(AP$14='A&amp;R'!$F52)*'A&amp;R'!$E52</f>
        <v>0</v>
      </c>
      <c r="AQ35" s="76">
        <f ca="1">(AQ$14='A&amp;R'!$F52)*'A&amp;R'!$E52</f>
        <v>0</v>
      </c>
      <c r="AR35" s="76">
        <f ca="1">(AR$14='A&amp;R'!$F52)*'A&amp;R'!$E52</f>
        <v>0</v>
      </c>
      <c r="AS35" s="76">
        <f ca="1">(AS$14='A&amp;R'!$F52)*'A&amp;R'!$E52</f>
        <v>0</v>
      </c>
      <c r="AT35" s="76">
        <f ca="1">(AT$14='A&amp;R'!$F52)*'A&amp;R'!$E52</f>
        <v>0</v>
      </c>
      <c r="AU35" s="76">
        <f ca="1">(AU$14='A&amp;R'!$F52)*'A&amp;R'!$E52</f>
        <v>0</v>
      </c>
      <c r="AV35" s="76">
        <f ca="1">(AV$14='A&amp;R'!$F52)*'A&amp;R'!$E52</f>
        <v>0</v>
      </c>
      <c r="AW35" s="76">
        <f ca="1">(AW$14='A&amp;R'!$F52)*'A&amp;R'!$E52</f>
        <v>0</v>
      </c>
      <c r="AX35" s="76">
        <f ca="1">(AX$14='A&amp;R'!$F52)*'A&amp;R'!$E52</f>
        <v>0</v>
      </c>
      <c r="AY35" s="76">
        <f ca="1">(AY$14='A&amp;R'!$F52)*'A&amp;R'!$E52</f>
        <v>0</v>
      </c>
      <c r="AZ35" s="76">
        <f ca="1">(AZ$14='A&amp;R'!$F52)*'A&amp;R'!$E52</f>
        <v>0</v>
      </c>
      <c r="BA35" s="76">
        <f ca="1">(BA$14='A&amp;R'!$F52)*'A&amp;R'!$E52</f>
        <v>0</v>
      </c>
      <c r="BB35" s="76">
        <f ca="1">(BB$14='A&amp;R'!$F52)*'A&amp;R'!$E52</f>
        <v>0</v>
      </c>
      <c r="BC35" s="76">
        <f ca="1">(BC$14='A&amp;R'!$F52)*'A&amp;R'!$E52</f>
        <v>0</v>
      </c>
      <c r="BD35" s="76">
        <f ca="1">(BD$14='A&amp;R'!$F52)*'A&amp;R'!$E52</f>
        <v>0</v>
      </c>
      <c r="BE35" s="76">
        <f ca="1">(BE$14='A&amp;R'!$F52)*'A&amp;R'!$E52</f>
        <v>0</v>
      </c>
      <c r="BF35" s="76">
        <f ca="1">(BF$14='A&amp;R'!$F52)*'A&amp;R'!$E52</f>
        <v>0</v>
      </c>
      <c r="BG35" s="76">
        <f ca="1">(BG$14='A&amp;R'!$F52)*'A&amp;R'!$E52</f>
        <v>0</v>
      </c>
      <c r="BH35" s="76">
        <f ca="1">(BH$14='A&amp;R'!$F52)*'A&amp;R'!$E52</f>
        <v>0</v>
      </c>
      <c r="BI35" s="76">
        <f ca="1">(BI$14='A&amp;R'!$F52)*'A&amp;R'!$E52</f>
        <v>0</v>
      </c>
      <c r="BJ35" s="76">
        <f ca="1">(BJ$14='A&amp;R'!$F52)*'A&amp;R'!$E52</f>
        <v>0</v>
      </c>
      <c r="BK35" s="76">
        <f ca="1">(BK$14='A&amp;R'!$F52)*'A&amp;R'!$E52</f>
        <v>0</v>
      </c>
      <c r="BL35" s="76">
        <f ca="1">(BL$14='A&amp;R'!$F52)*'A&amp;R'!$E52</f>
        <v>0</v>
      </c>
      <c r="BM35" s="76">
        <f ca="1">(BM$14='A&amp;R'!$F52)*'A&amp;R'!$E52</f>
        <v>0</v>
      </c>
      <c r="BN35" s="76">
        <f ca="1">(BN$14='A&amp;R'!$F52)*'A&amp;R'!$E52</f>
        <v>0</v>
      </c>
      <c r="BO35" s="76">
        <f ca="1">(BO$14='A&amp;R'!$F52)*'A&amp;R'!$E52</f>
        <v>0</v>
      </c>
      <c r="BP35" s="76">
        <f ca="1">(BP$14='A&amp;R'!$F52)*'A&amp;R'!$E52</f>
        <v>0</v>
      </c>
      <c r="BQ35" s="76">
        <f ca="1">(BQ$14='A&amp;R'!$F52)*'A&amp;R'!$E52</f>
        <v>0</v>
      </c>
      <c r="BR35" s="76">
        <f ca="1">(BR$14='A&amp;R'!$F52)*'A&amp;R'!$E52</f>
        <v>0</v>
      </c>
      <c r="BS35" s="76">
        <f ca="1">(BS$14='A&amp;R'!$F52)*'A&amp;R'!$E52</f>
        <v>0</v>
      </c>
      <c r="BT35" s="76">
        <f ca="1">(BT$14='A&amp;R'!$F52)*'A&amp;R'!$E52</f>
        <v>0</v>
      </c>
      <c r="BU35" s="76">
        <f ca="1">(BU$14='A&amp;R'!$F52)*'A&amp;R'!$E52</f>
        <v>0</v>
      </c>
      <c r="BV35" s="76">
        <f ca="1">(BV$14='A&amp;R'!$F52)*'A&amp;R'!$E52</f>
        <v>0</v>
      </c>
      <c r="BW35" s="76">
        <f ca="1">(BW$14='A&amp;R'!$F52)*'A&amp;R'!$E52</f>
        <v>0</v>
      </c>
      <c r="BX35" s="76">
        <f ca="1">(BX$14='A&amp;R'!$F52)*'A&amp;R'!$E52</f>
        <v>0</v>
      </c>
      <c r="BY35" s="76">
        <f ca="1">(BY$14='A&amp;R'!$F52)*'A&amp;R'!$E52</f>
        <v>0</v>
      </c>
      <c r="BZ35" s="76">
        <f ca="1">(BZ$14='A&amp;R'!$F52)*'A&amp;R'!$E52</f>
        <v>0</v>
      </c>
      <c r="CA35" s="76">
        <f ca="1">(CA$14='A&amp;R'!$F52)*'A&amp;R'!$E52</f>
        <v>0</v>
      </c>
      <c r="CB35" s="76">
        <f ca="1">(CB$14='A&amp;R'!$F52)*'A&amp;R'!$E52</f>
        <v>0</v>
      </c>
      <c r="CC35" s="76">
        <f ca="1">(CC$14='A&amp;R'!$F52)*'A&amp;R'!$E52</f>
        <v>0</v>
      </c>
      <c r="CD35" s="76">
        <f ca="1">(CD$14='A&amp;R'!$F52)*'A&amp;R'!$E52</f>
        <v>0</v>
      </c>
      <c r="CE35" s="76">
        <f ca="1">(CE$14='A&amp;R'!$F52)*'A&amp;R'!$E52</f>
        <v>0</v>
      </c>
      <c r="CF35" s="76">
        <f ca="1">(CF$14='A&amp;R'!$F52)*'A&amp;R'!$E52</f>
        <v>0</v>
      </c>
      <c r="CG35" s="76">
        <f ca="1">(CG$14='A&amp;R'!$F52)*'A&amp;R'!$E52</f>
        <v>0</v>
      </c>
      <c r="CH35" s="76">
        <f ca="1">(CH$14='A&amp;R'!$F52)*'A&amp;R'!$E52</f>
        <v>0</v>
      </c>
      <c r="CI35" s="76">
        <f ca="1">(CI$14='A&amp;R'!$F52)*'A&amp;R'!$E52</f>
        <v>0</v>
      </c>
      <c r="CJ35" s="76">
        <f ca="1">(CJ$14='A&amp;R'!$F52)*'A&amp;R'!$E52</f>
        <v>0</v>
      </c>
      <c r="CK35" s="76">
        <f ca="1">(CK$14='A&amp;R'!$F52)*'A&amp;R'!$E52</f>
        <v>0</v>
      </c>
      <c r="CL35" s="76">
        <f ca="1">(CL$14='A&amp;R'!$F52)*'A&amp;R'!$E52</f>
        <v>0</v>
      </c>
      <c r="CM35" s="76">
        <f ca="1">(CM$14='A&amp;R'!$F52)*'A&amp;R'!$E52</f>
        <v>0</v>
      </c>
      <c r="CN35" s="76">
        <f ca="1">(CN$14='A&amp;R'!$F52)*'A&amp;R'!$E52</f>
        <v>0</v>
      </c>
      <c r="CO35" s="76">
        <f ca="1">(CO$14='A&amp;R'!$F52)*'A&amp;R'!$E52</f>
        <v>0</v>
      </c>
      <c r="CP35" s="76">
        <f ca="1">(CP$14='A&amp;R'!$F52)*'A&amp;R'!$E52</f>
        <v>0</v>
      </c>
      <c r="CQ35" s="76">
        <f ca="1">(CQ$14='A&amp;R'!$F52)*'A&amp;R'!$E52</f>
        <v>0</v>
      </c>
      <c r="CR35" s="76">
        <f ca="1">(CR$14='A&amp;R'!$F52)*'A&amp;R'!$E52</f>
        <v>0</v>
      </c>
      <c r="CS35" s="76">
        <f ca="1">(CS$14='A&amp;R'!$F52)*'A&amp;R'!$E52</f>
        <v>0</v>
      </c>
      <c r="CT35" s="76">
        <f ca="1">(CT$14='A&amp;R'!$F52)*'A&amp;R'!$E52</f>
        <v>0</v>
      </c>
      <c r="CU35" s="76">
        <f ca="1">(CU$14='A&amp;R'!$F52)*'A&amp;R'!$E52</f>
        <v>0</v>
      </c>
      <c r="CV35" s="76">
        <f ca="1">(CV$14='A&amp;R'!$F52)*'A&amp;R'!$E52</f>
        <v>0</v>
      </c>
      <c r="CW35" s="76">
        <f ca="1">(CW$14='A&amp;R'!$F52)*'A&amp;R'!$E52</f>
        <v>0</v>
      </c>
      <c r="CX35" s="76">
        <f ca="1">(CX$14='A&amp;R'!$F52)*'A&amp;R'!$E52</f>
        <v>0</v>
      </c>
      <c r="CY35" s="76">
        <f ca="1">(CY$14='A&amp;R'!$F52)*'A&amp;R'!$E52</f>
        <v>0</v>
      </c>
      <c r="CZ35" s="76">
        <f ca="1">(CZ$14='A&amp;R'!$F52)*'A&amp;R'!$E52</f>
        <v>0</v>
      </c>
      <c r="DA35" s="76">
        <f ca="1">(DA$14='A&amp;R'!$F52)*'A&amp;R'!$E52</f>
        <v>0</v>
      </c>
      <c r="DB35" s="76">
        <f ca="1">(DB$14='A&amp;R'!$F52)*'A&amp;R'!$E52</f>
        <v>0</v>
      </c>
    </row>
    <row r="36" spans="3:106">
      <c r="D36" s="92" t="str">
        <f>'A&amp;R'!C53</f>
        <v>Tr.B 담보대출</v>
      </c>
      <c r="F36" s="13">
        <f t="shared" si="19"/>
        <v>10000</v>
      </c>
      <c r="H36" s="13">
        <f>(H$14='A&amp;R'!$F53)*'A&amp;R'!$E53</f>
        <v>10000</v>
      </c>
      <c r="I36" s="13">
        <f>(I$14='A&amp;R'!$F53)*'A&amp;R'!$E53</f>
        <v>0</v>
      </c>
      <c r="J36" s="13">
        <f>(J$14='A&amp;R'!$F53)*'A&amp;R'!$E53</f>
        <v>0</v>
      </c>
      <c r="K36" s="13">
        <f>(K$14='A&amp;R'!$F53)*'A&amp;R'!$E53</f>
        <v>0</v>
      </c>
      <c r="L36" s="13">
        <f>(L$14='A&amp;R'!$F53)*'A&amp;R'!$E53</f>
        <v>0</v>
      </c>
      <c r="M36" s="13">
        <f>(M$14='A&amp;R'!$F53)*'A&amp;R'!$E53</f>
        <v>0</v>
      </c>
      <c r="N36" s="13">
        <f>(N$14='A&amp;R'!$F53)*'A&amp;R'!$E53</f>
        <v>0</v>
      </c>
      <c r="O36" s="13">
        <f>(O$14='A&amp;R'!$F53)*'A&amp;R'!$E53</f>
        <v>0</v>
      </c>
      <c r="P36" s="13">
        <f>(P$14='A&amp;R'!$F53)*'A&amp;R'!$E53</f>
        <v>0</v>
      </c>
      <c r="Q36" s="13">
        <f>(Q$14='A&amp;R'!$F53)*'A&amp;R'!$E53</f>
        <v>0</v>
      </c>
      <c r="R36" s="13">
        <f>(R$14='A&amp;R'!$F53)*'A&amp;R'!$E53</f>
        <v>0</v>
      </c>
      <c r="S36" s="13">
        <f>(S$14='A&amp;R'!$F53)*'A&amp;R'!$E53</f>
        <v>0</v>
      </c>
      <c r="T36" s="13">
        <f>(T$14='A&amp;R'!$F53)*'A&amp;R'!$E53</f>
        <v>0</v>
      </c>
      <c r="U36" s="13">
        <f>(U$14='A&amp;R'!$F53)*'A&amp;R'!$E53</f>
        <v>0</v>
      </c>
      <c r="V36" s="13">
        <f>(V$14='A&amp;R'!$F53)*'A&amp;R'!$E53</f>
        <v>0</v>
      </c>
      <c r="W36" s="13">
        <f>(W$14='A&amp;R'!$F53)*'A&amp;R'!$E53</f>
        <v>0</v>
      </c>
      <c r="X36" s="13">
        <f>(X$14='A&amp;R'!$F53)*'A&amp;R'!$E53</f>
        <v>0</v>
      </c>
      <c r="Y36" s="13">
        <f>(Y$14='A&amp;R'!$F53)*'A&amp;R'!$E53</f>
        <v>0</v>
      </c>
      <c r="Z36" s="13">
        <f>(Z$14='A&amp;R'!$F53)*'A&amp;R'!$E53</f>
        <v>0</v>
      </c>
      <c r="AA36" s="13">
        <f>(AA$14='A&amp;R'!$F53)*'A&amp;R'!$E53</f>
        <v>0</v>
      </c>
      <c r="AB36" s="13">
        <f>(AB$14='A&amp;R'!$F53)*'A&amp;R'!$E53</f>
        <v>0</v>
      </c>
      <c r="AC36" s="13">
        <f>(AC$14='A&amp;R'!$F53)*'A&amp;R'!$E53</f>
        <v>0</v>
      </c>
      <c r="AD36" s="13">
        <f>(AD$14='A&amp;R'!$F53)*'A&amp;R'!$E53</f>
        <v>0</v>
      </c>
      <c r="AE36" s="13">
        <f>(AE$14='A&amp;R'!$F53)*'A&amp;R'!$E53</f>
        <v>0</v>
      </c>
      <c r="AF36" s="13">
        <f>(AF$14='A&amp;R'!$F53)*'A&amp;R'!$E53</f>
        <v>0</v>
      </c>
      <c r="AG36" s="13">
        <f>(AG$14='A&amp;R'!$F53)*'A&amp;R'!$E53</f>
        <v>0</v>
      </c>
      <c r="AH36" s="13">
        <f>(AH$14='A&amp;R'!$F53)*'A&amp;R'!$E53</f>
        <v>0</v>
      </c>
      <c r="AI36" s="13">
        <f>(AI$14='A&amp;R'!$F53)*'A&amp;R'!$E53</f>
        <v>0</v>
      </c>
      <c r="AJ36" s="13">
        <f>(AJ$14='A&amp;R'!$F53)*'A&amp;R'!$E53</f>
        <v>0</v>
      </c>
      <c r="AK36" s="13">
        <f>(AK$14='A&amp;R'!$F53)*'A&amp;R'!$E53</f>
        <v>0</v>
      </c>
      <c r="AL36" s="13">
        <f>(AL$14='A&amp;R'!$F53)*'A&amp;R'!$E53</f>
        <v>0</v>
      </c>
      <c r="AM36" s="13">
        <f>(AM$14='A&amp;R'!$F53)*'A&amp;R'!$E53</f>
        <v>0</v>
      </c>
      <c r="AN36" s="13">
        <f>(AN$14='A&amp;R'!$F53)*'A&amp;R'!$E53</f>
        <v>0</v>
      </c>
      <c r="AO36" s="13">
        <f>(AO$14='A&amp;R'!$F53)*'A&amp;R'!$E53</f>
        <v>0</v>
      </c>
      <c r="AP36" s="13">
        <f>(AP$14='A&amp;R'!$F53)*'A&amp;R'!$E53</f>
        <v>0</v>
      </c>
      <c r="AQ36" s="13">
        <f>(AQ$14='A&amp;R'!$F53)*'A&amp;R'!$E53</f>
        <v>0</v>
      </c>
      <c r="AR36" s="13">
        <f>(AR$14='A&amp;R'!$F53)*'A&amp;R'!$E53</f>
        <v>0</v>
      </c>
      <c r="AS36" s="13">
        <f>(AS$14='A&amp;R'!$F53)*'A&amp;R'!$E53</f>
        <v>0</v>
      </c>
      <c r="AT36" s="13">
        <f>(AT$14='A&amp;R'!$F53)*'A&amp;R'!$E53</f>
        <v>0</v>
      </c>
      <c r="AU36" s="13">
        <f>(AU$14='A&amp;R'!$F53)*'A&amp;R'!$E53</f>
        <v>0</v>
      </c>
      <c r="AV36" s="13">
        <f>(AV$14='A&amp;R'!$F53)*'A&amp;R'!$E53</f>
        <v>0</v>
      </c>
      <c r="AW36" s="13">
        <f>(AW$14='A&amp;R'!$F53)*'A&amp;R'!$E53</f>
        <v>0</v>
      </c>
      <c r="AX36" s="13">
        <f>(AX$14='A&amp;R'!$F53)*'A&amp;R'!$E53</f>
        <v>0</v>
      </c>
      <c r="AY36" s="13">
        <f>(AY$14='A&amp;R'!$F53)*'A&amp;R'!$E53</f>
        <v>0</v>
      </c>
      <c r="AZ36" s="13">
        <f>(AZ$14='A&amp;R'!$F53)*'A&amp;R'!$E53</f>
        <v>0</v>
      </c>
      <c r="BA36" s="13">
        <f>(BA$14='A&amp;R'!$F53)*'A&amp;R'!$E53</f>
        <v>0</v>
      </c>
      <c r="BB36" s="13">
        <f>(BB$14='A&amp;R'!$F53)*'A&amp;R'!$E53</f>
        <v>0</v>
      </c>
      <c r="BC36" s="13">
        <f>(BC$14='A&amp;R'!$F53)*'A&amp;R'!$E53</f>
        <v>0</v>
      </c>
      <c r="BD36" s="13">
        <f>(BD$14='A&amp;R'!$F53)*'A&amp;R'!$E53</f>
        <v>0</v>
      </c>
      <c r="BE36" s="13">
        <f>(BE$14='A&amp;R'!$F53)*'A&amp;R'!$E53</f>
        <v>0</v>
      </c>
      <c r="BF36" s="13">
        <f>(BF$14='A&amp;R'!$F53)*'A&amp;R'!$E53</f>
        <v>0</v>
      </c>
      <c r="BG36" s="13">
        <f>(BG$14='A&amp;R'!$F53)*'A&amp;R'!$E53</f>
        <v>0</v>
      </c>
      <c r="BH36" s="13">
        <f>(BH$14='A&amp;R'!$F53)*'A&amp;R'!$E53</f>
        <v>0</v>
      </c>
      <c r="BI36" s="13">
        <f>(BI$14='A&amp;R'!$F53)*'A&amp;R'!$E53</f>
        <v>0</v>
      </c>
      <c r="BJ36" s="13">
        <f>(BJ$14='A&amp;R'!$F53)*'A&amp;R'!$E53</f>
        <v>0</v>
      </c>
      <c r="BK36" s="13">
        <f>(BK$14='A&amp;R'!$F53)*'A&amp;R'!$E53</f>
        <v>0</v>
      </c>
      <c r="BL36" s="13">
        <f>(BL$14='A&amp;R'!$F53)*'A&amp;R'!$E53</f>
        <v>0</v>
      </c>
      <c r="BM36" s="13">
        <f>(BM$14='A&amp;R'!$F53)*'A&amp;R'!$E53</f>
        <v>0</v>
      </c>
      <c r="BN36" s="13">
        <f>(BN$14='A&amp;R'!$F53)*'A&amp;R'!$E53</f>
        <v>0</v>
      </c>
      <c r="BO36" s="13">
        <f>(BO$14='A&amp;R'!$F53)*'A&amp;R'!$E53</f>
        <v>0</v>
      </c>
      <c r="BP36" s="13">
        <f>(BP$14='A&amp;R'!$F53)*'A&amp;R'!$E53</f>
        <v>0</v>
      </c>
      <c r="BQ36" s="13">
        <f>(BQ$14='A&amp;R'!$F53)*'A&amp;R'!$E53</f>
        <v>0</v>
      </c>
      <c r="BR36" s="13">
        <f>(BR$14='A&amp;R'!$F53)*'A&amp;R'!$E53</f>
        <v>0</v>
      </c>
      <c r="BS36" s="13">
        <f>(BS$14='A&amp;R'!$F53)*'A&amp;R'!$E53</f>
        <v>0</v>
      </c>
      <c r="BT36" s="13">
        <f>(BT$14='A&amp;R'!$F53)*'A&amp;R'!$E53</f>
        <v>0</v>
      </c>
      <c r="BU36" s="13">
        <f>(BU$14='A&amp;R'!$F53)*'A&amp;R'!$E53</f>
        <v>0</v>
      </c>
      <c r="BV36" s="13">
        <f>(BV$14='A&amp;R'!$F53)*'A&amp;R'!$E53</f>
        <v>0</v>
      </c>
      <c r="BW36" s="13">
        <f>(BW$14='A&amp;R'!$F53)*'A&amp;R'!$E53</f>
        <v>0</v>
      </c>
      <c r="BX36" s="13">
        <f>(BX$14='A&amp;R'!$F53)*'A&amp;R'!$E53</f>
        <v>0</v>
      </c>
      <c r="BY36" s="13">
        <f>(BY$14='A&amp;R'!$F53)*'A&amp;R'!$E53</f>
        <v>0</v>
      </c>
      <c r="BZ36" s="13">
        <f>(BZ$14='A&amp;R'!$F53)*'A&amp;R'!$E53</f>
        <v>0</v>
      </c>
      <c r="CA36" s="13">
        <f>(CA$14='A&amp;R'!$F53)*'A&amp;R'!$E53</f>
        <v>0</v>
      </c>
      <c r="CB36" s="13">
        <f>(CB$14='A&amp;R'!$F53)*'A&amp;R'!$E53</f>
        <v>0</v>
      </c>
      <c r="CC36" s="13">
        <f>(CC$14='A&amp;R'!$F53)*'A&amp;R'!$E53</f>
        <v>0</v>
      </c>
      <c r="CD36" s="13">
        <f>(CD$14='A&amp;R'!$F53)*'A&amp;R'!$E53</f>
        <v>0</v>
      </c>
      <c r="CE36" s="13">
        <f>(CE$14='A&amp;R'!$F53)*'A&amp;R'!$E53</f>
        <v>0</v>
      </c>
      <c r="CF36" s="13">
        <f>(CF$14='A&amp;R'!$F53)*'A&amp;R'!$E53</f>
        <v>0</v>
      </c>
      <c r="CG36" s="13">
        <f>(CG$14='A&amp;R'!$F53)*'A&amp;R'!$E53</f>
        <v>0</v>
      </c>
      <c r="CH36" s="13">
        <f>(CH$14='A&amp;R'!$F53)*'A&amp;R'!$E53</f>
        <v>0</v>
      </c>
      <c r="CI36" s="13">
        <f>(CI$14='A&amp;R'!$F53)*'A&amp;R'!$E53</f>
        <v>0</v>
      </c>
      <c r="CJ36" s="13">
        <f>(CJ$14='A&amp;R'!$F53)*'A&amp;R'!$E53</f>
        <v>0</v>
      </c>
      <c r="CK36" s="13">
        <f>(CK$14='A&amp;R'!$F53)*'A&amp;R'!$E53</f>
        <v>0</v>
      </c>
      <c r="CL36" s="13">
        <f>(CL$14='A&amp;R'!$F53)*'A&amp;R'!$E53</f>
        <v>0</v>
      </c>
      <c r="CM36" s="13">
        <f>(CM$14='A&amp;R'!$F53)*'A&amp;R'!$E53</f>
        <v>0</v>
      </c>
      <c r="CN36" s="13">
        <f>(CN$14='A&amp;R'!$F53)*'A&amp;R'!$E53</f>
        <v>0</v>
      </c>
      <c r="CO36" s="13">
        <f>(CO$14='A&amp;R'!$F53)*'A&amp;R'!$E53</f>
        <v>0</v>
      </c>
      <c r="CP36" s="13">
        <f>(CP$14='A&amp;R'!$F53)*'A&amp;R'!$E53</f>
        <v>0</v>
      </c>
      <c r="CQ36" s="13">
        <f>(CQ$14='A&amp;R'!$F53)*'A&amp;R'!$E53</f>
        <v>0</v>
      </c>
      <c r="CR36" s="13">
        <f>(CR$14='A&amp;R'!$F53)*'A&amp;R'!$E53</f>
        <v>0</v>
      </c>
      <c r="CS36" s="13">
        <f>(CS$14='A&amp;R'!$F53)*'A&amp;R'!$E53</f>
        <v>0</v>
      </c>
      <c r="CT36" s="13">
        <f>(CT$14='A&amp;R'!$F53)*'A&amp;R'!$E53</f>
        <v>0</v>
      </c>
      <c r="CU36" s="13">
        <f>(CU$14='A&amp;R'!$F53)*'A&amp;R'!$E53</f>
        <v>0</v>
      </c>
      <c r="CV36" s="13">
        <f>(CV$14='A&amp;R'!$F53)*'A&amp;R'!$E53</f>
        <v>0</v>
      </c>
      <c r="CW36" s="13">
        <f>(CW$14='A&amp;R'!$F53)*'A&amp;R'!$E53</f>
        <v>0</v>
      </c>
      <c r="CX36" s="13">
        <f>(CX$14='A&amp;R'!$F53)*'A&amp;R'!$E53</f>
        <v>0</v>
      </c>
      <c r="CY36" s="13">
        <f>(CY$14='A&amp;R'!$F53)*'A&amp;R'!$E53</f>
        <v>0</v>
      </c>
      <c r="CZ36" s="13">
        <f>(CZ$14='A&amp;R'!$F53)*'A&amp;R'!$E53</f>
        <v>0</v>
      </c>
      <c r="DA36" s="13">
        <f>(DA$14='A&amp;R'!$F53)*'A&amp;R'!$E53</f>
        <v>0</v>
      </c>
      <c r="DB36" s="13">
        <f>(DB$14='A&amp;R'!$F53)*'A&amp;R'!$E53</f>
        <v>0</v>
      </c>
    </row>
    <row r="37" spans="3:106">
      <c r="D37" s="92" t="str">
        <f>'A&amp;R'!C54</f>
        <v>보증금</v>
      </c>
      <c r="F37" s="13">
        <f t="shared" si="19"/>
        <v>4918.9382825000002</v>
      </c>
      <c r="H37" s="13">
        <f>(H$14='A&amp;R'!$F54)*'A&amp;R'!$E54</f>
        <v>4918.9382825000002</v>
      </c>
      <c r="I37" s="13">
        <f>(I$14='A&amp;R'!$F54)*'A&amp;R'!$E54</f>
        <v>0</v>
      </c>
      <c r="J37" s="13">
        <f>(J$14='A&amp;R'!$F54)*'A&amp;R'!$E54</f>
        <v>0</v>
      </c>
      <c r="K37" s="13">
        <f>(K$14='A&amp;R'!$F54)*'A&amp;R'!$E54</f>
        <v>0</v>
      </c>
      <c r="L37" s="13">
        <f>(L$14='A&amp;R'!$F54)*'A&amp;R'!$E54</f>
        <v>0</v>
      </c>
      <c r="M37" s="13">
        <f>(M$14='A&amp;R'!$F54)*'A&amp;R'!$E54</f>
        <v>0</v>
      </c>
      <c r="N37" s="13">
        <f>(N$14='A&amp;R'!$F54)*'A&amp;R'!$E54</f>
        <v>0</v>
      </c>
      <c r="O37" s="13">
        <f>(O$14='A&amp;R'!$F54)*'A&amp;R'!$E54</f>
        <v>0</v>
      </c>
      <c r="P37" s="13">
        <f>(P$14='A&amp;R'!$F54)*'A&amp;R'!$E54</f>
        <v>0</v>
      </c>
      <c r="Q37" s="13">
        <f>(Q$14='A&amp;R'!$F54)*'A&amp;R'!$E54</f>
        <v>0</v>
      </c>
      <c r="R37" s="13">
        <f>(R$14='A&amp;R'!$F54)*'A&amp;R'!$E54</f>
        <v>0</v>
      </c>
      <c r="S37" s="13">
        <f>(S$14='A&amp;R'!$F54)*'A&amp;R'!$E54</f>
        <v>0</v>
      </c>
      <c r="T37" s="13">
        <f>(T$14='A&amp;R'!$F54)*'A&amp;R'!$E54</f>
        <v>0</v>
      </c>
      <c r="U37" s="13">
        <f>(U$14='A&amp;R'!$F54)*'A&amp;R'!$E54</f>
        <v>0</v>
      </c>
      <c r="V37" s="13">
        <f>(V$14='A&amp;R'!$F54)*'A&amp;R'!$E54</f>
        <v>0</v>
      </c>
      <c r="W37" s="13">
        <f>(W$14='A&amp;R'!$F54)*'A&amp;R'!$E54</f>
        <v>0</v>
      </c>
      <c r="X37" s="13">
        <f>(X$14='A&amp;R'!$F54)*'A&amp;R'!$E54</f>
        <v>0</v>
      </c>
      <c r="Y37" s="13">
        <f>(Y$14='A&amp;R'!$F54)*'A&amp;R'!$E54</f>
        <v>0</v>
      </c>
      <c r="Z37" s="13">
        <f>(Z$14='A&amp;R'!$F54)*'A&amp;R'!$E54</f>
        <v>0</v>
      </c>
      <c r="AA37" s="13">
        <f>(AA$14='A&amp;R'!$F54)*'A&amp;R'!$E54</f>
        <v>0</v>
      </c>
      <c r="AB37" s="13">
        <f>(AB$14='A&amp;R'!$F54)*'A&amp;R'!$E54</f>
        <v>0</v>
      </c>
      <c r="AC37" s="13">
        <f>(AC$14='A&amp;R'!$F54)*'A&amp;R'!$E54</f>
        <v>0</v>
      </c>
      <c r="AD37" s="13">
        <f>(AD$14='A&amp;R'!$F54)*'A&amp;R'!$E54</f>
        <v>0</v>
      </c>
      <c r="AE37" s="13">
        <f>(AE$14='A&amp;R'!$F54)*'A&amp;R'!$E54</f>
        <v>0</v>
      </c>
      <c r="AF37" s="13">
        <f>(AF$14='A&amp;R'!$F54)*'A&amp;R'!$E54</f>
        <v>0</v>
      </c>
      <c r="AG37" s="13">
        <f>(AG$14='A&amp;R'!$F54)*'A&amp;R'!$E54</f>
        <v>0</v>
      </c>
      <c r="AH37" s="13">
        <f>(AH$14='A&amp;R'!$F54)*'A&amp;R'!$E54</f>
        <v>0</v>
      </c>
      <c r="AI37" s="13">
        <f>(AI$14='A&amp;R'!$F54)*'A&amp;R'!$E54</f>
        <v>0</v>
      </c>
      <c r="AJ37" s="13">
        <f>(AJ$14='A&amp;R'!$F54)*'A&amp;R'!$E54</f>
        <v>0</v>
      </c>
      <c r="AK37" s="13">
        <f>(AK$14='A&amp;R'!$F54)*'A&amp;R'!$E54</f>
        <v>0</v>
      </c>
      <c r="AL37" s="13">
        <f>(AL$14='A&amp;R'!$F54)*'A&amp;R'!$E54</f>
        <v>0</v>
      </c>
      <c r="AM37" s="13">
        <f>(AM$14='A&amp;R'!$F54)*'A&amp;R'!$E54</f>
        <v>0</v>
      </c>
      <c r="AN37" s="13">
        <f>(AN$14='A&amp;R'!$F54)*'A&amp;R'!$E54</f>
        <v>0</v>
      </c>
      <c r="AO37" s="13">
        <f>(AO$14='A&amp;R'!$F54)*'A&amp;R'!$E54</f>
        <v>0</v>
      </c>
      <c r="AP37" s="13">
        <f>(AP$14='A&amp;R'!$F54)*'A&amp;R'!$E54</f>
        <v>0</v>
      </c>
      <c r="AQ37" s="13">
        <f>(AQ$14='A&amp;R'!$F54)*'A&amp;R'!$E54</f>
        <v>0</v>
      </c>
      <c r="AR37" s="13">
        <f>(AR$14='A&amp;R'!$F54)*'A&amp;R'!$E54</f>
        <v>0</v>
      </c>
      <c r="AS37" s="13">
        <f>(AS$14='A&amp;R'!$F54)*'A&amp;R'!$E54</f>
        <v>0</v>
      </c>
      <c r="AT37" s="13">
        <f>(AT$14='A&amp;R'!$F54)*'A&amp;R'!$E54</f>
        <v>0</v>
      </c>
      <c r="AU37" s="13">
        <f>(AU$14='A&amp;R'!$F54)*'A&amp;R'!$E54</f>
        <v>0</v>
      </c>
      <c r="AV37" s="13">
        <f>(AV$14='A&amp;R'!$F54)*'A&amp;R'!$E54</f>
        <v>0</v>
      </c>
      <c r="AW37" s="13">
        <f>(AW$14='A&amp;R'!$F54)*'A&amp;R'!$E54</f>
        <v>0</v>
      </c>
      <c r="AX37" s="13">
        <f>(AX$14='A&amp;R'!$F54)*'A&amp;R'!$E54</f>
        <v>0</v>
      </c>
      <c r="AY37" s="13">
        <f>(AY$14='A&amp;R'!$F54)*'A&amp;R'!$E54</f>
        <v>0</v>
      </c>
      <c r="AZ37" s="13">
        <f>(AZ$14='A&amp;R'!$F54)*'A&amp;R'!$E54</f>
        <v>0</v>
      </c>
      <c r="BA37" s="13">
        <f>(BA$14='A&amp;R'!$F54)*'A&amp;R'!$E54</f>
        <v>0</v>
      </c>
      <c r="BB37" s="13">
        <f>(BB$14='A&amp;R'!$F54)*'A&amp;R'!$E54</f>
        <v>0</v>
      </c>
      <c r="BC37" s="13">
        <f>(BC$14='A&amp;R'!$F54)*'A&amp;R'!$E54</f>
        <v>0</v>
      </c>
      <c r="BD37" s="13">
        <f>(BD$14='A&amp;R'!$F54)*'A&amp;R'!$E54</f>
        <v>0</v>
      </c>
      <c r="BE37" s="13">
        <f>(BE$14='A&amp;R'!$F54)*'A&amp;R'!$E54</f>
        <v>0</v>
      </c>
      <c r="BF37" s="13">
        <f>(BF$14='A&amp;R'!$F54)*'A&amp;R'!$E54</f>
        <v>0</v>
      </c>
      <c r="BG37" s="13">
        <f>(BG$14='A&amp;R'!$F54)*'A&amp;R'!$E54</f>
        <v>0</v>
      </c>
      <c r="BH37" s="13">
        <f>(BH$14='A&amp;R'!$F54)*'A&amp;R'!$E54</f>
        <v>0</v>
      </c>
      <c r="BI37" s="13">
        <f>(BI$14='A&amp;R'!$F54)*'A&amp;R'!$E54</f>
        <v>0</v>
      </c>
      <c r="BJ37" s="13">
        <f>(BJ$14='A&amp;R'!$F54)*'A&amp;R'!$E54</f>
        <v>0</v>
      </c>
      <c r="BK37" s="13">
        <f>(BK$14='A&amp;R'!$F54)*'A&amp;R'!$E54</f>
        <v>0</v>
      </c>
      <c r="BL37" s="13">
        <f>(BL$14='A&amp;R'!$F54)*'A&amp;R'!$E54</f>
        <v>0</v>
      </c>
      <c r="BM37" s="13">
        <f>(BM$14='A&amp;R'!$F54)*'A&amp;R'!$E54</f>
        <v>0</v>
      </c>
      <c r="BN37" s="13">
        <f>(BN$14='A&amp;R'!$F54)*'A&amp;R'!$E54</f>
        <v>0</v>
      </c>
      <c r="BO37" s="13">
        <f>(BO$14='A&amp;R'!$F54)*'A&amp;R'!$E54</f>
        <v>0</v>
      </c>
      <c r="BP37" s="13">
        <f>(BP$14='A&amp;R'!$F54)*'A&amp;R'!$E54</f>
        <v>0</v>
      </c>
      <c r="BQ37" s="13">
        <f>(BQ$14='A&amp;R'!$F54)*'A&amp;R'!$E54</f>
        <v>0</v>
      </c>
      <c r="BR37" s="13">
        <f>(BR$14='A&amp;R'!$F54)*'A&amp;R'!$E54</f>
        <v>0</v>
      </c>
      <c r="BS37" s="13">
        <f>(BS$14='A&amp;R'!$F54)*'A&amp;R'!$E54</f>
        <v>0</v>
      </c>
      <c r="BT37" s="13">
        <f>(BT$14='A&amp;R'!$F54)*'A&amp;R'!$E54</f>
        <v>0</v>
      </c>
      <c r="BU37" s="13">
        <f>(BU$14='A&amp;R'!$F54)*'A&amp;R'!$E54</f>
        <v>0</v>
      </c>
      <c r="BV37" s="13">
        <f>(BV$14='A&amp;R'!$F54)*'A&amp;R'!$E54</f>
        <v>0</v>
      </c>
      <c r="BW37" s="13">
        <f>(BW$14='A&amp;R'!$F54)*'A&amp;R'!$E54</f>
        <v>0</v>
      </c>
      <c r="BX37" s="13">
        <f>(BX$14='A&amp;R'!$F54)*'A&amp;R'!$E54</f>
        <v>0</v>
      </c>
      <c r="BY37" s="13">
        <f>(BY$14='A&amp;R'!$F54)*'A&amp;R'!$E54</f>
        <v>0</v>
      </c>
      <c r="BZ37" s="13">
        <f>(BZ$14='A&amp;R'!$F54)*'A&amp;R'!$E54</f>
        <v>0</v>
      </c>
      <c r="CA37" s="13">
        <f>(CA$14='A&amp;R'!$F54)*'A&amp;R'!$E54</f>
        <v>0</v>
      </c>
      <c r="CB37" s="13">
        <f>(CB$14='A&amp;R'!$F54)*'A&amp;R'!$E54</f>
        <v>0</v>
      </c>
      <c r="CC37" s="13">
        <f>(CC$14='A&amp;R'!$F54)*'A&amp;R'!$E54</f>
        <v>0</v>
      </c>
      <c r="CD37" s="13">
        <f>(CD$14='A&amp;R'!$F54)*'A&amp;R'!$E54</f>
        <v>0</v>
      </c>
      <c r="CE37" s="13">
        <f>(CE$14='A&amp;R'!$F54)*'A&amp;R'!$E54</f>
        <v>0</v>
      </c>
      <c r="CF37" s="13">
        <f>(CF$14='A&amp;R'!$F54)*'A&amp;R'!$E54</f>
        <v>0</v>
      </c>
      <c r="CG37" s="13">
        <f>(CG$14='A&amp;R'!$F54)*'A&amp;R'!$E54</f>
        <v>0</v>
      </c>
      <c r="CH37" s="13">
        <f>(CH$14='A&amp;R'!$F54)*'A&amp;R'!$E54</f>
        <v>0</v>
      </c>
      <c r="CI37" s="13">
        <f>(CI$14='A&amp;R'!$F54)*'A&amp;R'!$E54</f>
        <v>0</v>
      </c>
      <c r="CJ37" s="13">
        <f>(CJ$14='A&amp;R'!$F54)*'A&amp;R'!$E54</f>
        <v>0</v>
      </c>
      <c r="CK37" s="13">
        <f>(CK$14='A&amp;R'!$F54)*'A&amp;R'!$E54</f>
        <v>0</v>
      </c>
      <c r="CL37" s="13">
        <f>(CL$14='A&amp;R'!$F54)*'A&amp;R'!$E54</f>
        <v>0</v>
      </c>
      <c r="CM37" s="13">
        <f>(CM$14='A&amp;R'!$F54)*'A&amp;R'!$E54</f>
        <v>0</v>
      </c>
      <c r="CN37" s="13">
        <f>(CN$14='A&amp;R'!$F54)*'A&amp;R'!$E54</f>
        <v>0</v>
      </c>
      <c r="CO37" s="13">
        <f>(CO$14='A&amp;R'!$F54)*'A&amp;R'!$E54</f>
        <v>0</v>
      </c>
      <c r="CP37" s="13">
        <f>(CP$14='A&amp;R'!$F54)*'A&amp;R'!$E54</f>
        <v>0</v>
      </c>
      <c r="CQ37" s="13">
        <f>(CQ$14='A&amp;R'!$F54)*'A&amp;R'!$E54</f>
        <v>0</v>
      </c>
      <c r="CR37" s="13">
        <f>(CR$14='A&amp;R'!$F54)*'A&amp;R'!$E54</f>
        <v>0</v>
      </c>
      <c r="CS37" s="13">
        <f>(CS$14='A&amp;R'!$F54)*'A&amp;R'!$E54</f>
        <v>0</v>
      </c>
      <c r="CT37" s="13">
        <f>(CT$14='A&amp;R'!$F54)*'A&amp;R'!$E54</f>
        <v>0</v>
      </c>
      <c r="CU37" s="13">
        <f>(CU$14='A&amp;R'!$F54)*'A&amp;R'!$E54</f>
        <v>0</v>
      </c>
      <c r="CV37" s="13">
        <f>(CV$14='A&amp;R'!$F54)*'A&amp;R'!$E54</f>
        <v>0</v>
      </c>
      <c r="CW37" s="13">
        <f>(CW$14='A&amp;R'!$F54)*'A&amp;R'!$E54</f>
        <v>0</v>
      </c>
      <c r="CX37" s="13">
        <f>(CX$14='A&amp;R'!$F54)*'A&amp;R'!$E54</f>
        <v>0</v>
      </c>
      <c r="CY37" s="13">
        <f>(CY$14='A&amp;R'!$F54)*'A&amp;R'!$E54</f>
        <v>0</v>
      </c>
      <c r="CZ37" s="13">
        <f>(CZ$14='A&amp;R'!$F54)*'A&amp;R'!$E54</f>
        <v>0</v>
      </c>
      <c r="DA37" s="13">
        <f>(DA$14='A&amp;R'!$F54)*'A&amp;R'!$E54</f>
        <v>0</v>
      </c>
      <c r="DB37" s="13">
        <f>(DB$14='A&amp;R'!$F54)*'A&amp;R'!$E54</f>
        <v>0</v>
      </c>
    </row>
    <row r="38" spans="3:106">
      <c r="D38" s="92" t="str">
        <f>'A&amp;R'!C58</f>
        <v>Tr.A 리파이낸싱</v>
      </c>
      <c r="F38" s="13">
        <f t="shared" ca="1" si="19"/>
        <v>145594.83489206826</v>
      </c>
      <c r="H38" s="13">
        <f ca="1">(H$14='A&amp;R'!$F$58)*'A&amp;R'!$E$58</f>
        <v>0</v>
      </c>
      <c r="I38" s="13">
        <f ca="1">(I$14='A&amp;R'!$F$58)*'A&amp;R'!$E$58</f>
        <v>0</v>
      </c>
      <c r="J38" s="13">
        <f ca="1">(J$14='A&amp;R'!$F$58)*'A&amp;R'!$E$58</f>
        <v>0</v>
      </c>
      <c r="K38" s="13">
        <f ca="1">(K$14='A&amp;R'!$F$58)*'A&amp;R'!$E$58</f>
        <v>0</v>
      </c>
      <c r="L38" s="13">
        <f ca="1">(L$14='A&amp;R'!$F$58)*'A&amp;R'!$E$58</f>
        <v>0</v>
      </c>
      <c r="M38" s="13">
        <f ca="1">(M$14='A&amp;R'!$F$58)*'A&amp;R'!$E$58</f>
        <v>0</v>
      </c>
      <c r="N38" s="13">
        <f ca="1">(N$14='A&amp;R'!$F$58)*'A&amp;R'!$E$58</f>
        <v>0</v>
      </c>
      <c r="O38" s="13">
        <f ca="1">(O$14='A&amp;R'!$F$58)*'A&amp;R'!$E$58</f>
        <v>0</v>
      </c>
      <c r="P38" s="13">
        <f ca="1">(P$14='A&amp;R'!$F$58)*'A&amp;R'!$E$58</f>
        <v>0</v>
      </c>
      <c r="Q38" s="13">
        <f ca="1">(Q$14='A&amp;R'!$F$58)*'A&amp;R'!$E$58</f>
        <v>0</v>
      </c>
      <c r="R38" s="13">
        <f ca="1">(R$14='A&amp;R'!$F$58)*'A&amp;R'!$E$58</f>
        <v>0</v>
      </c>
      <c r="S38" s="13">
        <f ca="1">(S$14='A&amp;R'!$F$58)*'A&amp;R'!$E$58</f>
        <v>0</v>
      </c>
      <c r="T38" s="13">
        <f ca="1">(T$14='A&amp;R'!$F$58)*'A&amp;R'!$E$58</f>
        <v>0</v>
      </c>
      <c r="U38" s="13">
        <f ca="1">(U$14='A&amp;R'!$F$58)*'A&amp;R'!$E$58</f>
        <v>0</v>
      </c>
      <c r="V38" s="13">
        <f ca="1">(V$14='A&amp;R'!$F$58)*'A&amp;R'!$E$58</f>
        <v>0</v>
      </c>
      <c r="W38" s="13">
        <f ca="1">(W$14='A&amp;R'!$F$58)*'A&amp;R'!$E$58</f>
        <v>0</v>
      </c>
      <c r="X38" s="13">
        <f ca="1">(X$14='A&amp;R'!$F$58)*'A&amp;R'!$E$58</f>
        <v>0</v>
      </c>
      <c r="Y38" s="13">
        <f ca="1">(Y$14='A&amp;R'!$F$58)*'A&amp;R'!$E$58</f>
        <v>0</v>
      </c>
      <c r="Z38" s="13">
        <f ca="1">(Z$14='A&amp;R'!$F$58)*'A&amp;R'!$E$58</f>
        <v>0</v>
      </c>
      <c r="AA38" s="13">
        <f ca="1">(AA$14='A&amp;R'!$F$58)*'A&amp;R'!$E$58</f>
        <v>0</v>
      </c>
      <c r="AB38" s="13">
        <f ca="1">(AB$14='A&amp;R'!$F$58)*'A&amp;R'!$E$58</f>
        <v>0</v>
      </c>
      <c r="AC38" s="13">
        <f ca="1">(AC$14='A&amp;R'!$F$58)*'A&amp;R'!$E$58</f>
        <v>0</v>
      </c>
      <c r="AD38" s="13">
        <f ca="1">(AD$14='A&amp;R'!$F$58)*'A&amp;R'!$E$58</f>
        <v>0</v>
      </c>
      <c r="AE38" s="13">
        <f ca="1">(AE$14='A&amp;R'!$F$58)*'A&amp;R'!$E$58</f>
        <v>0</v>
      </c>
      <c r="AF38" s="13">
        <f ca="1">(AF$14='A&amp;R'!$F$58)*'A&amp;R'!$E$58</f>
        <v>0</v>
      </c>
      <c r="AG38" s="13">
        <f ca="1">(AG$14='A&amp;R'!$F$58)*'A&amp;R'!$E$58</f>
        <v>0</v>
      </c>
      <c r="AH38" s="13">
        <f ca="1">(AH$14='A&amp;R'!$F$58)*'A&amp;R'!$E$58</f>
        <v>0</v>
      </c>
      <c r="AI38" s="13">
        <f ca="1">(AI$14='A&amp;R'!$F$58)*'A&amp;R'!$E$58</f>
        <v>0</v>
      </c>
      <c r="AJ38" s="13">
        <f ca="1">(AJ$14='A&amp;R'!$F$58)*'A&amp;R'!$E$58</f>
        <v>0</v>
      </c>
      <c r="AK38" s="13">
        <f ca="1">(AK$14='A&amp;R'!$F$58)*'A&amp;R'!$E$58</f>
        <v>0</v>
      </c>
      <c r="AL38" s="13">
        <f ca="1">(AL$14='A&amp;R'!$F$58)*'A&amp;R'!$E$58</f>
        <v>0</v>
      </c>
      <c r="AM38" s="13">
        <f ca="1">(AM$14='A&amp;R'!$F$58)*'A&amp;R'!$E$58</f>
        <v>0</v>
      </c>
      <c r="AN38" s="13">
        <f ca="1">(AN$14='A&amp;R'!$F$58)*'A&amp;R'!$E$58</f>
        <v>0</v>
      </c>
      <c r="AO38" s="13">
        <f ca="1">(AO$14='A&amp;R'!$F$58)*'A&amp;R'!$E$58</f>
        <v>0</v>
      </c>
      <c r="AP38" s="13">
        <f ca="1">(AP$14='A&amp;R'!$F$58)*'A&amp;R'!$E$58</f>
        <v>0</v>
      </c>
      <c r="AQ38" s="13">
        <f ca="1">(AQ$14='A&amp;R'!$F$58)*'A&amp;R'!$E$58</f>
        <v>0</v>
      </c>
      <c r="AR38" s="13">
        <f ca="1">(AR$14='A&amp;R'!$F$58)*'A&amp;R'!$E$58</f>
        <v>145594.83489206826</v>
      </c>
      <c r="AS38" s="13">
        <f ca="1">(AS$14='A&amp;R'!$F$58)*'A&amp;R'!$E$58</f>
        <v>0</v>
      </c>
      <c r="AT38" s="13">
        <f ca="1">(AT$14='A&amp;R'!$F$58)*'A&amp;R'!$E$58</f>
        <v>0</v>
      </c>
      <c r="AU38" s="13">
        <f ca="1">(AU$14='A&amp;R'!$F$58)*'A&amp;R'!$E$58</f>
        <v>0</v>
      </c>
      <c r="AV38" s="13">
        <f ca="1">(AV$14='A&amp;R'!$F$58)*'A&amp;R'!$E$58</f>
        <v>0</v>
      </c>
      <c r="AW38" s="13">
        <f ca="1">(AW$14='A&amp;R'!$F$58)*'A&amp;R'!$E$58</f>
        <v>0</v>
      </c>
      <c r="AX38" s="13">
        <f ca="1">(AX$14='A&amp;R'!$F$58)*'A&amp;R'!$E$58</f>
        <v>0</v>
      </c>
      <c r="AY38" s="13">
        <f ca="1">(AY$14='A&amp;R'!$F$58)*'A&amp;R'!$E$58</f>
        <v>0</v>
      </c>
      <c r="AZ38" s="13">
        <f ca="1">(AZ$14='A&amp;R'!$F$58)*'A&amp;R'!$E$58</f>
        <v>0</v>
      </c>
      <c r="BA38" s="13">
        <f ca="1">(BA$14='A&amp;R'!$F$58)*'A&amp;R'!$E$58</f>
        <v>0</v>
      </c>
      <c r="BB38" s="13">
        <f ca="1">(BB$14='A&amp;R'!$F$58)*'A&amp;R'!$E$58</f>
        <v>0</v>
      </c>
      <c r="BC38" s="13">
        <f ca="1">(BC$14='A&amp;R'!$F$58)*'A&amp;R'!$E$58</f>
        <v>0</v>
      </c>
      <c r="BD38" s="13">
        <f ca="1">(BD$14='A&amp;R'!$F$58)*'A&amp;R'!$E$58</f>
        <v>0</v>
      </c>
      <c r="BE38" s="13">
        <f ca="1">(BE$14='A&amp;R'!$F$58)*'A&amp;R'!$E$58</f>
        <v>0</v>
      </c>
      <c r="BF38" s="13">
        <f ca="1">(BF$14='A&amp;R'!$F$58)*'A&amp;R'!$E$58</f>
        <v>0</v>
      </c>
      <c r="BG38" s="13">
        <f ca="1">(BG$14='A&amp;R'!$F$58)*'A&amp;R'!$E$58</f>
        <v>0</v>
      </c>
      <c r="BH38" s="13">
        <f ca="1">(BH$14='A&amp;R'!$F$58)*'A&amp;R'!$E$58</f>
        <v>0</v>
      </c>
      <c r="BI38" s="13">
        <f ca="1">(BI$14='A&amp;R'!$F$58)*'A&amp;R'!$E$58</f>
        <v>0</v>
      </c>
      <c r="BJ38" s="13">
        <f ca="1">(BJ$14='A&amp;R'!$F$58)*'A&amp;R'!$E$58</f>
        <v>0</v>
      </c>
      <c r="BK38" s="13">
        <f ca="1">(BK$14='A&amp;R'!$F$58)*'A&amp;R'!$E$58</f>
        <v>0</v>
      </c>
      <c r="BL38" s="13">
        <f ca="1">(BL$14='A&amp;R'!$F$58)*'A&amp;R'!$E$58</f>
        <v>0</v>
      </c>
      <c r="BM38" s="13">
        <f ca="1">(BM$14='A&amp;R'!$F$58)*'A&amp;R'!$E$58</f>
        <v>0</v>
      </c>
      <c r="BN38" s="13">
        <f ca="1">(BN$14='A&amp;R'!$F$58)*'A&amp;R'!$E$58</f>
        <v>0</v>
      </c>
      <c r="BO38" s="13">
        <f ca="1">(BO$14='A&amp;R'!$F$58)*'A&amp;R'!$E$58</f>
        <v>0</v>
      </c>
      <c r="BP38" s="13">
        <f ca="1">(BP$14='A&amp;R'!$F$58)*'A&amp;R'!$E$58</f>
        <v>0</v>
      </c>
      <c r="BQ38" s="13">
        <f ca="1">(BQ$14='A&amp;R'!$F$58)*'A&amp;R'!$E$58</f>
        <v>0</v>
      </c>
      <c r="BR38" s="13">
        <f ca="1">(BR$14='A&amp;R'!$F$58)*'A&amp;R'!$E$58</f>
        <v>0</v>
      </c>
      <c r="BS38" s="13">
        <f ca="1">(BS$14='A&amp;R'!$F$58)*'A&amp;R'!$E$58</f>
        <v>0</v>
      </c>
      <c r="BT38" s="13">
        <f ca="1">(BT$14='A&amp;R'!$F$58)*'A&amp;R'!$E$58</f>
        <v>0</v>
      </c>
      <c r="BU38" s="13">
        <f ca="1">(BU$14='A&amp;R'!$F$58)*'A&amp;R'!$E$58</f>
        <v>0</v>
      </c>
      <c r="BV38" s="13">
        <f ca="1">(BV$14='A&amp;R'!$F$58)*'A&amp;R'!$E$58</f>
        <v>0</v>
      </c>
      <c r="BW38" s="13">
        <f ca="1">(BW$14='A&amp;R'!$F$58)*'A&amp;R'!$E$58</f>
        <v>0</v>
      </c>
      <c r="BX38" s="13">
        <f ca="1">(BX$14='A&amp;R'!$F$58)*'A&amp;R'!$E$58</f>
        <v>0</v>
      </c>
      <c r="BY38" s="13">
        <f ca="1">(BY$14='A&amp;R'!$F$58)*'A&amp;R'!$E$58</f>
        <v>0</v>
      </c>
      <c r="BZ38" s="13">
        <f ca="1">(BZ$14='A&amp;R'!$F$58)*'A&amp;R'!$E$58</f>
        <v>0</v>
      </c>
      <c r="CA38" s="13">
        <f ca="1">(CA$14='A&amp;R'!$F$58)*'A&amp;R'!$E$58</f>
        <v>0</v>
      </c>
      <c r="CB38" s="13">
        <f ca="1">(CB$14='A&amp;R'!$F$58)*'A&amp;R'!$E$58</f>
        <v>0</v>
      </c>
      <c r="CC38" s="13">
        <f ca="1">(CC$14='A&amp;R'!$F$58)*'A&amp;R'!$E$58</f>
        <v>0</v>
      </c>
      <c r="CD38" s="13">
        <f ca="1">(CD$14='A&amp;R'!$F$58)*'A&amp;R'!$E$58</f>
        <v>0</v>
      </c>
      <c r="CE38" s="13">
        <f ca="1">(CE$14='A&amp;R'!$F$58)*'A&amp;R'!$E$58</f>
        <v>0</v>
      </c>
      <c r="CF38" s="13">
        <f ca="1">(CF$14='A&amp;R'!$F$58)*'A&amp;R'!$E$58</f>
        <v>0</v>
      </c>
      <c r="CG38" s="13">
        <f ca="1">(CG$14='A&amp;R'!$F$58)*'A&amp;R'!$E$58</f>
        <v>0</v>
      </c>
      <c r="CH38" s="13">
        <f ca="1">(CH$14='A&amp;R'!$F$58)*'A&amp;R'!$E$58</f>
        <v>0</v>
      </c>
      <c r="CI38" s="13">
        <f ca="1">(CI$14='A&amp;R'!$F$58)*'A&amp;R'!$E$58</f>
        <v>0</v>
      </c>
      <c r="CJ38" s="13">
        <f ca="1">(CJ$14='A&amp;R'!$F$58)*'A&amp;R'!$E$58</f>
        <v>0</v>
      </c>
      <c r="CK38" s="13">
        <f ca="1">(CK$14='A&amp;R'!$F$58)*'A&amp;R'!$E$58</f>
        <v>0</v>
      </c>
      <c r="CL38" s="13">
        <f ca="1">(CL$14='A&amp;R'!$F$58)*'A&amp;R'!$E$58</f>
        <v>0</v>
      </c>
      <c r="CM38" s="13">
        <f ca="1">(CM$14='A&amp;R'!$F$58)*'A&amp;R'!$E$58</f>
        <v>0</v>
      </c>
      <c r="CN38" s="13">
        <f ca="1">(CN$14='A&amp;R'!$F$58)*'A&amp;R'!$E$58</f>
        <v>0</v>
      </c>
      <c r="CO38" s="13">
        <f ca="1">(CO$14='A&amp;R'!$F$58)*'A&amp;R'!$E$58</f>
        <v>0</v>
      </c>
      <c r="CP38" s="13">
        <f ca="1">(CP$14='A&amp;R'!$F$58)*'A&amp;R'!$E$58</f>
        <v>0</v>
      </c>
      <c r="CQ38" s="13">
        <f ca="1">(CQ$14='A&amp;R'!$F$58)*'A&amp;R'!$E$58</f>
        <v>0</v>
      </c>
      <c r="CR38" s="13">
        <f ca="1">(CR$14='A&amp;R'!$F$58)*'A&amp;R'!$E$58</f>
        <v>0</v>
      </c>
      <c r="CS38" s="13">
        <f ca="1">(CS$14='A&amp;R'!$F$58)*'A&amp;R'!$E$58</f>
        <v>0</v>
      </c>
      <c r="CT38" s="13">
        <f ca="1">(CT$14='A&amp;R'!$F$58)*'A&amp;R'!$E$58</f>
        <v>0</v>
      </c>
      <c r="CU38" s="13">
        <f ca="1">(CU$14='A&amp;R'!$F$58)*'A&amp;R'!$E$58</f>
        <v>0</v>
      </c>
      <c r="CV38" s="13">
        <f ca="1">(CV$14='A&amp;R'!$F$58)*'A&amp;R'!$E$58</f>
        <v>0</v>
      </c>
      <c r="CW38" s="13">
        <f ca="1">(CW$14='A&amp;R'!$F$58)*'A&amp;R'!$E$58</f>
        <v>0</v>
      </c>
      <c r="CX38" s="13">
        <f ca="1">(CX$14='A&amp;R'!$F$58)*'A&amp;R'!$E$58</f>
        <v>0</v>
      </c>
      <c r="CY38" s="13">
        <f ca="1">(CY$14='A&amp;R'!$F$58)*'A&amp;R'!$E$58</f>
        <v>0</v>
      </c>
      <c r="CZ38" s="13">
        <f ca="1">(CZ$14='A&amp;R'!$F$58)*'A&amp;R'!$E$58</f>
        <v>0</v>
      </c>
      <c r="DA38" s="13">
        <f ca="1">(DA$14='A&amp;R'!$F$58)*'A&amp;R'!$E$58</f>
        <v>0</v>
      </c>
      <c r="DB38" s="13">
        <f ca="1">(DB$14='A&amp;R'!$F$58)*'A&amp;R'!$E$58</f>
        <v>0</v>
      </c>
    </row>
    <row r="39" spans="3:106">
      <c r="C39" s="73"/>
      <c r="D39" s="169" t="str">
        <f>'A&amp;R'!C59</f>
        <v>Tr.B 리파이낸싱</v>
      </c>
      <c r="E39" s="73"/>
      <c r="F39" s="73">
        <f t="shared" ref="F39" si="20">SUM(H39:DB39)</f>
        <v>10000</v>
      </c>
      <c r="G39" s="73"/>
      <c r="H39" s="73">
        <f>(H$14='A&amp;R'!$F$59)*'A&amp;R'!$E$59</f>
        <v>0</v>
      </c>
      <c r="I39" s="73">
        <f>(I$14='A&amp;R'!$F$59)*'A&amp;R'!$E$59</f>
        <v>0</v>
      </c>
      <c r="J39" s="73">
        <f>(J$14='A&amp;R'!$F$59)*'A&amp;R'!$E$59</f>
        <v>0</v>
      </c>
      <c r="K39" s="73">
        <f>(K$14='A&amp;R'!$F$59)*'A&amp;R'!$E$59</f>
        <v>0</v>
      </c>
      <c r="L39" s="73">
        <f>(L$14='A&amp;R'!$F$59)*'A&amp;R'!$E$59</f>
        <v>0</v>
      </c>
      <c r="M39" s="73">
        <f>(M$14='A&amp;R'!$F$59)*'A&amp;R'!$E$59</f>
        <v>0</v>
      </c>
      <c r="N39" s="73">
        <f>(N$14='A&amp;R'!$F$59)*'A&amp;R'!$E$59</f>
        <v>0</v>
      </c>
      <c r="O39" s="73">
        <f>(O$14='A&amp;R'!$F$59)*'A&amp;R'!$E$59</f>
        <v>0</v>
      </c>
      <c r="P39" s="73">
        <f>(P$14='A&amp;R'!$F$59)*'A&amp;R'!$E$59</f>
        <v>0</v>
      </c>
      <c r="Q39" s="73">
        <f>(Q$14='A&amp;R'!$F$59)*'A&amp;R'!$E$59</f>
        <v>0</v>
      </c>
      <c r="R39" s="73">
        <f>(R$14='A&amp;R'!$F$59)*'A&amp;R'!$E$59</f>
        <v>0</v>
      </c>
      <c r="S39" s="73">
        <f>(S$14='A&amp;R'!$F$59)*'A&amp;R'!$E$59</f>
        <v>0</v>
      </c>
      <c r="T39" s="73">
        <f>(T$14='A&amp;R'!$F$59)*'A&amp;R'!$E$59</f>
        <v>0</v>
      </c>
      <c r="U39" s="73">
        <f>(U$14='A&amp;R'!$F$59)*'A&amp;R'!$E$59</f>
        <v>0</v>
      </c>
      <c r="V39" s="73">
        <f>(V$14='A&amp;R'!$F$59)*'A&amp;R'!$E$59</f>
        <v>0</v>
      </c>
      <c r="W39" s="73">
        <f>(W$14='A&amp;R'!$F$59)*'A&amp;R'!$E$59</f>
        <v>0</v>
      </c>
      <c r="X39" s="73">
        <f>(X$14='A&amp;R'!$F$59)*'A&amp;R'!$E$59</f>
        <v>0</v>
      </c>
      <c r="Y39" s="73">
        <f>(Y$14='A&amp;R'!$F$59)*'A&amp;R'!$E$59</f>
        <v>0</v>
      </c>
      <c r="Z39" s="73">
        <f>(Z$14='A&amp;R'!$F$59)*'A&amp;R'!$E$59</f>
        <v>0</v>
      </c>
      <c r="AA39" s="73">
        <f>(AA$14='A&amp;R'!$F$59)*'A&amp;R'!$E$59</f>
        <v>0</v>
      </c>
      <c r="AB39" s="73">
        <f>(AB$14='A&amp;R'!$F$59)*'A&amp;R'!$E$59</f>
        <v>0</v>
      </c>
      <c r="AC39" s="73">
        <f>(AC$14='A&amp;R'!$F$59)*'A&amp;R'!$E$59</f>
        <v>0</v>
      </c>
      <c r="AD39" s="73">
        <f>(AD$14='A&amp;R'!$F$59)*'A&amp;R'!$E$59</f>
        <v>0</v>
      </c>
      <c r="AE39" s="73">
        <f>(AE$14='A&amp;R'!$F$59)*'A&amp;R'!$E$59</f>
        <v>0</v>
      </c>
      <c r="AF39" s="73">
        <f>(AF$14='A&amp;R'!$F$59)*'A&amp;R'!$E$59</f>
        <v>10000</v>
      </c>
      <c r="AG39" s="73">
        <f>(AG$14='A&amp;R'!$F$59)*'A&amp;R'!$E$59</f>
        <v>0</v>
      </c>
      <c r="AH39" s="73">
        <f>(AH$14='A&amp;R'!$F$59)*'A&amp;R'!$E$59</f>
        <v>0</v>
      </c>
      <c r="AI39" s="73">
        <f>(AI$14='A&amp;R'!$F$59)*'A&amp;R'!$E$59</f>
        <v>0</v>
      </c>
      <c r="AJ39" s="73">
        <f>(AJ$14='A&amp;R'!$F$59)*'A&amp;R'!$E$59</f>
        <v>0</v>
      </c>
      <c r="AK39" s="73">
        <f>(AK$14='A&amp;R'!$F$59)*'A&amp;R'!$E$59</f>
        <v>0</v>
      </c>
      <c r="AL39" s="73">
        <f>(AL$14='A&amp;R'!$F$59)*'A&amp;R'!$E$59</f>
        <v>0</v>
      </c>
      <c r="AM39" s="73">
        <f>(AM$14='A&amp;R'!$F$59)*'A&amp;R'!$E$59</f>
        <v>0</v>
      </c>
      <c r="AN39" s="73">
        <f>(AN$14='A&amp;R'!$F$59)*'A&amp;R'!$E$59</f>
        <v>0</v>
      </c>
      <c r="AO39" s="73">
        <f>(AO$14='A&amp;R'!$F$59)*'A&amp;R'!$E$59</f>
        <v>0</v>
      </c>
      <c r="AP39" s="73">
        <f>(AP$14='A&amp;R'!$F$59)*'A&amp;R'!$E$59</f>
        <v>0</v>
      </c>
      <c r="AQ39" s="73">
        <f>(AQ$14='A&amp;R'!$F$59)*'A&amp;R'!$E$59</f>
        <v>0</v>
      </c>
      <c r="AR39" s="73">
        <f>(AR$14='A&amp;R'!$F$59)*'A&amp;R'!$E$59</f>
        <v>0</v>
      </c>
      <c r="AS39" s="73">
        <f>(AS$14='A&amp;R'!$F$59)*'A&amp;R'!$E$59</f>
        <v>0</v>
      </c>
      <c r="AT39" s="73">
        <f>(AT$14='A&amp;R'!$F$59)*'A&amp;R'!$E$59</f>
        <v>0</v>
      </c>
      <c r="AU39" s="73">
        <f>(AU$14='A&amp;R'!$F$59)*'A&amp;R'!$E$59</f>
        <v>0</v>
      </c>
      <c r="AV39" s="73">
        <f>(AV$14='A&amp;R'!$F$59)*'A&amp;R'!$E$59</f>
        <v>0</v>
      </c>
      <c r="AW39" s="73">
        <f>(AW$14='A&amp;R'!$F$59)*'A&amp;R'!$E$59</f>
        <v>0</v>
      </c>
      <c r="AX39" s="73">
        <f>(AX$14='A&amp;R'!$F$59)*'A&amp;R'!$E$59</f>
        <v>0</v>
      </c>
      <c r="AY39" s="73">
        <f>(AY$14='A&amp;R'!$F$59)*'A&amp;R'!$E$59</f>
        <v>0</v>
      </c>
      <c r="AZ39" s="73">
        <f>(AZ$14='A&amp;R'!$F$59)*'A&amp;R'!$E$59</f>
        <v>0</v>
      </c>
      <c r="BA39" s="73">
        <f>(BA$14='A&amp;R'!$F$59)*'A&amp;R'!$E$59</f>
        <v>0</v>
      </c>
      <c r="BB39" s="73">
        <f>(BB$14='A&amp;R'!$F$59)*'A&amp;R'!$E$59</f>
        <v>0</v>
      </c>
      <c r="BC39" s="73">
        <f>(BC$14='A&amp;R'!$F$59)*'A&amp;R'!$E$59</f>
        <v>0</v>
      </c>
      <c r="BD39" s="73">
        <f>(BD$14='A&amp;R'!$F$59)*'A&amp;R'!$E$59</f>
        <v>0</v>
      </c>
      <c r="BE39" s="73">
        <f>(BE$14='A&amp;R'!$F$59)*'A&amp;R'!$E$59</f>
        <v>0</v>
      </c>
      <c r="BF39" s="73">
        <f>(BF$14='A&amp;R'!$F$59)*'A&amp;R'!$E$59</f>
        <v>0</v>
      </c>
      <c r="BG39" s="73">
        <f>(BG$14='A&amp;R'!$F$59)*'A&amp;R'!$E$59</f>
        <v>0</v>
      </c>
      <c r="BH39" s="73">
        <f>(BH$14='A&amp;R'!$F$59)*'A&amp;R'!$E$59</f>
        <v>0</v>
      </c>
      <c r="BI39" s="73">
        <f>(BI$14='A&amp;R'!$F$59)*'A&amp;R'!$E$59</f>
        <v>0</v>
      </c>
      <c r="BJ39" s="73">
        <f>(BJ$14='A&amp;R'!$F$59)*'A&amp;R'!$E$59</f>
        <v>0</v>
      </c>
      <c r="BK39" s="73">
        <f>(BK$14='A&amp;R'!$F$59)*'A&amp;R'!$E$59</f>
        <v>0</v>
      </c>
      <c r="BL39" s="73">
        <f>(BL$14='A&amp;R'!$F$59)*'A&amp;R'!$E$59</f>
        <v>0</v>
      </c>
      <c r="BM39" s="73">
        <f>(BM$14='A&amp;R'!$F$59)*'A&amp;R'!$E$59</f>
        <v>0</v>
      </c>
      <c r="BN39" s="73">
        <f>(BN$14='A&amp;R'!$F$59)*'A&amp;R'!$E$59</f>
        <v>0</v>
      </c>
      <c r="BO39" s="73">
        <f>(BO$14='A&amp;R'!$F$59)*'A&amp;R'!$E$59</f>
        <v>0</v>
      </c>
      <c r="BP39" s="73">
        <f>(BP$14='A&amp;R'!$F$59)*'A&amp;R'!$E$59</f>
        <v>0</v>
      </c>
      <c r="BQ39" s="73">
        <f>(BQ$14='A&amp;R'!$F$59)*'A&amp;R'!$E$59</f>
        <v>0</v>
      </c>
      <c r="BR39" s="73">
        <f>(BR$14='A&amp;R'!$F$59)*'A&amp;R'!$E$59</f>
        <v>0</v>
      </c>
      <c r="BS39" s="73">
        <f>(BS$14='A&amp;R'!$F$59)*'A&amp;R'!$E$59</f>
        <v>0</v>
      </c>
      <c r="BT39" s="73">
        <f>(BT$14='A&amp;R'!$F$59)*'A&amp;R'!$E$59</f>
        <v>0</v>
      </c>
      <c r="BU39" s="73">
        <f>(BU$14='A&amp;R'!$F$59)*'A&amp;R'!$E$59</f>
        <v>0</v>
      </c>
      <c r="BV39" s="73">
        <f>(BV$14='A&amp;R'!$F$59)*'A&amp;R'!$E$59</f>
        <v>0</v>
      </c>
      <c r="BW39" s="73">
        <f>(BW$14='A&amp;R'!$F$59)*'A&amp;R'!$E$59</f>
        <v>0</v>
      </c>
      <c r="BX39" s="73">
        <f>(BX$14='A&amp;R'!$F$59)*'A&amp;R'!$E$59</f>
        <v>0</v>
      </c>
      <c r="BY39" s="73">
        <f>(BY$14='A&amp;R'!$F$59)*'A&amp;R'!$E$59</f>
        <v>0</v>
      </c>
      <c r="BZ39" s="73">
        <f>(BZ$14='A&amp;R'!$F$59)*'A&amp;R'!$E$59</f>
        <v>0</v>
      </c>
      <c r="CA39" s="73">
        <f>(CA$14='A&amp;R'!$F$59)*'A&amp;R'!$E$59</f>
        <v>0</v>
      </c>
      <c r="CB39" s="73">
        <f>(CB$14='A&amp;R'!$F$59)*'A&amp;R'!$E$59</f>
        <v>0</v>
      </c>
      <c r="CC39" s="73">
        <f>(CC$14='A&amp;R'!$F$59)*'A&amp;R'!$E$59</f>
        <v>0</v>
      </c>
      <c r="CD39" s="73">
        <f>(CD$14='A&amp;R'!$F$59)*'A&amp;R'!$E$59</f>
        <v>0</v>
      </c>
      <c r="CE39" s="73">
        <f>(CE$14='A&amp;R'!$F$59)*'A&amp;R'!$E$59</f>
        <v>0</v>
      </c>
      <c r="CF39" s="73">
        <f>(CF$14='A&amp;R'!$F$59)*'A&amp;R'!$E$59</f>
        <v>0</v>
      </c>
      <c r="CG39" s="73">
        <f>(CG$14='A&amp;R'!$F$59)*'A&amp;R'!$E$59</f>
        <v>0</v>
      </c>
      <c r="CH39" s="73">
        <f>(CH$14='A&amp;R'!$F$59)*'A&amp;R'!$E$59</f>
        <v>0</v>
      </c>
      <c r="CI39" s="73">
        <f>(CI$14='A&amp;R'!$F$59)*'A&amp;R'!$E$59</f>
        <v>0</v>
      </c>
      <c r="CJ39" s="73">
        <f>(CJ$14='A&amp;R'!$F$59)*'A&amp;R'!$E$59</f>
        <v>0</v>
      </c>
      <c r="CK39" s="73">
        <f>(CK$14='A&amp;R'!$F$59)*'A&amp;R'!$E$59</f>
        <v>0</v>
      </c>
      <c r="CL39" s="73">
        <f>(CL$14='A&amp;R'!$F$59)*'A&amp;R'!$E$59</f>
        <v>0</v>
      </c>
      <c r="CM39" s="73">
        <f>(CM$14='A&amp;R'!$F$59)*'A&amp;R'!$E$59</f>
        <v>0</v>
      </c>
      <c r="CN39" s="73">
        <f>(CN$14='A&amp;R'!$F$59)*'A&amp;R'!$E$59</f>
        <v>0</v>
      </c>
      <c r="CO39" s="73">
        <f>(CO$14='A&amp;R'!$F$59)*'A&amp;R'!$E$59</f>
        <v>0</v>
      </c>
      <c r="CP39" s="73">
        <f>(CP$14='A&amp;R'!$F$59)*'A&amp;R'!$E$59</f>
        <v>0</v>
      </c>
      <c r="CQ39" s="73">
        <f>(CQ$14='A&amp;R'!$F$59)*'A&amp;R'!$E$59</f>
        <v>0</v>
      </c>
      <c r="CR39" s="73">
        <f>(CR$14='A&amp;R'!$F$59)*'A&amp;R'!$E$59</f>
        <v>0</v>
      </c>
      <c r="CS39" s="73">
        <f>(CS$14='A&amp;R'!$F$59)*'A&amp;R'!$E$59</f>
        <v>0</v>
      </c>
      <c r="CT39" s="73">
        <f>(CT$14='A&amp;R'!$F$59)*'A&amp;R'!$E$59</f>
        <v>0</v>
      </c>
      <c r="CU39" s="73">
        <f>(CU$14='A&amp;R'!$F$59)*'A&amp;R'!$E$59</f>
        <v>0</v>
      </c>
      <c r="CV39" s="73">
        <f>(CV$14='A&amp;R'!$F$59)*'A&amp;R'!$E$59</f>
        <v>0</v>
      </c>
      <c r="CW39" s="73">
        <f>(CW$14='A&amp;R'!$F$59)*'A&amp;R'!$E$59</f>
        <v>0</v>
      </c>
      <c r="CX39" s="73">
        <f>(CX$14='A&amp;R'!$F$59)*'A&amp;R'!$E$59</f>
        <v>0</v>
      </c>
      <c r="CY39" s="73">
        <f>(CY$14='A&amp;R'!$F$59)*'A&amp;R'!$E$59</f>
        <v>0</v>
      </c>
      <c r="CZ39" s="73">
        <f>(CZ$14='A&amp;R'!$F$59)*'A&amp;R'!$E$59</f>
        <v>0</v>
      </c>
      <c r="DA39" s="73">
        <f>(DA$14='A&amp;R'!$F$59)*'A&amp;R'!$E$59</f>
        <v>0</v>
      </c>
      <c r="DB39" s="73">
        <f>(DB$14='A&amp;R'!$F$59)*'A&amp;R'!$E$59</f>
        <v>0</v>
      </c>
    </row>
    <row r="40" spans="3:106">
      <c r="C40" s="13" t="s">
        <v>326</v>
      </c>
    </row>
    <row r="41" spans="3:106">
      <c r="D41" s="91" t="str">
        <f>'A&amp;R'!C48</f>
        <v>제1종수익증권</v>
      </c>
      <c r="E41" s="76"/>
      <c r="F41" s="76">
        <f t="shared" ref="F41:F42" ca="1" si="21">SUM(H41:DB41)</f>
        <v>-51500</v>
      </c>
      <c r="G41" s="76"/>
      <c r="H41" s="76">
        <f>IF(Cir=1,SUMIF(배당!$53:$53,현금흐름!H$14,배당!$77:$77)*-1,0)</f>
        <v>0</v>
      </c>
      <c r="I41" s="76">
        <f>IF(Cir=1,SUMIF(배당!$53:$53,현금흐름!I$14,배당!$77:$77)*-1,0)</f>
        <v>0</v>
      </c>
      <c r="J41" s="76">
        <f>IF(Cir=1,SUMIF(배당!$53:$53,현금흐름!J$14,배당!$77:$77)*-1,0)</f>
        <v>0</v>
      </c>
      <c r="K41" s="76">
        <f>IF(Cir=1,SUMIF(배당!$53:$53,현금흐름!K$14,배당!$77:$77)*-1,0)</f>
        <v>0</v>
      </c>
      <c r="L41" s="76">
        <f>IF(Cir=1,SUMIF(배당!$53:$53,현금흐름!L$14,배당!$77:$77)*-1,0)</f>
        <v>0</v>
      </c>
      <c r="M41" s="76">
        <f>IF(Cir=1,SUMIF(배당!$53:$53,현금흐름!M$14,배당!$77:$77)*-1,0)</f>
        <v>0</v>
      </c>
      <c r="N41" s="76">
        <f ca="1">IF(Cir=1,SUMIF(배당!$53:$53,현금흐름!N$14,배당!$77:$77)*-1,0)</f>
        <v>0</v>
      </c>
      <c r="O41" s="76">
        <f>IF(Cir=1,SUMIF(배당!$53:$53,현금흐름!O$14,배당!$77:$77)*-1,0)</f>
        <v>0</v>
      </c>
      <c r="P41" s="76">
        <f>IF(Cir=1,SUMIF(배당!$53:$53,현금흐름!P$14,배당!$77:$77)*-1,0)</f>
        <v>0</v>
      </c>
      <c r="Q41" s="76">
        <f>IF(Cir=1,SUMIF(배당!$53:$53,현금흐름!Q$14,배당!$77:$77)*-1,0)</f>
        <v>0</v>
      </c>
      <c r="R41" s="76">
        <f>IF(Cir=1,SUMIF(배당!$53:$53,현금흐름!R$14,배당!$77:$77)*-1,0)</f>
        <v>0</v>
      </c>
      <c r="S41" s="76">
        <f>IF(Cir=1,SUMIF(배당!$53:$53,현금흐름!S$14,배당!$77:$77)*-1,0)</f>
        <v>0</v>
      </c>
      <c r="T41" s="76">
        <f ca="1">IF(Cir=1,SUMIF(배당!$53:$53,현금흐름!T$14,배당!$77:$77)*-1,0)</f>
        <v>0</v>
      </c>
      <c r="U41" s="76">
        <f>IF(Cir=1,SUMIF(배당!$53:$53,현금흐름!U$14,배당!$77:$77)*-1,0)</f>
        <v>0</v>
      </c>
      <c r="V41" s="76">
        <f>IF(Cir=1,SUMIF(배당!$53:$53,현금흐름!V$14,배당!$77:$77)*-1,0)</f>
        <v>0</v>
      </c>
      <c r="W41" s="76">
        <f>IF(Cir=1,SUMIF(배당!$53:$53,현금흐름!W$14,배당!$77:$77)*-1,0)</f>
        <v>0</v>
      </c>
      <c r="X41" s="76">
        <f>IF(Cir=1,SUMIF(배당!$53:$53,현금흐름!X$14,배당!$77:$77)*-1,0)</f>
        <v>0</v>
      </c>
      <c r="Y41" s="76">
        <f>IF(Cir=1,SUMIF(배당!$53:$53,현금흐름!Y$14,배당!$77:$77)*-1,0)</f>
        <v>0</v>
      </c>
      <c r="Z41" s="76">
        <f ca="1">IF(Cir=1,SUMIF(배당!$53:$53,현금흐름!Z$14,배당!$77:$77)*-1,0)</f>
        <v>0</v>
      </c>
      <c r="AA41" s="76">
        <f>IF(Cir=1,SUMIF(배당!$53:$53,현금흐름!AA$14,배당!$77:$77)*-1,0)</f>
        <v>0</v>
      </c>
      <c r="AB41" s="76">
        <f>IF(Cir=1,SUMIF(배당!$53:$53,현금흐름!AB$14,배당!$77:$77)*-1,0)</f>
        <v>0</v>
      </c>
      <c r="AC41" s="76">
        <f>IF(Cir=1,SUMIF(배당!$53:$53,현금흐름!AC$14,배당!$77:$77)*-1,0)</f>
        <v>0</v>
      </c>
      <c r="AD41" s="76">
        <f>IF(Cir=1,SUMIF(배당!$53:$53,현금흐름!AD$14,배당!$77:$77)*-1,0)</f>
        <v>0</v>
      </c>
      <c r="AE41" s="76">
        <f>IF(Cir=1,SUMIF(배당!$53:$53,현금흐름!AE$14,배당!$77:$77)*-1,0)</f>
        <v>0</v>
      </c>
      <c r="AF41" s="76">
        <f ca="1">IF(Cir=1,SUMIF(배당!$53:$53,현금흐름!AF$14,배당!$77:$77)*-1,0)</f>
        <v>0</v>
      </c>
      <c r="AG41" s="76">
        <f>IF(Cir=1,SUMIF(배당!$53:$53,현금흐름!AG$14,배당!$77:$77)*-1,0)</f>
        <v>0</v>
      </c>
      <c r="AH41" s="76">
        <f>IF(Cir=1,SUMIF(배당!$53:$53,현금흐름!AH$14,배당!$77:$77)*-1,0)</f>
        <v>0</v>
      </c>
      <c r="AI41" s="76">
        <f>IF(Cir=1,SUMIF(배당!$53:$53,현금흐름!AI$14,배당!$77:$77)*-1,0)</f>
        <v>0</v>
      </c>
      <c r="AJ41" s="76">
        <f>IF(Cir=1,SUMIF(배당!$53:$53,현금흐름!AJ$14,배당!$77:$77)*-1,0)</f>
        <v>0</v>
      </c>
      <c r="AK41" s="76">
        <f>IF(Cir=1,SUMIF(배당!$53:$53,현금흐름!AK$14,배당!$77:$77)*-1,0)</f>
        <v>0</v>
      </c>
      <c r="AL41" s="76">
        <f ca="1">IF(Cir=1,SUMIF(배당!$53:$53,현금흐름!AL$14,배당!$77:$77)*-1,0)</f>
        <v>0</v>
      </c>
      <c r="AM41" s="76">
        <f>IF(Cir=1,SUMIF(배당!$53:$53,현금흐름!AM$14,배당!$77:$77)*-1,0)</f>
        <v>0</v>
      </c>
      <c r="AN41" s="76">
        <f>IF(Cir=1,SUMIF(배당!$53:$53,현금흐름!AN$14,배당!$77:$77)*-1,0)</f>
        <v>0</v>
      </c>
      <c r="AO41" s="76">
        <f>IF(Cir=1,SUMIF(배당!$53:$53,현금흐름!AO$14,배당!$77:$77)*-1,0)</f>
        <v>0</v>
      </c>
      <c r="AP41" s="76">
        <f>IF(Cir=1,SUMIF(배당!$53:$53,현금흐름!AP$14,배당!$77:$77)*-1,0)</f>
        <v>0</v>
      </c>
      <c r="AQ41" s="76">
        <f>IF(Cir=1,SUMIF(배당!$53:$53,현금흐름!AQ$14,배당!$77:$77)*-1,0)</f>
        <v>0</v>
      </c>
      <c r="AR41" s="76">
        <f ca="1">IF(Cir=1,SUMIF(배당!$53:$53,현금흐름!AR$14,배당!$77:$77)*-1,0)</f>
        <v>0</v>
      </c>
      <c r="AS41" s="76">
        <f>IF(Cir=1,SUMIF(배당!$53:$53,현금흐름!AS$14,배당!$77:$77)*-1,0)</f>
        <v>0</v>
      </c>
      <c r="AT41" s="76">
        <f>IF(Cir=1,SUMIF(배당!$53:$53,현금흐름!AT$14,배당!$77:$77)*-1,0)</f>
        <v>0</v>
      </c>
      <c r="AU41" s="76">
        <f>IF(Cir=1,SUMIF(배당!$53:$53,현금흐름!AU$14,배당!$77:$77)*-1,0)</f>
        <v>0</v>
      </c>
      <c r="AV41" s="76">
        <f>IF(Cir=1,SUMIF(배당!$53:$53,현금흐름!AV$14,배당!$77:$77)*-1,0)</f>
        <v>0</v>
      </c>
      <c r="AW41" s="76">
        <f>IF(Cir=1,SUMIF(배당!$53:$53,현금흐름!AW$14,배당!$77:$77)*-1,0)</f>
        <v>0</v>
      </c>
      <c r="AX41" s="76">
        <f ca="1">IF(Cir=1,SUMIF(배당!$53:$53,현금흐름!AX$14,배당!$77:$77)*-1,0)</f>
        <v>0</v>
      </c>
      <c r="AY41" s="76">
        <f>IF(Cir=1,SUMIF(배당!$53:$53,현금흐름!AY$14,배당!$77:$77)*-1,0)</f>
        <v>0</v>
      </c>
      <c r="AZ41" s="76">
        <f>IF(Cir=1,SUMIF(배당!$53:$53,현금흐름!AZ$14,배당!$77:$77)*-1,0)</f>
        <v>0</v>
      </c>
      <c r="BA41" s="76">
        <f>IF(Cir=1,SUMIF(배당!$53:$53,현금흐름!BA$14,배당!$77:$77)*-1,0)</f>
        <v>0</v>
      </c>
      <c r="BB41" s="76">
        <f>IF(Cir=1,SUMIF(배당!$53:$53,현금흐름!BB$14,배당!$77:$77)*-1,0)</f>
        <v>0</v>
      </c>
      <c r="BC41" s="76">
        <f>IF(Cir=1,SUMIF(배당!$53:$53,현금흐름!BC$14,배당!$77:$77)*-1,0)</f>
        <v>0</v>
      </c>
      <c r="BD41" s="76">
        <f ca="1">IF(Cir=1,SUMIF(배당!$53:$53,현금흐름!BD$14,배당!$77:$77)*-1,0)</f>
        <v>0</v>
      </c>
      <c r="BE41" s="76">
        <f>IF(Cir=1,SUMIF(배당!$53:$53,현금흐름!BE$14,배당!$77:$77)*-1,0)</f>
        <v>0</v>
      </c>
      <c r="BF41" s="76">
        <f>IF(Cir=1,SUMIF(배당!$53:$53,현금흐름!BF$14,배당!$77:$77)*-1,0)</f>
        <v>0</v>
      </c>
      <c r="BG41" s="76">
        <f>IF(Cir=1,SUMIF(배당!$53:$53,현금흐름!BG$14,배당!$77:$77)*-1,0)</f>
        <v>0</v>
      </c>
      <c r="BH41" s="76">
        <f>IF(Cir=1,SUMIF(배당!$53:$53,현금흐름!BH$14,배당!$77:$77)*-1,0)</f>
        <v>0</v>
      </c>
      <c r="BI41" s="76">
        <f>IF(Cir=1,SUMIF(배당!$53:$53,현금흐름!BI$14,배당!$77:$77)*-1,0)</f>
        <v>0</v>
      </c>
      <c r="BJ41" s="76">
        <f ca="1">IF(Cir=1,SUMIF(배당!$53:$53,현금흐름!BJ$14,배당!$77:$77)*-1,0)</f>
        <v>0</v>
      </c>
      <c r="BK41" s="76">
        <f>IF(Cir=1,SUMIF(배당!$53:$53,현금흐름!BK$14,배당!$77:$77)*-1,0)</f>
        <v>0</v>
      </c>
      <c r="BL41" s="76">
        <f>IF(Cir=1,SUMIF(배당!$53:$53,현금흐름!BL$14,배당!$77:$77)*-1,0)</f>
        <v>0</v>
      </c>
      <c r="BM41" s="76">
        <f>IF(Cir=1,SUMIF(배당!$53:$53,현금흐름!BM$14,배당!$77:$77)*-1,0)</f>
        <v>0</v>
      </c>
      <c r="BN41" s="76">
        <f>IF(Cir=1,SUMIF(배당!$53:$53,현금흐름!BN$14,배당!$77:$77)*-1,0)</f>
        <v>0</v>
      </c>
      <c r="BO41" s="76">
        <f>IF(Cir=1,SUMIF(배당!$53:$53,현금흐름!BO$14,배당!$77:$77)*-1,0)</f>
        <v>0</v>
      </c>
      <c r="BP41" s="76">
        <f ca="1">IF(Cir=1,SUMIF(배당!$53:$53,현금흐름!BP$14,배당!$77:$77)*-1,0)</f>
        <v>-51500</v>
      </c>
      <c r="BQ41" s="76">
        <f>IF(Cir=1,SUMIF(배당!$53:$53,현금흐름!BQ$14,배당!$77:$77)*-1,0)</f>
        <v>0</v>
      </c>
      <c r="BR41" s="76">
        <f>IF(Cir=1,SUMIF(배당!$53:$53,현금흐름!BR$14,배당!$77:$77)*-1,0)</f>
        <v>0</v>
      </c>
      <c r="BS41" s="76">
        <f>IF(Cir=1,SUMIF(배당!$53:$53,현금흐름!BS$14,배당!$77:$77)*-1,0)</f>
        <v>0</v>
      </c>
      <c r="BT41" s="76">
        <f>IF(Cir=1,SUMIF(배당!$53:$53,현금흐름!BT$14,배당!$77:$77)*-1,0)</f>
        <v>0</v>
      </c>
      <c r="BU41" s="76">
        <f>IF(Cir=1,SUMIF(배당!$53:$53,현금흐름!BU$14,배당!$77:$77)*-1,0)</f>
        <v>0</v>
      </c>
      <c r="BV41" s="76">
        <f ca="1">IF(Cir=1,SUMIF(배당!$53:$53,현금흐름!BV$14,배당!$77:$77)*-1,0)</f>
        <v>0</v>
      </c>
      <c r="BW41" s="76">
        <f>IF(Cir=1,SUMIF(배당!$53:$53,현금흐름!BW$14,배당!$77:$77)*-1,0)</f>
        <v>0</v>
      </c>
      <c r="BX41" s="76">
        <f>IF(Cir=1,SUMIF(배당!$53:$53,현금흐름!BX$14,배당!$77:$77)*-1,0)</f>
        <v>0</v>
      </c>
      <c r="BY41" s="76">
        <f>IF(Cir=1,SUMIF(배당!$53:$53,현금흐름!BY$14,배당!$77:$77)*-1,0)</f>
        <v>0</v>
      </c>
      <c r="BZ41" s="76">
        <f>IF(Cir=1,SUMIF(배당!$53:$53,현금흐름!BZ$14,배당!$77:$77)*-1,0)</f>
        <v>0</v>
      </c>
      <c r="CA41" s="76">
        <f>IF(Cir=1,SUMIF(배당!$53:$53,현금흐름!CA$14,배당!$77:$77)*-1,0)</f>
        <v>0</v>
      </c>
      <c r="CB41" s="76">
        <f ca="1">IF(Cir=1,SUMIF(배당!$53:$53,현금흐름!CB$14,배당!$77:$77)*-1,0)</f>
        <v>0</v>
      </c>
      <c r="CC41" s="76">
        <f>IF(Cir=1,SUMIF(배당!$53:$53,현금흐름!CC$14,배당!$77:$77)*-1,0)</f>
        <v>0</v>
      </c>
      <c r="CD41" s="76">
        <f>IF(Cir=1,SUMIF(배당!$53:$53,현금흐름!CD$14,배당!$77:$77)*-1,0)</f>
        <v>0</v>
      </c>
      <c r="CE41" s="76">
        <f>IF(Cir=1,SUMIF(배당!$53:$53,현금흐름!CE$14,배당!$77:$77)*-1,0)</f>
        <v>0</v>
      </c>
      <c r="CF41" s="76">
        <f>IF(Cir=1,SUMIF(배당!$53:$53,현금흐름!CF$14,배당!$77:$77)*-1,0)</f>
        <v>0</v>
      </c>
      <c r="CG41" s="76">
        <f>IF(Cir=1,SUMIF(배당!$53:$53,현금흐름!CG$14,배당!$77:$77)*-1,0)</f>
        <v>0</v>
      </c>
      <c r="CH41" s="76">
        <f ca="1">IF(Cir=1,SUMIF(배당!$53:$53,현금흐름!CH$14,배당!$77:$77)*-1,0)</f>
        <v>0</v>
      </c>
      <c r="CI41" s="76">
        <f>IF(Cir=1,SUMIF(배당!$53:$53,현금흐름!CI$14,배당!$77:$77)*-1,0)</f>
        <v>0</v>
      </c>
      <c r="CJ41" s="76">
        <f>IF(Cir=1,SUMIF(배당!$53:$53,현금흐름!CJ$14,배당!$77:$77)*-1,0)</f>
        <v>0</v>
      </c>
      <c r="CK41" s="76">
        <f>IF(Cir=1,SUMIF(배당!$53:$53,현금흐름!CK$14,배당!$77:$77)*-1,0)</f>
        <v>0</v>
      </c>
      <c r="CL41" s="76">
        <f>IF(Cir=1,SUMIF(배당!$53:$53,현금흐름!CL$14,배당!$77:$77)*-1,0)</f>
        <v>0</v>
      </c>
      <c r="CM41" s="76">
        <f>IF(Cir=1,SUMIF(배당!$53:$53,현금흐름!CM$14,배당!$77:$77)*-1,0)</f>
        <v>0</v>
      </c>
      <c r="CN41" s="76">
        <f ca="1">IF(Cir=1,SUMIF(배당!$53:$53,현금흐름!CN$14,배당!$77:$77)*-1,0)</f>
        <v>0</v>
      </c>
      <c r="CO41" s="76">
        <f>IF(Cir=1,SUMIF(배당!$53:$53,현금흐름!CO$14,배당!$77:$77)*-1,0)</f>
        <v>0</v>
      </c>
      <c r="CP41" s="76">
        <f>IF(Cir=1,SUMIF(배당!$53:$53,현금흐름!CP$14,배당!$77:$77)*-1,0)</f>
        <v>0</v>
      </c>
      <c r="CQ41" s="76">
        <f>IF(Cir=1,SUMIF(배당!$53:$53,현금흐름!CQ$14,배당!$77:$77)*-1,0)</f>
        <v>0</v>
      </c>
      <c r="CR41" s="76">
        <f>IF(Cir=1,SUMIF(배당!$53:$53,현금흐름!CR$14,배당!$77:$77)*-1,0)</f>
        <v>0</v>
      </c>
      <c r="CS41" s="76">
        <f>IF(Cir=1,SUMIF(배당!$53:$53,현금흐름!CS$14,배당!$77:$77)*-1,0)</f>
        <v>0</v>
      </c>
      <c r="CT41" s="76">
        <f>IF(Cir=1,SUMIF(배당!$53:$53,현금흐름!CT$14,배당!$77:$77)*-1,0)</f>
        <v>0</v>
      </c>
      <c r="CU41" s="76">
        <f>IF(Cir=1,SUMIF(배당!$53:$53,현금흐름!CU$14,배당!$77:$77)*-1,0)</f>
        <v>0</v>
      </c>
      <c r="CV41" s="76">
        <f>IF(Cir=1,SUMIF(배당!$53:$53,현금흐름!CV$14,배당!$77:$77)*-1,0)</f>
        <v>0</v>
      </c>
      <c r="CW41" s="76">
        <f>IF(Cir=1,SUMIF(배당!$53:$53,현금흐름!CW$14,배당!$77:$77)*-1,0)</f>
        <v>0</v>
      </c>
      <c r="CX41" s="76">
        <f>IF(Cir=1,SUMIF(배당!$53:$53,현금흐름!CX$14,배당!$77:$77)*-1,0)</f>
        <v>0</v>
      </c>
      <c r="CY41" s="76">
        <f>IF(Cir=1,SUMIF(배당!$53:$53,현금흐름!CY$14,배당!$77:$77)*-1,0)</f>
        <v>0</v>
      </c>
      <c r="CZ41" s="76">
        <f>IF(Cir=1,SUMIF(배당!$53:$53,현금흐름!CZ$14,배당!$77:$77)*-1,0)</f>
        <v>0</v>
      </c>
      <c r="DA41" s="76">
        <f>IF(Cir=1,SUMIF(배당!$53:$53,현금흐름!DA$14,배당!$77:$77)*-1,0)</f>
        <v>0</v>
      </c>
      <c r="DB41" s="76">
        <f>IF(Cir=1,SUMIF(배당!$53:$53,현금흐름!DB$14,배당!$77:$77)*-1,0)</f>
        <v>0</v>
      </c>
    </row>
    <row r="42" spans="3:106">
      <c r="C42" s="271"/>
      <c r="D42" s="169" t="str">
        <f>'A&amp;R'!C49</f>
        <v>제2종수익증권</v>
      </c>
      <c r="E42" s="73"/>
      <c r="F42" s="73">
        <f t="shared" ca="1" si="21"/>
        <v>-46499.999999999985</v>
      </c>
      <c r="G42" s="73"/>
      <c r="H42" s="73">
        <f>IF(Cir=1,SUMIF(배당!$53:$53,현금흐름!H$14,배당!$78:$78)*-1,0)</f>
        <v>0</v>
      </c>
      <c r="I42" s="73">
        <f>IF(Cir=1,SUMIF(배당!$53:$53,현금흐름!I$14,배당!$78:$78)*-1,0)</f>
        <v>0</v>
      </c>
      <c r="J42" s="73">
        <f>IF(Cir=1,SUMIF(배당!$53:$53,현금흐름!J$14,배당!$78:$78)*-1,0)</f>
        <v>0</v>
      </c>
      <c r="K42" s="73">
        <f>IF(Cir=1,SUMIF(배당!$53:$53,현금흐름!K$14,배당!$78:$78)*-1,0)</f>
        <v>0</v>
      </c>
      <c r="L42" s="73">
        <f>IF(Cir=1,SUMIF(배당!$53:$53,현금흐름!L$14,배당!$78:$78)*-1,0)</f>
        <v>0</v>
      </c>
      <c r="M42" s="73">
        <f>IF(Cir=1,SUMIF(배당!$53:$53,현금흐름!M$14,배당!$78:$78)*-1,0)</f>
        <v>0</v>
      </c>
      <c r="N42" s="73">
        <f ca="1">IF(Cir=1,SUMIF(배당!$53:$53,현금흐름!N$14,배당!$78:$78)*-1,0)</f>
        <v>0</v>
      </c>
      <c r="O42" s="73">
        <f>IF(Cir=1,SUMIF(배당!$53:$53,현금흐름!O$14,배당!$78:$78)*-1,0)</f>
        <v>0</v>
      </c>
      <c r="P42" s="73">
        <f>IF(Cir=1,SUMIF(배당!$53:$53,현금흐름!P$14,배당!$78:$78)*-1,0)</f>
        <v>0</v>
      </c>
      <c r="Q42" s="73">
        <f>IF(Cir=1,SUMIF(배당!$53:$53,현금흐름!Q$14,배당!$78:$78)*-1,0)</f>
        <v>0</v>
      </c>
      <c r="R42" s="73">
        <f>IF(Cir=1,SUMIF(배당!$53:$53,현금흐름!R$14,배당!$78:$78)*-1,0)</f>
        <v>0</v>
      </c>
      <c r="S42" s="73">
        <f>IF(Cir=1,SUMIF(배당!$53:$53,현금흐름!S$14,배당!$78:$78)*-1,0)</f>
        <v>0</v>
      </c>
      <c r="T42" s="73">
        <f ca="1">IF(Cir=1,SUMIF(배당!$53:$53,현금흐름!T$14,배당!$78:$78)*-1,0)</f>
        <v>0</v>
      </c>
      <c r="U42" s="73">
        <f>IF(Cir=1,SUMIF(배당!$53:$53,현금흐름!U$14,배당!$78:$78)*-1,0)</f>
        <v>0</v>
      </c>
      <c r="V42" s="73">
        <f>IF(Cir=1,SUMIF(배당!$53:$53,현금흐름!V$14,배당!$78:$78)*-1,0)</f>
        <v>0</v>
      </c>
      <c r="W42" s="73">
        <f>IF(Cir=1,SUMIF(배당!$53:$53,현금흐름!W$14,배당!$78:$78)*-1,0)</f>
        <v>0</v>
      </c>
      <c r="X42" s="73">
        <f>IF(Cir=1,SUMIF(배당!$53:$53,현금흐름!X$14,배당!$78:$78)*-1,0)</f>
        <v>0</v>
      </c>
      <c r="Y42" s="73">
        <f>IF(Cir=1,SUMIF(배당!$53:$53,현금흐름!Y$14,배당!$78:$78)*-1,0)</f>
        <v>0</v>
      </c>
      <c r="Z42" s="73">
        <f ca="1">IF(Cir=1,SUMIF(배당!$53:$53,현금흐름!Z$14,배당!$78:$78)*-1,0)</f>
        <v>0</v>
      </c>
      <c r="AA42" s="73">
        <f>IF(Cir=1,SUMIF(배당!$53:$53,현금흐름!AA$14,배당!$78:$78)*-1,0)</f>
        <v>0</v>
      </c>
      <c r="AB42" s="73">
        <f>IF(Cir=1,SUMIF(배당!$53:$53,현금흐름!AB$14,배당!$78:$78)*-1,0)</f>
        <v>0</v>
      </c>
      <c r="AC42" s="73">
        <f>IF(Cir=1,SUMIF(배당!$53:$53,현금흐름!AC$14,배당!$78:$78)*-1,0)</f>
        <v>0</v>
      </c>
      <c r="AD42" s="73">
        <f>IF(Cir=1,SUMIF(배당!$53:$53,현금흐름!AD$14,배당!$78:$78)*-1,0)</f>
        <v>0</v>
      </c>
      <c r="AE42" s="73">
        <f>IF(Cir=1,SUMIF(배당!$53:$53,현금흐름!AE$14,배당!$78:$78)*-1,0)</f>
        <v>0</v>
      </c>
      <c r="AF42" s="73">
        <f ca="1">IF(Cir=1,SUMIF(배당!$53:$53,현금흐름!AF$14,배당!$78:$78)*-1,0)</f>
        <v>0</v>
      </c>
      <c r="AG42" s="73">
        <f>IF(Cir=1,SUMIF(배당!$53:$53,현금흐름!AG$14,배당!$78:$78)*-1,0)</f>
        <v>0</v>
      </c>
      <c r="AH42" s="73">
        <f>IF(Cir=1,SUMIF(배당!$53:$53,현금흐름!AH$14,배당!$78:$78)*-1,0)</f>
        <v>0</v>
      </c>
      <c r="AI42" s="73">
        <f>IF(Cir=1,SUMIF(배당!$53:$53,현금흐름!AI$14,배당!$78:$78)*-1,0)</f>
        <v>0</v>
      </c>
      <c r="AJ42" s="73">
        <f>IF(Cir=1,SUMIF(배당!$53:$53,현금흐름!AJ$14,배당!$78:$78)*-1,0)</f>
        <v>0</v>
      </c>
      <c r="AK42" s="73">
        <f>IF(Cir=1,SUMIF(배당!$53:$53,현금흐름!AK$14,배당!$78:$78)*-1,0)</f>
        <v>0</v>
      </c>
      <c r="AL42" s="73">
        <f ca="1">IF(Cir=1,SUMIF(배당!$53:$53,현금흐름!AL$14,배당!$78:$78)*-1,0)</f>
        <v>0</v>
      </c>
      <c r="AM42" s="73">
        <f>IF(Cir=1,SUMIF(배당!$53:$53,현금흐름!AM$14,배당!$78:$78)*-1,0)</f>
        <v>0</v>
      </c>
      <c r="AN42" s="73">
        <f>IF(Cir=1,SUMIF(배당!$53:$53,현금흐름!AN$14,배당!$78:$78)*-1,0)</f>
        <v>0</v>
      </c>
      <c r="AO42" s="73">
        <f>IF(Cir=1,SUMIF(배당!$53:$53,현금흐름!AO$14,배당!$78:$78)*-1,0)</f>
        <v>0</v>
      </c>
      <c r="AP42" s="73">
        <f>IF(Cir=1,SUMIF(배당!$53:$53,현금흐름!AP$14,배당!$78:$78)*-1,0)</f>
        <v>0</v>
      </c>
      <c r="AQ42" s="73">
        <f>IF(Cir=1,SUMIF(배당!$53:$53,현금흐름!AQ$14,배당!$78:$78)*-1,0)</f>
        <v>0</v>
      </c>
      <c r="AR42" s="73">
        <f ca="1">IF(Cir=1,SUMIF(배당!$53:$53,현금흐름!AR$14,배당!$78:$78)*-1,0)</f>
        <v>0</v>
      </c>
      <c r="AS42" s="73">
        <f>IF(Cir=1,SUMIF(배당!$53:$53,현금흐름!AS$14,배당!$78:$78)*-1,0)</f>
        <v>0</v>
      </c>
      <c r="AT42" s="73">
        <f>IF(Cir=1,SUMIF(배당!$53:$53,현금흐름!AT$14,배당!$78:$78)*-1,0)</f>
        <v>0</v>
      </c>
      <c r="AU42" s="73">
        <f>IF(Cir=1,SUMIF(배당!$53:$53,현금흐름!AU$14,배당!$78:$78)*-1,0)</f>
        <v>0</v>
      </c>
      <c r="AV42" s="73">
        <f>IF(Cir=1,SUMIF(배당!$53:$53,현금흐름!AV$14,배당!$78:$78)*-1,0)</f>
        <v>0</v>
      </c>
      <c r="AW42" s="73">
        <f>IF(Cir=1,SUMIF(배당!$53:$53,현금흐름!AW$14,배당!$78:$78)*-1,0)</f>
        <v>0</v>
      </c>
      <c r="AX42" s="73">
        <f ca="1">IF(Cir=1,SUMIF(배당!$53:$53,현금흐름!AX$14,배당!$78:$78)*-1,0)</f>
        <v>0</v>
      </c>
      <c r="AY42" s="73">
        <f>IF(Cir=1,SUMIF(배당!$53:$53,현금흐름!AY$14,배당!$78:$78)*-1,0)</f>
        <v>0</v>
      </c>
      <c r="AZ42" s="73">
        <f>IF(Cir=1,SUMIF(배당!$53:$53,현금흐름!AZ$14,배당!$78:$78)*-1,0)</f>
        <v>0</v>
      </c>
      <c r="BA42" s="73">
        <f>IF(Cir=1,SUMIF(배당!$53:$53,현금흐름!BA$14,배당!$78:$78)*-1,0)</f>
        <v>0</v>
      </c>
      <c r="BB42" s="73">
        <f>IF(Cir=1,SUMIF(배당!$53:$53,현금흐름!BB$14,배당!$78:$78)*-1,0)</f>
        <v>0</v>
      </c>
      <c r="BC42" s="73">
        <f>IF(Cir=1,SUMIF(배당!$53:$53,현금흐름!BC$14,배당!$78:$78)*-1,0)</f>
        <v>0</v>
      </c>
      <c r="BD42" s="73">
        <f ca="1">IF(Cir=1,SUMIF(배당!$53:$53,현금흐름!BD$14,배당!$78:$78)*-1,0)</f>
        <v>0</v>
      </c>
      <c r="BE42" s="73">
        <f>IF(Cir=1,SUMIF(배당!$53:$53,현금흐름!BE$14,배당!$78:$78)*-1,0)</f>
        <v>0</v>
      </c>
      <c r="BF42" s="73">
        <f>IF(Cir=1,SUMIF(배당!$53:$53,현금흐름!BF$14,배당!$78:$78)*-1,0)</f>
        <v>0</v>
      </c>
      <c r="BG42" s="73">
        <f>IF(Cir=1,SUMIF(배당!$53:$53,현금흐름!BG$14,배당!$78:$78)*-1,0)</f>
        <v>0</v>
      </c>
      <c r="BH42" s="73">
        <f>IF(Cir=1,SUMIF(배당!$53:$53,현금흐름!BH$14,배당!$78:$78)*-1,0)</f>
        <v>0</v>
      </c>
      <c r="BI42" s="73">
        <f>IF(Cir=1,SUMIF(배당!$53:$53,현금흐름!BI$14,배당!$78:$78)*-1,0)</f>
        <v>0</v>
      </c>
      <c r="BJ42" s="73">
        <f ca="1">IF(Cir=1,SUMIF(배당!$53:$53,현금흐름!BJ$14,배당!$78:$78)*-1,0)</f>
        <v>0</v>
      </c>
      <c r="BK42" s="73">
        <f>IF(Cir=1,SUMIF(배당!$53:$53,현금흐름!BK$14,배당!$78:$78)*-1,0)</f>
        <v>0</v>
      </c>
      <c r="BL42" s="73">
        <f>IF(Cir=1,SUMIF(배당!$53:$53,현금흐름!BL$14,배당!$78:$78)*-1,0)</f>
        <v>0</v>
      </c>
      <c r="BM42" s="73">
        <f>IF(Cir=1,SUMIF(배당!$53:$53,현금흐름!BM$14,배당!$78:$78)*-1,0)</f>
        <v>0</v>
      </c>
      <c r="BN42" s="73">
        <f>IF(Cir=1,SUMIF(배당!$53:$53,현금흐름!BN$14,배당!$78:$78)*-1,0)</f>
        <v>0</v>
      </c>
      <c r="BO42" s="73">
        <f>IF(Cir=1,SUMIF(배당!$53:$53,현금흐름!BO$14,배당!$78:$78)*-1,0)</f>
        <v>0</v>
      </c>
      <c r="BP42" s="73">
        <f ca="1">IF(Cir=1,SUMIF(배당!$53:$53,현금흐름!BP$14,배당!$78:$78)*-1,0)</f>
        <v>-46499.999999999985</v>
      </c>
      <c r="BQ42" s="73">
        <f>IF(Cir=1,SUMIF(배당!$53:$53,현금흐름!BQ$14,배당!$78:$78)*-1,0)</f>
        <v>0</v>
      </c>
      <c r="BR42" s="73">
        <f>IF(Cir=1,SUMIF(배당!$53:$53,현금흐름!BR$14,배당!$78:$78)*-1,0)</f>
        <v>0</v>
      </c>
      <c r="BS42" s="73">
        <f>IF(Cir=1,SUMIF(배당!$53:$53,현금흐름!BS$14,배당!$78:$78)*-1,0)</f>
        <v>0</v>
      </c>
      <c r="BT42" s="73">
        <f>IF(Cir=1,SUMIF(배당!$53:$53,현금흐름!BT$14,배당!$78:$78)*-1,0)</f>
        <v>0</v>
      </c>
      <c r="BU42" s="73">
        <f>IF(Cir=1,SUMIF(배당!$53:$53,현금흐름!BU$14,배당!$78:$78)*-1,0)</f>
        <v>0</v>
      </c>
      <c r="BV42" s="73">
        <f ca="1">IF(Cir=1,SUMIF(배당!$53:$53,현금흐름!BV$14,배당!$78:$78)*-1,0)</f>
        <v>0</v>
      </c>
      <c r="BW42" s="73">
        <f>IF(Cir=1,SUMIF(배당!$53:$53,현금흐름!BW$14,배당!$78:$78)*-1,0)</f>
        <v>0</v>
      </c>
      <c r="BX42" s="73">
        <f>IF(Cir=1,SUMIF(배당!$53:$53,현금흐름!BX$14,배당!$78:$78)*-1,0)</f>
        <v>0</v>
      </c>
      <c r="BY42" s="73">
        <f>IF(Cir=1,SUMIF(배당!$53:$53,현금흐름!BY$14,배당!$78:$78)*-1,0)</f>
        <v>0</v>
      </c>
      <c r="BZ42" s="73">
        <f>IF(Cir=1,SUMIF(배당!$53:$53,현금흐름!BZ$14,배당!$78:$78)*-1,0)</f>
        <v>0</v>
      </c>
      <c r="CA42" s="73">
        <f>IF(Cir=1,SUMIF(배당!$53:$53,현금흐름!CA$14,배당!$78:$78)*-1,0)</f>
        <v>0</v>
      </c>
      <c r="CB42" s="73">
        <f ca="1">IF(Cir=1,SUMIF(배당!$53:$53,현금흐름!CB$14,배당!$78:$78)*-1,0)</f>
        <v>0</v>
      </c>
      <c r="CC42" s="73">
        <f>IF(Cir=1,SUMIF(배당!$53:$53,현금흐름!CC$14,배당!$78:$78)*-1,0)</f>
        <v>0</v>
      </c>
      <c r="CD42" s="73">
        <f>IF(Cir=1,SUMIF(배당!$53:$53,현금흐름!CD$14,배당!$78:$78)*-1,0)</f>
        <v>0</v>
      </c>
      <c r="CE42" s="73">
        <f>IF(Cir=1,SUMIF(배당!$53:$53,현금흐름!CE$14,배당!$78:$78)*-1,0)</f>
        <v>0</v>
      </c>
      <c r="CF42" s="73">
        <f>IF(Cir=1,SUMIF(배당!$53:$53,현금흐름!CF$14,배당!$78:$78)*-1,0)</f>
        <v>0</v>
      </c>
      <c r="CG42" s="73">
        <f>IF(Cir=1,SUMIF(배당!$53:$53,현금흐름!CG$14,배당!$78:$78)*-1,0)</f>
        <v>0</v>
      </c>
      <c r="CH42" s="73">
        <f ca="1">IF(Cir=1,SUMIF(배당!$53:$53,현금흐름!CH$14,배당!$78:$78)*-1,0)</f>
        <v>0</v>
      </c>
      <c r="CI42" s="73">
        <f>IF(Cir=1,SUMIF(배당!$53:$53,현금흐름!CI$14,배당!$78:$78)*-1,0)</f>
        <v>0</v>
      </c>
      <c r="CJ42" s="73">
        <f>IF(Cir=1,SUMIF(배당!$53:$53,현금흐름!CJ$14,배당!$78:$78)*-1,0)</f>
        <v>0</v>
      </c>
      <c r="CK42" s="73">
        <f>IF(Cir=1,SUMIF(배당!$53:$53,현금흐름!CK$14,배당!$78:$78)*-1,0)</f>
        <v>0</v>
      </c>
      <c r="CL42" s="73">
        <f>IF(Cir=1,SUMIF(배당!$53:$53,현금흐름!CL$14,배당!$78:$78)*-1,0)</f>
        <v>0</v>
      </c>
      <c r="CM42" s="73">
        <f>IF(Cir=1,SUMIF(배당!$53:$53,현금흐름!CM$14,배당!$78:$78)*-1,0)</f>
        <v>0</v>
      </c>
      <c r="CN42" s="73">
        <f ca="1">IF(Cir=1,SUMIF(배당!$53:$53,현금흐름!CN$14,배당!$78:$78)*-1,0)</f>
        <v>0</v>
      </c>
      <c r="CO42" s="73">
        <f>IF(Cir=1,SUMIF(배당!$53:$53,현금흐름!CO$14,배당!$78:$78)*-1,0)</f>
        <v>0</v>
      </c>
      <c r="CP42" s="73">
        <f>IF(Cir=1,SUMIF(배당!$53:$53,현금흐름!CP$14,배당!$78:$78)*-1,0)</f>
        <v>0</v>
      </c>
      <c r="CQ42" s="73">
        <f>IF(Cir=1,SUMIF(배당!$53:$53,현금흐름!CQ$14,배당!$78:$78)*-1,0)</f>
        <v>0</v>
      </c>
      <c r="CR42" s="73">
        <f>IF(Cir=1,SUMIF(배당!$53:$53,현금흐름!CR$14,배당!$78:$78)*-1,0)</f>
        <v>0</v>
      </c>
      <c r="CS42" s="73">
        <f>IF(Cir=1,SUMIF(배당!$53:$53,현금흐름!CS$14,배당!$78:$78)*-1,0)</f>
        <v>0</v>
      </c>
      <c r="CT42" s="73">
        <f>IF(Cir=1,SUMIF(배당!$53:$53,현금흐름!CT$14,배당!$78:$78)*-1,0)</f>
        <v>0</v>
      </c>
      <c r="CU42" s="73">
        <f>IF(Cir=1,SUMIF(배당!$53:$53,현금흐름!CU$14,배당!$78:$78)*-1,0)</f>
        <v>0</v>
      </c>
      <c r="CV42" s="73">
        <f>IF(Cir=1,SUMIF(배당!$53:$53,현금흐름!CV$14,배당!$78:$78)*-1,0)</f>
        <v>0</v>
      </c>
      <c r="CW42" s="73">
        <f>IF(Cir=1,SUMIF(배당!$53:$53,현금흐름!CW$14,배당!$78:$78)*-1,0)</f>
        <v>0</v>
      </c>
      <c r="CX42" s="73">
        <f>IF(Cir=1,SUMIF(배당!$53:$53,현금흐름!CX$14,배당!$78:$78)*-1,0)</f>
        <v>0</v>
      </c>
      <c r="CY42" s="73">
        <f>IF(Cir=1,SUMIF(배당!$53:$53,현금흐름!CY$14,배당!$78:$78)*-1,0)</f>
        <v>0</v>
      </c>
      <c r="CZ42" s="73">
        <f>IF(Cir=1,SUMIF(배당!$53:$53,현금흐름!CZ$14,배당!$78:$78)*-1,0)</f>
        <v>0</v>
      </c>
      <c r="DA42" s="73">
        <f>IF(Cir=1,SUMIF(배당!$53:$53,현금흐름!DA$14,배당!$78:$78)*-1,0)</f>
        <v>0</v>
      </c>
      <c r="DB42" s="73">
        <f>IF(Cir=1,SUMIF(배당!$53:$53,현금흐름!DB$14,배당!$78:$78)*-1,0)</f>
        <v>0</v>
      </c>
    </row>
    <row r="43" spans="3:106">
      <c r="C43" s="13" t="s">
        <v>327</v>
      </c>
    </row>
    <row r="44" spans="3:106">
      <c r="D44" s="91" t="str">
        <f>'A&amp;R'!C52</f>
        <v>Tr.A 담보대출</v>
      </c>
      <c r="E44" s="76"/>
      <c r="F44" s="76">
        <f ca="1">SUM(H44:DB44)</f>
        <v>-145594.83489206826</v>
      </c>
      <c r="G44" s="76"/>
      <c r="H44" s="76">
        <f ca="1">(H$14='A&amp;R'!$G52)*'A&amp;R'!$E52*-1</f>
        <v>0</v>
      </c>
      <c r="I44" s="76">
        <f ca="1">(I$14='A&amp;R'!$G52)*'A&amp;R'!$E52*-1</f>
        <v>0</v>
      </c>
      <c r="J44" s="76">
        <f ca="1">(J$14='A&amp;R'!$G52)*'A&amp;R'!$E52*-1</f>
        <v>0</v>
      </c>
      <c r="K44" s="76">
        <f ca="1">(K$14='A&amp;R'!$G52)*'A&amp;R'!$E52*-1</f>
        <v>0</v>
      </c>
      <c r="L44" s="76">
        <f ca="1">(L$14='A&amp;R'!$G52)*'A&amp;R'!$E52*-1</f>
        <v>0</v>
      </c>
      <c r="M44" s="76">
        <f ca="1">(M$14='A&amp;R'!$G52)*'A&amp;R'!$E52*-1</f>
        <v>0</v>
      </c>
      <c r="N44" s="76">
        <f ca="1">(N$14='A&amp;R'!$G52)*'A&amp;R'!$E52*-1</f>
        <v>0</v>
      </c>
      <c r="O44" s="76">
        <f ca="1">(O$14='A&amp;R'!$G52)*'A&amp;R'!$E52*-1</f>
        <v>0</v>
      </c>
      <c r="P44" s="76">
        <f ca="1">(P$14='A&amp;R'!$G52)*'A&amp;R'!$E52*-1</f>
        <v>0</v>
      </c>
      <c r="Q44" s="76">
        <f ca="1">(Q$14='A&amp;R'!$G52)*'A&amp;R'!$E52*-1</f>
        <v>0</v>
      </c>
      <c r="R44" s="76">
        <f ca="1">(R$14='A&amp;R'!$G52)*'A&amp;R'!$E52*-1</f>
        <v>0</v>
      </c>
      <c r="S44" s="76">
        <f ca="1">(S$14='A&amp;R'!$G52)*'A&amp;R'!$E52*-1</f>
        <v>0</v>
      </c>
      <c r="T44" s="76">
        <f ca="1">(T$14='A&amp;R'!$G52)*'A&amp;R'!$E52*-1</f>
        <v>0</v>
      </c>
      <c r="U44" s="76">
        <f ca="1">(U$14='A&amp;R'!$G52)*'A&amp;R'!$E52*-1</f>
        <v>0</v>
      </c>
      <c r="V44" s="76">
        <f ca="1">(V$14='A&amp;R'!$G52)*'A&amp;R'!$E52*-1</f>
        <v>0</v>
      </c>
      <c r="W44" s="76">
        <f ca="1">(W$14='A&amp;R'!$G52)*'A&amp;R'!$E52*-1</f>
        <v>0</v>
      </c>
      <c r="X44" s="76">
        <f ca="1">(X$14='A&amp;R'!$G52)*'A&amp;R'!$E52*-1</f>
        <v>0</v>
      </c>
      <c r="Y44" s="76">
        <f ca="1">(Y$14='A&amp;R'!$G52)*'A&amp;R'!$E52*-1</f>
        <v>0</v>
      </c>
      <c r="Z44" s="76">
        <f ca="1">(Z$14='A&amp;R'!$G52)*'A&amp;R'!$E52*-1</f>
        <v>0</v>
      </c>
      <c r="AA44" s="76">
        <f ca="1">(AA$14='A&amp;R'!$G52)*'A&amp;R'!$E52*-1</f>
        <v>0</v>
      </c>
      <c r="AB44" s="76">
        <f ca="1">(AB$14='A&amp;R'!$G52)*'A&amp;R'!$E52*-1</f>
        <v>0</v>
      </c>
      <c r="AC44" s="76">
        <f ca="1">(AC$14='A&amp;R'!$G52)*'A&amp;R'!$E52*-1</f>
        <v>0</v>
      </c>
      <c r="AD44" s="76">
        <f ca="1">(AD$14='A&amp;R'!$G52)*'A&amp;R'!$E52*-1</f>
        <v>0</v>
      </c>
      <c r="AE44" s="76">
        <f ca="1">(AE$14='A&amp;R'!$G52)*'A&amp;R'!$E52*-1</f>
        <v>0</v>
      </c>
      <c r="AF44" s="76">
        <f ca="1">(AF$14='A&amp;R'!$G52)*'A&amp;R'!$E52*-1</f>
        <v>0</v>
      </c>
      <c r="AG44" s="76">
        <f ca="1">(AG$14='A&amp;R'!$G52)*'A&amp;R'!$E52*-1</f>
        <v>0</v>
      </c>
      <c r="AH44" s="76">
        <f ca="1">(AH$14='A&amp;R'!$G52)*'A&amp;R'!$E52*-1</f>
        <v>0</v>
      </c>
      <c r="AI44" s="76">
        <f ca="1">(AI$14='A&amp;R'!$G52)*'A&amp;R'!$E52*-1</f>
        <v>0</v>
      </c>
      <c r="AJ44" s="76">
        <f ca="1">(AJ$14='A&amp;R'!$G52)*'A&amp;R'!$E52*-1</f>
        <v>0</v>
      </c>
      <c r="AK44" s="76">
        <f ca="1">(AK$14='A&amp;R'!$G52)*'A&amp;R'!$E52*-1</f>
        <v>0</v>
      </c>
      <c r="AL44" s="76">
        <f ca="1">(AL$14='A&amp;R'!$G52)*'A&amp;R'!$E52*-1</f>
        <v>0</v>
      </c>
      <c r="AM44" s="76">
        <f ca="1">(AM$14='A&amp;R'!$G52)*'A&amp;R'!$E52*-1</f>
        <v>0</v>
      </c>
      <c r="AN44" s="76">
        <f ca="1">(AN$14='A&amp;R'!$G52)*'A&amp;R'!$E52*-1</f>
        <v>0</v>
      </c>
      <c r="AO44" s="76">
        <f ca="1">(AO$14='A&amp;R'!$G52)*'A&amp;R'!$E52*-1</f>
        <v>0</v>
      </c>
      <c r="AP44" s="76">
        <f ca="1">(AP$14='A&amp;R'!$G52)*'A&amp;R'!$E52*-1</f>
        <v>0</v>
      </c>
      <c r="AQ44" s="76">
        <f ca="1">(AQ$14='A&amp;R'!$G52)*'A&amp;R'!$E52*-1</f>
        <v>0</v>
      </c>
      <c r="AR44" s="76">
        <f ca="1">(AR$14='A&amp;R'!$G52)*'A&amp;R'!$E52*-1</f>
        <v>-145594.83489206826</v>
      </c>
      <c r="AS44" s="76">
        <f ca="1">(AS$14='A&amp;R'!$G52)*'A&amp;R'!$E52*-1</f>
        <v>0</v>
      </c>
      <c r="AT44" s="76">
        <f ca="1">(AT$14='A&amp;R'!$G52)*'A&amp;R'!$E52*-1</f>
        <v>0</v>
      </c>
      <c r="AU44" s="76">
        <f ca="1">(AU$14='A&amp;R'!$G52)*'A&amp;R'!$E52*-1</f>
        <v>0</v>
      </c>
      <c r="AV44" s="76">
        <f ca="1">(AV$14='A&amp;R'!$G52)*'A&amp;R'!$E52*-1</f>
        <v>0</v>
      </c>
      <c r="AW44" s="76">
        <f ca="1">(AW$14='A&amp;R'!$G52)*'A&amp;R'!$E52*-1</f>
        <v>0</v>
      </c>
      <c r="AX44" s="76">
        <f ca="1">(AX$14='A&amp;R'!$G52)*'A&amp;R'!$E52*-1</f>
        <v>0</v>
      </c>
      <c r="AY44" s="76">
        <f ca="1">(AY$14='A&amp;R'!$G52)*'A&amp;R'!$E52*-1</f>
        <v>0</v>
      </c>
      <c r="AZ44" s="76">
        <f ca="1">(AZ$14='A&amp;R'!$G52)*'A&amp;R'!$E52*-1</f>
        <v>0</v>
      </c>
      <c r="BA44" s="76">
        <f ca="1">(BA$14='A&amp;R'!$G52)*'A&amp;R'!$E52*-1</f>
        <v>0</v>
      </c>
      <c r="BB44" s="76">
        <f ca="1">(BB$14='A&amp;R'!$G52)*'A&amp;R'!$E52*-1</f>
        <v>0</v>
      </c>
      <c r="BC44" s="76">
        <f ca="1">(BC$14='A&amp;R'!$G52)*'A&amp;R'!$E52*-1</f>
        <v>0</v>
      </c>
      <c r="BD44" s="76">
        <f ca="1">(BD$14='A&amp;R'!$G52)*'A&amp;R'!$E52*-1</f>
        <v>0</v>
      </c>
      <c r="BE44" s="76">
        <f ca="1">(BE$14='A&amp;R'!$G52)*'A&amp;R'!$E52*-1</f>
        <v>0</v>
      </c>
      <c r="BF44" s="76">
        <f ca="1">(BF$14='A&amp;R'!$G52)*'A&amp;R'!$E52*-1</f>
        <v>0</v>
      </c>
      <c r="BG44" s="76">
        <f ca="1">(BG$14='A&amp;R'!$G52)*'A&amp;R'!$E52*-1</f>
        <v>0</v>
      </c>
      <c r="BH44" s="76">
        <f ca="1">(BH$14='A&amp;R'!$G52)*'A&amp;R'!$E52*-1</f>
        <v>0</v>
      </c>
      <c r="BI44" s="76">
        <f ca="1">(BI$14='A&amp;R'!$G52)*'A&amp;R'!$E52*-1</f>
        <v>0</v>
      </c>
      <c r="BJ44" s="76">
        <f ca="1">(BJ$14='A&amp;R'!$G52)*'A&amp;R'!$E52*-1</f>
        <v>0</v>
      </c>
      <c r="BK44" s="76">
        <f ca="1">(BK$14='A&amp;R'!$G52)*'A&amp;R'!$E52*-1</f>
        <v>0</v>
      </c>
      <c r="BL44" s="76">
        <f ca="1">(BL$14='A&amp;R'!$G52)*'A&amp;R'!$E52*-1</f>
        <v>0</v>
      </c>
      <c r="BM44" s="76">
        <f ca="1">(BM$14='A&amp;R'!$G52)*'A&amp;R'!$E52*-1</f>
        <v>0</v>
      </c>
      <c r="BN44" s="76">
        <f ca="1">(BN$14='A&amp;R'!$G52)*'A&amp;R'!$E52*-1</f>
        <v>0</v>
      </c>
      <c r="BO44" s="76">
        <f ca="1">(BO$14='A&amp;R'!$G52)*'A&amp;R'!$E52*-1</f>
        <v>0</v>
      </c>
      <c r="BP44" s="76">
        <f ca="1">(BP$14='A&amp;R'!$G52)*'A&amp;R'!$E52*-1</f>
        <v>0</v>
      </c>
      <c r="BQ44" s="76">
        <f ca="1">(BQ$14='A&amp;R'!$G52)*'A&amp;R'!$E52*-1</f>
        <v>0</v>
      </c>
      <c r="BR44" s="76">
        <f ca="1">(BR$14='A&amp;R'!$G52)*'A&amp;R'!$E52*-1</f>
        <v>0</v>
      </c>
      <c r="BS44" s="76">
        <f ca="1">(BS$14='A&amp;R'!$G52)*'A&amp;R'!$E52*-1</f>
        <v>0</v>
      </c>
      <c r="BT44" s="76">
        <f ca="1">(BT$14='A&amp;R'!$G52)*'A&amp;R'!$E52*-1</f>
        <v>0</v>
      </c>
      <c r="BU44" s="76">
        <f ca="1">(BU$14='A&amp;R'!$G52)*'A&amp;R'!$E52*-1</f>
        <v>0</v>
      </c>
      <c r="BV44" s="76">
        <f ca="1">(BV$14='A&amp;R'!$G52)*'A&amp;R'!$E52*-1</f>
        <v>0</v>
      </c>
      <c r="BW44" s="76">
        <f ca="1">(BW$14='A&amp;R'!$G52)*'A&amp;R'!$E52*-1</f>
        <v>0</v>
      </c>
      <c r="BX44" s="76">
        <f ca="1">(BX$14='A&amp;R'!$G52)*'A&amp;R'!$E52*-1</f>
        <v>0</v>
      </c>
      <c r="BY44" s="76">
        <f ca="1">(BY$14='A&amp;R'!$G52)*'A&amp;R'!$E52*-1</f>
        <v>0</v>
      </c>
      <c r="BZ44" s="76">
        <f ca="1">(BZ$14='A&amp;R'!$G52)*'A&amp;R'!$E52*-1</f>
        <v>0</v>
      </c>
      <c r="CA44" s="76">
        <f ca="1">(CA$14='A&amp;R'!$G52)*'A&amp;R'!$E52*-1</f>
        <v>0</v>
      </c>
      <c r="CB44" s="76">
        <f ca="1">(CB$14='A&amp;R'!$G52)*'A&amp;R'!$E52*-1</f>
        <v>0</v>
      </c>
      <c r="CC44" s="76">
        <f ca="1">(CC$14='A&amp;R'!$G52)*'A&amp;R'!$E52*-1</f>
        <v>0</v>
      </c>
      <c r="CD44" s="76">
        <f ca="1">(CD$14='A&amp;R'!$G52)*'A&amp;R'!$E52*-1</f>
        <v>0</v>
      </c>
      <c r="CE44" s="76">
        <f ca="1">(CE$14='A&amp;R'!$G52)*'A&amp;R'!$E52*-1</f>
        <v>0</v>
      </c>
      <c r="CF44" s="76">
        <f ca="1">(CF$14='A&amp;R'!$G52)*'A&amp;R'!$E52*-1</f>
        <v>0</v>
      </c>
      <c r="CG44" s="76">
        <f ca="1">(CG$14='A&amp;R'!$G52)*'A&amp;R'!$E52*-1</f>
        <v>0</v>
      </c>
      <c r="CH44" s="76">
        <f ca="1">(CH$14='A&amp;R'!$G52)*'A&amp;R'!$E52*-1</f>
        <v>0</v>
      </c>
      <c r="CI44" s="76">
        <f ca="1">(CI$14='A&amp;R'!$G52)*'A&amp;R'!$E52*-1</f>
        <v>0</v>
      </c>
      <c r="CJ44" s="76">
        <f ca="1">(CJ$14='A&amp;R'!$G52)*'A&amp;R'!$E52*-1</f>
        <v>0</v>
      </c>
      <c r="CK44" s="76">
        <f ca="1">(CK$14='A&amp;R'!$G52)*'A&amp;R'!$E52*-1</f>
        <v>0</v>
      </c>
      <c r="CL44" s="76">
        <f ca="1">(CL$14='A&amp;R'!$G52)*'A&amp;R'!$E52*-1</f>
        <v>0</v>
      </c>
      <c r="CM44" s="76">
        <f ca="1">(CM$14='A&amp;R'!$G52)*'A&amp;R'!$E52*-1</f>
        <v>0</v>
      </c>
      <c r="CN44" s="76">
        <f ca="1">(CN$14='A&amp;R'!$G52)*'A&amp;R'!$E52*-1</f>
        <v>0</v>
      </c>
      <c r="CO44" s="76">
        <f ca="1">(CO$14='A&amp;R'!$G52)*'A&amp;R'!$E52*-1</f>
        <v>0</v>
      </c>
      <c r="CP44" s="76">
        <f ca="1">(CP$14='A&amp;R'!$G52)*'A&amp;R'!$E52*-1</f>
        <v>0</v>
      </c>
      <c r="CQ44" s="76">
        <f ca="1">(CQ$14='A&amp;R'!$G52)*'A&amp;R'!$E52*-1</f>
        <v>0</v>
      </c>
      <c r="CR44" s="76">
        <f ca="1">(CR$14='A&amp;R'!$G52)*'A&amp;R'!$E52*-1</f>
        <v>0</v>
      </c>
      <c r="CS44" s="76">
        <f ca="1">(CS$14='A&amp;R'!$G52)*'A&amp;R'!$E52*-1</f>
        <v>0</v>
      </c>
      <c r="CT44" s="76">
        <f ca="1">(CT$14='A&amp;R'!$G52)*'A&amp;R'!$E52*-1</f>
        <v>0</v>
      </c>
      <c r="CU44" s="76">
        <f ca="1">(CU$14='A&amp;R'!$G52)*'A&amp;R'!$E52*-1</f>
        <v>0</v>
      </c>
      <c r="CV44" s="76">
        <f ca="1">(CV$14='A&amp;R'!$G52)*'A&amp;R'!$E52*-1</f>
        <v>0</v>
      </c>
      <c r="CW44" s="76">
        <f ca="1">(CW$14='A&amp;R'!$G52)*'A&amp;R'!$E52*-1</f>
        <v>0</v>
      </c>
      <c r="CX44" s="76">
        <f ca="1">(CX$14='A&amp;R'!$G52)*'A&amp;R'!$E52*-1</f>
        <v>0</v>
      </c>
      <c r="CY44" s="76">
        <f ca="1">(CY$14='A&amp;R'!$G52)*'A&amp;R'!$E52*-1</f>
        <v>0</v>
      </c>
      <c r="CZ44" s="76">
        <f ca="1">(CZ$14='A&amp;R'!$G52)*'A&amp;R'!$E52*-1</f>
        <v>0</v>
      </c>
      <c r="DA44" s="76">
        <f ca="1">(DA$14='A&amp;R'!$G52)*'A&amp;R'!$E52*-1</f>
        <v>0</v>
      </c>
      <c r="DB44" s="76">
        <f ca="1">(DB$14='A&amp;R'!$G52)*'A&amp;R'!$E52*-1</f>
        <v>0</v>
      </c>
    </row>
    <row r="45" spans="3:106">
      <c r="D45" s="92" t="str">
        <f>'A&amp;R'!C53</f>
        <v>Tr.B 담보대출</v>
      </c>
      <c r="F45" s="13">
        <f>SUM(H45:DB45)</f>
        <v>-10000</v>
      </c>
      <c r="H45" s="13">
        <f>(H$14='A&amp;R'!$G53)*'A&amp;R'!$E53*-1</f>
        <v>0</v>
      </c>
      <c r="I45" s="13">
        <f>(I$14='A&amp;R'!$G53)*'A&amp;R'!$E53*-1</f>
        <v>0</v>
      </c>
      <c r="J45" s="13">
        <f>(J$14='A&amp;R'!$G53)*'A&amp;R'!$E53*-1</f>
        <v>0</v>
      </c>
      <c r="K45" s="13">
        <f>(K$14='A&amp;R'!$G53)*'A&amp;R'!$E53*-1</f>
        <v>0</v>
      </c>
      <c r="L45" s="13">
        <f>(L$14='A&amp;R'!$G53)*'A&amp;R'!$E53*-1</f>
        <v>0</v>
      </c>
      <c r="M45" s="13">
        <f>(M$14='A&amp;R'!$G53)*'A&amp;R'!$E53*-1</f>
        <v>0</v>
      </c>
      <c r="N45" s="13">
        <f>(N$14='A&amp;R'!$G53)*'A&amp;R'!$E53*-1</f>
        <v>0</v>
      </c>
      <c r="O45" s="13">
        <f>(O$14='A&amp;R'!$G53)*'A&amp;R'!$E53*-1</f>
        <v>0</v>
      </c>
      <c r="P45" s="13">
        <f>(P$14='A&amp;R'!$G53)*'A&amp;R'!$E53*-1</f>
        <v>0</v>
      </c>
      <c r="Q45" s="13">
        <f>(Q$14='A&amp;R'!$G53)*'A&amp;R'!$E53*-1</f>
        <v>0</v>
      </c>
      <c r="R45" s="13">
        <f>(R$14='A&amp;R'!$G53)*'A&amp;R'!$E53*-1</f>
        <v>0</v>
      </c>
      <c r="S45" s="13">
        <f>(S$14='A&amp;R'!$G53)*'A&amp;R'!$E53*-1</f>
        <v>0</v>
      </c>
      <c r="T45" s="13">
        <f>(T$14='A&amp;R'!$G53)*'A&amp;R'!$E53*-1</f>
        <v>0</v>
      </c>
      <c r="U45" s="13">
        <f>(U$14='A&amp;R'!$G53)*'A&amp;R'!$E53*-1</f>
        <v>0</v>
      </c>
      <c r="V45" s="13">
        <f>(V$14='A&amp;R'!$G53)*'A&amp;R'!$E53*-1</f>
        <v>0</v>
      </c>
      <c r="W45" s="13">
        <f>(W$14='A&amp;R'!$G53)*'A&amp;R'!$E53*-1</f>
        <v>0</v>
      </c>
      <c r="X45" s="13">
        <f>(X$14='A&amp;R'!$G53)*'A&amp;R'!$E53*-1</f>
        <v>0</v>
      </c>
      <c r="Y45" s="13">
        <f>(Y$14='A&amp;R'!$G53)*'A&amp;R'!$E53*-1</f>
        <v>0</v>
      </c>
      <c r="Z45" s="13">
        <f>(Z$14='A&amp;R'!$G53)*'A&amp;R'!$E53*-1</f>
        <v>0</v>
      </c>
      <c r="AA45" s="13">
        <f>(AA$14='A&amp;R'!$G53)*'A&amp;R'!$E53*-1</f>
        <v>0</v>
      </c>
      <c r="AB45" s="13">
        <f>(AB$14='A&amp;R'!$G53)*'A&amp;R'!$E53*-1</f>
        <v>0</v>
      </c>
      <c r="AC45" s="13">
        <f>(AC$14='A&amp;R'!$G53)*'A&amp;R'!$E53*-1</f>
        <v>0</v>
      </c>
      <c r="AD45" s="13">
        <f>(AD$14='A&amp;R'!$G53)*'A&amp;R'!$E53*-1</f>
        <v>0</v>
      </c>
      <c r="AE45" s="13">
        <f>(AE$14='A&amp;R'!$G53)*'A&amp;R'!$E53*-1</f>
        <v>0</v>
      </c>
      <c r="AF45" s="13">
        <f>(AF$14='A&amp;R'!$G53)*'A&amp;R'!$E53*-1</f>
        <v>-10000</v>
      </c>
      <c r="AG45" s="13">
        <f>(AG$14='A&amp;R'!$G53)*'A&amp;R'!$E53*-1</f>
        <v>0</v>
      </c>
      <c r="AH45" s="13">
        <f>(AH$14='A&amp;R'!$G53)*'A&amp;R'!$E53*-1</f>
        <v>0</v>
      </c>
      <c r="AI45" s="13">
        <f>(AI$14='A&amp;R'!$G53)*'A&amp;R'!$E53*-1</f>
        <v>0</v>
      </c>
      <c r="AJ45" s="13">
        <f>(AJ$14='A&amp;R'!$G53)*'A&amp;R'!$E53*-1</f>
        <v>0</v>
      </c>
      <c r="AK45" s="13">
        <f>(AK$14='A&amp;R'!$G53)*'A&amp;R'!$E53*-1</f>
        <v>0</v>
      </c>
      <c r="AL45" s="13">
        <f>(AL$14='A&amp;R'!$G53)*'A&amp;R'!$E53*-1</f>
        <v>0</v>
      </c>
      <c r="AM45" s="13">
        <f>(AM$14='A&amp;R'!$G53)*'A&amp;R'!$E53*-1</f>
        <v>0</v>
      </c>
      <c r="AN45" s="13">
        <f>(AN$14='A&amp;R'!$G53)*'A&amp;R'!$E53*-1</f>
        <v>0</v>
      </c>
      <c r="AO45" s="13">
        <f>(AO$14='A&amp;R'!$G53)*'A&amp;R'!$E53*-1</f>
        <v>0</v>
      </c>
      <c r="AP45" s="13">
        <f>(AP$14='A&amp;R'!$G53)*'A&amp;R'!$E53*-1</f>
        <v>0</v>
      </c>
      <c r="AQ45" s="13">
        <f>(AQ$14='A&amp;R'!$G53)*'A&amp;R'!$E53*-1</f>
        <v>0</v>
      </c>
      <c r="AR45" s="13">
        <f>(AR$14='A&amp;R'!$G53)*'A&amp;R'!$E53*-1</f>
        <v>0</v>
      </c>
      <c r="AS45" s="13">
        <f>(AS$14='A&amp;R'!$G53)*'A&amp;R'!$E53*-1</f>
        <v>0</v>
      </c>
      <c r="AT45" s="13">
        <f>(AT$14='A&amp;R'!$G53)*'A&amp;R'!$E53*-1</f>
        <v>0</v>
      </c>
      <c r="AU45" s="13">
        <f>(AU$14='A&amp;R'!$G53)*'A&amp;R'!$E53*-1</f>
        <v>0</v>
      </c>
      <c r="AV45" s="13">
        <f>(AV$14='A&amp;R'!$G53)*'A&amp;R'!$E53*-1</f>
        <v>0</v>
      </c>
      <c r="AW45" s="13">
        <f>(AW$14='A&amp;R'!$G53)*'A&amp;R'!$E53*-1</f>
        <v>0</v>
      </c>
      <c r="AX45" s="13">
        <f>(AX$14='A&amp;R'!$G53)*'A&amp;R'!$E53*-1</f>
        <v>0</v>
      </c>
      <c r="AY45" s="13">
        <f>(AY$14='A&amp;R'!$G53)*'A&amp;R'!$E53*-1</f>
        <v>0</v>
      </c>
      <c r="AZ45" s="13">
        <f>(AZ$14='A&amp;R'!$G53)*'A&amp;R'!$E53*-1</f>
        <v>0</v>
      </c>
      <c r="BA45" s="13">
        <f>(BA$14='A&amp;R'!$G53)*'A&amp;R'!$E53*-1</f>
        <v>0</v>
      </c>
      <c r="BB45" s="13">
        <f>(BB$14='A&amp;R'!$G53)*'A&amp;R'!$E53*-1</f>
        <v>0</v>
      </c>
      <c r="BC45" s="13">
        <f>(BC$14='A&amp;R'!$G53)*'A&amp;R'!$E53*-1</f>
        <v>0</v>
      </c>
      <c r="BD45" s="13">
        <f>(BD$14='A&amp;R'!$G53)*'A&amp;R'!$E53*-1</f>
        <v>0</v>
      </c>
      <c r="BE45" s="13">
        <f>(BE$14='A&amp;R'!$G53)*'A&amp;R'!$E53*-1</f>
        <v>0</v>
      </c>
      <c r="BF45" s="13">
        <f>(BF$14='A&amp;R'!$G53)*'A&amp;R'!$E53*-1</f>
        <v>0</v>
      </c>
      <c r="BG45" s="13">
        <f>(BG$14='A&amp;R'!$G53)*'A&amp;R'!$E53*-1</f>
        <v>0</v>
      </c>
      <c r="BH45" s="13">
        <f>(BH$14='A&amp;R'!$G53)*'A&amp;R'!$E53*-1</f>
        <v>0</v>
      </c>
      <c r="BI45" s="13">
        <f>(BI$14='A&amp;R'!$G53)*'A&amp;R'!$E53*-1</f>
        <v>0</v>
      </c>
      <c r="BJ45" s="13">
        <f>(BJ$14='A&amp;R'!$G53)*'A&amp;R'!$E53*-1</f>
        <v>0</v>
      </c>
      <c r="BK45" s="13">
        <f>(BK$14='A&amp;R'!$G53)*'A&amp;R'!$E53*-1</f>
        <v>0</v>
      </c>
      <c r="BL45" s="13">
        <f>(BL$14='A&amp;R'!$G53)*'A&amp;R'!$E53*-1</f>
        <v>0</v>
      </c>
      <c r="BM45" s="13">
        <f>(BM$14='A&amp;R'!$G53)*'A&amp;R'!$E53*-1</f>
        <v>0</v>
      </c>
      <c r="BN45" s="13">
        <f>(BN$14='A&amp;R'!$G53)*'A&amp;R'!$E53*-1</f>
        <v>0</v>
      </c>
      <c r="BO45" s="13">
        <f>(BO$14='A&amp;R'!$G53)*'A&amp;R'!$E53*-1</f>
        <v>0</v>
      </c>
      <c r="BP45" s="13">
        <f>(BP$14='A&amp;R'!$G53)*'A&amp;R'!$E53*-1</f>
        <v>0</v>
      </c>
      <c r="BQ45" s="13">
        <f>(BQ$14='A&amp;R'!$G53)*'A&amp;R'!$E53*-1</f>
        <v>0</v>
      </c>
      <c r="BR45" s="13">
        <f>(BR$14='A&amp;R'!$G53)*'A&amp;R'!$E53*-1</f>
        <v>0</v>
      </c>
      <c r="BS45" s="13">
        <f>(BS$14='A&amp;R'!$G53)*'A&amp;R'!$E53*-1</f>
        <v>0</v>
      </c>
      <c r="BT45" s="13">
        <f>(BT$14='A&amp;R'!$G53)*'A&amp;R'!$E53*-1</f>
        <v>0</v>
      </c>
      <c r="BU45" s="13">
        <f>(BU$14='A&amp;R'!$G53)*'A&amp;R'!$E53*-1</f>
        <v>0</v>
      </c>
      <c r="BV45" s="13">
        <f>(BV$14='A&amp;R'!$G53)*'A&amp;R'!$E53*-1</f>
        <v>0</v>
      </c>
      <c r="BW45" s="13">
        <f>(BW$14='A&amp;R'!$G53)*'A&amp;R'!$E53*-1</f>
        <v>0</v>
      </c>
      <c r="BX45" s="13">
        <f>(BX$14='A&amp;R'!$G53)*'A&amp;R'!$E53*-1</f>
        <v>0</v>
      </c>
      <c r="BY45" s="13">
        <f>(BY$14='A&amp;R'!$G53)*'A&amp;R'!$E53*-1</f>
        <v>0</v>
      </c>
      <c r="BZ45" s="13">
        <f>(BZ$14='A&amp;R'!$G53)*'A&amp;R'!$E53*-1</f>
        <v>0</v>
      </c>
      <c r="CA45" s="13">
        <f>(CA$14='A&amp;R'!$G53)*'A&amp;R'!$E53*-1</f>
        <v>0</v>
      </c>
      <c r="CB45" s="13">
        <f>(CB$14='A&amp;R'!$G53)*'A&amp;R'!$E53*-1</f>
        <v>0</v>
      </c>
      <c r="CC45" s="13">
        <f>(CC$14='A&amp;R'!$G53)*'A&amp;R'!$E53*-1</f>
        <v>0</v>
      </c>
      <c r="CD45" s="13">
        <f>(CD$14='A&amp;R'!$G53)*'A&amp;R'!$E53*-1</f>
        <v>0</v>
      </c>
      <c r="CE45" s="13">
        <f>(CE$14='A&amp;R'!$G53)*'A&amp;R'!$E53*-1</f>
        <v>0</v>
      </c>
      <c r="CF45" s="13">
        <f>(CF$14='A&amp;R'!$G53)*'A&amp;R'!$E53*-1</f>
        <v>0</v>
      </c>
      <c r="CG45" s="13">
        <f>(CG$14='A&amp;R'!$G53)*'A&amp;R'!$E53*-1</f>
        <v>0</v>
      </c>
      <c r="CH45" s="13">
        <f>(CH$14='A&amp;R'!$G53)*'A&amp;R'!$E53*-1</f>
        <v>0</v>
      </c>
      <c r="CI45" s="13">
        <f>(CI$14='A&amp;R'!$G53)*'A&amp;R'!$E53*-1</f>
        <v>0</v>
      </c>
      <c r="CJ45" s="13">
        <f>(CJ$14='A&amp;R'!$G53)*'A&amp;R'!$E53*-1</f>
        <v>0</v>
      </c>
      <c r="CK45" s="13">
        <f>(CK$14='A&amp;R'!$G53)*'A&amp;R'!$E53*-1</f>
        <v>0</v>
      </c>
      <c r="CL45" s="13">
        <f>(CL$14='A&amp;R'!$G53)*'A&amp;R'!$E53*-1</f>
        <v>0</v>
      </c>
      <c r="CM45" s="13">
        <f>(CM$14='A&amp;R'!$G53)*'A&amp;R'!$E53*-1</f>
        <v>0</v>
      </c>
      <c r="CN45" s="13">
        <f>(CN$14='A&amp;R'!$G53)*'A&amp;R'!$E53*-1</f>
        <v>0</v>
      </c>
      <c r="CO45" s="13">
        <f>(CO$14='A&amp;R'!$G53)*'A&amp;R'!$E53*-1</f>
        <v>0</v>
      </c>
      <c r="CP45" s="13">
        <f>(CP$14='A&amp;R'!$G53)*'A&amp;R'!$E53*-1</f>
        <v>0</v>
      </c>
      <c r="CQ45" s="13">
        <f>(CQ$14='A&amp;R'!$G53)*'A&amp;R'!$E53*-1</f>
        <v>0</v>
      </c>
      <c r="CR45" s="13">
        <f>(CR$14='A&amp;R'!$G53)*'A&amp;R'!$E53*-1</f>
        <v>0</v>
      </c>
      <c r="CS45" s="13">
        <f>(CS$14='A&amp;R'!$G53)*'A&amp;R'!$E53*-1</f>
        <v>0</v>
      </c>
      <c r="CT45" s="13">
        <f>(CT$14='A&amp;R'!$G53)*'A&amp;R'!$E53*-1</f>
        <v>0</v>
      </c>
      <c r="CU45" s="13">
        <f>(CU$14='A&amp;R'!$G53)*'A&amp;R'!$E53*-1</f>
        <v>0</v>
      </c>
      <c r="CV45" s="13">
        <f>(CV$14='A&amp;R'!$G53)*'A&amp;R'!$E53*-1</f>
        <v>0</v>
      </c>
      <c r="CW45" s="13">
        <f>(CW$14='A&amp;R'!$G53)*'A&amp;R'!$E53*-1</f>
        <v>0</v>
      </c>
      <c r="CX45" s="13">
        <f>(CX$14='A&amp;R'!$G53)*'A&amp;R'!$E53*-1</f>
        <v>0</v>
      </c>
      <c r="CY45" s="13">
        <f>(CY$14='A&amp;R'!$G53)*'A&amp;R'!$E53*-1</f>
        <v>0</v>
      </c>
      <c r="CZ45" s="13">
        <f>(CZ$14='A&amp;R'!$G53)*'A&amp;R'!$E53*-1</f>
        <v>0</v>
      </c>
      <c r="DA45" s="13">
        <f>(DA$14='A&amp;R'!$G53)*'A&amp;R'!$E53*-1</f>
        <v>0</v>
      </c>
      <c r="DB45" s="13">
        <f>(DB$14='A&amp;R'!$G53)*'A&amp;R'!$E53*-1</f>
        <v>0</v>
      </c>
    </row>
    <row r="46" spans="3:106">
      <c r="D46" s="92" t="str">
        <f>'A&amp;R'!C54</f>
        <v>보증금</v>
      </c>
      <c r="F46" s="13">
        <f>SUM(H46:DB46)</f>
        <v>-4918.9382825000002</v>
      </c>
      <c r="H46" s="13">
        <f>운영수입!S$165</f>
        <v>0</v>
      </c>
      <c r="I46" s="13">
        <f>운영수입!T$165</f>
        <v>1294.67825025</v>
      </c>
      <c r="J46" s="13">
        <f>운영수입!U$165</f>
        <v>-205.30432999999994</v>
      </c>
      <c r="K46" s="13">
        <f>운영수입!V$165</f>
        <v>544.68664249999983</v>
      </c>
      <c r="L46" s="13">
        <f>운영수입!W$165</f>
        <v>0</v>
      </c>
      <c r="M46" s="13">
        <f>운영수입!X$165</f>
        <v>0</v>
      </c>
      <c r="N46" s="13">
        <f>운영수입!Y$165</f>
        <v>439.93785000000025</v>
      </c>
      <c r="O46" s="13">
        <f>운영수입!Z$165</f>
        <v>385.47054699999899</v>
      </c>
      <c r="P46" s="13">
        <f>운영수입!AA$165</f>
        <v>0</v>
      </c>
      <c r="Q46" s="13">
        <f>운영수입!AB$165</f>
        <v>0</v>
      </c>
      <c r="R46" s="13">
        <f>운영수입!AC$165</f>
        <v>0</v>
      </c>
      <c r="S46" s="13">
        <f>운영수입!AD$165</f>
        <v>0</v>
      </c>
      <c r="T46" s="13">
        <f>운영수입!AE$165</f>
        <v>0</v>
      </c>
      <c r="U46" s="13">
        <f>운영수입!AF$165</f>
        <v>0</v>
      </c>
      <c r="V46" s="13">
        <f>운영수입!AG$165</f>
        <v>0</v>
      </c>
      <c r="W46" s="13">
        <f>운영수입!AH$165</f>
        <v>0</v>
      </c>
      <c r="X46" s="13">
        <f>운영수입!AI$165</f>
        <v>0</v>
      </c>
      <c r="Y46" s="13">
        <f>운영수입!AJ$165</f>
        <v>0</v>
      </c>
      <c r="Z46" s="13">
        <f>운영수입!AK$165</f>
        <v>0</v>
      </c>
      <c r="AA46" s="13">
        <f>운영수입!AL$165</f>
        <v>0</v>
      </c>
      <c r="AB46" s="13">
        <f>운영수입!AM$165</f>
        <v>0</v>
      </c>
      <c r="AC46" s="13">
        <f>운영수입!AN$165</f>
        <v>0</v>
      </c>
      <c r="AD46" s="13">
        <f>운영수입!AO$165</f>
        <v>0</v>
      </c>
      <c r="AE46" s="13">
        <f>운영수입!AP$165</f>
        <v>0</v>
      </c>
      <c r="AF46" s="13">
        <f>운영수입!AQ$165</f>
        <v>0</v>
      </c>
      <c r="AG46" s="13">
        <f>운영수입!AR$165</f>
        <v>64.866526308787797</v>
      </c>
      <c r="AH46" s="13">
        <f>운영수입!AS$165</f>
        <v>0</v>
      </c>
      <c r="AI46" s="13">
        <f>운영수입!AT$165</f>
        <v>164.54857773007552</v>
      </c>
      <c r="AJ46" s="13">
        <f>운영수입!AU$165</f>
        <v>0</v>
      </c>
      <c r="AK46" s="13">
        <f>운영수입!AV$165</f>
        <v>0</v>
      </c>
      <c r="AL46" s="13">
        <f>운영수입!AW$165</f>
        <v>0</v>
      </c>
      <c r="AM46" s="13">
        <f>운영수입!AX$165</f>
        <v>0</v>
      </c>
      <c r="AN46" s="13">
        <f>운영수입!AY$165</f>
        <v>0</v>
      </c>
      <c r="AO46" s="13">
        <f>운영수입!AZ$165</f>
        <v>0</v>
      </c>
      <c r="AP46" s="13">
        <f>운영수입!BA$165</f>
        <v>0</v>
      </c>
      <c r="AQ46" s="13">
        <f>운영수입!BB$165</f>
        <v>0</v>
      </c>
      <c r="AR46" s="13">
        <f>운영수입!BC$165</f>
        <v>94.195716308787269</v>
      </c>
      <c r="AS46" s="13">
        <f>운영수입!BD$165</f>
        <v>0</v>
      </c>
      <c r="AT46" s="13">
        <f>운영수입!BE$165</f>
        <v>0</v>
      </c>
      <c r="AU46" s="13">
        <f>운영수입!BF$165</f>
        <v>0</v>
      </c>
      <c r="AV46" s="13">
        <f>운영수입!BG$165</f>
        <v>0</v>
      </c>
      <c r="AW46" s="13">
        <f>운영수입!BH$165</f>
        <v>105.1738035739545</v>
      </c>
      <c r="AX46" s="13">
        <f>운영수입!BI$165</f>
        <v>0</v>
      </c>
      <c r="AY46" s="13">
        <f>운영수입!BJ$165</f>
        <v>0</v>
      </c>
      <c r="AZ46" s="13">
        <f>운영수입!BK$165</f>
        <v>0</v>
      </c>
      <c r="BA46" s="13">
        <f>운영수입!BL$165</f>
        <v>0</v>
      </c>
      <c r="BB46" s="13">
        <f>운영수입!BM$165</f>
        <v>0</v>
      </c>
      <c r="BC46" s="13">
        <f>운영수입!BN$165</f>
        <v>0</v>
      </c>
      <c r="BD46" s="13">
        <f>운영수입!BO$165</f>
        <v>0</v>
      </c>
      <c r="BE46" s="13">
        <f>운영수입!BP$165</f>
        <v>133.46840118117325</v>
      </c>
      <c r="BF46" s="13">
        <f>운영수입!BQ$165</f>
        <v>0</v>
      </c>
      <c r="BG46" s="13">
        <f>운영수입!BR$165</f>
        <v>0</v>
      </c>
      <c r="BH46" s="13">
        <f>운영수입!BS$165</f>
        <v>0</v>
      </c>
      <c r="BI46" s="13">
        <f>운영수입!BT$165</f>
        <v>0</v>
      </c>
      <c r="BJ46" s="13">
        <f>운영수입!BU$165</f>
        <v>0</v>
      </c>
      <c r="BK46" s="13">
        <f>운영수입!BV$165</f>
        <v>0</v>
      </c>
      <c r="BL46" s="13">
        <f>운영수입!BW$165</f>
        <v>0</v>
      </c>
      <c r="BM46" s="13">
        <f>운영수입!BX$165</f>
        <v>0</v>
      </c>
      <c r="BN46" s="13">
        <f>운영수입!BY$165</f>
        <v>0</v>
      </c>
      <c r="BO46" s="13">
        <f>운영수입!BZ$165</f>
        <v>0</v>
      </c>
      <c r="BP46" s="13">
        <f>운영수입!CA$165</f>
        <v>-7940.6602673527777</v>
      </c>
      <c r="BQ46" s="13">
        <f>운영수입!CB$165</f>
        <v>0</v>
      </c>
      <c r="BR46" s="13">
        <f>운영수입!CC$165</f>
        <v>0</v>
      </c>
      <c r="BS46" s="13">
        <f>운영수입!CD$165</f>
        <v>0</v>
      </c>
      <c r="BT46" s="13">
        <f>운영수입!CE$165</f>
        <v>0</v>
      </c>
      <c r="BU46" s="13">
        <f>운영수입!CF$165</f>
        <v>0</v>
      </c>
      <c r="BV46" s="13">
        <f>운영수입!CG$165</f>
        <v>0</v>
      </c>
      <c r="BW46" s="13">
        <f>운영수입!CH$165</f>
        <v>0</v>
      </c>
      <c r="BX46" s="13">
        <f>운영수입!CI$165</f>
        <v>0</v>
      </c>
      <c r="BY46" s="13">
        <f>운영수입!CJ$165</f>
        <v>0</v>
      </c>
      <c r="BZ46" s="13">
        <f>운영수입!CK$165</f>
        <v>0</v>
      </c>
      <c r="CA46" s="13">
        <f>운영수입!CL$165</f>
        <v>0</v>
      </c>
      <c r="CB46" s="13">
        <f>운영수입!CM$165</f>
        <v>0</v>
      </c>
      <c r="CC46" s="13">
        <f>운영수입!CN$165</f>
        <v>0</v>
      </c>
      <c r="CD46" s="13">
        <f>운영수입!CO$165</f>
        <v>0</v>
      </c>
      <c r="CE46" s="13">
        <f>운영수입!CP$165</f>
        <v>0</v>
      </c>
      <c r="CF46" s="13">
        <f>운영수입!CQ$165</f>
        <v>0</v>
      </c>
      <c r="CG46" s="13">
        <f>운영수입!CR$165</f>
        <v>0</v>
      </c>
      <c r="CH46" s="13">
        <f>운영수입!CS$165</f>
        <v>0</v>
      </c>
      <c r="CI46" s="13">
        <f>운영수입!CT$165</f>
        <v>0</v>
      </c>
      <c r="CJ46" s="13">
        <f>운영수입!CU$165</f>
        <v>0</v>
      </c>
      <c r="CK46" s="13">
        <f>운영수입!CV$165</f>
        <v>0</v>
      </c>
      <c r="CL46" s="13">
        <f>운영수입!CW$165</f>
        <v>0</v>
      </c>
      <c r="CM46" s="13">
        <f>운영수입!CX$165</f>
        <v>0</v>
      </c>
      <c r="CN46" s="13">
        <f>운영수입!CY$165</f>
        <v>0</v>
      </c>
      <c r="CO46" s="13">
        <f>운영수입!CZ$165</f>
        <v>0</v>
      </c>
      <c r="CP46" s="13">
        <f>운영수입!DA$165</f>
        <v>0</v>
      </c>
      <c r="CQ46" s="13">
        <f>운영수입!DB$165</f>
        <v>0</v>
      </c>
      <c r="CR46" s="13">
        <f>운영수입!DC$165</f>
        <v>0</v>
      </c>
      <c r="CS46" s="13">
        <f>운영수입!DD$165</f>
        <v>0</v>
      </c>
      <c r="CT46" s="13">
        <f>운영수입!DE$165</f>
        <v>0</v>
      </c>
      <c r="CU46" s="13">
        <f>운영수입!DF$165</f>
        <v>0</v>
      </c>
      <c r="CV46" s="13">
        <f>운영수입!DG$165</f>
        <v>0</v>
      </c>
      <c r="CW46" s="13">
        <f>운영수입!DH$165</f>
        <v>0</v>
      </c>
      <c r="CX46" s="13">
        <f>운영수입!DI$165</f>
        <v>0</v>
      </c>
      <c r="CY46" s="13">
        <f>운영수입!DJ$165</f>
        <v>0</v>
      </c>
      <c r="CZ46" s="13">
        <f>운영수입!DK$165</f>
        <v>0</v>
      </c>
      <c r="DA46" s="13">
        <f>운영수입!DL$165</f>
        <v>0</v>
      </c>
      <c r="DB46" s="13">
        <f>운영수입!DM$165</f>
        <v>0</v>
      </c>
    </row>
    <row r="47" spans="3:106">
      <c r="D47" s="92" t="str">
        <f>'A&amp;R'!C58</f>
        <v>Tr.A 리파이낸싱</v>
      </c>
      <c r="F47" s="13">
        <f ca="1">SUM(H47:DB47)</f>
        <v>-145594.83489206826</v>
      </c>
      <c r="H47" s="13">
        <f ca="1">(H$14='A&amp;R'!$G58)*'A&amp;R'!$E58*-1</f>
        <v>0</v>
      </c>
      <c r="I47" s="13">
        <f ca="1">(I$14='A&amp;R'!$G58)*'A&amp;R'!$E58*-1</f>
        <v>0</v>
      </c>
      <c r="J47" s="13">
        <f ca="1">(J$14='A&amp;R'!$G58)*'A&amp;R'!$E58*-1</f>
        <v>0</v>
      </c>
      <c r="K47" s="13">
        <f ca="1">(K$14='A&amp;R'!$G58)*'A&amp;R'!$E58*-1</f>
        <v>0</v>
      </c>
      <c r="L47" s="13">
        <f ca="1">(L$14='A&amp;R'!$G58)*'A&amp;R'!$E58*-1</f>
        <v>0</v>
      </c>
      <c r="M47" s="13">
        <f ca="1">(M$14='A&amp;R'!$G58)*'A&amp;R'!$E58*-1</f>
        <v>0</v>
      </c>
      <c r="N47" s="13">
        <f ca="1">(N$14='A&amp;R'!$G58)*'A&amp;R'!$E58*-1</f>
        <v>0</v>
      </c>
      <c r="O47" s="13">
        <f ca="1">(O$14='A&amp;R'!$G58)*'A&amp;R'!$E58*-1</f>
        <v>0</v>
      </c>
      <c r="P47" s="13">
        <f ca="1">(P$14='A&amp;R'!$G58)*'A&amp;R'!$E58*-1</f>
        <v>0</v>
      </c>
      <c r="Q47" s="13">
        <f ca="1">(Q$14='A&amp;R'!$G58)*'A&amp;R'!$E58*-1</f>
        <v>0</v>
      </c>
      <c r="R47" s="13">
        <f ca="1">(R$14='A&amp;R'!$G58)*'A&amp;R'!$E58*-1</f>
        <v>0</v>
      </c>
      <c r="S47" s="13">
        <f ca="1">(S$14='A&amp;R'!$G58)*'A&amp;R'!$E58*-1</f>
        <v>0</v>
      </c>
      <c r="T47" s="13">
        <f ca="1">(T$14='A&amp;R'!$G58)*'A&amp;R'!$E58*-1</f>
        <v>0</v>
      </c>
      <c r="U47" s="13">
        <f ca="1">(U$14='A&amp;R'!$G58)*'A&amp;R'!$E58*-1</f>
        <v>0</v>
      </c>
      <c r="V47" s="13">
        <f ca="1">(V$14='A&amp;R'!$G58)*'A&amp;R'!$E58*-1</f>
        <v>0</v>
      </c>
      <c r="W47" s="13">
        <f ca="1">(W$14='A&amp;R'!$G58)*'A&amp;R'!$E58*-1</f>
        <v>0</v>
      </c>
      <c r="X47" s="13">
        <f ca="1">(X$14='A&amp;R'!$G58)*'A&amp;R'!$E58*-1</f>
        <v>0</v>
      </c>
      <c r="Y47" s="13">
        <f ca="1">(Y$14='A&amp;R'!$G58)*'A&amp;R'!$E58*-1</f>
        <v>0</v>
      </c>
      <c r="Z47" s="13">
        <f ca="1">(Z$14='A&amp;R'!$G58)*'A&amp;R'!$E58*-1</f>
        <v>0</v>
      </c>
      <c r="AA47" s="13">
        <f ca="1">(AA$14='A&amp;R'!$G58)*'A&amp;R'!$E58*-1</f>
        <v>0</v>
      </c>
      <c r="AB47" s="13">
        <f ca="1">(AB$14='A&amp;R'!$G58)*'A&amp;R'!$E58*-1</f>
        <v>0</v>
      </c>
      <c r="AC47" s="13">
        <f ca="1">(AC$14='A&amp;R'!$G58)*'A&amp;R'!$E58*-1</f>
        <v>0</v>
      </c>
      <c r="AD47" s="13">
        <f ca="1">(AD$14='A&amp;R'!$G58)*'A&amp;R'!$E58*-1</f>
        <v>0</v>
      </c>
      <c r="AE47" s="13">
        <f ca="1">(AE$14='A&amp;R'!$G58)*'A&amp;R'!$E58*-1</f>
        <v>0</v>
      </c>
      <c r="AF47" s="13">
        <f ca="1">(AF$14='A&amp;R'!$G58)*'A&amp;R'!$E58*-1</f>
        <v>0</v>
      </c>
      <c r="AG47" s="13">
        <f ca="1">(AG$14='A&amp;R'!$G58)*'A&amp;R'!$E58*-1</f>
        <v>0</v>
      </c>
      <c r="AH47" s="13">
        <f ca="1">(AH$14='A&amp;R'!$G58)*'A&amp;R'!$E58*-1</f>
        <v>0</v>
      </c>
      <c r="AI47" s="13">
        <f ca="1">(AI$14='A&amp;R'!$G58)*'A&amp;R'!$E58*-1</f>
        <v>0</v>
      </c>
      <c r="AJ47" s="13">
        <f ca="1">(AJ$14='A&amp;R'!$G58)*'A&amp;R'!$E58*-1</f>
        <v>0</v>
      </c>
      <c r="AK47" s="13">
        <f ca="1">(AK$14='A&amp;R'!$G58)*'A&amp;R'!$E58*-1</f>
        <v>0</v>
      </c>
      <c r="AL47" s="13">
        <f ca="1">(AL$14='A&amp;R'!$G58)*'A&amp;R'!$E58*-1</f>
        <v>0</v>
      </c>
      <c r="AM47" s="13">
        <f ca="1">(AM$14='A&amp;R'!$G58)*'A&amp;R'!$E58*-1</f>
        <v>0</v>
      </c>
      <c r="AN47" s="13">
        <f ca="1">(AN$14='A&amp;R'!$G58)*'A&amp;R'!$E58*-1</f>
        <v>0</v>
      </c>
      <c r="AO47" s="13">
        <f ca="1">(AO$14='A&amp;R'!$G58)*'A&amp;R'!$E58*-1</f>
        <v>0</v>
      </c>
      <c r="AP47" s="13">
        <f ca="1">(AP$14='A&amp;R'!$G58)*'A&amp;R'!$E58*-1</f>
        <v>0</v>
      </c>
      <c r="AQ47" s="13">
        <f ca="1">(AQ$14='A&amp;R'!$G58)*'A&amp;R'!$E58*-1</f>
        <v>0</v>
      </c>
      <c r="AR47" s="13">
        <f ca="1">(AR$14='A&amp;R'!$G58)*'A&amp;R'!$E58*-1</f>
        <v>0</v>
      </c>
      <c r="AS47" s="13">
        <f ca="1">(AS$14='A&amp;R'!$G58)*'A&amp;R'!$E58*-1</f>
        <v>0</v>
      </c>
      <c r="AT47" s="13">
        <f ca="1">(AT$14='A&amp;R'!$G58)*'A&amp;R'!$E58*-1</f>
        <v>0</v>
      </c>
      <c r="AU47" s="13">
        <f ca="1">(AU$14='A&amp;R'!$G58)*'A&amp;R'!$E58*-1</f>
        <v>0</v>
      </c>
      <c r="AV47" s="13">
        <f ca="1">(AV$14='A&amp;R'!$G58)*'A&amp;R'!$E58*-1</f>
        <v>0</v>
      </c>
      <c r="AW47" s="13">
        <f ca="1">(AW$14='A&amp;R'!$G58)*'A&amp;R'!$E58*-1</f>
        <v>0</v>
      </c>
      <c r="AX47" s="13">
        <f ca="1">(AX$14='A&amp;R'!$G58)*'A&amp;R'!$E58*-1</f>
        <v>0</v>
      </c>
      <c r="AY47" s="13">
        <f ca="1">(AY$14='A&amp;R'!$G58)*'A&amp;R'!$E58*-1</f>
        <v>0</v>
      </c>
      <c r="AZ47" s="13">
        <f ca="1">(AZ$14='A&amp;R'!$G58)*'A&amp;R'!$E58*-1</f>
        <v>0</v>
      </c>
      <c r="BA47" s="13">
        <f ca="1">(BA$14='A&amp;R'!$G58)*'A&amp;R'!$E58*-1</f>
        <v>0</v>
      </c>
      <c r="BB47" s="13">
        <f ca="1">(BB$14='A&amp;R'!$G58)*'A&amp;R'!$E58*-1</f>
        <v>0</v>
      </c>
      <c r="BC47" s="13">
        <f ca="1">(BC$14='A&amp;R'!$G58)*'A&amp;R'!$E58*-1</f>
        <v>0</v>
      </c>
      <c r="BD47" s="13">
        <f ca="1">(BD$14='A&amp;R'!$G58)*'A&amp;R'!$E58*-1</f>
        <v>0</v>
      </c>
      <c r="BE47" s="13">
        <f ca="1">(BE$14='A&amp;R'!$G58)*'A&amp;R'!$E58*-1</f>
        <v>0</v>
      </c>
      <c r="BF47" s="13">
        <f ca="1">(BF$14='A&amp;R'!$G58)*'A&amp;R'!$E58*-1</f>
        <v>0</v>
      </c>
      <c r="BG47" s="13">
        <f ca="1">(BG$14='A&amp;R'!$G58)*'A&amp;R'!$E58*-1</f>
        <v>0</v>
      </c>
      <c r="BH47" s="13">
        <f ca="1">(BH$14='A&amp;R'!$G58)*'A&amp;R'!$E58*-1</f>
        <v>0</v>
      </c>
      <c r="BI47" s="13">
        <f ca="1">(BI$14='A&amp;R'!$G58)*'A&amp;R'!$E58*-1</f>
        <v>0</v>
      </c>
      <c r="BJ47" s="13">
        <f ca="1">(BJ$14='A&amp;R'!$G58)*'A&amp;R'!$E58*-1</f>
        <v>0</v>
      </c>
      <c r="BK47" s="13">
        <f ca="1">(BK$14='A&amp;R'!$G58)*'A&amp;R'!$E58*-1</f>
        <v>0</v>
      </c>
      <c r="BL47" s="13">
        <f ca="1">(BL$14='A&amp;R'!$G58)*'A&amp;R'!$E58*-1</f>
        <v>0</v>
      </c>
      <c r="BM47" s="13">
        <f ca="1">(BM$14='A&amp;R'!$G58)*'A&amp;R'!$E58*-1</f>
        <v>0</v>
      </c>
      <c r="BN47" s="13">
        <f ca="1">(BN$14='A&amp;R'!$G58)*'A&amp;R'!$E58*-1</f>
        <v>0</v>
      </c>
      <c r="BO47" s="13">
        <f ca="1">(BO$14='A&amp;R'!$G58)*'A&amp;R'!$E58*-1</f>
        <v>0</v>
      </c>
      <c r="BP47" s="13">
        <f ca="1">(BP$14='A&amp;R'!$G58)*'A&amp;R'!$E58*-1</f>
        <v>-145594.83489206826</v>
      </c>
      <c r="BQ47" s="13">
        <f ca="1">(BQ$14='A&amp;R'!$G58)*'A&amp;R'!$E58*-1</f>
        <v>0</v>
      </c>
      <c r="BR47" s="13">
        <f ca="1">(BR$14='A&amp;R'!$G58)*'A&amp;R'!$E58*-1</f>
        <v>0</v>
      </c>
      <c r="BS47" s="13">
        <f ca="1">(BS$14='A&amp;R'!$G58)*'A&amp;R'!$E58*-1</f>
        <v>0</v>
      </c>
      <c r="BT47" s="13">
        <f ca="1">(BT$14='A&amp;R'!$G58)*'A&amp;R'!$E58*-1</f>
        <v>0</v>
      </c>
      <c r="BU47" s="13">
        <f ca="1">(BU$14='A&amp;R'!$G58)*'A&amp;R'!$E58*-1</f>
        <v>0</v>
      </c>
      <c r="BV47" s="13">
        <f ca="1">(BV$14='A&amp;R'!$G58)*'A&amp;R'!$E58*-1</f>
        <v>0</v>
      </c>
      <c r="BW47" s="13">
        <f ca="1">(BW$14='A&amp;R'!$G58)*'A&amp;R'!$E58*-1</f>
        <v>0</v>
      </c>
      <c r="BX47" s="13">
        <f ca="1">(BX$14='A&amp;R'!$G58)*'A&amp;R'!$E58*-1</f>
        <v>0</v>
      </c>
      <c r="BY47" s="13">
        <f ca="1">(BY$14='A&amp;R'!$G58)*'A&amp;R'!$E58*-1</f>
        <v>0</v>
      </c>
      <c r="BZ47" s="13">
        <f ca="1">(BZ$14='A&amp;R'!$G58)*'A&amp;R'!$E58*-1</f>
        <v>0</v>
      </c>
      <c r="CA47" s="13">
        <f ca="1">(CA$14='A&amp;R'!$G58)*'A&amp;R'!$E58*-1</f>
        <v>0</v>
      </c>
      <c r="CB47" s="13">
        <f ca="1">(CB$14='A&amp;R'!$G58)*'A&amp;R'!$E58*-1</f>
        <v>0</v>
      </c>
      <c r="CC47" s="13">
        <f ca="1">(CC$14='A&amp;R'!$G58)*'A&amp;R'!$E58*-1</f>
        <v>0</v>
      </c>
      <c r="CD47" s="13">
        <f ca="1">(CD$14='A&amp;R'!$G58)*'A&amp;R'!$E58*-1</f>
        <v>0</v>
      </c>
      <c r="CE47" s="13">
        <f ca="1">(CE$14='A&amp;R'!$G58)*'A&amp;R'!$E58*-1</f>
        <v>0</v>
      </c>
      <c r="CF47" s="13">
        <f ca="1">(CF$14='A&amp;R'!$G58)*'A&amp;R'!$E58*-1</f>
        <v>0</v>
      </c>
      <c r="CG47" s="13">
        <f ca="1">(CG$14='A&amp;R'!$G58)*'A&amp;R'!$E58*-1</f>
        <v>0</v>
      </c>
      <c r="CH47" s="13">
        <f ca="1">(CH$14='A&amp;R'!$G58)*'A&amp;R'!$E58*-1</f>
        <v>0</v>
      </c>
      <c r="CI47" s="13">
        <f ca="1">(CI$14='A&amp;R'!$G58)*'A&amp;R'!$E58*-1</f>
        <v>0</v>
      </c>
      <c r="CJ47" s="13">
        <f ca="1">(CJ$14='A&amp;R'!$G58)*'A&amp;R'!$E58*-1</f>
        <v>0</v>
      </c>
      <c r="CK47" s="13">
        <f ca="1">(CK$14='A&amp;R'!$G58)*'A&amp;R'!$E58*-1</f>
        <v>0</v>
      </c>
      <c r="CL47" s="13">
        <f ca="1">(CL$14='A&amp;R'!$G58)*'A&amp;R'!$E58*-1</f>
        <v>0</v>
      </c>
      <c r="CM47" s="13">
        <f ca="1">(CM$14='A&amp;R'!$G58)*'A&amp;R'!$E58*-1</f>
        <v>0</v>
      </c>
      <c r="CN47" s="13">
        <f ca="1">(CN$14='A&amp;R'!$G58)*'A&amp;R'!$E58*-1</f>
        <v>0</v>
      </c>
      <c r="CO47" s="13">
        <f ca="1">(CO$14='A&amp;R'!$G58)*'A&amp;R'!$E58*-1</f>
        <v>0</v>
      </c>
      <c r="CP47" s="13">
        <f ca="1">(CP$14='A&amp;R'!$G58)*'A&amp;R'!$E58*-1</f>
        <v>0</v>
      </c>
      <c r="CQ47" s="13">
        <f ca="1">(CQ$14='A&amp;R'!$G58)*'A&amp;R'!$E58*-1</f>
        <v>0</v>
      </c>
      <c r="CR47" s="13">
        <f ca="1">(CR$14='A&amp;R'!$G58)*'A&amp;R'!$E58*-1</f>
        <v>0</v>
      </c>
      <c r="CS47" s="13">
        <f ca="1">(CS$14='A&amp;R'!$G58)*'A&amp;R'!$E58*-1</f>
        <v>0</v>
      </c>
      <c r="CT47" s="13">
        <f ca="1">(CT$14='A&amp;R'!$G58)*'A&amp;R'!$E58*-1</f>
        <v>0</v>
      </c>
      <c r="CU47" s="13">
        <f ca="1">(CU$14='A&amp;R'!$G58)*'A&amp;R'!$E58*-1</f>
        <v>0</v>
      </c>
      <c r="CV47" s="13">
        <f ca="1">(CV$14='A&amp;R'!$G58)*'A&amp;R'!$E58*-1</f>
        <v>0</v>
      </c>
      <c r="CW47" s="13">
        <f ca="1">(CW$14='A&amp;R'!$G58)*'A&amp;R'!$E58*-1</f>
        <v>0</v>
      </c>
      <c r="CX47" s="13">
        <f ca="1">(CX$14='A&amp;R'!$G58)*'A&amp;R'!$E58*-1</f>
        <v>0</v>
      </c>
      <c r="CY47" s="13">
        <f ca="1">(CY$14='A&amp;R'!$G58)*'A&amp;R'!$E58*-1</f>
        <v>0</v>
      </c>
      <c r="CZ47" s="13">
        <f ca="1">(CZ$14='A&amp;R'!$G58)*'A&amp;R'!$E58*-1</f>
        <v>0</v>
      </c>
      <c r="DA47" s="13">
        <f ca="1">(DA$14='A&amp;R'!$G58)*'A&amp;R'!$E58*-1</f>
        <v>0</v>
      </c>
      <c r="DB47" s="13">
        <f ca="1">(DB$14='A&amp;R'!$G58)*'A&amp;R'!$E58*-1</f>
        <v>0</v>
      </c>
    </row>
    <row r="48" spans="3:106">
      <c r="C48" s="73"/>
      <c r="D48" s="169" t="str">
        <f>'A&amp;R'!C59</f>
        <v>Tr.B 리파이낸싱</v>
      </c>
      <c r="E48" s="73"/>
      <c r="F48" s="73">
        <f>SUM(H48:DB48)</f>
        <v>-10000</v>
      </c>
      <c r="G48" s="73"/>
      <c r="H48" s="73">
        <f>(H$14='A&amp;R'!$G59)*'A&amp;R'!$E59*-1</f>
        <v>0</v>
      </c>
      <c r="I48" s="73">
        <f>(I$14='A&amp;R'!$G59)*'A&amp;R'!$E59*-1</f>
        <v>0</v>
      </c>
      <c r="J48" s="73">
        <f>(J$14='A&amp;R'!$G59)*'A&amp;R'!$E59*-1</f>
        <v>0</v>
      </c>
      <c r="K48" s="73">
        <f>(K$14='A&amp;R'!$G59)*'A&amp;R'!$E59*-1</f>
        <v>0</v>
      </c>
      <c r="L48" s="73">
        <f>(L$14='A&amp;R'!$G59)*'A&amp;R'!$E59*-1</f>
        <v>0</v>
      </c>
      <c r="M48" s="73">
        <f>(M$14='A&amp;R'!$G59)*'A&amp;R'!$E59*-1</f>
        <v>0</v>
      </c>
      <c r="N48" s="73">
        <f>(N$14='A&amp;R'!$G59)*'A&amp;R'!$E59*-1</f>
        <v>0</v>
      </c>
      <c r="O48" s="73">
        <f>(O$14='A&amp;R'!$G59)*'A&amp;R'!$E59*-1</f>
        <v>0</v>
      </c>
      <c r="P48" s="73">
        <f>(P$14='A&amp;R'!$G59)*'A&amp;R'!$E59*-1</f>
        <v>0</v>
      </c>
      <c r="Q48" s="73">
        <f>(Q$14='A&amp;R'!$G59)*'A&amp;R'!$E59*-1</f>
        <v>0</v>
      </c>
      <c r="R48" s="73">
        <f>(R$14='A&amp;R'!$G59)*'A&amp;R'!$E59*-1</f>
        <v>0</v>
      </c>
      <c r="S48" s="73">
        <f>(S$14='A&amp;R'!$G59)*'A&amp;R'!$E59*-1</f>
        <v>0</v>
      </c>
      <c r="T48" s="73">
        <f>(T$14='A&amp;R'!$G59)*'A&amp;R'!$E59*-1</f>
        <v>0</v>
      </c>
      <c r="U48" s="73">
        <f>(U$14='A&amp;R'!$G59)*'A&amp;R'!$E59*-1</f>
        <v>0</v>
      </c>
      <c r="V48" s="73">
        <f>(V$14='A&amp;R'!$G59)*'A&amp;R'!$E59*-1</f>
        <v>0</v>
      </c>
      <c r="W48" s="73">
        <f>(W$14='A&amp;R'!$G59)*'A&amp;R'!$E59*-1</f>
        <v>0</v>
      </c>
      <c r="X48" s="73">
        <f>(X$14='A&amp;R'!$G59)*'A&amp;R'!$E59*-1</f>
        <v>0</v>
      </c>
      <c r="Y48" s="73">
        <f>(Y$14='A&amp;R'!$G59)*'A&amp;R'!$E59*-1</f>
        <v>0</v>
      </c>
      <c r="Z48" s="73">
        <f>(Z$14='A&amp;R'!$G59)*'A&amp;R'!$E59*-1</f>
        <v>0</v>
      </c>
      <c r="AA48" s="73">
        <f>(AA$14='A&amp;R'!$G59)*'A&amp;R'!$E59*-1</f>
        <v>0</v>
      </c>
      <c r="AB48" s="73">
        <f>(AB$14='A&amp;R'!$G59)*'A&amp;R'!$E59*-1</f>
        <v>0</v>
      </c>
      <c r="AC48" s="73">
        <f>(AC$14='A&amp;R'!$G59)*'A&amp;R'!$E59*-1</f>
        <v>0</v>
      </c>
      <c r="AD48" s="73">
        <f>(AD$14='A&amp;R'!$G59)*'A&amp;R'!$E59*-1</f>
        <v>0</v>
      </c>
      <c r="AE48" s="73">
        <f>(AE$14='A&amp;R'!$G59)*'A&amp;R'!$E59*-1</f>
        <v>0</v>
      </c>
      <c r="AF48" s="73">
        <f>(AF$14='A&amp;R'!$G59)*'A&amp;R'!$E59*-1</f>
        <v>0</v>
      </c>
      <c r="AG48" s="73">
        <f>(AG$14='A&amp;R'!$G59)*'A&amp;R'!$E59*-1</f>
        <v>0</v>
      </c>
      <c r="AH48" s="73">
        <f>(AH$14='A&amp;R'!$G59)*'A&amp;R'!$E59*-1</f>
        <v>0</v>
      </c>
      <c r="AI48" s="73">
        <f>(AI$14='A&amp;R'!$G59)*'A&amp;R'!$E59*-1</f>
        <v>0</v>
      </c>
      <c r="AJ48" s="73">
        <f>(AJ$14='A&amp;R'!$G59)*'A&amp;R'!$E59*-1</f>
        <v>0</v>
      </c>
      <c r="AK48" s="73">
        <f>(AK$14='A&amp;R'!$G59)*'A&amp;R'!$E59*-1</f>
        <v>0</v>
      </c>
      <c r="AL48" s="73">
        <f>(AL$14='A&amp;R'!$G59)*'A&amp;R'!$E59*-1</f>
        <v>0</v>
      </c>
      <c r="AM48" s="73">
        <f>(AM$14='A&amp;R'!$G59)*'A&amp;R'!$E59*-1</f>
        <v>0</v>
      </c>
      <c r="AN48" s="73">
        <f>(AN$14='A&amp;R'!$G59)*'A&amp;R'!$E59*-1</f>
        <v>0</v>
      </c>
      <c r="AO48" s="73">
        <f>(AO$14='A&amp;R'!$G59)*'A&amp;R'!$E59*-1</f>
        <v>0</v>
      </c>
      <c r="AP48" s="73">
        <f>(AP$14='A&amp;R'!$G59)*'A&amp;R'!$E59*-1</f>
        <v>0</v>
      </c>
      <c r="AQ48" s="73">
        <f>(AQ$14='A&amp;R'!$G59)*'A&amp;R'!$E59*-1</f>
        <v>0</v>
      </c>
      <c r="AR48" s="73">
        <f>(AR$14='A&amp;R'!$G59)*'A&amp;R'!$E59*-1</f>
        <v>0</v>
      </c>
      <c r="AS48" s="73">
        <f>(AS$14='A&amp;R'!$G59)*'A&amp;R'!$E59*-1</f>
        <v>0</v>
      </c>
      <c r="AT48" s="73">
        <f>(AT$14='A&amp;R'!$G59)*'A&amp;R'!$E59*-1</f>
        <v>0</v>
      </c>
      <c r="AU48" s="73">
        <f>(AU$14='A&amp;R'!$G59)*'A&amp;R'!$E59*-1</f>
        <v>0</v>
      </c>
      <c r="AV48" s="73">
        <f>(AV$14='A&amp;R'!$G59)*'A&amp;R'!$E59*-1</f>
        <v>0</v>
      </c>
      <c r="AW48" s="73">
        <f>(AW$14='A&amp;R'!$G59)*'A&amp;R'!$E59*-1</f>
        <v>0</v>
      </c>
      <c r="AX48" s="73">
        <f>(AX$14='A&amp;R'!$G59)*'A&amp;R'!$E59*-1</f>
        <v>0</v>
      </c>
      <c r="AY48" s="73">
        <f>(AY$14='A&amp;R'!$G59)*'A&amp;R'!$E59*-1</f>
        <v>0</v>
      </c>
      <c r="AZ48" s="73">
        <f>(AZ$14='A&amp;R'!$G59)*'A&amp;R'!$E59*-1</f>
        <v>0</v>
      </c>
      <c r="BA48" s="73">
        <f>(BA$14='A&amp;R'!$G59)*'A&amp;R'!$E59*-1</f>
        <v>0</v>
      </c>
      <c r="BB48" s="73">
        <f>(BB$14='A&amp;R'!$G59)*'A&amp;R'!$E59*-1</f>
        <v>0</v>
      </c>
      <c r="BC48" s="73">
        <f>(BC$14='A&amp;R'!$G59)*'A&amp;R'!$E59*-1</f>
        <v>0</v>
      </c>
      <c r="BD48" s="73">
        <f>(BD$14='A&amp;R'!$G59)*'A&amp;R'!$E59*-1</f>
        <v>0</v>
      </c>
      <c r="BE48" s="73">
        <f>(BE$14='A&amp;R'!$G59)*'A&amp;R'!$E59*-1</f>
        <v>0</v>
      </c>
      <c r="BF48" s="73">
        <f>(BF$14='A&amp;R'!$G59)*'A&amp;R'!$E59*-1</f>
        <v>0</v>
      </c>
      <c r="BG48" s="73">
        <f>(BG$14='A&amp;R'!$G59)*'A&amp;R'!$E59*-1</f>
        <v>0</v>
      </c>
      <c r="BH48" s="73">
        <f>(BH$14='A&amp;R'!$G59)*'A&amp;R'!$E59*-1</f>
        <v>0</v>
      </c>
      <c r="BI48" s="73">
        <f>(BI$14='A&amp;R'!$G59)*'A&amp;R'!$E59*-1</f>
        <v>0</v>
      </c>
      <c r="BJ48" s="73">
        <f>(BJ$14='A&amp;R'!$G59)*'A&amp;R'!$E59*-1</f>
        <v>0</v>
      </c>
      <c r="BK48" s="73">
        <f>(BK$14='A&amp;R'!$G59)*'A&amp;R'!$E59*-1</f>
        <v>0</v>
      </c>
      <c r="BL48" s="73">
        <f>(BL$14='A&amp;R'!$G59)*'A&amp;R'!$E59*-1</f>
        <v>0</v>
      </c>
      <c r="BM48" s="73">
        <f>(BM$14='A&amp;R'!$G59)*'A&amp;R'!$E59*-1</f>
        <v>0</v>
      </c>
      <c r="BN48" s="73">
        <f>(BN$14='A&amp;R'!$G59)*'A&amp;R'!$E59*-1</f>
        <v>0</v>
      </c>
      <c r="BO48" s="73">
        <f>(BO$14='A&amp;R'!$G59)*'A&amp;R'!$E59*-1</f>
        <v>0</v>
      </c>
      <c r="BP48" s="73">
        <f>(BP$14='A&amp;R'!$G59)*'A&amp;R'!$E59*-1</f>
        <v>-10000</v>
      </c>
      <c r="BQ48" s="73">
        <f>(BQ$14='A&amp;R'!$G59)*'A&amp;R'!$E59*-1</f>
        <v>0</v>
      </c>
      <c r="BR48" s="73">
        <f>(BR$14='A&amp;R'!$G59)*'A&amp;R'!$E59*-1</f>
        <v>0</v>
      </c>
      <c r="BS48" s="73">
        <f>(BS$14='A&amp;R'!$G59)*'A&amp;R'!$E59*-1</f>
        <v>0</v>
      </c>
      <c r="BT48" s="73">
        <f>(BT$14='A&amp;R'!$G59)*'A&amp;R'!$E59*-1</f>
        <v>0</v>
      </c>
      <c r="BU48" s="73">
        <f>(BU$14='A&amp;R'!$G59)*'A&amp;R'!$E59*-1</f>
        <v>0</v>
      </c>
      <c r="BV48" s="73">
        <f>(BV$14='A&amp;R'!$G59)*'A&amp;R'!$E59*-1</f>
        <v>0</v>
      </c>
      <c r="BW48" s="73">
        <f>(BW$14='A&amp;R'!$G59)*'A&amp;R'!$E59*-1</f>
        <v>0</v>
      </c>
      <c r="BX48" s="73">
        <f>(BX$14='A&amp;R'!$G59)*'A&amp;R'!$E59*-1</f>
        <v>0</v>
      </c>
      <c r="BY48" s="73">
        <f>(BY$14='A&amp;R'!$G59)*'A&amp;R'!$E59*-1</f>
        <v>0</v>
      </c>
      <c r="BZ48" s="73">
        <f>(BZ$14='A&amp;R'!$G59)*'A&amp;R'!$E59*-1</f>
        <v>0</v>
      </c>
      <c r="CA48" s="73">
        <f>(CA$14='A&amp;R'!$G59)*'A&amp;R'!$E59*-1</f>
        <v>0</v>
      </c>
      <c r="CB48" s="73">
        <f>(CB$14='A&amp;R'!$G59)*'A&amp;R'!$E59*-1</f>
        <v>0</v>
      </c>
      <c r="CC48" s="73">
        <f>(CC$14='A&amp;R'!$G59)*'A&amp;R'!$E59*-1</f>
        <v>0</v>
      </c>
      <c r="CD48" s="73">
        <f>(CD$14='A&amp;R'!$G59)*'A&amp;R'!$E59*-1</f>
        <v>0</v>
      </c>
      <c r="CE48" s="73">
        <f>(CE$14='A&amp;R'!$G59)*'A&amp;R'!$E59*-1</f>
        <v>0</v>
      </c>
      <c r="CF48" s="73">
        <f>(CF$14='A&amp;R'!$G59)*'A&amp;R'!$E59*-1</f>
        <v>0</v>
      </c>
      <c r="CG48" s="73">
        <f>(CG$14='A&amp;R'!$G59)*'A&amp;R'!$E59*-1</f>
        <v>0</v>
      </c>
      <c r="CH48" s="73">
        <f>(CH$14='A&amp;R'!$G59)*'A&amp;R'!$E59*-1</f>
        <v>0</v>
      </c>
      <c r="CI48" s="73">
        <f>(CI$14='A&amp;R'!$G59)*'A&amp;R'!$E59*-1</f>
        <v>0</v>
      </c>
      <c r="CJ48" s="73">
        <f>(CJ$14='A&amp;R'!$G59)*'A&amp;R'!$E59*-1</f>
        <v>0</v>
      </c>
      <c r="CK48" s="73">
        <f>(CK$14='A&amp;R'!$G59)*'A&amp;R'!$E59*-1</f>
        <v>0</v>
      </c>
      <c r="CL48" s="73">
        <f>(CL$14='A&amp;R'!$G59)*'A&amp;R'!$E59*-1</f>
        <v>0</v>
      </c>
      <c r="CM48" s="73">
        <f>(CM$14='A&amp;R'!$G59)*'A&amp;R'!$E59*-1</f>
        <v>0</v>
      </c>
      <c r="CN48" s="73">
        <f>(CN$14='A&amp;R'!$G59)*'A&amp;R'!$E59*-1</f>
        <v>0</v>
      </c>
      <c r="CO48" s="73">
        <f>(CO$14='A&amp;R'!$G59)*'A&amp;R'!$E59*-1</f>
        <v>0</v>
      </c>
      <c r="CP48" s="73">
        <f>(CP$14='A&amp;R'!$G59)*'A&amp;R'!$E59*-1</f>
        <v>0</v>
      </c>
      <c r="CQ48" s="73">
        <f>(CQ$14='A&amp;R'!$G59)*'A&amp;R'!$E59*-1</f>
        <v>0</v>
      </c>
      <c r="CR48" s="73">
        <f>(CR$14='A&amp;R'!$G59)*'A&amp;R'!$E59*-1</f>
        <v>0</v>
      </c>
      <c r="CS48" s="73">
        <f>(CS$14='A&amp;R'!$G59)*'A&amp;R'!$E59*-1</f>
        <v>0</v>
      </c>
      <c r="CT48" s="73">
        <f>(CT$14='A&amp;R'!$G59)*'A&amp;R'!$E59*-1</f>
        <v>0</v>
      </c>
      <c r="CU48" s="73">
        <f>(CU$14='A&amp;R'!$G59)*'A&amp;R'!$E59*-1</f>
        <v>0</v>
      </c>
      <c r="CV48" s="73">
        <f>(CV$14='A&amp;R'!$G59)*'A&amp;R'!$E59*-1</f>
        <v>0</v>
      </c>
      <c r="CW48" s="73">
        <f>(CW$14='A&amp;R'!$G59)*'A&amp;R'!$E59*-1</f>
        <v>0</v>
      </c>
      <c r="CX48" s="73">
        <f>(CX$14='A&amp;R'!$G59)*'A&amp;R'!$E59*-1</f>
        <v>0</v>
      </c>
      <c r="CY48" s="73">
        <f>(CY$14='A&amp;R'!$G59)*'A&amp;R'!$E59*-1</f>
        <v>0</v>
      </c>
      <c r="CZ48" s="73">
        <f>(CZ$14='A&amp;R'!$G59)*'A&amp;R'!$E59*-1</f>
        <v>0</v>
      </c>
      <c r="DA48" s="73">
        <f>(DA$14='A&amp;R'!$G59)*'A&amp;R'!$E59*-1</f>
        <v>0</v>
      </c>
      <c r="DB48" s="73">
        <f>(DB$14='A&amp;R'!$G59)*'A&amp;R'!$E59*-1</f>
        <v>0</v>
      </c>
    </row>
    <row r="49" spans="2:106">
      <c r="C49" s="75" t="s">
        <v>306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  <c r="CR49" s="75"/>
      <c r="CS49" s="75"/>
      <c r="CT49" s="75"/>
      <c r="CU49" s="75"/>
      <c r="CV49" s="75"/>
      <c r="CW49" s="75"/>
      <c r="CX49" s="75"/>
      <c r="CY49" s="75"/>
      <c r="CZ49" s="75"/>
      <c r="DA49" s="75"/>
      <c r="DB49" s="75"/>
    </row>
    <row r="50" spans="2:106">
      <c r="C50" s="13" t="s">
        <v>328</v>
      </c>
    </row>
    <row r="51" spans="2:106">
      <c r="D51" s="91" t="str">
        <f>D32</f>
        <v>제1종수익증권</v>
      </c>
      <c r="E51" s="76"/>
      <c r="F51" s="76">
        <f t="shared" ref="F51:F52" ca="1" si="22">SUM(H51:DB51)</f>
        <v>-16737.5</v>
      </c>
      <c r="G51" s="76"/>
      <c r="H51" s="76">
        <f>IF(Cir=1,SUMIF(배당!$10:$10,현금흐름!H$14,배당!$44:$44)*-1,0)</f>
        <v>0</v>
      </c>
      <c r="I51" s="76">
        <f>IF(Cir=1,SUMIF(배당!$10:$10,현금흐름!I$14,배당!$44:$44)*-1,0)</f>
        <v>0</v>
      </c>
      <c r="J51" s="76">
        <f>IF(Cir=1,SUMIF(배당!$10:$10,현금흐름!J$14,배당!$44:$44)*-1,0)</f>
        <v>0</v>
      </c>
      <c r="K51" s="76">
        <f>IF(Cir=1,SUMIF(배당!$10:$10,현금흐름!K$14,배당!$44:$44)*-1,0)</f>
        <v>0</v>
      </c>
      <c r="L51" s="76">
        <f>IF(Cir=1,SUMIF(배당!$10:$10,현금흐름!L$14,배당!$44:$44)*-1,0)</f>
        <v>0</v>
      </c>
      <c r="M51" s="76">
        <f>IF(Cir=1,SUMIF(배당!$10:$10,현금흐름!M$14,배당!$44:$44)*-1,0)</f>
        <v>0</v>
      </c>
      <c r="N51" s="76">
        <f ca="1">IF(Cir=1,SUMIF(배당!$10:$10,현금흐름!N$14,배당!$44:$44)*-1,0)</f>
        <v>-1077.4528308478116</v>
      </c>
      <c r="O51" s="76">
        <f>IF(Cir=1,SUMIF(배당!$10:$10,현금흐름!O$14,배당!$44:$44)*-1,0)</f>
        <v>0</v>
      </c>
      <c r="P51" s="76">
        <f>IF(Cir=1,SUMIF(배당!$10:$10,현금흐름!P$14,배당!$44:$44)*-1,0)</f>
        <v>0</v>
      </c>
      <c r="Q51" s="76">
        <f>IF(Cir=1,SUMIF(배당!$10:$10,현금흐름!Q$14,배당!$44:$44)*-1,0)</f>
        <v>0</v>
      </c>
      <c r="R51" s="76">
        <f>IF(Cir=1,SUMIF(배당!$10:$10,현금흐름!R$14,배당!$44:$44)*-1,0)</f>
        <v>0</v>
      </c>
      <c r="S51" s="76">
        <f>IF(Cir=1,SUMIF(배당!$10:$10,현금흐름!S$14,배당!$44:$44)*-1,0)</f>
        <v>0</v>
      </c>
      <c r="T51" s="76">
        <f ca="1">IF(Cir=1,SUMIF(배당!$10:$10,현금흐름!T$14,배당!$44:$44)*-1,0)</f>
        <v>-1604.3997161043135</v>
      </c>
      <c r="U51" s="76">
        <f>IF(Cir=1,SUMIF(배당!$10:$10,현금흐름!U$14,배당!$44:$44)*-1,0)</f>
        <v>0</v>
      </c>
      <c r="V51" s="76">
        <f>IF(Cir=1,SUMIF(배당!$10:$10,현금흐름!V$14,배당!$44:$44)*-1,0)</f>
        <v>0</v>
      </c>
      <c r="W51" s="76">
        <f>IF(Cir=1,SUMIF(배당!$10:$10,현금흐름!W$14,배당!$44:$44)*-1,0)</f>
        <v>0</v>
      </c>
      <c r="X51" s="76">
        <f>IF(Cir=1,SUMIF(배당!$10:$10,현금흐름!X$14,배당!$44:$44)*-1,0)</f>
        <v>0</v>
      </c>
      <c r="Y51" s="76">
        <f>IF(Cir=1,SUMIF(배당!$10:$10,현금흐름!Y$14,배당!$44:$44)*-1,0)</f>
        <v>0</v>
      </c>
      <c r="Z51" s="76">
        <f ca="1">IF(Cir=1,SUMIF(배당!$10:$10,현금흐름!Z$14,배당!$44:$44)*-1,0)</f>
        <v>-2339.3974530478749</v>
      </c>
      <c r="AA51" s="76">
        <f>IF(Cir=1,SUMIF(배당!$10:$10,현금흐름!AA$14,배당!$44:$44)*-1,0)</f>
        <v>0</v>
      </c>
      <c r="AB51" s="76">
        <f>IF(Cir=1,SUMIF(배당!$10:$10,현금흐름!AB$14,배당!$44:$44)*-1,0)</f>
        <v>0</v>
      </c>
      <c r="AC51" s="76">
        <f>IF(Cir=1,SUMIF(배당!$10:$10,현금흐름!AC$14,배당!$44:$44)*-1,0)</f>
        <v>0</v>
      </c>
      <c r="AD51" s="76">
        <f>IF(Cir=1,SUMIF(배당!$10:$10,현금흐름!AD$14,배당!$44:$44)*-1,0)</f>
        <v>0</v>
      </c>
      <c r="AE51" s="76">
        <f>IF(Cir=1,SUMIF(배당!$10:$10,현금흐름!AE$14,배당!$44:$44)*-1,0)</f>
        <v>0</v>
      </c>
      <c r="AF51" s="76">
        <f ca="1">IF(Cir=1,SUMIF(배당!$10:$10,현금흐름!AF$14,배당!$44:$44)*-1,0)</f>
        <v>-1673.75</v>
      </c>
      <c r="AG51" s="76">
        <f>IF(Cir=1,SUMIF(배당!$10:$10,현금흐름!AG$14,배당!$44:$44)*-1,0)</f>
        <v>0</v>
      </c>
      <c r="AH51" s="76">
        <f>IF(Cir=1,SUMIF(배당!$10:$10,현금흐름!AH$14,배당!$44:$44)*-1,0)</f>
        <v>0</v>
      </c>
      <c r="AI51" s="76">
        <f>IF(Cir=1,SUMIF(배당!$10:$10,현금흐름!AI$14,배당!$44:$44)*-1,0)</f>
        <v>0</v>
      </c>
      <c r="AJ51" s="76">
        <f>IF(Cir=1,SUMIF(배당!$10:$10,현금흐름!AJ$14,배당!$44:$44)*-1,0)</f>
        <v>0</v>
      </c>
      <c r="AK51" s="76">
        <f>IF(Cir=1,SUMIF(배당!$10:$10,현금흐름!AK$14,배당!$44:$44)*-1,0)</f>
        <v>0</v>
      </c>
      <c r="AL51" s="76">
        <f ca="1">IF(Cir=1,SUMIF(배당!$10:$10,현금흐름!AL$14,배당!$44:$44)*-1,0)</f>
        <v>-1673.75</v>
      </c>
      <c r="AM51" s="76">
        <f>IF(Cir=1,SUMIF(배당!$10:$10,현금흐름!AM$14,배당!$44:$44)*-1,0)</f>
        <v>0</v>
      </c>
      <c r="AN51" s="76">
        <f>IF(Cir=1,SUMIF(배당!$10:$10,현금흐름!AN$14,배당!$44:$44)*-1,0)</f>
        <v>0</v>
      </c>
      <c r="AO51" s="76">
        <f>IF(Cir=1,SUMIF(배당!$10:$10,현금흐름!AO$14,배당!$44:$44)*-1,0)</f>
        <v>0</v>
      </c>
      <c r="AP51" s="76">
        <f>IF(Cir=1,SUMIF(배당!$10:$10,현금흐름!AP$14,배당!$44:$44)*-1,0)</f>
        <v>0</v>
      </c>
      <c r="AQ51" s="76">
        <f>IF(Cir=1,SUMIF(배당!$10:$10,현금흐름!AQ$14,배당!$44:$44)*-1,0)</f>
        <v>0</v>
      </c>
      <c r="AR51" s="76">
        <f ca="1">IF(Cir=1,SUMIF(배당!$10:$10,현금흐름!AR$14,배당!$44:$44)*-1,0)</f>
        <v>-1673.75</v>
      </c>
      <c r="AS51" s="76">
        <f>IF(Cir=1,SUMIF(배당!$10:$10,현금흐름!AS$14,배당!$44:$44)*-1,0)</f>
        <v>0</v>
      </c>
      <c r="AT51" s="76">
        <f>IF(Cir=1,SUMIF(배당!$10:$10,현금흐름!AT$14,배당!$44:$44)*-1,0)</f>
        <v>0</v>
      </c>
      <c r="AU51" s="76">
        <f>IF(Cir=1,SUMIF(배당!$10:$10,현금흐름!AU$14,배당!$44:$44)*-1,0)</f>
        <v>0</v>
      </c>
      <c r="AV51" s="76">
        <f>IF(Cir=1,SUMIF(배당!$10:$10,현금흐름!AV$14,배당!$44:$44)*-1,0)</f>
        <v>0</v>
      </c>
      <c r="AW51" s="76">
        <f>IF(Cir=1,SUMIF(배당!$10:$10,현금흐름!AW$14,배당!$44:$44)*-1,0)</f>
        <v>0</v>
      </c>
      <c r="AX51" s="76">
        <f ca="1">IF(Cir=1,SUMIF(배당!$10:$10,현금흐름!AX$14,배당!$44:$44)*-1,0)</f>
        <v>-1673.75</v>
      </c>
      <c r="AY51" s="76">
        <f>IF(Cir=1,SUMIF(배당!$10:$10,현금흐름!AY$14,배당!$44:$44)*-1,0)</f>
        <v>0</v>
      </c>
      <c r="AZ51" s="76">
        <f>IF(Cir=1,SUMIF(배당!$10:$10,현금흐름!AZ$14,배당!$44:$44)*-1,0)</f>
        <v>0</v>
      </c>
      <c r="BA51" s="76">
        <f>IF(Cir=1,SUMIF(배당!$10:$10,현금흐름!BA$14,배당!$44:$44)*-1,0)</f>
        <v>0</v>
      </c>
      <c r="BB51" s="76">
        <f>IF(Cir=1,SUMIF(배당!$10:$10,현금흐름!BB$14,배당!$44:$44)*-1,0)</f>
        <v>0</v>
      </c>
      <c r="BC51" s="76">
        <f>IF(Cir=1,SUMIF(배당!$10:$10,현금흐름!BC$14,배당!$44:$44)*-1,0)</f>
        <v>0</v>
      </c>
      <c r="BD51" s="76">
        <f ca="1">IF(Cir=1,SUMIF(배당!$10:$10,현금흐름!BD$14,배당!$44:$44)*-1,0)</f>
        <v>-1673.75</v>
      </c>
      <c r="BE51" s="76">
        <f>IF(Cir=1,SUMIF(배당!$10:$10,현금흐름!BE$14,배당!$44:$44)*-1,0)</f>
        <v>0</v>
      </c>
      <c r="BF51" s="76">
        <f>IF(Cir=1,SUMIF(배당!$10:$10,현금흐름!BF$14,배당!$44:$44)*-1,0)</f>
        <v>0</v>
      </c>
      <c r="BG51" s="76">
        <f>IF(Cir=1,SUMIF(배당!$10:$10,현금흐름!BG$14,배당!$44:$44)*-1,0)</f>
        <v>0</v>
      </c>
      <c r="BH51" s="76">
        <f>IF(Cir=1,SUMIF(배당!$10:$10,현금흐름!BH$14,배당!$44:$44)*-1,0)</f>
        <v>0</v>
      </c>
      <c r="BI51" s="76">
        <f>IF(Cir=1,SUMIF(배당!$10:$10,현금흐름!BI$14,배당!$44:$44)*-1,0)</f>
        <v>0</v>
      </c>
      <c r="BJ51" s="76">
        <f ca="1">IF(Cir=1,SUMIF(배당!$10:$10,현금흐름!BJ$14,배당!$44:$44)*-1,0)</f>
        <v>-1673.75</v>
      </c>
      <c r="BK51" s="76">
        <f>IF(Cir=1,SUMIF(배당!$10:$10,현금흐름!BK$14,배당!$44:$44)*-1,0)</f>
        <v>0</v>
      </c>
      <c r="BL51" s="76">
        <f>IF(Cir=1,SUMIF(배당!$10:$10,현금흐름!BL$14,배당!$44:$44)*-1,0)</f>
        <v>0</v>
      </c>
      <c r="BM51" s="76">
        <f>IF(Cir=1,SUMIF(배당!$10:$10,현금흐름!BM$14,배당!$44:$44)*-1,0)</f>
        <v>0</v>
      </c>
      <c r="BN51" s="76">
        <f>IF(Cir=1,SUMIF(배당!$10:$10,현금흐름!BN$14,배당!$44:$44)*-1,0)</f>
        <v>0</v>
      </c>
      <c r="BO51" s="76">
        <f>IF(Cir=1,SUMIF(배당!$10:$10,현금흐름!BO$14,배당!$44:$44)*-1,0)</f>
        <v>0</v>
      </c>
      <c r="BP51" s="76">
        <f ca="1">IF(Cir=1,SUMIF(배당!$10:$10,현금흐름!BP$14,배당!$44:$44)*-1,0)</f>
        <v>-1673.75</v>
      </c>
      <c r="BQ51" s="76">
        <f>IF(Cir=1,SUMIF(배당!$10:$10,현금흐름!BQ$14,배당!$44:$44)*-1,0)</f>
        <v>0</v>
      </c>
      <c r="BR51" s="76">
        <f>IF(Cir=1,SUMIF(배당!$10:$10,현금흐름!BR$14,배당!$44:$44)*-1,0)</f>
        <v>0</v>
      </c>
      <c r="BS51" s="76">
        <f>IF(Cir=1,SUMIF(배당!$10:$10,현금흐름!BS$14,배당!$44:$44)*-1,0)</f>
        <v>0</v>
      </c>
      <c r="BT51" s="76">
        <f>IF(Cir=1,SUMIF(배당!$10:$10,현금흐름!BT$14,배당!$44:$44)*-1,0)</f>
        <v>0</v>
      </c>
      <c r="BU51" s="76">
        <f>IF(Cir=1,SUMIF(배당!$10:$10,현금흐름!BU$14,배당!$44:$44)*-1,0)</f>
        <v>0</v>
      </c>
      <c r="BV51" s="76">
        <f ca="1">IF(Cir=1,SUMIF(배당!$10:$10,현금흐름!BV$14,배당!$44:$44)*-1,0)</f>
        <v>0</v>
      </c>
      <c r="BW51" s="76">
        <f>IF(Cir=1,SUMIF(배당!$10:$10,현금흐름!BW$14,배당!$44:$44)*-1,0)</f>
        <v>0</v>
      </c>
      <c r="BX51" s="76">
        <f>IF(Cir=1,SUMIF(배당!$10:$10,현금흐름!BX$14,배당!$44:$44)*-1,0)</f>
        <v>0</v>
      </c>
      <c r="BY51" s="76">
        <f>IF(Cir=1,SUMIF(배당!$10:$10,현금흐름!BY$14,배당!$44:$44)*-1,0)</f>
        <v>0</v>
      </c>
      <c r="BZ51" s="76">
        <f>IF(Cir=1,SUMIF(배당!$10:$10,현금흐름!BZ$14,배당!$44:$44)*-1,0)</f>
        <v>0</v>
      </c>
      <c r="CA51" s="76">
        <f>IF(Cir=1,SUMIF(배당!$10:$10,현금흐름!CA$14,배당!$44:$44)*-1,0)</f>
        <v>0</v>
      </c>
      <c r="CB51" s="76">
        <f ca="1">IF(Cir=1,SUMIF(배당!$10:$10,현금흐름!CB$14,배당!$44:$44)*-1,0)</f>
        <v>0</v>
      </c>
      <c r="CC51" s="76">
        <f>IF(Cir=1,SUMIF(배당!$10:$10,현금흐름!CC$14,배당!$44:$44)*-1,0)</f>
        <v>0</v>
      </c>
      <c r="CD51" s="76">
        <f>IF(Cir=1,SUMIF(배당!$10:$10,현금흐름!CD$14,배당!$44:$44)*-1,0)</f>
        <v>0</v>
      </c>
      <c r="CE51" s="76">
        <f>IF(Cir=1,SUMIF(배당!$10:$10,현금흐름!CE$14,배당!$44:$44)*-1,0)</f>
        <v>0</v>
      </c>
      <c r="CF51" s="76">
        <f>IF(Cir=1,SUMIF(배당!$10:$10,현금흐름!CF$14,배당!$44:$44)*-1,0)</f>
        <v>0</v>
      </c>
      <c r="CG51" s="76">
        <f>IF(Cir=1,SUMIF(배당!$10:$10,현금흐름!CG$14,배당!$44:$44)*-1,0)</f>
        <v>0</v>
      </c>
      <c r="CH51" s="76">
        <f ca="1">IF(Cir=1,SUMIF(배당!$10:$10,현금흐름!CH$14,배당!$44:$44)*-1,0)</f>
        <v>0</v>
      </c>
      <c r="CI51" s="76">
        <f>IF(Cir=1,SUMIF(배당!$10:$10,현금흐름!CI$14,배당!$44:$44)*-1,0)</f>
        <v>0</v>
      </c>
      <c r="CJ51" s="76">
        <f>IF(Cir=1,SUMIF(배당!$10:$10,현금흐름!CJ$14,배당!$44:$44)*-1,0)</f>
        <v>0</v>
      </c>
      <c r="CK51" s="76">
        <f>IF(Cir=1,SUMIF(배당!$10:$10,현금흐름!CK$14,배당!$44:$44)*-1,0)</f>
        <v>0</v>
      </c>
      <c r="CL51" s="76">
        <f>IF(Cir=1,SUMIF(배당!$10:$10,현금흐름!CL$14,배당!$44:$44)*-1,0)</f>
        <v>0</v>
      </c>
      <c r="CM51" s="76">
        <f>IF(Cir=1,SUMIF(배당!$10:$10,현금흐름!CM$14,배당!$44:$44)*-1,0)</f>
        <v>0</v>
      </c>
      <c r="CN51" s="76">
        <f ca="1">IF(Cir=1,SUMIF(배당!$10:$10,현금흐름!CN$14,배당!$44:$44)*-1,0)</f>
        <v>0</v>
      </c>
      <c r="CO51" s="76">
        <f>IF(Cir=1,SUMIF(배당!$10:$10,현금흐름!CO$14,배당!$44:$44)*-1,0)</f>
        <v>0</v>
      </c>
      <c r="CP51" s="76">
        <f>IF(Cir=1,SUMIF(배당!$10:$10,현금흐름!CP$14,배당!$44:$44)*-1,0)</f>
        <v>0</v>
      </c>
      <c r="CQ51" s="76">
        <f>IF(Cir=1,SUMIF(배당!$10:$10,현금흐름!CQ$14,배당!$44:$44)*-1,0)</f>
        <v>0</v>
      </c>
      <c r="CR51" s="76">
        <f>IF(Cir=1,SUMIF(배당!$10:$10,현금흐름!CR$14,배당!$44:$44)*-1,0)</f>
        <v>0</v>
      </c>
      <c r="CS51" s="76">
        <f>IF(Cir=1,SUMIF(배당!$10:$10,현금흐름!CS$14,배당!$44:$44)*-1,0)</f>
        <v>0</v>
      </c>
      <c r="CT51" s="76">
        <f>IF(Cir=1,SUMIF(배당!$10:$10,현금흐름!CT$14,배당!$44:$44)*-1,0)</f>
        <v>0</v>
      </c>
      <c r="CU51" s="76">
        <f>IF(Cir=1,SUMIF(배당!$10:$10,현금흐름!CU$14,배당!$44:$44)*-1,0)</f>
        <v>0</v>
      </c>
      <c r="CV51" s="76">
        <f>IF(Cir=1,SUMIF(배당!$10:$10,현금흐름!CV$14,배당!$44:$44)*-1,0)</f>
        <v>0</v>
      </c>
      <c r="CW51" s="76">
        <f>IF(Cir=1,SUMIF(배당!$10:$10,현금흐름!CW$14,배당!$44:$44)*-1,0)</f>
        <v>0</v>
      </c>
      <c r="CX51" s="76">
        <f>IF(Cir=1,SUMIF(배당!$10:$10,현금흐름!CX$14,배당!$44:$44)*-1,0)</f>
        <v>0</v>
      </c>
      <c r="CY51" s="76">
        <f>IF(Cir=1,SUMIF(배당!$10:$10,현금흐름!CY$14,배당!$44:$44)*-1,0)</f>
        <v>0</v>
      </c>
      <c r="CZ51" s="76">
        <f>IF(Cir=1,SUMIF(배당!$10:$10,현금흐름!CZ$14,배당!$44:$44)*-1,0)</f>
        <v>0</v>
      </c>
      <c r="DA51" s="76">
        <f>IF(Cir=1,SUMIF(배당!$10:$10,현금흐름!DA$14,배당!$44:$44)*-1,0)</f>
        <v>0</v>
      </c>
      <c r="DB51" s="76">
        <f>IF(Cir=1,SUMIF(배당!$10:$10,현금흐름!DB$14,배당!$44:$44)*-1,0)</f>
        <v>0</v>
      </c>
    </row>
    <row r="52" spans="2:106">
      <c r="C52" s="73"/>
      <c r="D52" s="169" t="str">
        <f>D33</f>
        <v>제2종수익증권</v>
      </c>
      <c r="E52" s="73"/>
      <c r="F52" s="73">
        <f t="shared" ca="1" si="22"/>
        <v>-9426.8510546502694</v>
      </c>
      <c r="G52" s="73"/>
      <c r="H52" s="73">
        <f>IF(Cir=1,SUMIF(배당!$10:$10,현금흐름!H$14,배당!$48:$48)*-1,0)</f>
        <v>0</v>
      </c>
      <c r="I52" s="73">
        <f>IF(Cir=1,SUMIF(배당!$10:$10,현금흐름!I$14,배당!$48:$48)*-1,0)</f>
        <v>0</v>
      </c>
      <c r="J52" s="73">
        <f>IF(Cir=1,SUMIF(배당!$10:$10,현금흐름!J$14,배당!$48:$48)*-1,0)</f>
        <v>0</v>
      </c>
      <c r="K52" s="73">
        <f>IF(Cir=1,SUMIF(배당!$10:$10,현금흐름!K$14,배당!$48:$48)*-1,0)</f>
        <v>0</v>
      </c>
      <c r="L52" s="73">
        <f>IF(Cir=1,SUMIF(배당!$10:$10,현금흐름!L$14,배당!$48:$48)*-1,0)</f>
        <v>0</v>
      </c>
      <c r="M52" s="73">
        <f>IF(Cir=1,SUMIF(배당!$10:$10,현금흐름!M$14,배당!$48:$48)*-1,0)</f>
        <v>0</v>
      </c>
      <c r="N52" s="73">
        <f ca="1">IF(Cir=1,SUMIF(배당!$10:$10,현금흐름!N$14,배당!$48:$48)*-1,0)</f>
        <v>0</v>
      </c>
      <c r="O52" s="73">
        <f>IF(Cir=1,SUMIF(배당!$10:$10,현금흐름!O$14,배당!$48:$48)*-1,0)</f>
        <v>0</v>
      </c>
      <c r="P52" s="73">
        <f>IF(Cir=1,SUMIF(배당!$10:$10,현금흐름!P$14,배당!$48:$48)*-1,0)</f>
        <v>0</v>
      </c>
      <c r="Q52" s="73">
        <f>IF(Cir=1,SUMIF(배당!$10:$10,현금흐름!Q$14,배당!$48:$48)*-1,0)</f>
        <v>0</v>
      </c>
      <c r="R52" s="73">
        <f>IF(Cir=1,SUMIF(배당!$10:$10,현금흐름!R$14,배당!$48:$48)*-1,0)</f>
        <v>0</v>
      </c>
      <c r="S52" s="73">
        <f>IF(Cir=1,SUMIF(배당!$10:$10,현금흐름!S$14,배당!$48:$48)*-1,0)</f>
        <v>0</v>
      </c>
      <c r="T52" s="73">
        <f ca="1">IF(Cir=1,SUMIF(배당!$10:$10,현금흐름!T$14,배당!$48:$48)*-1,0)</f>
        <v>0</v>
      </c>
      <c r="U52" s="73">
        <f>IF(Cir=1,SUMIF(배당!$10:$10,현금흐름!U$14,배당!$48:$48)*-1,0)</f>
        <v>0</v>
      </c>
      <c r="V52" s="73">
        <f>IF(Cir=1,SUMIF(배당!$10:$10,현금흐름!V$14,배당!$48:$48)*-1,0)</f>
        <v>0</v>
      </c>
      <c r="W52" s="73">
        <f>IF(Cir=1,SUMIF(배당!$10:$10,현금흐름!W$14,배당!$48:$48)*-1,0)</f>
        <v>0</v>
      </c>
      <c r="X52" s="73">
        <f>IF(Cir=1,SUMIF(배당!$10:$10,현금흐름!X$14,배당!$48:$48)*-1,0)</f>
        <v>0</v>
      </c>
      <c r="Y52" s="73">
        <f>IF(Cir=1,SUMIF(배당!$10:$10,현금흐름!Y$14,배당!$48:$48)*-1,0)</f>
        <v>0</v>
      </c>
      <c r="Z52" s="73">
        <f ca="1">IF(Cir=1,SUMIF(배당!$10:$10,현금흐름!Z$14,배당!$48:$48)*-1,0)</f>
        <v>-54.945239319471057</v>
      </c>
      <c r="AA52" s="73">
        <f>IF(Cir=1,SUMIF(배당!$10:$10,현금흐름!AA$14,배당!$48:$48)*-1,0)</f>
        <v>0</v>
      </c>
      <c r="AB52" s="73">
        <f>IF(Cir=1,SUMIF(배당!$10:$10,현금흐름!AB$14,배당!$48:$48)*-1,0)</f>
        <v>0</v>
      </c>
      <c r="AC52" s="73">
        <f>IF(Cir=1,SUMIF(배당!$10:$10,현금흐름!AC$14,배당!$48:$48)*-1,0)</f>
        <v>0</v>
      </c>
      <c r="AD52" s="73">
        <f>IF(Cir=1,SUMIF(배당!$10:$10,현금흐름!AD$14,배당!$48:$48)*-1,0)</f>
        <v>0</v>
      </c>
      <c r="AE52" s="73">
        <f>IF(Cir=1,SUMIF(배당!$10:$10,현금흐름!AE$14,배당!$48:$48)*-1,0)</f>
        <v>0</v>
      </c>
      <c r="AF52" s="73">
        <f ca="1">IF(Cir=1,SUMIF(배당!$10:$10,현금흐름!AF$14,배당!$48:$48)*-1,0)</f>
        <v>-807.40163971117454</v>
      </c>
      <c r="AG52" s="73">
        <f>IF(Cir=1,SUMIF(배당!$10:$10,현금흐름!AG$14,배당!$48:$48)*-1,0)</f>
        <v>0</v>
      </c>
      <c r="AH52" s="73">
        <f>IF(Cir=1,SUMIF(배당!$10:$10,현금흐름!AH$14,배당!$48:$48)*-1,0)</f>
        <v>0</v>
      </c>
      <c r="AI52" s="73">
        <f>IF(Cir=1,SUMIF(배당!$10:$10,현금흐름!AI$14,배당!$48:$48)*-1,0)</f>
        <v>0</v>
      </c>
      <c r="AJ52" s="73">
        <f>IF(Cir=1,SUMIF(배당!$10:$10,현금흐름!AJ$14,배당!$48:$48)*-1,0)</f>
        <v>0</v>
      </c>
      <c r="AK52" s="73">
        <f>IF(Cir=1,SUMIF(배당!$10:$10,현금흐름!AK$14,배당!$48:$48)*-1,0)</f>
        <v>0</v>
      </c>
      <c r="AL52" s="73">
        <f ca="1">IF(Cir=1,SUMIF(배당!$10:$10,현금흐름!AL$14,배당!$48:$48)*-1,0)</f>
        <v>-584.09296881806358</v>
      </c>
      <c r="AM52" s="73">
        <f>IF(Cir=1,SUMIF(배당!$10:$10,현금흐름!AM$14,배당!$48:$48)*-1,0)</f>
        <v>0</v>
      </c>
      <c r="AN52" s="73">
        <f>IF(Cir=1,SUMIF(배당!$10:$10,현금흐름!AN$14,배당!$48:$48)*-1,0)</f>
        <v>0</v>
      </c>
      <c r="AO52" s="73">
        <f>IF(Cir=1,SUMIF(배당!$10:$10,현금흐름!AO$14,배당!$48:$48)*-1,0)</f>
        <v>0</v>
      </c>
      <c r="AP52" s="73">
        <f>IF(Cir=1,SUMIF(배당!$10:$10,현금흐름!AP$14,배당!$48:$48)*-1,0)</f>
        <v>0</v>
      </c>
      <c r="AQ52" s="73">
        <f>IF(Cir=1,SUMIF(배당!$10:$10,현금흐름!AQ$14,배당!$48:$48)*-1,0)</f>
        <v>0</v>
      </c>
      <c r="AR52" s="73">
        <f ca="1">IF(Cir=1,SUMIF(배당!$10:$10,현금흐름!AR$14,배당!$48:$48)*-1,0)</f>
        <v>-1088.3343664867261</v>
      </c>
      <c r="AS52" s="73">
        <f>IF(Cir=1,SUMIF(배당!$10:$10,현금흐름!AS$14,배당!$48:$48)*-1,0)</f>
        <v>0</v>
      </c>
      <c r="AT52" s="73">
        <f>IF(Cir=1,SUMIF(배당!$10:$10,현금흐름!AT$14,배당!$48:$48)*-1,0)</f>
        <v>0</v>
      </c>
      <c r="AU52" s="73">
        <f>IF(Cir=1,SUMIF(배당!$10:$10,현금흐름!AU$14,배당!$48:$48)*-1,0)</f>
        <v>0</v>
      </c>
      <c r="AV52" s="73">
        <f>IF(Cir=1,SUMIF(배당!$10:$10,현금흐름!AV$14,배당!$48:$48)*-1,0)</f>
        <v>0</v>
      </c>
      <c r="AW52" s="73">
        <f>IF(Cir=1,SUMIF(배당!$10:$10,현금흐름!AW$14,배당!$48:$48)*-1,0)</f>
        <v>0</v>
      </c>
      <c r="AX52" s="73">
        <f ca="1">IF(Cir=1,SUMIF(배당!$10:$10,현금흐름!AX$14,배당!$48:$48)*-1,0)</f>
        <v>-1443.5488453898661</v>
      </c>
      <c r="AY52" s="73">
        <f>IF(Cir=1,SUMIF(배당!$10:$10,현금흐름!AY$14,배당!$48:$48)*-1,0)</f>
        <v>0</v>
      </c>
      <c r="AZ52" s="73">
        <f>IF(Cir=1,SUMIF(배당!$10:$10,현금흐름!AZ$14,배당!$48:$48)*-1,0)</f>
        <v>0</v>
      </c>
      <c r="BA52" s="73">
        <f>IF(Cir=1,SUMIF(배당!$10:$10,현금흐름!BA$14,배당!$48:$48)*-1,0)</f>
        <v>0</v>
      </c>
      <c r="BB52" s="73">
        <f>IF(Cir=1,SUMIF(배당!$10:$10,현금흐름!BB$14,배당!$48:$48)*-1,0)</f>
        <v>0</v>
      </c>
      <c r="BC52" s="73">
        <f>IF(Cir=1,SUMIF(배당!$10:$10,현금흐름!BC$14,배당!$48:$48)*-1,0)</f>
        <v>0</v>
      </c>
      <c r="BD52" s="73">
        <f ca="1">IF(Cir=1,SUMIF(배당!$10:$10,현금흐름!BD$14,배당!$48:$48)*-1,0)</f>
        <v>-1588.3906371145931</v>
      </c>
      <c r="BE52" s="73">
        <f>IF(Cir=1,SUMIF(배당!$10:$10,현금흐름!BE$14,배당!$48:$48)*-1,0)</f>
        <v>0</v>
      </c>
      <c r="BF52" s="73">
        <f>IF(Cir=1,SUMIF(배당!$10:$10,현금흐름!BF$14,배당!$48:$48)*-1,0)</f>
        <v>0</v>
      </c>
      <c r="BG52" s="73">
        <f>IF(Cir=1,SUMIF(배당!$10:$10,현금흐름!BG$14,배당!$48:$48)*-1,0)</f>
        <v>0</v>
      </c>
      <c r="BH52" s="73">
        <f>IF(Cir=1,SUMIF(배당!$10:$10,현금흐름!BH$14,배당!$48:$48)*-1,0)</f>
        <v>0</v>
      </c>
      <c r="BI52" s="73">
        <f>IF(Cir=1,SUMIF(배당!$10:$10,현금흐름!BI$14,배당!$48:$48)*-1,0)</f>
        <v>0</v>
      </c>
      <c r="BJ52" s="73">
        <f ca="1">IF(Cir=1,SUMIF(배당!$10:$10,현금흐름!BJ$14,배당!$48:$48)*-1,0)</f>
        <v>-1866.5122689714321</v>
      </c>
      <c r="BK52" s="73">
        <f>IF(Cir=1,SUMIF(배당!$10:$10,현금흐름!BK$14,배당!$48:$48)*-1,0)</f>
        <v>0</v>
      </c>
      <c r="BL52" s="73">
        <f>IF(Cir=1,SUMIF(배당!$10:$10,현금흐름!BL$14,배당!$48:$48)*-1,0)</f>
        <v>0</v>
      </c>
      <c r="BM52" s="73">
        <f>IF(Cir=1,SUMIF(배당!$10:$10,현금흐름!BM$14,배당!$48:$48)*-1,0)</f>
        <v>0</v>
      </c>
      <c r="BN52" s="73">
        <f>IF(Cir=1,SUMIF(배당!$10:$10,현금흐름!BN$14,배당!$48:$48)*-1,0)</f>
        <v>0</v>
      </c>
      <c r="BO52" s="73">
        <f>IF(Cir=1,SUMIF(배당!$10:$10,현금흐름!BO$14,배당!$48:$48)*-1,0)</f>
        <v>0</v>
      </c>
      <c r="BP52" s="73">
        <f ca="1">IF(Cir=1,SUMIF(배당!$10:$10,현금흐름!BP$14,배당!$48:$48)*-1,0)</f>
        <v>-1993.6250888389432</v>
      </c>
      <c r="BQ52" s="73">
        <f>IF(Cir=1,SUMIF(배당!$10:$10,현금흐름!BQ$14,배당!$48:$48)*-1,0)</f>
        <v>0</v>
      </c>
      <c r="BR52" s="73">
        <f>IF(Cir=1,SUMIF(배당!$10:$10,현금흐름!BR$14,배당!$48:$48)*-1,0)</f>
        <v>0</v>
      </c>
      <c r="BS52" s="73">
        <f>IF(Cir=1,SUMIF(배당!$10:$10,현금흐름!BS$14,배당!$48:$48)*-1,0)</f>
        <v>0</v>
      </c>
      <c r="BT52" s="73">
        <f>IF(Cir=1,SUMIF(배당!$10:$10,현금흐름!BT$14,배당!$48:$48)*-1,0)</f>
        <v>0</v>
      </c>
      <c r="BU52" s="73">
        <f>IF(Cir=1,SUMIF(배당!$10:$10,현금흐름!BU$14,배당!$48:$48)*-1,0)</f>
        <v>0</v>
      </c>
      <c r="BV52" s="73">
        <f ca="1">IF(Cir=1,SUMIF(배당!$10:$10,현금흐름!BV$14,배당!$48:$48)*-1,0)</f>
        <v>0</v>
      </c>
      <c r="BW52" s="73">
        <f>IF(Cir=1,SUMIF(배당!$10:$10,현금흐름!BW$14,배당!$48:$48)*-1,0)</f>
        <v>0</v>
      </c>
      <c r="BX52" s="73">
        <f>IF(Cir=1,SUMIF(배당!$10:$10,현금흐름!BX$14,배당!$48:$48)*-1,0)</f>
        <v>0</v>
      </c>
      <c r="BY52" s="73">
        <f>IF(Cir=1,SUMIF(배당!$10:$10,현금흐름!BY$14,배당!$48:$48)*-1,0)</f>
        <v>0</v>
      </c>
      <c r="BZ52" s="73">
        <f>IF(Cir=1,SUMIF(배당!$10:$10,현금흐름!BZ$14,배당!$48:$48)*-1,0)</f>
        <v>0</v>
      </c>
      <c r="CA52" s="73">
        <f>IF(Cir=1,SUMIF(배당!$10:$10,현금흐름!CA$14,배당!$48:$48)*-1,0)</f>
        <v>0</v>
      </c>
      <c r="CB52" s="73">
        <f ca="1">IF(Cir=1,SUMIF(배당!$10:$10,현금흐름!CB$14,배당!$48:$48)*-1,0)</f>
        <v>0</v>
      </c>
      <c r="CC52" s="73">
        <f>IF(Cir=1,SUMIF(배당!$10:$10,현금흐름!CC$14,배당!$48:$48)*-1,0)</f>
        <v>0</v>
      </c>
      <c r="CD52" s="73">
        <f>IF(Cir=1,SUMIF(배당!$10:$10,현금흐름!CD$14,배당!$48:$48)*-1,0)</f>
        <v>0</v>
      </c>
      <c r="CE52" s="73">
        <f>IF(Cir=1,SUMIF(배당!$10:$10,현금흐름!CE$14,배당!$48:$48)*-1,0)</f>
        <v>0</v>
      </c>
      <c r="CF52" s="73">
        <f>IF(Cir=1,SUMIF(배당!$10:$10,현금흐름!CF$14,배당!$48:$48)*-1,0)</f>
        <v>0</v>
      </c>
      <c r="CG52" s="73">
        <f>IF(Cir=1,SUMIF(배당!$10:$10,현금흐름!CG$14,배당!$48:$48)*-1,0)</f>
        <v>0</v>
      </c>
      <c r="CH52" s="73">
        <f ca="1">IF(Cir=1,SUMIF(배당!$10:$10,현금흐름!CH$14,배당!$48:$48)*-1,0)</f>
        <v>0</v>
      </c>
      <c r="CI52" s="73">
        <f>IF(Cir=1,SUMIF(배당!$10:$10,현금흐름!CI$14,배당!$48:$48)*-1,0)</f>
        <v>0</v>
      </c>
      <c r="CJ52" s="73">
        <f>IF(Cir=1,SUMIF(배당!$10:$10,현금흐름!CJ$14,배당!$48:$48)*-1,0)</f>
        <v>0</v>
      </c>
      <c r="CK52" s="73">
        <f>IF(Cir=1,SUMIF(배당!$10:$10,현금흐름!CK$14,배당!$48:$48)*-1,0)</f>
        <v>0</v>
      </c>
      <c r="CL52" s="73">
        <f>IF(Cir=1,SUMIF(배당!$10:$10,현금흐름!CL$14,배당!$48:$48)*-1,0)</f>
        <v>0</v>
      </c>
      <c r="CM52" s="73">
        <f>IF(Cir=1,SUMIF(배당!$10:$10,현금흐름!CM$14,배당!$48:$48)*-1,0)</f>
        <v>0</v>
      </c>
      <c r="CN52" s="73">
        <f ca="1">IF(Cir=1,SUMIF(배당!$10:$10,현금흐름!CN$14,배당!$48:$48)*-1,0)</f>
        <v>0</v>
      </c>
      <c r="CO52" s="73">
        <f>IF(Cir=1,SUMIF(배당!$10:$10,현금흐름!CO$14,배당!$48:$48)*-1,0)</f>
        <v>0</v>
      </c>
      <c r="CP52" s="73">
        <f>IF(Cir=1,SUMIF(배당!$10:$10,현금흐름!CP$14,배당!$48:$48)*-1,0)</f>
        <v>0</v>
      </c>
      <c r="CQ52" s="73">
        <f>IF(Cir=1,SUMIF(배당!$10:$10,현금흐름!CQ$14,배당!$48:$48)*-1,0)</f>
        <v>0</v>
      </c>
      <c r="CR52" s="73">
        <f>IF(Cir=1,SUMIF(배당!$10:$10,현금흐름!CR$14,배당!$48:$48)*-1,0)</f>
        <v>0</v>
      </c>
      <c r="CS52" s="73">
        <f>IF(Cir=1,SUMIF(배당!$10:$10,현금흐름!CS$14,배당!$48:$48)*-1,0)</f>
        <v>0</v>
      </c>
      <c r="CT52" s="73">
        <f>IF(Cir=1,SUMIF(배당!$10:$10,현금흐름!CT$14,배당!$48:$48)*-1,0)</f>
        <v>0</v>
      </c>
      <c r="CU52" s="73">
        <f>IF(Cir=1,SUMIF(배당!$10:$10,현금흐름!CU$14,배당!$48:$48)*-1,0)</f>
        <v>0</v>
      </c>
      <c r="CV52" s="73">
        <f>IF(Cir=1,SUMIF(배당!$10:$10,현금흐름!CV$14,배당!$48:$48)*-1,0)</f>
        <v>0</v>
      </c>
      <c r="CW52" s="73">
        <f>IF(Cir=1,SUMIF(배당!$10:$10,현금흐름!CW$14,배당!$48:$48)*-1,0)</f>
        <v>0</v>
      </c>
      <c r="CX52" s="73">
        <f>IF(Cir=1,SUMIF(배당!$10:$10,현금흐름!CX$14,배당!$48:$48)*-1,0)</f>
        <v>0</v>
      </c>
      <c r="CY52" s="73">
        <f>IF(Cir=1,SUMIF(배당!$10:$10,현금흐름!CY$14,배당!$48:$48)*-1,0)</f>
        <v>0</v>
      </c>
      <c r="CZ52" s="73">
        <f>IF(Cir=1,SUMIF(배당!$10:$10,현금흐름!CZ$14,배당!$48:$48)*-1,0)</f>
        <v>0</v>
      </c>
      <c r="DA52" s="73">
        <f>IF(Cir=1,SUMIF(배당!$10:$10,현금흐름!DA$14,배당!$48:$48)*-1,0)</f>
        <v>0</v>
      </c>
      <c r="DB52" s="73">
        <f>IF(Cir=1,SUMIF(배당!$10:$10,현금흐름!DB$14,배당!$48:$48)*-1,0)</f>
        <v>0</v>
      </c>
    </row>
    <row r="53" spans="2:106">
      <c r="C53" s="13" t="s">
        <v>329</v>
      </c>
    </row>
    <row r="54" spans="2:106">
      <c r="D54" s="91" t="str">
        <f>D32</f>
        <v>제1종수익증권</v>
      </c>
      <c r="E54" s="76"/>
      <c r="F54" s="76">
        <f t="shared" ref="F54:F55" ca="1" si="23">SUM(H54:DB54)</f>
        <v>-5436.864594281582</v>
      </c>
      <c r="G54" s="76"/>
      <c r="H54" s="76">
        <f>IF(Cir=1,SUMIF(배당!$53:$53,현금흐름!H$14,배당!$74:$74)*-1,0)</f>
        <v>0</v>
      </c>
      <c r="I54" s="76">
        <f>IF(Cir=1,SUMIF(배당!$53:$53,현금흐름!I$14,배당!$74:$74)*-1,0)</f>
        <v>0</v>
      </c>
      <c r="J54" s="76">
        <f>IF(Cir=1,SUMIF(배당!$53:$53,현금흐름!J$14,배당!$74:$74)*-1,0)</f>
        <v>0</v>
      </c>
      <c r="K54" s="76">
        <f>IF(Cir=1,SUMIF(배당!$53:$53,현금흐름!K$14,배당!$74:$74)*-1,0)</f>
        <v>0</v>
      </c>
      <c r="L54" s="76">
        <f>IF(Cir=1,SUMIF(배당!$53:$53,현금흐름!L$14,배당!$74:$74)*-1,0)</f>
        <v>0</v>
      </c>
      <c r="M54" s="76">
        <f>IF(Cir=1,SUMIF(배당!$53:$53,현금흐름!M$14,배당!$74:$74)*-1,0)</f>
        <v>0</v>
      </c>
      <c r="N54" s="76">
        <f ca="1">IF(Cir=1,SUMIF(배당!$53:$53,현금흐름!N$14,배당!$74:$74)*-1,0)</f>
        <v>0</v>
      </c>
      <c r="O54" s="76">
        <f>IF(Cir=1,SUMIF(배당!$53:$53,현금흐름!O$14,배당!$74:$74)*-1,0)</f>
        <v>0</v>
      </c>
      <c r="P54" s="76">
        <f>IF(Cir=1,SUMIF(배당!$53:$53,현금흐름!P$14,배당!$74:$74)*-1,0)</f>
        <v>0</v>
      </c>
      <c r="Q54" s="76">
        <f>IF(Cir=1,SUMIF(배당!$53:$53,현금흐름!Q$14,배당!$74:$74)*-1,0)</f>
        <v>0</v>
      </c>
      <c r="R54" s="76">
        <f>IF(Cir=1,SUMIF(배당!$53:$53,현금흐름!R$14,배당!$74:$74)*-1,0)</f>
        <v>0</v>
      </c>
      <c r="S54" s="76">
        <f>IF(Cir=1,SUMIF(배당!$53:$53,현금흐름!S$14,배당!$74:$74)*-1,0)</f>
        <v>0</v>
      </c>
      <c r="T54" s="76">
        <f ca="1">IF(Cir=1,SUMIF(배당!$53:$53,현금흐름!T$14,배당!$74:$74)*-1,0)</f>
        <v>0</v>
      </c>
      <c r="U54" s="76">
        <f>IF(Cir=1,SUMIF(배당!$53:$53,현금흐름!U$14,배당!$74:$74)*-1,0)</f>
        <v>0</v>
      </c>
      <c r="V54" s="76">
        <f>IF(Cir=1,SUMIF(배당!$53:$53,현금흐름!V$14,배당!$74:$74)*-1,0)</f>
        <v>0</v>
      </c>
      <c r="W54" s="76">
        <f>IF(Cir=1,SUMIF(배당!$53:$53,현금흐름!W$14,배당!$74:$74)*-1,0)</f>
        <v>0</v>
      </c>
      <c r="X54" s="76">
        <f>IF(Cir=1,SUMIF(배당!$53:$53,현금흐름!X$14,배당!$74:$74)*-1,0)</f>
        <v>0</v>
      </c>
      <c r="Y54" s="76">
        <f>IF(Cir=1,SUMIF(배당!$53:$53,현금흐름!Y$14,배당!$74:$74)*-1,0)</f>
        <v>0</v>
      </c>
      <c r="Z54" s="76">
        <f ca="1">IF(Cir=1,SUMIF(배당!$53:$53,현금흐름!Z$14,배당!$74:$74)*-1,0)</f>
        <v>0</v>
      </c>
      <c r="AA54" s="76">
        <f>IF(Cir=1,SUMIF(배당!$53:$53,현금흐름!AA$14,배당!$74:$74)*-1,0)</f>
        <v>0</v>
      </c>
      <c r="AB54" s="76">
        <f>IF(Cir=1,SUMIF(배당!$53:$53,현금흐름!AB$14,배당!$74:$74)*-1,0)</f>
        <v>0</v>
      </c>
      <c r="AC54" s="76">
        <f>IF(Cir=1,SUMIF(배당!$53:$53,현금흐름!AC$14,배당!$74:$74)*-1,0)</f>
        <v>0</v>
      </c>
      <c r="AD54" s="76">
        <f>IF(Cir=1,SUMIF(배당!$53:$53,현금흐름!AD$14,배당!$74:$74)*-1,0)</f>
        <v>0</v>
      </c>
      <c r="AE54" s="76">
        <f>IF(Cir=1,SUMIF(배당!$53:$53,현금흐름!AE$14,배당!$74:$74)*-1,0)</f>
        <v>0</v>
      </c>
      <c r="AF54" s="76">
        <f ca="1">IF(Cir=1,SUMIF(배당!$53:$53,현금흐름!AF$14,배당!$74:$74)*-1,0)</f>
        <v>0</v>
      </c>
      <c r="AG54" s="76">
        <f>IF(Cir=1,SUMIF(배당!$53:$53,현금흐름!AG$14,배당!$74:$74)*-1,0)</f>
        <v>0</v>
      </c>
      <c r="AH54" s="76">
        <f>IF(Cir=1,SUMIF(배당!$53:$53,현금흐름!AH$14,배당!$74:$74)*-1,0)</f>
        <v>0</v>
      </c>
      <c r="AI54" s="76">
        <f>IF(Cir=1,SUMIF(배당!$53:$53,현금흐름!AI$14,배당!$74:$74)*-1,0)</f>
        <v>0</v>
      </c>
      <c r="AJ54" s="76">
        <f>IF(Cir=1,SUMIF(배당!$53:$53,현금흐름!AJ$14,배당!$74:$74)*-1,0)</f>
        <v>0</v>
      </c>
      <c r="AK54" s="76">
        <f>IF(Cir=1,SUMIF(배당!$53:$53,현금흐름!AK$14,배당!$74:$74)*-1,0)</f>
        <v>0</v>
      </c>
      <c r="AL54" s="76">
        <f ca="1">IF(Cir=1,SUMIF(배당!$53:$53,현금흐름!AL$14,배당!$74:$74)*-1,0)</f>
        <v>0</v>
      </c>
      <c r="AM54" s="76">
        <f>IF(Cir=1,SUMIF(배당!$53:$53,현금흐름!AM$14,배당!$74:$74)*-1,0)</f>
        <v>0</v>
      </c>
      <c r="AN54" s="76">
        <f>IF(Cir=1,SUMIF(배당!$53:$53,현금흐름!AN$14,배당!$74:$74)*-1,0)</f>
        <v>0</v>
      </c>
      <c r="AO54" s="76">
        <f>IF(Cir=1,SUMIF(배당!$53:$53,현금흐름!AO$14,배당!$74:$74)*-1,0)</f>
        <v>0</v>
      </c>
      <c r="AP54" s="76">
        <f>IF(Cir=1,SUMIF(배당!$53:$53,현금흐름!AP$14,배당!$74:$74)*-1,0)</f>
        <v>0</v>
      </c>
      <c r="AQ54" s="76">
        <f>IF(Cir=1,SUMIF(배당!$53:$53,현금흐름!AQ$14,배당!$74:$74)*-1,0)</f>
        <v>0</v>
      </c>
      <c r="AR54" s="76">
        <f ca="1">IF(Cir=1,SUMIF(배당!$53:$53,현금흐름!AR$14,배당!$74:$74)*-1,0)</f>
        <v>0</v>
      </c>
      <c r="AS54" s="76">
        <f>IF(Cir=1,SUMIF(배당!$53:$53,현금흐름!AS$14,배당!$74:$74)*-1,0)</f>
        <v>0</v>
      </c>
      <c r="AT54" s="76">
        <f>IF(Cir=1,SUMIF(배당!$53:$53,현금흐름!AT$14,배당!$74:$74)*-1,0)</f>
        <v>0</v>
      </c>
      <c r="AU54" s="76">
        <f>IF(Cir=1,SUMIF(배당!$53:$53,현금흐름!AU$14,배당!$74:$74)*-1,0)</f>
        <v>0</v>
      </c>
      <c r="AV54" s="76">
        <f>IF(Cir=1,SUMIF(배당!$53:$53,현금흐름!AV$14,배당!$74:$74)*-1,0)</f>
        <v>0</v>
      </c>
      <c r="AW54" s="76">
        <f>IF(Cir=1,SUMIF(배당!$53:$53,현금흐름!AW$14,배당!$74:$74)*-1,0)</f>
        <v>0</v>
      </c>
      <c r="AX54" s="76">
        <f ca="1">IF(Cir=1,SUMIF(배당!$53:$53,현금흐름!AX$14,배당!$74:$74)*-1,0)</f>
        <v>0</v>
      </c>
      <c r="AY54" s="76">
        <f>IF(Cir=1,SUMIF(배당!$53:$53,현금흐름!AY$14,배당!$74:$74)*-1,0)</f>
        <v>0</v>
      </c>
      <c r="AZ54" s="76">
        <f>IF(Cir=1,SUMIF(배당!$53:$53,현금흐름!AZ$14,배당!$74:$74)*-1,0)</f>
        <v>0</v>
      </c>
      <c r="BA54" s="76">
        <f>IF(Cir=1,SUMIF(배당!$53:$53,현금흐름!BA$14,배당!$74:$74)*-1,0)</f>
        <v>0</v>
      </c>
      <c r="BB54" s="76">
        <f>IF(Cir=1,SUMIF(배당!$53:$53,현금흐름!BB$14,배당!$74:$74)*-1,0)</f>
        <v>0</v>
      </c>
      <c r="BC54" s="76">
        <f>IF(Cir=1,SUMIF(배당!$53:$53,현금흐름!BC$14,배당!$74:$74)*-1,0)</f>
        <v>0</v>
      </c>
      <c r="BD54" s="76">
        <f ca="1">IF(Cir=1,SUMIF(배당!$53:$53,현금흐름!BD$14,배당!$74:$74)*-1,0)</f>
        <v>0</v>
      </c>
      <c r="BE54" s="76">
        <f>IF(Cir=1,SUMIF(배당!$53:$53,현금흐름!BE$14,배당!$74:$74)*-1,0)</f>
        <v>0</v>
      </c>
      <c r="BF54" s="76">
        <f>IF(Cir=1,SUMIF(배당!$53:$53,현금흐름!BF$14,배당!$74:$74)*-1,0)</f>
        <v>0</v>
      </c>
      <c r="BG54" s="76">
        <f>IF(Cir=1,SUMIF(배당!$53:$53,현금흐름!BG$14,배당!$74:$74)*-1,0)</f>
        <v>0</v>
      </c>
      <c r="BH54" s="76">
        <f>IF(Cir=1,SUMIF(배당!$53:$53,현금흐름!BH$14,배당!$74:$74)*-1,0)</f>
        <v>0</v>
      </c>
      <c r="BI54" s="76">
        <f>IF(Cir=1,SUMIF(배당!$53:$53,현금흐름!BI$14,배당!$74:$74)*-1,0)</f>
        <v>0</v>
      </c>
      <c r="BJ54" s="76">
        <f ca="1">IF(Cir=1,SUMIF(배당!$53:$53,현금흐름!BJ$14,배당!$74:$74)*-1,0)</f>
        <v>0</v>
      </c>
      <c r="BK54" s="76">
        <f>IF(Cir=1,SUMIF(배당!$53:$53,현금흐름!BK$14,배당!$74:$74)*-1,0)</f>
        <v>0</v>
      </c>
      <c r="BL54" s="76">
        <f>IF(Cir=1,SUMIF(배당!$53:$53,현금흐름!BL$14,배당!$74:$74)*-1,0)</f>
        <v>0</v>
      </c>
      <c r="BM54" s="76">
        <f>IF(Cir=1,SUMIF(배당!$53:$53,현금흐름!BM$14,배당!$74:$74)*-1,0)</f>
        <v>0</v>
      </c>
      <c r="BN54" s="76">
        <f>IF(Cir=1,SUMIF(배당!$53:$53,현금흐름!BN$14,배당!$74:$74)*-1,0)</f>
        <v>0</v>
      </c>
      <c r="BO54" s="76">
        <f>IF(Cir=1,SUMIF(배당!$53:$53,현금흐름!BO$14,배당!$74:$74)*-1,0)</f>
        <v>0</v>
      </c>
      <c r="BP54" s="76">
        <f ca="1">IF(Cir=1,SUMIF(배당!$53:$53,현금흐름!BP$14,배당!$74:$74)*-1,0)</f>
        <v>-5436.864594281582</v>
      </c>
      <c r="BQ54" s="76">
        <f>IF(Cir=1,SUMIF(배당!$53:$53,현금흐름!BQ$14,배당!$74:$74)*-1,0)</f>
        <v>0</v>
      </c>
      <c r="BR54" s="76">
        <f>IF(Cir=1,SUMIF(배당!$53:$53,현금흐름!BR$14,배당!$74:$74)*-1,0)</f>
        <v>0</v>
      </c>
      <c r="BS54" s="76">
        <f>IF(Cir=1,SUMIF(배당!$53:$53,현금흐름!BS$14,배당!$74:$74)*-1,0)</f>
        <v>0</v>
      </c>
      <c r="BT54" s="76">
        <f>IF(Cir=1,SUMIF(배당!$53:$53,현금흐름!BT$14,배당!$74:$74)*-1,0)</f>
        <v>0</v>
      </c>
      <c r="BU54" s="76">
        <f>IF(Cir=1,SUMIF(배당!$53:$53,현금흐름!BU$14,배당!$74:$74)*-1,0)</f>
        <v>0</v>
      </c>
      <c r="BV54" s="76">
        <f ca="1">IF(Cir=1,SUMIF(배당!$53:$53,현금흐름!BV$14,배당!$74:$74)*-1,0)</f>
        <v>0</v>
      </c>
      <c r="BW54" s="76">
        <f>IF(Cir=1,SUMIF(배당!$53:$53,현금흐름!BW$14,배당!$74:$74)*-1,0)</f>
        <v>0</v>
      </c>
      <c r="BX54" s="76">
        <f>IF(Cir=1,SUMIF(배당!$53:$53,현금흐름!BX$14,배당!$74:$74)*-1,0)</f>
        <v>0</v>
      </c>
      <c r="BY54" s="76">
        <f>IF(Cir=1,SUMIF(배당!$53:$53,현금흐름!BY$14,배당!$74:$74)*-1,0)</f>
        <v>0</v>
      </c>
      <c r="BZ54" s="76">
        <f>IF(Cir=1,SUMIF(배당!$53:$53,현금흐름!BZ$14,배당!$74:$74)*-1,0)</f>
        <v>0</v>
      </c>
      <c r="CA54" s="76">
        <f>IF(Cir=1,SUMIF(배당!$53:$53,현금흐름!CA$14,배당!$74:$74)*-1,0)</f>
        <v>0</v>
      </c>
      <c r="CB54" s="76">
        <f ca="1">IF(Cir=1,SUMIF(배당!$53:$53,현금흐름!CB$14,배당!$74:$74)*-1,0)</f>
        <v>0</v>
      </c>
      <c r="CC54" s="76">
        <f>IF(Cir=1,SUMIF(배당!$53:$53,현금흐름!CC$14,배당!$74:$74)*-1,0)</f>
        <v>0</v>
      </c>
      <c r="CD54" s="76">
        <f>IF(Cir=1,SUMIF(배당!$53:$53,현금흐름!CD$14,배당!$74:$74)*-1,0)</f>
        <v>0</v>
      </c>
      <c r="CE54" s="76">
        <f>IF(Cir=1,SUMIF(배당!$53:$53,현금흐름!CE$14,배당!$74:$74)*-1,0)</f>
        <v>0</v>
      </c>
      <c r="CF54" s="76">
        <f>IF(Cir=1,SUMIF(배당!$53:$53,현금흐름!CF$14,배당!$74:$74)*-1,0)</f>
        <v>0</v>
      </c>
      <c r="CG54" s="76">
        <f>IF(Cir=1,SUMIF(배당!$53:$53,현금흐름!CG$14,배당!$74:$74)*-1,0)</f>
        <v>0</v>
      </c>
      <c r="CH54" s="76">
        <f ca="1">IF(Cir=1,SUMIF(배당!$53:$53,현금흐름!CH$14,배당!$74:$74)*-1,0)</f>
        <v>0</v>
      </c>
      <c r="CI54" s="76">
        <f>IF(Cir=1,SUMIF(배당!$53:$53,현금흐름!CI$14,배당!$74:$74)*-1,0)</f>
        <v>0</v>
      </c>
      <c r="CJ54" s="76">
        <f>IF(Cir=1,SUMIF(배당!$53:$53,현금흐름!CJ$14,배당!$74:$74)*-1,0)</f>
        <v>0</v>
      </c>
      <c r="CK54" s="76">
        <f>IF(Cir=1,SUMIF(배당!$53:$53,현금흐름!CK$14,배당!$74:$74)*-1,0)</f>
        <v>0</v>
      </c>
      <c r="CL54" s="76">
        <f>IF(Cir=1,SUMIF(배당!$53:$53,현금흐름!CL$14,배당!$74:$74)*-1,0)</f>
        <v>0</v>
      </c>
      <c r="CM54" s="76">
        <f>IF(Cir=1,SUMIF(배당!$53:$53,현금흐름!CM$14,배당!$74:$74)*-1,0)</f>
        <v>0</v>
      </c>
      <c r="CN54" s="76">
        <f ca="1">IF(Cir=1,SUMIF(배당!$53:$53,현금흐름!CN$14,배당!$74:$74)*-1,0)</f>
        <v>0</v>
      </c>
      <c r="CO54" s="76">
        <f>IF(Cir=1,SUMIF(배당!$53:$53,현금흐름!CO$14,배당!$74:$74)*-1,0)</f>
        <v>0</v>
      </c>
      <c r="CP54" s="76">
        <f>IF(Cir=1,SUMIF(배당!$53:$53,현금흐름!CP$14,배당!$74:$74)*-1,0)</f>
        <v>0</v>
      </c>
      <c r="CQ54" s="76">
        <f>IF(Cir=1,SUMIF(배당!$53:$53,현금흐름!CQ$14,배당!$74:$74)*-1,0)</f>
        <v>0</v>
      </c>
      <c r="CR54" s="76">
        <f>IF(Cir=1,SUMIF(배당!$53:$53,현금흐름!CR$14,배당!$74:$74)*-1,0)</f>
        <v>0</v>
      </c>
      <c r="CS54" s="76">
        <f>IF(Cir=1,SUMIF(배당!$53:$53,현금흐름!CS$14,배당!$74:$74)*-1,0)</f>
        <v>0</v>
      </c>
      <c r="CT54" s="76">
        <f>IF(Cir=1,SUMIF(배당!$53:$53,현금흐름!CT$14,배당!$74:$74)*-1,0)</f>
        <v>0</v>
      </c>
      <c r="CU54" s="76">
        <f>IF(Cir=1,SUMIF(배당!$53:$53,현금흐름!CU$14,배당!$74:$74)*-1,0)</f>
        <v>0</v>
      </c>
      <c r="CV54" s="76">
        <f>IF(Cir=1,SUMIF(배당!$53:$53,현금흐름!CV$14,배당!$74:$74)*-1,0)</f>
        <v>0</v>
      </c>
      <c r="CW54" s="76">
        <f>IF(Cir=1,SUMIF(배당!$53:$53,현금흐름!CW$14,배당!$74:$74)*-1,0)</f>
        <v>0</v>
      </c>
      <c r="CX54" s="76">
        <f>IF(Cir=1,SUMIF(배당!$53:$53,현금흐름!CX$14,배당!$74:$74)*-1,0)</f>
        <v>0</v>
      </c>
      <c r="CY54" s="76">
        <f>IF(Cir=1,SUMIF(배당!$53:$53,현금흐름!CY$14,배당!$74:$74)*-1,0)</f>
        <v>0</v>
      </c>
      <c r="CZ54" s="76">
        <f>IF(Cir=1,SUMIF(배당!$53:$53,현금흐름!CZ$14,배당!$74:$74)*-1,0)</f>
        <v>0</v>
      </c>
      <c r="DA54" s="76">
        <f>IF(Cir=1,SUMIF(배당!$53:$53,현금흐름!DA$14,배당!$74:$74)*-1,0)</f>
        <v>0</v>
      </c>
      <c r="DB54" s="76">
        <f>IF(Cir=1,SUMIF(배당!$53:$53,현금흐름!DB$14,배당!$74:$74)*-1,0)</f>
        <v>0</v>
      </c>
    </row>
    <row r="55" spans="2:106">
      <c r="D55" s="169" t="str">
        <f>D33</f>
        <v>제2종수익증권</v>
      </c>
      <c r="E55" s="73"/>
      <c r="F55" s="73">
        <f t="shared" ca="1" si="23"/>
        <v>-48931.781348534234</v>
      </c>
      <c r="G55" s="73"/>
      <c r="H55" s="73">
        <f>IF(Cir=1,SUMIF(배당!$53:$53,현금흐름!H$14,배당!$75:$75)*-1,0)</f>
        <v>0</v>
      </c>
      <c r="I55" s="73">
        <f>IF(Cir=1,SUMIF(배당!$53:$53,현금흐름!I$14,배당!$75:$75)*-1,0)</f>
        <v>0</v>
      </c>
      <c r="J55" s="73">
        <f>IF(Cir=1,SUMIF(배당!$53:$53,현금흐름!J$14,배당!$75:$75)*-1,0)</f>
        <v>0</v>
      </c>
      <c r="K55" s="73">
        <f>IF(Cir=1,SUMIF(배당!$53:$53,현금흐름!K$14,배당!$75:$75)*-1,0)</f>
        <v>0</v>
      </c>
      <c r="L55" s="73">
        <f>IF(Cir=1,SUMIF(배당!$53:$53,현금흐름!L$14,배당!$75:$75)*-1,0)</f>
        <v>0</v>
      </c>
      <c r="M55" s="73">
        <f>IF(Cir=1,SUMIF(배당!$53:$53,현금흐름!M$14,배당!$75:$75)*-1,0)</f>
        <v>0</v>
      </c>
      <c r="N55" s="73">
        <f ca="1">IF(Cir=1,SUMIF(배당!$53:$53,현금흐름!N$14,배당!$75:$75)*-1,0)</f>
        <v>0</v>
      </c>
      <c r="O55" s="73">
        <f>IF(Cir=1,SUMIF(배당!$53:$53,현금흐름!O$14,배당!$75:$75)*-1,0)</f>
        <v>0</v>
      </c>
      <c r="P55" s="73">
        <f>IF(Cir=1,SUMIF(배당!$53:$53,현금흐름!P$14,배당!$75:$75)*-1,0)</f>
        <v>0</v>
      </c>
      <c r="Q55" s="73">
        <f>IF(Cir=1,SUMIF(배당!$53:$53,현금흐름!Q$14,배당!$75:$75)*-1,0)</f>
        <v>0</v>
      </c>
      <c r="R55" s="73">
        <f>IF(Cir=1,SUMIF(배당!$53:$53,현금흐름!R$14,배당!$75:$75)*-1,0)</f>
        <v>0</v>
      </c>
      <c r="S55" s="73">
        <f>IF(Cir=1,SUMIF(배당!$53:$53,현금흐름!S$14,배당!$75:$75)*-1,0)</f>
        <v>0</v>
      </c>
      <c r="T55" s="73">
        <f ca="1">IF(Cir=1,SUMIF(배당!$53:$53,현금흐름!T$14,배당!$75:$75)*-1,0)</f>
        <v>0</v>
      </c>
      <c r="U55" s="73">
        <f>IF(Cir=1,SUMIF(배당!$53:$53,현금흐름!U$14,배당!$75:$75)*-1,0)</f>
        <v>0</v>
      </c>
      <c r="V55" s="73">
        <f>IF(Cir=1,SUMIF(배당!$53:$53,현금흐름!V$14,배당!$75:$75)*-1,0)</f>
        <v>0</v>
      </c>
      <c r="W55" s="73">
        <f>IF(Cir=1,SUMIF(배당!$53:$53,현금흐름!W$14,배당!$75:$75)*-1,0)</f>
        <v>0</v>
      </c>
      <c r="X55" s="73">
        <f>IF(Cir=1,SUMIF(배당!$53:$53,현금흐름!X$14,배당!$75:$75)*-1,0)</f>
        <v>0</v>
      </c>
      <c r="Y55" s="73">
        <f>IF(Cir=1,SUMIF(배당!$53:$53,현금흐름!Y$14,배당!$75:$75)*-1,0)</f>
        <v>0</v>
      </c>
      <c r="Z55" s="73">
        <f ca="1">IF(Cir=1,SUMIF(배당!$53:$53,현금흐름!Z$14,배당!$75:$75)*-1,0)</f>
        <v>0</v>
      </c>
      <c r="AA55" s="73">
        <f>IF(Cir=1,SUMIF(배당!$53:$53,현금흐름!AA$14,배당!$75:$75)*-1,0)</f>
        <v>0</v>
      </c>
      <c r="AB55" s="73">
        <f>IF(Cir=1,SUMIF(배당!$53:$53,현금흐름!AB$14,배당!$75:$75)*-1,0)</f>
        <v>0</v>
      </c>
      <c r="AC55" s="73">
        <f>IF(Cir=1,SUMIF(배당!$53:$53,현금흐름!AC$14,배당!$75:$75)*-1,0)</f>
        <v>0</v>
      </c>
      <c r="AD55" s="73">
        <f>IF(Cir=1,SUMIF(배당!$53:$53,현금흐름!AD$14,배당!$75:$75)*-1,0)</f>
        <v>0</v>
      </c>
      <c r="AE55" s="73">
        <f>IF(Cir=1,SUMIF(배당!$53:$53,현금흐름!AE$14,배당!$75:$75)*-1,0)</f>
        <v>0</v>
      </c>
      <c r="AF55" s="73">
        <f ca="1">IF(Cir=1,SUMIF(배당!$53:$53,현금흐름!AF$14,배당!$75:$75)*-1,0)</f>
        <v>0</v>
      </c>
      <c r="AG55" s="73">
        <f>IF(Cir=1,SUMIF(배당!$53:$53,현금흐름!AG$14,배당!$75:$75)*-1,0)</f>
        <v>0</v>
      </c>
      <c r="AH55" s="73">
        <f>IF(Cir=1,SUMIF(배당!$53:$53,현금흐름!AH$14,배당!$75:$75)*-1,0)</f>
        <v>0</v>
      </c>
      <c r="AI55" s="73">
        <f>IF(Cir=1,SUMIF(배당!$53:$53,현금흐름!AI$14,배당!$75:$75)*-1,0)</f>
        <v>0</v>
      </c>
      <c r="AJ55" s="73">
        <f>IF(Cir=1,SUMIF(배당!$53:$53,현금흐름!AJ$14,배당!$75:$75)*-1,0)</f>
        <v>0</v>
      </c>
      <c r="AK55" s="73">
        <f>IF(Cir=1,SUMIF(배당!$53:$53,현금흐름!AK$14,배당!$75:$75)*-1,0)</f>
        <v>0</v>
      </c>
      <c r="AL55" s="73">
        <f ca="1">IF(Cir=1,SUMIF(배당!$53:$53,현금흐름!AL$14,배당!$75:$75)*-1,0)</f>
        <v>0</v>
      </c>
      <c r="AM55" s="73">
        <f>IF(Cir=1,SUMIF(배당!$53:$53,현금흐름!AM$14,배당!$75:$75)*-1,0)</f>
        <v>0</v>
      </c>
      <c r="AN55" s="73">
        <f>IF(Cir=1,SUMIF(배당!$53:$53,현금흐름!AN$14,배당!$75:$75)*-1,0)</f>
        <v>0</v>
      </c>
      <c r="AO55" s="73">
        <f>IF(Cir=1,SUMIF(배당!$53:$53,현금흐름!AO$14,배당!$75:$75)*-1,0)</f>
        <v>0</v>
      </c>
      <c r="AP55" s="73">
        <f>IF(Cir=1,SUMIF(배당!$53:$53,현금흐름!AP$14,배당!$75:$75)*-1,0)</f>
        <v>0</v>
      </c>
      <c r="AQ55" s="73">
        <f>IF(Cir=1,SUMIF(배당!$53:$53,현금흐름!AQ$14,배당!$75:$75)*-1,0)</f>
        <v>0</v>
      </c>
      <c r="AR55" s="73">
        <f ca="1">IF(Cir=1,SUMIF(배당!$53:$53,현금흐름!AR$14,배당!$75:$75)*-1,0)</f>
        <v>0</v>
      </c>
      <c r="AS55" s="73">
        <f>IF(Cir=1,SUMIF(배당!$53:$53,현금흐름!AS$14,배당!$75:$75)*-1,0)</f>
        <v>0</v>
      </c>
      <c r="AT55" s="73">
        <f>IF(Cir=1,SUMIF(배당!$53:$53,현금흐름!AT$14,배당!$75:$75)*-1,0)</f>
        <v>0</v>
      </c>
      <c r="AU55" s="73">
        <f>IF(Cir=1,SUMIF(배당!$53:$53,현금흐름!AU$14,배당!$75:$75)*-1,0)</f>
        <v>0</v>
      </c>
      <c r="AV55" s="73">
        <f>IF(Cir=1,SUMIF(배당!$53:$53,현금흐름!AV$14,배당!$75:$75)*-1,0)</f>
        <v>0</v>
      </c>
      <c r="AW55" s="73">
        <f>IF(Cir=1,SUMIF(배당!$53:$53,현금흐름!AW$14,배당!$75:$75)*-1,0)</f>
        <v>0</v>
      </c>
      <c r="AX55" s="73">
        <f ca="1">IF(Cir=1,SUMIF(배당!$53:$53,현금흐름!AX$14,배당!$75:$75)*-1,0)</f>
        <v>0</v>
      </c>
      <c r="AY55" s="73">
        <f>IF(Cir=1,SUMIF(배당!$53:$53,현금흐름!AY$14,배당!$75:$75)*-1,0)</f>
        <v>0</v>
      </c>
      <c r="AZ55" s="73">
        <f>IF(Cir=1,SUMIF(배당!$53:$53,현금흐름!AZ$14,배당!$75:$75)*-1,0)</f>
        <v>0</v>
      </c>
      <c r="BA55" s="73">
        <f>IF(Cir=1,SUMIF(배당!$53:$53,현금흐름!BA$14,배당!$75:$75)*-1,0)</f>
        <v>0</v>
      </c>
      <c r="BB55" s="73">
        <f>IF(Cir=1,SUMIF(배당!$53:$53,현금흐름!BB$14,배당!$75:$75)*-1,0)</f>
        <v>0</v>
      </c>
      <c r="BC55" s="73">
        <f>IF(Cir=1,SUMIF(배당!$53:$53,현금흐름!BC$14,배당!$75:$75)*-1,0)</f>
        <v>0</v>
      </c>
      <c r="BD55" s="73">
        <f ca="1">IF(Cir=1,SUMIF(배당!$53:$53,현금흐름!BD$14,배당!$75:$75)*-1,0)</f>
        <v>0</v>
      </c>
      <c r="BE55" s="73">
        <f>IF(Cir=1,SUMIF(배당!$53:$53,현금흐름!BE$14,배당!$75:$75)*-1,0)</f>
        <v>0</v>
      </c>
      <c r="BF55" s="73">
        <f>IF(Cir=1,SUMIF(배당!$53:$53,현금흐름!BF$14,배당!$75:$75)*-1,0)</f>
        <v>0</v>
      </c>
      <c r="BG55" s="73">
        <f>IF(Cir=1,SUMIF(배당!$53:$53,현금흐름!BG$14,배당!$75:$75)*-1,0)</f>
        <v>0</v>
      </c>
      <c r="BH55" s="73">
        <f>IF(Cir=1,SUMIF(배당!$53:$53,현금흐름!BH$14,배당!$75:$75)*-1,0)</f>
        <v>0</v>
      </c>
      <c r="BI55" s="73">
        <f>IF(Cir=1,SUMIF(배당!$53:$53,현금흐름!BI$14,배당!$75:$75)*-1,0)</f>
        <v>0</v>
      </c>
      <c r="BJ55" s="73">
        <f ca="1">IF(Cir=1,SUMIF(배당!$53:$53,현금흐름!BJ$14,배당!$75:$75)*-1,0)</f>
        <v>0</v>
      </c>
      <c r="BK55" s="73">
        <f>IF(Cir=1,SUMIF(배당!$53:$53,현금흐름!BK$14,배당!$75:$75)*-1,0)</f>
        <v>0</v>
      </c>
      <c r="BL55" s="73">
        <f>IF(Cir=1,SUMIF(배당!$53:$53,현금흐름!BL$14,배당!$75:$75)*-1,0)</f>
        <v>0</v>
      </c>
      <c r="BM55" s="73">
        <f>IF(Cir=1,SUMIF(배당!$53:$53,현금흐름!BM$14,배당!$75:$75)*-1,0)</f>
        <v>0</v>
      </c>
      <c r="BN55" s="73">
        <f>IF(Cir=1,SUMIF(배당!$53:$53,현금흐름!BN$14,배당!$75:$75)*-1,0)</f>
        <v>0</v>
      </c>
      <c r="BO55" s="73">
        <f>IF(Cir=1,SUMIF(배당!$53:$53,현금흐름!BO$14,배당!$75:$75)*-1,0)</f>
        <v>0</v>
      </c>
      <c r="BP55" s="73">
        <f ca="1">IF(Cir=1,SUMIF(배당!$53:$53,현금흐름!BP$14,배당!$75:$75)*-1,0)</f>
        <v>-48931.781348534234</v>
      </c>
      <c r="BQ55" s="73">
        <f>IF(Cir=1,SUMIF(배당!$53:$53,현금흐름!BQ$14,배당!$75:$75)*-1,0)</f>
        <v>0</v>
      </c>
      <c r="BR55" s="73">
        <f>IF(Cir=1,SUMIF(배당!$53:$53,현금흐름!BR$14,배당!$75:$75)*-1,0)</f>
        <v>0</v>
      </c>
      <c r="BS55" s="73">
        <f>IF(Cir=1,SUMIF(배당!$53:$53,현금흐름!BS$14,배당!$75:$75)*-1,0)</f>
        <v>0</v>
      </c>
      <c r="BT55" s="73">
        <f>IF(Cir=1,SUMIF(배당!$53:$53,현금흐름!BT$14,배당!$75:$75)*-1,0)</f>
        <v>0</v>
      </c>
      <c r="BU55" s="73">
        <f>IF(Cir=1,SUMIF(배당!$53:$53,현금흐름!BU$14,배당!$75:$75)*-1,0)</f>
        <v>0</v>
      </c>
      <c r="BV55" s="73">
        <f ca="1">IF(Cir=1,SUMIF(배당!$53:$53,현금흐름!BV$14,배당!$75:$75)*-1,0)</f>
        <v>0</v>
      </c>
      <c r="BW55" s="73">
        <f>IF(Cir=1,SUMIF(배당!$53:$53,현금흐름!BW$14,배당!$75:$75)*-1,0)</f>
        <v>0</v>
      </c>
      <c r="BX55" s="73">
        <f>IF(Cir=1,SUMIF(배당!$53:$53,현금흐름!BX$14,배당!$75:$75)*-1,0)</f>
        <v>0</v>
      </c>
      <c r="BY55" s="73">
        <f>IF(Cir=1,SUMIF(배당!$53:$53,현금흐름!BY$14,배당!$75:$75)*-1,0)</f>
        <v>0</v>
      </c>
      <c r="BZ55" s="73">
        <f>IF(Cir=1,SUMIF(배당!$53:$53,현금흐름!BZ$14,배당!$75:$75)*-1,0)</f>
        <v>0</v>
      </c>
      <c r="CA55" s="73">
        <f>IF(Cir=1,SUMIF(배당!$53:$53,현금흐름!CA$14,배당!$75:$75)*-1,0)</f>
        <v>0</v>
      </c>
      <c r="CB55" s="73">
        <f ca="1">IF(Cir=1,SUMIF(배당!$53:$53,현금흐름!CB$14,배당!$75:$75)*-1,0)</f>
        <v>0</v>
      </c>
      <c r="CC55" s="73">
        <f>IF(Cir=1,SUMIF(배당!$53:$53,현금흐름!CC$14,배당!$75:$75)*-1,0)</f>
        <v>0</v>
      </c>
      <c r="CD55" s="73">
        <f>IF(Cir=1,SUMIF(배당!$53:$53,현금흐름!CD$14,배당!$75:$75)*-1,0)</f>
        <v>0</v>
      </c>
      <c r="CE55" s="73">
        <f>IF(Cir=1,SUMIF(배당!$53:$53,현금흐름!CE$14,배당!$75:$75)*-1,0)</f>
        <v>0</v>
      </c>
      <c r="CF55" s="73">
        <f>IF(Cir=1,SUMIF(배당!$53:$53,현금흐름!CF$14,배당!$75:$75)*-1,0)</f>
        <v>0</v>
      </c>
      <c r="CG55" s="73">
        <f>IF(Cir=1,SUMIF(배당!$53:$53,현금흐름!CG$14,배당!$75:$75)*-1,0)</f>
        <v>0</v>
      </c>
      <c r="CH55" s="73">
        <f ca="1">IF(Cir=1,SUMIF(배당!$53:$53,현금흐름!CH$14,배당!$75:$75)*-1,0)</f>
        <v>0</v>
      </c>
      <c r="CI55" s="73">
        <f>IF(Cir=1,SUMIF(배당!$53:$53,현금흐름!CI$14,배당!$75:$75)*-1,0)</f>
        <v>0</v>
      </c>
      <c r="CJ55" s="73">
        <f>IF(Cir=1,SUMIF(배당!$53:$53,현금흐름!CJ$14,배당!$75:$75)*-1,0)</f>
        <v>0</v>
      </c>
      <c r="CK55" s="73">
        <f>IF(Cir=1,SUMIF(배당!$53:$53,현금흐름!CK$14,배당!$75:$75)*-1,0)</f>
        <v>0</v>
      </c>
      <c r="CL55" s="73">
        <f>IF(Cir=1,SUMIF(배당!$53:$53,현금흐름!CL$14,배당!$75:$75)*-1,0)</f>
        <v>0</v>
      </c>
      <c r="CM55" s="73">
        <f>IF(Cir=1,SUMIF(배당!$53:$53,현금흐름!CM$14,배당!$75:$75)*-1,0)</f>
        <v>0</v>
      </c>
      <c r="CN55" s="73">
        <f ca="1">IF(Cir=1,SUMIF(배당!$53:$53,현금흐름!CN$14,배당!$75:$75)*-1,0)</f>
        <v>0</v>
      </c>
      <c r="CO55" s="73">
        <f>IF(Cir=1,SUMIF(배당!$53:$53,현금흐름!CO$14,배당!$75:$75)*-1,0)</f>
        <v>0</v>
      </c>
      <c r="CP55" s="73">
        <f>IF(Cir=1,SUMIF(배당!$53:$53,현금흐름!CP$14,배당!$75:$75)*-1,0)</f>
        <v>0</v>
      </c>
      <c r="CQ55" s="73">
        <f>IF(Cir=1,SUMIF(배당!$53:$53,현금흐름!CQ$14,배당!$75:$75)*-1,0)</f>
        <v>0</v>
      </c>
      <c r="CR55" s="73">
        <f>IF(Cir=1,SUMIF(배당!$53:$53,현금흐름!CR$14,배당!$75:$75)*-1,0)</f>
        <v>0</v>
      </c>
      <c r="CS55" s="73">
        <f>IF(Cir=1,SUMIF(배당!$53:$53,현금흐름!CS$14,배당!$75:$75)*-1,0)</f>
        <v>0</v>
      </c>
      <c r="CT55" s="73">
        <f>IF(Cir=1,SUMIF(배당!$53:$53,현금흐름!CT$14,배당!$75:$75)*-1,0)</f>
        <v>0</v>
      </c>
      <c r="CU55" s="73">
        <f>IF(Cir=1,SUMIF(배당!$53:$53,현금흐름!CU$14,배당!$75:$75)*-1,0)</f>
        <v>0</v>
      </c>
      <c r="CV55" s="73">
        <f>IF(Cir=1,SUMIF(배당!$53:$53,현금흐름!CV$14,배당!$75:$75)*-1,0)</f>
        <v>0</v>
      </c>
      <c r="CW55" s="73">
        <f>IF(Cir=1,SUMIF(배당!$53:$53,현금흐름!CW$14,배당!$75:$75)*-1,0)</f>
        <v>0</v>
      </c>
      <c r="CX55" s="73">
        <f>IF(Cir=1,SUMIF(배당!$53:$53,현금흐름!CX$14,배당!$75:$75)*-1,0)</f>
        <v>0</v>
      </c>
      <c r="CY55" s="73">
        <f>IF(Cir=1,SUMIF(배당!$53:$53,현금흐름!CY$14,배당!$75:$75)*-1,0)</f>
        <v>0</v>
      </c>
      <c r="CZ55" s="73">
        <f>IF(Cir=1,SUMIF(배당!$53:$53,현금흐름!CZ$14,배당!$75:$75)*-1,0)</f>
        <v>0</v>
      </c>
      <c r="DA55" s="73">
        <f>IF(Cir=1,SUMIF(배당!$53:$53,현금흐름!DA$14,배당!$75:$75)*-1,0)</f>
        <v>0</v>
      </c>
      <c r="DB55" s="73">
        <f>IF(Cir=1,SUMIF(배당!$53:$53,현금흐름!DB$14,배당!$75:$75)*-1,0)</f>
        <v>0</v>
      </c>
    </row>
    <row r="56" spans="2:106">
      <c r="C56" s="96" t="s">
        <v>331</v>
      </c>
      <c r="D56" s="96"/>
      <c r="E56" s="96"/>
      <c r="F56" s="96">
        <f ca="1">SUM(H56:DB56)</f>
        <v>-80532.99699746602</v>
      </c>
      <c r="G56" s="96"/>
      <c r="H56" s="96">
        <f ca="1">SUM(H32:H55)</f>
        <v>258513.77317456825</v>
      </c>
      <c r="I56" s="96">
        <f t="shared" ref="I56:BT56" ca="1" si="24">SUM(I32:I55)</f>
        <v>1294.67825025</v>
      </c>
      <c r="J56" s="96">
        <f t="shared" ca="1" si="24"/>
        <v>-205.30432999999994</v>
      </c>
      <c r="K56" s="96">
        <f t="shared" ca="1" si="24"/>
        <v>544.68664249999983</v>
      </c>
      <c r="L56" s="96">
        <f t="shared" ca="1" si="24"/>
        <v>0</v>
      </c>
      <c r="M56" s="96">
        <f t="shared" ca="1" si="24"/>
        <v>0</v>
      </c>
      <c r="N56" s="96">
        <f t="shared" ca="1" si="24"/>
        <v>-637.51498084781133</v>
      </c>
      <c r="O56" s="96">
        <f t="shared" ca="1" si="24"/>
        <v>385.47054699999899</v>
      </c>
      <c r="P56" s="96">
        <f t="shared" ca="1" si="24"/>
        <v>0</v>
      </c>
      <c r="Q56" s="96">
        <f t="shared" ca="1" si="24"/>
        <v>0</v>
      </c>
      <c r="R56" s="96">
        <f t="shared" ca="1" si="24"/>
        <v>0</v>
      </c>
      <c r="S56" s="96">
        <f t="shared" ca="1" si="24"/>
        <v>0</v>
      </c>
      <c r="T56" s="96">
        <f t="shared" ca="1" si="24"/>
        <v>-1604.3997161043135</v>
      </c>
      <c r="U56" s="96">
        <f t="shared" ca="1" si="24"/>
        <v>0</v>
      </c>
      <c r="V56" s="96">
        <f t="shared" ca="1" si="24"/>
        <v>0</v>
      </c>
      <c r="W56" s="96">
        <f t="shared" ca="1" si="24"/>
        <v>0</v>
      </c>
      <c r="X56" s="96">
        <f t="shared" ca="1" si="24"/>
        <v>0</v>
      </c>
      <c r="Y56" s="96">
        <f t="shared" ca="1" si="24"/>
        <v>0</v>
      </c>
      <c r="Z56" s="96">
        <f t="shared" ca="1" si="24"/>
        <v>-2394.342692367346</v>
      </c>
      <c r="AA56" s="96">
        <f t="shared" ca="1" si="24"/>
        <v>0</v>
      </c>
      <c r="AB56" s="96">
        <f t="shared" ca="1" si="24"/>
        <v>0</v>
      </c>
      <c r="AC56" s="96">
        <f t="shared" ca="1" si="24"/>
        <v>0</v>
      </c>
      <c r="AD56" s="96">
        <f t="shared" ca="1" si="24"/>
        <v>0</v>
      </c>
      <c r="AE56" s="96">
        <f t="shared" ca="1" si="24"/>
        <v>0</v>
      </c>
      <c r="AF56" s="96">
        <f t="shared" ca="1" si="24"/>
        <v>-2481.1516397111745</v>
      </c>
      <c r="AG56" s="96">
        <f t="shared" ca="1" si="24"/>
        <v>64.866526308787797</v>
      </c>
      <c r="AH56" s="96">
        <f t="shared" ca="1" si="24"/>
        <v>0</v>
      </c>
      <c r="AI56" s="96">
        <f t="shared" ca="1" si="24"/>
        <v>164.54857773007552</v>
      </c>
      <c r="AJ56" s="96">
        <f t="shared" ca="1" si="24"/>
        <v>0</v>
      </c>
      <c r="AK56" s="96">
        <f t="shared" ca="1" si="24"/>
        <v>0</v>
      </c>
      <c r="AL56" s="96">
        <f t="shared" ca="1" si="24"/>
        <v>-2257.8429688180636</v>
      </c>
      <c r="AM56" s="96">
        <f t="shared" ca="1" si="24"/>
        <v>0</v>
      </c>
      <c r="AN56" s="96">
        <f t="shared" ca="1" si="24"/>
        <v>0</v>
      </c>
      <c r="AO56" s="96">
        <f t="shared" ca="1" si="24"/>
        <v>0</v>
      </c>
      <c r="AP56" s="96">
        <f t="shared" ca="1" si="24"/>
        <v>0</v>
      </c>
      <c r="AQ56" s="96">
        <f t="shared" ca="1" si="24"/>
        <v>0</v>
      </c>
      <c r="AR56" s="96">
        <f t="shared" ca="1" si="24"/>
        <v>-2667.8886501779389</v>
      </c>
      <c r="AS56" s="96">
        <f t="shared" ca="1" si="24"/>
        <v>0</v>
      </c>
      <c r="AT56" s="96">
        <f t="shared" ca="1" si="24"/>
        <v>0</v>
      </c>
      <c r="AU56" s="96">
        <f t="shared" ca="1" si="24"/>
        <v>0</v>
      </c>
      <c r="AV56" s="96">
        <f t="shared" ca="1" si="24"/>
        <v>0</v>
      </c>
      <c r="AW56" s="96">
        <f t="shared" ca="1" si="24"/>
        <v>105.1738035739545</v>
      </c>
      <c r="AX56" s="96">
        <f t="shared" ca="1" si="24"/>
        <v>-3117.2988453898661</v>
      </c>
      <c r="AY56" s="96">
        <f t="shared" ca="1" si="24"/>
        <v>0</v>
      </c>
      <c r="AZ56" s="96">
        <f t="shared" ca="1" si="24"/>
        <v>0</v>
      </c>
      <c r="BA56" s="96">
        <f t="shared" ca="1" si="24"/>
        <v>0</v>
      </c>
      <c r="BB56" s="96">
        <f t="shared" ca="1" si="24"/>
        <v>0</v>
      </c>
      <c r="BC56" s="96">
        <f t="shared" ca="1" si="24"/>
        <v>0</v>
      </c>
      <c r="BD56" s="96">
        <f t="shared" ca="1" si="24"/>
        <v>-3262.1406371145931</v>
      </c>
      <c r="BE56" s="96">
        <f t="shared" ca="1" si="24"/>
        <v>133.46840118117325</v>
      </c>
      <c r="BF56" s="96">
        <f t="shared" ca="1" si="24"/>
        <v>0</v>
      </c>
      <c r="BG56" s="96">
        <f t="shared" ca="1" si="24"/>
        <v>0</v>
      </c>
      <c r="BH56" s="96">
        <f t="shared" ca="1" si="24"/>
        <v>0</v>
      </c>
      <c r="BI56" s="96">
        <f t="shared" ca="1" si="24"/>
        <v>0</v>
      </c>
      <c r="BJ56" s="96">
        <f t="shared" ca="1" si="24"/>
        <v>-3540.2622689714321</v>
      </c>
      <c r="BK56" s="96">
        <f t="shared" ca="1" si="24"/>
        <v>0</v>
      </c>
      <c r="BL56" s="96">
        <f t="shared" ca="1" si="24"/>
        <v>0</v>
      </c>
      <c r="BM56" s="96">
        <f t="shared" ca="1" si="24"/>
        <v>0</v>
      </c>
      <c r="BN56" s="96">
        <f t="shared" ca="1" si="24"/>
        <v>0</v>
      </c>
      <c r="BO56" s="96">
        <f t="shared" ca="1" si="24"/>
        <v>0</v>
      </c>
      <c r="BP56" s="96">
        <f t="shared" ca="1" si="24"/>
        <v>-319571.51619107573</v>
      </c>
      <c r="BQ56" s="96">
        <f t="shared" ca="1" si="24"/>
        <v>0</v>
      </c>
      <c r="BR56" s="96">
        <f t="shared" ca="1" si="24"/>
        <v>0</v>
      </c>
      <c r="BS56" s="96">
        <f t="shared" ca="1" si="24"/>
        <v>0</v>
      </c>
      <c r="BT56" s="96">
        <f t="shared" ca="1" si="24"/>
        <v>0</v>
      </c>
      <c r="BU56" s="96">
        <f t="shared" ref="BU56:DB56" ca="1" si="25">SUM(BU32:BU55)</f>
        <v>0</v>
      </c>
      <c r="BV56" s="96">
        <f t="shared" ca="1" si="25"/>
        <v>0</v>
      </c>
      <c r="BW56" s="96">
        <f t="shared" ca="1" si="25"/>
        <v>0</v>
      </c>
      <c r="BX56" s="96">
        <f t="shared" ca="1" si="25"/>
        <v>0</v>
      </c>
      <c r="BY56" s="96">
        <f t="shared" ca="1" si="25"/>
        <v>0</v>
      </c>
      <c r="BZ56" s="96">
        <f t="shared" ca="1" si="25"/>
        <v>0</v>
      </c>
      <c r="CA56" s="96">
        <f t="shared" ca="1" si="25"/>
        <v>0</v>
      </c>
      <c r="CB56" s="96">
        <f t="shared" ca="1" si="25"/>
        <v>0</v>
      </c>
      <c r="CC56" s="96">
        <f t="shared" ca="1" si="25"/>
        <v>0</v>
      </c>
      <c r="CD56" s="96">
        <f t="shared" ca="1" si="25"/>
        <v>0</v>
      </c>
      <c r="CE56" s="96">
        <f t="shared" ca="1" si="25"/>
        <v>0</v>
      </c>
      <c r="CF56" s="96">
        <f t="shared" ca="1" si="25"/>
        <v>0</v>
      </c>
      <c r="CG56" s="96">
        <f t="shared" ca="1" si="25"/>
        <v>0</v>
      </c>
      <c r="CH56" s="96">
        <f t="shared" ca="1" si="25"/>
        <v>0</v>
      </c>
      <c r="CI56" s="96">
        <f t="shared" ca="1" si="25"/>
        <v>0</v>
      </c>
      <c r="CJ56" s="96">
        <f t="shared" ca="1" si="25"/>
        <v>0</v>
      </c>
      <c r="CK56" s="96">
        <f t="shared" ca="1" si="25"/>
        <v>0</v>
      </c>
      <c r="CL56" s="96">
        <f t="shared" ca="1" si="25"/>
        <v>0</v>
      </c>
      <c r="CM56" s="96">
        <f t="shared" ca="1" si="25"/>
        <v>0</v>
      </c>
      <c r="CN56" s="96">
        <f t="shared" ca="1" si="25"/>
        <v>0</v>
      </c>
      <c r="CO56" s="96">
        <f t="shared" ca="1" si="25"/>
        <v>0</v>
      </c>
      <c r="CP56" s="96">
        <f t="shared" ca="1" si="25"/>
        <v>0</v>
      </c>
      <c r="CQ56" s="96">
        <f t="shared" ca="1" si="25"/>
        <v>0</v>
      </c>
      <c r="CR56" s="96">
        <f t="shared" ca="1" si="25"/>
        <v>0</v>
      </c>
      <c r="CS56" s="96">
        <f t="shared" ca="1" si="25"/>
        <v>0</v>
      </c>
      <c r="CT56" s="96">
        <f t="shared" ca="1" si="25"/>
        <v>0</v>
      </c>
      <c r="CU56" s="96">
        <f t="shared" ca="1" si="25"/>
        <v>0</v>
      </c>
      <c r="CV56" s="96">
        <f t="shared" ca="1" si="25"/>
        <v>0</v>
      </c>
      <c r="CW56" s="96">
        <f t="shared" ca="1" si="25"/>
        <v>0</v>
      </c>
      <c r="CX56" s="96">
        <f t="shared" ca="1" si="25"/>
        <v>0</v>
      </c>
      <c r="CY56" s="96">
        <f t="shared" ca="1" si="25"/>
        <v>0</v>
      </c>
      <c r="CZ56" s="96">
        <f t="shared" ca="1" si="25"/>
        <v>0</v>
      </c>
      <c r="DA56" s="96">
        <f t="shared" ca="1" si="25"/>
        <v>0</v>
      </c>
      <c r="DB56" s="96">
        <f t="shared" ca="1" si="25"/>
        <v>0</v>
      </c>
    </row>
    <row r="58" spans="2:106">
      <c r="B58" s="268" t="s">
        <v>332</v>
      </c>
      <c r="C58" s="268"/>
      <c r="D58" s="268"/>
      <c r="E58" s="268"/>
      <c r="F58" s="268"/>
      <c r="G58" s="268"/>
      <c r="H58" s="268">
        <f t="shared" ref="H58:AM58" ca="1" si="26">H22+H28+H56</f>
        <v>0</v>
      </c>
      <c r="I58" s="268">
        <f t="shared" ca="1" si="26"/>
        <v>1814.6479115237105</v>
      </c>
      <c r="J58" s="268">
        <f t="shared" ca="1" si="26"/>
        <v>639.87888896716879</v>
      </c>
      <c r="K58" s="268">
        <f t="shared" ca="1" si="26"/>
        <v>1413.6250799389272</v>
      </c>
      <c r="L58" s="268">
        <f t="shared" ca="1" si="26"/>
        <v>882.5556035014273</v>
      </c>
      <c r="M58" s="268">
        <f t="shared" ca="1" si="26"/>
        <v>928.39161295238989</v>
      </c>
      <c r="N58" s="268">
        <f t="shared" ca="1" si="26"/>
        <v>-3605.1006841336243</v>
      </c>
      <c r="O58" s="268">
        <f t="shared" ca="1" si="26"/>
        <v>1257.8417997882143</v>
      </c>
      <c r="P58" s="268">
        <f t="shared" ca="1" si="26"/>
        <v>916.22551067154848</v>
      </c>
      <c r="Q58" s="268">
        <f t="shared" ca="1" si="26"/>
        <v>1030.6097055965483</v>
      </c>
      <c r="R58" s="268">
        <f t="shared" ca="1" si="26"/>
        <v>1030.6097055965483</v>
      </c>
      <c r="S58" s="268">
        <f t="shared" ca="1" si="26"/>
        <v>938.22275709654843</v>
      </c>
      <c r="T58" s="268">
        <f t="shared" ca="1" si="26"/>
        <v>-4788.0389317494082</v>
      </c>
      <c r="U58" s="268">
        <f t="shared" ca="1" si="26"/>
        <v>1034.2921728845836</v>
      </c>
      <c r="V58" s="268">
        <f t="shared" ca="1" si="26"/>
        <v>1040.2921728845836</v>
      </c>
      <c r="W58" s="268">
        <f t="shared" ca="1" si="26"/>
        <v>1047.5395702129949</v>
      </c>
      <c r="X58" s="268">
        <f t="shared" ca="1" si="26"/>
        <v>1047.5395702129949</v>
      </c>
      <c r="Y58" s="268">
        <f t="shared" ca="1" si="26"/>
        <v>1052.6736168143616</v>
      </c>
      <c r="Z58" s="268">
        <f t="shared" ca="1" si="26"/>
        <v>-5222.3371030095186</v>
      </c>
      <c r="AA58" s="268">
        <f t="shared" ca="1" si="26"/>
        <v>1061.3990725286117</v>
      </c>
      <c r="AB58" s="268">
        <f t="shared" ca="1" si="26"/>
        <v>1061.3990725286117</v>
      </c>
      <c r="AC58" s="268">
        <f t="shared" ca="1" si="26"/>
        <v>1061.3990725286117</v>
      </c>
      <c r="AD58" s="268">
        <f t="shared" ca="1" si="26"/>
        <v>1061.3990725286117</v>
      </c>
      <c r="AE58" s="268">
        <f t="shared" ca="1" si="26"/>
        <v>1061.3990725286117</v>
      </c>
      <c r="AF58" s="268">
        <f t="shared" ca="1" si="26"/>
        <v>-5306.9953626430579</v>
      </c>
      <c r="AG58" s="268">
        <f t="shared" ca="1" si="26"/>
        <v>1124.4866056272188</v>
      </c>
      <c r="AH58" s="268">
        <f t="shared" ca="1" si="26"/>
        <v>816.65208897894126</v>
      </c>
      <c r="AI58" s="268">
        <f t="shared" ca="1" si="26"/>
        <v>1134.573680172196</v>
      </c>
      <c r="AJ58" s="268">
        <f t="shared" ca="1" si="26"/>
        <v>1095.931483380391</v>
      </c>
      <c r="AK58" s="268">
        <f t="shared" ca="1" si="26"/>
        <v>1101.2195513797983</v>
      </c>
      <c r="AL58" s="268">
        <f t="shared" ca="1" si="26"/>
        <v>-5043.4483054996799</v>
      </c>
      <c r="AM58" s="268">
        <f t="shared" ca="1" si="26"/>
        <v>1110.206770765476</v>
      </c>
      <c r="AN58" s="268">
        <f t="shared" ref="AN58:BS58" ca="1" si="27">AN22+AN28+AN56</f>
        <v>1110.206770765476</v>
      </c>
      <c r="AO58" s="268">
        <f t="shared" ca="1" si="27"/>
        <v>1110.206770765476</v>
      </c>
      <c r="AP58" s="268">
        <f t="shared" ca="1" si="27"/>
        <v>1110.206770765476</v>
      </c>
      <c r="AQ58" s="268">
        <f t="shared" ca="1" si="27"/>
        <v>1078.1074105406306</v>
      </c>
      <c r="AR58" s="268">
        <f t="shared" ca="1" si="27"/>
        <v>-5424.7387772937473</v>
      </c>
      <c r="AS58" s="268">
        <f t="shared" ca="1" si="27"/>
        <v>1125.6092809321772</v>
      </c>
      <c r="AT58" s="268">
        <f t="shared" ca="1" si="27"/>
        <v>1131.9130309321772</v>
      </c>
      <c r="AU58" s="268">
        <f t="shared" ca="1" si="27"/>
        <v>1139.8241300133736</v>
      </c>
      <c r="AV58" s="268">
        <f t="shared" ca="1" si="27"/>
        <v>1049.0456293568805</v>
      </c>
      <c r="AW58" s="268">
        <f t="shared" ca="1" si="27"/>
        <v>1254.9330916468207</v>
      </c>
      <c r="AX58" s="268">
        <f t="shared" ca="1" si="27"/>
        <v>-5596.1513593074724</v>
      </c>
      <c r="AY58" s="268">
        <f t="shared" ca="1" si="27"/>
        <v>1159.0161240401139</v>
      </c>
      <c r="AZ58" s="268">
        <f t="shared" ca="1" si="27"/>
        <v>1159.0161240401139</v>
      </c>
      <c r="BA58" s="268">
        <f t="shared" ca="1" si="27"/>
        <v>1159.0161240401139</v>
      </c>
      <c r="BB58" s="268">
        <f t="shared" ca="1" si="27"/>
        <v>1159.0161240401139</v>
      </c>
      <c r="BC58" s="268">
        <f t="shared" ca="1" si="27"/>
        <v>1159.0161240401139</v>
      </c>
      <c r="BD58" s="268">
        <f t="shared" ca="1" si="27"/>
        <v>-5795.0806202005697</v>
      </c>
      <c r="BE58" s="268">
        <f t="shared" ca="1" si="27"/>
        <v>1315.5399823507423</v>
      </c>
      <c r="BF58" s="268">
        <f t="shared" ca="1" si="27"/>
        <v>1188.532924919569</v>
      </c>
      <c r="BG58" s="268">
        <f t="shared" ca="1" si="27"/>
        <v>1196.6813569732014</v>
      </c>
      <c r="BH58" s="268">
        <f t="shared" ca="1" si="27"/>
        <v>1196.6813569732014</v>
      </c>
      <c r="BI58" s="268">
        <f t="shared" ca="1" si="27"/>
        <v>1202.4261217543758</v>
      </c>
      <c r="BJ58" s="268">
        <f t="shared" ca="1" si="27"/>
        <v>-5966.393341789917</v>
      </c>
      <c r="BK58" s="268">
        <f t="shared" ca="1" si="27"/>
        <v>1211.9606628006411</v>
      </c>
      <c r="BL58" s="268">
        <f t="shared" ca="1" si="27"/>
        <v>1211.9606628006411</v>
      </c>
      <c r="BM58" s="268">
        <f t="shared" ca="1" si="27"/>
        <v>1211.9606628006411</v>
      </c>
      <c r="BN58" s="268">
        <f t="shared" ca="1" si="27"/>
        <v>1211.9606628006411</v>
      </c>
      <c r="BO58" s="268">
        <f t="shared" ca="1" si="27"/>
        <v>1211.9606628006411</v>
      </c>
      <c r="BP58" s="268">
        <f t="shared" ca="1" si="27"/>
        <v>-9081.5252988559077</v>
      </c>
      <c r="BQ58" s="268">
        <f t="shared" ca="1" si="27"/>
        <v>0</v>
      </c>
      <c r="BR58" s="268">
        <f t="shared" ca="1" si="27"/>
        <v>0</v>
      </c>
      <c r="BS58" s="268">
        <f t="shared" ca="1" si="27"/>
        <v>0</v>
      </c>
      <c r="BT58" s="268">
        <f t="shared" ref="BT58:DB58" ca="1" si="28">BT22+BT28+BT56</f>
        <v>0</v>
      </c>
      <c r="BU58" s="268">
        <f t="shared" ca="1" si="28"/>
        <v>0</v>
      </c>
      <c r="BV58" s="268">
        <f t="shared" ca="1" si="28"/>
        <v>0</v>
      </c>
      <c r="BW58" s="268">
        <f t="shared" ca="1" si="28"/>
        <v>0</v>
      </c>
      <c r="BX58" s="268">
        <f t="shared" ca="1" si="28"/>
        <v>0</v>
      </c>
      <c r="BY58" s="268">
        <f t="shared" ca="1" si="28"/>
        <v>0</v>
      </c>
      <c r="BZ58" s="268">
        <f t="shared" ca="1" si="28"/>
        <v>0</v>
      </c>
      <c r="CA58" s="268">
        <f t="shared" ca="1" si="28"/>
        <v>0</v>
      </c>
      <c r="CB58" s="268">
        <f t="shared" ca="1" si="28"/>
        <v>0</v>
      </c>
      <c r="CC58" s="268">
        <f t="shared" ca="1" si="28"/>
        <v>0</v>
      </c>
      <c r="CD58" s="268">
        <f t="shared" ca="1" si="28"/>
        <v>0</v>
      </c>
      <c r="CE58" s="268">
        <f t="shared" ca="1" si="28"/>
        <v>0</v>
      </c>
      <c r="CF58" s="268">
        <f t="shared" ca="1" si="28"/>
        <v>0</v>
      </c>
      <c r="CG58" s="268">
        <f t="shared" ca="1" si="28"/>
        <v>0</v>
      </c>
      <c r="CH58" s="268">
        <f t="shared" ca="1" si="28"/>
        <v>0</v>
      </c>
      <c r="CI58" s="268">
        <f t="shared" ca="1" si="28"/>
        <v>0</v>
      </c>
      <c r="CJ58" s="268">
        <f t="shared" ca="1" si="28"/>
        <v>0</v>
      </c>
      <c r="CK58" s="268">
        <f t="shared" ca="1" si="28"/>
        <v>0</v>
      </c>
      <c r="CL58" s="268">
        <f t="shared" ca="1" si="28"/>
        <v>0</v>
      </c>
      <c r="CM58" s="268">
        <f t="shared" ca="1" si="28"/>
        <v>0</v>
      </c>
      <c r="CN58" s="268">
        <f t="shared" ca="1" si="28"/>
        <v>0</v>
      </c>
      <c r="CO58" s="268">
        <f t="shared" ca="1" si="28"/>
        <v>0</v>
      </c>
      <c r="CP58" s="268">
        <f t="shared" ca="1" si="28"/>
        <v>0</v>
      </c>
      <c r="CQ58" s="268">
        <f t="shared" ca="1" si="28"/>
        <v>0</v>
      </c>
      <c r="CR58" s="268">
        <f t="shared" ca="1" si="28"/>
        <v>0</v>
      </c>
      <c r="CS58" s="268">
        <f t="shared" ca="1" si="28"/>
        <v>0</v>
      </c>
      <c r="CT58" s="268">
        <f t="shared" ca="1" si="28"/>
        <v>0</v>
      </c>
      <c r="CU58" s="268">
        <f t="shared" ca="1" si="28"/>
        <v>0</v>
      </c>
      <c r="CV58" s="268">
        <f t="shared" ca="1" si="28"/>
        <v>0</v>
      </c>
      <c r="CW58" s="268">
        <f t="shared" ca="1" si="28"/>
        <v>0</v>
      </c>
      <c r="CX58" s="268">
        <f t="shared" ca="1" si="28"/>
        <v>0</v>
      </c>
      <c r="CY58" s="268">
        <f t="shared" ca="1" si="28"/>
        <v>0</v>
      </c>
      <c r="CZ58" s="268">
        <f t="shared" ca="1" si="28"/>
        <v>0</v>
      </c>
      <c r="DA58" s="268">
        <f t="shared" ca="1" si="28"/>
        <v>0</v>
      </c>
      <c r="DB58" s="268">
        <f t="shared" ca="1" si="28"/>
        <v>0</v>
      </c>
    </row>
    <row r="59" spans="2:106">
      <c r="C59" s="246" t="s">
        <v>333</v>
      </c>
      <c r="D59" s="141"/>
      <c r="E59" s="141"/>
      <c r="F59" s="141"/>
      <c r="G59" s="141"/>
      <c r="H59" s="141">
        <v>0</v>
      </c>
      <c r="I59" s="141">
        <f ca="1">H60</f>
        <v>0</v>
      </c>
      <c r="J59" s="141">
        <f t="shared" ref="J59:BU59" ca="1" si="29">I60</f>
        <v>1814.6479115237105</v>
      </c>
      <c r="K59" s="141">
        <f t="shared" ca="1" si="29"/>
        <v>2454.5268004908794</v>
      </c>
      <c r="L59" s="141">
        <f t="shared" ca="1" si="29"/>
        <v>3868.1518804298066</v>
      </c>
      <c r="M59" s="141">
        <f t="shared" ca="1" si="29"/>
        <v>4750.7074839312336</v>
      </c>
      <c r="N59" s="141">
        <f t="shared" ca="1" si="29"/>
        <v>5679.0990968836231</v>
      </c>
      <c r="O59" s="141">
        <f t="shared" ca="1" si="29"/>
        <v>2073.9984127499988</v>
      </c>
      <c r="P59" s="141">
        <f t="shared" ca="1" si="29"/>
        <v>3331.8402125382131</v>
      </c>
      <c r="Q59" s="141">
        <f t="shared" ca="1" si="29"/>
        <v>4248.0657232097619</v>
      </c>
      <c r="R59" s="141">
        <f t="shared" ca="1" si="29"/>
        <v>5278.6754288063103</v>
      </c>
      <c r="S59" s="141">
        <f t="shared" ca="1" si="29"/>
        <v>6309.2851344028586</v>
      </c>
      <c r="T59" s="141">
        <f t="shared" ca="1" si="29"/>
        <v>7247.5078914994074</v>
      </c>
      <c r="U59" s="141">
        <f t="shared" ca="1" si="29"/>
        <v>2459.4689597499992</v>
      </c>
      <c r="V59" s="141">
        <f t="shared" ca="1" si="29"/>
        <v>3493.7611326345827</v>
      </c>
      <c r="W59" s="141">
        <f t="shared" ca="1" si="29"/>
        <v>4534.0533055191663</v>
      </c>
      <c r="X59" s="141">
        <f t="shared" ca="1" si="29"/>
        <v>5581.5928757321617</v>
      </c>
      <c r="Y59" s="141">
        <f t="shared" ca="1" si="29"/>
        <v>6629.1324459451571</v>
      </c>
      <c r="Z59" s="141">
        <f t="shared" ca="1" si="29"/>
        <v>7681.8060627595187</v>
      </c>
      <c r="AA59" s="141">
        <f t="shared" ca="1" si="29"/>
        <v>2459.4689597500001</v>
      </c>
      <c r="AB59" s="141">
        <f t="shared" ca="1" si="29"/>
        <v>3520.8680322786117</v>
      </c>
      <c r="AC59" s="141">
        <f t="shared" ca="1" si="29"/>
        <v>4582.2671048072234</v>
      </c>
      <c r="AD59" s="141">
        <f t="shared" ca="1" si="29"/>
        <v>5643.6661773358355</v>
      </c>
      <c r="AE59" s="141">
        <f t="shared" ca="1" si="29"/>
        <v>6705.0652498644467</v>
      </c>
      <c r="AF59" s="141">
        <f t="shared" ca="1" si="29"/>
        <v>7766.464322393058</v>
      </c>
      <c r="AG59" s="141">
        <f t="shared" ca="1" si="29"/>
        <v>2459.4689597500001</v>
      </c>
      <c r="AH59" s="141">
        <f t="shared" ca="1" si="29"/>
        <v>3583.9555653772186</v>
      </c>
      <c r="AI59" s="141">
        <f t="shared" ca="1" si="29"/>
        <v>4400.6076543561594</v>
      </c>
      <c r="AJ59" s="141">
        <f t="shared" ca="1" si="29"/>
        <v>5535.1813345283554</v>
      </c>
      <c r="AK59" s="141">
        <f t="shared" ca="1" si="29"/>
        <v>6631.1128179087464</v>
      </c>
      <c r="AL59" s="141">
        <f t="shared" ca="1" si="29"/>
        <v>7732.3323692885442</v>
      </c>
      <c r="AM59" s="141">
        <f t="shared" ca="1" si="29"/>
        <v>2688.8840637888643</v>
      </c>
      <c r="AN59" s="141">
        <f t="shared" ca="1" si="29"/>
        <v>3799.0908345543403</v>
      </c>
      <c r="AO59" s="141">
        <f t="shared" ca="1" si="29"/>
        <v>4909.2976053198163</v>
      </c>
      <c r="AP59" s="141">
        <f t="shared" ca="1" si="29"/>
        <v>6019.5043760852923</v>
      </c>
      <c r="AQ59" s="141">
        <f t="shared" ca="1" si="29"/>
        <v>7129.7111468507683</v>
      </c>
      <c r="AR59" s="141">
        <f t="shared" ca="1" si="29"/>
        <v>8207.8185573913979</v>
      </c>
      <c r="AS59" s="141">
        <f t="shared" ca="1" si="29"/>
        <v>2783.0797800976507</v>
      </c>
      <c r="AT59" s="141">
        <f t="shared" ca="1" si="29"/>
        <v>3908.6890610298278</v>
      </c>
      <c r="AU59" s="141">
        <f t="shared" ca="1" si="29"/>
        <v>5040.602091962005</v>
      </c>
      <c r="AV59" s="141">
        <f t="shared" ca="1" si="29"/>
        <v>6180.4262219753782</v>
      </c>
      <c r="AW59" s="141">
        <f t="shared" ca="1" si="29"/>
        <v>7229.4718513322587</v>
      </c>
      <c r="AX59" s="141">
        <f t="shared" ca="1" si="29"/>
        <v>8484.4049429790794</v>
      </c>
      <c r="AY59" s="141">
        <f t="shared" ca="1" si="29"/>
        <v>2888.253583671607</v>
      </c>
      <c r="AZ59" s="141">
        <f t="shared" ca="1" si="29"/>
        <v>4047.2697077117209</v>
      </c>
      <c r="BA59" s="141">
        <f t="shared" ca="1" si="29"/>
        <v>5206.2858317518348</v>
      </c>
      <c r="BB59" s="141">
        <f t="shared" ca="1" si="29"/>
        <v>6365.3019557919488</v>
      </c>
      <c r="BC59" s="141">
        <f t="shared" ca="1" si="29"/>
        <v>7524.3180798320627</v>
      </c>
      <c r="BD59" s="141">
        <f t="shared" ca="1" si="29"/>
        <v>8683.3342038721767</v>
      </c>
      <c r="BE59" s="141">
        <f t="shared" ca="1" si="29"/>
        <v>2888.253583671607</v>
      </c>
      <c r="BF59" s="141">
        <f t="shared" ca="1" si="29"/>
        <v>4203.7935660223493</v>
      </c>
      <c r="BG59" s="141">
        <f t="shared" ca="1" si="29"/>
        <v>5392.3264909419186</v>
      </c>
      <c r="BH59" s="141">
        <f t="shared" ca="1" si="29"/>
        <v>6589.0078479151198</v>
      </c>
      <c r="BI59" s="141">
        <f t="shared" ca="1" si="29"/>
        <v>7785.689204888321</v>
      </c>
      <c r="BJ59" s="141">
        <f t="shared" ca="1" si="29"/>
        <v>8988.1153266426973</v>
      </c>
      <c r="BK59" s="141">
        <f t="shared" ca="1" si="29"/>
        <v>3021.7219848527802</v>
      </c>
      <c r="BL59" s="141">
        <f t="shared" ca="1" si="29"/>
        <v>4233.6826476534216</v>
      </c>
      <c r="BM59" s="141">
        <f t="shared" ca="1" si="29"/>
        <v>5445.6433104540629</v>
      </c>
      <c r="BN59" s="141">
        <f t="shared" ca="1" si="29"/>
        <v>6657.6039732547042</v>
      </c>
      <c r="BO59" s="141">
        <f t="shared" ca="1" si="29"/>
        <v>7869.5646360553455</v>
      </c>
      <c r="BP59" s="141">
        <f t="shared" ca="1" si="29"/>
        <v>9081.525298855986</v>
      </c>
      <c r="BQ59" s="141">
        <f t="shared" ca="1" si="29"/>
        <v>7.8216544352471828E-11</v>
      </c>
      <c r="BR59" s="141">
        <f t="shared" ca="1" si="29"/>
        <v>7.8216544352471828E-11</v>
      </c>
      <c r="BS59" s="141">
        <f t="shared" ca="1" si="29"/>
        <v>7.8216544352471828E-11</v>
      </c>
      <c r="BT59" s="141">
        <f t="shared" ca="1" si="29"/>
        <v>7.8216544352471828E-11</v>
      </c>
      <c r="BU59" s="141">
        <f t="shared" ca="1" si="29"/>
        <v>7.8216544352471828E-11</v>
      </c>
      <c r="BV59" s="141">
        <f t="shared" ref="BV59:DB59" ca="1" si="30">BU60</f>
        <v>7.8216544352471828E-11</v>
      </c>
      <c r="BW59" s="141">
        <f t="shared" ca="1" si="30"/>
        <v>7.8216544352471828E-11</v>
      </c>
      <c r="BX59" s="141">
        <f t="shared" ca="1" si="30"/>
        <v>7.8216544352471828E-11</v>
      </c>
      <c r="BY59" s="141">
        <f t="shared" ca="1" si="30"/>
        <v>7.8216544352471828E-11</v>
      </c>
      <c r="BZ59" s="141">
        <f t="shared" ca="1" si="30"/>
        <v>7.8216544352471828E-11</v>
      </c>
      <c r="CA59" s="141">
        <f t="shared" ca="1" si="30"/>
        <v>7.8216544352471828E-11</v>
      </c>
      <c r="CB59" s="141">
        <f t="shared" ca="1" si="30"/>
        <v>7.8216544352471828E-11</v>
      </c>
      <c r="CC59" s="141">
        <f t="shared" ca="1" si="30"/>
        <v>7.8216544352471828E-11</v>
      </c>
      <c r="CD59" s="141">
        <f t="shared" ca="1" si="30"/>
        <v>7.8216544352471828E-11</v>
      </c>
      <c r="CE59" s="141">
        <f t="shared" ca="1" si="30"/>
        <v>7.8216544352471828E-11</v>
      </c>
      <c r="CF59" s="141">
        <f t="shared" ca="1" si="30"/>
        <v>7.8216544352471828E-11</v>
      </c>
      <c r="CG59" s="141">
        <f t="shared" ca="1" si="30"/>
        <v>7.8216544352471828E-11</v>
      </c>
      <c r="CH59" s="141">
        <f t="shared" ca="1" si="30"/>
        <v>7.8216544352471828E-11</v>
      </c>
      <c r="CI59" s="141">
        <f t="shared" ca="1" si="30"/>
        <v>7.8216544352471828E-11</v>
      </c>
      <c r="CJ59" s="141">
        <f t="shared" ca="1" si="30"/>
        <v>7.8216544352471828E-11</v>
      </c>
      <c r="CK59" s="141">
        <f t="shared" ca="1" si="30"/>
        <v>7.8216544352471828E-11</v>
      </c>
      <c r="CL59" s="141">
        <f t="shared" ca="1" si="30"/>
        <v>7.8216544352471828E-11</v>
      </c>
      <c r="CM59" s="141">
        <f t="shared" ca="1" si="30"/>
        <v>7.8216544352471828E-11</v>
      </c>
      <c r="CN59" s="141">
        <f t="shared" ca="1" si="30"/>
        <v>7.8216544352471828E-11</v>
      </c>
      <c r="CO59" s="141">
        <f t="shared" ca="1" si="30"/>
        <v>7.8216544352471828E-11</v>
      </c>
      <c r="CP59" s="141">
        <f t="shared" ca="1" si="30"/>
        <v>7.8216544352471828E-11</v>
      </c>
      <c r="CQ59" s="141">
        <f t="shared" ca="1" si="30"/>
        <v>7.8216544352471828E-11</v>
      </c>
      <c r="CR59" s="141">
        <f t="shared" ca="1" si="30"/>
        <v>7.8216544352471828E-11</v>
      </c>
      <c r="CS59" s="141">
        <f t="shared" ca="1" si="30"/>
        <v>7.8216544352471828E-11</v>
      </c>
      <c r="CT59" s="141">
        <f t="shared" ca="1" si="30"/>
        <v>7.8216544352471828E-11</v>
      </c>
      <c r="CU59" s="141">
        <f t="shared" ca="1" si="30"/>
        <v>7.8216544352471828E-11</v>
      </c>
      <c r="CV59" s="141">
        <f t="shared" ca="1" si="30"/>
        <v>7.8216544352471828E-11</v>
      </c>
      <c r="CW59" s="141">
        <f t="shared" ca="1" si="30"/>
        <v>7.8216544352471828E-11</v>
      </c>
      <c r="CX59" s="141">
        <f t="shared" ca="1" si="30"/>
        <v>7.8216544352471828E-11</v>
      </c>
      <c r="CY59" s="141">
        <f t="shared" ca="1" si="30"/>
        <v>7.8216544352471828E-11</v>
      </c>
      <c r="CZ59" s="141">
        <f t="shared" ca="1" si="30"/>
        <v>7.8216544352471828E-11</v>
      </c>
      <c r="DA59" s="141">
        <f t="shared" ca="1" si="30"/>
        <v>7.8216544352471828E-11</v>
      </c>
      <c r="DB59" s="141">
        <f t="shared" ca="1" si="30"/>
        <v>7.8216544352471828E-11</v>
      </c>
    </row>
    <row r="60" spans="2:106">
      <c r="B60" s="250"/>
      <c r="C60" s="248" t="s">
        <v>334</v>
      </c>
      <c r="D60" s="249"/>
      <c r="E60" s="249"/>
      <c r="F60" s="249"/>
      <c r="G60" s="249"/>
      <c r="H60" s="249">
        <f ca="1">SUM(H58:H59)</f>
        <v>0</v>
      </c>
      <c r="I60" s="249">
        <f ca="1">SUM(I58:I59)</f>
        <v>1814.6479115237105</v>
      </c>
      <c r="J60" s="249">
        <f t="shared" ref="J60:BU60" ca="1" si="31">SUM(J58:J59)</f>
        <v>2454.5268004908794</v>
      </c>
      <c r="K60" s="249">
        <f t="shared" ca="1" si="31"/>
        <v>3868.1518804298066</v>
      </c>
      <c r="L60" s="249">
        <f t="shared" ca="1" si="31"/>
        <v>4750.7074839312336</v>
      </c>
      <c r="M60" s="249">
        <f t="shared" ca="1" si="31"/>
        <v>5679.0990968836231</v>
      </c>
      <c r="N60" s="249">
        <f t="shared" ca="1" si="31"/>
        <v>2073.9984127499988</v>
      </c>
      <c r="O60" s="249">
        <f t="shared" ca="1" si="31"/>
        <v>3331.8402125382131</v>
      </c>
      <c r="P60" s="249">
        <f t="shared" ca="1" si="31"/>
        <v>4248.0657232097619</v>
      </c>
      <c r="Q60" s="249">
        <f t="shared" ca="1" si="31"/>
        <v>5278.6754288063103</v>
      </c>
      <c r="R60" s="249">
        <f t="shared" ca="1" si="31"/>
        <v>6309.2851344028586</v>
      </c>
      <c r="S60" s="249">
        <f t="shared" ca="1" si="31"/>
        <v>7247.5078914994074</v>
      </c>
      <c r="T60" s="249">
        <f t="shared" ca="1" si="31"/>
        <v>2459.4689597499992</v>
      </c>
      <c r="U60" s="249">
        <f t="shared" ca="1" si="31"/>
        <v>3493.7611326345827</v>
      </c>
      <c r="V60" s="249">
        <f t="shared" ca="1" si="31"/>
        <v>4534.0533055191663</v>
      </c>
      <c r="W60" s="249">
        <f t="shared" ca="1" si="31"/>
        <v>5581.5928757321617</v>
      </c>
      <c r="X60" s="249">
        <f t="shared" ca="1" si="31"/>
        <v>6629.1324459451571</v>
      </c>
      <c r="Y60" s="249">
        <f t="shared" ca="1" si="31"/>
        <v>7681.8060627595187</v>
      </c>
      <c r="Z60" s="249">
        <f t="shared" ca="1" si="31"/>
        <v>2459.4689597500001</v>
      </c>
      <c r="AA60" s="249">
        <f t="shared" ca="1" si="31"/>
        <v>3520.8680322786117</v>
      </c>
      <c r="AB60" s="249">
        <f t="shared" ca="1" si="31"/>
        <v>4582.2671048072234</v>
      </c>
      <c r="AC60" s="249">
        <f t="shared" ca="1" si="31"/>
        <v>5643.6661773358355</v>
      </c>
      <c r="AD60" s="249">
        <f t="shared" ca="1" si="31"/>
        <v>6705.0652498644467</v>
      </c>
      <c r="AE60" s="249">
        <f t="shared" ca="1" si="31"/>
        <v>7766.464322393058</v>
      </c>
      <c r="AF60" s="249">
        <f t="shared" ca="1" si="31"/>
        <v>2459.4689597500001</v>
      </c>
      <c r="AG60" s="249">
        <f t="shared" ca="1" si="31"/>
        <v>3583.9555653772186</v>
      </c>
      <c r="AH60" s="249">
        <f t="shared" ca="1" si="31"/>
        <v>4400.6076543561594</v>
      </c>
      <c r="AI60" s="249">
        <f t="shared" ca="1" si="31"/>
        <v>5535.1813345283554</v>
      </c>
      <c r="AJ60" s="249">
        <f t="shared" ca="1" si="31"/>
        <v>6631.1128179087464</v>
      </c>
      <c r="AK60" s="249">
        <f t="shared" ca="1" si="31"/>
        <v>7732.3323692885442</v>
      </c>
      <c r="AL60" s="249">
        <f t="shared" ca="1" si="31"/>
        <v>2688.8840637888643</v>
      </c>
      <c r="AM60" s="249">
        <f t="shared" ca="1" si="31"/>
        <v>3799.0908345543403</v>
      </c>
      <c r="AN60" s="249">
        <f t="shared" ca="1" si="31"/>
        <v>4909.2976053198163</v>
      </c>
      <c r="AO60" s="249">
        <f t="shared" ca="1" si="31"/>
        <v>6019.5043760852923</v>
      </c>
      <c r="AP60" s="249">
        <f t="shared" ca="1" si="31"/>
        <v>7129.7111468507683</v>
      </c>
      <c r="AQ60" s="249">
        <f t="shared" ca="1" si="31"/>
        <v>8207.8185573913979</v>
      </c>
      <c r="AR60" s="249">
        <f t="shared" ca="1" si="31"/>
        <v>2783.0797800976507</v>
      </c>
      <c r="AS60" s="249">
        <f t="shared" ca="1" si="31"/>
        <v>3908.6890610298278</v>
      </c>
      <c r="AT60" s="249">
        <f t="shared" ca="1" si="31"/>
        <v>5040.602091962005</v>
      </c>
      <c r="AU60" s="249">
        <f t="shared" ca="1" si="31"/>
        <v>6180.4262219753782</v>
      </c>
      <c r="AV60" s="249">
        <f t="shared" ca="1" si="31"/>
        <v>7229.4718513322587</v>
      </c>
      <c r="AW60" s="249">
        <f t="shared" ca="1" si="31"/>
        <v>8484.4049429790794</v>
      </c>
      <c r="AX60" s="249">
        <f t="shared" ca="1" si="31"/>
        <v>2888.253583671607</v>
      </c>
      <c r="AY60" s="249">
        <f t="shared" ca="1" si="31"/>
        <v>4047.2697077117209</v>
      </c>
      <c r="AZ60" s="249">
        <f t="shared" ca="1" si="31"/>
        <v>5206.2858317518348</v>
      </c>
      <c r="BA60" s="249">
        <f t="shared" ca="1" si="31"/>
        <v>6365.3019557919488</v>
      </c>
      <c r="BB60" s="249">
        <f t="shared" ca="1" si="31"/>
        <v>7524.3180798320627</v>
      </c>
      <c r="BC60" s="249">
        <f t="shared" ca="1" si="31"/>
        <v>8683.3342038721767</v>
      </c>
      <c r="BD60" s="249">
        <f t="shared" ca="1" si="31"/>
        <v>2888.253583671607</v>
      </c>
      <c r="BE60" s="249">
        <f t="shared" ca="1" si="31"/>
        <v>4203.7935660223493</v>
      </c>
      <c r="BF60" s="249">
        <f t="shared" ca="1" si="31"/>
        <v>5392.3264909419186</v>
      </c>
      <c r="BG60" s="249">
        <f t="shared" ca="1" si="31"/>
        <v>6589.0078479151198</v>
      </c>
      <c r="BH60" s="249">
        <f t="shared" ca="1" si="31"/>
        <v>7785.689204888321</v>
      </c>
      <c r="BI60" s="249">
        <f t="shared" ca="1" si="31"/>
        <v>8988.1153266426973</v>
      </c>
      <c r="BJ60" s="249">
        <f t="shared" ca="1" si="31"/>
        <v>3021.7219848527802</v>
      </c>
      <c r="BK60" s="249">
        <f t="shared" ca="1" si="31"/>
        <v>4233.6826476534216</v>
      </c>
      <c r="BL60" s="249">
        <f t="shared" ca="1" si="31"/>
        <v>5445.6433104540629</v>
      </c>
      <c r="BM60" s="249">
        <f t="shared" ca="1" si="31"/>
        <v>6657.6039732547042</v>
      </c>
      <c r="BN60" s="249">
        <f t="shared" ca="1" si="31"/>
        <v>7869.5646360553455</v>
      </c>
      <c r="BO60" s="249">
        <f t="shared" ca="1" si="31"/>
        <v>9081.525298855986</v>
      </c>
      <c r="BP60" s="249">
        <f t="shared" ca="1" si="31"/>
        <v>7.8216544352471828E-11</v>
      </c>
      <c r="BQ60" s="249">
        <f t="shared" ca="1" si="31"/>
        <v>7.8216544352471828E-11</v>
      </c>
      <c r="BR60" s="249">
        <f t="shared" ca="1" si="31"/>
        <v>7.8216544352471828E-11</v>
      </c>
      <c r="BS60" s="249">
        <f t="shared" ca="1" si="31"/>
        <v>7.8216544352471828E-11</v>
      </c>
      <c r="BT60" s="249">
        <f t="shared" ca="1" si="31"/>
        <v>7.8216544352471828E-11</v>
      </c>
      <c r="BU60" s="249">
        <f t="shared" ca="1" si="31"/>
        <v>7.8216544352471828E-11</v>
      </c>
      <c r="BV60" s="249">
        <f t="shared" ref="BV60:DB60" ca="1" si="32">SUM(BV58:BV59)</f>
        <v>7.8216544352471828E-11</v>
      </c>
      <c r="BW60" s="249">
        <f t="shared" ca="1" si="32"/>
        <v>7.8216544352471828E-11</v>
      </c>
      <c r="BX60" s="249">
        <f t="shared" ca="1" si="32"/>
        <v>7.8216544352471828E-11</v>
      </c>
      <c r="BY60" s="249">
        <f t="shared" ca="1" si="32"/>
        <v>7.8216544352471828E-11</v>
      </c>
      <c r="BZ60" s="249">
        <f t="shared" ca="1" si="32"/>
        <v>7.8216544352471828E-11</v>
      </c>
      <c r="CA60" s="249">
        <f t="shared" ca="1" si="32"/>
        <v>7.8216544352471828E-11</v>
      </c>
      <c r="CB60" s="249">
        <f t="shared" ca="1" si="32"/>
        <v>7.8216544352471828E-11</v>
      </c>
      <c r="CC60" s="249">
        <f t="shared" ca="1" si="32"/>
        <v>7.8216544352471828E-11</v>
      </c>
      <c r="CD60" s="249">
        <f t="shared" ca="1" si="32"/>
        <v>7.8216544352471828E-11</v>
      </c>
      <c r="CE60" s="249">
        <f t="shared" ca="1" si="32"/>
        <v>7.8216544352471828E-11</v>
      </c>
      <c r="CF60" s="249">
        <f t="shared" ca="1" si="32"/>
        <v>7.8216544352471828E-11</v>
      </c>
      <c r="CG60" s="249">
        <f t="shared" ca="1" si="32"/>
        <v>7.8216544352471828E-11</v>
      </c>
      <c r="CH60" s="249">
        <f t="shared" ca="1" si="32"/>
        <v>7.8216544352471828E-11</v>
      </c>
      <c r="CI60" s="249">
        <f t="shared" ca="1" si="32"/>
        <v>7.8216544352471828E-11</v>
      </c>
      <c r="CJ60" s="249">
        <f t="shared" ca="1" si="32"/>
        <v>7.8216544352471828E-11</v>
      </c>
      <c r="CK60" s="249">
        <f t="shared" ca="1" si="32"/>
        <v>7.8216544352471828E-11</v>
      </c>
      <c r="CL60" s="249">
        <f t="shared" ca="1" si="32"/>
        <v>7.8216544352471828E-11</v>
      </c>
      <c r="CM60" s="249">
        <f t="shared" ca="1" si="32"/>
        <v>7.8216544352471828E-11</v>
      </c>
      <c r="CN60" s="249">
        <f t="shared" ca="1" si="32"/>
        <v>7.8216544352471828E-11</v>
      </c>
      <c r="CO60" s="249">
        <f t="shared" ca="1" si="32"/>
        <v>7.8216544352471828E-11</v>
      </c>
      <c r="CP60" s="249">
        <f t="shared" ca="1" si="32"/>
        <v>7.8216544352471828E-11</v>
      </c>
      <c r="CQ60" s="249">
        <f t="shared" ca="1" si="32"/>
        <v>7.8216544352471828E-11</v>
      </c>
      <c r="CR60" s="249">
        <f t="shared" ca="1" si="32"/>
        <v>7.8216544352471828E-11</v>
      </c>
      <c r="CS60" s="249">
        <f t="shared" ca="1" si="32"/>
        <v>7.8216544352471828E-11</v>
      </c>
      <c r="CT60" s="249">
        <f t="shared" ca="1" si="32"/>
        <v>7.8216544352471828E-11</v>
      </c>
      <c r="CU60" s="249">
        <f t="shared" ca="1" si="32"/>
        <v>7.8216544352471828E-11</v>
      </c>
      <c r="CV60" s="249">
        <f t="shared" ca="1" si="32"/>
        <v>7.8216544352471828E-11</v>
      </c>
      <c r="CW60" s="249">
        <f t="shared" ca="1" si="32"/>
        <v>7.8216544352471828E-11</v>
      </c>
      <c r="CX60" s="249">
        <f t="shared" ca="1" si="32"/>
        <v>7.8216544352471828E-11</v>
      </c>
      <c r="CY60" s="249">
        <f t="shared" ca="1" si="32"/>
        <v>7.8216544352471828E-11</v>
      </c>
      <c r="CZ60" s="249">
        <f t="shared" ca="1" si="32"/>
        <v>7.8216544352471828E-11</v>
      </c>
      <c r="DA60" s="249">
        <f t="shared" ca="1" si="32"/>
        <v>7.8216544352471828E-11</v>
      </c>
      <c r="DB60" s="249">
        <f t="shared" ca="1" si="32"/>
        <v>7.8216544352471828E-11</v>
      </c>
    </row>
    <row r="61" spans="2:106" s="63" customFormat="1">
      <c r="C61" s="63" t="s">
        <v>335</v>
      </c>
      <c r="H61" s="63">
        <f t="shared" ref="H61:AM61" ca="1" si="33">H22+H28+H59+SUM(H32:H39,H44:H52)</f>
        <v>0</v>
      </c>
      <c r="I61" s="63">
        <f t="shared" ca="1" si="33"/>
        <v>1814.6479115237105</v>
      </c>
      <c r="J61" s="63">
        <f t="shared" ca="1" si="33"/>
        <v>2454.5268004908794</v>
      </c>
      <c r="K61" s="63">
        <f t="shared" ca="1" si="33"/>
        <v>3868.1518804298066</v>
      </c>
      <c r="L61" s="63">
        <f t="shared" ca="1" si="33"/>
        <v>4750.7074839312336</v>
      </c>
      <c r="M61" s="63">
        <f t="shared" ca="1" si="33"/>
        <v>5679.0990968836231</v>
      </c>
      <c r="N61" s="63">
        <f t="shared" ca="1" si="33"/>
        <v>2073.9984127499988</v>
      </c>
      <c r="O61" s="63">
        <f t="shared" ca="1" si="33"/>
        <v>3331.8402125382131</v>
      </c>
      <c r="P61" s="63">
        <f t="shared" ca="1" si="33"/>
        <v>4248.0657232097619</v>
      </c>
      <c r="Q61" s="63">
        <f t="shared" ca="1" si="33"/>
        <v>5278.6754288063103</v>
      </c>
      <c r="R61" s="63">
        <f t="shared" ca="1" si="33"/>
        <v>6309.2851344028586</v>
      </c>
      <c r="S61" s="63">
        <f t="shared" ca="1" si="33"/>
        <v>7247.5078914994074</v>
      </c>
      <c r="T61" s="63">
        <f t="shared" ca="1" si="33"/>
        <v>2459.4689597499992</v>
      </c>
      <c r="U61" s="63">
        <f t="shared" ca="1" si="33"/>
        <v>3493.7611326345827</v>
      </c>
      <c r="V61" s="63">
        <f t="shared" ca="1" si="33"/>
        <v>4534.0533055191663</v>
      </c>
      <c r="W61" s="63">
        <f t="shared" ca="1" si="33"/>
        <v>5581.5928757321617</v>
      </c>
      <c r="X61" s="63">
        <f t="shared" ca="1" si="33"/>
        <v>6629.1324459451571</v>
      </c>
      <c r="Y61" s="63">
        <f t="shared" ca="1" si="33"/>
        <v>7681.8060627595187</v>
      </c>
      <c r="Z61" s="63">
        <f t="shared" ca="1" si="33"/>
        <v>2459.4689597500001</v>
      </c>
      <c r="AA61" s="63">
        <f t="shared" ca="1" si="33"/>
        <v>3520.8680322786117</v>
      </c>
      <c r="AB61" s="63">
        <f t="shared" ca="1" si="33"/>
        <v>4582.2671048072234</v>
      </c>
      <c r="AC61" s="63">
        <f t="shared" ca="1" si="33"/>
        <v>5643.6661773358355</v>
      </c>
      <c r="AD61" s="63">
        <f t="shared" ca="1" si="33"/>
        <v>6705.0652498644467</v>
      </c>
      <c r="AE61" s="63">
        <f t="shared" ca="1" si="33"/>
        <v>7766.464322393058</v>
      </c>
      <c r="AF61" s="63">
        <f t="shared" ca="1" si="33"/>
        <v>2459.4689597500001</v>
      </c>
      <c r="AG61" s="63">
        <f t="shared" ca="1" si="33"/>
        <v>3583.9555653772186</v>
      </c>
      <c r="AH61" s="63">
        <f t="shared" ca="1" si="33"/>
        <v>4400.6076543561594</v>
      </c>
      <c r="AI61" s="63">
        <f t="shared" ca="1" si="33"/>
        <v>5535.1813345283554</v>
      </c>
      <c r="AJ61" s="63">
        <f t="shared" ca="1" si="33"/>
        <v>6631.1128179087464</v>
      </c>
      <c r="AK61" s="63">
        <f t="shared" ca="1" si="33"/>
        <v>7732.3323692885442</v>
      </c>
      <c r="AL61" s="63">
        <f t="shared" ca="1" si="33"/>
        <v>2688.8840637888638</v>
      </c>
      <c r="AM61" s="63">
        <f t="shared" ca="1" si="33"/>
        <v>3799.0908345543403</v>
      </c>
      <c r="AN61" s="63">
        <f t="shared" ref="AN61:BS61" ca="1" si="34">AN22+AN28+AN59+SUM(AN32:AN39,AN44:AN52)</f>
        <v>4909.2976053198163</v>
      </c>
      <c r="AO61" s="63">
        <f t="shared" ca="1" si="34"/>
        <v>6019.5043760852923</v>
      </c>
      <c r="AP61" s="63">
        <f t="shared" ca="1" si="34"/>
        <v>7129.7111468507683</v>
      </c>
      <c r="AQ61" s="63">
        <f t="shared" ca="1" si="34"/>
        <v>8207.8185573913979</v>
      </c>
      <c r="AR61" s="63">
        <f t="shared" ca="1" si="34"/>
        <v>2783.0797800976516</v>
      </c>
      <c r="AS61" s="63">
        <f t="shared" ca="1" si="34"/>
        <v>3908.6890610298278</v>
      </c>
      <c r="AT61" s="63">
        <f t="shared" ca="1" si="34"/>
        <v>5040.602091962005</v>
      </c>
      <c r="AU61" s="63">
        <f t="shared" ca="1" si="34"/>
        <v>6180.4262219753782</v>
      </c>
      <c r="AV61" s="63">
        <f t="shared" ca="1" si="34"/>
        <v>7229.4718513322587</v>
      </c>
      <c r="AW61" s="63">
        <f t="shared" ca="1" si="34"/>
        <v>8484.4049429790794</v>
      </c>
      <c r="AX61" s="63">
        <f t="shared" ca="1" si="34"/>
        <v>2888.253583671607</v>
      </c>
      <c r="AY61" s="63">
        <f t="shared" ca="1" si="34"/>
        <v>4047.2697077117209</v>
      </c>
      <c r="AZ61" s="63">
        <f t="shared" ca="1" si="34"/>
        <v>5206.2858317518348</v>
      </c>
      <c r="BA61" s="63">
        <f t="shared" ca="1" si="34"/>
        <v>6365.3019557919488</v>
      </c>
      <c r="BB61" s="63">
        <f t="shared" ca="1" si="34"/>
        <v>7524.3180798320627</v>
      </c>
      <c r="BC61" s="63">
        <f t="shared" ca="1" si="34"/>
        <v>8683.3342038721767</v>
      </c>
      <c r="BD61" s="63">
        <f t="shared" ca="1" si="34"/>
        <v>2888.253583671607</v>
      </c>
      <c r="BE61" s="63">
        <f t="shared" ca="1" si="34"/>
        <v>4203.7935660223493</v>
      </c>
      <c r="BF61" s="63">
        <f t="shared" ca="1" si="34"/>
        <v>5392.3264909419186</v>
      </c>
      <c r="BG61" s="63">
        <f t="shared" ca="1" si="34"/>
        <v>6589.0078479151198</v>
      </c>
      <c r="BH61" s="63">
        <f t="shared" ca="1" si="34"/>
        <v>7785.689204888321</v>
      </c>
      <c r="BI61" s="63">
        <f t="shared" ca="1" si="34"/>
        <v>8988.1153266426973</v>
      </c>
      <c r="BJ61" s="63">
        <f t="shared" ca="1" si="34"/>
        <v>3021.7219848527798</v>
      </c>
      <c r="BK61" s="63">
        <f t="shared" ca="1" si="34"/>
        <v>4233.6826476534216</v>
      </c>
      <c r="BL61" s="63">
        <f t="shared" ca="1" si="34"/>
        <v>5445.6433104540629</v>
      </c>
      <c r="BM61" s="63">
        <f t="shared" ca="1" si="34"/>
        <v>6657.6039732547042</v>
      </c>
      <c r="BN61" s="63">
        <f t="shared" ca="1" si="34"/>
        <v>7869.5646360553455</v>
      </c>
      <c r="BO61" s="63">
        <f t="shared" ca="1" si="34"/>
        <v>9081.525298855986</v>
      </c>
      <c r="BP61" s="63">
        <f t="shared" ca="1" si="34"/>
        <v>152368.64594281581</v>
      </c>
      <c r="BQ61" s="63">
        <f t="shared" ca="1" si="34"/>
        <v>7.8216544352471828E-11</v>
      </c>
      <c r="BR61" s="63">
        <f t="shared" ca="1" si="34"/>
        <v>7.8216544352471828E-11</v>
      </c>
      <c r="BS61" s="63">
        <f t="shared" ca="1" si="34"/>
        <v>7.8216544352471828E-11</v>
      </c>
      <c r="BT61" s="63">
        <f t="shared" ref="BT61:DB61" ca="1" si="35">BT22+BT28+BT59+SUM(BT32:BT39,BT44:BT52)</f>
        <v>7.8216544352471828E-11</v>
      </c>
      <c r="BU61" s="63">
        <f t="shared" ca="1" si="35"/>
        <v>7.8216544352471828E-11</v>
      </c>
      <c r="BV61" s="63">
        <f t="shared" ca="1" si="35"/>
        <v>7.8216544352471828E-11</v>
      </c>
      <c r="BW61" s="63">
        <f t="shared" ca="1" si="35"/>
        <v>7.8216544352471828E-11</v>
      </c>
      <c r="BX61" s="63">
        <f t="shared" ca="1" si="35"/>
        <v>7.8216544352471828E-11</v>
      </c>
      <c r="BY61" s="63">
        <f t="shared" ca="1" si="35"/>
        <v>7.8216544352471828E-11</v>
      </c>
      <c r="BZ61" s="63">
        <f t="shared" ca="1" si="35"/>
        <v>7.8216544352471828E-11</v>
      </c>
      <c r="CA61" s="63">
        <f t="shared" ca="1" si="35"/>
        <v>7.8216544352471828E-11</v>
      </c>
      <c r="CB61" s="63">
        <f t="shared" ca="1" si="35"/>
        <v>7.8216544352471828E-11</v>
      </c>
      <c r="CC61" s="63">
        <f t="shared" ca="1" si="35"/>
        <v>7.8216544352471828E-11</v>
      </c>
      <c r="CD61" s="63">
        <f t="shared" ca="1" si="35"/>
        <v>7.8216544352471828E-11</v>
      </c>
      <c r="CE61" s="63">
        <f t="shared" ca="1" si="35"/>
        <v>7.8216544352471828E-11</v>
      </c>
      <c r="CF61" s="63">
        <f t="shared" ca="1" si="35"/>
        <v>7.8216544352471828E-11</v>
      </c>
      <c r="CG61" s="63">
        <f t="shared" ca="1" si="35"/>
        <v>7.8216544352471828E-11</v>
      </c>
      <c r="CH61" s="63">
        <f t="shared" ca="1" si="35"/>
        <v>7.8216544352471828E-11</v>
      </c>
      <c r="CI61" s="63">
        <f t="shared" ca="1" si="35"/>
        <v>7.8216544352471828E-11</v>
      </c>
      <c r="CJ61" s="63">
        <f t="shared" ca="1" si="35"/>
        <v>7.8216544352471828E-11</v>
      </c>
      <c r="CK61" s="63">
        <f t="shared" ca="1" si="35"/>
        <v>7.8216544352471828E-11</v>
      </c>
      <c r="CL61" s="63">
        <f t="shared" ca="1" si="35"/>
        <v>7.8216544352471828E-11</v>
      </c>
      <c r="CM61" s="63">
        <f t="shared" ca="1" si="35"/>
        <v>7.8216544352471828E-11</v>
      </c>
      <c r="CN61" s="63">
        <f t="shared" ca="1" si="35"/>
        <v>7.8216544352471828E-11</v>
      </c>
      <c r="CO61" s="63">
        <f t="shared" ca="1" si="35"/>
        <v>7.8216544352471828E-11</v>
      </c>
      <c r="CP61" s="63">
        <f t="shared" ca="1" si="35"/>
        <v>7.8216544352471828E-11</v>
      </c>
      <c r="CQ61" s="63">
        <f t="shared" ca="1" si="35"/>
        <v>7.8216544352471828E-11</v>
      </c>
      <c r="CR61" s="63">
        <f t="shared" ca="1" si="35"/>
        <v>7.8216544352471828E-11</v>
      </c>
      <c r="CS61" s="63">
        <f t="shared" ca="1" si="35"/>
        <v>7.8216544352471828E-11</v>
      </c>
      <c r="CT61" s="63">
        <f t="shared" ca="1" si="35"/>
        <v>7.8216544352471828E-11</v>
      </c>
      <c r="CU61" s="63">
        <f t="shared" ca="1" si="35"/>
        <v>7.8216544352471828E-11</v>
      </c>
      <c r="CV61" s="63">
        <f t="shared" ca="1" si="35"/>
        <v>7.8216544352471828E-11</v>
      </c>
      <c r="CW61" s="63">
        <f t="shared" ca="1" si="35"/>
        <v>7.8216544352471828E-11</v>
      </c>
      <c r="CX61" s="63">
        <f t="shared" ca="1" si="35"/>
        <v>7.8216544352471828E-11</v>
      </c>
      <c r="CY61" s="63">
        <f t="shared" ca="1" si="35"/>
        <v>7.8216544352471828E-11</v>
      </c>
      <c r="CZ61" s="63">
        <f t="shared" ca="1" si="35"/>
        <v>7.8216544352471828E-11</v>
      </c>
      <c r="DA61" s="63">
        <f t="shared" ca="1" si="35"/>
        <v>7.8216544352471828E-11</v>
      </c>
      <c r="DB61" s="63">
        <f t="shared" ca="1" si="35"/>
        <v>7.8216544352471828E-11</v>
      </c>
    </row>
    <row r="63" spans="2:106">
      <c r="B63" s="2" t="s">
        <v>336</v>
      </c>
    </row>
    <row r="64" spans="2:106">
      <c r="C64" s="13" t="s">
        <v>337</v>
      </c>
    </row>
    <row r="65" spans="3:106" hidden="1" outlineLevel="1">
      <c r="E65" s="272" t="s">
        <v>148</v>
      </c>
      <c r="F65" s="273">
        <f>'A&amp;R'!F52</f>
        <v>45688</v>
      </c>
    </row>
    <row r="66" spans="3:106" hidden="1" outlineLevel="1">
      <c r="E66" s="274" t="s">
        <v>149</v>
      </c>
      <c r="F66" s="275">
        <f>'A&amp;R'!G52</f>
        <v>46783</v>
      </c>
    </row>
    <row r="67" spans="3:106" hidden="1" outlineLevel="1">
      <c r="E67" s="276" t="s">
        <v>152</v>
      </c>
      <c r="F67" s="277">
        <f>'A&amp;R'!K52</f>
        <v>6</v>
      </c>
    </row>
    <row r="68" spans="3:106" s="63" customFormat="1" hidden="1" outlineLevel="1">
      <c r="F68" s="63" t="s">
        <v>338</v>
      </c>
      <c r="H68" s="63">
        <f t="shared" ref="H68:AM68" si="36">(H$14&gt;=$F$65)*(H$14&lt;=$F$66)*1</f>
        <v>1</v>
      </c>
      <c r="I68" s="63">
        <f t="shared" si="36"/>
        <v>1</v>
      </c>
      <c r="J68" s="63">
        <f t="shared" si="36"/>
        <v>1</v>
      </c>
      <c r="K68" s="63">
        <f t="shared" si="36"/>
        <v>1</v>
      </c>
      <c r="L68" s="63">
        <f t="shared" si="36"/>
        <v>1</v>
      </c>
      <c r="M68" s="63">
        <f t="shared" si="36"/>
        <v>1</v>
      </c>
      <c r="N68" s="63">
        <f t="shared" si="36"/>
        <v>1</v>
      </c>
      <c r="O68" s="63">
        <f t="shared" si="36"/>
        <v>1</v>
      </c>
      <c r="P68" s="63">
        <f t="shared" si="36"/>
        <v>1</v>
      </c>
      <c r="Q68" s="63">
        <f t="shared" si="36"/>
        <v>1</v>
      </c>
      <c r="R68" s="63">
        <f t="shared" si="36"/>
        <v>1</v>
      </c>
      <c r="S68" s="63">
        <f t="shared" si="36"/>
        <v>1</v>
      </c>
      <c r="T68" s="63">
        <f t="shared" si="36"/>
        <v>1</v>
      </c>
      <c r="U68" s="63">
        <f t="shared" si="36"/>
        <v>1</v>
      </c>
      <c r="V68" s="63">
        <f t="shared" si="36"/>
        <v>1</v>
      </c>
      <c r="W68" s="63">
        <f t="shared" si="36"/>
        <v>1</v>
      </c>
      <c r="X68" s="63">
        <f t="shared" si="36"/>
        <v>1</v>
      </c>
      <c r="Y68" s="63">
        <f t="shared" si="36"/>
        <v>1</v>
      </c>
      <c r="Z68" s="63">
        <f t="shared" si="36"/>
        <v>1</v>
      </c>
      <c r="AA68" s="63">
        <f t="shared" si="36"/>
        <v>1</v>
      </c>
      <c r="AB68" s="63">
        <f t="shared" si="36"/>
        <v>1</v>
      </c>
      <c r="AC68" s="63">
        <f t="shared" si="36"/>
        <v>1</v>
      </c>
      <c r="AD68" s="63">
        <f t="shared" si="36"/>
        <v>1</v>
      </c>
      <c r="AE68" s="63">
        <f t="shared" si="36"/>
        <v>1</v>
      </c>
      <c r="AF68" s="63">
        <f t="shared" si="36"/>
        <v>1</v>
      </c>
      <c r="AG68" s="63">
        <f t="shared" si="36"/>
        <v>1</v>
      </c>
      <c r="AH68" s="63">
        <f t="shared" si="36"/>
        <v>1</v>
      </c>
      <c r="AI68" s="63">
        <f t="shared" si="36"/>
        <v>1</v>
      </c>
      <c r="AJ68" s="63">
        <f t="shared" si="36"/>
        <v>1</v>
      </c>
      <c r="AK68" s="63">
        <f t="shared" si="36"/>
        <v>1</v>
      </c>
      <c r="AL68" s="63">
        <f t="shared" si="36"/>
        <v>1</v>
      </c>
      <c r="AM68" s="63">
        <f t="shared" si="36"/>
        <v>1</v>
      </c>
      <c r="AN68" s="63">
        <f t="shared" ref="AN68:BS68" si="37">(AN$14&gt;=$F$65)*(AN$14&lt;=$F$66)*1</f>
        <v>1</v>
      </c>
      <c r="AO68" s="63">
        <f t="shared" si="37"/>
        <v>1</v>
      </c>
      <c r="AP68" s="63">
        <f t="shared" si="37"/>
        <v>1</v>
      </c>
      <c r="AQ68" s="63">
        <f t="shared" si="37"/>
        <v>1</v>
      </c>
      <c r="AR68" s="63">
        <f t="shared" si="37"/>
        <v>1</v>
      </c>
      <c r="AS68" s="63">
        <f t="shared" si="37"/>
        <v>0</v>
      </c>
      <c r="AT68" s="63">
        <f t="shared" si="37"/>
        <v>0</v>
      </c>
      <c r="AU68" s="63">
        <f t="shared" si="37"/>
        <v>0</v>
      </c>
      <c r="AV68" s="63">
        <f t="shared" si="37"/>
        <v>0</v>
      </c>
      <c r="AW68" s="63">
        <f t="shared" si="37"/>
        <v>0</v>
      </c>
      <c r="AX68" s="63">
        <f t="shared" si="37"/>
        <v>0</v>
      </c>
      <c r="AY68" s="63">
        <f t="shared" si="37"/>
        <v>0</v>
      </c>
      <c r="AZ68" s="63">
        <f t="shared" si="37"/>
        <v>0</v>
      </c>
      <c r="BA68" s="63">
        <f t="shared" si="37"/>
        <v>0</v>
      </c>
      <c r="BB68" s="63">
        <f t="shared" si="37"/>
        <v>0</v>
      </c>
      <c r="BC68" s="63">
        <f t="shared" si="37"/>
        <v>0</v>
      </c>
      <c r="BD68" s="63">
        <f t="shared" si="37"/>
        <v>0</v>
      </c>
      <c r="BE68" s="63">
        <f t="shared" si="37"/>
        <v>0</v>
      </c>
      <c r="BF68" s="63">
        <f t="shared" si="37"/>
        <v>0</v>
      </c>
      <c r="BG68" s="63">
        <f t="shared" si="37"/>
        <v>0</v>
      </c>
      <c r="BH68" s="63">
        <f t="shared" si="37"/>
        <v>0</v>
      </c>
      <c r="BI68" s="63">
        <f t="shared" si="37"/>
        <v>0</v>
      </c>
      <c r="BJ68" s="63">
        <f t="shared" si="37"/>
        <v>0</v>
      </c>
      <c r="BK68" s="63">
        <f t="shared" si="37"/>
        <v>0</v>
      </c>
      <c r="BL68" s="63">
        <f t="shared" si="37"/>
        <v>0</v>
      </c>
      <c r="BM68" s="63">
        <f t="shared" si="37"/>
        <v>0</v>
      </c>
      <c r="BN68" s="63">
        <f t="shared" si="37"/>
        <v>0</v>
      </c>
      <c r="BO68" s="63">
        <f t="shared" si="37"/>
        <v>0</v>
      </c>
      <c r="BP68" s="63">
        <f t="shared" si="37"/>
        <v>0</v>
      </c>
      <c r="BQ68" s="63">
        <f t="shared" si="37"/>
        <v>0</v>
      </c>
      <c r="BR68" s="63">
        <f t="shared" si="37"/>
        <v>0</v>
      </c>
      <c r="BS68" s="63">
        <f t="shared" si="37"/>
        <v>0</v>
      </c>
      <c r="BT68" s="63">
        <f t="shared" ref="BT68:DB68" si="38">(BT$14&gt;=$F$65)*(BT$14&lt;=$F$66)*1</f>
        <v>0</v>
      </c>
      <c r="BU68" s="63">
        <f t="shared" si="38"/>
        <v>0</v>
      </c>
      <c r="BV68" s="63">
        <f t="shared" si="38"/>
        <v>0</v>
      </c>
      <c r="BW68" s="63">
        <f t="shared" si="38"/>
        <v>0</v>
      </c>
      <c r="BX68" s="63">
        <f t="shared" si="38"/>
        <v>0</v>
      </c>
      <c r="BY68" s="63">
        <f t="shared" si="38"/>
        <v>0</v>
      </c>
      <c r="BZ68" s="63">
        <f t="shared" si="38"/>
        <v>0</v>
      </c>
      <c r="CA68" s="63">
        <f t="shared" si="38"/>
        <v>0</v>
      </c>
      <c r="CB68" s="63">
        <f t="shared" si="38"/>
        <v>0</v>
      </c>
      <c r="CC68" s="63">
        <f t="shared" si="38"/>
        <v>0</v>
      </c>
      <c r="CD68" s="63">
        <f t="shared" si="38"/>
        <v>0</v>
      </c>
      <c r="CE68" s="63">
        <f t="shared" si="38"/>
        <v>0</v>
      </c>
      <c r="CF68" s="63">
        <f t="shared" si="38"/>
        <v>0</v>
      </c>
      <c r="CG68" s="63">
        <f t="shared" si="38"/>
        <v>0</v>
      </c>
      <c r="CH68" s="63">
        <f t="shared" si="38"/>
        <v>0</v>
      </c>
      <c r="CI68" s="63">
        <f t="shared" si="38"/>
        <v>0</v>
      </c>
      <c r="CJ68" s="63">
        <f t="shared" si="38"/>
        <v>0</v>
      </c>
      <c r="CK68" s="63">
        <f t="shared" si="38"/>
        <v>0</v>
      </c>
      <c r="CL68" s="63">
        <f t="shared" si="38"/>
        <v>0</v>
      </c>
      <c r="CM68" s="63">
        <f t="shared" si="38"/>
        <v>0</v>
      </c>
      <c r="CN68" s="63">
        <f t="shared" si="38"/>
        <v>0</v>
      </c>
      <c r="CO68" s="63">
        <f t="shared" si="38"/>
        <v>0</v>
      </c>
      <c r="CP68" s="63">
        <f t="shared" si="38"/>
        <v>0</v>
      </c>
      <c r="CQ68" s="63">
        <f t="shared" si="38"/>
        <v>0</v>
      </c>
      <c r="CR68" s="63">
        <f t="shared" si="38"/>
        <v>0</v>
      </c>
      <c r="CS68" s="63">
        <f t="shared" si="38"/>
        <v>0</v>
      </c>
      <c r="CT68" s="63">
        <f t="shared" si="38"/>
        <v>0</v>
      </c>
      <c r="CU68" s="63">
        <f t="shared" si="38"/>
        <v>0</v>
      </c>
      <c r="CV68" s="63">
        <f t="shared" si="38"/>
        <v>0</v>
      </c>
      <c r="CW68" s="63">
        <f t="shared" si="38"/>
        <v>0</v>
      </c>
      <c r="CX68" s="63">
        <f t="shared" si="38"/>
        <v>0</v>
      </c>
      <c r="CY68" s="63">
        <f t="shared" si="38"/>
        <v>0</v>
      </c>
      <c r="CZ68" s="63">
        <f t="shared" si="38"/>
        <v>0</v>
      </c>
      <c r="DA68" s="63">
        <f t="shared" si="38"/>
        <v>0</v>
      </c>
      <c r="DB68" s="63">
        <f t="shared" si="38"/>
        <v>0</v>
      </c>
    </row>
    <row r="69" spans="3:106" s="63" customFormat="1" hidden="1" outlineLevel="1">
      <c r="F69" s="63" t="s">
        <v>339</v>
      </c>
      <c r="H69" s="63">
        <f>SUM($H$68:H$68)*H$68</f>
        <v>1</v>
      </c>
      <c r="I69" s="63">
        <f>SUM($H$68:I$68)*I$68</f>
        <v>2</v>
      </c>
      <c r="J69" s="63">
        <f>SUM($H$68:J$68)*J$68</f>
        <v>3</v>
      </c>
      <c r="K69" s="63">
        <f>SUM($H$68:K$68)*K$68</f>
        <v>4</v>
      </c>
      <c r="L69" s="63">
        <f>SUM($H$68:L$68)*L$68</f>
        <v>5</v>
      </c>
      <c r="M69" s="63">
        <f>SUM($H$68:M$68)*M$68</f>
        <v>6</v>
      </c>
      <c r="N69" s="63">
        <f>SUM($H$68:N$68)*N$68</f>
        <v>7</v>
      </c>
      <c r="O69" s="63">
        <f>SUM($H$68:O$68)*O$68</f>
        <v>8</v>
      </c>
      <c r="P69" s="63">
        <f>SUM($H$68:P$68)*P$68</f>
        <v>9</v>
      </c>
      <c r="Q69" s="63">
        <f>SUM($H$68:Q$68)*Q$68</f>
        <v>10</v>
      </c>
      <c r="R69" s="63">
        <f>SUM($H$68:R$68)*R$68</f>
        <v>11</v>
      </c>
      <c r="S69" s="63">
        <f>SUM($H$68:S$68)*S$68</f>
        <v>12</v>
      </c>
      <c r="T69" s="63">
        <f>SUM($H$68:T$68)*T$68</f>
        <v>13</v>
      </c>
      <c r="U69" s="63">
        <f>SUM($H$68:U$68)*U$68</f>
        <v>14</v>
      </c>
      <c r="V69" s="63">
        <f>SUM($H$68:V$68)*V$68</f>
        <v>15</v>
      </c>
      <c r="W69" s="63">
        <f>SUM($H$68:W$68)*W$68</f>
        <v>16</v>
      </c>
      <c r="X69" s="63">
        <f>SUM($H$68:X$68)*X$68</f>
        <v>17</v>
      </c>
      <c r="Y69" s="63">
        <f>SUM($H$68:Y$68)*Y$68</f>
        <v>18</v>
      </c>
      <c r="Z69" s="63">
        <f>SUM($H$68:Z$68)*Z$68</f>
        <v>19</v>
      </c>
      <c r="AA69" s="63">
        <f>SUM($H$68:AA$68)*AA$68</f>
        <v>20</v>
      </c>
      <c r="AB69" s="63">
        <f>SUM($H$68:AB$68)*AB$68</f>
        <v>21</v>
      </c>
      <c r="AC69" s="63">
        <f>SUM($H$68:AC$68)*AC$68</f>
        <v>22</v>
      </c>
      <c r="AD69" s="63">
        <f>SUM($H$68:AD$68)*AD$68</f>
        <v>23</v>
      </c>
      <c r="AE69" s="63">
        <f>SUM($H$68:AE$68)*AE$68</f>
        <v>24</v>
      </c>
      <c r="AF69" s="63">
        <f>SUM($H$68:AF$68)*AF$68</f>
        <v>25</v>
      </c>
      <c r="AG69" s="63">
        <f>SUM($H$68:AG$68)*AG$68</f>
        <v>26</v>
      </c>
      <c r="AH69" s="63">
        <f>SUM($H$68:AH$68)*AH$68</f>
        <v>27</v>
      </c>
      <c r="AI69" s="63">
        <f>SUM($H$68:AI$68)*AI$68</f>
        <v>28</v>
      </c>
      <c r="AJ69" s="63">
        <f>SUM($H$68:AJ$68)*AJ$68</f>
        <v>29</v>
      </c>
      <c r="AK69" s="63">
        <f>SUM($H$68:AK$68)*AK$68</f>
        <v>30</v>
      </c>
      <c r="AL69" s="63">
        <f>SUM($H$68:AL$68)*AL$68</f>
        <v>31</v>
      </c>
      <c r="AM69" s="63">
        <f>SUM($H$68:AM$68)*AM$68</f>
        <v>32</v>
      </c>
      <c r="AN69" s="63">
        <f>SUM($H$68:AN$68)*AN$68</f>
        <v>33</v>
      </c>
      <c r="AO69" s="63">
        <f>SUM($H$68:AO$68)*AO$68</f>
        <v>34</v>
      </c>
      <c r="AP69" s="63">
        <f>SUM($H$68:AP$68)*AP$68</f>
        <v>35</v>
      </c>
      <c r="AQ69" s="63">
        <f>SUM($H$68:AQ$68)*AQ$68</f>
        <v>36</v>
      </c>
      <c r="AR69" s="63">
        <f>SUM($H$68:AR$68)*AR$68</f>
        <v>37</v>
      </c>
      <c r="AS69" s="63">
        <f>SUM($H$68:AS$68)*AS$68</f>
        <v>0</v>
      </c>
      <c r="AT69" s="63">
        <f>SUM($H$68:AT$68)*AT$68</f>
        <v>0</v>
      </c>
      <c r="AU69" s="63">
        <f>SUM($H$68:AU$68)*AU$68</f>
        <v>0</v>
      </c>
      <c r="AV69" s="63">
        <f>SUM($H$68:AV$68)*AV$68</f>
        <v>0</v>
      </c>
      <c r="AW69" s="63">
        <f>SUM($H$68:AW$68)*AW$68</f>
        <v>0</v>
      </c>
      <c r="AX69" s="63">
        <f>SUM($H$68:AX$68)*AX$68</f>
        <v>0</v>
      </c>
      <c r="AY69" s="63">
        <f>SUM($H$68:AY$68)*AY$68</f>
        <v>0</v>
      </c>
      <c r="AZ69" s="63">
        <f>SUM($H$68:AZ$68)*AZ$68</f>
        <v>0</v>
      </c>
      <c r="BA69" s="63">
        <f>SUM($H$68:BA$68)*BA$68</f>
        <v>0</v>
      </c>
      <c r="BB69" s="63">
        <f>SUM($H$68:BB$68)*BB$68</f>
        <v>0</v>
      </c>
      <c r="BC69" s="63">
        <f>SUM($H$68:BC$68)*BC$68</f>
        <v>0</v>
      </c>
      <c r="BD69" s="63">
        <f>SUM($H$68:BD$68)*BD$68</f>
        <v>0</v>
      </c>
      <c r="BE69" s="63">
        <f>SUM($H$68:BE$68)*BE$68</f>
        <v>0</v>
      </c>
      <c r="BF69" s="63">
        <f>SUM($H$68:BF$68)*BF$68</f>
        <v>0</v>
      </c>
      <c r="BG69" s="63">
        <f>SUM($H$68:BG$68)*BG$68</f>
        <v>0</v>
      </c>
      <c r="BH69" s="63">
        <f>SUM($H$68:BH$68)*BH$68</f>
        <v>0</v>
      </c>
      <c r="BI69" s="63">
        <f>SUM($H$68:BI$68)*BI$68</f>
        <v>0</v>
      </c>
      <c r="BJ69" s="63">
        <f>SUM($H$68:BJ$68)*BJ$68</f>
        <v>0</v>
      </c>
      <c r="BK69" s="63">
        <f>SUM($H$68:BK$68)*BK$68</f>
        <v>0</v>
      </c>
      <c r="BL69" s="63">
        <f>SUM($H$68:BL$68)*BL$68</f>
        <v>0</v>
      </c>
      <c r="BM69" s="63">
        <f>SUM($H$68:BM$68)*BM$68</f>
        <v>0</v>
      </c>
      <c r="BN69" s="63">
        <f>SUM($H$68:BN$68)*BN$68</f>
        <v>0</v>
      </c>
      <c r="BO69" s="63">
        <f>SUM($H$68:BO$68)*BO$68</f>
        <v>0</v>
      </c>
      <c r="BP69" s="63">
        <f>SUM($H$68:BP$68)*BP$68</f>
        <v>0</v>
      </c>
      <c r="BQ69" s="63">
        <f>SUM($H$68:BQ$68)*BQ$68</f>
        <v>0</v>
      </c>
      <c r="BR69" s="63">
        <f>SUM($H$68:BR$68)*BR$68</f>
        <v>0</v>
      </c>
      <c r="BS69" s="63">
        <f>SUM($H$68:BS$68)*BS$68</f>
        <v>0</v>
      </c>
      <c r="BT69" s="63">
        <f>SUM($H$68:BT$68)*BT$68</f>
        <v>0</v>
      </c>
      <c r="BU69" s="63">
        <f>SUM($H$68:BU$68)*BU$68</f>
        <v>0</v>
      </c>
      <c r="BV69" s="63">
        <f>SUM($H$68:BV$68)*BV$68</f>
        <v>0</v>
      </c>
      <c r="BW69" s="63">
        <f>SUM($H$68:BW$68)*BW$68</f>
        <v>0</v>
      </c>
      <c r="BX69" s="63">
        <f>SUM($H$68:BX$68)*BX$68</f>
        <v>0</v>
      </c>
      <c r="BY69" s="63">
        <f>SUM($H$68:BY$68)*BY$68</f>
        <v>0</v>
      </c>
      <c r="BZ69" s="63">
        <f>SUM($H$68:BZ$68)*BZ$68</f>
        <v>0</v>
      </c>
      <c r="CA69" s="63">
        <f>SUM($H$68:CA$68)*CA$68</f>
        <v>0</v>
      </c>
      <c r="CB69" s="63">
        <f>SUM($H$68:CB$68)*CB$68</f>
        <v>0</v>
      </c>
      <c r="CC69" s="63">
        <f>SUM($H$68:CC$68)*CC$68</f>
        <v>0</v>
      </c>
      <c r="CD69" s="63">
        <f>SUM($H$68:CD$68)*CD$68</f>
        <v>0</v>
      </c>
      <c r="CE69" s="63">
        <f>SUM($H$68:CE$68)*CE$68</f>
        <v>0</v>
      </c>
      <c r="CF69" s="63">
        <f>SUM($H$68:CF$68)*CF$68</f>
        <v>0</v>
      </c>
      <c r="CG69" s="63">
        <f>SUM($H$68:CG$68)*CG$68</f>
        <v>0</v>
      </c>
      <c r="CH69" s="63">
        <f>SUM($H$68:CH$68)*CH$68</f>
        <v>0</v>
      </c>
      <c r="CI69" s="63">
        <f>SUM($H$68:CI$68)*CI$68</f>
        <v>0</v>
      </c>
      <c r="CJ69" s="63">
        <f>SUM($H$68:CJ$68)*CJ$68</f>
        <v>0</v>
      </c>
      <c r="CK69" s="63">
        <f>SUM($H$68:CK$68)*CK$68</f>
        <v>0</v>
      </c>
      <c r="CL69" s="63">
        <f>SUM($H$68:CL$68)*CL$68</f>
        <v>0</v>
      </c>
      <c r="CM69" s="63">
        <f>SUM($H$68:CM$68)*CM$68</f>
        <v>0</v>
      </c>
      <c r="CN69" s="63">
        <f>SUM($H$68:CN$68)*CN$68</f>
        <v>0</v>
      </c>
      <c r="CO69" s="63">
        <f>SUM($H$68:CO$68)*CO$68</f>
        <v>0</v>
      </c>
      <c r="CP69" s="63">
        <f>SUM($H$68:CP$68)*CP$68</f>
        <v>0</v>
      </c>
      <c r="CQ69" s="63">
        <f>SUM($H$68:CQ$68)*CQ$68</f>
        <v>0</v>
      </c>
      <c r="CR69" s="63">
        <f>SUM($H$68:CR$68)*CR$68</f>
        <v>0</v>
      </c>
      <c r="CS69" s="63">
        <f>SUM($H$68:CS$68)*CS$68</f>
        <v>0</v>
      </c>
      <c r="CT69" s="63">
        <f>SUM($H$68:CT$68)*CT$68</f>
        <v>0</v>
      </c>
      <c r="CU69" s="63">
        <f>SUM($H$68:CU$68)*CU$68</f>
        <v>0</v>
      </c>
      <c r="CV69" s="63">
        <f>SUM($H$68:CV$68)*CV$68</f>
        <v>0</v>
      </c>
      <c r="CW69" s="63">
        <f>SUM($H$68:CW$68)*CW$68</f>
        <v>0</v>
      </c>
      <c r="CX69" s="63">
        <f>SUM($H$68:CX$68)*CX$68</f>
        <v>0</v>
      </c>
      <c r="CY69" s="63">
        <f>SUM($H$68:CY$68)*CY$68</f>
        <v>0</v>
      </c>
      <c r="CZ69" s="63">
        <f>SUM($H$68:CZ$68)*CZ$68</f>
        <v>0</v>
      </c>
      <c r="DA69" s="63">
        <f>SUM($H$68:DA$68)*DA$68</f>
        <v>0</v>
      </c>
      <c r="DB69" s="63">
        <f>SUM($H$68:DB$68)*DB$68</f>
        <v>0</v>
      </c>
    </row>
    <row r="70" spans="3:106" s="63" customFormat="1" hidden="1" outlineLevel="1">
      <c r="F70" s="63" t="s">
        <v>340</v>
      </c>
      <c r="I70" s="63">
        <f t="shared" ref="I70:AN70" si="39">MIN(((MOD(H$69,$F$67)=0)*1+(I$14=$F$66)*1)*I$68,1)</f>
        <v>0</v>
      </c>
      <c r="J70" s="63">
        <f t="shared" si="39"/>
        <v>0</v>
      </c>
      <c r="K70" s="63">
        <f t="shared" si="39"/>
        <v>0</v>
      </c>
      <c r="L70" s="63">
        <f t="shared" si="39"/>
        <v>0</v>
      </c>
      <c r="M70" s="63">
        <f t="shared" si="39"/>
        <v>0</v>
      </c>
      <c r="N70" s="63">
        <f t="shared" si="39"/>
        <v>1</v>
      </c>
      <c r="O70" s="63">
        <f t="shared" si="39"/>
        <v>0</v>
      </c>
      <c r="P70" s="63">
        <f t="shared" si="39"/>
        <v>0</v>
      </c>
      <c r="Q70" s="63">
        <f t="shared" si="39"/>
        <v>0</v>
      </c>
      <c r="R70" s="63">
        <f t="shared" si="39"/>
        <v>0</v>
      </c>
      <c r="S70" s="63">
        <f t="shared" si="39"/>
        <v>0</v>
      </c>
      <c r="T70" s="63">
        <f t="shared" si="39"/>
        <v>1</v>
      </c>
      <c r="U70" s="63">
        <f t="shared" si="39"/>
        <v>0</v>
      </c>
      <c r="V70" s="63">
        <f t="shared" si="39"/>
        <v>0</v>
      </c>
      <c r="W70" s="63">
        <f t="shared" si="39"/>
        <v>0</v>
      </c>
      <c r="X70" s="63">
        <f t="shared" si="39"/>
        <v>0</v>
      </c>
      <c r="Y70" s="63">
        <f t="shared" si="39"/>
        <v>0</v>
      </c>
      <c r="Z70" s="63">
        <f t="shared" si="39"/>
        <v>1</v>
      </c>
      <c r="AA70" s="63">
        <f t="shared" si="39"/>
        <v>0</v>
      </c>
      <c r="AB70" s="63">
        <f t="shared" si="39"/>
        <v>0</v>
      </c>
      <c r="AC70" s="63">
        <f t="shared" si="39"/>
        <v>0</v>
      </c>
      <c r="AD70" s="63">
        <f t="shared" si="39"/>
        <v>0</v>
      </c>
      <c r="AE70" s="63">
        <f t="shared" si="39"/>
        <v>0</v>
      </c>
      <c r="AF70" s="63">
        <f t="shared" si="39"/>
        <v>1</v>
      </c>
      <c r="AG70" s="63">
        <f t="shared" si="39"/>
        <v>0</v>
      </c>
      <c r="AH70" s="63">
        <f t="shared" si="39"/>
        <v>0</v>
      </c>
      <c r="AI70" s="63">
        <f t="shared" si="39"/>
        <v>0</v>
      </c>
      <c r="AJ70" s="63">
        <f t="shared" si="39"/>
        <v>0</v>
      </c>
      <c r="AK70" s="63">
        <f t="shared" si="39"/>
        <v>0</v>
      </c>
      <c r="AL70" s="63">
        <f t="shared" si="39"/>
        <v>1</v>
      </c>
      <c r="AM70" s="63">
        <f t="shared" si="39"/>
        <v>0</v>
      </c>
      <c r="AN70" s="63">
        <f t="shared" si="39"/>
        <v>0</v>
      </c>
      <c r="AO70" s="63">
        <f t="shared" ref="AO70:BT70" si="40">MIN(((MOD(AN$69,$F$67)=0)*1+(AO$14=$F$66)*1)*AO$68,1)</f>
        <v>0</v>
      </c>
      <c r="AP70" s="63">
        <f t="shared" si="40"/>
        <v>0</v>
      </c>
      <c r="AQ70" s="63">
        <f t="shared" si="40"/>
        <v>0</v>
      </c>
      <c r="AR70" s="63">
        <f t="shared" si="40"/>
        <v>1</v>
      </c>
      <c r="AS70" s="63">
        <f t="shared" si="40"/>
        <v>0</v>
      </c>
      <c r="AT70" s="63">
        <f t="shared" si="40"/>
        <v>0</v>
      </c>
      <c r="AU70" s="63">
        <f t="shared" si="40"/>
        <v>0</v>
      </c>
      <c r="AV70" s="63">
        <f t="shared" si="40"/>
        <v>0</v>
      </c>
      <c r="AW70" s="63">
        <f t="shared" si="40"/>
        <v>0</v>
      </c>
      <c r="AX70" s="63">
        <f t="shared" si="40"/>
        <v>0</v>
      </c>
      <c r="AY70" s="63">
        <f t="shared" si="40"/>
        <v>0</v>
      </c>
      <c r="AZ70" s="63">
        <f t="shared" si="40"/>
        <v>0</v>
      </c>
      <c r="BA70" s="63">
        <f t="shared" si="40"/>
        <v>0</v>
      </c>
      <c r="BB70" s="63">
        <f t="shared" si="40"/>
        <v>0</v>
      </c>
      <c r="BC70" s="63">
        <f t="shared" si="40"/>
        <v>0</v>
      </c>
      <c r="BD70" s="63">
        <f t="shared" si="40"/>
        <v>0</v>
      </c>
      <c r="BE70" s="63">
        <f t="shared" si="40"/>
        <v>0</v>
      </c>
      <c r="BF70" s="63">
        <f t="shared" si="40"/>
        <v>0</v>
      </c>
      <c r="BG70" s="63">
        <f t="shared" si="40"/>
        <v>0</v>
      </c>
      <c r="BH70" s="63">
        <f t="shared" si="40"/>
        <v>0</v>
      </c>
      <c r="BI70" s="63">
        <f t="shared" si="40"/>
        <v>0</v>
      </c>
      <c r="BJ70" s="63">
        <f t="shared" si="40"/>
        <v>0</v>
      </c>
      <c r="BK70" s="63">
        <f t="shared" si="40"/>
        <v>0</v>
      </c>
      <c r="BL70" s="63">
        <f t="shared" si="40"/>
        <v>0</v>
      </c>
      <c r="BM70" s="63">
        <f t="shared" si="40"/>
        <v>0</v>
      </c>
      <c r="BN70" s="63">
        <f t="shared" si="40"/>
        <v>0</v>
      </c>
      <c r="BO70" s="63">
        <f t="shared" si="40"/>
        <v>0</v>
      </c>
      <c r="BP70" s="63">
        <f t="shared" si="40"/>
        <v>0</v>
      </c>
      <c r="BQ70" s="63">
        <f t="shared" si="40"/>
        <v>0</v>
      </c>
      <c r="BR70" s="63">
        <f t="shared" si="40"/>
        <v>0</v>
      </c>
      <c r="BS70" s="63">
        <f t="shared" si="40"/>
        <v>0</v>
      </c>
      <c r="BT70" s="63">
        <f t="shared" si="40"/>
        <v>0</v>
      </c>
      <c r="BU70" s="63">
        <f t="shared" ref="BU70:DB70" si="41">MIN(((MOD(BT$69,$F$67)=0)*1+(BU$14=$F$66)*1)*BU$68,1)</f>
        <v>0</v>
      </c>
      <c r="BV70" s="63">
        <f t="shared" si="41"/>
        <v>0</v>
      </c>
      <c r="BW70" s="63">
        <f t="shared" si="41"/>
        <v>0</v>
      </c>
      <c r="BX70" s="63">
        <f t="shared" si="41"/>
        <v>0</v>
      </c>
      <c r="BY70" s="63">
        <f t="shared" si="41"/>
        <v>0</v>
      </c>
      <c r="BZ70" s="63">
        <f t="shared" si="41"/>
        <v>0</v>
      </c>
      <c r="CA70" s="63">
        <f t="shared" si="41"/>
        <v>0</v>
      </c>
      <c r="CB70" s="63">
        <f t="shared" si="41"/>
        <v>0</v>
      </c>
      <c r="CC70" s="63">
        <f t="shared" si="41"/>
        <v>0</v>
      </c>
      <c r="CD70" s="63">
        <f t="shared" si="41"/>
        <v>0</v>
      </c>
      <c r="CE70" s="63">
        <f t="shared" si="41"/>
        <v>0</v>
      </c>
      <c r="CF70" s="63">
        <f t="shared" si="41"/>
        <v>0</v>
      </c>
      <c r="CG70" s="63">
        <f t="shared" si="41"/>
        <v>0</v>
      </c>
      <c r="CH70" s="63">
        <f t="shared" si="41"/>
        <v>0</v>
      </c>
      <c r="CI70" s="63">
        <f t="shared" si="41"/>
        <v>0</v>
      </c>
      <c r="CJ70" s="63">
        <f t="shared" si="41"/>
        <v>0</v>
      </c>
      <c r="CK70" s="63">
        <f t="shared" si="41"/>
        <v>0</v>
      </c>
      <c r="CL70" s="63">
        <f t="shared" si="41"/>
        <v>0</v>
      </c>
      <c r="CM70" s="63">
        <f t="shared" si="41"/>
        <v>0</v>
      </c>
      <c r="CN70" s="63">
        <f t="shared" si="41"/>
        <v>0</v>
      </c>
      <c r="CO70" s="63">
        <f t="shared" si="41"/>
        <v>0</v>
      </c>
      <c r="CP70" s="63">
        <f t="shared" si="41"/>
        <v>0</v>
      </c>
      <c r="CQ70" s="63">
        <f t="shared" si="41"/>
        <v>0</v>
      </c>
      <c r="CR70" s="63">
        <f t="shared" si="41"/>
        <v>0</v>
      </c>
      <c r="CS70" s="63">
        <f t="shared" si="41"/>
        <v>0</v>
      </c>
      <c r="CT70" s="63">
        <f t="shared" si="41"/>
        <v>0</v>
      </c>
      <c r="CU70" s="63">
        <f t="shared" si="41"/>
        <v>0</v>
      </c>
      <c r="CV70" s="63">
        <f t="shared" si="41"/>
        <v>0</v>
      </c>
      <c r="CW70" s="63">
        <f t="shared" si="41"/>
        <v>0</v>
      </c>
      <c r="CX70" s="63">
        <f t="shared" si="41"/>
        <v>0</v>
      </c>
      <c r="CY70" s="63">
        <f t="shared" si="41"/>
        <v>0</v>
      </c>
      <c r="CZ70" s="63">
        <f t="shared" si="41"/>
        <v>0</v>
      </c>
      <c r="DA70" s="63">
        <f t="shared" si="41"/>
        <v>0</v>
      </c>
      <c r="DB70" s="63">
        <f t="shared" si="41"/>
        <v>0</v>
      </c>
    </row>
    <row r="71" spans="3:106" collapsed="1"/>
    <row r="72" spans="3:106">
      <c r="D72" s="13" t="s">
        <v>210</v>
      </c>
      <c r="H72" s="13">
        <v>0</v>
      </c>
      <c r="I72" s="13">
        <f ca="1">H74</f>
        <v>145594.83489206826</v>
      </c>
      <c r="J72" s="13">
        <f t="shared" ref="J72:BU72" ca="1" si="42">I74</f>
        <v>145594.83489206826</v>
      </c>
      <c r="K72" s="13">
        <f t="shared" ca="1" si="42"/>
        <v>145594.83489206826</v>
      </c>
      <c r="L72" s="13">
        <f t="shared" ca="1" si="42"/>
        <v>145594.83489206826</v>
      </c>
      <c r="M72" s="13">
        <f t="shared" ca="1" si="42"/>
        <v>145594.83489206826</v>
      </c>
      <c r="N72" s="13">
        <f t="shared" ca="1" si="42"/>
        <v>145594.83489206826</v>
      </c>
      <c r="O72" s="13">
        <f t="shared" ca="1" si="42"/>
        <v>145594.83489206826</v>
      </c>
      <c r="P72" s="13">
        <f t="shared" ca="1" si="42"/>
        <v>145594.83489206826</v>
      </c>
      <c r="Q72" s="13">
        <f t="shared" ca="1" si="42"/>
        <v>145594.83489206826</v>
      </c>
      <c r="R72" s="13">
        <f t="shared" ca="1" si="42"/>
        <v>145594.83489206826</v>
      </c>
      <c r="S72" s="13">
        <f t="shared" ca="1" si="42"/>
        <v>145594.83489206826</v>
      </c>
      <c r="T72" s="13">
        <f t="shared" ca="1" si="42"/>
        <v>145594.83489206826</v>
      </c>
      <c r="U72" s="13">
        <f t="shared" ca="1" si="42"/>
        <v>145594.83489206826</v>
      </c>
      <c r="V72" s="13">
        <f t="shared" ca="1" si="42"/>
        <v>145594.83489206826</v>
      </c>
      <c r="W72" s="13">
        <f t="shared" ca="1" si="42"/>
        <v>145594.83489206826</v>
      </c>
      <c r="X72" s="13">
        <f t="shared" ca="1" si="42"/>
        <v>145594.83489206826</v>
      </c>
      <c r="Y72" s="13">
        <f t="shared" ca="1" si="42"/>
        <v>145594.83489206826</v>
      </c>
      <c r="Z72" s="13">
        <f t="shared" ca="1" si="42"/>
        <v>145594.83489206826</v>
      </c>
      <c r="AA72" s="13">
        <f t="shared" ca="1" si="42"/>
        <v>145594.83489206826</v>
      </c>
      <c r="AB72" s="13">
        <f t="shared" ca="1" si="42"/>
        <v>145594.83489206826</v>
      </c>
      <c r="AC72" s="13">
        <f t="shared" ca="1" si="42"/>
        <v>145594.83489206826</v>
      </c>
      <c r="AD72" s="13">
        <f t="shared" ca="1" si="42"/>
        <v>145594.83489206826</v>
      </c>
      <c r="AE72" s="13">
        <f t="shared" ca="1" si="42"/>
        <v>145594.83489206826</v>
      </c>
      <c r="AF72" s="13">
        <f t="shared" ca="1" si="42"/>
        <v>145594.83489206826</v>
      </c>
      <c r="AG72" s="13">
        <f t="shared" ca="1" si="42"/>
        <v>145594.83489206826</v>
      </c>
      <c r="AH72" s="13">
        <f t="shared" ca="1" si="42"/>
        <v>145594.83489206826</v>
      </c>
      <c r="AI72" s="13">
        <f t="shared" ca="1" si="42"/>
        <v>145594.83489206826</v>
      </c>
      <c r="AJ72" s="13">
        <f t="shared" ca="1" si="42"/>
        <v>145594.83489206826</v>
      </c>
      <c r="AK72" s="13">
        <f t="shared" ca="1" si="42"/>
        <v>145594.83489206826</v>
      </c>
      <c r="AL72" s="13">
        <f t="shared" ca="1" si="42"/>
        <v>145594.83489206826</v>
      </c>
      <c r="AM72" s="13">
        <f t="shared" ca="1" si="42"/>
        <v>145594.83489206826</v>
      </c>
      <c r="AN72" s="13">
        <f t="shared" ca="1" si="42"/>
        <v>145594.83489206826</v>
      </c>
      <c r="AO72" s="13">
        <f t="shared" ca="1" si="42"/>
        <v>145594.83489206826</v>
      </c>
      <c r="AP72" s="13">
        <f t="shared" ca="1" si="42"/>
        <v>145594.83489206826</v>
      </c>
      <c r="AQ72" s="13">
        <f t="shared" ca="1" si="42"/>
        <v>145594.83489206826</v>
      </c>
      <c r="AR72" s="13">
        <f t="shared" ca="1" si="42"/>
        <v>145594.83489206826</v>
      </c>
      <c r="AS72" s="13">
        <f t="shared" ca="1" si="42"/>
        <v>0</v>
      </c>
      <c r="AT72" s="13">
        <f t="shared" ca="1" si="42"/>
        <v>0</v>
      </c>
      <c r="AU72" s="13">
        <f t="shared" ca="1" si="42"/>
        <v>0</v>
      </c>
      <c r="AV72" s="13">
        <f t="shared" ca="1" si="42"/>
        <v>0</v>
      </c>
      <c r="AW72" s="13">
        <f t="shared" ca="1" si="42"/>
        <v>0</v>
      </c>
      <c r="AX72" s="13">
        <f t="shared" ca="1" si="42"/>
        <v>0</v>
      </c>
      <c r="AY72" s="13">
        <f t="shared" ca="1" si="42"/>
        <v>0</v>
      </c>
      <c r="AZ72" s="13">
        <f t="shared" ca="1" si="42"/>
        <v>0</v>
      </c>
      <c r="BA72" s="13">
        <f t="shared" ca="1" si="42"/>
        <v>0</v>
      </c>
      <c r="BB72" s="13">
        <f t="shared" ca="1" si="42"/>
        <v>0</v>
      </c>
      <c r="BC72" s="13">
        <f t="shared" ca="1" si="42"/>
        <v>0</v>
      </c>
      <c r="BD72" s="13">
        <f t="shared" ca="1" si="42"/>
        <v>0</v>
      </c>
      <c r="BE72" s="13">
        <f t="shared" ca="1" si="42"/>
        <v>0</v>
      </c>
      <c r="BF72" s="13">
        <f t="shared" ca="1" si="42"/>
        <v>0</v>
      </c>
      <c r="BG72" s="13">
        <f t="shared" ca="1" si="42"/>
        <v>0</v>
      </c>
      <c r="BH72" s="13">
        <f t="shared" ca="1" si="42"/>
        <v>0</v>
      </c>
      <c r="BI72" s="13">
        <f t="shared" ca="1" si="42"/>
        <v>0</v>
      </c>
      <c r="BJ72" s="13">
        <f t="shared" ca="1" si="42"/>
        <v>0</v>
      </c>
      <c r="BK72" s="13">
        <f t="shared" ca="1" si="42"/>
        <v>0</v>
      </c>
      <c r="BL72" s="13">
        <f t="shared" ca="1" si="42"/>
        <v>0</v>
      </c>
      <c r="BM72" s="13">
        <f t="shared" ca="1" si="42"/>
        <v>0</v>
      </c>
      <c r="BN72" s="13">
        <f t="shared" ca="1" si="42"/>
        <v>0</v>
      </c>
      <c r="BO72" s="13">
        <f t="shared" ca="1" si="42"/>
        <v>0</v>
      </c>
      <c r="BP72" s="13">
        <f t="shared" ca="1" si="42"/>
        <v>0</v>
      </c>
      <c r="BQ72" s="13">
        <f t="shared" ca="1" si="42"/>
        <v>0</v>
      </c>
      <c r="BR72" s="13">
        <f t="shared" ca="1" si="42"/>
        <v>0</v>
      </c>
      <c r="BS72" s="13">
        <f t="shared" ca="1" si="42"/>
        <v>0</v>
      </c>
      <c r="BT72" s="13">
        <f t="shared" ca="1" si="42"/>
        <v>0</v>
      </c>
      <c r="BU72" s="13">
        <f t="shared" ca="1" si="42"/>
        <v>0</v>
      </c>
      <c r="BV72" s="13">
        <f t="shared" ref="BV72:DB72" ca="1" si="43">BU74</f>
        <v>0</v>
      </c>
      <c r="BW72" s="13">
        <f t="shared" ca="1" si="43"/>
        <v>0</v>
      </c>
      <c r="BX72" s="13">
        <f t="shared" ca="1" si="43"/>
        <v>0</v>
      </c>
      <c r="BY72" s="13">
        <f t="shared" ca="1" si="43"/>
        <v>0</v>
      </c>
      <c r="BZ72" s="13">
        <f t="shared" ca="1" si="43"/>
        <v>0</v>
      </c>
      <c r="CA72" s="13">
        <f t="shared" ca="1" si="43"/>
        <v>0</v>
      </c>
      <c r="CB72" s="13">
        <f t="shared" ca="1" si="43"/>
        <v>0</v>
      </c>
      <c r="CC72" s="13">
        <f t="shared" ca="1" si="43"/>
        <v>0</v>
      </c>
      <c r="CD72" s="13">
        <f t="shared" ca="1" si="43"/>
        <v>0</v>
      </c>
      <c r="CE72" s="13">
        <f t="shared" ca="1" si="43"/>
        <v>0</v>
      </c>
      <c r="CF72" s="13">
        <f t="shared" ca="1" si="43"/>
        <v>0</v>
      </c>
      <c r="CG72" s="13">
        <f t="shared" ca="1" si="43"/>
        <v>0</v>
      </c>
      <c r="CH72" s="13">
        <f t="shared" ca="1" si="43"/>
        <v>0</v>
      </c>
      <c r="CI72" s="13">
        <f t="shared" ca="1" si="43"/>
        <v>0</v>
      </c>
      <c r="CJ72" s="13">
        <f t="shared" ca="1" si="43"/>
        <v>0</v>
      </c>
      <c r="CK72" s="13">
        <f t="shared" ca="1" si="43"/>
        <v>0</v>
      </c>
      <c r="CL72" s="13">
        <f t="shared" ca="1" si="43"/>
        <v>0</v>
      </c>
      <c r="CM72" s="13">
        <f t="shared" ca="1" si="43"/>
        <v>0</v>
      </c>
      <c r="CN72" s="13">
        <f t="shared" ca="1" si="43"/>
        <v>0</v>
      </c>
      <c r="CO72" s="13">
        <f t="shared" ca="1" si="43"/>
        <v>0</v>
      </c>
      <c r="CP72" s="13">
        <f t="shared" ca="1" si="43"/>
        <v>0</v>
      </c>
      <c r="CQ72" s="13">
        <f t="shared" ca="1" si="43"/>
        <v>0</v>
      </c>
      <c r="CR72" s="13">
        <f t="shared" ca="1" si="43"/>
        <v>0</v>
      </c>
      <c r="CS72" s="13">
        <f t="shared" ca="1" si="43"/>
        <v>0</v>
      </c>
      <c r="CT72" s="13">
        <f t="shared" ca="1" si="43"/>
        <v>0</v>
      </c>
      <c r="CU72" s="13">
        <f t="shared" ca="1" si="43"/>
        <v>0</v>
      </c>
      <c r="CV72" s="13">
        <f t="shared" ca="1" si="43"/>
        <v>0</v>
      </c>
      <c r="CW72" s="13">
        <f t="shared" ca="1" si="43"/>
        <v>0</v>
      </c>
      <c r="CX72" s="13">
        <f t="shared" ca="1" si="43"/>
        <v>0</v>
      </c>
      <c r="CY72" s="13">
        <f t="shared" ca="1" si="43"/>
        <v>0</v>
      </c>
      <c r="CZ72" s="13">
        <f t="shared" ca="1" si="43"/>
        <v>0</v>
      </c>
      <c r="DA72" s="13">
        <f t="shared" ca="1" si="43"/>
        <v>0</v>
      </c>
      <c r="DB72" s="13">
        <f t="shared" ca="1" si="43"/>
        <v>0</v>
      </c>
    </row>
    <row r="73" spans="3:106">
      <c r="D73" s="13" t="s">
        <v>341</v>
      </c>
      <c r="H73" s="13">
        <f ca="1">H35+H44</f>
        <v>145594.83489206826</v>
      </c>
      <c r="I73" s="13">
        <f ca="1">I35+I44</f>
        <v>0</v>
      </c>
      <c r="J73" s="13">
        <f t="shared" ref="J73:BU73" ca="1" si="44">J35+J44</f>
        <v>0</v>
      </c>
      <c r="K73" s="13">
        <f t="shared" ca="1" si="44"/>
        <v>0</v>
      </c>
      <c r="L73" s="13">
        <f t="shared" ca="1" si="44"/>
        <v>0</v>
      </c>
      <c r="M73" s="13">
        <f t="shared" ca="1" si="44"/>
        <v>0</v>
      </c>
      <c r="N73" s="13">
        <f t="shared" ca="1" si="44"/>
        <v>0</v>
      </c>
      <c r="O73" s="13">
        <f t="shared" ca="1" si="44"/>
        <v>0</v>
      </c>
      <c r="P73" s="13">
        <f t="shared" ca="1" si="44"/>
        <v>0</v>
      </c>
      <c r="Q73" s="13">
        <f t="shared" ca="1" si="44"/>
        <v>0</v>
      </c>
      <c r="R73" s="13">
        <f t="shared" ca="1" si="44"/>
        <v>0</v>
      </c>
      <c r="S73" s="13">
        <f t="shared" ca="1" si="44"/>
        <v>0</v>
      </c>
      <c r="T73" s="13">
        <f t="shared" ca="1" si="44"/>
        <v>0</v>
      </c>
      <c r="U73" s="13">
        <f t="shared" ca="1" si="44"/>
        <v>0</v>
      </c>
      <c r="V73" s="13">
        <f t="shared" ca="1" si="44"/>
        <v>0</v>
      </c>
      <c r="W73" s="13">
        <f t="shared" ca="1" si="44"/>
        <v>0</v>
      </c>
      <c r="X73" s="13">
        <f t="shared" ca="1" si="44"/>
        <v>0</v>
      </c>
      <c r="Y73" s="13">
        <f t="shared" ca="1" si="44"/>
        <v>0</v>
      </c>
      <c r="Z73" s="13">
        <f t="shared" ca="1" si="44"/>
        <v>0</v>
      </c>
      <c r="AA73" s="13">
        <f t="shared" ca="1" si="44"/>
        <v>0</v>
      </c>
      <c r="AB73" s="13">
        <f t="shared" ca="1" si="44"/>
        <v>0</v>
      </c>
      <c r="AC73" s="13">
        <f t="shared" ca="1" si="44"/>
        <v>0</v>
      </c>
      <c r="AD73" s="13">
        <f t="shared" ca="1" si="44"/>
        <v>0</v>
      </c>
      <c r="AE73" s="13">
        <f t="shared" ca="1" si="44"/>
        <v>0</v>
      </c>
      <c r="AF73" s="13">
        <f t="shared" ca="1" si="44"/>
        <v>0</v>
      </c>
      <c r="AG73" s="13">
        <f t="shared" ca="1" si="44"/>
        <v>0</v>
      </c>
      <c r="AH73" s="13">
        <f t="shared" ca="1" si="44"/>
        <v>0</v>
      </c>
      <c r="AI73" s="13">
        <f t="shared" ca="1" si="44"/>
        <v>0</v>
      </c>
      <c r="AJ73" s="13">
        <f t="shared" ca="1" si="44"/>
        <v>0</v>
      </c>
      <c r="AK73" s="13">
        <f t="shared" ca="1" si="44"/>
        <v>0</v>
      </c>
      <c r="AL73" s="13">
        <f t="shared" ca="1" si="44"/>
        <v>0</v>
      </c>
      <c r="AM73" s="13">
        <f t="shared" ca="1" si="44"/>
        <v>0</v>
      </c>
      <c r="AN73" s="13">
        <f t="shared" ca="1" si="44"/>
        <v>0</v>
      </c>
      <c r="AO73" s="13">
        <f t="shared" ca="1" si="44"/>
        <v>0</v>
      </c>
      <c r="AP73" s="13">
        <f t="shared" ca="1" si="44"/>
        <v>0</v>
      </c>
      <c r="AQ73" s="13">
        <f t="shared" ca="1" si="44"/>
        <v>0</v>
      </c>
      <c r="AR73" s="13">
        <f t="shared" ca="1" si="44"/>
        <v>-145594.83489206826</v>
      </c>
      <c r="AS73" s="13">
        <f t="shared" ca="1" si="44"/>
        <v>0</v>
      </c>
      <c r="AT73" s="13">
        <f t="shared" ca="1" si="44"/>
        <v>0</v>
      </c>
      <c r="AU73" s="13">
        <f t="shared" ca="1" si="44"/>
        <v>0</v>
      </c>
      <c r="AV73" s="13">
        <f t="shared" ca="1" si="44"/>
        <v>0</v>
      </c>
      <c r="AW73" s="13">
        <f t="shared" ca="1" si="44"/>
        <v>0</v>
      </c>
      <c r="AX73" s="13">
        <f t="shared" ca="1" si="44"/>
        <v>0</v>
      </c>
      <c r="AY73" s="13">
        <f t="shared" ca="1" si="44"/>
        <v>0</v>
      </c>
      <c r="AZ73" s="13">
        <f t="shared" ca="1" si="44"/>
        <v>0</v>
      </c>
      <c r="BA73" s="13">
        <f t="shared" ca="1" si="44"/>
        <v>0</v>
      </c>
      <c r="BB73" s="13">
        <f t="shared" ca="1" si="44"/>
        <v>0</v>
      </c>
      <c r="BC73" s="13">
        <f t="shared" ca="1" si="44"/>
        <v>0</v>
      </c>
      <c r="BD73" s="13">
        <f t="shared" ca="1" si="44"/>
        <v>0</v>
      </c>
      <c r="BE73" s="13">
        <f t="shared" ca="1" si="44"/>
        <v>0</v>
      </c>
      <c r="BF73" s="13">
        <f t="shared" ca="1" si="44"/>
        <v>0</v>
      </c>
      <c r="BG73" s="13">
        <f t="shared" ca="1" si="44"/>
        <v>0</v>
      </c>
      <c r="BH73" s="13">
        <f t="shared" ca="1" si="44"/>
        <v>0</v>
      </c>
      <c r="BI73" s="13">
        <f t="shared" ca="1" si="44"/>
        <v>0</v>
      </c>
      <c r="BJ73" s="13">
        <f t="shared" ca="1" si="44"/>
        <v>0</v>
      </c>
      <c r="BK73" s="13">
        <f t="shared" ca="1" si="44"/>
        <v>0</v>
      </c>
      <c r="BL73" s="13">
        <f t="shared" ca="1" si="44"/>
        <v>0</v>
      </c>
      <c r="BM73" s="13">
        <f t="shared" ca="1" si="44"/>
        <v>0</v>
      </c>
      <c r="BN73" s="13">
        <f t="shared" ca="1" si="44"/>
        <v>0</v>
      </c>
      <c r="BO73" s="13">
        <f t="shared" ca="1" si="44"/>
        <v>0</v>
      </c>
      <c r="BP73" s="13">
        <f t="shared" ca="1" si="44"/>
        <v>0</v>
      </c>
      <c r="BQ73" s="13">
        <f t="shared" ca="1" si="44"/>
        <v>0</v>
      </c>
      <c r="BR73" s="13">
        <f t="shared" ca="1" si="44"/>
        <v>0</v>
      </c>
      <c r="BS73" s="13">
        <f t="shared" ca="1" si="44"/>
        <v>0</v>
      </c>
      <c r="BT73" s="13">
        <f t="shared" ca="1" si="44"/>
        <v>0</v>
      </c>
      <c r="BU73" s="13">
        <f t="shared" ca="1" si="44"/>
        <v>0</v>
      </c>
      <c r="BV73" s="13">
        <f t="shared" ref="BV73:DB73" ca="1" si="45">BV35+BV44</f>
        <v>0</v>
      </c>
      <c r="BW73" s="13">
        <f t="shared" ca="1" si="45"/>
        <v>0</v>
      </c>
      <c r="BX73" s="13">
        <f t="shared" ca="1" si="45"/>
        <v>0</v>
      </c>
      <c r="BY73" s="13">
        <f t="shared" ca="1" si="45"/>
        <v>0</v>
      </c>
      <c r="BZ73" s="13">
        <f t="shared" ca="1" si="45"/>
        <v>0</v>
      </c>
      <c r="CA73" s="13">
        <f t="shared" ca="1" si="45"/>
        <v>0</v>
      </c>
      <c r="CB73" s="13">
        <f t="shared" ca="1" si="45"/>
        <v>0</v>
      </c>
      <c r="CC73" s="13">
        <f t="shared" ca="1" si="45"/>
        <v>0</v>
      </c>
      <c r="CD73" s="13">
        <f t="shared" ca="1" si="45"/>
        <v>0</v>
      </c>
      <c r="CE73" s="13">
        <f t="shared" ca="1" si="45"/>
        <v>0</v>
      </c>
      <c r="CF73" s="13">
        <f t="shared" ca="1" si="45"/>
        <v>0</v>
      </c>
      <c r="CG73" s="13">
        <f t="shared" ca="1" si="45"/>
        <v>0</v>
      </c>
      <c r="CH73" s="13">
        <f t="shared" ca="1" si="45"/>
        <v>0</v>
      </c>
      <c r="CI73" s="13">
        <f t="shared" ca="1" si="45"/>
        <v>0</v>
      </c>
      <c r="CJ73" s="13">
        <f t="shared" ca="1" si="45"/>
        <v>0</v>
      </c>
      <c r="CK73" s="13">
        <f t="shared" ca="1" si="45"/>
        <v>0</v>
      </c>
      <c r="CL73" s="13">
        <f t="shared" ca="1" si="45"/>
        <v>0</v>
      </c>
      <c r="CM73" s="13">
        <f t="shared" ca="1" si="45"/>
        <v>0</v>
      </c>
      <c r="CN73" s="13">
        <f t="shared" ca="1" si="45"/>
        <v>0</v>
      </c>
      <c r="CO73" s="13">
        <f t="shared" ca="1" si="45"/>
        <v>0</v>
      </c>
      <c r="CP73" s="13">
        <f t="shared" ca="1" si="45"/>
        <v>0</v>
      </c>
      <c r="CQ73" s="13">
        <f t="shared" ca="1" si="45"/>
        <v>0</v>
      </c>
      <c r="CR73" s="13">
        <f t="shared" ca="1" si="45"/>
        <v>0</v>
      </c>
      <c r="CS73" s="13">
        <f t="shared" ca="1" si="45"/>
        <v>0</v>
      </c>
      <c r="CT73" s="13">
        <f t="shared" ca="1" si="45"/>
        <v>0</v>
      </c>
      <c r="CU73" s="13">
        <f t="shared" ca="1" si="45"/>
        <v>0</v>
      </c>
      <c r="CV73" s="13">
        <f t="shared" ca="1" si="45"/>
        <v>0</v>
      </c>
      <c r="CW73" s="13">
        <f t="shared" ca="1" si="45"/>
        <v>0</v>
      </c>
      <c r="CX73" s="13">
        <f t="shared" ca="1" si="45"/>
        <v>0</v>
      </c>
      <c r="CY73" s="13">
        <f t="shared" ca="1" si="45"/>
        <v>0</v>
      </c>
      <c r="CZ73" s="13">
        <f t="shared" ca="1" si="45"/>
        <v>0</v>
      </c>
      <c r="DA73" s="13">
        <f t="shared" ca="1" si="45"/>
        <v>0</v>
      </c>
      <c r="DB73" s="13">
        <f t="shared" ca="1" si="45"/>
        <v>0</v>
      </c>
    </row>
    <row r="74" spans="3:106">
      <c r="D74" s="75" t="s">
        <v>211</v>
      </c>
      <c r="E74" s="75"/>
      <c r="F74" s="75"/>
      <c r="G74" s="75"/>
      <c r="H74" s="75">
        <f ca="1">SUM(H72:H73)</f>
        <v>145594.83489206826</v>
      </c>
      <c r="I74" s="75">
        <f ca="1">SUM(I72:I73)</f>
        <v>145594.83489206826</v>
      </c>
      <c r="J74" s="75">
        <f t="shared" ref="J74:BU74" ca="1" si="46">SUM(J72:J73)</f>
        <v>145594.83489206826</v>
      </c>
      <c r="K74" s="75">
        <f t="shared" ca="1" si="46"/>
        <v>145594.83489206826</v>
      </c>
      <c r="L74" s="75">
        <f t="shared" ca="1" si="46"/>
        <v>145594.83489206826</v>
      </c>
      <c r="M74" s="75">
        <f t="shared" ca="1" si="46"/>
        <v>145594.83489206826</v>
      </c>
      <c r="N74" s="75">
        <f t="shared" ca="1" si="46"/>
        <v>145594.83489206826</v>
      </c>
      <c r="O74" s="75">
        <f t="shared" ca="1" si="46"/>
        <v>145594.83489206826</v>
      </c>
      <c r="P74" s="75">
        <f t="shared" ca="1" si="46"/>
        <v>145594.83489206826</v>
      </c>
      <c r="Q74" s="75">
        <f t="shared" ca="1" si="46"/>
        <v>145594.83489206826</v>
      </c>
      <c r="R74" s="75">
        <f t="shared" ca="1" si="46"/>
        <v>145594.83489206826</v>
      </c>
      <c r="S74" s="75">
        <f t="shared" ca="1" si="46"/>
        <v>145594.83489206826</v>
      </c>
      <c r="T74" s="75">
        <f t="shared" ca="1" si="46"/>
        <v>145594.83489206826</v>
      </c>
      <c r="U74" s="75">
        <f t="shared" ca="1" si="46"/>
        <v>145594.83489206826</v>
      </c>
      <c r="V74" s="75">
        <f t="shared" ca="1" si="46"/>
        <v>145594.83489206826</v>
      </c>
      <c r="W74" s="75">
        <f t="shared" ca="1" si="46"/>
        <v>145594.83489206826</v>
      </c>
      <c r="X74" s="75">
        <f t="shared" ca="1" si="46"/>
        <v>145594.83489206826</v>
      </c>
      <c r="Y74" s="75">
        <f t="shared" ca="1" si="46"/>
        <v>145594.83489206826</v>
      </c>
      <c r="Z74" s="75">
        <f t="shared" ca="1" si="46"/>
        <v>145594.83489206826</v>
      </c>
      <c r="AA74" s="75">
        <f t="shared" ca="1" si="46"/>
        <v>145594.83489206826</v>
      </c>
      <c r="AB74" s="75">
        <f t="shared" ca="1" si="46"/>
        <v>145594.83489206826</v>
      </c>
      <c r="AC74" s="75">
        <f t="shared" ca="1" si="46"/>
        <v>145594.83489206826</v>
      </c>
      <c r="AD74" s="75">
        <f t="shared" ca="1" si="46"/>
        <v>145594.83489206826</v>
      </c>
      <c r="AE74" s="75">
        <f t="shared" ca="1" si="46"/>
        <v>145594.83489206826</v>
      </c>
      <c r="AF74" s="75">
        <f t="shared" ca="1" si="46"/>
        <v>145594.83489206826</v>
      </c>
      <c r="AG74" s="75">
        <f t="shared" ca="1" si="46"/>
        <v>145594.83489206826</v>
      </c>
      <c r="AH74" s="75">
        <f t="shared" ca="1" si="46"/>
        <v>145594.83489206826</v>
      </c>
      <c r="AI74" s="75">
        <f t="shared" ca="1" si="46"/>
        <v>145594.83489206826</v>
      </c>
      <c r="AJ74" s="75">
        <f t="shared" ca="1" si="46"/>
        <v>145594.83489206826</v>
      </c>
      <c r="AK74" s="75">
        <f t="shared" ca="1" si="46"/>
        <v>145594.83489206826</v>
      </c>
      <c r="AL74" s="75">
        <f t="shared" ca="1" si="46"/>
        <v>145594.83489206826</v>
      </c>
      <c r="AM74" s="75">
        <f t="shared" ca="1" si="46"/>
        <v>145594.83489206826</v>
      </c>
      <c r="AN74" s="75">
        <f t="shared" ca="1" si="46"/>
        <v>145594.83489206826</v>
      </c>
      <c r="AO74" s="75">
        <f t="shared" ca="1" si="46"/>
        <v>145594.83489206826</v>
      </c>
      <c r="AP74" s="75">
        <f t="shared" ca="1" si="46"/>
        <v>145594.83489206826</v>
      </c>
      <c r="AQ74" s="75">
        <f t="shared" ca="1" si="46"/>
        <v>145594.83489206826</v>
      </c>
      <c r="AR74" s="75">
        <f t="shared" ca="1" si="46"/>
        <v>0</v>
      </c>
      <c r="AS74" s="75">
        <f t="shared" ca="1" si="46"/>
        <v>0</v>
      </c>
      <c r="AT74" s="75">
        <f t="shared" ca="1" si="46"/>
        <v>0</v>
      </c>
      <c r="AU74" s="75">
        <f t="shared" ca="1" si="46"/>
        <v>0</v>
      </c>
      <c r="AV74" s="75">
        <f t="shared" ca="1" si="46"/>
        <v>0</v>
      </c>
      <c r="AW74" s="75">
        <f t="shared" ca="1" si="46"/>
        <v>0</v>
      </c>
      <c r="AX74" s="75">
        <f t="shared" ca="1" si="46"/>
        <v>0</v>
      </c>
      <c r="AY74" s="75">
        <f t="shared" ca="1" si="46"/>
        <v>0</v>
      </c>
      <c r="AZ74" s="75">
        <f t="shared" ca="1" si="46"/>
        <v>0</v>
      </c>
      <c r="BA74" s="75">
        <f t="shared" ca="1" si="46"/>
        <v>0</v>
      </c>
      <c r="BB74" s="75">
        <f t="shared" ca="1" si="46"/>
        <v>0</v>
      </c>
      <c r="BC74" s="75">
        <f t="shared" ca="1" si="46"/>
        <v>0</v>
      </c>
      <c r="BD74" s="75">
        <f t="shared" ca="1" si="46"/>
        <v>0</v>
      </c>
      <c r="BE74" s="75">
        <f t="shared" ca="1" si="46"/>
        <v>0</v>
      </c>
      <c r="BF74" s="75">
        <f t="shared" ca="1" si="46"/>
        <v>0</v>
      </c>
      <c r="BG74" s="75">
        <f t="shared" ca="1" si="46"/>
        <v>0</v>
      </c>
      <c r="BH74" s="75">
        <f t="shared" ca="1" si="46"/>
        <v>0</v>
      </c>
      <c r="BI74" s="75">
        <f t="shared" ca="1" si="46"/>
        <v>0</v>
      </c>
      <c r="BJ74" s="75">
        <f t="shared" ca="1" si="46"/>
        <v>0</v>
      </c>
      <c r="BK74" s="75">
        <f t="shared" ca="1" si="46"/>
        <v>0</v>
      </c>
      <c r="BL74" s="75">
        <f t="shared" ca="1" si="46"/>
        <v>0</v>
      </c>
      <c r="BM74" s="75">
        <f t="shared" ca="1" si="46"/>
        <v>0</v>
      </c>
      <c r="BN74" s="75">
        <f t="shared" ca="1" si="46"/>
        <v>0</v>
      </c>
      <c r="BO74" s="75">
        <f t="shared" ca="1" si="46"/>
        <v>0</v>
      </c>
      <c r="BP74" s="75">
        <f t="shared" ca="1" si="46"/>
        <v>0</v>
      </c>
      <c r="BQ74" s="75">
        <f t="shared" ca="1" si="46"/>
        <v>0</v>
      </c>
      <c r="BR74" s="75">
        <f t="shared" ca="1" si="46"/>
        <v>0</v>
      </c>
      <c r="BS74" s="75">
        <f t="shared" ca="1" si="46"/>
        <v>0</v>
      </c>
      <c r="BT74" s="75">
        <f t="shared" ca="1" si="46"/>
        <v>0</v>
      </c>
      <c r="BU74" s="75">
        <f t="shared" ca="1" si="46"/>
        <v>0</v>
      </c>
      <c r="BV74" s="75">
        <f t="shared" ref="BV74:DB74" ca="1" si="47">SUM(BV72:BV73)</f>
        <v>0</v>
      </c>
      <c r="BW74" s="75">
        <f t="shared" ca="1" si="47"/>
        <v>0</v>
      </c>
      <c r="BX74" s="75">
        <f t="shared" ca="1" si="47"/>
        <v>0</v>
      </c>
      <c r="BY74" s="75">
        <f t="shared" ca="1" si="47"/>
        <v>0</v>
      </c>
      <c r="BZ74" s="75">
        <f t="shared" ca="1" si="47"/>
        <v>0</v>
      </c>
      <c r="CA74" s="75">
        <f t="shared" ca="1" si="47"/>
        <v>0</v>
      </c>
      <c r="CB74" s="75">
        <f t="shared" ca="1" si="47"/>
        <v>0</v>
      </c>
      <c r="CC74" s="75">
        <f t="shared" ca="1" si="47"/>
        <v>0</v>
      </c>
      <c r="CD74" s="75">
        <f t="shared" ca="1" si="47"/>
        <v>0</v>
      </c>
      <c r="CE74" s="75">
        <f t="shared" ca="1" si="47"/>
        <v>0</v>
      </c>
      <c r="CF74" s="75">
        <f t="shared" ca="1" si="47"/>
        <v>0</v>
      </c>
      <c r="CG74" s="75">
        <f t="shared" ca="1" si="47"/>
        <v>0</v>
      </c>
      <c r="CH74" s="75">
        <f t="shared" ca="1" si="47"/>
        <v>0</v>
      </c>
      <c r="CI74" s="75">
        <f t="shared" ca="1" si="47"/>
        <v>0</v>
      </c>
      <c r="CJ74" s="75">
        <f t="shared" ca="1" si="47"/>
        <v>0</v>
      </c>
      <c r="CK74" s="75">
        <f t="shared" ca="1" si="47"/>
        <v>0</v>
      </c>
      <c r="CL74" s="75">
        <f t="shared" ca="1" si="47"/>
        <v>0</v>
      </c>
      <c r="CM74" s="75">
        <f t="shared" ca="1" si="47"/>
        <v>0</v>
      </c>
      <c r="CN74" s="75">
        <f t="shared" ca="1" si="47"/>
        <v>0</v>
      </c>
      <c r="CO74" s="75">
        <f t="shared" ca="1" si="47"/>
        <v>0</v>
      </c>
      <c r="CP74" s="75">
        <f t="shared" ca="1" si="47"/>
        <v>0</v>
      </c>
      <c r="CQ74" s="75">
        <f t="shared" ca="1" si="47"/>
        <v>0</v>
      </c>
      <c r="CR74" s="75">
        <f t="shared" ca="1" si="47"/>
        <v>0</v>
      </c>
      <c r="CS74" s="75">
        <f t="shared" ca="1" si="47"/>
        <v>0</v>
      </c>
      <c r="CT74" s="75">
        <f t="shared" ca="1" si="47"/>
        <v>0</v>
      </c>
      <c r="CU74" s="75">
        <f t="shared" ca="1" si="47"/>
        <v>0</v>
      </c>
      <c r="CV74" s="75">
        <f t="shared" ca="1" si="47"/>
        <v>0</v>
      </c>
      <c r="CW74" s="75">
        <f t="shared" ca="1" si="47"/>
        <v>0</v>
      </c>
      <c r="CX74" s="75">
        <f t="shared" ca="1" si="47"/>
        <v>0</v>
      </c>
      <c r="CY74" s="75">
        <f t="shared" ca="1" si="47"/>
        <v>0</v>
      </c>
      <c r="CZ74" s="75">
        <f t="shared" ca="1" si="47"/>
        <v>0</v>
      </c>
      <c r="DA74" s="75">
        <f t="shared" ca="1" si="47"/>
        <v>0</v>
      </c>
      <c r="DB74" s="75">
        <f t="shared" ca="1" si="47"/>
        <v>0</v>
      </c>
    </row>
    <row r="75" spans="3:106">
      <c r="D75" s="75" t="s">
        <v>342</v>
      </c>
      <c r="E75" s="75"/>
      <c r="F75" s="75"/>
      <c r="G75" s="75"/>
      <c r="H75" s="75">
        <f ca="1">AVERAGE(H72,H74)</f>
        <v>72797.417446034131</v>
      </c>
      <c r="I75" s="75">
        <f ca="1">AVERAGE(I72,I74)</f>
        <v>145594.83489206826</v>
      </c>
      <c r="J75" s="75">
        <f t="shared" ref="J75:BU75" ca="1" si="48">AVERAGE(J72,J74)</f>
        <v>145594.83489206826</v>
      </c>
      <c r="K75" s="75">
        <f t="shared" ca="1" si="48"/>
        <v>145594.83489206826</v>
      </c>
      <c r="L75" s="75">
        <f t="shared" ca="1" si="48"/>
        <v>145594.83489206826</v>
      </c>
      <c r="M75" s="75">
        <f t="shared" ca="1" si="48"/>
        <v>145594.83489206826</v>
      </c>
      <c r="N75" s="75">
        <f t="shared" ca="1" si="48"/>
        <v>145594.83489206826</v>
      </c>
      <c r="O75" s="75">
        <f t="shared" ca="1" si="48"/>
        <v>145594.83489206826</v>
      </c>
      <c r="P75" s="75">
        <f t="shared" ca="1" si="48"/>
        <v>145594.83489206826</v>
      </c>
      <c r="Q75" s="75">
        <f t="shared" ca="1" si="48"/>
        <v>145594.83489206826</v>
      </c>
      <c r="R75" s="75">
        <f t="shared" ca="1" si="48"/>
        <v>145594.83489206826</v>
      </c>
      <c r="S75" s="75">
        <f t="shared" ca="1" si="48"/>
        <v>145594.83489206826</v>
      </c>
      <c r="T75" s="75">
        <f t="shared" ca="1" si="48"/>
        <v>145594.83489206826</v>
      </c>
      <c r="U75" s="75">
        <f t="shared" ca="1" si="48"/>
        <v>145594.83489206826</v>
      </c>
      <c r="V75" s="75">
        <f t="shared" ca="1" si="48"/>
        <v>145594.83489206826</v>
      </c>
      <c r="W75" s="75">
        <f t="shared" ca="1" si="48"/>
        <v>145594.83489206826</v>
      </c>
      <c r="X75" s="75">
        <f t="shared" ca="1" si="48"/>
        <v>145594.83489206826</v>
      </c>
      <c r="Y75" s="75">
        <f t="shared" ca="1" si="48"/>
        <v>145594.83489206826</v>
      </c>
      <c r="Z75" s="75">
        <f t="shared" ca="1" si="48"/>
        <v>145594.83489206826</v>
      </c>
      <c r="AA75" s="75">
        <f t="shared" ca="1" si="48"/>
        <v>145594.83489206826</v>
      </c>
      <c r="AB75" s="75">
        <f t="shared" ca="1" si="48"/>
        <v>145594.83489206826</v>
      </c>
      <c r="AC75" s="75">
        <f t="shared" ca="1" si="48"/>
        <v>145594.83489206826</v>
      </c>
      <c r="AD75" s="75">
        <f t="shared" ca="1" si="48"/>
        <v>145594.83489206826</v>
      </c>
      <c r="AE75" s="75">
        <f t="shared" ca="1" si="48"/>
        <v>145594.83489206826</v>
      </c>
      <c r="AF75" s="75">
        <f t="shared" ca="1" si="48"/>
        <v>145594.83489206826</v>
      </c>
      <c r="AG75" s="75">
        <f t="shared" ca="1" si="48"/>
        <v>145594.83489206826</v>
      </c>
      <c r="AH75" s="75">
        <f t="shared" ca="1" si="48"/>
        <v>145594.83489206826</v>
      </c>
      <c r="AI75" s="75">
        <f t="shared" ca="1" si="48"/>
        <v>145594.83489206826</v>
      </c>
      <c r="AJ75" s="75">
        <f t="shared" ca="1" si="48"/>
        <v>145594.83489206826</v>
      </c>
      <c r="AK75" s="75">
        <f t="shared" ca="1" si="48"/>
        <v>145594.83489206826</v>
      </c>
      <c r="AL75" s="75">
        <f t="shared" ca="1" si="48"/>
        <v>145594.83489206826</v>
      </c>
      <c r="AM75" s="75">
        <f t="shared" ca="1" si="48"/>
        <v>145594.83489206826</v>
      </c>
      <c r="AN75" s="75">
        <f t="shared" ca="1" si="48"/>
        <v>145594.83489206826</v>
      </c>
      <c r="AO75" s="75">
        <f t="shared" ca="1" si="48"/>
        <v>145594.83489206826</v>
      </c>
      <c r="AP75" s="75">
        <f t="shared" ca="1" si="48"/>
        <v>145594.83489206826</v>
      </c>
      <c r="AQ75" s="75">
        <f t="shared" ca="1" si="48"/>
        <v>145594.83489206826</v>
      </c>
      <c r="AR75" s="75">
        <f t="shared" ca="1" si="48"/>
        <v>72797.417446034131</v>
      </c>
      <c r="AS75" s="75">
        <f t="shared" ca="1" si="48"/>
        <v>0</v>
      </c>
      <c r="AT75" s="75">
        <f t="shared" ca="1" si="48"/>
        <v>0</v>
      </c>
      <c r="AU75" s="75">
        <f t="shared" ca="1" si="48"/>
        <v>0</v>
      </c>
      <c r="AV75" s="75">
        <f t="shared" ca="1" si="48"/>
        <v>0</v>
      </c>
      <c r="AW75" s="75">
        <f t="shared" ca="1" si="48"/>
        <v>0</v>
      </c>
      <c r="AX75" s="75">
        <f t="shared" ca="1" si="48"/>
        <v>0</v>
      </c>
      <c r="AY75" s="75">
        <f t="shared" ca="1" si="48"/>
        <v>0</v>
      </c>
      <c r="AZ75" s="75">
        <f t="shared" ca="1" si="48"/>
        <v>0</v>
      </c>
      <c r="BA75" s="75">
        <f t="shared" ca="1" si="48"/>
        <v>0</v>
      </c>
      <c r="BB75" s="75">
        <f t="shared" ca="1" si="48"/>
        <v>0</v>
      </c>
      <c r="BC75" s="75">
        <f t="shared" ca="1" si="48"/>
        <v>0</v>
      </c>
      <c r="BD75" s="75">
        <f t="shared" ca="1" si="48"/>
        <v>0</v>
      </c>
      <c r="BE75" s="75">
        <f t="shared" ca="1" si="48"/>
        <v>0</v>
      </c>
      <c r="BF75" s="75">
        <f t="shared" ca="1" si="48"/>
        <v>0</v>
      </c>
      <c r="BG75" s="75">
        <f t="shared" ca="1" si="48"/>
        <v>0</v>
      </c>
      <c r="BH75" s="75">
        <f t="shared" ca="1" si="48"/>
        <v>0</v>
      </c>
      <c r="BI75" s="75">
        <f t="shared" ca="1" si="48"/>
        <v>0</v>
      </c>
      <c r="BJ75" s="75">
        <f t="shared" ca="1" si="48"/>
        <v>0</v>
      </c>
      <c r="BK75" s="75">
        <f t="shared" ca="1" si="48"/>
        <v>0</v>
      </c>
      <c r="BL75" s="75">
        <f t="shared" ca="1" si="48"/>
        <v>0</v>
      </c>
      <c r="BM75" s="75">
        <f t="shared" ca="1" si="48"/>
        <v>0</v>
      </c>
      <c r="BN75" s="75">
        <f t="shared" ca="1" si="48"/>
        <v>0</v>
      </c>
      <c r="BO75" s="75">
        <f t="shared" ca="1" si="48"/>
        <v>0</v>
      </c>
      <c r="BP75" s="75">
        <f t="shared" ca="1" si="48"/>
        <v>0</v>
      </c>
      <c r="BQ75" s="75">
        <f t="shared" ca="1" si="48"/>
        <v>0</v>
      </c>
      <c r="BR75" s="75">
        <f t="shared" ca="1" si="48"/>
        <v>0</v>
      </c>
      <c r="BS75" s="75">
        <f t="shared" ca="1" si="48"/>
        <v>0</v>
      </c>
      <c r="BT75" s="75">
        <f t="shared" ca="1" si="48"/>
        <v>0</v>
      </c>
      <c r="BU75" s="75">
        <f t="shared" ca="1" si="48"/>
        <v>0</v>
      </c>
      <c r="BV75" s="75">
        <f t="shared" ref="BV75:DB75" ca="1" si="49">AVERAGE(BV72,BV74)</f>
        <v>0</v>
      </c>
      <c r="BW75" s="75">
        <f t="shared" ca="1" si="49"/>
        <v>0</v>
      </c>
      <c r="BX75" s="75">
        <f t="shared" ca="1" si="49"/>
        <v>0</v>
      </c>
      <c r="BY75" s="75">
        <f t="shared" ca="1" si="49"/>
        <v>0</v>
      </c>
      <c r="BZ75" s="75">
        <f t="shared" ca="1" si="49"/>
        <v>0</v>
      </c>
      <c r="CA75" s="75">
        <f t="shared" ca="1" si="49"/>
        <v>0</v>
      </c>
      <c r="CB75" s="75">
        <f t="shared" ca="1" si="49"/>
        <v>0</v>
      </c>
      <c r="CC75" s="75">
        <f t="shared" ca="1" si="49"/>
        <v>0</v>
      </c>
      <c r="CD75" s="75">
        <f t="shared" ca="1" si="49"/>
        <v>0</v>
      </c>
      <c r="CE75" s="75">
        <f t="shared" ca="1" si="49"/>
        <v>0</v>
      </c>
      <c r="CF75" s="75">
        <f t="shared" ca="1" si="49"/>
        <v>0</v>
      </c>
      <c r="CG75" s="75">
        <f t="shared" ca="1" si="49"/>
        <v>0</v>
      </c>
      <c r="CH75" s="75">
        <f t="shared" ca="1" si="49"/>
        <v>0</v>
      </c>
      <c r="CI75" s="75">
        <f t="shared" ca="1" si="49"/>
        <v>0</v>
      </c>
      <c r="CJ75" s="75">
        <f t="shared" ca="1" si="49"/>
        <v>0</v>
      </c>
      <c r="CK75" s="75">
        <f t="shared" ca="1" si="49"/>
        <v>0</v>
      </c>
      <c r="CL75" s="75">
        <f t="shared" ca="1" si="49"/>
        <v>0</v>
      </c>
      <c r="CM75" s="75">
        <f t="shared" ca="1" si="49"/>
        <v>0</v>
      </c>
      <c r="CN75" s="75">
        <f t="shared" ca="1" si="49"/>
        <v>0</v>
      </c>
      <c r="CO75" s="75">
        <f t="shared" ca="1" si="49"/>
        <v>0</v>
      </c>
      <c r="CP75" s="75">
        <f t="shared" ca="1" si="49"/>
        <v>0</v>
      </c>
      <c r="CQ75" s="75">
        <f t="shared" ca="1" si="49"/>
        <v>0</v>
      </c>
      <c r="CR75" s="75">
        <f t="shared" ca="1" si="49"/>
        <v>0</v>
      </c>
      <c r="CS75" s="75">
        <f t="shared" ca="1" si="49"/>
        <v>0</v>
      </c>
      <c r="CT75" s="75">
        <f t="shared" ca="1" si="49"/>
        <v>0</v>
      </c>
      <c r="CU75" s="75">
        <f t="shared" ca="1" si="49"/>
        <v>0</v>
      </c>
      <c r="CV75" s="75">
        <f t="shared" ca="1" si="49"/>
        <v>0</v>
      </c>
      <c r="CW75" s="75">
        <f t="shared" ca="1" si="49"/>
        <v>0</v>
      </c>
      <c r="CX75" s="75">
        <f t="shared" ca="1" si="49"/>
        <v>0</v>
      </c>
      <c r="CY75" s="75">
        <f t="shared" ca="1" si="49"/>
        <v>0</v>
      </c>
      <c r="CZ75" s="75">
        <f t="shared" ca="1" si="49"/>
        <v>0</v>
      </c>
      <c r="DA75" s="75">
        <f t="shared" ca="1" si="49"/>
        <v>0</v>
      </c>
      <c r="DB75" s="75">
        <f t="shared" ca="1" si="49"/>
        <v>0</v>
      </c>
    </row>
    <row r="76" spans="3:106">
      <c r="D76" s="75" t="s">
        <v>343</v>
      </c>
      <c r="E76" s="278">
        <f>'A&amp;R'!I52</f>
        <v>4.4999999999999998E-2</v>
      </c>
      <c r="F76" s="75">
        <f ca="1">SUM(H76:DB76)</f>
        <v>19655.302710429212</v>
      </c>
      <c r="G76" s="75"/>
      <c r="H76" s="75">
        <f>H$72*$E$76/12</f>
        <v>0</v>
      </c>
      <c r="I76" s="75">
        <f t="shared" ref="I76:BT76" ca="1" si="50">I$72*$E$76/12</f>
        <v>545.98063084525597</v>
      </c>
      <c r="J76" s="75">
        <f t="shared" ca="1" si="50"/>
        <v>545.98063084525597</v>
      </c>
      <c r="K76" s="75">
        <f t="shared" ca="1" si="50"/>
        <v>545.98063084525597</v>
      </c>
      <c r="L76" s="75">
        <f t="shared" ca="1" si="50"/>
        <v>545.98063084525597</v>
      </c>
      <c r="M76" s="75">
        <f t="shared" ca="1" si="50"/>
        <v>545.98063084525597</v>
      </c>
      <c r="N76" s="75">
        <f t="shared" ca="1" si="50"/>
        <v>545.98063084525597</v>
      </c>
      <c r="O76" s="75">
        <f t="shared" ca="1" si="50"/>
        <v>545.98063084525597</v>
      </c>
      <c r="P76" s="75">
        <f t="shared" ca="1" si="50"/>
        <v>545.98063084525597</v>
      </c>
      <c r="Q76" s="75">
        <f t="shared" ca="1" si="50"/>
        <v>545.98063084525597</v>
      </c>
      <c r="R76" s="75">
        <f t="shared" ca="1" si="50"/>
        <v>545.98063084525597</v>
      </c>
      <c r="S76" s="75">
        <f t="shared" ca="1" si="50"/>
        <v>545.98063084525597</v>
      </c>
      <c r="T76" s="75">
        <f t="shared" ca="1" si="50"/>
        <v>545.98063084525597</v>
      </c>
      <c r="U76" s="75">
        <f t="shared" ca="1" si="50"/>
        <v>545.98063084525597</v>
      </c>
      <c r="V76" s="75">
        <f t="shared" ca="1" si="50"/>
        <v>545.98063084525597</v>
      </c>
      <c r="W76" s="75">
        <f t="shared" ca="1" si="50"/>
        <v>545.98063084525597</v>
      </c>
      <c r="X76" s="75">
        <f t="shared" ca="1" si="50"/>
        <v>545.98063084525597</v>
      </c>
      <c r="Y76" s="75">
        <f t="shared" ca="1" si="50"/>
        <v>545.98063084525597</v>
      </c>
      <c r="Z76" s="75">
        <f t="shared" ca="1" si="50"/>
        <v>545.98063084525597</v>
      </c>
      <c r="AA76" s="75">
        <f t="shared" ca="1" si="50"/>
        <v>545.98063084525597</v>
      </c>
      <c r="AB76" s="75">
        <f t="shared" ca="1" si="50"/>
        <v>545.98063084525597</v>
      </c>
      <c r="AC76" s="75">
        <f t="shared" ca="1" si="50"/>
        <v>545.98063084525597</v>
      </c>
      <c r="AD76" s="75">
        <f t="shared" ca="1" si="50"/>
        <v>545.98063084525597</v>
      </c>
      <c r="AE76" s="75">
        <f t="shared" ca="1" si="50"/>
        <v>545.98063084525597</v>
      </c>
      <c r="AF76" s="75">
        <f t="shared" ca="1" si="50"/>
        <v>545.98063084525597</v>
      </c>
      <c r="AG76" s="75">
        <f t="shared" ca="1" si="50"/>
        <v>545.98063084525597</v>
      </c>
      <c r="AH76" s="75">
        <f t="shared" ca="1" si="50"/>
        <v>545.98063084525597</v>
      </c>
      <c r="AI76" s="75">
        <f t="shared" ca="1" si="50"/>
        <v>545.98063084525597</v>
      </c>
      <c r="AJ76" s="75">
        <f t="shared" ca="1" si="50"/>
        <v>545.98063084525597</v>
      </c>
      <c r="AK76" s="75">
        <f t="shared" ca="1" si="50"/>
        <v>545.98063084525597</v>
      </c>
      <c r="AL76" s="75">
        <f t="shared" ca="1" si="50"/>
        <v>545.98063084525597</v>
      </c>
      <c r="AM76" s="75">
        <f t="shared" ca="1" si="50"/>
        <v>545.98063084525597</v>
      </c>
      <c r="AN76" s="75">
        <f t="shared" ca="1" si="50"/>
        <v>545.98063084525597</v>
      </c>
      <c r="AO76" s="75">
        <f t="shared" ca="1" si="50"/>
        <v>545.98063084525597</v>
      </c>
      <c r="AP76" s="75">
        <f t="shared" ca="1" si="50"/>
        <v>545.98063084525597</v>
      </c>
      <c r="AQ76" s="75">
        <f t="shared" ca="1" si="50"/>
        <v>545.98063084525597</v>
      </c>
      <c r="AR76" s="75">
        <f t="shared" ca="1" si="50"/>
        <v>545.98063084525597</v>
      </c>
      <c r="AS76" s="75">
        <f t="shared" ca="1" si="50"/>
        <v>0</v>
      </c>
      <c r="AT76" s="75">
        <f t="shared" ca="1" si="50"/>
        <v>0</v>
      </c>
      <c r="AU76" s="75">
        <f t="shared" ca="1" si="50"/>
        <v>0</v>
      </c>
      <c r="AV76" s="75">
        <f t="shared" ca="1" si="50"/>
        <v>0</v>
      </c>
      <c r="AW76" s="75">
        <f t="shared" ca="1" si="50"/>
        <v>0</v>
      </c>
      <c r="AX76" s="75">
        <f t="shared" ca="1" si="50"/>
        <v>0</v>
      </c>
      <c r="AY76" s="75">
        <f t="shared" ca="1" si="50"/>
        <v>0</v>
      </c>
      <c r="AZ76" s="75">
        <f t="shared" ca="1" si="50"/>
        <v>0</v>
      </c>
      <c r="BA76" s="75">
        <f t="shared" ca="1" si="50"/>
        <v>0</v>
      </c>
      <c r="BB76" s="75">
        <f t="shared" ca="1" si="50"/>
        <v>0</v>
      </c>
      <c r="BC76" s="75">
        <f t="shared" ca="1" si="50"/>
        <v>0</v>
      </c>
      <c r="BD76" s="75">
        <f t="shared" ca="1" si="50"/>
        <v>0</v>
      </c>
      <c r="BE76" s="75">
        <f t="shared" ca="1" si="50"/>
        <v>0</v>
      </c>
      <c r="BF76" s="75">
        <f t="shared" ca="1" si="50"/>
        <v>0</v>
      </c>
      <c r="BG76" s="75">
        <f t="shared" ca="1" si="50"/>
        <v>0</v>
      </c>
      <c r="BH76" s="75">
        <f t="shared" ca="1" si="50"/>
        <v>0</v>
      </c>
      <c r="BI76" s="75">
        <f t="shared" ca="1" si="50"/>
        <v>0</v>
      </c>
      <c r="BJ76" s="75">
        <f t="shared" ca="1" si="50"/>
        <v>0</v>
      </c>
      <c r="BK76" s="75">
        <f t="shared" ca="1" si="50"/>
        <v>0</v>
      </c>
      <c r="BL76" s="75">
        <f t="shared" ca="1" si="50"/>
        <v>0</v>
      </c>
      <c r="BM76" s="75">
        <f t="shared" ca="1" si="50"/>
        <v>0</v>
      </c>
      <c r="BN76" s="75">
        <f t="shared" ca="1" si="50"/>
        <v>0</v>
      </c>
      <c r="BO76" s="75">
        <f t="shared" ca="1" si="50"/>
        <v>0</v>
      </c>
      <c r="BP76" s="75">
        <f t="shared" ca="1" si="50"/>
        <v>0</v>
      </c>
      <c r="BQ76" s="75">
        <f t="shared" ca="1" si="50"/>
        <v>0</v>
      </c>
      <c r="BR76" s="75">
        <f t="shared" ca="1" si="50"/>
        <v>0</v>
      </c>
      <c r="BS76" s="75">
        <f t="shared" ca="1" si="50"/>
        <v>0</v>
      </c>
      <c r="BT76" s="75">
        <f t="shared" ca="1" si="50"/>
        <v>0</v>
      </c>
      <c r="BU76" s="75">
        <f t="shared" ref="BU76:DB76" ca="1" si="51">BU$72*$E$76/12</f>
        <v>0</v>
      </c>
      <c r="BV76" s="75">
        <f t="shared" ca="1" si="51"/>
        <v>0</v>
      </c>
      <c r="BW76" s="75">
        <f t="shared" ca="1" si="51"/>
        <v>0</v>
      </c>
      <c r="BX76" s="75">
        <f t="shared" ca="1" si="51"/>
        <v>0</v>
      </c>
      <c r="BY76" s="75">
        <f t="shared" ca="1" si="51"/>
        <v>0</v>
      </c>
      <c r="BZ76" s="75">
        <f t="shared" ca="1" si="51"/>
        <v>0</v>
      </c>
      <c r="CA76" s="75">
        <f t="shared" ca="1" si="51"/>
        <v>0</v>
      </c>
      <c r="CB76" s="75">
        <f t="shared" ca="1" si="51"/>
        <v>0</v>
      </c>
      <c r="CC76" s="75">
        <f t="shared" ca="1" si="51"/>
        <v>0</v>
      </c>
      <c r="CD76" s="75">
        <f t="shared" ca="1" si="51"/>
        <v>0</v>
      </c>
      <c r="CE76" s="75">
        <f t="shared" ca="1" si="51"/>
        <v>0</v>
      </c>
      <c r="CF76" s="75">
        <f t="shared" ca="1" si="51"/>
        <v>0</v>
      </c>
      <c r="CG76" s="75">
        <f t="shared" ca="1" si="51"/>
        <v>0</v>
      </c>
      <c r="CH76" s="75">
        <f t="shared" ca="1" si="51"/>
        <v>0</v>
      </c>
      <c r="CI76" s="75">
        <f t="shared" ca="1" si="51"/>
        <v>0</v>
      </c>
      <c r="CJ76" s="75">
        <f t="shared" ca="1" si="51"/>
        <v>0</v>
      </c>
      <c r="CK76" s="75">
        <f t="shared" ca="1" si="51"/>
        <v>0</v>
      </c>
      <c r="CL76" s="75">
        <f t="shared" ca="1" si="51"/>
        <v>0</v>
      </c>
      <c r="CM76" s="75">
        <f t="shared" ca="1" si="51"/>
        <v>0</v>
      </c>
      <c r="CN76" s="75">
        <f t="shared" ca="1" si="51"/>
        <v>0</v>
      </c>
      <c r="CO76" s="75">
        <f t="shared" ca="1" si="51"/>
        <v>0</v>
      </c>
      <c r="CP76" s="75">
        <f t="shared" ca="1" si="51"/>
        <v>0</v>
      </c>
      <c r="CQ76" s="75">
        <f t="shared" ca="1" si="51"/>
        <v>0</v>
      </c>
      <c r="CR76" s="75">
        <f t="shared" ca="1" si="51"/>
        <v>0</v>
      </c>
      <c r="CS76" s="75">
        <f t="shared" ca="1" si="51"/>
        <v>0</v>
      </c>
      <c r="CT76" s="75">
        <f t="shared" ca="1" si="51"/>
        <v>0</v>
      </c>
      <c r="CU76" s="75">
        <f t="shared" ca="1" si="51"/>
        <v>0</v>
      </c>
      <c r="CV76" s="75">
        <f t="shared" ca="1" si="51"/>
        <v>0</v>
      </c>
      <c r="CW76" s="75">
        <f t="shared" ca="1" si="51"/>
        <v>0</v>
      </c>
      <c r="CX76" s="75">
        <f t="shared" ca="1" si="51"/>
        <v>0</v>
      </c>
      <c r="CY76" s="75">
        <f t="shared" ca="1" si="51"/>
        <v>0</v>
      </c>
      <c r="CZ76" s="75">
        <f t="shared" ca="1" si="51"/>
        <v>0</v>
      </c>
      <c r="DA76" s="75">
        <f t="shared" ca="1" si="51"/>
        <v>0</v>
      </c>
      <c r="DB76" s="75">
        <f t="shared" ca="1" si="51"/>
        <v>0</v>
      </c>
    </row>
    <row r="77" spans="3:106">
      <c r="D77" s="144" t="s">
        <v>344</v>
      </c>
      <c r="E77" s="144"/>
      <c r="F77" s="144">
        <f ca="1">SUM(H77:DB77)</f>
        <v>19655.302710429212</v>
      </c>
      <c r="G77" s="144"/>
      <c r="H77" s="144">
        <f>(SUM($H$76:H$76)-SUM($G$77:G$77))*H$70</f>
        <v>0</v>
      </c>
      <c r="I77" s="144">
        <f ca="1">(SUM($H$76:I$76)-SUM($G$77:H$77))*I$70</f>
        <v>0</v>
      </c>
      <c r="J77" s="144">
        <f ca="1">(SUM($H$76:J$76)-SUM($G$77:I$77))*J$70</f>
        <v>0</v>
      </c>
      <c r="K77" s="144">
        <f ca="1">(SUM($H$76:K$76)-SUM($G$77:J$77))*K$70</f>
        <v>0</v>
      </c>
      <c r="L77" s="144">
        <f ca="1">(SUM($H$76:L$76)-SUM($G$77:K$77))*L$70</f>
        <v>0</v>
      </c>
      <c r="M77" s="144">
        <f ca="1">(SUM($H$76:M$76)-SUM($G$77:L$77))*M$70</f>
        <v>0</v>
      </c>
      <c r="N77" s="144">
        <f ca="1">(SUM($H$76:N$76)-SUM($G$77:M$77))*N$70</f>
        <v>3275.8837850715363</v>
      </c>
      <c r="O77" s="144">
        <f ca="1">(SUM($H$76:O$76)-SUM($G$77:N$77))*O$70</f>
        <v>0</v>
      </c>
      <c r="P77" s="144">
        <f ca="1">(SUM($H$76:P$76)-SUM($G$77:O$77))*P$70</f>
        <v>0</v>
      </c>
      <c r="Q77" s="144">
        <f ca="1">(SUM($H$76:Q$76)-SUM($G$77:P$77))*Q$70</f>
        <v>0</v>
      </c>
      <c r="R77" s="144">
        <f ca="1">(SUM($H$76:R$76)-SUM($G$77:Q$77))*R$70</f>
        <v>0</v>
      </c>
      <c r="S77" s="144">
        <f ca="1">(SUM($H$76:S$76)-SUM($G$77:R$77))*S$70</f>
        <v>0</v>
      </c>
      <c r="T77" s="144">
        <f ca="1">(SUM($H$76:T$76)-SUM($G$77:S$77))*T$70</f>
        <v>3275.8837850715372</v>
      </c>
      <c r="U77" s="144">
        <f ca="1">(SUM($H$76:U$76)-SUM($G$77:T$77))*U$70</f>
        <v>0</v>
      </c>
      <c r="V77" s="144">
        <f ca="1">(SUM($H$76:V$76)-SUM($G$77:U$77))*V$70</f>
        <v>0</v>
      </c>
      <c r="W77" s="144">
        <f ca="1">(SUM($H$76:W$76)-SUM($G$77:V$77))*W$70</f>
        <v>0</v>
      </c>
      <c r="X77" s="144">
        <f ca="1">(SUM($H$76:X$76)-SUM($G$77:W$77))*X$70</f>
        <v>0</v>
      </c>
      <c r="Y77" s="144">
        <f ca="1">(SUM($H$76:Y$76)-SUM($G$77:X$77))*Y$70</f>
        <v>0</v>
      </c>
      <c r="Z77" s="144">
        <f ca="1">(SUM($H$76:Z$76)-SUM($G$77:Y$77))*Z$70</f>
        <v>3275.8837850715345</v>
      </c>
      <c r="AA77" s="144">
        <f ca="1">(SUM($H$76:AA$76)-SUM($G$77:Z$77))*AA$70</f>
        <v>0</v>
      </c>
      <c r="AB77" s="144">
        <f ca="1">(SUM($H$76:AB$76)-SUM($G$77:AA$77))*AB$70</f>
        <v>0</v>
      </c>
      <c r="AC77" s="144">
        <f ca="1">(SUM($H$76:AC$76)-SUM($G$77:AB$77))*AC$70</f>
        <v>0</v>
      </c>
      <c r="AD77" s="144">
        <f ca="1">(SUM($H$76:AD$76)-SUM($G$77:AC$77))*AD$70</f>
        <v>0</v>
      </c>
      <c r="AE77" s="144">
        <f ca="1">(SUM($H$76:AE$76)-SUM($G$77:AD$77))*AE$70</f>
        <v>0</v>
      </c>
      <c r="AF77" s="144">
        <f ca="1">(SUM($H$76:AF$76)-SUM($G$77:AE$77))*AF$70</f>
        <v>3275.8837850715317</v>
      </c>
      <c r="AG77" s="144">
        <f ca="1">(SUM($H$76:AG$76)-SUM($G$77:AF$77))*AG$70</f>
        <v>0</v>
      </c>
      <c r="AH77" s="144">
        <f ca="1">(SUM($H$76:AH$76)-SUM($G$77:AG$77))*AH$70</f>
        <v>0</v>
      </c>
      <c r="AI77" s="144">
        <f ca="1">(SUM($H$76:AI$76)-SUM($G$77:AH$77))*AI$70</f>
        <v>0</v>
      </c>
      <c r="AJ77" s="144">
        <f ca="1">(SUM($H$76:AJ$76)-SUM($G$77:AI$77))*AJ$70</f>
        <v>0</v>
      </c>
      <c r="AK77" s="144">
        <f ca="1">(SUM($H$76:AK$76)-SUM($G$77:AJ$77))*AK$70</f>
        <v>0</v>
      </c>
      <c r="AL77" s="144">
        <f ca="1">(SUM($H$76:AL$76)-SUM($G$77:AK$77))*AL$70</f>
        <v>3275.8837850715317</v>
      </c>
      <c r="AM77" s="144">
        <f ca="1">(SUM($H$76:AM$76)-SUM($G$77:AL$77))*AM$70</f>
        <v>0</v>
      </c>
      <c r="AN77" s="144">
        <f ca="1">(SUM($H$76:AN$76)-SUM($G$77:AM$77))*AN$70</f>
        <v>0</v>
      </c>
      <c r="AO77" s="144">
        <f ca="1">(SUM($H$76:AO$76)-SUM($G$77:AN$77))*AO$70</f>
        <v>0</v>
      </c>
      <c r="AP77" s="144">
        <f ca="1">(SUM($H$76:AP$76)-SUM($G$77:AO$77))*AP$70</f>
        <v>0</v>
      </c>
      <c r="AQ77" s="144">
        <f ca="1">(SUM($H$76:AQ$76)-SUM($G$77:AP$77))*AQ$70</f>
        <v>0</v>
      </c>
      <c r="AR77" s="144">
        <f ca="1">(SUM($H$76:AR$76)-SUM($G$77:AQ$77))*AR$70</f>
        <v>3275.8837850715408</v>
      </c>
      <c r="AS77" s="144">
        <f ca="1">(SUM($H$76:AS$76)-SUM($G$77:AR$77))*AS$70</f>
        <v>0</v>
      </c>
      <c r="AT77" s="144">
        <f ca="1">(SUM($H$76:AT$76)-SUM($G$77:AS$77))*AT$70</f>
        <v>0</v>
      </c>
      <c r="AU77" s="144">
        <f ca="1">(SUM($H$76:AU$76)-SUM($G$77:AT$77))*AU$70</f>
        <v>0</v>
      </c>
      <c r="AV77" s="144">
        <f ca="1">(SUM($H$76:AV$76)-SUM($G$77:AU$77))*AV$70</f>
        <v>0</v>
      </c>
      <c r="AW77" s="144">
        <f ca="1">(SUM($H$76:AW$76)-SUM($G$77:AV$77))*AW$70</f>
        <v>0</v>
      </c>
      <c r="AX77" s="144">
        <f ca="1">(SUM($H$76:AX$76)-SUM($G$77:AW$77))*AX$70</f>
        <v>0</v>
      </c>
      <c r="AY77" s="144">
        <f ca="1">(SUM($H$76:AY$76)-SUM($G$77:AX$77))*AY$70</f>
        <v>0</v>
      </c>
      <c r="AZ77" s="144">
        <f ca="1">(SUM($H$76:AZ$76)-SUM($G$77:AY$77))*AZ$70</f>
        <v>0</v>
      </c>
      <c r="BA77" s="144">
        <f ca="1">(SUM($H$76:BA$76)-SUM($G$77:AZ$77))*BA$70</f>
        <v>0</v>
      </c>
      <c r="BB77" s="144">
        <f ca="1">(SUM($H$76:BB$76)-SUM($G$77:BA$77))*BB$70</f>
        <v>0</v>
      </c>
      <c r="BC77" s="144">
        <f ca="1">(SUM($H$76:BC$76)-SUM($G$77:BB$77))*BC$70</f>
        <v>0</v>
      </c>
      <c r="BD77" s="144">
        <f ca="1">(SUM($H$76:BD$76)-SUM($G$77:BC$77))*BD$70</f>
        <v>0</v>
      </c>
      <c r="BE77" s="144">
        <f ca="1">(SUM($H$76:BE$76)-SUM($G$77:BD$77))*BE$70</f>
        <v>0</v>
      </c>
      <c r="BF77" s="144">
        <f ca="1">(SUM($H$76:BF$76)-SUM($G$77:BE$77))*BF$70</f>
        <v>0</v>
      </c>
      <c r="BG77" s="144">
        <f ca="1">(SUM($H$76:BG$76)-SUM($G$77:BF$77))*BG$70</f>
        <v>0</v>
      </c>
      <c r="BH77" s="144">
        <f ca="1">(SUM($H$76:BH$76)-SUM($G$77:BG$77))*BH$70</f>
        <v>0</v>
      </c>
      <c r="BI77" s="144">
        <f ca="1">(SUM($H$76:BI$76)-SUM($G$77:BH$77))*BI$70</f>
        <v>0</v>
      </c>
      <c r="BJ77" s="144">
        <f ca="1">(SUM($H$76:BJ$76)-SUM($G$77:BI$77))*BJ$70</f>
        <v>0</v>
      </c>
      <c r="BK77" s="144">
        <f ca="1">(SUM($H$76:BK$76)-SUM($G$77:BJ$77))*BK$70</f>
        <v>0</v>
      </c>
      <c r="BL77" s="144">
        <f ca="1">(SUM($H$76:BL$76)-SUM($G$77:BK$77))*BL$70</f>
        <v>0</v>
      </c>
      <c r="BM77" s="144">
        <f ca="1">(SUM($H$76:BM$76)-SUM($G$77:BL$77))*BM$70</f>
        <v>0</v>
      </c>
      <c r="BN77" s="144">
        <f ca="1">(SUM($H$76:BN$76)-SUM($G$77:BM$77))*BN$70</f>
        <v>0</v>
      </c>
      <c r="BO77" s="144">
        <f ca="1">(SUM($H$76:BO$76)-SUM($G$77:BN$77))*BO$70</f>
        <v>0</v>
      </c>
      <c r="BP77" s="144">
        <f ca="1">(SUM($H$76:BP$76)-SUM($G$77:BO$77))*BP$70</f>
        <v>0</v>
      </c>
      <c r="BQ77" s="144">
        <f ca="1">(SUM($H$76:BQ$76)-SUM($G$77:BP$77))*BQ$70</f>
        <v>0</v>
      </c>
      <c r="BR77" s="144">
        <f ca="1">(SUM($H$76:BR$76)-SUM($G$77:BQ$77))*BR$70</f>
        <v>0</v>
      </c>
      <c r="BS77" s="144">
        <f ca="1">(SUM($H$76:BS$76)-SUM($G$77:BR$77))*BS$70</f>
        <v>0</v>
      </c>
      <c r="BT77" s="144">
        <f ca="1">(SUM($H$76:BT$76)-SUM($G$77:BS$77))*BT$70</f>
        <v>0</v>
      </c>
      <c r="BU77" s="144">
        <f ca="1">(SUM($H$76:BU$76)-SUM($G$77:BT$77))*BU$70</f>
        <v>0</v>
      </c>
      <c r="BV77" s="144">
        <f ca="1">(SUM($H$76:BV$76)-SUM($G$77:BU$77))*BV$70</f>
        <v>0</v>
      </c>
      <c r="BW77" s="144">
        <f ca="1">(SUM($H$76:BW$76)-SUM($G$77:BV$77))*BW$70</f>
        <v>0</v>
      </c>
      <c r="BX77" s="144">
        <f ca="1">(SUM($H$76:BX$76)-SUM($G$77:BW$77))*BX$70</f>
        <v>0</v>
      </c>
      <c r="BY77" s="144">
        <f ca="1">(SUM($H$76:BY$76)-SUM($G$77:BX$77))*BY$70</f>
        <v>0</v>
      </c>
      <c r="BZ77" s="144">
        <f ca="1">(SUM($H$76:BZ$76)-SUM($G$77:BY$77))*BZ$70</f>
        <v>0</v>
      </c>
      <c r="CA77" s="144">
        <f ca="1">(SUM($H$76:CA$76)-SUM($G$77:BZ$77))*CA$70</f>
        <v>0</v>
      </c>
      <c r="CB77" s="144">
        <f ca="1">(SUM($H$76:CB$76)-SUM($G$77:CA$77))*CB$70</f>
        <v>0</v>
      </c>
      <c r="CC77" s="144">
        <f ca="1">(SUM($H$76:CC$76)-SUM($G$77:CB$77))*CC$70</f>
        <v>0</v>
      </c>
      <c r="CD77" s="144">
        <f ca="1">(SUM($H$76:CD$76)-SUM($G$77:CC$77))*CD$70</f>
        <v>0</v>
      </c>
      <c r="CE77" s="144">
        <f ca="1">(SUM($H$76:CE$76)-SUM($G$77:CD$77))*CE$70</f>
        <v>0</v>
      </c>
      <c r="CF77" s="144">
        <f ca="1">(SUM($H$76:CF$76)-SUM($G$77:CE$77))*CF$70</f>
        <v>0</v>
      </c>
      <c r="CG77" s="144">
        <f ca="1">(SUM($H$76:CG$76)-SUM($G$77:CF$77))*CG$70</f>
        <v>0</v>
      </c>
      <c r="CH77" s="144">
        <f ca="1">(SUM($H$76:CH$76)-SUM($G$77:CG$77))*CH$70</f>
        <v>0</v>
      </c>
      <c r="CI77" s="144">
        <f ca="1">(SUM($H$76:CI$76)-SUM($G$77:CH$77))*CI$70</f>
        <v>0</v>
      </c>
      <c r="CJ77" s="144">
        <f ca="1">(SUM($H$76:CJ$76)-SUM($G$77:CI$77))*CJ$70</f>
        <v>0</v>
      </c>
      <c r="CK77" s="144">
        <f ca="1">(SUM($H$76:CK$76)-SUM($G$77:CJ$77))*CK$70</f>
        <v>0</v>
      </c>
      <c r="CL77" s="144">
        <f ca="1">(SUM($H$76:CL$76)-SUM($G$77:CK$77))*CL$70</f>
        <v>0</v>
      </c>
      <c r="CM77" s="144">
        <f ca="1">(SUM($H$76:CM$76)-SUM($G$77:CL$77))*CM$70</f>
        <v>0</v>
      </c>
      <c r="CN77" s="144">
        <f ca="1">(SUM($H$76:CN$76)-SUM($G$77:CM$77))*CN$70</f>
        <v>0</v>
      </c>
      <c r="CO77" s="144">
        <f ca="1">(SUM($H$76:CO$76)-SUM($G$77:CN$77))*CO$70</f>
        <v>0</v>
      </c>
      <c r="CP77" s="144">
        <f ca="1">(SUM($H$76:CP$76)-SUM($G$77:CO$77))*CP$70</f>
        <v>0</v>
      </c>
      <c r="CQ77" s="144">
        <f ca="1">(SUM($H$76:CQ$76)-SUM($G$77:CP$77))*CQ$70</f>
        <v>0</v>
      </c>
      <c r="CR77" s="144">
        <f ca="1">(SUM($H$76:CR$76)-SUM($G$77:CQ$77))*CR$70</f>
        <v>0</v>
      </c>
      <c r="CS77" s="144">
        <f ca="1">(SUM($H$76:CS$76)-SUM($G$77:CR$77))*CS$70</f>
        <v>0</v>
      </c>
      <c r="CT77" s="144">
        <f ca="1">(SUM($H$76:CT$76)-SUM($G$77:CS$77))*CT$70</f>
        <v>0</v>
      </c>
      <c r="CU77" s="144">
        <f ca="1">(SUM($H$76:CU$76)-SUM($G$77:CT$77))*CU$70</f>
        <v>0</v>
      </c>
      <c r="CV77" s="144">
        <f ca="1">(SUM($H$76:CV$76)-SUM($G$77:CU$77))*CV$70</f>
        <v>0</v>
      </c>
      <c r="CW77" s="144">
        <f ca="1">(SUM($H$76:CW$76)-SUM($G$77:CV$77))*CW$70</f>
        <v>0</v>
      </c>
      <c r="CX77" s="144">
        <f ca="1">(SUM($H$76:CX$76)-SUM($G$77:CW$77))*CX$70</f>
        <v>0</v>
      </c>
      <c r="CY77" s="144">
        <f ca="1">(SUM($H$76:CY$76)-SUM($G$77:CX$77))*CY$70</f>
        <v>0</v>
      </c>
      <c r="CZ77" s="144">
        <f ca="1">(SUM($H$76:CZ$76)-SUM($G$77:CY$77))*CZ$70</f>
        <v>0</v>
      </c>
      <c r="DA77" s="144">
        <f ca="1">(SUM($H$76:DA$76)-SUM($G$77:CZ$77))*DA$70</f>
        <v>0</v>
      </c>
      <c r="DB77" s="144">
        <f ca="1">(SUM($H$76:DB$76)-SUM($G$77:DA$77))*DB$70</f>
        <v>0</v>
      </c>
    </row>
    <row r="79" spans="3:106">
      <c r="C79" s="13" t="s">
        <v>345</v>
      </c>
    </row>
    <row r="80" spans="3:106" hidden="1" outlineLevel="1">
      <c r="E80" s="272" t="s">
        <v>148</v>
      </c>
      <c r="F80" s="273">
        <f>'A&amp;R'!F53</f>
        <v>45688</v>
      </c>
    </row>
    <row r="81" spans="3:106" hidden="1" outlineLevel="1">
      <c r="E81" s="274" t="s">
        <v>149</v>
      </c>
      <c r="F81" s="275">
        <f>'A&amp;R'!G53</f>
        <v>46418</v>
      </c>
    </row>
    <row r="82" spans="3:106" hidden="1" outlineLevel="1">
      <c r="E82" s="276" t="s">
        <v>152</v>
      </c>
      <c r="F82" s="277">
        <f>'A&amp;R'!K53</f>
        <v>6</v>
      </c>
    </row>
    <row r="83" spans="3:106" s="63" customFormat="1" hidden="1" outlineLevel="1">
      <c r="F83" s="63" t="s">
        <v>338</v>
      </c>
      <c r="H83" s="63">
        <f t="shared" ref="H83:AM83" si="52">(H$14&gt;=$F$80)*(H$14&lt;=$F$81)*1</f>
        <v>1</v>
      </c>
      <c r="I83" s="63">
        <f t="shared" si="52"/>
        <v>1</v>
      </c>
      <c r="J83" s="63">
        <f t="shared" si="52"/>
        <v>1</v>
      </c>
      <c r="K83" s="63">
        <f t="shared" si="52"/>
        <v>1</v>
      </c>
      <c r="L83" s="63">
        <f t="shared" si="52"/>
        <v>1</v>
      </c>
      <c r="M83" s="63">
        <f t="shared" si="52"/>
        <v>1</v>
      </c>
      <c r="N83" s="63">
        <f t="shared" si="52"/>
        <v>1</v>
      </c>
      <c r="O83" s="63">
        <f t="shared" si="52"/>
        <v>1</v>
      </c>
      <c r="P83" s="63">
        <f t="shared" si="52"/>
        <v>1</v>
      </c>
      <c r="Q83" s="63">
        <f t="shared" si="52"/>
        <v>1</v>
      </c>
      <c r="R83" s="63">
        <f t="shared" si="52"/>
        <v>1</v>
      </c>
      <c r="S83" s="63">
        <f t="shared" si="52"/>
        <v>1</v>
      </c>
      <c r="T83" s="63">
        <f t="shared" si="52"/>
        <v>1</v>
      </c>
      <c r="U83" s="63">
        <f t="shared" si="52"/>
        <v>1</v>
      </c>
      <c r="V83" s="63">
        <f t="shared" si="52"/>
        <v>1</v>
      </c>
      <c r="W83" s="63">
        <f t="shared" si="52"/>
        <v>1</v>
      </c>
      <c r="X83" s="63">
        <f t="shared" si="52"/>
        <v>1</v>
      </c>
      <c r="Y83" s="63">
        <f t="shared" si="52"/>
        <v>1</v>
      </c>
      <c r="Z83" s="63">
        <f t="shared" si="52"/>
        <v>1</v>
      </c>
      <c r="AA83" s="63">
        <f t="shared" si="52"/>
        <v>1</v>
      </c>
      <c r="AB83" s="63">
        <f t="shared" si="52"/>
        <v>1</v>
      </c>
      <c r="AC83" s="63">
        <f t="shared" si="52"/>
        <v>1</v>
      </c>
      <c r="AD83" s="63">
        <f t="shared" si="52"/>
        <v>1</v>
      </c>
      <c r="AE83" s="63">
        <f t="shared" si="52"/>
        <v>1</v>
      </c>
      <c r="AF83" s="63">
        <f t="shared" si="52"/>
        <v>1</v>
      </c>
      <c r="AG83" s="63">
        <f t="shared" si="52"/>
        <v>0</v>
      </c>
      <c r="AH83" s="63">
        <f t="shared" si="52"/>
        <v>0</v>
      </c>
      <c r="AI83" s="63">
        <f t="shared" si="52"/>
        <v>0</v>
      </c>
      <c r="AJ83" s="63">
        <f t="shared" si="52"/>
        <v>0</v>
      </c>
      <c r="AK83" s="63">
        <f t="shared" si="52"/>
        <v>0</v>
      </c>
      <c r="AL83" s="63">
        <f t="shared" si="52"/>
        <v>0</v>
      </c>
      <c r="AM83" s="63">
        <f t="shared" si="52"/>
        <v>0</v>
      </c>
      <c r="AN83" s="63">
        <f t="shared" ref="AN83:BS83" si="53">(AN$14&gt;=$F$80)*(AN$14&lt;=$F$81)*1</f>
        <v>0</v>
      </c>
      <c r="AO83" s="63">
        <f t="shared" si="53"/>
        <v>0</v>
      </c>
      <c r="AP83" s="63">
        <f t="shared" si="53"/>
        <v>0</v>
      </c>
      <c r="AQ83" s="63">
        <f t="shared" si="53"/>
        <v>0</v>
      </c>
      <c r="AR83" s="63">
        <f t="shared" si="53"/>
        <v>0</v>
      </c>
      <c r="AS83" s="63">
        <f t="shared" si="53"/>
        <v>0</v>
      </c>
      <c r="AT83" s="63">
        <f t="shared" si="53"/>
        <v>0</v>
      </c>
      <c r="AU83" s="63">
        <f t="shared" si="53"/>
        <v>0</v>
      </c>
      <c r="AV83" s="63">
        <f t="shared" si="53"/>
        <v>0</v>
      </c>
      <c r="AW83" s="63">
        <f t="shared" si="53"/>
        <v>0</v>
      </c>
      <c r="AX83" s="63">
        <f t="shared" si="53"/>
        <v>0</v>
      </c>
      <c r="AY83" s="63">
        <f t="shared" si="53"/>
        <v>0</v>
      </c>
      <c r="AZ83" s="63">
        <f t="shared" si="53"/>
        <v>0</v>
      </c>
      <c r="BA83" s="63">
        <f t="shared" si="53"/>
        <v>0</v>
      </c>
      <c r="BB83" s="63">
        <f t="shared" si="53"/>
        <v>0</v>
      </c>
      <c r="BC83" s="63">
        <f t="shared" si="53"/>
        <v>0</v>
      </c>
      <c r="BD83" s="63">
        <f t="shared" si="53"/>
        <v>0</v>
      </c>
      <c r="BE83" s="63">
        <f t="shared" si="53"/>
        <v>0</v>
      </c>
      <c r="BF83" s="63">
        <f t="shared" si="53"/>
        <v>0</v>
      </c>
      <c r="BG83" s="63">
        <f t="shared" si="53"/>
        <v>0</v>
      </c>
      <c r="BH83" s="63">
        <f t="shared" si="53"/>
        <v>0</v>
      </c>
      <c r="BI83" s="63">
        <f t="shared" si="53"/>
        <v>0</v>
      </c>
      <c r="BJ83" s="63">
        <f t="shared" si="53"/>
        <v>0</v>
      </c>
      <c r="BK83" s="63">
        <f t="shared" si="53"/>
        <v>0</v>
      </c>
      <c r="BL83" s="63">
        <f t="shared" si="53"/>
        <v>0</v>
      </c>
      <c r="BM83" s="63">
        <f t="shared" si="53"/>
        <v>0</v>
      </c>
      <c r="BN83" s="63">
        <f t="shared" si="53"/>
        <v>0</v>
      </c>
      <c r="BO83" s="63">
        <f t="shared" si="53"/>
        <v>0</v>
      </c>
      <c r="BP83" s="63">
        <f t="shared" si="53"/>
        <v>0</v>
      </c>
      <c r="BQ83" s="63">
        <f t="shared" si="53"/>
        <v>0</v>
      </c>
      <c r="BR83" s="63">
        <f t="shared" si="53"/>
        <v>0</v>
      </c>
      <c r="BS83" s="63">
        <f t="shared" si="53"/>
        <v>0</v>
      </c>
      <c r="BT83" s="63">
        <f t="shared" ref="BT83:DB83" si="54">(BT$14&gt;=$F$80)*(BT$14&lt;=$F$81)*1</f>
        <v>0</v>
      </c>
      <c r="BU83" s="63">
        <f t="shared" si="54"/>
        <v>0</v>
      </c>
      <c r="BV83" s="63">
        <f t="shared" si="54"/>
        <v>0</v>
      </c>
      <c r="BW83" s="63">
        <f t="shared" si="54"/>
        <v>0</v>
      </c>
      <c r="BX83" s="63">
        <f t="shared" si="54"/>
        <v>0</v>
      </c>
      <c r="BY83" s="63">
        <f t="shared" si="54"/>
        <v>0</v>
      </c>
      <c r="BZ83" s="63">
        <f t="shared" si="54"/>
        <v>0</v>
      </c>
      <c r="CA83" s="63">
        <f t="shared" si="54"/>
        <v>0</v>
      </c>
      <c r="CB83" s="63">
        <f t="shared" si="54"/>
        <v>0</v>
      </c>
      <c r="CC83" s="63">
        <f t="shared" si="54"/>
        <v>0</v>
      </c>
      <c r="CD83" s="63">
        <f t="shared" si="54"/>
        <v>0</v>
      </c>
      <c r="CE83" s="63">
        <f t="shared" si="54"/>
        <v>0</v>
      </c>
      <c r="CF83" s="63">
        <f t="shared" si="54"/>
        <v>0</v>
      </c>
      <c r="CG83" s="63">
        <f t="shared" si="54"/>
        <v>0</v>
      </c>
      <c r="CH83" s="63">
        <f t="shared" si="54"/>
        <v>0</v>
      </c>
      <c r="CI83" s="63">
        <f t="shared" si="54"/>
        <v>0</v>
      </c>
      <c r="CJ83" s="63">
        <f t="shared" si="54"/>
        <v>0</v>
      </c>
      <c r="CK83" s="63">
        <f t="shared" si="54"/>
        <v>0</v>
      </c>
      <c r="CL83" s="63">
        <f t="shared" si="54"/>
        <v>0</v>
      </c>
      <c r="CM83" s="63">
        <f t="shared" si="54"/>
        <v>0</v>
      </c>
      <c r="CN83" s="63">
        <f t="shared" si="54"/>
        <v>0</v>
      </c>
      <c r="CO83" s="63">
        <f t="shared" si="54"/>
        <v>0</v>
      </c>
      <c r="CP83" s="63">
        <f t="shared" si="54"/>
        <v>0</v>
      </c>
      <c r="CQ83" s="63">
        <f t="shared" si="54"/>
        <v>0</v>
      </c>
      <c r="CR83" s="63">
        <f t="shared" si="54"/>
        <v>0</v>
      </c>
      <c r="CS83" s="63">
        <f t="shared" si="54"/>
        <v>0</v>
      </c>
      <c r="CT83" s="63">
        <f t="shared" si="54"/>
        <v>0</v>
      </c>
      <c r="CU83" s="63">
        <f t="shared" si="54"/>
        <v>0</v>
      </c>
      <c r="CV83" s="63">
        <f t="shared" si="54"/>
        <v>0</v>
      </c>
      <c r="CW83" s="63">
        <f t="shared" si="54"/>
        <v>0</v>
      </c>
      <c r="CX83" s="63">
        <f t="shared" si="54"/>
        <v>0</v>
      </c>
      <c r="CY83" s="63">
        <f t="shared" si="54"/>
        <v>0</v>
      </c>
      <c r="CZ83" s="63">
        <f t="shared" si="54"/>
        <v>0</v>
      </c>
      <c r="DA83" s="63">
        <f t="shared" si="54"/>
        <v>0</v>
      </c>
      <c r="DB83" s="63">
        <f t="shared" si="54"/>
        <v>0</v>
      </c>
    </row>
    <row r="84" spans="3:106" s="63" customFormat="1" hidden="1" outlineLevel="1">
      <c r="F84" s="63" t="s">
        <v>339</v>
      </c>
      <c r="H84" s="63">
        <f>SUM($H$83:H$83)*H$83</f>
        <v>1</v>
      </c>
      <c r="I84" s="63">
        <f>SUM($H$83:I$83)*I$83</f>
        <v>2</v>
      </c>
      <c r="J84" s="63">
        <f>SUM($H$83:J$83)*J$83</f>
        <v>3</v>
      </c>
      <c r="K84" s="63">
        <f>SUM($H$83:K$83)*K$83</f>
        <v>4</v>
      </c>
      <c r="L84" s="63">
        <f>SUM($H$83:L$83)*L$83</f>
        <v>5</v>
      </c>
      <c r="M84" s="63">
        <f>SUM($H$83:M$83)*M$83</f>
        <v>6</v>
      </c>
      <c r="N84" s="63">
        <f>SUM($H$83:N$83)*N$83</f>
        <v>7</v>
      </c>
      <c r="O84" s="63">
        <f>SUM($H$83:O$83)*O$83</f>
        <v>8</v>
      </c>
      <c r="P84" s="63">
        <f>SUM($H$83:P$83)*P$83</f>
        <v>9</v>
      </c>
      <c r="Q84" s="63">
        <f>SUM($H$83:Q$83)*Q$83</f>
        <v>10</v>
      </c>
      <c r="R84" s="63">
        <f>SUM($H$83:R$83)*R$83</f>
        <v>11</v>
      </c>
      <c r="S84" s="63">
        <f>SUM($H$83:S$83)*S$83</f>
        <v>12</v>
      </c>
      <c r="T84" s="63">
        <f>SUM($H$83:T$83)*T$83</f>
        <v>13</v>
      </c>
      <c r="U84" s="63">
        <f>SUM($H$83:U$83)*U$83</f>
        <v>14</v>
      </c>
      <c r="V84" s="63">
        <f>SUM($H$83:V$83)*V$83</f>
        <v>15</v>
      </c>
      <c r="W84" s="63">
        <f>SUM($H$83:W$83)*W$83</f>
        <v>16</v>
      </c>
      <c r="X84" s="63">
        <f>SUM($H$83:X$83)*X$83</f>
        <v>17</v>
      </c>
      <c r="Y84" s="63">
        <f>SUM($H$83:Y$83)*Y$83</f>
        <v>18</v>
      </c>
      <c r="Z84" s="63">
        <f>SUM($H$83:Z$83)*Z$83</f>
        <v>19</v>
      </c>
      <c r="AA84" s="63">
        <f>SUM($H$83:AA$83)*AA$83</f>
        <v>20</v>
      </c>
      <c r="AB84" s="63">
        <f>SUM($H$83:AB$83)*AB$83</f>
        <v>21</v>
      </c>
      <c r="AC84" s="63">
        <f>SUM($H$83:AC$83)*AC$83</f>
        <v>22</v>
      </c>
      <c r="AD84" s="63">
        <f>SUM($H$83:AD$83)*AD$83</f>
        <v>23</v>
      </c>
      <c r="AE84" s="63">
        <f>SUM($H$83:AE$83)*AE$83</f>
        <v>24</v>
      </c>
      <c r="AF84" s="63">
        <f>SUM($H$83:AF$83)*AF$83</f>
        <v>25</v>
      </c>
      <c r="AG84" s="63">
        <f>SUM($H$83:AG$83)*AG$83</f>
        <v>0</v>
      </c>
      <c r="AH84" s="63">
        <f>SUM($H$83:AH$83)*AH$83</f>
        <v>0</v>
      </c>
      <c r="AI84" s="63">
        <f>SUM($H$83:AI$83)*AI$83</f>
        <v>0</v>
      </c>
      <c r="AJ84" s="63">
        <f>SUM($H$83:AJ$83)*AJ$83</f>
        <v>0</v>
      </c>
      <c r="AK84" s="63">
        <f>SUM($H$83:AK$83)*AK$83</f>
        <v>0</v>
      </c>
      <c r="AL84" s="63">
        <f>SUM($H$83:AL$83)*AL$83</f>
        <v>0</v>
      </c>
      <c r="AM84" s="63">
        <f>SUM($H$83:AM$83)*AM$83</f>
        <v>0</v>
      </c>
      <c r="AN84" s="63">
        <f>SUM($H$83:AN$83)*AN$83</f>
        <v>0</v>
      </c>
      <c r="AO84" s="63">
        <f>SUM($H$83:AO$83)*AO$83</f>
        <v>0</v>
      </c>
      <c r="AP84" s="63">
        <f>SUM($H$83:AP$83)*AP$83</f>
        <v>0</v>
      </c>
      <c r="AQ84" s="63">
        <f>SUM($H$83:AQ$83)*AQ$83</f>
        <v>0</v>
      </c>
      <c r="AR84" s="63">
        <f>SUM($H$83:AR$83)*AR$83</f>
        <v>0</v>
      </c>
      <c r="AS84" s="63">
        <f>SUM($H$83:AS$83)*AS$83</f>
        <v>0</v>
      </c>
      <c r="AT84" s="63">
        <f>SUM($H$83:AT$83)*AT$83</f>
        <v>0</v>
      </c>
      <c r="AU84" s="63">
        <f>SUM($H$83:AU$83)*AU$83</f>
        <v>0</v>
      </c>
      <c r="AV84" s="63">
        <f>SUM($H$83:AV$83)*AV$83</f>
        <v>0</v>
      </c>
      <c r="AW84" s="63">
        <f>SUM($H$83:AW$83)*AW$83</f>
        <v>0</v>
      </c>
      <c r="AX84" s="63">
        <f>SUM($H$83:AX$83)*AX$83</f>
        <v>0</v>
      </c>
      <c r="AY84" s="63">
        <f>SUM($H$83:AY$83)*AY$83</f>
        <v>0</v>
      </c>
      <c r="AZ84" s="63">
        <f>SUM($H$83:AZ$83)*AZ$83</f>
        <v>0</v>
      </c>
      <c r="BA84" s="63">
        <f>SUM($H$83:BA$83)*BA$83</f>
        <v>0</v>
      </c>
      <c r="BB84" s="63">
        <f>SUM($H$83:BB$83)*BB$83</f>
        <v>0</v>
      </c>
      <c r="BC84" s="63">
        <f>SUM($H$83:BC$83)*BC$83</f>
        <v>0</v>
      </c>
      <c r="BD84" s="63">
        <f>SUM($H$83:BD$83)*BD$83</f>
        <v>0</v>
      </c>
      <c r="BE84" s="63">
        <f>SUM($H$83:BE$83)*BE$83</f>
        <v>0</v>
      </c>
      <c r="BF84" s="63">
        <f>SUM($H$83:BF$83)*BF$83</f>
        <v>0</v>
      </c>
      <c r="BG84" s="63">
        <f>SUM($H$83:BG$83)*BG$83</f>
        <v>0</v>
      </c>
      <c r="BH84" s="63">
        <f>SUM($H$83:BH$83)*BH$83</f>
        <v>0</v>
      </c>
      <c r="BI84" s="63">
        <f>SUM($H$83:BI$83)*BI$83</f>
        <v>0</v>
      </c>
      <c r="BJ84" s="63">
        <f>SUM($H$83:BJ$83)*BJ$83</f>
        <v>0</v>
      </c>
      <c r="BK84" s="63">
        <f>SUM($H$83:BK$83)*BK$83</f>
        <v>0</v>
      </c>
      <c r="BL84" s="63">
        <f>SUM($H$83:BL$83)*BL$83</f>
        <v>0</v>
      </c>
      <c r="BM84" s="63">
        <f>SUM($H$83:BM$83)*BM$83</f>
        <v>0</v>
      </c>
      <c r="BN84" s="63">
        <f>SUM($H$83:BN$83)*BN$83</f>
        <v>0</v>
      </c>
      <c r="BO84" s="63">
        <f>SUM($H$83:BO$83)*BO$83</f>
        <v>0</v>
      </c>
      <c r="BP84" s="63">
        <f>SUM($H$83:BP$83)*BP$83</f>
        <v>0</v>
      </c>
      <c r="BQ84" s="63">
        <f>SUM($H$83:BQ$83)*BQ$83</f>
        <v>0</v>
      </c>
      <c r="BR84" s="63">
        <f>SUM($H$83:BR$83)*BR$83</f>
        <v>0</v>
      </c>
      <c r="BS84" s="63">
        <f>SUM($H$83:BS$83)*BS$83</f>
        <v>0</v>
      </c>
      <c r="BT84" s="63">
        <f>SUM($H$83:BT$83)*BT$83</f>
        <v>0</v>
      </c>
      <c r="BU84" s="63">
        <f>SUM($H$83:BU$83)*BU$83</f>
        <v>0</v>
      </c>
      <c r="BV84" s="63">
        <f>SUM($H$83:BV$83)*BV$83</f>
        <v>0</v>
      </c>
      <c r="BW84" s="63">
        <f>SUM($H$83:BW$83)*BW$83</f>
        <v>0</v>
      </c>
      <c r="BX84" s="63">
        <f>SUM($H$83:BX$83)*BX$83</f>
        <v>0</v>
      </c>
      <c r="BY84" s="63">
        <f>SUM($H$83:BY$83)*BY$83</f>
        <v>0</v>
      </c>
      <c r="BZ84" s="63">
        <f>SUM($H$83:BZ$83)*BZ$83</f>
        <v>0</v>
      </c>
      <c r="CA84" s="63">
        <f>SUM($H$83:CA$83)*CA$83</f>
        <v>0</v>
      </c>
      <c r="CB84" s="63">
        <f>SUM($H$83:CB$83)*CB$83</f>
        <v>0</v>
      </c>
      <c r="CC84" s="63">
        <f>SUM($H$83:CC$83)*CC$83</f>
        <v>0</v>
      </c>
      <c r="CD84" s="63">
        <f>SUM($H$83:CD$83)*CD$83</f>
        <v>0</v>
      </c>
      <c r="CE84" s="63">
        <f>SUM($H$83:CE$83)*CE$83</f>
        <v>0</v>
      </c>
      <c r="CF84" s="63">
        <f>SUM($H$83:CF$83)*CF$83</f>
        <v>0</v>
      </c>
      <c r="CG84" s="63">
        <f>SUM($H$83:CG$83)*CG$83</f>
        <v>0</v>
      </c>
      <c r="CH84" s="63">
        <f>SUM($H$83:CH$83)*CH$83</f>
        <v>0</v>
      </c>
      <c r="CI84" s="63">
        <f>SUM($H$83:CI$83)*CI$83</f>
        <v>0</v>
      </c>
      <c r="CJ84" s="63">
        <f>SUM($H$83:CJ$83)*CJ$83</f>
        <v>0</v>
      </c>
      <c r="CK84" s="63">
        <f>SUM($H$83:CK$83)*CK$83</f>
        <v>0</v>
      </c>
      <c r="CL84" s="63">
        <f>SUM($H$83:CL$83)*CL$83</f>
        <v>0</v>
      </c>
      <c r="CM84" s="63">
        <f>SUM($H$83:CM$83)*CM$83</f>
        <v>0</v>
      </c>
      <c r="CN84" s="63">
        <f>SUM($H$83:CN$83)*CN$83</f>
        <v>0</v>
      </c>
      <c r="CO84" s="63">
        <f>SUM($H$83:CO$83)*CO$83</f>
        <v>0</v>
      </c>
      <c r="CP84" s="63">
        <f>SUM($H$83:CP$83)*CP$83</f>
        <v>0</v>
      </c>
      <c r="CQ84" s="63">
        <f>SUM($H$83:CQ$83)*CQ$83</f>
        <v>0</v>
      </c>
      <c r="CR84" s="63">
        <f>SUM($H$83:CR$83)*CR$83</f>
        <v>0</v>
      </c>
      <c r="CS84" s="63">
        <f>SUM($H$83:CS$83)*CS$83</f>
        <v>0</v>
      </c>
      <c r="CT84" s="63">
        <f>SUM($H$83:CT$83)*CT$83</f>
        <v>0</v>
      </c>
      <c r="CU84" s="63">
        <f>SUM($H$83:CU$83)*CU$83</f>
        <v>0</v>
      </c>
      <c r="CV84" s="63">
        <f>SUM($H$83:CV$83)*CV$83</f>
        <v>0</v>
      </c>
      <c r="CW84" s="63">
        <f>SUM($H$83:CW$83)*CW$83</f>
        <v>0</v>
      </c>
      <c r="CX84" s="63">
        <f>SUM($H$83:CX$83)*CX$83</f>
        <v>0</v>
      </c>
      <c r="CY84" s="63">
        <f>SUM($H$83:CY$83)*CY$83</f>
        <v>0</v>
      </c>
      <c r="CZ84" s="63">
        <f>SUM($H$83:CZ$83)*CZ$83</f>
        <v>0</v>
      </c>
      <c r="DA84" s="63">
        <f>SUM($H$83:DA$83)*DA$83</f>
        <v>0</v>
      </c>
      <c r="DB84" s="63">
        <f>SUM($H$83:DB$83)*DB$83</f>
        <v>0</v>
      </c>
    </row>
    <row r="85" spans="3:106" s="63" customFormat="1" hidden="1" outlineLevel="1">
      <c r="F85" s="63" t="s">
        <v>340</v>
      </c>
      <c r="I85" s="63">
        <f t="shared" ref="I85:AN85" si="55">MIN(((MOD(H$84,$F$82)=0)*1+(I$14=$F$81)*1)*I$83,1)</f>
        <v>0</v>
      </c>
      <c r="J85" s="63">
        <f t="shared" si="55"/>
        <v>0</v>
      </c>
      <c r="K85" s="63">
        <f t="shared" si="55"/>
        <v>0</v>
      </c>
      <c r="L85" s="63">
        <f t="shared" si="55"/>
        <v>0</v>
      </c>
      <c r="M85" s="63">
        <f t="shared" si="55"/>
        <v>0</v>
      </c>
      <c r="N85" s="63">
        <f t="shared" si="55"/>
        <v>1</v>
      </c>
      <c r="O85" s="63">
        <f t="shared" si="55"/>
        <v>0</v>
      </c>
      <c r="P85" s="63">
        <f t="shared" si="55"/>
        <v>0</v>
      </c>
      <c r="Q85" s="63">
        <f t="shared" si="55"/>
        <v>0</v>
      </c>
      <c r="R85" s="63">
        <f t="shared" si="55"/>
        <v>0</v>
      </c>
      <c r="S85" s="63">
        <f t="shared" si="55"/>
        <v>0</v>
      </c>
      <c r="T85" s="63">
        <f t="shared" si="55"/>
        <v>1</v>
      </c>
      <c r="U85" s="63">
        <f t="shared" si="55"/>
        <v>0</v>
      </c>
      <c r="V85" s="63">
        <f t="shared" si="55"/>
        <v>0</v>
      </c>
      <c r="W85" s="63">
        <f t="shared" si="55"/>
        <v>0</v>
      </c>
      <c r="X85" s="63">
        <f t="shared" si="55"/>
        <v>0</v>
      </c>
      <c r="Y85" s="63">
        <f t="shared" si="55"/>
        <v>0</v>
      </c>
      <c r="Z85" s="63">
        <f t="shared" si="55"/>
        <v>1</v>
      </c>
      <c r="AA85" s="63">
        <f t="shared" si="55"/>
        <v>0</v>
      </c>
      <c r="AB85" s="63">
        <f t="shared" si="55"/>
        <v>0</v>
      </c>
      <c r="AC85" s="63">
        <f t="shared" si="55"/>
        <v>0</v>
      </c>
      <c r="AD85" s="63">
        <f t="shared" si="55"/>
        <v>0</v>
      </c>
      <c r="AE85" s="63">
        <f t="shared" si="55"/>
        <v>0</v>
      </c>
      <c r="AF85" s="63">
        <f t="shared" si="55"/>
        <v>1</v>
      </c>
      <c r="AG85" s="63">
        <f t="shared" si="55"/>
        <v>0</v>
      </c>
      <c r="AH85" s="63">
        <f t="shared" si="55"/>
        <v>0</v>
      </c>
      <c r="AI85" s="63">
        <f t="shared" si="55"/>
        <v>0</v>
      </c>
      <c r="AJ85" s="63">
        <f t="shared" si="55"/>
        <v>0</v>
      </c>
      <c r="AK85" s="63">
        <f t="shared" si="55"/>
        <v>0</v>
      </c>
      <c r="AL85" s="63">
        <f t="shared" si="55"/>
        <v>0</v>
      </c>
      <c r="AM85" s="63">
        <f t="shared" si="55"/>
        <v>0</v>
      </c>
      <c r="AN85" s="63">
        <f t="shared" si="55"/>
        <v>0</v>
      </c>
      <c r="AO85" s="63">
        <f t="shared" ref="AO85:BT85" si="56">MIN(((MOD(AN$84,$F$82)=0)*1+(AO$14=$F$81)*1)*AO$83,1)</f>
        <v>0</v>
      </c>
      <c r="AP85" s="63">
        <f t="shared" si="56"/>
        <v>0</v>
      </c>
      <c r="AQ85" s="63">
        <f t="shared" si="56"/>
        <v>0</v>
      </c>
      <c r="AR85" s="63">
        <f t="shared" si="56"/>
        <v>0</v>
      </c>
      <c r="AS85" s="63">
        <f t="shared" si="56"/>
        <v>0</v>
      </c>
      <c r="AT85" s="63">
        <f t="shared" si="56"/>
        <v>0</v>
      </c>
      <c r="AU85" s="63">
        <f t="shared" si="56"/>
        <v>0</v>
      </c>
      <c r="AV85" s="63">
        <f t="shared" si="56"/>
        <v>0</v>
      </c>
      <c r="AW85" s="63">
        <f t="shared" si="56"/>
        <v>0</v>
      </c>
      <c r="AX85" s="63">
        <f t="shared" si="56"/>
        <v>0</v>
      </c>
      <c r="AY85" s="63">
        <f t="shared" si="56"/>
        <v>0</v>
      </c>
      <c r="AZ85" s="63">
        <f t="shared" si="56"/>
        <v>0</v>
      </c>
      <c r="BA85" s="63">
        <f t="shared" si="56"/>
        <v>0</v>
      </c>
      <c r="BB85" s="63">
        <f t="shared" si="56"/>
        <v>0</v>
      </c>
      <c r="BC85" s="63">
        <f t="shared" si="56"/>
        <v>0</v>
      </c>
      <c r="BD85" s="63">
        <f t="shared" si="56"/>
        <v>0</v>
      </c>
      <c r="BE85" s="63">
        <f t="shared" si="56"/>
        <v>0</v>
      </c>
      <c r="BF85" s="63">
        <f t="shared" si="56"/>
        <v>0</v>
      </c>
      <c r="BG85" s="63">
        <f t="shared" si="56"/>
        <v>0</v>
      </c>
      <c r="BH85" s="63">
        <f t="shared" si="56"/>
        <v>0</v>
      </c>
      <c r="BI85" s="63">
        <f t="shared" si="56"/>
        <v>0</v>
      </c>
      <c r="BJ85" s="63">
        <f t="shared" si="56"/>
        <v>0</v>
      </c>
      <c r="BK85" s="63">
        <f t="shared" si="56"/>
        <v>0</v>
      </c>
      <c r="BL85" s="63">
        <f t="shared" si="56"/>
        <v>0</v>
      </c>
      <c r="BM85" s="63">
        <f t="shared" si="56"/>
        <v>0</v>
      </c>
      <c r="BN85" s="63">
        <f t="shared" si="56"/>
        <v>0</v>
      </c>
      <c r="BO85" s="63">
        <f t="shared" si="56"/>
        <v>0</v>
      </c>
      <c r="BP85" s="63">
        <f t="shared" si="56"/>
        <v>0</v>
      </c>
      <c r="BQ85" s="63">
        <f t="shared" si="56"/>
        <v>0</v>
      </c>
      <c r="BR85" s="63">
        <f t="shared" si="56"/>
        <v>0</v>
      </c>
      <c r="BS85" s="63">
        <f t="shared" si="56"/>
        <v>0</v>
      </c>
      <c r="BT85" s="63">
        <f t="shared" si="56"/>
        <v>0</v>
      </c>
      <c r="BU85" s="63">
        <f t="shared" ref="BU85:DB85" si="57">MIN(((MOD(BT$84,$F$82)=0)*1+(BU$14=$F$81)*1)*BU$83,1)</f>
        <v>0</v>
      </c>
      <c r="BV85" s="63">
        <f t="shared" si="57"/>
        <v>0</v>
      </c>
      <c r="BW85" s="63">
        <f t="shared" si="57"/>
        <v>0</v>
      </c>
      <c r="BX85" s="63">
        <f t="shared" si="57"/>
        <v>0</v>
      </c>
      <c r="BY85" s="63">
        <f t="shared" si="57"/>
        <v>0</v>
      </c>
      <c r="BZ85" s="63">
        <f t="shared" si="57"/>
        <v>0</v>
      </c>
      <c r="CA85" s="63">
        <f t="shared" si="57"/>
        <v>0</v>
      </c>
      <c r="CB85" s="63">
        <f t="shared" si="57"/>
        <v>0</v>
      </c>
      <c r="CC85" s="63">
        <f t="shared" si="57"/>
        <v>0</v>
      </c>
      <c r="CD85" s="63">
        <f t="shared" si="57"/>
        <v>0</v>
      </c>
      <c r="CE85" s="63">
        <f t="shared" si="57"/>
        <v>0</v>
      </c>
      <c r="CF85" s="63">
        <f t="shared" si="57"/>
        <v>0</v>
      </c>
      <c r="CG85" s="63">
        <f t="shared" si="57"/>
        <v>0</v>
      </c>
      <c r="CH85" s="63">
        <f t="shared" si="57"/>
        <v>0</v>
      </c>
      <c r="CI85" s="63">
        <f t="shared" si="57"/>
        <v>0</v>
      </c>
      <c r="CJ85" s="63">
        <f t="shared" si="57"/>
        <v>0</v>
      </c>
      <c r="CK85" s="63">
        <f t="shared" si="57"/>
        <v>0</v>
      </c>
      <c r="CL85" s="63">
        <f t="shared" si="57"/>
        <v>0</v>
      </c>
      <c r="CM85" s="63">
        <f t="shared" si="57"/>
        <v>0</v>
      </c>
      <c r="CN85" s="63">
        <f t="shared" si="57"/>
        <v>0</v>
      </c>
      <c r="CO85" s="63">
        <f t="shared" si="57"/>
        <v>0</v>
      </c>
      <c r="CP85" s="63">
        <f t="shared" si="57"/>
        <v>0</v>
      </c>
      <c r="CQ85" s="63">
        <f t="shared" si="57"/>
        <v>0</v>
      </c>
      <c r="CR85" s="63">
        <f t="shared" si="57"/>
        <v>0</v>
      </c>
      <c r="CS85" s="63">
        <f t="shared" si="57"/>
        <v>0</v>
      </c>
      <c r="CT85" s="63">
        <f t="shared" si="57"/>
        <v>0</v>
      </c>
      <c r="CU85" s="63">
        <f t="shared" si="57"/>
        <v>0</v>
      </c>
      <c r="CV85" s="63">
        <f t="shared" si="57"/>
        <v>0</v>
      </c>
      <c r="CW85" s="63">
        <f t="shared" si="57"/>
        <v>0</v>
      </c>
      <c r="CX85" s="63">
        <f t="shared" si="57"/>
        <v>0</v>
      </c>
      <c r="CY85" s="63">
        <f t="shared" si="57"/>
        <v>0</v>
      </c>
      <c r="CZ85" s="63">
        <f t="shared" si="57"/>
        <v>0</v>
      </c>
      <c r="DA85" s="63">
        <f t="shared" si="57"/>
        <v>0</v>
      </c>
      <c r="DB85" s="63">
        <f t="shared" si="57"/>
        <v>0</v>
      </c>
    </row>
    <row r="86" spans="3:106" collapsed="1"/>
    <row r="87" spans="3:106">
      <c r="D87" s="13" t="s">
        <v>210</v>
      </c>
      <c r="H87" s="13">
        <v>0</v>
      </c>
      <c r="I87" s="13">
        <f>H89</f>
        <v>10000</v>
      </c>
      <c r="J87" s="13">
        <f t="shared" ref="J87:BU87" si="58">I89</f>
        <v>10000</v>
      </c>
      <c r="K87" s="13">
        <f t="shared" si="58"/>
        <v>10000</v>
      </c>
      <c r="L87" s="13">
        <f t="shared" si="58"/>
        <v>10000</v>
      </c>
      <c r="M87" s="13">
        <f t="shared" si="58"/>
        <v>10000</v>
      </c>
      <c r="N87" s="13">
        <f t="shared" si="58"/>
        <v>10000</v>
      </c>
      <c r="O87" s="13">
        <f t="shared" si="58"/>
        <v>10000</v>
      </c>
      <c r="P87" s="13">
        <f t="shared" si="58"/>
        <v>10000</v>
      </c>
      <c r="Q87" s="13">
        <f t="shared" si="58"/>
        <v>10000</v>
      </c>
      <c r="R87" s="13">
        <f t="shared" si="58"/>
        <v>10000</v>
      </c>
      <c r="S87" s="13">
        <f t="shared" si="58"/>
        <v>10000</v>
      </c>
      <c r="T87" s="13">
        <f t="shared" si="58"/>
        <v>10000</v>
      </c>
      <c r="U87" s="13">
        <f t="shared" si="58"/>
        <v>10000</v>
      </c>
      <c r="V87" s="13">
        <f t="shared" si="58"/>
        <v>10000</v>
      </c>
      <c r="W87" s="13">
        <f t="shared" si="58"/>
        <v>10000</v>
      </c>
      <c r="X87" s="13">
        <f t="shared" si="58"/>
        <v>10000</v>
      </c>
      <c r="Y87" s="13">
        <f t="shared" si="58"/>
        <v>10000</v>
      </c>
      <c r="Z87" s="13">
        <f t="shared" si="58"/>
        <v>10000</v>
      </c>
      <c r="AA87" s="13">
        <f t="shared" si="58"/>
        <v>10000</v>
      </c>
      <c r="AB87" s="13">
        <f t="shared" si="58"/>
        <v>10000</v>
      </c>
      <c r="AC87" s="13">
        <f t="shared" si="58"/>
        <v>10000</v>
      </c>
      <c r="AD87" s="13">
        <f t="shared" si="58"/>
        <v>10000</v>
      </c>
      <c r="AE87" s="13">
        <f t="shared" si="58"/>
        <v>10000</v>
      </c>
      <c r="AF87" s="13">
        <f t="shared" si="58"/>
        <v>10000</v>
      </c>
      <c r="AG87" s="13">
        <f t="shared" si="58"/>
        <v>0</v>
      </c>
      <c r="AH87" s="13">
        <f t="shared" si="58"/>
        <v>0</v>
      </c>
      <c r="AI87" s="13">
        <f t="shared" si="58"/>
        <v>0</v>
      </c>
      <c r="AJ87" s="13">
        <f t="shared" si="58"/>
        <v>0</v>
      </c>
      <c r="AK87" s="13">
        <f t="shared" si="58"/>
        <v>0</v>
      </c>
      <c r="AL87" s="13">
        <f t="shared" si="58"/>
        <v>0</v>
      </c>
      <c r="AM87" s="13">
        <f t="shared" si="58"/>
        <v>0</v>
      </c>
      <c r="AN87" s="13">
        <f t="shared" si="58"/>
        <v>0</v>
      </c>
      <c r="AO87" s="13">
        <f t="shared" si="58"/>
        <v>0</v>
      </c>
      <c r="AP87" s="13">
        <f t="shared" si="58"/>
        <v>0</v>
      </c>
      <c r="AQ87" s="13">
        <f t="shared" si="58"/>
        <v>0</v>
      </c>
      <c r="AR87" s="13">
        <f t="shared" si="58"/>
        <v>0</v>
      </c>
      <c r="AS87" s="13">
        <f t="shared" si="58"/>
        <v>0</v>
      </c>
      <c r="AT87" s="13">
        <f t="shared" si="58"/>
        <v>0</v>
      </c>
      <c r="AU87" s="13">
        <f t="shared" si="58"/>
        <v>0</v>
      </c>
      <c r="AV87" s="13">
        <f t="shared" si="58"/>
        <v>0</v>
      </c>
      <c r="AW87" s="13">
        <f t="shared" si="58"/>
        <v>0</v>
      </c>
      <c r="AX87" s="13">
        <f t="shared" si="58"/>
        <v>0</v>
      </c>
      <c r="AY87" s="13">
        <f t="shared" si="58"/>
        <v>0</v>
      </c>
      <c r="AZ87" s="13">
        <f t="shared" si="58"/>
        <v>0</v>
      </c>
      <c r="BA87" s="13">
        <f t="shared" si="58"/>
        <v>0</v>
      </c>
      <c r="BB87" s="13">
        <f t="shared" si="58"/>
        <v>0</v>
      </c>
      <c r="BC87" s="13">
        <f t="shared" si="58"/>
        <v>0</v>
      </c>
      <c r="BD87" s="13">
        <f t="shared" si="58"/>
        <v>0</v>
      </c>
      <c r="BE87" s="13">
        <f t="shared" si="58"/>
        <v>0</v>
      </c>
      <c r="BF87" s="13">
        <f t="shared" si="58"/>
        <v>0</v>
      </c>
      <c r="BG87" s="13">
        <f t="shared" si="58"/>
        <v>0</v>
      </c>
      <c r="BH87" s="13">
        <f t="shared" si="58"/>
        <v>0</v>
      </c>
      <c r="BI87" s="13">
        <f t="shared" si="58"/>
        <v>0</v>
      </c>
      <c r="BJ87" s="13">
        <f t="shared" si="58"/>
        <v>0</v>
      </c>
      <c r="BK87" s="13">
        <f t="shared" si="58"/>
        <v>0</v>
      </c>
      <c r="BL87" s="13">
        <f t="shared" si="58"/>
        <v>0</v>
      </c>
      <c r="BM87" s="13">
        <f t="shared" si="58"/>
        <v>0</v>
      </c>
      <c r="BN87" s="13">
        <f t="shared" si="58"/>
        <v>0</v>
      </c>
      <c r="BO87" s="13">
        <f t="shared" si="58"/>
        <v>0</v>
      </c>
      <c r="BP87" s="13">
        <f t="shared" si="58"/>
        <v>0</v>
      </c>
      <c r="BQ87" s="13">
        <f t="shared" si="58"/>
        <v>0</v>
      </c>
      <c r="BR87" s="13">
        <f t="shared" si="58"/>
        <v>0</v>
      </c>
      <c r="BS87" s="13">
        <f t="shared" si="58"/>
        <v>0</v>
      </c>
      <c r="BT87" s="13">
        <f t="shared" si="58"/>
        <v>0</v>
      </c>
      <c r="BU87" s="13">
        <f t="shared" si="58"/>
        <v>0</v>
      </c>
      <c r="BV87" s="13">
        <f t="shared" ref="BV87:DB87" si="59">BU89</f>
        <v>0</v>
      </c>
      <c r="BW87" s="13">
        <f t="shared" si="59"/>
        <v>0</v>
      </c>
      <c r="BX87" s="13">
        <f t="shared" si="59"/>
        <v>0</v>
      </c>
      <c r="BY87" s="13">
        <f t="shared" si="59"/>
        <v>0</v>
      </c>
      <c r="BZ87" s="13">
        <f t="shared" si="59"/>
        <v>0</v>
      </c>
      <c r="CA87" s="13">
        <f t="shared" si="59"/>
        <v>0</v>
      </c>
      <c r="CB87" s="13">
        <f t="shared" si="59"/>
        <v>0</v>
      </c>
      <c r="CC87" s="13">
        <f t="shared" si="59"/>
        <v>0</v>
      </c>
      <c r="CD87" s="13">
        <f t="shared" si="59"/>
        <v>0</v>
      </c>
      <c r="CE87" s="13">
        <f t="shared" si="59"/>
        <v>0</v>
      </c>
      <c r="CF87" s="13">
        <f t="shared" si="59"/>
        <v>0</v>
      </c>
      <c r="CG87" s="13">
        <f t="shared" si="59"/>
        <v>0</v>
      </c>
      <c r="CH87" s="13">
        <f t="shared" si="59"/>
        <v>0</v>
      </c>
      <c r="CI87" s="13">
        <f t="shared" si="59"/>
        <v>0</v>
      </c>
      <c r="CJ87" s="13">
        <f t="shared" si="59"/>
        <v>0</v>
      </c>
      <c r="CK87" s="13">
        <f t="shared" si="59"/>
        <v>0</v>
      </c>
      <c r="CL87" s="13">
        <f t="shared" si="59"/>
        <v>0</v>
      </c>
      <c r="CM87" s="13">
        <f t="shared" si="59"/>
        <v>0</v>
      </c>
      <c r="CN87" s="13">
        <f t="shared" si="59"/>
        <v>0</v>
      </c>
      <c r="CO87" s="13">
        <f t="shared" si="59"/>
        <v>0</v>
      </c>
      <c r="CP87" s="13">
        <f t="shared" si="59"/>
        <v>0</v>
      </c>
      <c r="CQ87" s="13">
        <f t="shared" si="59"/>
        <v>0</v>
      </c>
      <c r="CR87" s="13">
        <f t="shared" si="59"/>
        <v>0</v>
      </c>
      <c r="CS87" s="13">
        <f t="shared" si="59"/>
        <v>0</v>
      </c>
      <c r="CT87" s="13">
        <f t="shared" si="59"/>
        <v>0</v>
      </c>
      <c r="CU87" s="13">
        <f t="shared" si="59"/>
        <v>0</v>
      </c>
      <c r="CV87" s="13">
        <f t="shared" si="59"/>
        <v>0</v>
      </c>
      <c r="CW87" s="13">
        <f t="shared" si="59"/>
        <v>0</v>
      </c>
      <c r="CX87" s="13">
        <f t="shared" si="59"/>
        <v>0</v>
      </c>
      <c r="CY87" s="13">
        <f t="shared" si="59"/>
        <v>0</v>
      </c>
      <c r="CZ87" s="13">
        <f t="shared" si="59"/>
        <v>0</v>
      </c>
      <c r="DA87" s="13">
        <f t="shared" si="59"/>
        <v>0</v>
      </c>
      <c r="DB87" s="13">
        <f t="shared" si="59"/>
        <v>0</v>
      </c>
    </row>
    <row r="88" spans="3:106">
      <c r="D88" s="13" t="s">
        <v>341</v>
      </c>
      <c r="H88" s="13">
        <f>H36+H45</f>
        <v>10000</v>
      </c>
      <c r="I88" s="13">
        <f>I36+I45</f>
        <v>0</v>
      </c>
      <c r="J88" s="13">
        <f t="shared" ref="J88:BU88" si="60">J36+J45</f>
        <v>0</v>
      </c>
      <c r="K88" s="13">
        <f t="shared" si="60"/>
        <v>0</v>
      </c>
      <c r="L88" s="13">
        <f t="shared" si="60"/>
        <v>0</v>
      </c>
      <c r="M88" s="13">
        <f t="shared" si="60"/>
        <v>0</v>
      </c>
      <c r="N88" s="13">
        <f t="shared" si="60"/>
        <v>0</v>
      </c>
      <c r="O88" s="13">
        <f t="shared" si="60"/>
        <v>0</v>
      </c>
      <c r="P88" s="13">
        <f t="shared" si="60"/>
        <v>0</v>
      </c>
      <c r="Q88" s="13">
        <f t="shared" si="60"/>
        <v>0</v>
      </c>
      <c r="R88" s="13">
        <f t="shared" si="60"/>
        <v>0</v>
      </c>
      <c r="S88" s="13">
        <f t="shared" si="60"/>
        <v>0</v>
      </c>
      <c r="T88" s="13">
        <f t="shared" si="60"/>
        <v>0</v>
      </c>
      <c r="U88" s="13">
        <f t="shared" si="60"/>
        <v>0</v>
      </c>
      <c r="V88" s="13">
        <f t="shared" si="60"/>
        <v>0</v>
      </c>
      <c r="W88" s="13">
        <f t="shared" si="60"/>
        <v>0</v>
      </c>
      <c r="X88" s="13">
        <f t="shared" si="60"/>
        <v>0</v>
      </c>
      <c r="Y88" s="13">
        <f t="shared" si="60"/>
        <v>0</v>
      </c>
      <c r="Z88" s="13">
        <f t="shared" si="60"/>
        <v>0</v>
      </c>
      <c r="AA88" s="13">
        <f t="shared" si="60"/>
        <v>0</v>
      </c>
      <c r="AB88" s="13">
        <f t="shared" si="60"/>
        <v>0</v>
      </c>
      <c r="AC88" s="13">
        <f t="shared" si="60"/>
        <v>0</v>
      </c>
      <c r="AD88" s="13">
        <f t="shared" si="60"/>
        <v>0</v>
      </c>
      <c r="AE88" s="13">
        <f t="shared" si="60"/>
        <v>0</v>
      </c>
      <c r="AF88" s="13">
        <f t="shared" si="60"/>
        <v>-10000</v>
      </c>
      <c r="AG88" s="13">
        <f t="shared" si="60"/>
        <v>0</v>
      </c>
      <c r="AH88" s="13">
        <f t="shared" si="60"/>
        <v>0</v>
      </c>
      <c r="AI88" s="13">
        <f t="shared" si="60"/>
        <v>0</v>
      </c>
      <c r="AJ88" s="13">
        <f t="shared" si="60"/>
        <v>0</v>
      </c>
      <c r="AK88" s="13">
        <f t="shared" si="60"/>
        <v>0</v>
      </c>
      <c r="AL88" s="13">
        <f t="shared" si="60"/>
        <v>0</v>
      </c>
      <c r="AM88" s="13">
        <f t="shared" si="60"/>
        <v>0</v>
      </c>
      <c r="AN88" s="13">
        <f t="shared" si="60"/>
        <v>0</v>
      </c>
      <c r="AO88" s="13">
        <f t="shared" si="60"/>
        <v>0</v>
      </c>
      <c r="AP88" s="13">
        <f t="shared" si="60"/>
        <v>0</v>
      </c>
      <c r="AQ88" s="13">
        <f t="shared" si="60"/>
        <v>0</v>
      </c>
      <c r="AR88" s="13">
        <f t="shared" si="60"/>
        <v>0</v>
      </c>
      <c r="AS88" s="13">
        <f t="shared" si="60"/>
        <v>0</v>
      </c>
      <c r="AT88" s="13">
        <f t="shared" si="60"/>
        <v>0</v>
      </c>
      <c r="AU88" s="13">
        <f t="shared" si="60"/>
        <v>0</v>
      </c>
      <c r="AV88" s="13">
        <f t="shared" si="60"/>
        <v>0</v>
      </c>
      <c r="AW88" s="13">
        <f t="shared" si="60"/>
        <v>0</v>
      </c>
      <c r="AX88" s="13">
        <f t="shared" si="60"/>
        <v>0</v>
      </c>
      <c r="AY88" s="13">
        <f t="shared" si="60"/>
        <v>0</v>
      </c>
      <c r="AZ88" s="13">
        <f t="shared" si="60"/>
        <v>0</v>
      </c>
      <c r="BA88" s="13">
        <f t="shared" si="60"/>
        <v>0</v>
      </c>
      <c r="BB88" s="13">
        <f t="shared" si="60"/>
        <v>0</v>
      </c>
      <c r="BC88" s="13">
        <f t="shared" si="60"/>
        <v>0</v>
      </c>
      <c r="BD88" s="13">
        <f t="shared" si="60"/>
        <v>0</v>
      </c>
      <c r="BE88" s="13">
        <f t="shared" si="60"/>
        <v>0</v>
      </c>
      <c r="BF88" s="13">
        <f t="shared" si="60"/>
        <v>0</v>
      </c>
      <c r="BG88" s="13">
        <f t="shared" si="60"/>
        <v>0</v>
      </c>
      <c r="BH88" s="13">
        <f t="shared" si="60"/>
        <v>0</v>
      </c>
      <c r="BI88" s="13">
        <f t="shared" si="60"/>
        <v>0</v>
      </c>
      <c r="BJ88" s="13">
        <f t="shared" si="60"/>
        <v>0</v>
      </c>
      <c r="BK88" s="13">
        <f t="shared" si="60"/>
        <v>0</v>
      </c>
      <c r="BL88" s="13">
        <f t="shared" si="60"/>
        <v>0</v>
      </c>
      <c r="BM88" s="13">
        <f t="shared" si="60"/>
        <v>0</v>
      </c>
      <c r="BN88" s="13">
        <f t="shared" si="60"/>
        <v>0</v>
      </c>
      <c r="BO88" s="13">
        <f t="shared" si="60"/>
        <v>0</v>
      </c>
      <c r="BP88" s="13">
        <f t="shared" si="60"/>
        <v>0</v>
      </c>
      <c r="BQ88" s="13">
        <f t="shared" si="60"/>
        <v>0</v>
      </c>
      <c r="BR88" s="13">
        <f t="shared" si="60"/>
        <v>0</v>
      </c>
      <c r="BS88" s="13">
        <f t="shared" si="60"/>
        <v>0</v>
      </c>
      <c r="BT88" s="13">
        <f t="shared" si="60"/>
        <v>0</v>
      </c>
      <c r="BU88" s="13">
        <f t="shared" si="60"/>
        <v>0</v>
      </c>
      <c r="BV88" s="13">
        <f t="shared" ref="BV88:DB88" si="61">BV36+BV45</f>
        <v>0</v>
      </c>
      <c r="BW88" s="13">
        <f t="shared" si="61"/>
        <v>0</v>
      </c>
      <c r="BX88" s="13">
        <f t="shared" si="61"/>
        <v>0</v>
      </c>
      <c r="BY88" s="13">
        <f t="shared" si="61"/>
        <v>0</v>
      </c>
      <c r="BZ88" s="13">
        <f t="shared" si="61"/>
        <v>0</v>
      </c>
      <c r="CA88" s="13">
        <f t="shared" si="61"/>
        <v>0</v>
      </c>
      <c r="CB88" s="13">
        <f t="shared" si="61"/>
        <v>0</v>
      </c>
      <c r="CC88" s="13">
        <f t="shared" si="61"/>
        <v>0</v>
      </c>
      <c r="CD88" s="13">
        <f t="shared" si="61"/>
        <v>0</v>
      </c>
      <c r="CE88" s="13">
        <f t="shared" si="61"/>
        <v>0</v>
      </c>
      <c r="CF88" s="13">
        <f t="shared" si="61"/>
        <v>0</v>
      </c>
      <c r="CG88" s="13">
        <f t="shared" si="61"/>
        <v>0</v>
      </c>
      <c r="CH88" s="13">
        <f t="shared" si="61"/>
        <v>0</v>
      </c>
      <c r="CI88" s="13">
        <f t="shared" si="61"/>
        <v>0</v>
      </c>
      <c r="CJ88" s="13">
        <f t="shared" si="61"/>
        <v>0</v>
      </c>
      <c r="CK88" s="13">
        <f t="shared" si="61"/>
        <v>0</v>
      </c>
      <c r="CL88" s="13">
        <f t="shared" si="61"/>
        <v>0</v>
      </c>
      <c r="CM88" s="13">
        <f t="shared" si="61"/>
        <v>0</v>
      </c>
      <c r="CN88" s="13">
        <f t="shared" si="61"/>
        <v>0</v>
      </c>
      <c r="CO88" s="13">
        <f t="shared" si="61"/>
        <v>0</v>
      </c>
      <c r="CP88" s="13">
        <f t="shared" si="61"/>
        <v>0</v>
      </c>
      <c r="CQ88" s="13">
        <f t="shared" si="61"/>
        <v>0</v>
      </c>
      <c r="CR88" s="13">
        <f t="shared" si="61"/>
        <v>0</v>
      </c>
      <c r="CS88" s="13">
        <f t="shared" si="61"/>
        <v>0</v>
      </c>
      <c r="CT88" s="13">
        <f t="shared" si="61"/>
        <v>0</v>
      </c>
      <c r="CU88" s="13">
        <f t="shared" si="61"/>
        <v>0</v>
      </c>
      <c r="CV88" s="13">
        <f t="shared" si="61"/>
        <v>0</v>
      </c>
      <c r="CW88" s="13">
        <f t="shared" si="61"/>
        <v>0</v>
      </c>
      <c r="CX88" s="13">
        <f t="shared" si="61"/>
        <v>0</v>
      </c>
      <c r="CY88" s="13">
        <f t="shared" si="61"/>
        <v>0</v>
      </c>
      <c r="CZ88" s="13">
        <f t="shared" si="61"/>
        <v>0</v>
      </c>
      <c r="DA88" s="13">
        <f t="shared" si="61"/>
        <v>0</v>
      </c>
      <c r="DB88" s="13">
        <f t="shared" si="61"/>
        <v>0</v>
      </c>
    </row>
    <row r="89" spans="3:106">
      <c r="D89" s="75" t="s">
        <v>211</v>
      </c>
      <c r="E89" s="75"/>
      <c r="F89" s="75"/>
      <c r="G89" s="75"/>
      <c r="H89" s="75">
        <f>SUM(H87:H88)</f>
        <v>10000</v>
      </c>
      <c r="I89" s="75">
        <f>SUM(I87:I88)</f>
        <v>10000</v>
      </c>
      <c r="J89" s="75">
        <f t="shared" ref="J89" si="62">SUM(J87:J88)</f>
        <v>10000</v>
      </c>
      <c r="K89" s="75">
        <f t="shared" ref="K89" si="63">SUM(K87:K88)</f>
        <v>10000</v>
      </c>
      <c r="L89" s="75">
        <f t="shared" ref="L89" si="64">SUM(L87:L88)</f>
        <v>10000</v>
      </c>
      <c r="M89" s="75">
        <f t="shared" ref="M89" si="65">SUM(M87:M88)</f>
        <v>10000</v>
      </c>
      <c r="N89" s="75">
        <f t="shared" ref="N89" si="66">SUM(N87:N88)</f>
        <v>10000</v>
      </c>
      <c r="O89" s="75">
        <f t="shared" ref="O89" si="67">SUM(O87:O88)</f>
        <v>10000</v>
      </c>
      <c r="P89" s="75">
        <f t="shared" ref="P89" si="68">SUM(P87:P88)</f>
        <v>10000</v>
      </c>
      <c r="Q89" s="75">
        <f t="shared" ref="Q89" si="69">SUM(Q87:Q88)</f>
        <v>10000</v>
      </c>
      <c r="R89" s="75">
        <f t="shared" ref="R89" si="70">SUM(R87:R88)</f>
        <v>10000</v>
      </c>
      <c r="S89" s="75">
        <f t="shared" ref="S89" si="71">SUM(S87:S88)</f>
        <v>10000</v>
      </c>
      <c r="T89" s="75">
        <f t="shared" ref="T89" si="72">SUM(T87:T88)</f>
        <v>10000</v>
      </c>
      <c r="U89" s="75">
        <f t="shared" ref="U89" si="73">SUM(U87:U88)</f>
        <v>10000</v>
      </c>
      <c r="V89" s="75">
        <f t="shared" ref="V89" si="74">SUM(V87:V88)</f>
        <v>10000</v>
      </c>
      <c r="W89" s="75">
        <f t="shared" ref="W89" si="75">SUM(W87:W88)</f>
        <v>10000</v>
      </c>
      <c r="X89" s="75">
        <f t="shared" ref="X89" si="76">SUM(X87:X88)</f>
        <v>10000</v>
      </c>
      <c r="Y89" s="75">
        <f t="shared" ref="Y89" si="77">SUM(Y87:Y88)</f>
        <v>10000</v>
      </c>
      <c r="Z89" s="75">
        <f t="shared" ref="Z89" si="78">SUM(Z87:Z88)</f>
        <v>10000</v>
      </c>
      <c r="AA89" s="75">
        <f t="shared" ref="AA89" si="79">SUM(AA87:AA88)</f>
        <v>10000</v>
      </c>
      <c r="AB89" s="75">
        <f t="shared" ref="AB89" si="80">SUM(AB87:AB88)</f>
        <v>10000</v>
      </c>
      <c r="AC89" s="75">
        <f t="shared" ref="AC89" si="81">SUM(AC87:AC88)</f>
        <v>10000</v>
      </c>
      <c r="AD89" s="75">
        <f t="shared" ref="AD89" si="82">SUM(AD87:AD88)</f>
        <v>10000</v>
      </c>
      <c r="AE89" s="75">
        <f t="shared" ref="AE89" si="83">SUM(AE87:AE88)</f>
        <v>10000</v>
      </c>
      <c r="AF89" s="75">
        <f t="shared" ref="AF89" si="84">SUM(AF87:AF88)</f>
        <v>0</v>
      </c>
      <c r="AG89" s="75">
        <f t="shared" ref="AG89" si="85">SUM(AG87:AG88)</f>
        <v>0</v>
      </c>
      <c r="AH89" s="75">
        <f t="shared" ref="AH89" si="86">SUM(AH87:AH88)</f>
        <v>0</v>
      </c>
      <c r="AI89" s="75">
        <f t="shared" ref="AI89" si="87">SUM(AI87:AI88)</f>
        <v>0</v>
      </c>
      <c r="AJ89" s="75">
        <f t="shared" ref="AJ89" si="88">SUM(AJ87:AJ88)</f>
        <v>0</v>
      </c>
      <c r="AK89" s="75">
        <f t="shared" ref="AK89" si="89">SUM(AK87:AK88)</f>
        <v>0</v>
      </c>
      <c r="AL89" s="75">
        <f t="shared" ref="AL89" si="90">SUM(AL87:AL88)</f>
        <v>0</v>
      </c>
      <c r="AM89" s="75">
        <f t="shared" ref="AM89" si="91">SUM(AM87:AM88)</f>
        <v>0</v>
      </c>
      <c r="AN89" s="75">
        <f t="shared" ref="AN89" si="92">SUM(AN87:AN88)</f>
        <v>0</v>
      </c>
      <c r="AO89" s="75">
        <f t="shared" ref="AO89" si="93">SUM(AO87:AO88)</f>
        <v>0</v>
      </c>
      <c r="AP89" s="75">
        <f t="shared" ref="AP89" si="94">SUM(AP87:AP88)</f>
        <v>0</v>
      </c>
      <c r="AQ89" s="75">
        <f t="shared" ref="AQ89" si="95">SUM(AQ87:AQ88)</f>
        <v>0</v>
      </c>
      <c r="AR89" s="75">
        <f t="shared" ref="AR89" si="96">SUM(AR87:AR88)</f>
        <v>0</v>
      </c>
      <c r="AS89" s="75">
        <f t="shared" ref="AS89" si="97">SUM(AS87:AS88)</f>
        <v>0</v>
      </c>
      <c r="AT89" s="75">
        <f t="shared" ref="AT89" si="98">SUM(AT87:AT88)</f>
        <v>0</v>
      </c>
      <c r="AU89" s="75">
        <f t="shared" ref="AU89" si="99">SUM(AU87:AU88)</f>
        <v>0</v>
      </c>
      <c r="AV89" s="75">
        <f t="shared" ref="AV89" si="100">SUM(AV87:AV88)</f>
        <v>0</v>
      </c>
      <c r="AW89" s="75">
        <f t="shared" ref="AW89" si="101">SUM(AW87:AW88)</f>
        <v>0</v>
      </c>
      <c r="AX89" s="75">
        <f t="shared" ref="AX89" si="102">SUM(AX87:AX88)</f>
        <v>0</v>
      </c>
      <c r="AY89" s="75">
        <f t="shared" ref="AY89" si="103">SUM(AY87:AY88)</f>
        <v>0</v>
      </c>
      <c r="AZ89" s="75">
        <f t="shared" ref="AZ89" si="104">SUM(AZ87:AZ88)</f>
        <v>0</v>
      </c>
      <c r="BA89" s="75">
        <f t="shared" ref="BA89" si="105">SUM(BA87:BA88)</f>
        <v>0</v>
      </c>
      <c r="BB89" s="75">
        <f t="shared" ref="BB89" si="106">SUM(BB87:BB88)</f>
        <v>0</v>
      </c>
      <c r="BC89" s="75">
        <f t="shared" ref="BC89" si="107">SUM(BC87:BC88)</f>
        <v>0</v>
      </c>
      <c r="BD89" s="75">
        <f t="shared" ref="BD89" si="108">SUM(BD87:BD88)</f>
        <v>0</v>
      </c>
      <c r="BE89" s="75">
        <f t="shared" ref="BE89" si="109">SUM(BE87:BE88)</f>
        <v>0</v>
      </c>
      <c r="BF89" s="75">
        <f t="shared" ref="BF89" si="110">SUM(BF87:BF88)</f>
        <v>0</v>
      </c>
      <c r="BG89" s="75">
        <f t="shared" ref="BG89" si="111">SUM(BG87:BG88)</f>
        <v>0</v>
      </c>
      <c r="BH89" s="75">
        <f t="shared" ref="BH89" si="112">SUM(BH87:BH88)</f>
        <v>0</v>
      </c>
      <c r="BI89" s="75">
        <f t="shared" ref="BI89" si="113">SUM(BI87:BI88)</f>
        <v>0</v>
      </c>
      <c r="BJ89" s="75">
        <f t="shared" ref="BJ89" si="114">SUM(BJ87:BJ88)</f>
        <v>0</v>
      </c>
      <c r="BK89" s="75">
        <f t="shared" ref="BK89" si="115">SUM(BK87:BK88)</f>
        <v>0</v>
      </c>
      <c r="BL89" s="75">
        <f t="shared" ref="BL89" si="116">SUM(BL87:BL88)</f>
        <v>0</v>
      </c>
      <c r="BM89" s="75">
        <f t="shared" ref="BM89" si="117">SUM(BM87:BM88)</f>
        <v>0</v>
      </c>
      <c r="BN89" s="75">
        <f t="shared" ref="BN89" si="118">SUM(BN87:BN88)</f>
        <v>0</v>
      </c>
      <c r="BO89" s="75">
        <f t="shared" ref="BO89" si="119">SUM(BO87:BO88)</f>
        <v>0</v>
      </c>
      <c r="BP89" s="75">
        <f t="shared" ref="BP89" si="120">SUM(BP87:BP88)</f>
        <v>0</v>
      </c>
      <c r="BQ89" s="75">
        <f t="shared" ref="BQ89" si="121">SUM(BQ87:BQ88)</f>
        <v>0</v>
      </c>
      <c r="BR89" s="75">
        <f t="shared" ref="BR89" si="122">SUM(BR87:BR88)</f>
        <v>0</v>
      </c>
      <c r="BS89" s="75">
        <f t="shared" ref="BS89" si="123">SUM(BS87:BS88)</f>
        <v>0</v>
      </c>
      <c r="BT89" s="75">
        <f t="shared" ref="BT89" si="124">SUM(BT87:BT88)</f>
        <v>0</v>
      </c>
      <c r="BU89" s="75">
        <f t="shared" ref="BU89" si="125">SUM(BU87:BU88)</f>
        <v>0</v>
      </c>
      <c r="BV89" s="75">
        <f t="shared" ref="BV89" si="126">SUM(BV87:BV88)</f>
        <v>0</v>
      </c>
      <c r="BW89" s="75">
        <f t="shared" ref="BW89" si="127">SUM(BW87:BW88)</f>
        <v>0</v>
      </c>
      <c r="BX89" s="75">
        <f t="shared" ref="BX89" si="128">SUM(BX87:BX88)</f>
        <v>0</v>
      </c>
      <c r="BY89" s="75">
        <f t="shared" ref="BY89" si="129">SUM(BY87:BY88)</f>
        <v>0</v>
      </c>
      <c r="BZ89" s="75">
        <f t="shared" ref="BZ89" si="130">SUM(BZ87:BZ88)</f>
        <v>0</v>
      </c>
      <c r="CA89" s="75">
        <f t="shared" ref="CA89" si="131">SUM(CA87:CA88)</f>
        <v>0</v>
      </c>
      <c r="CB89" s="75">
        <f t="shared" ref="CB89" si="132">SUM(CB87:CB88)</f>
        <v>0</v>
      </c>
      <c r="CC89" s="75">
        <f t="shared" ref="CC89" si="133">SUM(CC87:CC88)</f>
        <v>0</v>
      </c>
      <c r="CD89" s="75">
        <f t="shared" ref="CD89" si="134">SUM(CD87:CD88)</f>
        <v>0</v>
      </c>
      <c r="CE89" s="75">
        <f t="shared" ref="CE89" si="135">SUM(CE87:CE88)</f>
        <v>0</v>
      </c>
      <c r="CF89" s="75">
        <f t="shared" ref="CF89" si="136">SUM(CF87:CF88)</f>
        <v>0</v>
      </c>
      <c r="CG89" s="75">
        <f t="shared" ref="CG89" si="137">SUM(CG87:CG88)</f>
        <v>0</v>
      </c>
      <c r="CH89" s="75">
        <f t="shared" ref="CH89" si="138">SUM(CH87:CH88)</f>
        <v>0</v>
      </c>
      <c r="CI89" s="75">
        <f t="shared" ref="CI89" si="139">SUM(CI87:CI88)</f>
        <v>0</v>
      </c>
      <c r="CJ89" s="75">
        <f t="shared" ref="CJ89" si="140">SUM(CJ87:CJ88)</f>
        <v>0</v>
      </c>
      <c r="CK89" s="75">
        <f t="shared" ref="CK89" si="141">SUM(CK87:CK88)</f>
        <v>0</v>
      </c>
      <c r="CL89" s="75">
        <f t="shared" ref="CL89" si="142">SUM(CL87:CL88)</f>
        <v>0</v>
      </c>
      <c r="CM89" s="75">
        <f t="shared" ref="CM89" si="143">SUM(CM87:CM88)</f>
        <v>0</v>
      </c>
      <c r="CN89" s="75">
        <f t="shared" ref="CN89" si="144">SUM(CN87:CN88)</f>
        <v>0</v>
      </c>
      <c r="CO89" s="75">
        <f t="shared" ref="CO89" si="145">SUM(CO87:CO88)</f>
        <v>0</v>
      </c>
      <c r="CP89" s="75">
        <f t="shared" ref="CP89" si="146">SUM(CP87:CP88)</f>
        <v>0</v>
      </c>
      <c r="CQ89" s="75">
        <f t="shared" ref="CQ89" si="147">SUM(CQ87:CQ88)</f>
        <v>0</v>
      </c>
      <c r="CR89" s="75">
        <f t="shared" ref="CR89" si="148">SUM(CR87:CR88)</f>
        <v>0</v>
      </c>
      <c r="CS89" s="75">
        <f t="shared" ref="CS89" si="149">SUM(CS87:CS88)</f>
        <v>0</v>
      </c>
      <c r="CT89" s="75">
        <f t="shared" ref="CT89" si="150">SUM(CT87:CT88)</f>
        <v>0</v>
      </c>
      <c r="CU89" s="75">
        <f t="shared" ref="CU89" si="151">SUM(CU87:CU88)</f>
        <v>0</v>
      </c>
      <c r="CV89" s="75">
        <f t="shared" ref="CV89" si="152">SUM(CV87:CV88)</f>
        <v>0</v>
      </c>
      <c r="CW89" s="75">
        <f t="shared" ref="CW89" si="153">SUM(CW87:CW88)</f>
        <v>0</v>
      </c>
      <c r="CX89" s="75">
        <f t="shared" ref="CX89" si="154">SUM(CX87:CX88)</f>
        <v>0</v>
      </c>
      <c r="CY89" s="75">
        <f t="shared" ref="CY89" si="155">SUM(CY87:CY88)</f>
        <v>0</v>
      </c>
      <c r="CZ89" s="75">
        <f t="shared" ref="CZ89" si="156">SUM(CZ87:CZ88)</f>
        <v>0</v>
      </c>
      <c r="DA89" s="75">
        <f t="shared" ref="DA89" si="157">SUM(DA87:DA88)</f>
        <v>0</v>
      </c>
      <c r="DB89" s="75">
        <f t="shared" ref="DB89" si="158">SUM(DB87:DB88)</f>
        <v>0</v>
      </c>
    </row>
    <row r="90" spans="3:106">
      <c r="D90" s="75" t="s">
        <v>342</v>
      </c>
      <c r="E90" s="75"/>
      <c r="F90" s="75"/>
      <c r="G90" s="75"/>
      <c r="H90" s="75">
        <f>AVERAGE(H87,H89)</f>
        <v>5000</v>
      </c>
      <c r="I90" s="75">
        <f t="shared" ref="I90:BT90" si="159">AVERAGE(I87,I89)</f>
        <v>10000</v>
      </c>
      <c r="J90" s="75">
        <f t="shared" si="159"/>
        <v>10000</v>
      </c>
      <c r="K90" s="75">
        <f t="shared" si="159"/>
        <v>10000</v>
      </c>
      <c r="L90" s="75">
        <f t="shared" si="159"/>
        <v>10000</v>
      </c>
      <c r="M90" s="75">
        <f t="shared" si="159"/>
        <v>10000</v>
      </c>
      <c r="N90" s="75">
        <f t="shared" si="159"/>
        <v>10000</v>
      </c>
      <c r="O90" s="75">
        <f t="shared" si="159"/>
        <v>10000</v>
      </c>
      <c r="P90" s="75">
        <f t="shared" si="159"/>
        <v>10000</v>
      </c>
      <c r="Q90" s="75">
        <f t="shared" si="159"/>
        <v>10000</v>
      </c>
      <c r="R90" s="75">
        <f t="shared" si="159"/>
        <v>10000</v>
      </c>
      <c r="S90" s="75">
        <f t="shared" si="159"/>
        <v>10000</v>
      </c>
      <c r="T90" s="75">
        <f t="shared" si="159"/>
        <v>10000</v>
      </c>
      <c r="U90" s="75">
        <f t="shared" si="159"/>
        <v>10000</v>
      </c>
      <c r="V90" s="75">
        <f t="shared" si="159"/>
        <v>10000</v>
      </c>
      <c r="W90" s="75">
        <f t="shared" si="159"/>
        <v>10000</v>
      </c>
      <c r="X90" s="75">
        <f t="shared" si="159"/>
        <v>10000</v>
      </c>
      <c r="Y90" s="75">
        <f t="shared" si="159"/>
        <v>10000</v>
      </c>
      <c r="Z90" s="75">
        <f t="shared" si="159"/>
        <v>10000</v>
      </c>
      <c r="AA90" s="75">
        <f t="shared" si="159"/>
        <v>10000</v>
      </c>
      <c r="AB90" s="75">
        <f t="shared" si="159"/>
        <v>10000</v>
      </c>
      <c r="AC90" s="75">
        <f t="shared" si="159"/>
        <v>10000</v>
      </c>
      <c r="AD90" s="75">
        <f t="shared" si="159"/>
        <v>10000</v>
      </c>
      <c r="AE90" s="75">
        <f t="shared" si="159"/>
        <v>10000</v>
      </c>
      <c r="AF90" s="75">
        <f t="shared" si="159"/>
        <v>5000</v>
      </c>
      <c r="AG90" s="75">
        <f t="shared" si="159"/>
        <v>0</v>
      </c>
      <c r="AH90" s="75">
        <f t="shared" si="159"/>
        <v>0</v>
      </c>
      <c r="AI90" s="75">
        <f t="shared" si="159"/>
        <v>0</v>
      </c>
      <c r="AJ90" s="75">
        <f t="shared" si="159"/>
        <v>0</v>
      </c>
      <c r="AK90" s="75">
        <f t="shared" si="159"/>
        <v>0</v>
      </c>
      <c r="AL90" s="75">
        <f t="shared" si="159"/>
        <v>0</v>
      </c>
      <c r="AM90" s="75">
        <f t="shared" si="159"/>
        <v>0</v>
      </c>
      <c r="AN90" s="75">
        <f t="shared" si="159"/>
        <v>0</v>
      </c>
      <c r="AO90" s="75">
        <f t="shared" si="159"/>
        <v>0</v>
      </c>
      <c r="AP90" s="75">
        <f t="shared" si="159"/>
        <v>0</v>
      </c>
      <c r="AQ90" s="75">
        <f t="shared" si="159"/>
        <v>0</v>
      </c>
      <c r="AR90" s="75">
        <f t="shared" si="159"/>
        <v>0</v>
      </c>
      <c r="AS90" s="75">
        <f t="shared" si="159"/>
        <v>0</v>
      </c>
      <c r="AT90" s="75">
        <f t="shared" si="159"/>
        <v>0</v>
      </c>
      <c r="AU90" s="75">
        <f t="shared" si="159"/>
        <v>0</v>
      </c>
      <c r="AV90" s="75">
        <f t="shared" si="159"/>
        <v>0</v>
      </c>
      <c r="AW90" s="75">
        <f t="shared" si="159"/>
        <v>0</v>
      </c>
      <c r="AX90" s="75">
        <f t="shared" si="159"/>
        <v>0</v>
      </c>
      <c r="AY90" s="75">
        <f t="shared" si="159"/>
        <v>0</v>
      </c>
      <c r="AZ90" s="75">
        <f t="shared" si="159"/>
        <v>0</v>
      </c>
      <c r="BA90" s="75">
        <f t="shared" si="159"/>
        <v>0</v>
      </c>
      <c r="BB90" s="75">
        <f t="shared" si="159"/>
        <v>0</v>
      </c>
      <c r="BC90" s="75">
        <f t="shared" si="159"/>
        <v>0</v>
      </c>
      <c r="BD90" s="75">
        <f t="shared" si="159"/>
        <v>0</v>
      </c>
      <c r="BE90" s="75">
        <f t="shared" si="159"/>
        <v>0</v>
      </c>
      <c r="BF90" s="75">
        <f t="shared" si="159"/>
        <v>0</v>
      </c>
      <c r="BG90" s="75">
        <f t="shared" si="159"/>
        <v>0</v>
      </c>
      <c r="BH90" s="75">
        <f t="shared" si="159"/>
        <v>0</v>
      </c>
      <c r="BI90" s="75">
        <f t="shared" si="159"/>
        <v>0</v>
      </c>
      <c r="BJ90" s="75">
        <f t="shared" si="159"/>
        <v>0</v>
      </c>
      <c r="BK90" s="75">
        <f t="shared" si="159"/>
        <v>0</v>
      </c>
      <c r="BL90" s="75">
        <f t="shared" si="159"/>
        <v>0</v>
      </c>
      <c r="BM90" s="75">
        <f t="shared" si="159"/>
        <v>0</v>
      </c>
      <c r="BN90" s="75">
        <f t="shared" si="159"/>
        <v>0</v>
      </c>
      <c r="BO90" s="75">
        <f t="shared" si="159"/>
        <v>0</v>
      </c>
      <c r="BP90" s="75">
        <f t="shared" si="159"/>
        <v>0</v>
      </c>
      <c r="BQ90" s="75">
        <f t="shared" si="159"/>
        <v>0</v>
      </c>
      <c r="BR90" s="75">
        <f t="shared" si="159"/>
        <v>0</v>
      </c>
      <c r="BS90" s="75">
        <f t="shared" si="159"/>
        <v>0</v>
      </c>
      <c r="BT90" s="75">
        <f t="shared" si="159"/>
        <v>0</v>
      </c>
      <c r="BU90" s="75">
        <f t="shared" ref="BU90:DB90" si="160">AVERAGE(BU87,BU89)</f>
        <v>0</v>
      </c>
      <c r="BV90" s="75">
        <f t="shared" si="160"/>
        <v>0</v>
      </c>
      <c r="BW90" s="75">
        <f t="shared" si="160"/>
        <v>0</v>
      </c>
      <c r="BX90" s="75">
        <f t="shared" si="160"/>
        <v>0</v>
      </c>
      <c r="BY90" s="75">
        <f t="shared" si="160"/>
        <v>0</v>
      </c>
      <c r="BZ90" s="75">
        <f t="shared" si="160"/>
        <v>0</v>
      </c>
      <c r="CA90" s="75">
        <f t="shared" si="160"/>
        <v>0</v>
      </c>
      <c r="CB90" s="75">
        <f t="shared" si="160"/>
        <v>0</v>
      </c>
      <c r="CC90" s="75">
        <f t="shared" si="160"/>
        <v>0</v>
      </c>
      <c r="CD90" s="75">
        <f t="shared" si="160"/>
        <v>0</v>
      </c>
      <c r="CE90" s="75">
        <f t="shared" si="160"/>
        <v>0</v>
      </c>
      <c r="CF90" s="75">
        <f t="shared" si="160"/>
        <v>0</v>
      </c>
      <c r="CG90" s="75">
        <f t="shared" si="160"/>
        <v>0</v>
      </c>
      <c r="CH90" s="75">
        <f t="shared" si="160"/>
        <v>0</v>
      </c>
      <c r="CI90" s="75">
        <f t="shared" si="160"/>
        <v>0</v>
      </c>
      <c r="CJ90" s="75">
        <f t="shared" si="160"/>
        <v>0</v>
      </c>
      <c r="CK90" s="75">
        <f t="shared" si="160"/>
        <v>0</v>
      </c>
      <c r="CL90" s="75">
        <f t="shared" si="160"/>
        <v>0</v>
      </c>
      <c r="CM90" s="75">
        <f t="shared" si="160"/>
        <v>0</v>
      </c>
      <c r="CN90" s="75">
        <f t="shared" si="160"/>
        <v>0</v>
      </c>
      <c r="CO90" s="75">
        <f t="shared" si="160"/>
        <v>0</v>
      </c>
      <c r="CP90" s="75">
        <f t="shared" si="160"/>
        <v>0</v>
      </c>
      <c r="CQ90" s="75">
        <f t="shared" si="160"/>
        <v>0</v>
      </c>
      <c r="CR90" s="75">
        <f t="shared" si="160"/>
        <v>0</v>
      </c>
      <c r="CS90" s="75">
        <f t="shared" si="160"/>
        <v>0</v>
      </c>
      <c r="CT90" s="75">
        <f t="shared" si="160"/>
        <v>0</v>
      </c>
      <c r="CU90" s="75">
        <f t="shared" si="160"/>
        <v>0</v>
      </c>
      <c r="CV90" s="75">
        <f t="shared" si="160"/>
        <v>0</v>
      </c>
      <c r="CW90" s="75">
        <f t="shared" si="160"/>
        <v>0</v>
      </c>
      <c r="CX90" s="75">
        <f t="shared" si="160"/>
        <v>0</v>
      </c>
      <c r="CY90" s="75">
        <f t="shared" si="160"/>
        <v>0</v>
      </c>
      <c r="CZ90" s="75">
        <f t="shared" si="160"/>
        <v>0</v>
      </c>
      <c r="DA90" s="75">
        <f t="shared" si="160"/>
        <v>0</v>
      </c>
      <c r="DB90" s="75">
        <f t="shared" si="160"/>
        <v>0</v>
      </c>
    </row>
    <row r="91" spans="3:106">
      <c r="D91" s="75" t="s">
        <v>343</v>
      </c>
      <c r="E91" s="278">
        <f>'A&amp;R'!I53</f>
        <v>6.4299999999999996E-2</v>
      </c>
      <c r="F91" s="75">
        <f>SUM(H91:DB91)</f>
        <v>1286</v>
      </c>
      <c r="G91" s="75"/>
      <c r="H91" s="75">
        <f>H$90*$E$91/12</f>
        <v>26.791666666666668</v>
      </c>
      <c r="I91" s="75">
        <f t="shared" ref="I91:BT91" si="161">I$90*$E$91/12</f>
        <v>53.583333333333336</v>
      </c>
      <c r="J91" s="75">
        <f t="shared" si="161"/>
        <v>53.583333333333336</v>
      </c>
      <c r="K91" s="75">
        <f t="shared" si="161"/>
        <v>53.583333333333336</v>
      </c>
      <c r="L91" s="75">
        <f t="shared" si="161"/>
        <v>53.583333333333336</v>
      </c>
      <c r="M91" s="75">
        <f t="shared" si="161"/>
        <v>53.583333333333336</v>
      </c>
      <c r="N91" s="75">
        <f t="shared" si="161"/>
        <v>53.583333333333336</v>
      </c>
      <c r="O91" s="75">
        <f t="shared" si="161"/>
        <v>53.583333333333336</v>
      </c>
      <c r="P91" s="75">
        <f t="shared" si="161"/>
        <v>53.583333333333336</v>
      </c>
      <c r="Q91" s="75">
        <f t="shared" si="161"/>
        <v>53.583333333333336</v>
      </c>
      <c r="R91" s="75">
        <f t="shared" si="161"/>
        <v>53.583333333333336</v>
      </c>
      <c r="S91" s="75">
        <f t="shared" si="161"/>
        <v>53.583333333333336</v>
      </c>
      <c r="T91" s="75">
        <f t="shared" si="161"/>
        <v>53.583333333333336</v>
      </c>
      <c r="U91" s="75">
        <f t="shared" si="161"/>
        <v>53.583333333333336</v>
      </c>
      <c r="V91" s="75">
        <f t="shared" si="161"/>
        <v>53.583333333333336</v>
      </c>
      <c r="W91" s="75">
        <f t="shared" si="161"/>
        <v>53.583333333333336</v>
      </c>
      <c r="X91" s="75">
        <f t="shared" si="161"/>
        <v>53.583333333333336</v>
      </c>
      <c r="Y91" s="75">
        <f t="shared" si="161"/>
        <v>53.583333333333336</v>
      </c>
      <c r="Z91" s="75">
        <f t="shared" si="161"/>
        <v>53.583333333333336</v>
      </c>
      <c r="AA91" s="75">
        <f t="shared" si="161"/>
        <v>53.583333333333336</v>
      </c>
      <c r="AB91" s="75">
        <f t="shared" si="161"/>
        <v>53.583333333333336</v>
      </c>
      <c r="AC91" s="75">
        <f t="shared" si="161"/>
        <v>53.583333333333336</v>
      </c>
      <c r="AD91" s="75">
        <f t="shared" si="161"/>
        <v>53.583333333333336</v>
      </c>
      <c r="AE91" s="75">
        <f t="shared" si="161"/>
        <v>53.583333333333336</v>
      </c>
      <c r="AF91" s="75">
        <f t="shared" si="161"/>
        <v>26.791666666666668</v>
      </c>
      <c r="AG91" s="75">
        <f t="shared" si="161"/>
        <v>0</v>
      </c>
      <c r="AH91" s="75">
        <f t="shared" si="161"/>
        <v>0</v>
      </c>
      <c r="AI91" s="75">
        <f t="shared" si="161"/>
        <v>0</v>
      </c>
      <c r="AJ91" s="75">
        <f t="shared" si="161"/>
        <v>0</v>
      </c>
      <c r="AK91" s="75">
        <f t="shared" si="161"/>
        <v>0</v>
      </c>
      <c r="AL91" s="75">
        <f t="shared" si="161"/>
        <v>0</v>
      </c>
      <c r="AM91" s="75">
        <f t="shared" si="161"/>
        <v>0</v>
      </c>
      <c r="AN91" s="75">
        <f t="shared" si="161"/>
        <v>0</v>
      </c>
      <c r="AO91" s="75">
        <f t="shared" si="161"/>
        <v>0</v>
      </c>
      <c r="AP91" s="75">
        <f t="shared" si="161"/>
        <v>0</v>
      </c>
      <c r="AQ91" s="75">
        <f t="shared" si="161"/>
        <v>0</v>
      </c>
      <c r="AR91" s="75">
        <f t="shared" si="161"/>
        <v>0</v>
      </c>
      <c r="AS91" s="75">
        <f t="shared" si="161"/>
        <v>0</v>
      </c>
      <c r="AT91" s="75">
        <f t="shared" si="161"/>
        <v>0</v>
      </c>
      <c r="AU91" s="75">
        <f t="shared" si="161"/>
        <v>0</v>
      </c>
      <c r="AV91" s="75">
        <f t="shared" si="161"/>
        <v>0</v>
      </c>
      <c r="AW91" s="75">
        <f t="shared" si="161"/>
        <v>0</v>
      </c>
      <c r="AX91" s="75">
        <f t="shared" si="161"/>
        <v>0</v>
      </c>
      <c r="AY91" s="75">
        <f t="shared" si="161"/>
        <v>0</v>
      </c>
      <c r="AZ91" s="75">
        <f t="shared" si="161"/>
        <v>0</v>
      </c>
      <c r="BA91" s="75">
        <f t="shared" si="161"/>
        <v>0</v>
      </c>
      <c r="BB91" s="75">
        <f t="shared" si="161"/>
        <v>0</v>
      </c>
      <c r="BC91" s="75">
        <f t="shared" si="161"/>
        <v>0</v>
      </c>
      <c r="BD91" s="75">
        <f t="shared" si="161"/>
        <v>0</v>
      </c>
      <c r="BE91" s="75">
        <f t="shared" si="161"/>
        <v>0</v>
      </c>
      <c r="BF91" s="75">
        <f t="shared" si="161"/>
        <v>0</v>
      </c>
      <c r="BG91" s="75">
        <f t="shared" si="161"/>
        <v>0</v>
      </c>
      <c r="BH91" s="75">
        <f t="shared" si="161"/>
        <v>0</v>
      </c>
      <c r="BI91" s="75">
        <f t="shared" si="161"/>
        <v>0</v>
      </c>
      <c r="BJ91" s="75">
        <f t="shared" si="161"/>
        <v>0</v>
      </c>
      <c r="BK91" s="75">
        <f t="shared" si="161"/>
        <v>0</v>
      </c>
      <c r="BL91" s="75">
        <f t="shared" si="161"/>
        <v>0</v>
      </c>
      <c r="BM91" s="75">
        <f t="shared" si="161"/>
        <v>0</v>
      </c>
      <c r="BN91" s="75">
        <f t="shared" si="161"/>
        <v>0</v>
      </c>
      <c r="BO91" s="75">
        <f t="shared" si="161"/>
        <v>0</v>
      </c>
      <c r="BP91" s="75">
        <f t="shared" si="161"/>
        <v>0</v>
      </c>
      <c r="BQ91" s="75">
        <f t="shared" si="161"/>
        <v>0</v>
      </c>
      <c r="BR91" s="75">
        <f t="shared" si="161"/>
        <v>0</v>
      </c>
      <c r="BS91" s="75">
        <f t="shared" si="161"/>
        <v>0</v>
      </c>
      <c r="BT91" s="75">
        <f t="shared" si="161"/>
        <v>0</v>
      </c>
      <c r="BU91" s="75">
        <f t="shared" ref="BU91:DB91" si="162">BU$90*$E$91/12</f>
        <v>0</v>
      </c>
      <c r="BV91" s="75">
        <f t="shared" si="162"/>
        <v>0</v>
      </c>
      <c r="BW91" s="75">
        <f t="shared" si="162"/>
        <v>0</v>
      </c>
      <c r="BX91" s="75">
        <f t="shared" si="162"/>
        <v>0</v>
      </c>
      <c r="BY91" s="75">
        <f t="shared" si="162"/>
        <v>0</v>
      </c>
      <c r="BZ91" s="75">
        <f t="shared" si="162"/>
        <v>0</v>
      </c>
      <c r="CA91" s="75">
        <f t="shared" si="162"/>
        <v>0</v>
      </c>
      <c r="CB91" s="75">
        <f t="shared" si="162"/>
        <v>0</v>
      </c>
      <c r="CC91" s="75">
        <f t="shared" si="162"/>
        <v>0</v>
      </c>
      <c r="CD91" s="75">
        <f t="shared" si="162"/>
        <v>0</v>
      </c>
      <c r="CE91" s="75">
        <f t="shared" si="162"/>
        <v>0</v>
      </c>
      <c r="CF91" s="75">
        <f t="shared" si="162"/>
        <v>0</v>
      </c>
      <c r="CG91" s="75">
        <f t="shared" si="162"/>
        <v>0</v>
      </c>
      <c r="CH91" s="75">
        <f t="shared" si="162"/>
        <v>0</v>
      </c>
      <c r="CI91" s="75">
        <f t="shared" si="162"/>
        <v>0</v>
      </c>
      <c r="CJ91" s="75">
        <f t="shared" si="162"/>
        <v>0</v>
      </c>
      <c r="CK91" s="75">
        <f t="shared" si="162"/>
        <v>0</v>
      </c>
      <c r="CL91" s="75">
        <f t="shared" si="162"/>
        <v>0</v>
      </c>
      <c r="CM91" s="75">
        <f t="shared" si="162"/>
        <v>0</v>
      </c>
      <c r="CN91" s="75">
        <f t="shared" si="162"/>
        <v>0</v>
      </c>
      <c r="CO91" s="75">
        <f t="shared" si="162"/>
        <v>0</v>
      </c>
      <c r="CP91" s="75">
        <f t="shared" si="162"/>
        <v>0</v>
      </c>
      <c r="CQ91" s="75">
        <f t="shared" si="162"/>
        <v>0</v>
      </c>
      <c r="CR91" s="75">
        <f t="shared" si="162"/>
        <v>0</v>
      </c>
      <c r="CS91" s="75">
        <f t="shared" si="162"/>
        <v>0</v>
      </c>
      <c r="CT91" s="75">
        <f t="shared" si="162"/>
        <v>0</v>
      </c>
      <c r="CU91" s="75">
        <f t="shared" si="162"/>
        <v>0</v>
      </c>
      <c r="CV91" s="75">
        <f t="shared" si="162"/>
        <v>0</v>
      </c>
      <c r="CW91" s="75">
        <f t="shared" si="162"/>
        <v>0</v>
      </c>
      <c r="CX91" s="75">
        <f t="shared" si="162"/>
        <v>0</v>
      </c>
      <c r="CY91" s="75">
        <f t="shared" si="162"/>
        <v>0</v>
      </c>
      <c r="CZ91" s="75">
        <f t="shared" si="162"/>
        <v>0</v>
      </c>
      <c r="DA91" s="75">
        <f t="shared" si="162"/>
        <v>0</v>
      </c>
      <c r="DB91" s="75">
        <f t="shared" si="162"/>
        <v>0</v>
      </c>
    </row>
    <row r="92" spans="3:106">
      <c r="D92" s="144" t="s">
        <v>344</v>
      </c>
      <c r="E92" s="144"/>
      <c r="F92" s="144">
        <f>SUM(H92:DB92)</f>
        <v>1286</v>
      </c>
      <c r="G92" s="144"/>
      <c r="H92" s="144">
        <f>(SUM($H$91:H$91)-SUM($G$92:G$92))*H$85</f>
        <v>0</v>
      </c>
      <c r="I92" s="144">
        <f>(SUM($H$91:I$91)-SUM($G$92:H$92))*I$85</f>
        <v>0</v>
      </c>
      <c r="J92" s="144">
        <f>(SUM($H$91:J$91)-SUM($G$92:I$92))*J$85</f>
        <v>0</v>
      </c>
      <c r="K92" s="144">
        <f>(SUM($H$91:K$91)-SUM($G$92:J$92))*K$85</f>
        <v>0</v>
      </c>
      <c r="L92" s="144">
        <f>(SUM($H$91:L$91)-SUM($G$92:K$92))*L$85</f>
        <v>0</v>
      </c>
      <c r="M92" s="144">
        <f>(SUM($H$91:M$91)-SUM($G$92:L$92))*M$85</f>
        <v>0</v>
      </c>
      <c r="N92" s="144">
        <f>(SUM($H$91:N$91)-SUM($G$92:M$92))*N$85</f>
        <v>348.29166666666669</v>
      </c>
      <c r="O92" s="144">
        <f>(SUM($H$91:O$91)-SUM($G$92:N$92))*O$85</f>
        <v>0</v>
      </c>
      <c r="P92" s="144">
        <f>(SUM($H$91:P$91)-SUM($G$92:O$92))*P$85</f>
        <v>0</v>
      </c>
      <c r="Q92" s="144">
        <f>(SUM($H$91:Q$91)-SUM($G$92:P$92))*Q$85</f>
        <v>0</v>
      </c>
      <c r="R92" s="144">
        <f>(SUM($H$91:R$91)-SUM($G$92:Q$92))*R$85</f>
        <v>0</v>
      </c>
      <c r="S92" s="144">
        <f>(SUM($H$91:S$91)-SUM($G$92:R$92))*S$85</f>
        <v>0</v>
      </c>
      <c r="T92" s="144">
        <f>(SUM($H$91:T$91)-SUM($G$92:S$92))*T$85</f>
        <v>321.50000000000006</v>
      </c>
      <c r="U92" s="144">
        <f>(SUM($H$91:U$91)-SUM($G$92:T$92))*U$85</f>
        <v>0</v>
      </c>
      <c r="V92" s="144">
        <f>(SUM($H$91:V$91)-SUM($G$92:U$92))*V$85</f>
        <v>0</v>
      </c>
      <c r="W92" s="144">
        <f>(SUM($H$91:W$91)-SUM($G$92:V$92))*W$85</f>
        <v>0</v>
      </c>
      <c r="X92" s="144">
        <f>(SUM($H$91:X$91)-SUM($G$92:W$92))*X$85</f>
        <v>0</v>
      </c>
      <c r="Y92" s="144">
        <f>(SUM($H$91:Y$91)-SUM($G$92:X$92))*Y$85</f>
        <v>0</v>
      </c>
      <c r="Z92" s="144">
        <f>(SUM($H$91:Z$91)-SUM($G$92:Y$92))*Z$85</f>
        <v>321.50000000000023</v>
      </c>
      <c r="AA92" s="144">
        <f>(SUM($H$91:AA$91)-SUM($G$92:Z$92))*AA$85</f>
        <v>0</v>
      </c>
      <c r="AB92" s="144">
        <f>(SUM($H$91:AB$91)-SUM($G$92:AA$92))*AB$85</f>
        <v>0</v>
      </c>
      <c r="AC92" s="144">
        <f>(SUM($H$91:AC$91)-SUM($G$92:AB$92))*AC$85</f>
        <v>0</v>
      </c>
      <c r="AD92" s="144">
        <f>(SUM($H$91:AD$91)-SUM($G$92:AC$92))*AD$85</f>
        <v>0</v>
      </c>
      <c r="AE92" s="144">
        <f>(SUM($H$91:AE$91)-SUM($G$92:AD$92))*AE$85</f>
        <v>0</v>
      </c>
      <c r="AF92" s="144">
        <f>(SUM($H$91:AF$91)-SUM($G$92:AE$92))*AF$85</f>
        <v>294.70833333333303</v>
      </c>
      <c r="AG92" s="144">
        <f>(SUM($H$91:AG$91)-SUM($G$92:AF$92))*AG$85</f>
        <v>0</v>
      </c>
      <c r="AH92" s="144">
        <f>(SUM($H$91:AH$91)-SUM($G$92:AG$92))*AH$85</f>
        <v>0</v>
      </c>
      <c r="AI92" s="144">
        <f>(SUM($H$91:AI$91)-SUM($G$92:AH$92))*AI$85</f>
        <v>0</v>
      </c>
      <c r="AJ92" s="144">
        <f>(SUM($H$91:AJ$91)-SUM($G$92:AI$92))*AJ$85</f>
        <v>0</v>
      </c>
      <c r="AK92" s="144">
        <f>(SUM($H$91:AK$91)-SUM($G$92:AJ$92))*AK$85</f>
        <v>0</v>
      </c>
      <c r="AL92" s="144">
        <f>(SUM($H$91:AL$91)-SUM($G$92:AK$92))*AL$85</f>
        <v>0</v>
      </c>
      <c r="AM92" s="144">
        <f>(SUM($H$91:AM$91)-SUM($G$92:AL$92))*AM$85</f>
        <v>0</v>
      </c>
      <c r="AN92" s="144">
        <f>(SUM($H$91:AN$91)-SUM($G$92:AM$92))*AN$85</f>
        <v>0</v>
      </c>
      <c r="AO92" s="144">
        <f>(SUM($H$91:AO$91)-SUM($G$92:AN$92))*AO$85</f>
        <v>0</v>
      </c>
      <c r="AP92" s="144">
        <f>(SUM($H$91:AP$91)-SUM($G$92:AO$92))*AP$85</f>
        <v>0</v>
      </c>
      <c r="AQ92" s="144">
        <f>(SUM($H$91:AQ$91)-SUM($G$92:AP$92))*AQ$85</f>
        <v>0</v>
      </c>
      <c r="AR92" s="144">
        <f>(SUM($H$91:AR$91)-SUM($G$92:AQ$92))*AR$85</f>
        <v>0</v>
      </c>
      <c r="AS92" s="144">
        <f>(SUM($H$91:AS$91)-SUM($G$92:AR$92))*AS$85</f>
        <v>0</v>
      </c>
      <c r="AT92" s="144">
        <f>(SUM($H$91:AT$91)-SUM($G$92:AS$92))*AT$85</f>
        <v>0</v>
      </c>
      <c r="AU92" s="144">
        <f>(SUM($H$91:AU$91)-SUM($G$92:AT$92))*AU$85</f>
        <v>0</v>
      </c>
      <c r="AV92" s="144">
        <f>(SUM($H$91:AV$91)-SUM($G$92:AU$92))*AV$85</f>
        <v>0</v>
      </c>
      <c r="AW92" s="144">
        <f>(SUM($H$91:AW$91)-SUM($G$92:AV$92))*AW$85</f>
        <v>0</v>
      </c>
      <c r="AX92" s="144">
        <f>(SUM($H$91:AX$91)-SUM($G$92:AW$92))*AX$85</f>
        <v>0</v>
      </c>
      <c r="AY92" s="144">
        <f>(SUM($H$91:AY$91)-SUM($G$92:AX$92))*AY$85</f>
        <v>0</v>
      </c>
      <c r="AZ92" s="144">
        <f>(SUM($H$91:AZ$91)-SUM($G$92:AY$92))*AZ$85</f>
        <v>0</v>
      </c>
      <c r="BA92" s="144">
        <f>(SUM($H$91:BA$91)-SUM($G$92:AZ$92))*BA$85</f>
        <v>0</v>
      </c>
      <c r="BB92" s="144">
        <f>(SUM($H$91:BB$91)-SUM($G$92:BA$92))*BB$85</f>
        <v>0</v>
      </c>
      <c r="BC92" s="144">
        <f>(SUM($H$91:BC$91)-SUM($G$92:BB$92))*BC$85</f>
        <v>0</v>
      </c>
      <c r="BD92" s="144">
        <f>(SUM($H$91:BD$91)-SUM($G$92:BC$92))*BD$85</f>
        <v>0</v>
      </c>
      <c r="BE92" s="144">
        <f>(SUM($H$91:BE$91)-SUM($G$92:BD$92))*BE$85</f>
        <v>0</v>
      </c>
      <c r="BF92" s="144">
        <f>(SUM($H$91:BF$91)-SUM($G$92:BE$92))*BF$85</f>
        <v>0</v>
      </c>
      <c r="BG92" s="144">
        <f>(SUM($H$91:BG$91)-SUM($G$92:BF$92))*BG$85</f>
        <v>0</v>
      </c>
      <c r="BH92" s="144">
        <f>(SUM($H$91:BH$91)-SUM($G$92:BG$92))*BH$85</f>
        <v>0</v>
      </c>
      <c r="BI92" s="144">
        <f>(SUM($H$91:BI$91)-SUM($G$92:BH$92))*BI$85</f>
        <v>0</v>
      </c>
      <c r="BJ92" s="144">
        <f>(SUM($H$91:BJ$91)-SUM($G$92:BI$92))*BJ$85</f>
        <v>0</v>
      </c>
      <c r="BK92" s="144">
        <f>(SUM($H$91:BK$91)-SUM($G$92:BJ$92))*BK$85</f>
        <v>0</v>
      </c>
      <c r="BL92" s="144">
        <f>(SUM($H$91:BL$91)-SUM($G$92:BK$92))*BL$85</f>
        <v>0</v>
      </c>
      <c r="BM92" s="144">
        <f>(SUM($H$91:BM$91)-SUM($G$92:BL$92))*BM$85</f>
        <v>0</v>
      </c>
      <c r="BN92" s="144">
        <f>(SUM($H$91:BN$91)-SUM($G$92:BM$92))*BN$85</f>
        <v>0</v>
      </c>
      <c r="BO92" s="144">
        <f>(SUM($H$91:BO$91)-SUM($G$92:BN$92))*BO$85</f>
        <v>0</v>
      </c>
      <c r="BP92" s="144">
        <f>(SUM($H$91:BP$91)-SUM($G$92:BO$92))*BP$85</f>
        <v>0</v>
      </c>
      <c r="BQ92" s="144">
        <f>(SUM($H$91:BQ$91)-SUM($G$92:BP$92))*BQ$85</f>
        <v>0</v>
      </c>
      <c r="BR92" s="144">
        <f>(SUM($H$91:BR$91)-SUM($G$92:BQ$92))*BR$85</f>
        <v>0</v>
      </c>
      <c r="BS92" s="144">
        <f>(SUM($H$91:BS$91)-SUM($G$92:BR$92))*BS$85</f>
        <v>0</v>
      </c>
      <c r="BT92" s="144">
        <f>(SUM($H$91:BT$91)-SUM($G$92:BS$92))*BT$85</f>
        <v>0</v>
      </c>
      <c r="BU92" s="144">
        <f>(SUM($H$91:BU$91)-SUM($G$92:BT$92))*BU$85</f>
        <v>0</v>
      </c>
      <c r="BV92" s="144">
        <f>(SUM($H$91:BV$91)-SUM($G$92:BU$92))*BV$85</f>
        <v>0</v>
      </c>
      <c r="BW92" s="144">
        <f>(SUM($H$91:BW$91)-SUM($G$92:BV$92))*BW$85</f>
        <v>0</v>
      </c>
      <c r="BX92" s="144">
        <f>(SUM($H$91:BX$91)-SUM($G$92:BW$92))*BX$85</f>
        <v>0</v>
      </c>
      <c r="BY92" s="144">
        <f>(SUM($H$91:BY$91)-SUM($G$92:BX$92))*BY$85</f>
        <v>0</v>
      </c>
      <c r="BZ92" s="144">
        <f>(SUM($H$91:BZ$91)-SUM($G$92:BY$92))*BZ$85</f>
        <v>0</v>
      </c>
      <c r="CA92" s="144">
        <f>(SUM($H$91:CA$91)-SUM($G$92:BZ$92))*CA$85</f>
        <v>0</v>
      </c>
      <c r="CB92" s="144">
        <f>(SUM($H$91:CB$91)-SUM($G$92:CA$92))*CB$85</f>
        <v>0</v>
      </c>
      <c r="CC92" s="144">
        <f>(SUM($H$91:CC$91)-SUM($G$92:CB$92))*CC$85</f>
        <v>0</v>
      </c>
      <c r="CD92" s="144">
        <f>(SUM($H$91:CD$91)-SUM($G$92:CC$92))*CD$85</f>
        <v>0</v>
      </c>
      <c r="CE92" s="144">
        <f>(SUM($H$91:CE$91)-SUM($G$92:CD$92))*CE$85</f>
        <v>0</v>
      </c>
      <c r="CF92" s="144">
        <f>(SUM($H$91:CF$91)-SUM($G$92:CE$92))*CF$85</f>
        <v>0</v>
      </c>
      <c r="CG92" s="144">
        <f>(SUM($H$91:CG$91)-SUM($G$92:CF$92))*CG$85</f>
        <v>0</v>
      </c>
      <c r="CH92" s="144">
        <f>(SUM($H$91:CH$91)-SUM($G$92:CG$92))*CH$85</f>
        <v>0</v>
      </c>
      <c r="CI92" s="144">
        <f>(SUM($H$91:CI$91)-SUM($G$92:CH$92))*CI$85</f>
        <v>0</v>
      </c>
      <c r="CJ92" s="144">
        <f>(SUM($H$91:CJ$91)-SUM($G$92:CI$92))*CJ$85</f>
        <v>0</v>
      </c>
      <c r="CK92" s="144">
        <f>(SUM($H$91:CK$91)-SUM($G$92:CJ$92))*CK$85</f>
        <v>0</v>
      </c>
      <c r="CL92" s="144">
        <f>(SUM($H$91:CL$91)-SUM($G$92:CK$92))*CL$85</f>
        <v>0</v>
      </c>
      <c r="CM92" s="144">
        <f>(SUM($H$91:CM$91)-SUM($G$92:CL$92))*CM$85</f>
        <v>0</v>
      </c>
      <c r="CN92" s="144">
        <f>(SUM($H$91:CN$91)-SUM($G$92:CM$92))*CN$85</f>
        <v>0</v>
      </c>
      <c r="CO92" s="144">
        <f>(SUM($H$91:CO$91)-SUM($G$92:CN$92))*CO$85</f>
        <v>0</v>
      </c>
      <c r="CP92" s="144">
        <f>(SUM($H$91:CP$91)-SUM($G$92:CO$92))*CP$85</f>
        <v>0</v>
      </c>
      <c r="CQ92" s="144">
        <f>(SUM($H$91:CQ$91)-SUM($G$92:CP$92))*CQ$85</f>
        <v>0</v>
      </c>
      <c r="CR92" s="144">
        <f>(SUM($H$91:CR$91)-SUM($G$92:CQ$92))*CR$85</f>
        <v>0</v>
      </c>
      <c r="CS92" s="144">
        <f>(SUM($H$91:CS$91)-SUM($G$92:CR$92))*CS$85</f>
        <v>0</v>
      </c>
      <c r="CT92" s="144">
        <f>(SUM($H$91:CT$91)-SUM($G$92:CS$92))*CT$85</f>
        <v>0</v>
      </c>
      <c r="CU92" s="144">
        <f>(SUM($H$91:CU$91)-SUM($G$92:CT$92))*CU$85</f>
        <v>0</v>
      </c>
      <c r="CV92" s="144">
        <f>(SUM($H$91:CV$91)-SUM($G$92:CU$92))*CV$85</f>
        <v>0</v>
      </c>
      <c r="CW92" s="144">
        <f>(SUM($H$91:CW$91)-SUM($G$92:CV$92))*CW$85</f>
        <v>0</v>
      </c>
      <c r="CX92" s="144">
        <f>(SUM($H$91:CX$91)-SUM($G$92:CW$92))*CX$85</f>
        <v>0</v>
      </c>
      <c r="CY92" s="144">
        <f>(SUM($H$91:CY$91)-SUM($G$92:CX$92))*CY$85</f>
        <v>0</v>
      </c>
      <c r="CZ92" s="144">
        <f>(SUM($H$91:CZ$91)-SUM($G$92:CY$92))*CZ$85</f>
        <v>0</v>
      </c>
      <c r="DA92" s="144">
        <f>(SUM($H$91:DA$91)-SUM($G$92:CZ$92))*DA$85</f>
        <v>0</v>
      </c>
      <c r="DB92" s="144">
        <f>(SUM($H$91:DB$91)-SUM($G$92:DA$92))*DB$85</f>
        <v>0</v>
      </c>
    </row>
    <row r="94" spans="3:106">
      <c r="C94" s="13" t="s">
        <v>346</v>
      </c>
    </row>
    <row r="95" spans="3:106" hidden="1" outlineLevel="1">
      <c r="E95" s="272" t="s">
        <v>148</v>
      </c>
      <c r="F95" s="273">
        <f>'A&amp;R'!F58</f>
        <v>46783</v>
      </c>
    </row>
    <row r="96" spans="3:106" hidden="1" outlineLevel="1">
      <c r="E96" s="274" t="s">
        <v>149</v>
      </c>
      <c r="F96" s="275">
        <f>'A&amp;R'!G58</f>
        <v>47514</v>
      </c>
    </row>
    <row r="97" spans="3:106" hidden="1" outlineLevel="1">
      <c r="E97" s="276" t="s">
        <v>152</v>
      </c>
      <c r="F97" s="277">
        <f>'A&amp;R'!K58</f>
        <v>6</v>
      </c>
    </row>
    <row r="98" spans="3:106" s="63" customFormat="1" hidden="1" outlineLevel="1">
      <c r="F98" s="63" t="s">
        <v>338</v>
      </c>
      <c r="H98" s="63">
        <f t="shared" ref="H98:AM98" si="163">(H$14&gt;=$F$95)*(H$14&lt;=$F$96)*1</f>
        <v>0</v>
      </c>
      <c r="I98" s="63">
        <f t="shared" si="163"/>
        <v>0</v>
      </c>
      <c r="J98" s="63">
        <f t="shared" si="163"/>
        <v>0</v>
      </c>
      <c r="K98" s="63">
        <f t="shared" si="163"/>
        <v>0</v>
      </c>
      <c r="L98" s="63">
        <f t="shared" si="163"/>
        <v>0</v>
      </c>
      <c r="M98" s="63">
        <f t="shared" si="163"/>
        <v>0</v>
      </c>
      <c r="N98" s="63">
        <f t="shared" si="163"/>
        <v>0</v>
      </c>
      <c r="O98" s="63">
        <f t="shared" si="163"/>
        <v>0</v>
      </c>
      <c r="P98" s="63">
        <f t="shared" si="163"/>
        <v>0</v>
      </c>
      <c r="Q98" s="63">
        <f t="shared" si="163"/>
        <v>0</v>
      </c>
      <c r="R98" s="63">
        <f t="shared" si="163"/>
        <v>0</v>
      </c>
      <c r="S98" s="63">
        <f t="shared" si="163"/>
        <v>0</v>
      </c>
      <c r="T98" s="63">
        <f t="shared" si="163"/>
        <v>0</v>
      </c>
      <c r="U98" s="63">
        <f t="shared" si="163"/>
        <v>0</v>
      </c>
      <c r="V98" s="63">
        <f t="shared" si="163"/>
        <v>0</v>
      </c>
      <c r="W98" s="63">
        <f t="shared" si="163"/>
        <v>0</v>
      </c>
      <c r="X98" s="63">
        <f t="shared" si="163"/>
        <v>0</v>
      </c>
      <c r="Y98" s="63">
        <f t="shared" si="163"/>
        <v>0</v>
      </c>
      <c r="Z98" s="63">
        <f t="shared" si="163"/>
        <v>0</v>
      </c>
      <c r="AA98" s="63">
        <f t="shared" si="163"/>
        <v>0</v>
      </c>
      <c r="AB98" s="63">
        <f t="shared" si="163"/>
        <v>0</v>
      </c>
      <c r="AC98" s="63">
        <f t="shared" si="163"/>
        <v>0</v>
      </c>
      <c r="AD98" s="63">
        <f t="shared" si="163"/>
        <v>0</v>
      </c>
      <c r="AE98" s="63">
        <f t="shared" si="163"/>
        <v>0</v>
      </c>
      <c r="AF98" s="63">
        <f t="shared" si="163"/>
        <v>0</v>
      </c>
      <c r="AG98" s="63">
        <f t="shared" si="163"/>
        <v>0</v>
      </c>
      <c r="AH98" s="63">
        <f t="shared" si="163"/>
        <v>0</v>
      </c>
      <c r="AI98" s="63">
        <f t="shared" si="163"/>
        <v>0</v>
      </c>
      <c r="AJ98" s="63">
        <f t="shared" si="163"/>
        <v>0</v>
      </c>
      <c r="AK98" s="63">
        <f t="shared" si="163"/>
        <v>0</v>
      </c>
      <c r="AL98" s="63">
        <f t="shared" si="163"/>
        <v>0</v>
      </c>
      <c r="AM98" s="63">
        <f t="shared" si="163"/>
        <v>0</v>
      </c>
      <c r="AN98" s="63">
        <f t="shared" ref="AN98:BS98" si="164">(AN$14&gt;=$F$95)*(AN$14&lt;=$F$96)*1</f>
        <v>0</v>
      </c>
      <c r="AO98" s="63">
        <f t="shared" si="164"/>
        <v>0</v>
      </c>
      <c r="AP98" s="63">
        <f t="shared" si="164"/>
        <v>0</v>
      </c>
      <c r="AQ98" s="63">
        <f t="shared" si="164"/>
        <v>0</v>
      </c>
      <c r="AR98" s="63">
        <f t="shared" si="164"/>
        <v>1</v>
      </c>
      <c r="AS98" s="63">
        <f t="shared" si="164"/>
        <v>1</v>
      </c>
      <c r="AT98" s="63">
        <f t="shared" si="164"/>
        <v>1</v>
      </c>
      <c r="AU98" s="63">
        <f t="shared" si="164"/>
        <v>1</v>
      </c>
      <c r="AV98" s="63">
        <f t="shared" si="164"/>
        <v>1</v>
      </c>
      <c r="AW98" s="63">
        <f t="shared" si="164"/>
        <v>1</v>
      </c>
      <c r="AX98" s="63">
        <f t="shared" si="164"/>
        <v>1</v>
      </c>
      <c r="AY98" s="63">
        <f t="shared" si="164"/>
        <v>1</v>
      </c>
      <c r="AZ98" s="63">
        <f t="shared" si="164"/>
        <v>1</v>
      </c>
      <c r="BA98" s="63">
        <f t="shared" si="164"/>
        <v>1</v>
      </c>
      <c r="BB98" s="63">
        <f t="shared" si="164"/>
        <v>1</v>
      </c>
      <c r="BC98" s="63">
        <f t="shared" si="164"/>
        <v>1</v>
      </c>
      <c r="BD98" s="63">
        <f t="shared" si="164"/>
        <v>1</v>
      </c>
      <c r="BE98" s="63">
        <f t="shared" si="164"/>
        <v>1</v>
      </c>
      <c r="BF98" s="63">
        <f t="shared" si="164"/>
        <v>1</v>
      </c>
      <c r="BG98" s="63">
        <f t="shared" si="164"/>
        <v>1</v>
      </c>
      <c r="BH98" s="63">
        <f t="shared" si="164"/>
        <v>1</v>
      </c>
      <c r="BI98" s="63">
        <f t="shared" si="164"/>
        <v>1</v>
      </c>
      <c r="BJ98" s="63">
        <f t="shared" si="164"/>
        <v>1</v>
      </c>
      <c r="BK98" s="63">
        <f t="shared" si="164"/>
        <v>1</v>
      </c>
      <c r="BL98" s="63">
        <f t="shared" si="164"/>
        <v>1</v>
      </c>
      <c r="BM98" s="63">
        <f t="shared" si="164"/>
        <v>1</v>
      </c>
      <c r="BN98" s="63">
        <f t="shared" si="164"/>
        <v>1</v>
      </c>
      <c r="BO98" s="63">
        <f t="shared" si="164"/>
        <v>1</v>
      </c>
      <c r="BP98" s="63">
        <f t="shared" si="164"/>
        <v>1</v>
      </c>
      <c r="BQ98" s="63">
        <f t="shared" si="164"/>
        <v>0</v>
      </c>
      <c r="BR98" s="63">
        <f t="shared" si="164"/>
        <v>0</v>
      </c>
      <c r="BS98" s="63">
        <f t="shared" si="164"/>
        <v>0</v>
      </c>
      <c r="BT98" s="63">
        <f t="shared" ref="BT98:DB98" si="165">(BT$14&gt;=$F$95)*(BT$14&lt;=$F$96)*1</f>
        <v>0</v>
      </c>
      <c r="BU98" s="63">
        <f t="shared" si="165"/>
        <v>0</v>
      </c>
      <c r="BV98" s="63">
        <f t="shared" si="165"/>
        <v>0</v>
      </c>
      <c r="BW98" s="63">
        <f t="shared" si="165"/>
        <v>0</v>
      </c>
      <c r="BX98" s="63">
        <f t="shared" si="165"/>
        <v>0</v>
      </c>
      <c r="BY98" s="63">
        <f t="shared" si="165"/>
        <v>0</v>
      </c>
      <c r="BZ98" s="63">
        <f t="shared" si="165"/>
        <v>0</v>
      </c>
      <c r="CA98" s="63">
        <f t="shared" si="165"/>
        <v>0</v>
      </c>
      <c r="CB98" s="63">
        <f t="shared" si="165"/>
        <v>0</v>
      </c>
      <c r="CC98" s="63">
        <f t="shared" si="165"/>
        <v>0</v>
      </c>
      <c r="CD98" s="63">
        <f t="shared" si="165"/>
        <v>0</v>
      </c>
      <c r="CE98" s="63">
        <f t="shared" si="165"/>
        <v>0</v>
      </c>
      <c r="CF98" s="63">
        <f t="shared" si="165"/>
        <v>0</v>
      </c>
      <c r="CG98" s="63">
        <f t="shared" si="165"/>
        <v>0</v>
      </c>
      <c r="CH98" s="63">
        <f t="shared" si="165"/>
        <v>0</v>
      </c>
      <c r="CI98" s="63">
        <f t="shared" si="165"/>
        <v>0</v>
      </c>
      <c r="CJ98" s="63">
        <f t="shared" si="165"/>
        <v>0</v>
      </c>
      <c r="CK98" s="63">
        <f t="shared" si="165"/>
        <v>0</v>
      </c>
      <c r="CL98" s="63">
        <f t="shared" si="165"/>
        <v>0</v>
      </c>
      <c r="CM98" s="63">
        <f t="shared" si="165"/>
        <v>0</v>
      </c>
      <c r="CN98" s="63">
        <f t="shared" si="165"/>
        <v>0</v>
      </c>
      <c r="CO98" s="63">
        <f t="shared" si="165"/>
        <v>0</v>
      </c>
      <c r="CP98" s="63">
        <f t="shared" si="165"/>
        <v>0</v>
      </c>
      <c r="CQ98" s="63">
        <f t="shared" si="165"/>
        <v>0</v>
      </c>
      <c r="CR98" s="63">
        <f t="shared" si="165"/>
        <v>0</v>
      </c>
      <c r="CS98" s="63">
        <f t="shared" si="165"/>
        <v>0</v>
      </c>
      <c r="CT98" s="63">
        <f t="shared" si="165"/>
        <v>0</v>
      </c>
      <c r="CU98" s="63">
        <f t="shared" si="165"/>
        <v>0</v>
      </c>
      <c r="CV98" s="63">
        <f t="shared" si="165"/>
        <v>0</v>
      </c>
      <c r="CW98" s="63">
        <f t="shared" si="165"/>
        <v>0</v>
      </c>
      <c r="CX98" s="63">
        <f t="shared" si="165"/>
        <v>0</v>
      </c>
      <c r="CY98" s="63">
        <f t="shared" si="165"/>
        <v>0</v>
      </c>
      <c r="CZ98" s="63">
        <f t="shared" si="165"/>
        <v>0</v>
      </c>
      <c r="DA98" s="63">
        <f t="shared" si="165"/>
        <v>0</v>
      </c>
      <c r="DB98" s="63">
        <f t="shared" si="165"/>
        <v>0</v>
      </c>
    </row>
    <row r="99" spans="3:106" s="63" customFormat="1" hidden="1" outlineLevel="1">
      <c r="F99" s="63" t="s">
        <v>339</v>
      </c>
      <c r="H99" s="63">
        <f>SUM($H$98:H$98)*H$98</f>
        <v>0</v>
      </c>
      <c r="I99" s="63">
        <f>SUM($H$98:I$98)*I$98</f>
        <v>0</v>
      </c>
      <c r="J99" s="63">
        <f>SUM($H$98:J$98)*J$98</f>
        <v>0</v>
      </c>
      <c r="K99" s="63">
        <f>SUM($H$98:K$98)*K$98</f>
        <v>0</v>
      </c>
      <c r="L99" s="63">
        <f>SUM($H$98:L$98)*L$98</f>
        <v>0</v>
      </c>
      <c r="M99" s="63">
        <f>SUM($H$98:M$98)*M$98</f>
        <v>0</v>
      </c>
      <c r="N99" s="63">
        <f>SUM($H$98:N$98)*N$98</f>
        <v>0</v>
      </c>
      <c r="O99" s="63">
        <f>SUM($H$98:O$98)*O$98</f>
        <v>0</v>
      </c>
      <c r="P99" s="63">
        <f>SUM($H$98:P$98)*P$98</f>
        <v>0</v>
      </c>
      <c r="Q99" s="63">
        <f>SUM($H$98:Q$98)*Q$98</f>
        <v>0</v>
      </c>
      <c r="R99" s="63">
        <f>SUM($H$98:R$98)*R$98</f>
        <v>0</v>
      </c>
      <c r="S99" s="63">
        <f>SUM($H$98:S$98)*S$98</f>
        <v>0</v>
      </c>
      <c r="T99" s="63">
        <f>SUM($H$98:T$98)*T$98</f>
        <v>0</v>
      </c>
      <c r="U99" s="63">
        <f>SUM($H$98:U$98)*U$98</f>
        <v>0</v>
      </c>
      <c r="V99" s="63">
        <f>SUM($H$98:V$98)*V$98</f>
        <v>0</v>
      </c>
      <c r="W99" s="63">
        <f>SUM($H$98:W$98)*W$98</f>
        <v>0</v>
      </c>
      <c r="X99" s="63">
        <f>SUM($H$98:X$98)*X$98</f>
        <v>0</v>
      </c>
      <c r="Y99" s="63">
        <f>SUM($H$98:Y$98)*Y$98</f>
        <v>0</v>
      </c>
      <c r="Z99" s="63">
        <f>SUM($H$98:Z$98)*Z$98</f>
        <v>0</v>
      </c>
      <c r="AA99" s="63">
        <f>SUM($H$98:AA$98)*AA$98</f>
        <v>0</v>
      </c>
      <c r="AB99" s="63">
        <f>SUM($H$98:AB$98)*AB$98</f>
        <v>0</v>
      </c>
      <c r="AC99" s="63">
        <f>SUM($H$98:AC$98)*AC$98</f>
        <v>0</v>
      </c>
      <c r="AD99" s="63">
        <f>SUM($H$98:AD$98)*AD$98</f>
        <v>0</v>
      </c>
      <c r="AE99" s="63">
        <f>SUM($H$98:AE$98)*AE$98</f>
        <v>0</v>
      </c>
      <c r="AF99" s="63">
        <f>SUM($H$98:AF$98)*AF$98</f>
        <v>0</v>
      </c>
      <c r="AG99" s="63">
        <f>SUM($H$98:AG$98)*AG$98</f>
        <v>0</v>
      </c>
      <c r="AH99" s="63">
        <f>SUM($H$98:AH$98)*AH$98</f>
        <v>0</v>
      </c>
      <c r="AI99" s="63">
        <f>SUM($H$98:AI$98)*AI$98</f>
        <v>0</v>
      </c>
      <c r="AJ99" s="63">
        <f>SUM($H$98:AJ$98)*AJ$98</f>
        <v>0</v>
      </c>
      <c r="AK99" s="63">
        <f>SUM($H$98:AK$98)*AK$98</f>
        <v>0</v>
      </c>
      <c r="AL99" s="63">
        <f>SUM($H$98:AL$98)*AL$98</f>
        <v>0</v>
      </c>
      <c r="AM99" s="63">
        <f>SUM($H$98:AM$98)*AM$98</f>
        <v>0</v>
      </c>
      <c r="AN99" s="63">
        <f>SUM($H$98:AN$98)*AN$98</f>
        <v>0</v>
      </c>
      <c r="AO99" s="63">
        <f>SUM($H$98:AO$98)*AO$98</f>
        <v>0</v>
      </c>
      <c r="AP99" s="63">
        <f>SUM($H$98:AP$98)*AP$98</f>
        <v>0</v>
      </c>
      <c r="AQ99" s="63">
        <f>SUM($H$98:AQ$98)*AQ$98</f>
        <v>0</v>
      </c>
      <c r="AR99" s="63">
        <f>SUM($H$98:AR$98)*AR$98</f>
        <v>1</v>
      </c>
      <c r="AS99" s="63">
        <f>SUM($H$98:AS$98)*AS$98</f>
        <v>2</v>
      </c>
      <c r="AT99" s="63">
        <f>SUM($H$98:AT$98)*AT$98</f>
        <v>3</v>
      </c>
      <c r="AU99" s="63">
        <f>SUM($H$98:AU$98)*AU$98</f>
        <v>4</v>
      </c>
      <c r="AV99" s="63">
        <f>SUM($H$98:AV$98)*AV$98</f>
        <v>5</v>
      </c>
      <c r="AW99" s="63">
        <f>SUM($H$98:AW$98)*AW$98</f>
        <v>6</v>
      </c>
      <c r="AX99" s="63">
        <f>SUM($H$98:AX$98)*AX$98</f>
        <v>7</v>
      </c>
      <c r="AY99" s="63">
        <f>SUM($H$98:AY$98)*AY$98</f>
        <v>8</v>
      </c>
      <c r="AZ99" s="63">
        <f>SUM($H$98:AZ$98)*AZ$98</f>
        <v>9</v>
      </c>
      <c r="BA99" s="63">
        <f>SUM($H$98:BA$98)*BA$98</f>
        <v>10</v>
      </c>
      <c r="BB99" s="63">
        <f>SUM($H$98:BB$98)*BB$98</f>
        <v>11</v>
      </c>
      <c r="BC99" s="63">
        <f>SUM($H$98:BC$98)*BC$98</f>
        <v>12</v>
      </c>
      <c r="BD99" s="63">
        <f>SUM($H$98:BD$98)*BD$98</f>
        <v>13</v>
      </c>
      <c r="BE99" s="63">
        <f>SUM($H$98:BE$98)*BE$98</f>
        <v>14</v>
      </c>
      <c r="BF99" s="63">
        <f>SUM($H$98:BF$98)*BF$98</f>
        <v>15</v>
      </c>
      <c r="BG99" s="63">
        <f>SUM($H$98:BG$98)*BG$98</f>
        <v>16</v>
      </c>
      <c r="BH99" s="63">
        <f>SUM($H$98:BH$98)*BH$98</f>
        <v>17</v>
      </c>
      <c r="BI99" s="63">
        <f>SUM($H$98:BI$98)*BI$98</f>
        <v>18</v>
      </c>
      <c r="BJ99" s="63">
        <f>SUM($H$98:BJ$98)*BJ$98</f>
        <v>19</v>
      </c>
      <c r="BK99" s="63">
        <f>SUM($H$98:BK$98)*BK$98</f>
        <v>20</v>
      </c>
      <c r="BL99" s="63">
        <f>SUM($H$98:BL$98)*BL$98</f>
        <v>21</v>
      </c>
      <c r="BM99" s="63">
        <f>SUM($H$98:BM$98)*BM$98</f>
        <v>22</v>
      </c>
      <c r="BN99" s="63">
        <f>SUM($H$98:BN$98)*BN$98</f>
        <v>23</v>
      </c>
      <c r="BO99" s="63">
        <f>SUM($H$98:BO$98)*BO$98</f>
        <v>24</v>
      </c>
      <c r="BP99" s="63">
        <f>SUM($H$98:BP$98)*BP$98</f>
        <v>25</v>
      </c>
      <c r="BQ99" s="63">
        <f>SUM($H$98:BQ$98)*BQ$98</f>
        <v>0</v>
      </c>
      <c r="BR99" s="63">
        <f>SUM($H$98:BR$98)*BR$98</f>
        <v>0</v>
      </c>
      <c r="BS99" s="63">
        <f>SUM($H$98:BS$98)*BS$98</f>
        <v>0</v>
      </c>
      <c r="BT99" s="63">
        <f>SUM($H$98:BT$98)*BT$98</f>
        <v>0</v>
      </c>
      <c r="BU99" s="63">
        <f>SUM($H$98:BU$98)*BU$98</f>
        <v>0</v>
      </c>
      <c r="BV99" s="63">
        <f>SUM($H$98:BV$98)*BV$98</f>
        <v>0</v>
      </c>
      <c r="BW99" s="63">
        <f>SUM($H$98:BW$98)*BW$98</f>
        <v>0</v>
      </c>
      <c r="BX99" s="63">
        <f>SUM($H$98:BX$98)*BX$98</f>
        <v>0</v>
      </c>
      <c r="BY99" s="63">
        <f>SUM($H$98:BY$98)*BY$98</f>
        <v>0</v>
      </c>
      <c r="BZ99" s="63">
        <f>SUM($H$98:BZ$98)*BZ$98</f>
        <v>0</v>
      </c>
      <c r="CA99" s="63">
        <f>SUM($H$98:CA$98)*CA$98</f>
        <v>0</v>
      </c>
      <c r="CB99" s="63">
        <f>SUM($H$98:CB$98)*CB$98</f>
        <v>0</v>
      </c>
      <c r="CC99" s="63">
        <f>SUM($H$98:CC$98)*CC$98</f>
        <v>0</v>
      </c>
      <c r="CD99" s="63">
        <f>SUM($H$98:CD$98)*CD$98</f>
        <v>0</v>
      </c>
      <c r="CE99" s="63">
        <f>SUM($H$98:CE$98)*CE$98</f>
        <v>0</v>
      </c>
      <c r="CF99" s="63">
        <f>SUM($H$98:CF$98)*CF$98</f>
        <v>0</v>
      </c>
      <c r="CG99" s="63">
        <f>SUM($H$98:CG$98)*CG$98</f>
        <v>0</v>
      </c>
      <c r="CH99" s="63">
        <f>SUM($H$98:CH$98)*CH$98</f>
        <v>0</v>
      </c>
      <c r="CI99" s="63">
        <f>SUM($H$98:CI$98)*CI$98</f>
        <v>0</v>
      </c>
      <c r="CJ99" s="63">
        <f>SUM($H$98:CJ$98)*CJ$98</f>
        <v>0</v>
      </c>
      <c r="CK99" s="63">
        <f>SUM($H$98:CK$98)*CK$98</f>
        <v>0</v>
      </c>
      <c r="CL99" s="63">
        <f>SUM($H$98:CL$98)*CL$98</f>
        <v>0</v>
      </c>
      <c r="CM99" s="63">
        <f>SUM($H$98:CM$98)*CM$98</f>
        <v>0</v>
      </c>
      <c r="CN99" s="63">
        <f>SUM($H$98:CN$98)*CN$98</f>
        <v>0</v>
      </c>
      <c r="CO99" s="63">
        <f>SUM($H$98:CO$98)*CO$98</f>
        <v>0</v>
      </c>
      <c r="CP99" s="63">
        <f>SUM($H$98:CP$98)*CP$98</f>
        <v>0</v>
      </c>
      <c r="CQ99" s="63">
        <f>SUM($H$98:CQ$98)*CQ$98</f>
        <v>0</v>
      </c>
      <c r="CR99" s="63">
        <f>SUM($H$98:CR$98)*CR$98</f>
        <v>0</v>
      </c>
      <c r="CS99" s="63">
        <f>SUM($H$98:CS$98)*CS$98</f>
        <v>0</v>
      </c>
      <c r="CT99" s="63">
        <f>SUM($H$98:CT$98)*CT$98</f>
        <v>0</v>
      </c>
      <c r="CU99" s="63">
        <f>SUM($H$98:CU$98)*CU$98</f>
        <v>0</v>
      </c>
      <c r="CV99" s="63">
        <f>SUM($H$98:CV$98)*CV$98</f>
        <v>0</v>
      </c>
      <c r="CW99" s="63">
        <f>SUM($H$98:CW$98)*CW$98</f>
        <v>0</v>
      </c>
      <c r="CX99" s="63">
        <f>SUM($H$98:CX$98)*CX$98</f>
        <v>0</v>
      </c>
      <c r="CY99" s="63">
        <f>SUM($H$98:CY$98)*CY$98</f>
        <v>0</v>
      </c>
      <c r="CZ99" s="63">
        <f>SUM($H$98:CZ$98)*CZ$98</f>
        <v>0</v>
      </c>
      <c r="DA99" s="63">
        <f>SUM($H$98:DA$98)*DA$98</f>
        <v>0</v>
      </c>
      <c r="DB99" s="63">
        <f>SUM($H$98:DB$98)*DB$98</f>
        <v>0</v>
      </c>
    </row>
    <row r="100" spans="3:106" s="63" customFormat="1" hidden="1" outlineLevel="1">
      <c r="F100" s="63" t="s">
        <v>340</v>
      </c>
      <c r="I100" s="63">
        <f t="shared" ref="I100:AN100" si="166">IF(I$14=$F$95,0,MIN(((MOD(H$99,$F$97)=0)*1+(I$14=$F$96)*1)*I$98,1))</f>
        <v>0</v>
      </c>
      <c r="J100" s="63">
        <f t="shared" si="166"/>
        <v>0</v>
      </c>
      <c r="K100" s="63">
        <f t="shared" si="166"/>
        <v>0</v>
      </c>
      <c r="L100" s="63">
        <f t="shared" si="166"/>
        <v>0</v>
      </c>
      <c r="M100" s="63">
        <f t="shared" si="166"/>
        <v>0</v>
      </c>
      <c r="N100" s="63">
        <f t="shared" si="166"/>
        <v>0</v>
      </c>
      <c r="O100" s="63">
        <f t="shared" si="166"/>
        <v>0</v>
      </c>
      <c r="P100" s="63">
        <f t="shared" si="166"/>
        <v>0</v>
      </c>
      <c r="Q100" s="63">
        <f t="shared" si="166"/>
        <v>0</v>
      </c>
      <c r="R100" s="63">
        <f t="shared" si="166"/>
        <v>0</v>
      </c>
      <c r="S100" s="63">
        <f t="shared" si="166"/>
        <v>0</v>
      </c>
      <c r="T100" s="63">
        <f t="shared" si="166"/>
        <v>0</v>
      </c>
      <c r="U100" s="63">
        <f t="shared" si="166"/>
        <v>0</v>
      </c>
      <c r="V100" s="63">
        <f t="shared" si="166"/>
        <v>0</v>
      </c>
      <c r="W100" s="63">
        <f t="shared" si="166"/>
        <v>0</v>
      </c>
      <c r="X100" s="63">
        <f t="shared" si="166"/>
        <v>0</v>
      </c>
      <c r="Y100" s="63">
        <f t="shared" si="166"/>
        <v>0</v>
      </c>
      <c r="Z100" s="63">
        <f t="shared" si="166"/>
        <v>0</v>
      </c>
      <c r="AA100" s="63">
        <f t="shared" si="166"/>
        <v>0</v>
      </c>
      <c r="AB100" s="63">
        <f t="shared" si="166"/>
        <v>0</v>
      </c>
      <c r="AC100" s="63">
        <f t="shared" si="166"/>
        <v>0</v>
      </c>
      <c r="AD100" s="63">
        <f t="shared" si="166"/>
        <v>0</v>
      </c>
      <c r="AE100" s="63">
        <f t="shared" si="166"/>
        <v>0</v>
      </c>
      <c r="AF100" s="63">
        <f t="shared" si="166"/>
        <v>0</v>
      </c>
      <c r="AG100" s="63">
        <f t="shared" si="166"/>
        <v>0</v>
      </c>
      <c r="AH100" s="63">
        <f t="shared" si="166"/>
        <v>0</v>
      </c>
      <c r="AI100" s="63">
        <f t="shared" si="166"/>
        <v>0</v>
      </c>
      <c r="AJ100" s="63">
        <f t="shared" si="166"/>
        <v>0</v>
      </c>
      <c r="AK100" s="63">
        <f t="shared" si="166"/>
        <v>0</v>
      </c>
      <c r="AL100" s="63">
        <f t="shared" si="166"/>
        <v>0</v>
      </c>
      <c r="AM100" s="63">
        <f t="shared" si="166"/>
        <v>0</v>
      </c>
      <c r="AN100" s="63">
        <f t="shared" si="166"/>
        <v>0</v>
      </c>
      <c r="AO100" s="63">
        <f t="shared" ref="AO100:BT100" si="167">IF(AO$14=$F$95,0,MIN(((MOD(AN$99,$F$97)=0)*1+(AO$14=$F$96)*1)*AO$98,1))</f>
        <v>0</v>
      </c>
      <c r="AP100" s="63">
        <f t="shared" si="167"/>
        <v>0</v>
      </c>
      <c r="AQ100" s="63">
        <f t="shared" si="167"/>
        <v>0</v>
      </c>
      <c r="AR100" s="63">
        <f t="shared" si="167"/>
        <v>0</v>
      </c>
      <c r="AS100" s="63">
        <f t="shared" si="167"/>
        <v>0</v>
      </c>
      <c r="AT100" s="63">
        <f t="shared" si="167"/>
        <v>0</v>
      </c>
      <c r="AU100" s="63">
        <f t="shared" si="167"/>
        <v>0</v>
      </c>
      <c r="AV100" s="63">
        <f t="shared" si="167"/>
        <v>0</v>
      </c>
      <c r="AW100" s="63">
        <f t="shared" si="167"/>
        <v>0</v>
      </c>
      <c r="AX100" s="63">
        <f t="shared" si="167"/>
        <v>1</v>
      </c>
      <c r="AY100" s="63">
        <f t="shared" si="167"/>
        <v>0</v>
      </c>
      <c r="AZ100" s="63">
        <f t="shared" si="167"/>
        <v>0</v>
      </c>
      <c r="BA100" s="63">
        <f t="shared" si="167"/>
        <v>0</v>
      </c>
      <c r="BB100" s="63">
        <f t="shared" si="167"/>
        <v>0</v>
      </c>
      <c r="BC100" s="63">
        <f t="shared" si="167"/>
        <v>0</v>
      </c>
      <c r="BD100" s="63">
        <f t="shared" si="167"/>
        <v>1</v>
      </c>
      <c r="BE100" s="63">
        <f t="shared" si="167"/>
        <v>0</v>
      </c>
      <c r="BF100" s="63">
        <f t="shared" si="167"/>
        <v>0</v>
      </c>
      <c r="BG100" s="63">
        <f t="shared" si="167"/>
        <v>0</v>
      </c>
      <c r="BH100" s="63">
        <f t="shared" si="167"/>
        <v>0</v>
      </c>
      <c r="BI100" s="63">
        <f t="shared" si="167"/>
        <v>0</v>
      </c>
      <c r="BJ100" s="63">
        <f t="shared" si="167"/>
        <v>1</v>
      </c>
      <c r="BK100" s="63">
        <f t="shared" si="167"/>
        <v>0</v>
      </c>
      <c r="BL100" s="63">
        <f t="shared" si="167"/>
        <v>0</v>
      </c>
      <c r="BM100" s="63">
        <f t="shared" si="167"/>
        <v>0</v>
      </c>
      <c r="BN100" s="63">
        <f t="shared" si="167"/>
        <v>0</v>
      </c>
      <c r="BO100" s="63">
        <f t="shared" si="167"/>
        <v>0</v>
      </c>
      <c r="BP100" s="63">
        <f t="shared" si="167"/>
        <v>1</v>
      </c>
      <c r="BQ100" s="63">
        <f t="shared" si="167"/>
        <v>0</v>
      </c>
      <c r="BR100" s="63">
        <f t="shared" si="167"/>
        <v>0</v>
      </c>
      <c r="BS100" s="63">
        <f t="shared" si="167"/>
        <v>0</v>
      </c>
      <c r="BT100" s="63">
        <f t="shared" si="167"/>
        <v>0</v>
      </c>
      <c r="BU100" s="63">
        <f t="shared" ref="BU100:DB100" si="168">IF(BU$14=$F$95,0,MIN(((MOD(BT$99,$F$97)=0)*1+(BU$14=$F$96)*1)*BU$98,1))</f>
        <v>0</v>
      </c>
      <c r="BV100" s="63">
        <f t="shared" si="168"/>
        <v>0</v>
      </c>
      <c r="BW100" s="63">
        <f t="shared" si="168"/>
        <v>0</v>
      </c>
      <c r="BX100" s="63">
        <f t="shared" si="168"/>
        <v>0</v>
      </c>
      <c r="BY100" s="63">
        <f t="shared" si="168"/>
        <v>0</v>
      </c>
      <c r="BZ100" s="63">
        <f t="shared" si="168"/>
        <v>0</v>
      </c>
      <c r="CA100" s="63">
        <f t="shared" si="168"/>
        <v>0</v>
      </c>
      <c r="CB100" s="63">
        <f t="shared" si="168"/>
        <v>0</v>
      </c>
      <c r="CC100" s="63">
        <f t="shared" si="168"/>
        <v>0</v>
      </c>
      <c r="CD100" s="63">
        <f t="shared" si="168"/>
        <v>0</v>
      </c>
      <c r="CE100" s="63">
        <f t="shared" si="168"/>
        <v>0</v>
      </c>
      <c r="CF100" s="63">
        <f t="shared" si="168"/>
        <v>0</v>
      </c>
      <c r="CG100" s="63">
        <f t="shared" si="168"/>
        <v>0</v>
      </c>
      <c r="CH100" s="63">
        <f t="shared" si="168"/>
        <v>0</v>
      </c>
      <c r="CI100" s="63">
        <f t="shared" si="168"/>
        <v>0</v>
      </c>
      <c r="CJ100" s="63">
        <f t="shared" si="168"/>
        <v>0</v>
      </c>
      <c r="CK100" s="63">
        <f t="shared" si="168"/>
        <v>0</v>
      </c>
      <c r="CL100" s="63">
        <f t="shared" si="168"/>
        <v>0</v>
      </c>
      <c r="CM100" s="63">
        <f t="shared" si="168"/>
        <v>0</v>
      </c>
      <c r="CN100" s="63">
        <f t="shared" si="168"/>
        <v>0</v>
      </c>
      <c r="CO100" s="63">
        <f t="shared" si="168"/>
        <v>0</v>
      </c>
      <c r="CP100" s="63">
        <f t="shared" si="168"/>
        <v>0</v>
      </c>
      <c r="CQ100" s="63">
        <f t="shared" si="168"/>
        <v>0</v>
      </c>
      <c r="CR100" s="63">
        <f t="shared" si="168"/>
        <v>0</v>
      </c>
      <c r="CS100" s="63">
        <f t="shared" si="168"/>
        <v>0</v>
      </c>
      <c r="CT100" s="63">
        <f t="shared" si="168"/>
        <v>0</v>
      </c>
      <c r="CU100" s="63">
        <f t="shared" si="168"/>
        <v>0</v>
      </c>
      <c r="CV100" s="63">
        <f t="shared" si="168"/>
        <v>0</v>
      </c>
      <c r="CW100" s="63">
        <f t="shared" si="168"/>
        <v>0</v>
      </c>
      <c r="CX100" s="63">
        <f t="shared" si="168"/>
        <v>0</v>
      </c>
      <c r="CY100" s="63">
        <f t="shared" si="168"/>
        <v>0</v>
      </c>
      <c r="CZ100" s="63">
        <f t="shared" si="168"/>
        <v>0</v>
      </c>
      <c r="DA100" s="63">
        <f t="shared" si="168"/>
        <v>0</v>
      </c>
      <c r="DB100" s="63">
        <f t="shared" si="168"/>
        <v>0</v>
      </c>
    </row>
    <row r="101" spans="3:106" collapsed="1"/>
    <row r="102" spans="3:106">
      <c r="D102" s="13" t="s">
        <v>210</v>
      </c>
      <c r="H102" s="13">
        <v>0</v>
      </c>
      <c r="I102" s="13">
        <f ca="1">H104</f>
        <v>0</v>
      </c>
      <c r="J102" s="13">
        <f t="shared" ref="J102:BU102" ca="1" si="169">I104</f>
        <v>0</v>
      </c>
      <c r="K102" s="13">
        <f t="shared" ca="1" si="169"/>
        <v>0</v>
      </c>
      <c r="L102" s="13">
        <f t="shared" ca="1" si="169"/>
        <v>0</v>
      </c>
      <c r="M102" s="13">
        <f t="shared" ca="1" si="169"/>
        <v>0</v>
      </c>
      <c r="N102" s="13">
        <f t="shared" ca="1" si="169"/>
        <v>0</v>
      </c>
      <c r="O102" s="13">
        <f t="shared" ca="1" si="169"/>
        <v>0</v>
      </c>
      <c r="P102" s="13">
        <f t="shared" ca="1" si="169"/>
        <v>0</v>
      </c>
      <c r="Q102" s="13">
        <f t="shared" ca="1" si="169"/>
        <v>0</v>
      </c>
      <c r="R102" s="13">
        <f t="shared" ca="1" si="169"/>
        <v>0</v>
      </c>
      <c r="S102" s="13">
        <f t="shared" ca="1" si="169"/>
        <v>0</v>
      </c>
      <c r="T102" s="13">
        <f t="shared" ca="1" si="169"/>
        <v>0</v>
      </c>
      <c r="U102" s="13">
        <f t="shared" ca="1" si="169"/>
        <v>0</v>
      </c>
      <c r="V102" s="13">
        <f t="shared" ca="1" si="169"/>
        <v>0</v>
      </c>
      <c r="W102" s="13">
        <f t="shared" ca="1" si="169"/>
        <v>0</v>
      </c>
      <c r="X102" s="13">
        <f t="shared" ca="1" si="169"/>
        <v>0</v>
      </c>
      <c r="Y102" s="13">
        <f t="shared" ca="1" si="169"/>
        <v>0</v>
      </c>
      <c r="Z102" s="13">
        <f t="shared" ca="1" si="169"/>
        <v>0</v>
      </c>
      <c r="AA102" s="13">
        <f t="shared" ca="1" si="169"/>
        <v>0</v>
      </c>
      <c r="AB102" s="13">
        <f t="shared" ca="1" si="169"/>
        <v>0</v>
      </c>
      <c r="AC102" s="13">
        <f t="shared" ca="1" si="169"/>
        <v>0</v>
      </c>
      <c r="AD102" s="13">
        <f t="shared" ca="1" si="169"/>
        <v>0</v>
      </c>
      <c r="AE102" s="13">
        <f t="shared" ca="1" si="169"/>
        <v>0</v>
      </c>
      <c r="AF102" s="13">
        <f t="shared" ca="1" si="169"/>
        <v>0</v>
      </c>
      <c r="AG102" s="13">
        <f t="shared" ca="1" si="169"/>
        <v>0</v>
      </c>
      <c r="AH102" s="13">
        <f t="shared" ca="1" si="169"/>
        <v>0</v>
      </c>
      <c r="AI102" s="13">
        <f t="shared" ca="1" si="169"/>
        <v>0</v>
      </c>
      <c r="AJ102" s="13">
        <f t="shared" ca="1" si="169"/>
        <v>0</v>
      </c>
      <c r="AK102" s="13">
        <f t="shared" ca="1" si="169"/>
        <v>0</v>
      </c>
      <c r="AL102" s="13">
        <f t="shared" ca="1" si="169"/>
        <v>0</v>
      </c>
      <c r="AM102" s="13">
        <f t="shared" ca="1" si="169"/>
        <v>0</v>
      </c>
      <c r="AN102" s="13">
        <f t="shared" ca="1" si="169"/>
        <v>0</v>
      </c>
      <c r="AO102" s="13">
        <f t="shared" ca="1" si="169"/>
        <v>0</v>
      </c>
      <c r="AP102" s="13">
        <f t="shared" ca="1" si="169"/>
        <v>0</v>
      </c>
      <c r="AQ102" s="13">
        <f t="shared" ca="1" si="169"/>
        <v>0</v>
      </c>
      <c r="AR102" s="13">
        <f t="shared" ca="1" si="169"/>
        <v>0</v>
      </c>
      <c r="AS102" s="13">
        <f t="shared" ca="1" si="169"/>
        <v>145594.83489206826</v>
      </c>
      <c r="AT102" s="13">
        <f t="shared" ca="1" si="169"/>
        <v>145594.83489206826</v>
      </c>
      <c r="AU102" s="13">
        <f t="shared" ca="1" si="169"/>
        <v>145594.83489206826</v>
      </c>
      <c r="AV102" s="13">
        <f t="shared" ca="1" si="169"/>
        <v>145594.83489206826</v>
      </c>
      <c r="AW102" s="13">
        <f t="shared" ca="1" si="169"/>
        <v>145594.83489206826</v>
      </c>
      <c r="AX102" s="13">
        <f t="shared" ca="1" si="169"/>
        <v>145594.83489206826</v>
      </c>
      <c r="AY102" s="13">
        <f t="shared" ca="1" si="169"/>
        <v>145594.83489206826</v>
      </c>
      <c r="AZ102" s="13">
        <f t="shared" ca="1" si="169"/>
        <v>145594.83489206826</v>
      </c>
      <c r="BA102" s="13">
        <f t="shared" ca="1" si="169"/>
        <v>145594.83489206826</v>
      </c>
      <c r="BB102" s="13">
        <f t="shared" ca="1" si="169"/>
        <v>145594.83489206826</v>
      </c>
      <c r="BC102" s="13">
        <f t="shared" ca="1" si="169"/>
        <v>145594.83489206826</v>
      </c>
      <c r="BD102" s="13">
        <f t="shared" ca="1" si="169"/>
        <v>145594.83489206826</v>
      </c>
      <c r="BE102" s="13">
        <f t="shared" ca="1" si="169"/>
        <v>145594.83489206826</v>
      </c>
      <c r="BF102" s="13">
        <f t="shared" ca="1" si="169"/>
        <v>145594.83489206826</v>
      </c>
      <c r="BG102" s="13">
        <f t="shared" ca="1" si="169"/>
        <v>145594.83489206826</v>
      </c>
      <c r="BH102" s="13">
        <f t="shared" ca="1" si="169"/>
        <v>145594.83489206826</v>
      </c>
      <c r="BI102" s="13">
        <f t="shared" ca="1" si="169"/>
        <v>145594.83489206826</v>
      </c>
      <c r="BJ102" s="13">
        <f t="shared" ca="1" si="169"/>
        <v>145594.83489206826</v>
      </c>
      <c r="BK102" s="13">
        <f t="shared" ca="1" si="169"/>
        <v>145594.83489206826</v>
      </c>
      <c r="BL102" s="13">
        <f t="shared" ca="1" si="169"/>
        <v>145594.83489206826</v>
      </c>
      <c r="BM102" s="13">
        <f t="shared" ca="1" si="169"/>
        <v>145594.83489206826</v>
      </c>
      <c r="BN102" s="13">
        <f t="shared" ca="1" si="169"/>
        <v>145594.83489206826</v>
      </c>
      <c r="BO102" s="13">
        <f t="shared" ca="1" si="169"/>
        <v>145594.83489206826</v>
      </c>
      <c r="BP102" s="13">
        <f t="shared" ca="1" si="169"/>
        <v>145594.83489206826</v>
      </c>
      <c r="BQ102" s="13">
        <f t="shared" ca="1" si="169"/>
        <v>0</v>
      </c>
      <c r="BR102" s="13">
        <f t="shared" ca="1" si="169"/>
        <v>0</v>
      </c>
      <c r="BS102" s="13">
        <f t="shared" ca="1" si="169"/>
        <v>0</v>
      </c>
      <c r="BT102" s="13">
        <f t="shared" ca="1" si="169"/>
        <v>0</v>
      </c>
      <c r="BU102" s="13">
        <f t="shared" ca="1" si="169"/>
        <v>0</v>
      </c>
      <c r="BV102" s="13">
        <f t="shared" ref="BV102:DB102" ca="1" si="170">BU104</f>
        <v>0</v>
      </c>
      <c r="BW102" s="13">
        <f t="shared" ca="1" si="170"/>
        <v>0</v>
      </c>
      <c r="BX102" s="13">
        <f t="shared" ca="1" si="170"/>
        <v>0</v>
      </c>
      <c r="BY102" s="13">
        <f t="shared" ca="1" si="170"/>
        <v>0</v>
      </c>
      <c r="BZ102" s="13">
        <f t="shared" ca="1" si="170"/>
        <v>0</v>
      </c>
      <c r="CA102" s="13">
        <f t="shared" ca="1" si="170"/>
        <v>0</v>
      </c>
      <c r="CB102" s="13">
        <f t="shared" ca="1" si="170"/>
        <v>0</v>
      </c>
      <c r="CC102" s="13">
        <f t="shared" ca="1" si="170"/>
        <v>0</v>
      </c>
      <c r="CD102" s="13">
        <f t="shared" ca="1" si="170"/>
        <v>0</v>
      </c>
      <c r="CE102" s="13">
        <f t="shared" ca="1" si="170"/>
        <v>0</v>
      </c>
      <c r="CF102" s="13">
        <f t="shared" ca="1" si="170"/>
        <v>0</v>
      </c>
      <c r="CG102" s="13">
        <f t="shared" ca="1" si="170"/>
        <v>0</v>
      </c>
      <c r="CH102" s="13">
        <f t="shared" ca="1" si="170"/>
        <v>0</v>
      </c>
      <c r="CI102" s="13">
        <f t="shared" ca="1" si="170"/>
        <v>0</v>
      </c>
      <c r="CJ102" s="13">
        <f t="shared" ca="1" si="170"/>
        <v>0</v>
      </c>
      <c r="CK102" s="13">
        <f t="shared" ca="1" si="170"/>
        <v>0</v>
      </c>
      <c r="CL102" s="13">
        <f t="shared" ca="1" si="170"/>
        <v>0</v>
      </c>
      <c r="CM102" s="13">
        <f t="shared" ca="1" si="170"/>
        <v>0</v>
      </c>
      <c r="CN102" s="13">
        <f t="shared" ca="1" si="170"/>
        <v>0</v>
      </c>
      <c r="CO102" s="13">
        <f t="shared" ca="1" si="170"/>
        <v>0</v>
      </c>
      <c r="CP102" s="13">
        <f t="shared" ca="1" si="170"/>
        <v>0</v>
      </c>
      <c r="CQ102" s="13">
        <f t="shared" ca="1" si="170"/>
        <v>0</v>
      </c>
      <c r="CR102" s="13">
        <f t="shared" ca="1" si="170"/>
        <v>0</v>
      </c>
      <c r="CS102" s="13">
        <f t="shared" ca="1" si="170"/>
        <v>0</v>
      </c>
      <c r="CT102" s="13">
        <f t="shared" ca="1" si="170"/>
        <v>0</v>
      </c>
      <c r="CU102" s="13">
        <f t="shared" ca="1" si="170"/>
        <v>0</v>
      </c>
      <c r="CV102" s="13">
        <f t="shared" ca="1" si="170"/>
        <v>0</v>
      </c>
      <c r="CW102" s="13">
        <f t="shared" ca="1" si="170"/>
        <v>0</v>
      </c>
      <c r="CX102" s="13">
        <f t="shared" ca="1" si="170"/>
        <v>0</v>
      </c>
      <c r="CY102" s="13">
        <f t="shared" ca="1" si="170"/>
        <v>0</v>
      </c>
      <c r="CZ102" s="13">
        <f t="shared" ca="1" si="170"/>
        <v>0</v>
      </c>
      <c r="DA102" s="13">
        <f t="shared" ca="1" si="170"/>
        <v>0</v>
      </c>
      <c r="DB102" s="13">
        <f t="shared" ca="1" si="170"/>
        <v>0</v>
      </c>
    </row>
    <row r="103" spans="3:106">
      <c r="D103" s="13" t="s">
        <v>341</v>
      </c>
      <c r="H103" s="13">
        <f ca="1">H38+H47</f>
        <v>0</v>
      </c>
      <c r="I103" s="13">
        <f t="shared" ref="I103:BT103" ca="1" si="171">I38+I47</f>
        <v>0</v>
      </c>
      <c r="J103" s="13">
        <f t="shared" ca="1" si="171"/>
        <v>0</v>
      </c>
      <c r="K103" s="13">
        <f t="shared" ca="1" si="171"/>
        <v>0</v>
      </c>
      <c r="L103" s="13">
        <f t="shared" ca="1" si="171"/>
        <v>0</v>
      </c>
      <c r="M103" s="13">
        <f t="shared" ca="1" si="171"/>
        <v>0</v>
      </c>
      <c r="N103" s="13">
        <f t="shared" ca="1" si="171"/>
        <v>0</v>
      </c>
      <c r="O103" s="13">
        <f t="shared" ca="1" si="171"/>
        <v>0</v>
      </c>
      <c r="P103" s="13">
        <f t="shared" ca="1" si="171"/>
        <v>0</v>
      </c>
      <c r="Q103" s="13">
        <f t="shared" ca="1" si="171"/>
        <v>0</v>
      </c>
      <c r="R103" s="13">
        <f t="shared" ca="1" si="171"/>
        <v>0</v>
      </c>
      <c r="S103" s="13">
        <f t="shared" ca="1" si="171"/>
        <v>0</v>
      </c>
      <c r="T103" s="13">
        <f t="shared" ca="1" si="171"/>
        <v>0</v>
      </c>
      <c r="U103" s="13">
        <f t="shared" ca="1" si="171"/>
        <v>0</v>
      </c>
      <c r="V103" s="13">
        <f t="shared" ca="1" si="171"/>
        <v>0</v>
      </c>
      <c r="W103" s="13">
        <f t="shared" ca="1" si="171"/>
        <v>0</v>
      </c>
      <c r="X103" s="13">
        <f t="shared" ca="1" si="171"/>
        <v>0</v>
      </c>
      <c r="Y103" s="13">
        <f t="shared" ca="1" si="171"/>
        <v>0</v>
      </c>
      <c r="Z103" s="13">
        <f t="shared" ca="1" si="171"/>
        <v>0</v>
      </c>
      <c r="AA103" s="13">
        <f t="shared" ca="1" si="171"/>
        <v>0</v>
      </c>
      <c r="AB103" s="13">
        <f t="shared" ca="1" si="171"/>
        <v>0</v>
      </c>
      <c r="AC103" s="13">
        <f t="shared" ca="1" si="171"/>
        <v>0</v>
      </c>
      <c r="AD103" s="13">
        <f t="shared" ca="1" si="171"/>
        <v>0</v>
      </c>
      <c r="AE103" s="13">
        <f t="shared" ca="1" si="171"/>
        <v>0</v>
      </c>
      <c r="AF103" s="13">
        <f t="shared" ca="1" si="171"/>
        <v>0</v>
      </c>
      <c r="AG103" s="13">
        <f t="shared" ca="1" si="171"/>
        <v>0</v>
      </c>
      <c r="AH103" s="13">
        <f t="shared" ca="1" si="171"/>
        <v>0</v>
      </c>
      <c r="AI103" s="13">
        <f t="shared" ca="1" si="171"/>
        <v>0</v>
      </c>
      <c r="AJ103" s="13">
        <f t="shared" ca="1" si="171"/>
        <v>0</v>
      </c>
      <c r="AK103" s="13">
        <f t="shared" ca="1" si="171"/>
        <v>0</v>
      </c>
      <c r="AL103" s="13">
        <f t="shared" ca="1" si="171"/>
        <v>0</v>
      </c>
      <c r="AM103" s="13">
        <f t="shared" ca="1" si="171"/>
        <v>0</v>
      </c>
      <c r="AN103" s="13">
        <f t="shared" ca="1" si="171"/>
        <v>0</v>
      </c>
      <c r="AO103" s="13">
        <f t="shared" ca="1" si="171"/>
        <v>0</v>
      </c>
      <c r="AP103" s="13">
        <f t="shared" ca="1" si="171"/>
        <v>0</v>
      </c>
      <c r="AQ103" s="13">
        <f t="shared" ca="1" si="171"/>
        <v>0</v>
      </c>
      <c r="AR103" s="13">
        <f t="shared" ca="1" si="171"/>
        <v>145594.83489206826</v>
      </c>
      <c r="AS103" s="13">
        <f t="shared" ca="1" si="171"/>
        <v>0</v>
      </c>
      <c r="AT103" s="13">
        <f t="shared" ca="1" si="171"/>
        <v>0</v>
      </c>
      <c r="AU103" s="13">
        <f t="shared" ca="1" si="171"/>
        <v>0</v>
      </c>
      <c r="AV103" s="13">
        <f t="shared" ca="1" si="171"/>
        <v>0</v>
      </c>
      <c r="AW103" s="13">
        <f t="shared" ca="1" si="171"/>
        <v>0</v>
      </c>
      <c r="AX103" s="13">
        <f t="shared" ca="1" si="171"/>
        <v>0</v>
      </c>
      <c r="AY103" s="13">
        <f t="shared" ca="1" si="171"/>
        <v>0</v>
      </c>
      <c r="AZ103" s="13">
        <f t="shared" ca="1" si="171"/>
        <v>0</v>
      </c>
      <c r="BA103" s="13">
        <f t="shared" ca="1" si="171"/>
        <v>0</v>
      </c>
      <c r="BB103" s="13">
        <f t="shared" ca="1" si="171"/>
        <v>0</v>
      </c>
      <c r="BC103" s="13">
        <f t="shared" ca="1" si="171"/>
        <v>0</v>
      </c>
      <c r="BD103" s="13">
        <f t="shared" ca="1" si="171"/>
        <v>0</v>
      </c>
      <c r="BE103" s="13">
        <f t="shared" ca="1" si="171"/>
        <v>0</v>
      </c>
      <c r="BF103" s="13">
        <f t="shared" ca="1" si="171"/>
        <v>0</v>
      </c>
      <c r="BG103" s="13">
        <f t="shared" ca="1" si="171"/>
        <v>0</v>
      </c>
      <c r="BH103" s="13">
        <f t="shared" ca="1" si="171"/>
        <v>0</v>
      </c>
      <c r="BI103" s="13">
        <f t="shared" ca="1" si="171"/>
        <v>0</v>
      </c>
      <c r="BJ103" s="13">
        <f t="shared" ca="1" si="171"/>
        <v>0</v>
      </c>
      <c r="BK103" s="13">
        <f t="shared" ca="1" si="171"/>
        <v>0</v>
      </c>
      <c r="BL103" s="13">
        <f t="shared" ca="1" si="171"/>
        <v>0</v>
      </c>
      <c r="BM103" s="13">
        <f t="shared" ca="1" si="171"/>
        <v>0</v>
      </c>
      <c r="BN103" s="13">
        <f t="shared" ca="1" si="171"/>
        <v>0</v>
      </c>
      <c r="BO103" s="13">
        <f t="shared" ca="1" si="171"/>
        <v>0</v>
      </c>
      <c r="BP103" s="13">
        <f t="shared" ca="1" si="171"/>
        <v>-145594.83489206826</v>
      </c>
      <c r="BQ103" s="13">
        <f t="shared" ca="1" si="171"/>
        <v>0</v>
      </c>
      <c r="BR103" s="13">
        <f t="shared" ca="1" si="171"/>
        <v>0</v>
      </c>
      <c r="BS103" s="13">
        <f t="shared" ca="1" si="171"/>
        <v>0</v>
      </c>
      <c r="BT103" s="13">
        <f t="shared" ca="1" si="171"/>
        <v>0</v>
      </c>
      <c r="BU103" s="13">
        <f t="shared" ref="BU103:DB103" ca="1" si="172">BU38+BU47</f>
        <v>0</v>
      </c>
      <c r="BV103" s="13">
        <f t="shared" ca="1" si="172"/>
        <v>0</v>
      </c>
      <c r="BW103" s="13">
        <f t="shared" ca="1" si="172"/>
        <v>0</v>
      </c>
      <c r="BX103" s="13">
        <f t="shared" ca="1" si="172"/>
        <v>0</v>
      </c>
      <c r="BY103" s="13">
        <f t="shared" ca="1" si="172"/>
        <v>0</v>
      </c>
      <c r="BZ103" s="13">
        <f t="shared" ca="1" si="172"/>
        <v>0</v>
      </c>
      <c r="CA103" s="13">
        <f t="shared" ca="1" si="172"/>
        <v>0</v>
      </c>
      <c r="CB103" s="13">
        <f t="shared" ca="1" si="172"/>
        <v>0</v>
      </c>
      <c r="CC103" s="13">
        <f t="shared" ca="1" si="172"/>
        <v>0</v>
      </c>
      <c r="CD103" s="13">
        <f t="shared" ca="1" si="172"/>
        <v>0</v>
      </c>
      <c r="CE103" s="13">
        <f t="shared" ca="1" si="172"/>
        <v>0</v>
      </c>
      <c r="CF103" s="13">
        <f t="shared" ca="1" si="172"/>
        <v>0</v>
      </c>
      <c r="CG103" s="13">
        <f t="shared" ca="1" si="172"/>
        <v>0</v>
      </c>
      <c r="CH103" s="13">
        <f t="shared" ca="1" si="172"/>
        <v>0</v>
      </c>
      <c r="CI103" s="13">
        <f t="shared" ca="1" si="172"/>
        <v>0</v>
      </c>
      <c r="CJ103" s="13">
        <f t="shared" ca="1" si="172"/>
        <v>0</v>
      </c>
      <c r="CK103" s="13">
        <f t="shared" ca="1" si="172"/>
        <v>0</v>
      </c>
      <c r="CL103" s="13">
        <f t="shared" ca="1" si="172"/>
        <v>0</v>
      </c>
      <c r="CM103" s="13">
        <f t="shared" ca="1" si="172"/>
        <v>0</v>
      </c>
      <c r="CN103" s="13">
        <f t="shared" ca="1" si="172"/>
        <v>0</v>
      </c>
      <c r="CO103" s="13">
        <f t="shared" ca="1" si="172"/>
        <v>0</v>
      </c>
      <c r="CP103" s="13">
        <f t="shared" ca="1" si="172"/>
        <v>0</v>
      </c>
      <c r="CQ103" s="13">
        <f t="shared" ca="1" si="172"/>
        <v>0</v>
      </c>
      <c r="CR103" s="13">
        <f t="shared" ca="1" si="172"/>
        <v>0</v>
      </c>
      <c r="CS103" s="13">
        <f t="shared" ca="1" si="172"/>
        <v>0</v>
      </c>
      <c r="CT103" s="13">
        <f t="shared" ca="1" si="172"/>
        <v>0</v>
      </c>
      <c r="CU103" s="13">
        <f t="shared" ca="1" si="172"/>
        <v>0</v>
      </c>
      <c r="CV103" s="13">
        <f t="shared" ca="1" si="172"/>
        <v>0</v>
      </c>
      <c r="CW103" s="13">
        <f t="shared" ca="1" si="172"/>
        <v>0</v>
      </c>
      <c r="CX103" s="13">
        <f t="shared" ca="1" si="172"/>
        <v>0</v>
      </c>
      <c r="CY103" s="13">
        <f t="shared" ca="1" si="172"/>
        <v>0</v>
      </c>
      <c r="CZ103" s="13">
        <f t="shared" ca="1" si="172"/>
        <v>0</v>
      </c>
      <c r="DA103" s="13">
        <f t="shared" ca="1" si="172"/>
        <v>0</v>
      </c>
      <c r="DB103" s="13">
        <f t="shared" ca="1" si="172"/>
        <v>0</v>
      </c>
    </row>
    <row r="104" spans="3:106">
      <c r="D104" s="75" t="s">
        <v>211</v>
      </c>
      <c r="E104" s="75"/>
      <c r="F104" s="75"/>
      <c r="G104" s="75"/>
      <c r="H104" s="75">
        <f ca="1">SUM(H102:H103)</f>
        <v>0</v>
      </c>
      <c r="I104" s="75">
        <f t="shared" ref="I104:BT104" ca="1" si="173">SUM(I102:I103)</f>
        <v>0</v>
      </c>
      <c r="J104" s="75">
        <f t="shared" ca="1" si="173"/>
        <v>0</v>
      </c>
      <c r="K104" s="75">
        <f t="shared" ca="1" si="173"/>
        <v>0</v>
      </c>
      <c r="L104" s="75">
        <f t="shared" ca="1" si="173"/>
        <v>0</v>
      </c>
      <c r="M104" s="75">
        <f t="shared" ca="1" si="173"/>
        <v>0</v>
      </c>
      <c r="N104" s="75">
        <f t="shared" ca="1" si="173"/>
        <v>0</v>
      </c>
      <c r="O104" s="75">
        <f t="shared" ca="1" si="173"/>
        <v>0</v>
      </c>
      <c r="P104" s="75">
        <f t="shared" ca="1" si="173"/>
        <v>0</v>
      </c>
      <c r="Q104" s="75">
        <f t="shared" ca="1" si="173"/>
        <v>0</v>
      </c>
      <c r="R104" s="75">
        <f t="shared" ca="1" si="173"/>
        <v>0</v>
      </c>
      <c r="S104" s="75">
        <f t="shared" ca="1" si="173"/>
        <v>0</v>
      </c>
      <c r="T104" s="75">
        <f t="shared" ca="1" si="173"/>
        <v>0</v>
      </c>
      <c r="U104" s="75">
        <f t="shared" ca="1" si="173"/>
        <v>0</v>
      </c>
      <c r="V104" s="75">
        <f t="shared" ca="1" si="173"/>
        <v>0</v>
      </c>
      <c r="W104" s="75">
        <f t="shared" ca="1" si="173"/>
        <v>0</v>
      </c>
      <c r="X104" s="75">
        <f t="shared" ca="1" si="173"/>
        <v>0</v>
      </c>
      <c r="Y104" s="75">
        <f t="shared" ca="1" si="173"/>
        <v>0</v>
      </c>
      <c r="Z104" s="75">
        <f t="shared" ca="1" si="173"/>
        <v>0</v>
      </c>
      <c r="AA104" s="75">
        <f t="shared" ca="1" si="173"/>
        <v>0</v>
      </c>
      <c r="AB104" s="75">
        <f t="shared" ca="1" si="173"/>
        <v>0</v>
      </c>
      <c r="AC104" s="75">
        <f t="shared" ca="1" si="173"/>
        <v>0</v>
      </c>
      <c r="AD104" s="75">
        <f t="shared" ca="1" si="173"/>
        <v>0</v>
      </c>
      <c r="AE104" s="75">
        <f t="shared" ca="1" si="173"/>
        <v>0</v>
      </c>
      <c r="AF104" s="75">
        <f t="shared" ca="1" si="173"/>
        <v>0</v>
      </c>
      <c r="AG104" s="75">
        <f t="shared" ca="1" si="173"/>
        <v>0</v>
      </c>
      <c r="AH104" s="75">
        <f t="shared" ca="1" si="173"/>
        <v>0</v>
      </c>
      <c r="AI104" s="75">
        <f t="shared" ca="1" si="173"/>
        <v>0</v>
      </c>
      <c r="AJ104" s="75">
        <f t="shared" ca="1" si="173"/>
        <v>0</v>
      </c>
      <c r="AK104" s="75">
        <f t="shared" ca="1" si="173"/>
        <v>0</v>
      </c>
      <c r="AL104" s="75">
        <f t="shared" ca="1" si="173"/>
        <v>0</v>
      </c>
      <c r="AM104" s="75">
        <f t="shared" ca="1" si="173"/>
        <v>0</v>
      </c>
      <c r="AN104" s="75">
        <f t="shared" ca="1" si="173"/>
        <v>0</v>
      </c>
      <c r="AO104" s="75">
        <f t="shared" ca="1" si="173"/>
        <v>0</v>
      </c>
      <c r="AP104" s="75">
        <f t="shared" ca="1" si="173"/>
        <v>0</v>
      </c>
      <c r="AQ104" s="75">
        <f t="shared" ca="1" si="173"/>
        <v>0</v>
      </c>
      <c r="AR104" s="75">
        <f t="shared" ca="1" si="173"/>
        <v>145594.83489206826</v>
      </c>
      <c r="AS104" s="75">
        <f t="shared" ca="1" si="173"/>
        <v>145594.83489206826</v>
      </c>
      <c r="AT104" s="75">
        <f t="shared" ca="1" si="173"/>
        <v>145594.83489206826</v>
      </c>
      <c r="AU104" s="75">
        <f t="shared" ca="1" si="173"/>
        <v>145594.83489206826</v>
      </c>
      <c r="AV104" s="75">
        <f t="shared" ca="1" si="173"/>
        <v>145594.83489206826</v>
      </c>
      <c r="AW104" s="75">
        <f t="shared" ca="1" si="173"/>
        <v>145594.83489206826</v>
      </c>
      <c r="AX104" s="75">
        <f t="shared" ca="1" si="173"/>
        <v>145594.83489206826</v>
      </c>
      <c r="AY104" s="75">
        <f t="shared" ca="1" si="173"/>
        <v>145594.83489206826</v>
      </c>
      <c r="AZ104" s="75">
        <f t="shared" ca="1" si="173"/>
        <v>145594.83489206826</v>
      </c>
      <c r="BA104" s="75">
        <f t="shared" ca="1" si="173"/>
        <v>145594.83489206826</v>
      </c>
      <c r="BB104" s="75">
        <f t="shared" ca="1" si="173"/>
        <v>145594.83489206826</v>
      </c>
      <c r="BC104" s="75">
        <f t="shared" ca="1" si="173"/>
        <v>145594.83489206826</v>
      </c>
      <c r="BD104" s="75">
        <f t="shared" ca="1" si="173"/>
        <v>145594.83489206826</v>
      </c>
      <c r="BE104" s="75">
        <f t="shared" ca="1" si="173"/>
        <v>145594.83489206826</v>
      </c>
      <c r="BF104" s="75">
        <f t="shared" ca="1" si="173"/>
        <v>145594.83489206826</v>
      </c>
      <c r="BG104" s="75">
        <f t="shared" ca="1" si="173"/>
        <v>145594.83489206826</v>
      </c>
      <c r="BH104" s="75">
        <f t="shared" ca="1" si="173"/>
        <v>145594.83489206826</v>
      </c>
      <c r="BI104" s="75">
        <f t="shared" ca="1" si="173"/>
        <v>145594.83489206826</v>
      </c>
      <c r="BJ104" s="75">
        <f t="shared" ca="1" si="173"/>
        <v>145594.83489206826</v>
      </c>
      <c r="BK104" s="75">
        <f t="shared" ca="1" si="173"/>
        <v>145594.83489206826</v>
      </c>
      <c r="BL104" s="75">
        <f t="shared" ca="1" si="173"/>
        <v>145594.83489206826</v>
      </c>
      <c r="BM104" s="75">
        <f t="shared" ca="1" si="173"/>
        <v>145594.83489206826</v>
      </c>
      <c r="BN104" s="75">
        <f t="shared" ca="1" si="173"/>
        <v>145594.83489206826</v>
      </c>
      <c r="BO104" s="75">
        <f t="shared" ca="1" si="173"/>
        <v>145594.83489206826</v>
      </c>
      <c r="BP104" s="75">
        <f t="shared" ca="1" si="173"/>
        <v>0</v>
      </c>
      <c r="BQ104" s="75">
        <f t="shared" ca="1" si="173"/>
        <v>0</v>
      </c>
      <c r="BR104" s="75">
        <f t="shared" ca="1" si="173"/>
        <v>0</v>
      </c>
      <c r="BS104" s="75">
        <f t="shared" ca="1" si="173"/>
        <v>0</v>
      </c>
      <c r="BT104" s="75">
        <f t="shared" ca="1" si="173"/>
        <v>0</v>
      </c>
      <c r="BU104" s="75">
        <f t="shared" ref="BU104:DB104" ca="1" si="174">SUM(BU102:BU103)</f>
        <v>0</v>
      </c>
      <c r="BV104" s="75">
        <f t="shared" ca="1" si="174"/>
        <v>0</v>
      </c>
      <c r="BW104" s="75">
        <f t="shared" ca="1" si="174"/>
        <v>0</v>
      </c>
      <c r="BX104" s="75">
        <f t="shared" ca="1" si="174"/>
        <v>0</v>
      </c>
      <c r="BY104" s="75">
        <f t="shared" ca="1" si="174"/>
        <v>0</v>
      </c>
      <c r="BZ104" s="75">
        <f t="shared" ca="1" si="174"/>
        <v>0</v>
      </c>
      <c r="CA104" s="75">
        <f t="shared" ca="1" si="174"/>
        <v>0</v>
      </c>
      <c r="CB104" s="75">
        <f t="shared" ca="1" si="174"/>
        <v>0</v>
      </c>
      <c r="CC104" s="75">
        <f t="shared" ca="1" si="174"/>
        <v>0</v>
      </c>
      <c r="CD104" s="75">
        <f t="shared" ca="1" si="174"/>
        <v>0</v>
      </c>
      <c r="CE104" s="75">
        <f t="shared" ca="1" si="174"/>
        <v>0</v>
      </c>
      <c r="CF104" s="75">
        <f t="shared" ca="1" si="174"/>
        <v>0</v>
      </c>
      <c r="CG104" s="75">
        <f t="shared" ca="1" si="174"/>
        <v>0</v>
      </c>
      <c r="CH104" s="75">
        <f t="shared" ca="1" si="174"/>
        <v>0</v>
      </c>
      <c r="CI104" s="75">
        <f t="shared" ca="1" si="174"/>
        <v>0</v>
      </c>
      <c r="CJ104" s="75">
        <f t="shared" ca="1" si="174"/>
        <v>0</v>
      </c>
      <c r="CK104" s="75">
        <f t="shared" ca="1" si="174"/>
        <v>0</v>
      </c>
      <c r="CL104" s="75">
        <f t="shared" ca="1" si="174"/>
        <v>0</v>
      </c>
      <c r="CM104" s="75">
        <f t="shared" ca="1" si="174"/>
        <v>0</v>
      </c>
      <c r="CN104" s="75">
        <f t="shared" ca="1" si="174"/>
        <v>0</v>
      </c>
      <c r="CO104" s="75">
        <f t="shared" ca="1" si="174"/>
        <v>0</v>
      </c>
      <c r="CP104" s="75">
        <f t="shared" ca="1" si="174"/>
        <v>0</v>
      </c>
      <c r="CQ104" s="75">
        <f t="shared" ca="1" si="174"/>
        <v>0</v>
      </c>
      <c r="CR104" s="75">
        <f t="shared" ca="1" si="174"/>
        <v>0</v>
      </c>
      <c r="CS104" s="75">
        <f t="shared" ca="1" si="174"/>
        <v>0</v>
      </c>
      <c r="CT104" s="75">
        <f t="shared" ca="1" si="174"/>
        <v>0</v>
      </c>
      <c r="CU104" s="75">
        <f t="shared" ca="1" si="174"/>
        <v>0</v>
      </c>
      <c r="CV104" s="75">
        <f t="shared" ca="1" si="174"/>
        <v>0</v>
      </c>
      <c r="CW104" s="75">
        <f t="shared" ca="1" si="174"/>
        <v>0</v>
      </c>
      <c r="CX104" s="75">
        <f t="shared" ca="1" si="174"/>
        <v>0</v>
      </c>
      <c r="CY104" s="75">
        <f t="shared" ca="1" si="174"/>
        <v>0</v>
      </c>
      <c r="CZ104" s="75">
        <f t="shared" ca="1" si="174"/>
        <v>0</v>
      </c>
      <c r="DA104" s="75">
        <f t="shared" ca="1" si="174"/>
        <v>0</v>
      </c>
      <c r="DB104" s="75">
        <f t="shared" ca="1" si="174"/>
        <v>0</v>
      </c>
    </row>
    <row r="105" spans="3:106">
      <c r="D105" s="75" t="s">
        <v>342</v>
      </c>
      <c r="E105" s="75"/>
      <c r="F105" s="75"/>
      <c r="G105" s="75"/>
      <c r="H105" s="75">
        <f ca="1">AVERAGE(H102,H104)</f>
        <v>0</v>
      </c>
      <c r="I105" s="75">
        <f t="shared" ref="I105" ca="1" si="175">AVERAGE(I102,I104)</f>
        <v>0</v>
      </c>
      <c r="J105" s="75">
        <f t="shared" ref="J105" ca="1" si="176">AVERAGE(J102,J104)</f>
        <v>0</v>
      </c>
      <c r="K105" s="75">
        <f t="shared" ref="K105" ca="1" si="177">AVERAGE(K102,K104)</f>
        <v>0</v>
      </c>
      <c r="L105" s="75">
        <f t="shared" ref="L105" ca="1" si="178">AVERAGE(L102,L104)</f>
        <v>0</v>
      </c>
      <c r="M105" s="75">
        <f t="shared" ref="M105" ca="1" si="179">AVERAGE(M102,M104)</f>
        <v>0</v>
      </c>
      <c r="N105" s="75">
        <f t="shared" ref="N105" ca="1" si="180">AVERAGE(N102,N104)</f>
        <v>0</v>
      </c>
      <c r="O105" s="75">
        <f t="shared" ref="O105" ca="1" si="181">AVERAGE(O102,O104)</f>
        <v>0</v>
      </c>
      <c r="P105" s="75">
        <f t="shared" ref="P105" ca="1" si="182">AVERAGE(P102,P104)</f>
        <v>0</v>
      </c>
      <c r="Q105" s="75">
        <f t="shared" ref="Q105" ca="1" si="183">AVERAGE(Q102,Q104)</f>
        <v>0</v>
      </c>
      <c r="R105" s="75">
        <f t="shared" ref="R105" ca="1" si="184">AVERAGE(R102,R104)</f>
        <v>0</v>
      </c>
      <c r="S105" s="75">
        <f t="shared" ref="S105" ca="1" si="185">AVERAGE(S102,S104)</f>
        <v>0</v>
      </c>
      <c r="T105" s="75">
        <f t="shared" ref="T105" ca="1" si="186">AVERAGE(T102,T104)</f>
        <v>0</v>
      </c>
      <c r="U105" s="75">
        <f t="shared" ref="U105" ca="1" si="187">AVERAGE(U102,U104)</f>
        <v>0</v>
      </c>
      <c r="V105" s="75">
        <f t="shared" ref="V105" ca="1" si="188">AVERAGE(V102,V104)</f>
        <v>0</v>
      </c>
      <c r="W105" s="75">
        <f t="shared" ref="W105" ca="1" si="189">AVERAGE(W102,W104)</f>
        <v>0</v>
      </c>
      <c r="X105" s="75">
        <f t="shared" ref="X105" ca="1" si="190">AVERAGE(X102,X104)</f>
        <v>0</v>
      </c>
      <c r="Y105" s="75">
        <f t="shared" ref="Y105" ca="1" si="191">AVERAGE(Y102,Y104)</f>
        <v>0</v>
      </c>
      <c r="Z105" s="75">
        <f t="shared" ref="Z105" ca="1" si="192">AVERAGE(Z102,Z104)</f>
        <v>0</v>
      </c>
      <c r="AA105" s="75">
        <f t="shared" ref="AA105" ca="1" si="193">AVERAGE(AA102,AA104)</f>
        <v>0</v>
      </c>
      <c r="AB105" s="75">
        <f t="shared" ref="AB105" ca="1" si="194">AVERAGE(AB102,AB104)</f>
        <v>0</v>
      </c>
      <c r="AC105" s="75">
        <f t="shared" ref="AC105" ca="1" si="195">AVERAGE(AC102,AC104)</f>
        <v>0</v>
      </c>
      <c r="AD105" s="75">
        <f t="shared" ref="AD105" ca="1" si="196">AVERAGE(AD102,AD104)</f>
        <v>0</v>
      </c>
      <c r="AE105" s="75">
        <f t="shared" ref="AE105" ca="1" si="197">AVERAGE(AE102,AE104)</f>
        <v>0</v>
      </c>
      <c r="AF105" s="75">
        <f t="shared" ref="AF105" ca="1" si="198">AVERAGE(AF102,AF104)</f>
        <v>0</v>
      </c>
      <c r="AG105" s="75">
        <f t="shared" ref="AG105" ca="1" si="199">AVERAGE(AG102,AG104)</f>
        <v>0</v>
      </c>
      <c r="AH105" s="75">
        <f t="shared" ref="AH105" ca="1" si="200">AVERAGE(AH102,AH104)</f>
        <v>0</v>
      </c>
      <c r="AI105" s="75">
        <f t="shared" ref="AI105" ca="1" si="201">AVERAGE(AI102,AI104)</f>
        <v>0</v>
      </c>
      <c r="AJ105" s="75">
        <f t="shared" ref="AJ105" ca="1" si="202">AVERAGE(AJ102,AJ104)</f>
        <v>0</v>
      </c>
      <c r="AK105" s="75">
        <f t="shared" ref="AK105" ca="1" si="203">AVERAGE(AK102,AK104)</f>
        <v>0</v>
      </c>
      <c r="AL105" s="75">
        <f t="shared" ref="AL105" ca="1" si="204">AVERAGE(AL102,AL104)</f>
        <v>0</v>
      </c>
      <c r="AM105" s="75">
        <f t="shared" ref="AM105" ca="1" si="205">AVERAGE(AM102,AM104)</f>
        <v>0</v>
      </c>
      <c r="AN105" s="75">
        <f t="shared" ref="AN105" ca="1" si="206">AVERAGE(AN102,AN104)</f>
        <v>0</v>
      </c>
      <c r="AO105" s="75">
        <f t="shared" ref="AO105" ca="1" si="207">AVERAGE(AO102,AO104)</f>
        <v>0</v>
      </c>
      <c r="AP105" s="75">
        <f t="shared" ref="AP105" ca="1" si="208">AVERAGE(AP102,AP104)</f>
        <v>0</v>
      </c>
      <c r="AQ105" s="75">
        <f t="shared" ref="AQ105" ca="1" si="209">AVERAGE(AQ102,AQ104)</f>
        <v>0</v>
      </c>
      <c r="AR105" s="75">
        <f t="shared" ref="AR105" ca="1" si="210">AVERAGE(AR102,AR104)</f>
        <v>72797.417446034131</v>
      </c>
      <c r="AS105" s="75">
        <f t="shared" ref="AS105" ca="1" si="211">AVERAGE(AS102,AS104)</f>
        <v>145594.83489206826</v>
      </c>
      <c r="AT105" s="75">
        <f t="shared" ref="AT105" ca="1" si="212">AVERAGE(AT102,AT104)</f>
        <v>145594.83489206826</v>
      </c>
      <c r="AU105" s="75">
        <f t="shared" ref="AU105" ca="1" si="213">AVERAGE(AU102,AU104)</f>
        <v>145594.83489206826</v>
      </c>
      <c r="AV105" s="75">
        <f t="shared" ref="AV105" ca="1" si="214">AVERAGE(AV102,AV104)</f>
        <v>145594.83489206826</v>
      </c>
      <c r="AW105" s="75">
        <f t="shared" ref="AW105" ca="1" si="215">AVERAGE(AW102,AW104)</f>
        <v>145594.83489206826</v>
      </c>
      <c r="AX105" s="75">
        <f t="shared" ref="AX105" ca="1" si="216">AVERAGE(AX102,AX104)</f>
        <v>145594.83489206826</v>
      </c>
      <c r="AY105" s="75">
        <f t="shared" ref="AY105" ca="1" si="217">AVERAGE(AY102,AY104)</f>
        <v>145594.83489206826</v>
      </c>
      <c r="AZ105" s="75">
        <f t="shared" ref="AZ105" ca="1" si="218">AVERAGE(AZ102,AZ104)</f>
        <v>145594.83489206826</v>
      </c>
      <c r="BA105" s="75">
        <f t="shared" ref="BA105" ca="1" si="219">AVERAGE(BA102,BA104)</f>
        <v>145594.83489206826</v>
      </c>
      <c r="BB105" s="75">
        <f t="shared" ref="BB105" ca="1" si="220">AVERAGE(BB102,BB104)</f>
        <v>145594.83489206826</v>
      </c>
      <c r="BC105" s="75">
        <f t="shared" ref="BC105" ca="1" si="221">AVERAGE(BC102,BC104)</f>
        <v>145594.83489206826</v>
      </c>
      <c r="BD105" s="75">
        <f t="shared" ref="BD105" ca="1" si="222">AVERAGE(BD102,BD104)</f>
        <v>145594.83489206826</v>
      </c>
      <c r="BE105" s="75">
        <f t="shared" ref="BE105" ca="1" si="223">AVERAGE(BE102,BE104)</f>
        <v>145594.83489206826</v>
      </c>
      <c r="BF105" s="75">
        <f t="shared" ref="BF105" ca="1" si="224">AVERAGE(BF102,BF104)</f>
        <v>145594.83489206826</v>
      </c>
      <c r="BG105" s="75">
        <f t="shared" ref="BG105" ca="1" si="225">AVERAGE(BG102,BG104)</f>
        <v>145594.83489206826</v>
      </c>
      <c r="BH105" s="75">
        <f t="shared" ref="BH105" ca="1" si="226">AVERAGE(BH102,BH104)</f>
        <v>145594.83489206826</v>
      </c>
      <c r="BI105" s="75">
        <f t="shared" ref="BI105" ca="1" si="227">AVERAGE(BI102,BI104)</f>
        <v>145594.83489206826</v>
      </c>
      <c r="BJ105" s="75">
        <f t="shared" ref="BJ105" ca="1" si="228">AVERAGE(BJ102,BJ104)</f>
        <v>145594.83489206826</v>
      </c>
      <c r="BK105" s="75">
        <f t="shared" ref="BK105" ca="1" si="229">AVERAGE(BK102,BK104)</f>
        <v>145594.83489206826</v>
      </c>
      <c r="BL105" s="75">
        <f t="shared" ref="BL105" ca="1" si="230">AVERAGE(BL102,BL104)</f>
        <v>145594.83489206826</v>
      </c>
      <c r="BM105" s="75">
        <f t="shared" ref="BM105" ca="1" si="231">AVERAGE(BM102,BM104)</f>
        <v>145594.83489206826</v>
      </c>
      <c r="BN105" s="75">
        <f t="shared" ref="BN105" ca="1" si="232">AVERAGE(BN102,BN104)</f>
        <v>145594.83489206826</v>
      </c>
      <c r="BO105" s="75">
        <f t="shared" ref="BO105" ca="1" si="233">AVERAGE(BO102,BO104)</f>
        <v>145594.83489206826</v>
      </c>
      <c r="BP105" s="75">
        <f t="shared" ref="BP105" ca="1" si="234">AVERAGE(BP102,BP104)</f>
        <v>72797.417446034131</v>
      </c>
      <c r="BQ105" s="75">
        <f t="shared" ref="BQ105" ca="1" si="235">AVERAGE(BQ102,BQ104)</f>
        <v>0</v>
      </c>
      <c r="BR105" s="75">
        <f t="shared" ref="BR105" ca="1" si="236">AVERAGE(BR102,BR104)</f>
        <v>0</v>
      </c>
      <c r="BS105" s="75">
        <f t="shared" ref="BS105" ca="1" si="237">AVERAGE(BS102,BS104)</f>
        <v>0</v>
      </c>
      <c r="BT105" s="75">
        <f t="shared" ref="BT105" ca="1" si="238">AVERAGE(BT102,BT104)</f>
        <v>0</v>
      </c>
      <c r="BU105" s="75">
        <f t="shared" ref="BU105" ca="1" si="239">AVERAGE(BU102,BU104)</f>
        <v>0</v>
      </c>
      <c r="BV105" s="75">
        <f t="shared" ref="BV105" ca="1" si="240">AVERAGE(BV102,BV104)</f>
        <v>0</v>
      </c>
      <c r="BW105" s="75">
        <f t="shared" ref="BW105" ca="1" si="241">AVERAGE(BW102,BW104)</f>
        <v>0</v>
      </c>
      <c r="BX105" s="75">
        <f t="shared" ref="BX105" ca="1" si="242">AVERAGE(BX102,BX104)</f>
        <v>0</v>
      </c>
      <c r="BY105" s="75">
        <f t="shared" ref="BY105" ca="1" si="243">AVERAGE(BY102,BY104)</f>
        <v>0</v>
      </c>
      <c r="BZ105" s="75">
        <f t="shared" ref="BZ105" ca="1" si="244">AVERAGE(BZ102,BZ104)</f>
        <v>0</v>
      </c>
      <c r="CA105" s="75">
        <f t="shared" ref="CA105" ca="1" si="245">AVERAGE(CA102,CA104)</f>
        <v>0</v>
      </c>
      <c r="CB105" s="75">
        <f t="shared" ref="CB105" ca="1" si="246">AVERAGE(CB102,CB104)</f>
        <v>0</v>
      </c>
      <c r="CC105" s="75">
        <f t="shared" ref="CC105" ca="1" si="247">AVERAGE(CC102,CC104)</f>
        <v>0</v>
      </c>
      <c r="CD105" s="75">
        <f t="shared" ref="CD105" ca="1" si="248">AVERAGE(CD102,CD104)</f>
        <v>0</v>
      </c>
      <c r="CE105" s="75">
        <f t="shared" ref="CE105" ca="1" si="249">AVERAGE(CE102,CE104)</f>
        <v>0</v>
      </c>
      <c r="CF105" s="75">
        <f t="shared" ref="CF105" ca="1" si="250">AVERAGE(CF102,CF104)</f>
        <v>0</v>
      </c>
      <c r="CG105" s="75">
        <f t="shared" ref="CG105" ca="1" si="251">AVERAGE(CG102,CG104)</f>
        <v>0</v>
      </c>
      <c r="CH105" s="75">
        <f t="shared" ref="CH105" ca="1" si="252">AVERAGE(CH102,CH104)</f>
        <v>0</v>
      </c>
      <c r="CI105" s="75">
        <f t="shared" ref="CI105" ca="1" si="253">AVERAGE(CI102,CI104)</f>
        <v>0</v>
      </c>
      <c r="CJ105" s="75">
        <f t="shared" ref="CJ105" ca="1" si="254">AVERAGE(CJ102,CJ104)</f>
        <v>0</v>
      </c>
      <c r="CK105" s="75">
        <f t="shared" ref="CK105" ca="1" si="255">AVERAGE(CK102,CK104)</f>
        <v>0</v>
      </c>
      <c r="CL105" s="75">
        <f t="shared" ref="CL105" ca="1" si="256">AVERAGE(CL102,CL104)</f>
        <v>0</v>
      </c>
      <c r="CM105" s="75">
        <f t="shared" ref="CM105" ca="1" si="257">AVERAGE(CM102,CM104)</f>
        <v>0</v>
      </c>
      <c r="CN105" s="75">
        <f t="shared" ref="CN105" ca="1" si="258">AVERAGE(CN102,CN104)</f>
        <v>0</v>
      </c>
      <c r="CO105" s="75">
        <f t="shared" ref="CO105" ca="1" si="259">AVERAGE(CO102,CO104)</f>
        <v>0</v>
      </c>
      <c r="CP105" s="75">
        <f t="shared" ref="CP105" ca="1" si="260">AVERAGE(CP102,CP104)</f>
        <v>0</v>
      </c>
      <c r="CQ105" s="75">
        <f t="shared" ref="CQ105" ca="1" si="261">AVERAGE(CQ102,CQ104)</f>
        <v>0</v>
      </c>
      <c r="CR105" s="75">
        <f t="shared" ref="CR105" ca="1" si="262">AVERAGE(CR102,CR104)</f>
        <v>0</v>
      </c>
      <c r="CS105" s="75">
        <f t="shared" ref="CS105" ca="1" si="263">AVERAGE(CS102,CS104)</f>
        <v>0</v>
      </c>
      <c r="CT105" s="75">
        <f t="shared" ref="CT105" ca="1" si="264">AVERAGE(CT102,CT104)</f>
        <v>0</v>
      </c>
      <c r="CU105" s="75">
        <f t="shared" ref="CU105" ca="1" si="265">AVERAGE(CU102,CU104)</f>
        <v>0</v>
      </c>
      <c r="CV105" s="75">
        <f t="shared" ref="CV105" ca="1" si="266">AVERAGE(CV102,CV104)</f>
        <v>0</v>
      </c>
      <c r="CW105" s="75">
        <f t="shared" ref="CW105" ca="1" si="267">AVERAGE(CW102,CW104)</f>
        <v>0</v>
      </c>
      <c r="CX105" s="75">
        <f t="shared" ref="CX105" ca="1" si="268">AVERAGE(CX102,CX104)</f>
        <v>0</v>
      </c>
      <c r="CY105" s="75">
        <f t="shared" ref="CY105" ca="1" si="269">AVERAGE(CY102,CY104)</f>
        <v>0</v>
      </c>
      <c r="CZ105" s="75">
        <f t="shared" ref="CZ105" ca="1" si="270">AVERAGE(CZ102,CZ104)</f>
        <v>0</v>
      </c>
      <c r="DA105" s="75">
        <f t="shared" ref="DA105" ca="1" si="271">AVERAGE(DA102,DA104)</f>
        <v>0</v>
      </c>
      <c r="DB105" s="75">
        <f t="shared" ref="DB105" ca="1" si="272">AVERAGE(DB102,DB104)</f>
        <v>0</v>
      </c>
    </row>
    <row r="106" spans="3:106">
      <c r="D106" s="75" t="s">
        <v>343</v>
      </c>
      <c r="E106" s="278">
        <f>'A&amp;R'!I58</f>
        <v>4.1799999999999997E-2</v>
      </c>
      <c r="F106" s="75">
        <f ca="1">SUM(H106:DB106)</f>
        <v>12171.72819697691</v>
      </c>
      <c r="G106" s="75"/>
      <c r="H106" s="75">
        <f>H$102*$E$106/12</f>
        <v>0</v>
      </c>
      <c r="I106" s="75">
        <f t="shared" ref="I106:BT106" ca="1" si="273">I$102*$E$106/12</f>
        <v>0</v>
      </c>
      <c r="J106" s="75">
        <f t="shared" ca="1" si="273"/>
        <v>0</v>
      </c>
      <c r="K106" s="75">
        <f t="shared" ca="1" si="273"/>
        <v>0</v>
      </c>
      <c r="L106" s="75">
        <f t="shared" ca="1" si="273"/>
        <v>0</v>
      </c>
      <c r="M106" s="75">
        <f t="shared" ca="1" si="273"/>
        <v>0</v>
      </c>
      <c r="N106" s="75">
        <f t="shared" ca="1" si="273"/>
        <v>0</v>
      </c>
      <c r="O106" s="75">
        <f t="shared" ca="1" si="273"/>
        <v>0</v>
      </c>
      <c r="P106" s="75">
        <f t="shared" ca="1" si="273"/>
        <v>0</v>
      </c>
      <c r="Q106" s="75">
        <f t="shared" ca="1" si="273"/>
        <v>0</v>
      </c>
      <c r="R106" s="75">
        <f t="shared" ca="1" si="273"/>
        <v>0</v>
      </c>
      <c r="S106" s="75">
        <f t="shared" ca="1" si="273"/>
        <v>0</v>
      </c>
      <c r="T106" s="75">
        <f t="shared" ca="1" si="273"/>
        <v>0</v>
      </c>
      <c r="U106" s="75">
        <f t="shared" ca="1" si="273"/>
        <v>0</v>
      </c>
      <c r="V106" s="75">
        <f t="shared" ca="1" si="273"/>
        <v>0</v>
      </c>
      <c r="W106" s="75">
        <f t="shared" ca="1" si="273"/>
        <v>0</v>
      </c>
      <c r="X106" s="75">
        <f t="shared" ca="1" si="273"/>
        <v>0</v>
      </c>
      <c r="Y106" s="75">
        <f t="shared" ca="1" si="273"/>
        <v>0</v>
      </c>
      <c r="Z106" s="75">
        <f t="shared" ca="1" si="273"/>
        <v>0</v>
      </c>
      <c r="AA106" s="75">
        <f t="shared" ca="1" si="273"/>
        <v>0</v>
      </c>
      <c r="AB106" s="75">
        <f t="shared" ca="1" si="273"/>
        <v>0</v>
      </c>
      <c r="AC106" s="75">
        <f t="shared" ca="1" si="273"/>
        <v>0</v>
      </c>
      <c r="AD106" s="75">
        <f t="shared" ca="1" si="273"/>
        <v>0</v>
      </c>
      <c r="AE106" s="75">
        <f t="shared" ca="1" si="273"/>
        <v>0</v>
      </c>
      <c r="AF106" s="75">
        <f t="shared" ca="1" si="273"/>
        <v>0</v>
      </c>
      <c r="AG106" s="75">
        <f t="shared" ca="1" si="273"/>
        <v>0</v>
      </c>
      <c r="AH106" s="75">
        <f t="shared" ca="1" si="273"/>
        <v>0</v>
      </c>
      <c r="AI106" s="75">
        <f t="shared" ca="1" si="273"/>
        <v>0</v>
      </c>
      <c r="AJ106" s="75">
        <f t="shared" ca="1" si="273"/>
        <v>0</v>
      </c>
      <c r="AK106" s="75">
        <f t="shared" ca="1" si="273"/>
        <v>0</v>
      </c>
      <c r="AL106" s="75">
        <f t="shared" ca="1" si="273"/>
        <v>0</v>
      </c>
      <c r="AM106" s="75">
        <f t="shared" ca="1" si="273"/>
        <v>0</v>
      </c>
      <c r="AN106" s="75">
        <f t="shared" ca="1" si="273"/>
        <v>0</v>
      </c>
      <c r="AO106" s="75">
        <f t="shared" ca="1" si="273"/>
        <v>0</v>
      </c>
      <c r="AP106" s="75">
        <f t="shared" ca="1" si="273"/>
        <v>0</v>
      </c>
      <c r="AQ106" s="75">
        <f t="shared" ca="1" si="273"/>
        <v>0</v>
      </c>
      <c r="AR106" s="75">
        <f t="shared" ca="1" si="273"/>
        <v>0</v>
      </c>
      <c r="AS106" s="75">
        <f t="shared" ca="1" si="273"/>
        <v>507.15534154070446</v>
      </c>
      <c r="AT106" s="75">
        <f t="shared" ca="1" si="273"/>
        <v>507.15534154070446</v>
      </c>
      <c r="AU106" s="75">
        <f t="shared" ca="1" si="273"/>
        <v>507.15534154070446</v>
      </c>
      <c r="AV106" s="75">
        <f t="shared" ca="1" si="273"/>
        <v>507.15534154070446</v>
      </c>
      <c r="AW106" s="75">
        <f t="shared" ca="1" si="273"/>
        <v>507.15534154070446</v>
      </c>
      <c r="AX106" s="75">
        <f t="shared" ca="1" si="273"/>
        <v>507.15534154070446</v>
      </c>
      <c r="AY106" s="75">
        <f t="shared" ca="1" si="273"/>
        <v>507.15534154070446</v>
      </c>
      <c r="AZ106" s="75">
        <f t="shared" ca="1" si="273"/>
        <v>507.15534154070446</v>
      </c>
      <c r="BA106" s="75">
        <f t="shared" ca="1" si="273"/>
        <v>507.15534154070446</v>
      </c>
      <c r="BB106" s="75">
        <f t="shared" ca="1" si="273"/>
        <v>507.15534154070446</v>
      </c>
      <c r="BC106" s="75">
        <f t="shared" ca="1" si="273"/>
        <v>507.15534154070446</v>
      </c>
      <c r="BD106" s="75">
        <f t="shared" ca="1" si="273"/>
        <v>507.15534154070446</v>
      </c>
      <c r="BE106" s="75">
        <f t="shared" ca="1" si="273"/>
        <v>507.15534154070446</v>
      </c>
      <c r="BF106" s="75">
        <f t="shared" ca="1" si="273"/>
        <v>507.15534154070446</v>
      </c>
      <c r="BG106" s="75">
        <f t="shared" ca="1" si="273"/>
        <v>507.15534154070446</v>
      </c>
      <c r="BH106" s="75">
        <f t="shared" ca="1" si="273"/>
        <v>507.15534154070446</v>
      </c>
      <c r="BI106" s="75">
        <f t="shared" ca="1" si="273"/>
        <v>507.15534154070446</v>
      </c>
      <c r="BJ106" s="75">
        <f t="shared" ca="1" si="273"/>
        <v>507.15534154070446</v>
      </c>
      <c r="BK106" s="75">
        <f t="shared" ca="1" si="273"/>
        <v>507.15534154070446</v>
      </c>
      <c r="BL106" s="75">
        <f t="shared" ca="1" si="273"/>
        <v>507.15534154070446</v>
      </c>
      <c r="BM106" s="75">
        <f t="shared" ca="1" si="273"/>
        <v>507.15534154070446</v>
      </c>
      <c r="BN106" s="75">
        <f t="shared" ca="1" si="273"/>
        <v>507.15534154070446</v>
      </c>
      <c r="BO106" s="75">
        <f t="shared" ca="1" si="273"/>
        <v>507.15534154070446</v>
      </c>
      <c r="BP106" s="75">
        <f t="shared" ca="1" si="273"/>
        <v>507.15534154070446</v>
      </c>
      <c r="BQ106" s="75">
        <f t="shared" ca="1" si="273"/>
        <v>0</v>
      </c>
      <c r="BR106" s="75">
        <f t="shared" ca="1" si="273"/>
        <v>0</v>
      </c>
      <c r="BS106" s="75">
        <f t="shared" ca="1" si="273"/>
        <v>0</v>
      </c>
      <c r="BT106" s="75">
        <f t="shared" ca="1" si="273"/>
        <v>0</v>
      </c>
      <c r="BU106" s="75">
        <f t="shared" ref="BU106:DB106" ca="1" si="274">BU$102*$E$106/12</f>
        <v>0</v>
      </c>
      <c r="BV106" s="75">
        <f t="shared" ca="1" si="274"/>
        <v>0</v>
      </c>
      <c r="BW106" s="75">
        <f t="shared" ca="1" si="274"/>
        <v>0</v>
      </c>
      <c r="BX106" s="75">
        <f t="shared" ca="1" si="274"/>
        <v>0</v>
      </c>
      <c r="BY106" s="75">
        <f t="shared" ca="1" si="274"/>
        <v>0</v>
      </c>
      <c r="BZ106" s="75">
        <f t="shared" ca="1" si="274"/>
        <v>0</v>
      </c>
      <c r="CA106" s="75">
        <f t="shared" ca="1" si="274"/>
        <v>0</v>
      </c>
      <c r="CB106" s="75">
        <f t="shared" ca="1" si="274"/>
        <v>0</v>
      </c>
      <c r="CC106" s="75">
        <f t="shared" ca="1" si="274"/>
        <v>0</v>
      </c>
      <c r="CD106" s="75">
        <f t="shared" ca="1" si="274"/>
        <v>0</v>
      </c>
      <c r="CE106" s="75">
        <f t="shared" ca="1" si="274"/>
        <v>0</v>
      </c>
      <c r="CF106" s="75">
        <f t="shared" ca="1" si="274"/>
        <v>0</v>
      </c>
      <c r="CG106" s="75">
        <f t="shared" ca="1" si="274"/>
        <v>0</v>
      </c>
      <c r="CH106" s="75">
        <f t="shared" ca="1" si="274"/>
        <v>0</v>
      </c>
      <c r="CI106" s="75">
        <f t="shared" ca="1" si="274"/>
        <v>0</v>
      </c>
      <c r="CJ106" s="75">
        <f t="shared" ca="1" si="274"/>
        <v>0</v>
      </c>
      <c r="CK106" s="75">
        <f t="shared" ca="1" si="274"/>
        <v>0</v>
      </c>
      <c r="CL106" s="75">
        <f t="shared" ca="1" si="274"/>
        <v>0</v>
      </c>
      <c r="CM106" s="75">
        <f t="shared" ca="1" si="274"/>
        <v>0</v>
      </c>
      <c r="CN106" s="75">
        <f t="shared" ca="1" si="274"/>
        <v>0</v>
      </c>
      <c r="CO106" s="75">
        <f t="shared" ca="1" si="274"/>
        <v>0</v>
      </c>
      <c r="CP106" s="75">
        <f t="shared" ca="1" si="274"/>
        <v>0</v>
      </c>
      <c r="CQ106" s="75">
        <f t="shared" ca="1" si="274"/>
        <v>0</v>
      </c>
      <c r="CR106" s="75">
        <f t="shared" ca="1" si="274"/>
        <v>0</v>
      </c>
      <c r="CS106" s="75">
        <f t="shared" ca="1" si="274"/>
        <v>0</v>
      </c>
      <c r="CT106" s="75">
        <f t="shared" ca="1" si="274"/>
        <v>0</v>
      </c>
      <c r="CU106" s="75">
        <f t="shared" ca="1" si="274"/>
        <v>0</v>
      </c>
      <c r="CV106" s="75">
        <f t="shared" ca="1" si="274"/>
        <v>0</v>
      </c>
      <c r="CW106" s="75">
        <f t="shared" ca="1" si="274"/>
        <v>0</v>
      </c>
      <c r="CX106" s="75">
        <f t="shared" ca="1" si="274"/>
        <v>0</v>
      </c>
      <c r="CY106" s="75">
        <f t="shared" ca="1" si="274"/>
        <v>0</v>
      </c>
      <c r="CZ106" s="75">
        <f t="shared" ca="1" si="274"/>
        <v>0</v>
      </c>
      <c r="DA106" s="75">
        <f t="shared" ca="1" si="274"/>
        <v>0</v>
      </c>
      <c r="DB106" s="75">
        <f t="shared" ca="1" si="274"/>
        <v>0</v>
      </c>
    </row>
    <row r="107" spans="3:106">
      <c r="D107" s="144" t="s">
        <v>344</v>
      </c>
      <c r="E107" s="144"/>
      <c r="F107" s="144">
        <f ca="1">SUM(H107:DB107)</f>
        <v>12171.72819697691</v>
      </c>
      <c r="G107" s="144"/>
      <c r="H107" s="144">
        <f>(SUM($H$106:H$106)-SUM($G$107:G$107))*H$100</f>
        <v>0</v>
      </c>
      <c r="I107" s="144">
        <f ca="1">(SUM($H$106:I$106)-SUM($G$107:H$107))*I$100</f>
        <v>0</v>
      </c>
      <c r="J107" s="144">
        <f ca="1">(SUM($H$106:J$106)-SUM($G$107:I$107))*J$100</f>
        <v>0</v>
      </c>
      <c r="K107" s="144">
        <f ca="1">(SUM($H$106:K$106)-SUM($G$107:J$107))*K$100</f>
        <v>0</v>
      </c>
      <c r="L107" s="144">
        <f ca="1">(SUM($H$106:L$106)-SUM($G$107:K$107))*L$100</f>
        <v>0</v>
      </c>
      <c r="M107" s="144">
        <f ca="1">(SUM($H$106:M$106)-SUM($G$107:L$107))*M$100</f>
        <v>0</v>
      </c>
      <c r="N107" s="144">
        <f ca="1">(SUM($H$106:N$106)-SUM($G$107:M$107))*N$100</f>
        <v>0</v>
      </c>
      <c r="O107" s="144">
        <f ca="1">(SUM($H$106:O$106)-SUM($G$107:N$107))*O$100</f>
        <v>0</v>
      </c>
      <c r="P107" s="144">
        <f ca="1">(SUM($H$106:P$106)-SUM($G$107:O$107))*P$100</f>
        <v>0</v>
      </c>
      <c r="Q107" s="144">
        <f ca="1">(SUM($H$106:Q$106)-SUM($G$107:P$107))*Q$100</f>
        <v>0</v>
      </c>
      <c r="R107" s="144">
        <f ca="1">(SUM($H$106:R$106)-SUM($G$107:Q$107))*R$100</f>
        <v>0</v>
      </c>
      <c r="S107" s="144">
        <f ca="1">(SUM($H$106:S$106)-SUM($G$107:R$107))*S$100</f>
        <v>0</v>
      </c>
      <c r="T107" s="144">
        <f ca="1">(SUM($H$106:T$106)-SUM($G$107:S$107))*T$100</f>
        <v>0</v>
      </c>
      <c r="U107" s="144">
        <f ca="1">(SUM($H$106:U$106)-SUM($G$107:T$107))*U$100</f>
        <v>0</v>
      </c>
      <c r="V107" s="144">
        <f ca="1">(SUM($H$106:V$106)-SUM($G$107:U$107))*V$100</f>
        <v>0</v>
      </c>
      <c r="W107" s="144">
        <f ca="1">(SUM($H$106:W$106)-SUM($G$107:V$107))*W$100</f>
        <v>0</v>
      </c>
      <c r="X107" s="144">
        <f ca="1">(SUM($H$106:X$106)-SUM($G$107:W$107))*X$100</f>
        <v>0</v>
      </c>
      <c r="Y107" s="144">
        <f ca="1">(SUM($H$106:Y$106)-SUM($G$107:X$107))*Y$100</f>
        <v>0</v>
      </c>
      <c r="Z107" s="144">
        <f ca="1">(SUM($H$106:Z$106)-SUM($G$107:Y$107))*Z$100</f>
        <v>0</v>
      </c>
      <c r="AA107" s="144">
        <f ca="1">(SUM($H$106:AA$106)-SUM($G$107:Z$107))*AA$100</f>
        <v>0</v>
      </c>
      <c r="AB107" s="144">
        <f ca="1">(SUM($H$106:AB$106)-SUM($G$107:AA$107))*AB$100</f>
        <v>0</v>
      </c>
      <c r="AC107" s="144">
        <f ca="1">(SUM($H$106:AC$106)-SUM($G$107:AB$107))*AC$100</f>
        <v>0</v>
      </c>
      <c r="AD107" s="144">
        <f ca="1">(SUM($H$106:AD$106)-SUM($G$107:AC$107))*AD$100</f>
        <v>0</v>
      </c>
      <c r="AE107" s="144">
        <f ca="1">(SUM($H$106:AE$106)-SUM($G$107:AD$107))*AE$100</f>
        <v>0</v>
      </c>
      <c r="AF107" s="144">
        <f ca="1">(SUM($H$106:AF$106)-SUM($G$107:AE$107))*AF$100</f>
        <v>0</v>
      </c>
      <c r="AG107" s="144">
        <f ca="1">(SUM($H$106:AG$106)-SUM($G$107:AF$107))*AG$100</f>
        <v>0</v>
      </c>
      <c r="AH107" s="144">
        <f ca="1">(SUM($H$106:AH$106)-SUM($G$107:AG$107))*AH$100</f>
        <v>0</v>
      </c>
      <c r="AI107" s="144">
        <f ca="1">(SUM($H$106:AI$106)-SUM($G$107:AH$107))*AI$100</f>
        <v>0</v>
      </c>
      <c r="AJ107" s="144">
        <f ca="1">(SUM($H$106:AJ$106)-SUM($G$107:AI$107))*AJ$100</f>
        <v>0</v>
      </c>
      <c r="AK107" s="144">
        <f ca="1">(SUM($H$106:AK$106)-SUM($G$107:AJ$107))*AK$100</f>
        <v>0</v>
      </c>
      <c r="AL107" s="144">
        <f ca="1">(SUM($H$106:AL$106)-SUM($G$107:AK$107))*AL$100</f>
        <v>0</v>
      </c>
      <c r="AM107" s="144">
        <f ca="1">(SUM($H$106:AM$106)-SUM($G$107:AL$107))*AM$100</f>
        <v>0</v>
      </c>
      <c r="AN107" s="144">
        <f ca="1">(SUM($H$106:AN$106)-SUM($G$107:AM$107))*AN$100</f>
        <v>0</v>
      </c>
      <c r="AO107" s="144">
        <f ca="1">(SUM($H$106:AO$106)-SUM($G$107:AN$107))*AO$100</f>
        <v>0</v>
      </c>
      <c r="AP107" s="144">
        <f ca="1">(SUM($H$106:AP$106)-SUM($G$107:AO$107))*AP$100</f>
        <v>0</v>
      </c>
      <c r="AQ107" s="144">
        <f ca="1">(SUM($H$106:AQ$106)-SUM($G$107:AP$107))*AQ$100</f>
        <v>0</v>
      </c>
      <c r="AR107" s="144">
        <f ca="1">(SUM($H$106:AR$106)-SUM($G$107:AQ$107))*AR$100</f>
        <v>0</v>
      </c>
      <c r="AS107" s="144">
        <f ca="1">(SUM($H$106:AS$106)-SUM($G$107:AR$107))*AS$100</f>
        <v>0</v>
      </c>
      <c r="AT107" s="144">
        <f ca="1">(SUM($H$106:AT$106)-SUM($G$107:AS$107))*AT$100</f>
        <v>0</v>
      </c>
      <c r="AU107" s="144">
        <f ca="1">(SUM($H$106:AU$106)-SUM($G$107:AT$107))*AU$100</f>
        <v>0</v>
      </c>
      <c r="AV107" s="144">
        <f ca="1">(SUM($H$106:AV$106)-SUM($G$107:AU$107))*AV$100</f>
        <v>0</v>
      </c>
      <c r="AW107" s="144">
        <f ca="1">(SUM($H$106:AW$106)-SUM($G$107:AV$107))*AW$100</f>
        <v>0</v>
      </c>
      <c r="AX107" s="144">
        <f ca="1">(SUM($H$106:AX$106)-SUM($G$107:AW$107))*AX$100</f>
        <v>3042.9320492442266</v>
      </c>
      <c r="AY107" s="144">
        <f ca="1">(SUM($H$106:AY$106)-SUM($G$107:AX$107))*AY$100</f>
        <v>0</v>
      </c>
      <c r="AZ107" s="144">
        <f ca="1">(SUM($H$106:AZ$106)-SUM($G$107:AY$107))*AZ$100</f>
        <v>0</v>
      </c>
      <c r="BA107" s="144">
        <f ca="1">(SUM($H$106:BA$106)-SUM($G$107:AZ$107))*BA$100</f>
        <v>0</v>
      </c>
      <c r="BB107" s="144">
        <f ca="1">(SUM($H$106:BB$106)-SUM($G$107:BA$107))*BB$100</f>
        <v>0</v>
      </c>
      <c r="BC107" s="144">
        <f ca="1">(SUM($H$106:BC$106)-SUM($G$107:BB$107))*BC$100</f>
        <v>0</v>
      </c>
      <c r="BD107" s="144">
        <f ca="1">(SUM($H$106:BD$106)-SUM($G$107:BC$107))*BD$100</f>
        <v>3042.9320492442257</v>
      </c>
      <c r="BE107" s="144">
        <f ca="1">(SUM($H$106:BE$106)-SUM($G$107:BD$107))*BE$100</f>
        <v>0</v>
      </c>
      <c r="BF107" s="144">
        <f ca="1">(SUM($H$106:BF$106)-SUM($G$107:BE$107))*BF$100</f>
        <v>0</v>
      </c>
      <c r="BG107" s="144">
        <f ca="1">(SUM($H$106:BG$106)-SUM($G$107:BF$107))*BG$100</f>
        <v>0</v>
      </c>
      <c r="BH107" s="144">
        <f ca="1">(SUM($H$106:BH$106)-SUM($G$107:BG$107))*BH$100</f>
        <v>0</v>
      </c>
      <c r="BI107" s="144">
        <f ca="1">(SUM($H$106:BI$106)-SUM($G$107:BH$107))*BI$100</f>
        <v>0</v>
      </c>
      <c r="BJ107" s="144">
        <f ca="1">(SUM($H$106:BJ$106)-SUM($G$107:BI$107))*BJ$100</f>
        <v>3042.9320492442266</v>
      </c>
      <c r="BK107" s="144">
        <f ca="1">(SUM($H$106:BK$106)-SUM($G$107:BJ$107))*BK$100</f>
        <v>0</v>
      </c>
      <c r="BL107" s="144">
        <f ca="1">(SUM($H$106:BL$106)-SUM($G$107:BK$107))*BL$100</f>
        <v>0</v>
      </c>
      <c r="BM107" s="144">
        <f ca="1">(SUM($H$106:BM$106)-SUM($G$107:BL$107))*BM$100</f>
        <v>0</v>
      </c>
      <c r="BN107" s="144">
        <f ca="1">(SUM($H$106:BN$106)-SUM($G$107:BM$107))*BN$100</f>
        <v>0</v>
      </c>
      <c r="BO107" s="144">
        <f ca="1">(SUM($H$106:BO$106)-SUM($G$107:BN$107))*BO$100</f>
        <v>0</v>
      </c>
      <c r="BP107" s="144">
        <f ca="1">(SUM($H$106:BP$106)-SUM($G$107:BO$107))*BP$100</f>
        <v>3042.9320492442312</v>
      </c>
      <c r="BQ107" s="144">
        <f ca="1">(SUM($H$106:BQ$106)-SUM($G$107:BP$107))*BQ$100</f>
        <v>0</v>
      </c>
      <c r="BR107" s="144">
        <f ca="1">(SUM($H$106:BR$106)-SUM($G$107:BQ$107))*BR$100</f>
        <v>0</v>
      </c>
      <c r="BS107" s="144">
        <f ca="1">(SUM($H$106:BS$106)-SUM($G$107:BR$107))*BS$100</f>
        <v>0</v>
      </c>
      <c r="BT107" s="144">
        <f ca="1">(SUM($H$106:BT$106)-SUM($G$107:BS$107))*BT$100</f>
        <v>0</v>
      </c>
      <c r="BU107" s="144">
        <f ca="1">(SUM($H$106:BU$106)-SUM($G$107:BT$107))*BU$100</f>
        <v>0</v>
      </c>
      <c r="BV107" s="144">
        <f ca="1">(SUM($H$106:BV$106)-SUM($G$107:BU$107))*BV$100</f>
        <v>0</v>
      </c>
      <c r="BW107" s="144">
        <f ca="1">(SUM($H$106:BW$106)-SUM($G$107:BV$107))*BW$100</f>
        <v>0</v>
      </c>
      <c r="BX107" s="144">
        <f ca="1">(SUM($H$106:BX$106)-SUM($G$107:BW$107))*BX$100</f>
        <v>0</v>
      </c>
      <c r="BY107" s="144">
        <f ca="1">(SUM($H$106:BY$106)-SUM($G$107:BX$107))*BY$100</f>
        <v>0</v>
      </c>
      <c r="BZ107" s="144">
        <f ca="1">(SUM($H$106:BZ$106)-SUM($G$107:BY$107))*BZ$100</f>
        <v>0</v>
      </c>
      <c r="CA107" s="144">
        <f ca="1">(SUM($H$106:CA$106)-SUM($G$107:BZ$107))*CA$100</f>
        <v>0</v>
      </c>
      <c r="CB107" s="144">
        <f ca="1">(SUM($H$106:CB$106)-SUM($G$107:CA$107))*CB$100</f>
        <v>0</v>
      </c>
      <c r="CC107" s="144">
        <f ca="1">(SUM($H$106:CC$106)-SUM($G$107:CB$107))*CC$100</f>
        <v>0</v>
      </c>
      <c r="CD107" s="144">
        <f ca="1">(SUM($H$106:CD$106)-SUM($G$107:CC$107))*CD$100</f>
        <v>0</v>
      </c>
      <c r="CE107" s="144">
        <f ca="1">(SUM($H$106:CE$106)-SUM($G$107:CD$107))*CE$100</f>
        <v>0</v>
      </c>
      <c r="CF107" s="144">
        <f ca="1">(SUM($H$106:CF$106)-SUM($G$107:CE$107))*CF$100</f>
        <v>0</v>
      </c>
      <c r="CG107" s="144">
        <f ca="1">(SUM($H$106:CG$106)-SUM($G$107:CF$107))*CG$100</f>
        <v>0</v>
      </c>
      <c r="CH107" s="144">
        <f ca="1">(SUM($H$106:CH$106)-SUM($G$107:CG$107))*CH$100</f>
        <v>0</v>
      </c>
      <c r="CI107" s="144">
        <f ca="1">(SUM($H$106:CI$106)-SUM($G$107:CH$107))*CI$100</f>
        <v>0</v>
      </c>
      <c r="CJ107" s="144">
        <f ca="1">(SUM($H$106:CJ$106)-SUM($G$107:CI$107))*CJ$100</f>
        <v>0</v>
      </c>
      <c r="CK107" s="144">
        <f ca="1">(SUM($H$106:CK$106)-SUM($G$107:CJ$107))*CK$100</f>
        <v>0</v>
      </c>
      <c r="CL107" s="144">
        <f ca="1">(SUM($H$106:CL$106)-SUM($G$107:CK$107))*CL$100</f>
        <v>0</v>
      </c>
      <c r="CM107" s="144">
        <f ca="1">(SUM($H$106:CM$106)-SUM($G$107:CL$107))*CM$100</f>
        <v>0</v>
      </c>
      <c r="CN107" s="144">
        <f ca="1">(SUM($H$106:CN$106)-SUM($G$107:CM$107))*CN$100</f>
        <v>0</v>
      </c>
      <c r="CO107" s="144">
        <f ca="1">(SUM($H$106:CO$106)-SUM($G$107:CN$107))*CO$100</f>
        <v>0</v>
      </c>
      <c r="CP107" s="144">
        <f ca="1">(SUM($H$106:CP$106)-SUM($G$107:CO$107))*CP$100</f>
        <v>0</v>
      </c>
      <c r="CQ107" s="144">
        <f ca="1">(SUM($H$106:CQ$106)-SUM($G$107:CP$107))*CQ$100</f>
        <v>0</v>
      </c>
      <c r="CR107" s="144">
        <f ca="1">(SUM($H$106:CR$106)-SUM($G$107:CQ$107))*CR$100</f>
        <v>0</v>
      </c>
      <c r="CS107" s="144">
        <f ca="1">(SUM($H$106:CS$106)-SUM($G$107:CR$107))*CS$100</f>
        <v>0</v>
      </c>
      <c r="CT107" s="144">
        <f ca="1">(SUM($H$106:CT$106)-SUM($G$107:CS$107))*CT$100</f>
        <v>0</v>
      </c>
      <c r="CU107" s="144">
        <f ca="1">(SUM($H$106:CU$106)-SUM($G$107:CT$107))*CU$100</f>
        <v>0</v>
      </c>
      <c r="CV107" s="144">
        <f ca="1">(SUM($H$106:CV$106)-SUM($G$107:CU$107))*CV$100</f>
        <v>0</v>
      </c>
      <c r="CW107" s="144">
        <f ca="1">(SUM($H$106:CW$106)-SUM($G$107:CV$107))*CW$100</f>
        <v>0</v>
      </c>
      <c r="CX107" s="144">
        <f ca="1">(SUM($H$106:CX$106)-SUM($G$107:CW$107))*CX$100</f>
        <v>0</v>
      </c>
      <c r="CY107" s="144">
        <f ca="1">(SUM($H$106:CY$106)-SUM($G$107:CX$107))*CY$100</f>
        <v>0</v>
      </c>
      <c r="CZ107" s="144">
        <f ca="1">(SUM($H$106:CZ$106)-SUM($G$107:CY$107))*CZ$100</f>
        <v>0</v>
      </c>
      <c r="DA107" s="144">
        <f ca="1">(SUM($H$106:DA$106)-SUM($G$107:CZ$107))*DA$100</f>
        <v>0</v>
      </c>
      <c r="DB107" s="144">
        <f ca="1">(SUM($H$106:DB$106)-SUM($G$107:DA$107))*DB$100</f>
        <v>0</v>
      </c>
    </row>
    <row r="109" spans="3:106">
      <c r="C109" s="13" t="s">
        <v>365</v>
      </c>
    </row>
    <row r="110" spans="3:106" hidden="1" outlineLevel="1">
      <c r="E110" s="272" t="s">
        <v>148</v>
      </c>
      <c r="F110" s="273">
        <f>'A&amp;R'!F59</f>
        <v>46418</v>
      </c>
    </row>
    <row r="111" spans="3:106" hidden="1" outlineLevel="1">
      <c r="E111" s="274" t="s">
        <v>149</v>
      </c>
      <c r="F111" s="275">
        <f>'A&amp;R'!G59</f>
        <v>47514</v>
      </c>
    </row>
    <row r="112" spans="3:106" hidden="1" outlineLevel="1">
      <c r="E112" s="276" t="s">
        <v>152</v>
      </c>
      <c r="F112" s="277">
        <f>'A&amp;R'!K59</f>
        <v>6</v>
      </c>
    </row>
    <row r="113" spans="3:106" s="63" customFormat="1" hidden="1" outlineLevel="1">
      <c r="F113" s="63" t="s">
        <v>338</v>
      </c>
      <c r="H113" s="63">
        <f t="shared" ref="H113:AM113" si="275">(H$14&gt;=$F$110)*(H$14&lt;=$F$111)*1</f>
        <v>0</v>
      </c>
      <c r="I113" s="63">
        <f t="shared" si="275"/>
        <v>0</v>
      </c>
      <c r="J113" s="63">
        <f t="shared" si="275"/>
        <v>0</v>
      </c>
      <c r="K113" s="63">
        <f t="shared" si="275"/>
        <v>0</v>
      </c>
      <c r="L113" s="63">
        <f t="shared" si="275"/>
        <v>0</v>
      </c>
      <c r="M113" s="63">
        <f t="shared" si="275"/>
        <v>0</v>
      </c>
      <c r="N113" s="63">
        <f t="shared" si="275"/>
        <v>0</v>
      </c>
      <c r="O113" s="63">
        <f t="shared" si="275"/>
        <v>0</v>
      </c>
      <c r="P113" s="63">
        <f t="shared" si="275"/>
        <v>0</v>
      </c>
      <c r="Q113" s="63">
        <f t="shared" si="275"/>
        <v>0</v>
      </c>
      <c r="R113" s="63">
        <f t="shared" si="275"/>
        <v>0</v>
      </c>
      <c r="S113" s="63">
        <f t="shared" si="275"/>
        <v>0</v>
      </c>
      <c r="T113" s="63">
        <f t="shared" si="275"/>
        <v>0</v>
      </c>
      <c r="U113" s="63">
        <f t="shared" si="275"/>
        <v>0</v>
      </c>
      <c r="V113" s="63">
        <f t="shared" si="275"/>
        <v>0</v>
      </c>
      <c r="W113" s="63">
        <f t="shared" si="275"/>
        <v>0</v>
      </c>
      <c r="X113" s="63">
        <f t="shared" si="275"/>
        <v>0</v>
      </c>
      <c r="Y113" s="63">
        <f t="shared" si="275"/>
        <v>0</v>
      </c>
      <c r="Z113" s="63">
        <f t="shared" si="275"/>
        <v>0</v>
      </c>
      <c r="AA113" s="63">
        <f t="shared" si="275"/>
        <v>0</v>
      </c>
      <c r="AB113" s="63">
        <f t="shared" si="275"/>
        <v>0</v>
      </c>
      <c r="AC113" s="63">
        <f t="shared" si="275"/>
        <v>0</v>
      </c>
      <c r="AD113" s="63">
        <f t="shared" si="275"/>
        <v>0</v>
      </c>
      <c r="AE113" s="63">
        <f t="shared" si="275"/>
        <v>0</v>
      </c>
      <c r="AF113" s="63">
        <f t="shared" si="275"/>
        <v>1</v>
      </c>
      <c r="AG113" s="63">
        <f t="shared" si="275"/>
        <v>1</v>
      </c>
      <c r="AH113" s="63">
        <f t="shared" si="275"/>
        <v>1</v>
      </c>
      <c r="AI113" s="63">
        <f t="shared" si="275"/>
        <v>1</v>
      </c>
      <c r="AJ113" s="63">
        <f t="shared" si="275"/>
        <v>1</v>
      </c>
      <c r="AK113" s="63">
        <f t="shared" si="275"/>
        <v>1</v>
      </c>
      <c r="AL113" s="63">
        <f t="shared" si="275"/>
        <v>1</v>
      </c>
      <c r="AM113" s="63">
        <f t="shared" si="275"/>
        <v>1</v>
      </c>
      <c r="AN113" s="63">
        <f t="shared" ref="AN113:BS113" si="276">(AN$14&gt;=$F$110)*(AN$14&lt;=$F$111)*1</f>
        <v>1</v>
      </c>
      <c r="AO113" s="63">
        <f t="shared" si="276"/>
        <v>1</v>
      </c>
      <c r="AP113" s="63">
        <f t="shared" si="276"/>
        <v>1</v>
      </c>
      <c r="AQ113" s="63">
        <f t="shared" si="276"/>
        <v>1</v>
      </c>
      <c r="AR113" s="63">
        <f t="shared" si="276"/>
        <v>1</v>
      </c>
      <c r="AS113" s="63">
        <f t="shared" si="276"/>
        <v>1</v>
      </c>
      <c r="AT113" s="63">
        <f t="shared" si="276"/>
        <v>1</v>
      </c>
      <c r="AU113" s="63">
        <f t="shared" si="276"/>
        <v>1</v>
      </c>
      <c r="AV113" s="63">
        <f t="shared" si="276"/>
        <v>1</v>
      </c>
      <c r="AW113" s="63">
        <f t="shared" si="276"/>
        <v>1</v>
      </c>
      <c r="AX113" s="63">
        <f t="shared" si="276"/>
        <v>1</v>
      </c>
      <c r="AY113" s="63">
        <f t="shared" si="276"/>
        <v>1</v>
      </c>
      <c r="AZ113" s="63">
        <f t="shared" si="276"/>
        <v>1</v>
      </c>
      <c r="BA113" s="63">
        <f t="shared" si="276"/>
        <v>1</v>
      </c>
      <c r="BB113" s="63">
        <f t="shared" si="276"/>
        <v>1</v>
      </c>
      <c r="BC113" s="63">
        <f t="shared" si="276"/>
        <v>1</v>
      </c>
      <c r="BD113" s="63">
        <f t="shared" si="276"/>
        <v>1</v>
      </c>
      <c r="BE113" s="63">
        <f t="shared" si="276"/>
        <v>1</v>
      </c>
      <c r="BF113" s="63">
        <f t="shared" si="276"/>
        <v>1</v>
      </c>
      <c r="BG113" s="63">
        <f t="shared" si="276"/>
        <v>1</v>
      </c>
      <c r="BH113" s="63">
        <f t="shared" si="276"/>
        <v>1</v>
      </c>
      <c r="BI113" s="63">
        <f t="shared" si="276"/>
        <v>1</v>
      </c>
      <c r="BJ113" s="63">
        <f t="shared" si="276"/>
        <v>1</v>
      </c>
      <c r="BK113" s="63">
        <f t="shared" si="276"/>
        <v>1</v>
      </c>
      <c r="BL113" s="63">
        <f t="shared" si="276"/>
        <v>1</v>
      </c>
      <c r="BM113" s="63">
        <f t="shared" si="276"/>
        <v>1</v>
      </c>
      <c r="BN113" s="63">
        <f t="shared" si="276"/>
        <v>1</v>
      </c>
      <c r="BO113" s="63">
        <f t="shared" si="276"/>
        <v>1</v>
      </c>
      <c r="BP113" s="63">
        <f t="shared" si="276"/>
        <v>1</v>
      </c>
      <c r="BQ113" s="63">
        <f t="shared" si="276"/>
        <v>0</v>
      </c>
      <c r="BR113" s="63">
        <f t="shared" si="276"/>
        <v>0</v>
      </c>
      <c r="BS113" s="63">
        <f t="shared" si="276"/>
        <v>0</v>
      </c>
      <c r="BT113" s="63">
        <f t="shared" ref="BT113:DB113" si="277">(BT$14&gt;=$F$110)*(BT$14&lt;=$F$111)*1</f>
        <v>0</v>
      </c>
      <c r="BU113" s="63">
        <f t="shared" si="277"/>
        <v>0</v>
      </c>
      <c r="BV113" s="63">
        <f t="shared" si="277"/>
        <v>0</v>
      </c>
      <c r="BW113" s="63">
        <f t="shared" si="277"/>
        <v>0</v>
      </c>
      <c r="BX113" s="63">
        <f t="shared" si="277"/>
        <v>0</v>
      </c>
      <c r="BY113" s="63">
        <f t="shared" si="277"/>
        <v>0</v>
      </c>
      <c r="BZ113" s="63">
        <f t="shared" si="277"/>
        <v>0</v>
      </c>
      <c r="CA113" s="63">
        <f t="shared" si="277"/>
        <v>0</v>
      </c>
      <c r="CB113" s="63">
        <f t="shared" si="277"/>
        <v>0</v>
      </c>
      <c r="CC113" s="63">
        <f t="shared" si="277"/>
        <v>0</v>
      </c>
      <c r="CD113" s="63">
        <f t="shared" si="277"/>
        <v>0</v>
      </c>
      <c r="CE113" s="63">
        <f t="shared" si="277"/>
        <v>0</v>
      </c>
      <c r="CF113" s="63">
        <f t="shared" si="277"/>
        <v>0</v>
      </c>
      <c r="CG113" s="63">
        <f t="shared" si="277"/>
        <v>0</v>
      </c>
      <c r="CH113" s="63">
        <f t="shared" si="277"/>
        <v>0</v>
      </c>
      <c r="CI113" s="63">
        <f t="shared" si="277"/>
        <v>0</v>
      </c>
      <c r="CJ113" s="63">
        <f t="shared" si="277"/>
        <v>0</v>
      </c>
      <c r="CK113" s="63">
        <f t="shared" si="277"/>
        <v>0</v>
      </c>
      <c r="CL113" s="63">
        <f t="shared" si="277"/>
        <v>0</v>
      </c>
      <c r="CM113" s="63">
        <f t="shared" si="277"/>
        <v>0</v>
      </c>
      <c r="CN113" s="63">
        <f t="shared" si="277"/>
        <v>0</v>
      </c>
      <c r="CO113" s="63">
        <f t="shared" si="277"/>
        <v>0</v>
      </c>
      <c r="CP113" s="63">
        <f t="shared" si="277"/>
        <v>0</v>
      </c>
      <c r="CQ113" s="63">
        <f t="shared" si="277"/>
        <v>0</v>
      </c>
      <c r="CR113" s="63">
        <f t="shared" si="277"/>
        <v>0</v>
      </c>
      <c r="CS113" s="63">
        <f t="shared" si="277"/>
        <v>0</v>
      </c>
      <c r="CT113" s="63">
        <f t="shared" si="277"/>
        <v>0</v>
      </c>
      <c r="CU113" s="63">
        <f t="shared" si="277"/>
        <v>0</v>
      </c>
      <c r="CV113" s="63">
        <f t="shared" si="277"/>
        <v>0</v>
      </c>
      <c r="CW113" s="63">
        <f t="shared" si="277"/>
        <v>0</v>
      </c>
      <c r="CX113" s="63">
        <f t="shared" si="277"/>
        <v>0</v>
      </c>
      <c r="CY113" s="63">
        <f t="shared" si="277"/>
        <v>0</v>
      </c>
      <c r="CZ113" s="63">
        <f t="shared" si="277"/>
        <v>0</v>
      </c>
      <c r="DA113" s="63">
        <f t="shared" si="277"/>
        <v>0</v>
      </c>
      <c r="DB113" s="63">
        <f t="shared" si="277"/>
        <v>0</v>
      </c>
    </row>
    <row r="114" spans="3:106" s="63" customFormat="1" hidden="1" outlineLevel="1">
      <c r="F114" s="63" t="s">
        <v>339</v>
      </c>
      <c r="H114" s="63">
        <f>SUM($H$113:H$113)*H$113</f>
        <v>0</v>
      </c>
      <c r="I114" s="63">
        <f>SUM($H$113:I$113)*I$113</f>
        <v>0</v>
      </c>
      <c r="J114" s="63">
        <f>SUM($H$113:J$113)*J$113</f>
        <v>0</v>
      </c>
      <c r="K114" s="63">
        <f>SUM($H$113:K$113)*K$113</f>
        <v>0</v>
      </c>
      <c r="L114" s="63">
        <f>SUM($H$113:L$113)*L$113</f>
        <v>0</v>
      </c>
      <c r="M114" s="63">
        <f>SUM($H$113:M$113)*M$113</f>
        <v>0</v>
      </c>
      <c r="N114" s="63">
        <f>SUM($H$113:N$113)*N$113</f>
        <v>0</v>
      </c>
      <c r="O114" s="63">
        <f>SUM($H$113:O$113)*O$113</f>
        <v>0</v>
      </c>
      <c r="P114" s="63">
        <f>SUM($H$113:P$113)*P$113</f>
        <v>0</v>
      </c>
      <c r="Q114" s="63">
        <f>SUM($H$113:Q$113)*Q$113</f>
        <v>0</v>
      </c>
      <c r="R114" s="63">
        <f>SUM($H$113:R$113)*R$113</f>
        <v>0</v>
      </c>
      <c r="S114" s="63">
        <f>SUM($H$113:S$113)*S$113</f>
        <v>0</v>
      </c>
      <c r="T114" s="63">
        <f>SUM($H$113:T$113)*T$113</f>
        <v>0</v>
      </c>
      <c r="U114" s="63">
        <f>SUM($H$113:U$113)*U$113</f>
        <v>0</v>
      </c>
      <c r="V114" s="63">
        <f>SUM($H$113:V$113)*V$113</f>
        <v>0</v>
      </c>
      <c r="W114" s="63">
        <f>SUM($H$113:W$113)*W$113</f>
        <v>0</v>
      </c>
      <c r="X114" s="63">
        <f>SUM($H$113:X$113)*X$113</f>
        <v>0</v>
      </c>
      <c r="Y114" s="63">
        <f>SUM($H$113:Y$113)*Y$113</f>
        <v>0</v>
      </c>
      <c r="Z114" s="63">
        <f>SUM($H$113:Z$113)*Z$113</f>
        <v>0</v>
      </c>
      <c r="AA114" s="63">
        <f>SUM($H$113:AA$113)*AA$113</f>
        <v>0</v>
      </c>
      <c r="AB114" s="63">
        <f>SUM($H$113:AB$113)*AB$113</f>
        <v>0</v>
      </c>
      <c r="AC114" s="63">
        <f>SUM($H$113:AC$113)*AC$113</f>
        <v>0</v>
      </c>
      <c r="AD114" s="63">
        <f>SUM($H$113:AD$113)*AD$113</f>
        <v>0</v>
      </c>
      <c r="AE114" s="63">
        <f>SUM($H$113:AE$113)*AE$113</f>
        <v>0</v>
      </c>
      <c r="AF114" s="63">
        <f>SUM($H$113:AF$113)*AF$113</f>
        <v>1</v>
      </c>
      <c r="AG114" s="63">
        <f>SUM($H$113:AG$113)*AG$113</f>
        <v>2</v>
      </c>
      <c r="AH114" s="63">
        <f>SUM($H$113:AH$113)*AH$113</f>
        <v>3</v>
      </c>
      <c r="AI114" s="63">
        <f>SUM($H$113:AI$113)*AI$113</f>
        <v>4</v>
      </c>
      <c r="AJ114" s="63">
        <f>SUM($H$113:AJ$113)*AJ$113</f>
        <v>5</v>
      </c>
      <c r="AK114" s="63">
        <f>SUM($H$113:AK$113)*AK$113</f>
        <v>6</v>
      </c>
      <c r="AL114" s="63">
        <f>SUM($H$113:AL$113)*AL$113</f>
        <v>7</v>
      </c>
      <c r="AM114" s="63">
        <f>SUM($H$113:AM$113)*AM$113</f>
        <v>8</v>
      </c>
      <c r="AN114" s="63">
        <f>SUM($H$113:AN$113)*AN$113</f>
        <v>9</v>
      </c>
      <c r="AO114" s="63">
        <f>SUM($H$113:AO$113)*AO$113</f>
        <v>10</v>
      </c>
      <c r="AP114" s="63">
        <f>SUM($H$113:AP$113)*AP$113</f>
        <v>11</v>
      </c>
      <c r="AQ114" s="63">
        <f>SUM($H$113:AQ$113)*AQ$113</f>
        <v>12</v>
      </c>
      <c r="AR114" s="63">
        <f>SUM($H$113:AR$113)*AR$113</f>
        <v>13</v>
      </c>
      <c r="AS114" s="63">
        <f>SUM($H$113:AS$113)*AS$113</f>
        <v>14</v>
      </c>
      <c r="AT114" s="63">
        <f>SUM($H$113:AT$113)*AT$113</f>
        <v>15</v>
      </c>
      <c r="AU114" s="63">
        <f>SUM($H$113:AU$113)*AU$113</f>
        <v>16</v>
      </c>
      <c r="AV114" s="63">
        <f>SUM($H$113:AV$113)*AV$113</f>
        <v>17</v>
      </c>
      <c r="AW114" s="63">
        <f>SUM($H$113:AW$113)*AW$113</f>
        <v>18</v>
      </c>
      <c r="AX114" s="63">
        <f>SUM($H$113:AX$113)*AX$113</f>
        <v>19</v>
      </c>
      <c r="AY114" s="63">
        <f>SUM($H$113:AY$113)*AY$113</f>
        <v>20</v>
      </c>
      <c r="AZ114" s="63">
        <f>SUM($H$113:AZ$113)*AZ$113</f>
        <v>21</v>
      </c>
      <c r="BA114" s="63">
        <f>SUM($H$113:BA$113)*BA$113</f>
        <v>22</v>
      </c>
      <c r="BB114" s="63">
        <f>SUM($H$113:BB$113)*BB$113</f>
        <v>23</v>
      </c>
      <c r="BC114" s="63">
        <f>SUM($H$113:BC$113)*BC$113</f>
        <v>24</v>
      </c>
      <c r="BD114" s="63">
        <f>SUM($H$113:BD$113)*BD$113</f>
        <v>25</v>
      </c>
      <c r="BE114" s="63">
        <f>SUM($H$113:BE$113)*BE$113</f>
        <v>26</v>
      </c>
      <c r="BF114" s="63">
        <f>SUM($H$113:BF$113)*BF$113</f>
        <v>27</v>
      </c>
      <c r="BG114" s="63">
        <f>SUM($H$113:BG$113)*BG$113</f>
        <v>28</v>
      </c>
      <c r="BH114" s="63">
        <f>SUM($H$113:BH$113)*BH$113</f>
        <v>29</v>
      </c>
      <c r="BI114" s="63">
        <f>SUM($H$113:BI$113)*BI$113</f>
        <v>30</v>
      </c>
      <c r="BJ114" s="63">
        <f>SUM($H$113:BJ$113)*BJ$113</f>
        <v>31</v>
      </c>
      <c r="BK114" s="63">
        <f>SUM($H$113:BK$113)*BK$113</f>
        <v>32</v>
      </c>
      <c r="BL114" s="63">
        <f>SUM($H$113:BL$113)*BL$113</f>
        <v>33</v>
      </c>
      <c r="BM114" s="63">
        <f>SUM($H$113:BM$113)*BM$113</f>
        <v>34</v>
      </c>
      <c r="BN114" s="63">
        <f>SUM($H$113:BN$113)*BN$113</f>
        <v>35</v>
      </c>
      <c r="BO114" s="63">
        <f>SUM($H$113:BO$113)*BO$113</f>
        <v>36</v>
      </c>
      <c r="BP114" s="63">
        <f>SUM($H$113:BP$113)*BP$113</f>
        <v>37</v>
      </c>
      <c r="BQ114" s="63">
        <f>SUM($H$113:BQ$113)*BQ$113</f>
        <v>0</v>
      </c>
      <c r="BR114" s="63">
        <f>SUM($H$113:BR$113)*BR$113</f>
        <v>0</v>
      </c>
      <c r="BS114" s="63">
        <f>SUM($H$113:BS$113)*BS$113</f>
        <v>0</v>
      </c>
      <c r="BT114" s="63">
        <f>SUM($H$113:BT$113)*BT$113</f>
        <v>0</v>
      </c>
      <c r="BU114" s="63">
        <f>SUM($H$113:BU$113)*BU$113</f>
        <v>0</v>
      </c>
      <c r="BV114" s="63">
        <f>SUM($H$113:BV$113)*BV$113</f>
        <v>0</v>
      </c>
      <c r="BW114" s="63">
        <f>SUM($H$113:BW$113)*BW$113</f>
        <v>0</v>
      </c>
      <c r="BX114" s="63">
        <f>SUM($H$113:BX$113)*BX$113</f>
        <v>0</v>
      </c>
      <c r="BY114" s="63">
        <f>SUM($H$113:BY$113)*BY$113</f>
        <v>0</v>
      </c>
      <c r="BZ114" s="63">
        <f>SUM($H$113:BZ$113)*BZ$113</f>
        <v>0</v>
      </c>
      <c r="CA114" s="63">
        <f>SUM($H$113:CA$113)*CA$113</f>
        <v>0</v>
      </c>
      <c r="CB114" s="63">
        <f>SUM($H$113:CB$113)*CB$113</f>
        <v>0</v>
      </c>
      <c r="CC114" s="63">
        <f>SUM($H$113:CC$113)*CC$113</f>
        <v>0</v>
      </c>
      <c r="CD114" s="63">
        <f>SUM($H$113:CD$113)*CD$113</f>
        <v>0</v>
      </c>
      <c r="CE114" s="63">
        <f>SUM($H$113:CE$113)*CE$113</f>
        <v>0</v>
      </c>
      <c r="CF114" s="63">
        <f>SUM($H$113:CF$113)*CF$113</f>
        <v>0</v>
      </c>
      <c r="CG114" s="63">
        <f>SUM($H$113:CG$113)*CG$113</f>
        <v>0</v>
      </c>
      <c r="CH114" s="63">
        <f>SUM($H$113:CH$113)*CH$113</f>
        <v>0</v>
      </c>
      <c r="CI114" s="63">
        <f>SUM($H$113:CI$113)*CI$113</f>
        <v>0</v>
      </c>
      <c r="CJ114" s="63">
        <f>SUM($H$113:CJ$113)*CJ$113</f>
        <v>0</v>
      </c>
      <c r="CK114" s="63">
        <f>SUM($H$113:CK$113)*CK$113</f>
        <v>0</v>
      </c>
      <c r="CL114" s="63">
        <f>SUM($H$113:CL$113)*CL$113</f>
        <v>0</v>
      </c>
      <c r="CM114" s="63">
        <f>SUM($H$113:CM$113)*CM$113</f>
        <v>0</v>
      </c>
      <c r="CN114" s="63">
        <f>SUM($H$113:CN$113)*CN$113</f>
        <v>0</v>
      </c>
      <c r="CO114" s="63">
        <f>SUM($H$113:CO$113)*CO$113</f>
        <v>0</v>
      </c>
      <c r="CP114" s="63">
        <f>SUM($H$113:CP$113)*CP$113</f>
        <v>0</v>
      </c>
      <c r="CQ114" s="63">
        <f>SUM($H$113:CQ$113)*CQ$113</f>
        <v>0</v>
      </c>
      <c r="CR114" s="63">
        <f>SUM($H$113:CR$113)*CR$113</f>
        <v>0</v>
      </c>
      <c r="CS114" s="63">
        <f>SUM($H$113:CS$113)*CS$113</f>
        <v>0</v>
      </c>
      <c r="CT114" s="63">
        <f>SUM($H$113:CT$113)*CT$113</f>
        <v>0</v>
      </c>
      <c r="CU114" s="63">
        <f>SUM($H$113:CU$113)*CU$113</f>
        <v>0</v>
      </c>
      <c r="CV114" s="63">
        <f>SUM($H$113:CV$113)*CV$113</f>
        <v>0</v>
      </c>
      <c r="CW114" s="63">
        <f>SUM($H$113:CW$113)*CW$113</f>
        <v>0</v>
      </c>
      <c r="CX114" s="63">
        <f>SUM($H$113:CX$113)*CX$113</f>
        <v>0</v>
      </c>
      <c r="CY114" s="63">
        <f>SUM($H$113:CY$113)*CY$113</f>
        <v>0</v>
      </c>
      <c r="CZ114" s="63">
        <f>SUM($H$113:CZ$113)*CZ$113</f>
        <v>0</v>
      </c>
      <c r="DA114" s="63">
        <f>SUM($H$113:DA$113)*DA$113</f>
        <v>0</v>
      </c>
      <c r="DB114" s="63">
        <f>SUM($H$113:DB$113)*DB$113</f>
        <v>0</v>
      </c>
    </row>
    <row r="115" spans="3:106" s="63" customFormat="1" hidden="1" outlineLevel="1">
      <c r="F115" s="63" t="s">
        <v>340</v>
      </c>
      <c r="I115" s="63">
        <f t="shared" ref="I115:AN115" si="278">IF(I$14=$F$110,0,MIN(((MOD(H$114,$F$112)=0)*1+(I$14=$F$111)*1)*I$113,1))</f>
        <v>0</v>
      </c>
      <c r="J115" s="63">
        <f t="shared" si="278"/>
        <v>0</v>
      </c>
      <c r="K115" s="63">
        <f t="shared" si="278"/>
        <v>0</v>
      </c>
      <c r="L115" s="63">
        <f t="shared" si="278"/>
        <v>0</v>
      </c>
      <c r="M115" s="63">
        <f t="shared" si="278"/>
        <v>0</v>
      </c>
      <c r="N115" s="63">
        <f t="shared" si="278"/>
        <v>0</v>
      </c>
      <c r="O115" s="63">
        <f t="shared" si="278"/>
        <v>0</v>
      </c>
      <c r="P115" s="63">
        <f t="shared" si="278"/>
        <v>0</v>
      </c>
      <c r="Q115" s="63">
        <f t="shared" si="278"/>
        <v>0</v>
      </c>
      <c r="R115" s="63">
        <f t="shared" si="278"/>
        <v>0</v>
      </c>
      <c r="S115" s="63">
        <f t="shared" si="278"/>
        <v>0</v>
      </c>
      <c r="T115" s="63">
        <f t="shared" si="278"/>
        <v>0</v>
      </c>
      <c r="U115" s="63">
        <f t="shared" si="278"/>
        <v>0</v>
      </c>
      <c r="V115" s="63">
        <f t="shared" si="278"/>
        <v>0</v>
      </c>
      <c r="W115" s="63">
        <f t="shared" si="278"/>
        <v>0</v>
      </c>
      <c r="X115" s="63">
        <f t="shared" si="278"/>
        <v>0</v>
      </c>
      <c r="Y115" s="63">
        <f t="shared" si="278"/>
        <v>0</v>
      </c>
      <c r="Z115" s="63">
        <f t="shared" si="278"/>
        <v>0</v>
      </c>
      <c r="AA115" s="63">
        <f t="shared" si="278"/>
        <v>0</v>
      </c>
      <c r="AB115" s="63">
        <f t="shared" si="278"/>
        <v>0</v>
      </c>
      <c r="AC115" s="63">
        <f t="shared" si="278"/>
        <v>0</v>
      </c>
      <c r="AD115" s="63">
        <f t="shared" si="278"/>
        <v>0</v>
      </c>
      <c r="AE115" s="63">
        <f t="shared" si="278"/>
        <v>0</v>
      </c>
      <c r="AF115" s="63">
        <f t="shared" si="278"/>
        <v>0</v>
      </c>
      <c r="AG115" s="63">
        <f t="shared" si="278"/>
        <v>0</v>
      </c>
      <c r="AH115" s="63">
        <f t="shared" si="278"/>
        <v>0</v>
      </c>
      <c r="AI115" s="63">
        <f t="shared" si="278"/>
        <v>0</v>
      </c>
      <c r="AJ115" s="63">
        <f t="shared" si="278"/>
        <v>0</v>
      </c>
      <c r="AK115" s="63">
        <f t="shared" si="278"/>
        <v>0</v>
      </c>
      <c r="AL115" s="63">
        <f t="shared" si="278"/>
        <v>1</v>
      </c>
      <c r="AM115" s="63">
        <f t="shared" si="278"/>
        <v>0</v>
      </c>
      <c r="AN115" s="63">
        <f t="shared" si="278"/>
        <v>0</v>
      </c>
      <c r="AO115" s="63">
        <f t="shared" ref="AO115:BT115" si="279">IF(AO$14=$F$110,0,MIN(((MOD(AN$114,$F$112)=0)*1+(AO$14=$F$111)*1)*AO$113,1))</f>
        <v>0</v>
      </c>
      <c r="AP115" s="63">
        <f t="shared" si="279"/>
        <v>0</v>
      </c>
      <c r="AQ115" s="63">
        <f t="shared" si="279"/>
        <v>0</v>
      </c>
      <c r="AR115" s="63">
        <f t="shared" si="279"/>
        <v>1</v>
      </c>
      <c r="AS115" s="63">
        <f t="shared" si="279"/>
        <v>0</v>
      </c>
      <c r="AT115" s="63">
        <f t="shared" si="279"/>
        <v>0</v>
      </c>
      <c r="AU115" s="63">
        <f t="shared" si="279"/>
        <v>0</v>
      </c>
      <c r="AV115" s="63">
        <f t="shared" si="279"/>
        <v>0</v>
      </c>
      <c r="AW115" s="63">
        <f t="shared" si="279"/>
        <v>0</v>
      </c>
      <c r="AX115" s="63">
        <f t="shared" si="279"/>
        <v>1</v>
      </c>
      <c r="AY115" s="63">
        <f t="shared" si="279"/>
        <v>0</v>
      </c>
      <c r="AZ115" s="63">
        <f t="shared" si="279"/>
        <v>0</v>
      </c>
      <c r="BA115" s="63">
        <f t="shared" si="279"/>
        <v>0</v>
      </c>
      <c r="BB115" s="63">
        <f t="shared" si="279"/>
        <v>0</v>
      </c>
      <c r="BC115" s="63">
        <f t="shared" si="279"/>
        <v>0</v>
      </c>
      <c r="BD115" s="63">
        <f t="shared" si="279"/>
        <v>1</v>
      </c>
      <c r="BE115" s="63">
        <f t="shared" si="279"/>
        <v>0</v>
      </c>
      <c r="BF115" s="63">
        <f t="shared" si="279"/>
        <v>0</v>
      </c>
      <c r="BG115" s="63">
        <f t="shared" si="279"/>
        <v>0</v>
      </c>
      <c r="BH115" s="63">
        <f t="shared" si="279"/>
        <v>0</v>
      </c>
      <c r="BI115" s="63">
        <f t="shared" si="279"/>
        <v>0</v>
      </c>
      <c r="BJ115" s="63">
        <f t="shared" si="279"/>
        <v>1</v>
      </c>
      <c r="BK115" s="63">
        <f t="shared" si="279"/>
        <v>0</v>
      </c>
      <c r="BL115" s="63">
        <f t="shared" si="279"/>
        <v>0</v>
      </c>
      <c r="BM115" s="63">
        <f t="shared" si="279"/>
        <v>0</v>
      </c>
      <c r="BN115" s="63">
        <f t="shared" si="279"/>
        <v>0</v>
      </c>
      <c r="BO115" s="63">
        <f t="shared" si="279"/>
        <v>0</v>
      </c>
      <c r="BP115" s="63">
        <f t="shared" si="279"/>
        <v>1</v>
      </c>
      <c r="BQ115" s="63">
        <f t="shared" si="279"/>
        <v>0</v>
      </c>
      <c r="BR115" s="63">
        <f t="shared" si="279"/>
        <v>0</v>
      </c>
      <c r="BS115" s="63">
        <f t="shared" si="279"/>
        <v>0</v>
      </c>
      <c r="BT115" s="63">
        <f t="shared" si="279"/>
        <v>0</v>
      </c>
      <c r="BU115" s="63">
        <f t="shared" ref="BU115:DB115" si="280">IF(BU$14=$F$110,0,MIN(((MOD(BT$114,$F$112)=0)*1+(BU$14=$F$111)*1)*BU$113,1))</f>
        <v>0</v>
      </c>
      <c r="BV115" s="63">
        <f t="shared" si="280"/>
        <v>0</v>
      </c>
      <c r="BW115" s="63">
        <f t="shared" si="280"/>
        <v>0</v>
      </c>
      <c r="BX115" s="63">
        <f t="shared" si="280"/>
        <v>0</v>
      </c>
      <c r="BY115" s="63">
        <f t="shared" si="280"/>
        <v>0</v>
      </c>
      <c r="BZ115" s="63">
        <f t="shared" si="280"/>
        <v>0</v>
      </c>
      <c r="CA115" s="63">
        <f t="shared" si="280"/>
        <v>0</v>
      </c>
      <c r="CB115" s="63">
        <f t="shared" si="280"/>
        <v>0</v>
      </c>
      <c r="CC115" s="63">
        <f t="shared" si="280"/>
        <v>0</v>
      </c>
      <c r="CD115" s="63">
        <f t="shared" si="280"/>
        <v>0</v>
      </c>
      <c r="CE115" s="63">
        <f t="shared" si="280"/>
        <v>0</v>
      </c>
      <c r="CF115" s="63">
        <f t="shared" si="280"/>
        <v>0</v>
      </c>
      <c r="CG115" s="63">
        <f t="shared" si="280"/>
        <v>0</v>
      </c>
      <c r="CH115" s="63">
        <f t="shared" si="280"/>
        <v>0</v>
      </c>
      <c r="CI115" s="63">
        <f t="shared" si="280"/>
        <v>0</v>
      </c>
      <c r="CJ115" s="63">
        <f t="shared" si="280"/>
        <v>0</v>
      </c>
      <c r="CK115" s="63">
        <f t="shared" si="280"/>
        <v>0</v>
      </c>
      <c r="CL115" s="63">
        <f t="shared" si="280"/>
        <v>0</v>
      </c>
      <c r="CM115" s="63">
        <f t="shared" si="280"/>
        <v>0</v>
      </c>
      <c r="CN115" s="63">
        <f t="shared" si="280"/>
        <v>0</v>
      </c>
      <c r="CO115" s="63">
        <f t="shared" si="280"/>
        <v>0</v>
      </c>
      <c r="CP115" s="63">
        <f t="shared" si="280"/>
        <v>0</v>
      </c>
      <c r="CQ115" s="63">
        <f t="shared" si="280"/>
        <v>0</v>
      </c>
      <c r="CR115" s="63">
        <f t="shared" si="280"/>
        <v>0</v>
      </c>
      <c r="CS115" s="63">
        <f t="shared" si="280"/>
        <v>0</v>
      </c>
      <c r="CT115" s="63">
        <f t="shared" si="280"/>
        <v>0</v>
      </c>
      <c r="CU115" s="63">
        <f t="shared" si="280"/>
        <v>0</v>
      </c>
      <c r="CV115" s="63">
        <f t="shared" si="280"/>
        <v>0</v>
      </c>
      <c r="CW115" s="63">
        <f t="shared" si="280"/>
        <v>0</v>
      </c>
      <c r="CX115" s="63">
        <f t="shared" si="280"/>
        <v>0</v>
      </c>
      <c r="CY115" s="63">
        <f t="shared" si="280"/>
        <v>0</v>
      </c>
      <c r="CZ115" s="63">
        <f t="shared" si="280"/>
        <v>0</v>
      </c>
      <c r="DA115" s="63">
        <f t="shared" si="280"/>
        <v>0</v>
      </c>
      <c r="DB115" s="63">
        <f t="shared" si="280"/>
        <v>0</v>
      </c>
    </row>
    <row r="116" spans="3:106" collapsed="1"/>
    <row r="117" spans="3:106">
      <c r="D117" s="13" t="s">
        <v>210</v>
      </c>
      <c r="H117" s="13">
        <v>0</v>
      </c>
      <c r="I117" s="13">
        <f>H119</f>
        <v>0</v>
      </c>
      <c r="J117" s="13">
        <f t="shared" ref="J117" si="281">I119</f>
        <v>0</v>
      </c>
      <c r="K117" s="13">
        <f t="shared" ref="K117" si="282">J119</f>
        <v>0</v>
      </c>
      <c r="L117" s="13">
        <f t="shared" ref="L117" si="283">K119</f>
        <v>0</v>
      </c>
      <c r="M117" s="13">
        <f t="shared" ref="M117" si="284">L119</f>
        <v>0</v>
      </c>
      <c r="N117" s="13">
        <f t="shared" ref="N117" si="285">M119</f>
        <v>0</v>
      </c>
      <c r="O117" s="13">
        <f t="shared" ref="O117" si="286">N119</f>
        <v>0</v>
      </c>
      <c r="P117" s="13">
        <f t="shared" ref="P117" si="287">O119</f>
        <v>0</v>
      </c>
      <c r="Q117" s="13">
        <f t="shared" ref="Q117" si="288">P119</f>
        <v>0</v>
      </c>
      <c r="R117" s="13">
        <f t="shared" ref="R117" si="289">Q119</f>
        <v>0</v>
      </c>
      <c r="S117" s="13">
        <f t="shared" ref="S117" si="290">R119</f>
        <v>0</v>
      </c>
      <c r="T117" s="13">
        <f t="shared" ref="T117" si="291">S119</f>
        <v>0</v>
      </c>
      <c r="U117" s="13">
        <f t="shared" ref="U117" si="292">T119</f>
        <v>0</v>
      </c>
      <c r="V117" s="13">
        <f t="shared" ref="V117" si="293">U119</f>
        <v>0</v>
      </c>
      <c r="W117" s="13">
        <f t="shared" ref="W117" si="294">V119</f>
        <v>0</v>
      </c>
      <c r="X117" s="13">
        <f t="shared" ref="X117" si="295">W119</f>
        <v>0</v>
      </c>
      <c r="Y117" s="13">
        <f t="shared" ref="Y117" si="296">X119</f>
        <v>0</v>
      </c>
      <c r="Z117" s="13">
        <f t="shared" ref="Z117" si="297">Y119</f>
        <v>0</v>
      </c>
      <c r="AA117" s="13">
        <f t="shared" ref="AA117" si="298">Z119</f>
        <v>0</v>
      </c>
      <c r="AB117" s="13">
        <f t="shared" ref="AB117" si="299">AA119</f>
        <v>0</v>
      </c>
      <c r="AC117" s="13">
        <f t="shared" ref="AC117" si="300">AB119</f>
        <v>0</v>
      </c>
      <c r="AD117" s="13">
        <f t="shared" ref="AD117" si="301">AC119</f>
        <v>0</v>
      </c>
      <c r="AE117" s="13">
        <f t="shared" ref="AE117" si="302">AD119</f>
        <v>0</v>
      </c>
      <c r="AF117" s="13">
        <f t="shared" ref="AF117" si="303">AE119</f>
        <v>0</v>
      </c>
      <c r="AG117" s="13">
        <f t="shared" ref="AG117" si="304">AF119</f>
        <v>10000</v>
      </c>
      <c r="AH117" s="13">
        <f t="shared" ref="AH117" si="305">AG119</f>
        <v>10000</v>
      </c>
      <c r="AI117" s="13">
        <f t="shared" ref="AI117" si="306">AH119</f>
        <v>10000</v>
      </c>
      <c r="AJ117" s="13">
        <f t="shared" ref="AJ117" si="307">AI119</f>
        <v>10000</v>
      </c>
      <c r="AK117" s="13">
        <f t="shared" ref="AK117" si="308">AJ119</f>
        <v>10000</v>
      </c>
      <c r="AL117" s="13">
        <f t="shared" ref="AL117" si="309">AK119</f>
        <v>10000</v>
      </c>
      <c r="AM117" s="13">
        <f t="shared" ref="AM117" si="310">AL119</f>
        <v>10000</v>
      </c>
      <c r="AN117" s="13">
        <f t="shared" ref="AN117" si="311">AM119</f>
        <v>10000</v>
      </c>
      <c r="AO117" s="13">
        <f t="shared" ref="AO117" si="312">AN119</f>
        <v>10000</v>
      </c>
      <c r="AP117" s="13">
        <f t="shared" ref="AP117" si="313">AO119</f>
        <v>10000</v>
      </c>
      <c r="AQ117" s="13">
        <f t="shared" ref="AQ117" si="314">AP119</f>
        <v>10000</v>
      </c>
      <c r="AR117" s="13">
        <f t="shared" ref="AR117" si="315">AQ119</f>
        <v>10000</v>
      </c>
      <c r="AS117" s="13">
        <f t="shared" ref="AS117" si="316">AR119</f>
        <v>10000</v>
      </c>
      <c r="AT117" s="13">
        <f t="shared" ref="AT117" si="317">AS119</f>
        <v>10000</v>
      </c>
      <c r="AU117" s="13">
        <f t="shared" ref="AU117" si="318">AT119</f>
        <v>10000</v>
      </c>
      <c r="AV117" s="13">
        <f t="shared" ref="AV117" si="319">AU119</f>
        <v>10000</v>
      </c>
      <c r="AW117" s="13">
        <f t="shared" ref="AW117" si="320">AV119</f>
        <v>10000</v>
      </c>
      <c r="AX117" s="13">
        <f t="shared" ref="AX117" si="321">AW119</f>
        <v>10000</v>
      </c>
      <c r="AY117" s="13">
        <f t="shared" ref="AY117" si="322">AX119</f>
        <v>10000</v>
      </c>
      <c r="AZ117" s="13">
        <f t="shared" ref="AZ117" si="323">AY119</f>
        <v>10000</v>
      </c>
      <c r="BA117" s="13">
        <f t="shared" ref="BA117" si="324">AZ119</f>
        <v>10000</v>
      </c>
      <c r="BB117" s="13">
        <f t="shared" ref="BB117" si="325">BA119</f>
        <v>10000</v>
      </c>
      <c r="BC117" s="13">
        <f t="shared" ref="BC117" si="326">BB119</f>
        <v>10000</v>
      </c>
      <c r="BD117" s="13">
        <f t="shared" ref="BD117" si="327">BC119</f>
        <v>10000</v>
      </c>
      <c r="BE117" s="13">
        <f t="shared" ref="BE117" si="328">BD119</f>
        <v>10000</v>
      </c>
      <c r="BF117" s="13">
        <f t="shared" ref="BF117" si="329">BE119</f>
        <v>10000</v>
      </c>
      <c r="BG117" s="13">
        <f t="shared" ref="BG117" si="330">BF119</f>
        <v>10000</v>
      </c>
      <c r="BH117" s="13">
        <f t="shared" ref="BH117" si="331">BG119</f>
        <v>10000</v>
      </c>
      <c r="BI117" s="13">
        <f t="shared" ref="BI117" si="332">BH119</f>
        <v>10000</v>
      </c>
      <c r="BJ117" s="13">
        <f t="shared" ref="BJ117" si="333">BI119</f>
        <v>10000</v>
      </c>
      <c r="BK117" s="13">
        <f t="shared" ref="BK117" si="334">BJ119</f>
        <v>10000</v>
      </c>
      <c r="BL117" s="13">
        <f t="shared" ref="BL117" si="335">BK119</f>
        <v>10000</v>
      </c>
      <c r="BM117" s="13">
        <f t="shared" ref="BM117" si="336">BL119</f>
        <v>10000</v>
      </c>
      <c r="BN117" s="13">
        <f t="shared" ref="BN117" si="337">BM119</f>
        <v>10000</v>
      </c>
      <c r="BO117" s="13">
        <f t="shared" ref="BO117" si="338">BN119</f>
        <v>10000</v>
      </c>
      <c r="BP117" s="13">
        <f t="shared" ref="BP117" si="339">BO119</f>
        <v>10000</v>
      </c>
      <c r="BQ117" s="13">
        <f t="shared" ref="BQ117" si="340">BP119</f>
        <v>0</v>
      </c>
      <c r="BR117" s="13">
        <f t="shared" ref="BR117" si="341">BQ119</f>
        <v>0</v>
      </c>
      <c r="BS117" s="13">
        <f t="shared" ref="BS117" si="342">BR119</f>
        <v>0</v>
      </c>
      <c r="BT117" s="13">
        <f t="shared" ref="BT117" si="343">BS119</f>
        <v>0</v>
      </c>
      <c r="BU117" s="13">
        <f t="shared" ref="BU117" si="344">BT119</f>
        <v>0</v>
      </c>
      <c r="BV117" s="13">
        <f t="shared" ref="BV117" si="345">BU119</f>
        <v>0</v>
      </c>
      <c r="BW117" s="13">
        <f t="shared" ref="BW117" si="346">BV119</f>
        <v>0</v>
      </c>
      <c r="BX117" s="13">
        <f t="shared" ref="BX117" si="347">BW119</f>
        <v>0</v>
      </c>
      <c r="BY117" s="13">
        <f t="shared" ref="BY117" si="348">BX119</f>
        <v>0</v>
      </c>
      <c r="BZ117" s="13">
        <f t="shared" ref="BZ117" si="349">BY119</f>
        <v>0</v>
      </c>
      <c r="CA117" s="13">
        <f t="shared" ref="CA117" si="350">BZ119</f>
        <v>0</v>
      </c>
      <c r="CB117" s="13">
        <f t="shared" ref="CB117" si="351">CA119</f>
        <v>0</v>
      </c>
      <c r="CC117" s="13">
        <f t="shared" ref="CC117" si="352">CB119</f>
        <v>0</v>
      </c>
      <c r="CD117" s="13">
        <f t="shared" ref="CD117" si="353">CC119</f>
        <v>0</v>
      </c>
      <c r="CE117" s="13">
        <f t="shared" ref="CE117" si="354">CD119</f>
        <v>0</v>
      </c>
      <c r="CF117" s="13">
        <f t="shared" ref="CF117" si="355">CE119</f>
        <v>0</v>
      </c>
      <c r="CG117" s="13">
        <f t="shared" ref="CG117" si="356">CF119</f>
        <v>0</v>
      </c>
      <c r="CH117" s="13">
        <f t="shared" ref="CH117" si="357">CG119</f>
        <v>0</v>
      </c>
      <c r="CI117" s="13">
        <f t="shared" ref="CI117" si="358">CH119</f>
        <v>0</v>
      </c>
      <c r="CJ117" s="13">
        <f t="shared" ref="CJ117" si="359">CI119</f>
        <v>0</v>
      </c>
      <c r="CK117" s="13">
        <f t="shared" ref="CK117" si="360">CJ119</f>
        <v>0</v>
      </c>
      <c r="CL117" s="13">
        <f t="shared" ref="CL117" si="361">CK119</f>
        <v>0</v>
      </c>
      <c r="CM117" s="13">
        <f t="shared" ref="CM117" si="362">CL119</f>
        <v>0</v>
      </c>
      <c r="CN117" s="13">
        <f t="shared" ref="CN117" si="363">CM119</f>
        <v>0</v>
      </c>
      <c r="CO117" s="13">
        <f t="shared" ref="CO117" si="364">CN119</f>
        <v>0</v>
      </c>
      <c r="CP117" s="13">
        <f t="shared" ref="CP117" si="365">CO119</f>
        <v>0</v>
      </c>
      <c r="CQ117" s="13">
        <f t="shared" ref="CQ117" si="366">CP119</f>
        <v>0</v>
      </c>
      <c r="CR117" s="13">
        <f t="shared" ref="CR117" si="367">CQ119</f>
        <v>0</v>
      </c>
      <c r="CS117" s="13">
        <f t="shared" ref="CS117" si="368">CR119</f>
        <v>0</v>
      </c>
      <c r="CT117" s="13">
        <f t="shared" ref="CT117" si="369">CS119</f>
        <v>0</v>
      </c>
      <c r="CU117" s="13">
        <f t="shared" ref="CU117" si="370">CT119</f>
        <v>0</v>
      </c>
      <c r="CV117" s="13">
        <f t="shared" ref="CV117" si="371">CU119</f>
        <v>0</v>
      </c>
      <c r="CW117" s="13">
        <f t="shared" ref="CW117" si="372">CV119</f>
        <v>0</v>
      </c>
      <c r="CX117" s="13">
        <f t="shared" ref="CX117" si="373">CW119</f>
        <v>0</v>
      </c>
      <c r="CY117" s="13">
        <f t="shared" ref="CY117" si="374">CX119</f>
        <v>0</v>
      </c>
      <c r="CZ117" s="13">
        <f t="shared" ref="CZ117" si="375">CY119</f>
        <v>0</v>
      </c>
      <c r="DA117" s="13">
        <f t="shared" ref="DA117" si="376">CZ119</f>
        <v>0</v>
      </c>
      <c r="DB117" s="13">
        <f t="shared" ref="DB117" si="377">DA119</f>
        <v>0</v>
      </c>
    </row>
    <row r="118" spans="3:106">
      <c r="D118" s="13" t="s">
        <v>341</v>
      </c>
      <c r="H118" s="13">
        <f>H39+H48</f>
        <v>0</v>
      </c>
      <c r="I118" s="13">
        <f t="shared" ref="I118:BT118" si="378">I39+I48</f>
        <v>0</v>
      </c>
      <c r="J118" s="13">
        <f t="shared" si="378"/>
        <v>0</v>
      </c>
      <c r="K118" s="13">
        <f t="shared" si="378"/>
        <v>0</v>
      </c>
      <c r="L118" s="13">
        <f t="shared" si="378"/>
        <v>0</v>
      </c>
      <c r="M118" s="13">
        <f t="shared" si="378"/>
        <v>0</v>
      </c>
      <c r="N118" s="13">
        <f t="shared" si="378"/>
        <v>0</v>
      </c>
      <c r="O118" s="13">
        <f t="shared" si="378"/>
        <v>0</v>
      </c>
      <c r="P118" s="13">
        <f t="shared" si="378"/>
        <v>0</v>
      </c>
      <c r="Q118" s="13">
        <f t="shared" si="378"/>
        <v>0</v>
      </c>
      <c r="R118" s="13">
        <f t="shared" si="378"/>
        <v>0</v>
      </c>
      <c r="S118" s="13">
        <f t="shared" si="378"/>
        <v>0</v>
      </c>
      <c r="T118" s="13">
        <f t="shared" si="378"/>
        <v>0</v>
      </c>
      <c r="U118" s="13">
        <f t="shared" si="378"/>
        <v>0</v>
      </c>
      <c r="V118" s="13">
        <f t="shared" si="378"/>
        <v>0</v>
      </c>
      <c r="W118" s="13">
        <f t="shared" si="378"/>
        <v>0</v>
      </c>
      <c r="X118" s="13">
        <f t="shared" si="378"/>
        <v>0</v>
      </c>
      <c r="Y118" s="13">
        <f t="shared" si="378"/>
        <v>0</v>
      </c>
      <c r="Z118" s="13">
        <f t="shared" si="378"/>
        <v>0</v>
      </c>
      <c r="AA118" s="13">
        <f t="shared" si="378"/>
        <v>0</v>
      </c>
      <c r="AB118" s="13">
        <f t="shared" si="378"/>
        <v>0</v>
      </c>
      <c r="AC118" s="13">
        <f t="shared" si="378"/>
        <v>0</v>
      </c>
      <c r="AD118" s="13">
        <f t="shared" si="378"/>
        <v>0</v>
      </c>
      <c r="AE118" s="13">
        <f t="shared" si="378"/>
        <v>0</v>
      </c>
      <c r="AF118" s="13">
        <f t="shared" si="378"/>
        <v>10000</v>
      </c>
      <c r="AG118" s="13">
        <f t="shared" si="378"/>
        <v>0</v>
      </c>
      <c r="AH118" s="13">
        <f t="shared" si="378"/>
        <v>0</v>
      </c>
      <c r="AI118" s="13">
        <f t="shared" si="378"/>
        <v>0</v>
      </c>
      <c r="AJ118" s="13">
        <f t="shared" si="378"/>
        <v>0</v>
      </c>
      <c r="AK118" s="13">
        <f t="shared" si="378"/>
        <v>0</v>
      </c>
      <c r="AL118" s="13">
        <f t="shared" si="378"/>
        <v>0</v>
      </c>
      <c r="AM118" s="13">
        <f t="shared" si="378"/>
        <v>0</v>
      </c>
      <c r="AN118" s="13">
        <f t="shared" si="378"/>
        <v>0</v>
      </c>
      <c r="AO118" s="13">
        <f t="shared" si="378"/>
        <v>0</v>
      </c>
      <c r="AP118" s="13">
        <f t="shared" si="378"/>
        <v>0</v>
      </c>
      <c r="AQ118" s="13">
        <f t="shared" si="378"/>
        <v>0</v>
      </c>
      <c r="AR118" s="13">
        <f t="shared" si="378"/>
        <v>0</v>
      </c>
      <c r="AS118" s="13">
        <f t="shared" si="378"/>
        <v>0</v>
      </c>
      <c r="AT118" s="13">
        <f t="shared" si="378"/>
        <v>0</v>
      </c>
      <c r="AU118" s="13">
        <f t="shared" si="378"/>
        <v>0</v>
      </c>
      <c r="AV118" s="13">
        <f t="shared" si="378"/>
        <v>0</v>
      </c>
      <c r="AW118" s="13">
        <f t="shared" si="378"/>
        <v>0</v>
      </c>
      <c r="AX118" s="13">
        <f t="shared" si="378"/>
        <v>0</v>
      </c>
      <c r="AY118" s="13">
        <f t="shared" si="378"/>
        <v>0</v>
      </c>
      <c r="AZ118" s="13">
        <f t="shared" si="378"/>
        <v>0</v>
      </c>
      <c r="BA118" s="13">
        <f t="shared" si="378"/>
        <v>0</v>
      </c>
      <c r="BB118" s="13">
        <f t="shared" si="378"/>
        <v>0</v>
      </c>
      <c r="BC118" s="13">
        <f t="shared" si="378"/>
        <v>0</v>
      </c>
      <c r="BD118" s="13">
        <f t="shared" si="378"/>
        <v>0</v>
      </c>
      <c r="BE118" s="13">
        <f t="shared" si="378"/>
        <v>0</v>
      </c>
      <c r="BF118" s="13">
        <f t="shared" si="378"/>
        <v>0</v>
      </c>
      <c r="BG118" s="13">
        <f t="shared" si="378"/>
        <v>0</v>
      </c>
      <c r="BH118" s="13">
        <f t="shared" si="378"/>
        <v>0</v>
      </c>
      <c r="BI118" s="13">
        <f t="shared" si="378"/>
        <v>0</v>
      </c>
      <c r="BJ118" s="13">
        <f t="shared" si="378"/>
        <v>0</v>
      </c>
      <c r="BK118" s="13">
        <f t="shared" si="378"/>
        <v>0</v>
      </c>
      <c r="BL118" s="13">
        <f t="shared" si="378"/>
        <v>0</v>
      </c>
      <c r="BM118" s="13">
        <f t="shared" si="378"/>
        <v>0</v>
      </c>
      <c r="BN118" s="13">
        <f t="shared" si="378"/>
        <v>0</v>
      </c>
      <c r="BO118" s="13">
        <f t="shared" si="378"/>
        <v>0</v>
      </c>
      <c r="BP118" s="13">
        <f t="shared" si="378"/>
        <v>-10000</v>
      </c>
      <c r="BQ118" s="13">
        <f t="shared" si="378"/>
        <v>0</v>
      </c>
      <c r="BR118" s="13">
        <f t="shared" si="378"/>
        <v>0</v>
      </c>
      <c r="BS118" s="13">
        <f t="shared" si="378"/>
        <v>0</v>
      </c>
      <c r="BT118" s="13">
        <f t="shared" si="378"/>
        <v>0</v>
      </c>
      <c r="BU118" s="13">
        <f t="shared" ref="BU118:DB118" si="379">BU39+BU48</f>
        <v>0</v>
      </c>
      <c r="BV118" s="13">
        <f t="shared" si="379"/>
        <v>0</v>
      </c>
      <c r="BW118" s="13">
        <f t="shared" si="379"/>
        <v>0</v>
      </c>
      <c r="BX118" s="13">
        <f t="shared" si="379"/>
        <v>0</v>
      </c>
      <c r="BY118" s="13">
        <f t="shared" si="379"/>
        <v>0</v>
      </c>
      <c r="BZ118" s="13">
        <f t="shared" si="379"/>
        <v>0</v>
      </c>
      <c r="CA118" s="13">
        <f t="shared" si="379"/>
        <v>0</v>
      </c>
      <c r="CB118" s="13">
        <f t="shared" si="379"/>
        <v>0</v>
      </c>
      <c r="CC118" s="13">
        <f t="shared" si="379"/>
        <v>0</v>
      </c>
      <c r="CD118" s="13">
        <f t="shared" si="379"/>
        <v>0</v>
      </c>
      <c r="CE118" s="13">
        <f t="shared" si="379"/>
        <v>0</v>
      </c>
      <c r="CF118" s="13">
        <f t="shared" si="379"/>
        <v>0</v>
      </c>
      <c r="CG118" s="13">
        <f t="shared" si="379"/>
        <v>0</v>
      </c>
      <c r="CH118" s="13">
        <f t="shared" si="379"/>
        <v>0</v>
      </c>
      <c r="CI118" s="13">
        <f t="shared" si="379"/>
        <v>0</v>
      </c>
      <c r="CJ118" s="13">
        <f t="shared" si="379"/>
        <v>0</v>
      </c>
      <c r="CK118" s="13">
        <f t="shared" si="379"/>
        <v>0</v>
      </c>
      <c r="CL118" s="13">
        <f t="shared" si="379"/>
        <v>0</v>
      </c>
      <c r="CM118" s="13">
        <f t="shared" si="379"/>
        <v>0</v>
      </c>
      <c r="CN118" s="13">
        <f t="shared" si="379"/>
        <v>0</v>
      </c>
      <c r="CO118" s="13">
        <f t="shared" si="379"/>
        <v>0</v>
      </c>
      <c r="CP118" s="13">
        <f t="shared" si="379"/>
        <v>0</v>
      </c>
      <c r="CQ118" s="13">
        <f t="shared" si="379"/>
        <v>0</v>
      </c>
      <c r="CR118" s="13">
        <f t="shared" si="379"/>
        <v>0</v>
      </c>
      <c r="CS118" s="13">
        <f t="shared" si="379"/>
        <v>0</v>
      </c>
      <c r="CT118" s="13">
        <f t="shared" si="379"/>
        <v>0</v>
      </c>
      <c r="CU118" s="13">
        <f t="shared" si="379"/>
        <v>0</v>
      </c>
      <c r="CV118" s="13">
        <f t="shared" si="379"/>
        <v>0</v>
      </c>
      <c r="CW118" s="13">
        <f t="shared" si="379"/>
        <v>0</v>
      </c>
      <c r="CX118" s="13">
        <f t="shared" si="379"/>
        <v>0</v>
      </c>
      <c r="CY118" s="13">
        <f t="shared" si="379"/>
        <v>0</v>
      </c>
      <c r="CZ118" s="13">
        <f t="shared" si="379"/>
        <v>0</v>
      </c>
      <c r="DA118" s="13">
        <f t="shared" si="379"/>
        <v>0</v>
      </c>
      <c r="DB118" s="13">
        <f t="shared" si="379"/>
        <v>0</v>
      </c>
    </row>
    <row r="119" spans="3:106">
      <c r="D119" s="75" t="s">
        <v>211</v>
      </c>
      <c r="E119" s="75"/>
      <c r="F119" s="75"/>
      <c r="G119" s="75"/>
      <c r="H119" s="75">
        <f>SUM(H117:H118)</f>
        <v>0</v>
      </c>
      <c r="I119" s="75">
        <f t="shared" ref="I119:BT119" si="380">SUM(I117:I118)</f>
        <v>0</v>
      </c>
      <c r="J119" s="75">
        <f t="shared" si="380"/>
        <v>0</v>
      </c>
      <c r="K119" s="75">
        <f t="shared" si="380"/>
        <v>0</v>
      </c>
      <c r="L119" s="75">
        <f t="shared" si="380"/>
        <v>0</v>
      </c>
      <c r="M119" s="75">
        <f t="shared" si="380"/>
        <v>0</v>
      </c>
      <c r="N119" s="75">
        <f t="shared" si="380"/>
        <v>0</v>
      </c>
      <c r="O119" s="75">
        <f t="shared" si="380"/>
        <v>0</v>
      </c>
      <c r="P119" s="75">
        <f t="shared" si="380"/>
        <v>0</v>
      </c>
      <c r="Q119" s="75">
        <f t="shared" si="380"/>
        <v>0</v>
      </c>
      <c r="R119" s="75">
        <f t="shared" si="380"/>
        <v>0</v>
      </c>
      <c r="S119" s="75">
        <f t="shared" si="380"/>
        <v>0</v>
      </c>
      <c r="T119" s="75">
        <f t="shared" si="380"/>
        <v>0</v>
      </c>
      <c r="U119" s="75">
        <f t="shared" si="380"/>
        <v>0</v>
      </c>
      <c r="V119" s="75">
        <f t="shared" si="380"/>
        <v>0</v>
      </c>
      <c r="W119" s="75">
        <f t="shared" si="380"/>
        <v>0</v>
      </c>
      <c r="X119" s="75">
        <f t="shared" si="380"/>
        <v>0</v>
      </c>
      <c r="Y119" s="75">
        <f t="shared" si="380"/>
        <v>0</v>
      </c>
      <c r="Z119" s="75">
        <f t="shared" si="380"/>
        <v>0</v>
      </c>
      <c r="AA119" s="75">
        <f t="shared" si="380"/>
        <v>0</v>
      </c>
      <c r="AB119" s="75">
        <f t="shared" si="380"/>
        <v>0</v>
      </c>
      <c r="AC119" s="75">
        <f t="shared" si="380"/>
        <v>0</v>
      </c>
      <c r="AD119" s="75">
        <f t="shared" si="380"/>
        <v>0</v>
      </c>
      <c r="AE119" s="75">
        <f t="shared" si="380"/>
        <v>0</v>
      </c>
      <c r="AF119" s="75">
        <f t="shared" si="380"/>
        <v>10000</v>
      </c>
      <c r="AG119" s="75">
        <f t="shared" si="380"/>
        <v>10000</v>
      </c>
      <c r="AH119" s="75">
        <f t="shared" si="380"/>
        <v>10000</v>
      </c>
      <c r="AI119" s="75">
        <f t="shared" si="380"/>
        <v>10000</v>
      </c>
      <c r="AJ119" s="75">
        <f t="shared" si="380"/>
        <v>10000</v>
      </c>
      <c r="AK119" s="75">
        <f t="shared" si="380"/>
        <v>10000</v>
      </c>
      <c r="AL119" s="75">
        <f t="shared" si="380"/>
        <v>10000</v>
      </c>
      <c r="AM119" s="75">
        <f t="shared" si="380"/>
        <v>10000</v>
      </c>
      <c r="AN119" s="75">
        <f t="shared" si="380"/>
        <v>10000</v>
      </c>
      <c r="AO119" s="75">
        <f t="shared" si="380"/>
        <v>10000</v>
      </c>
      <c r="AP119" s="75">
        <f t="shared" si="380"/>
        <v>10000</v>
      </c>
      <c r="AQ119" s="75">
        <f t="shared" si="380"/>
        <v>10000</v>
      </c>
      <c r="AR119" s="75">
        <f t="shared" si="380"/>
        <v>10000</v>
      </c>
      <c r="AS119" s="75">
        <f t="shared" si="380"/>
        <v>10000</v>
      </c>
      <c r="AT119" s="75">
        <f t="shared" si="380"/>
        <v>10000</v>
      </c>
      <c r="AU119" s="75">
        <f t="shared" si="380"/>
        <v>10000</v>
      </c>
      <c r="AV119" s="75">
        <f t="shared" si="380"/>
        <v>10000</v>
      </c>
      <c r="AW119" s="75">
        <f t="shared" si="380"/>
        <v>10000</v>
      </c>
      <c r="AX119" s="75">
        <f t="shared" si="380"/>
        <v>10000</v>
      </c>
      <c r="AY119" s="75">
        <f t="shared" si="380"/>
        <v>10000</v>
      </c>
      <c r="AZ119" s="75">
        <f t="shared" si="380"/>
        <v>10000</v>
      </c>
      <c r="BA119" s="75">
        <f t="shared" si="380"/>
        <v>10000</v>
      </c>
      <c r="BB119" s="75">
        <f t="shared" si="380"/>
        <v>10000</v>
      </c>
      <c r="BC119" s="75">
        <f t="shared" si="380"/>
        <v>10000</v>
      </c>
      <c r="BD119" s="75">
        <f t="shared" si="380"/>
        <v>10000</v>
      </c>
      <c r="BE119" s="75">
        <f t="shared" si="380"/>
        <v>10000</v>
      </c>
      <c r="BF119" s="75">
        <f t="shared" si="380"/>
        <v>10000</v>
      </c>
      <c r="BG119" s="75">
        <f t="shared" si="380"/>
        <v>10000</v>
      </c>
      <c r="BH119" s="75">
        <f t="shared" si="380"/>
        <v>10000</v>
      </c>
      <c r="BI119" s="75">
        <f t="shared" si="380"/>
        <v>10000</v>
      </c>
      <c r="BJ119" s="75">
        <f t="shared" si="380"/>
        <v>10000</v>
      </c>
      <c r="BK119" s="75">
        <f t="shared" si="380"/>
        <v>10000</v>
      </c>
      <c r="BL119" s="75">
        <f t="shared" si="380"/>
        <v>10000</v>
      </c>
      <c r="BM119" s="75">
        <f t="shared" si="380"/>
        <v>10000</v>
      </c>
      <c r="BN119" s="75">
        <f t="shared" si="380"/>
        <v>10000</v>
      </c>
      <c r="BO119" s="75">
        <f t="shared" si="380"/>
        <v>10000</v>
      </c>
      <c r="BP119" s="75">
        <f t="shared" si="380"/>
        <v>0</v>
      </c>
      <c r="BQ119" s="75">
        <f t="shared" si="380"/>
        <v>0</v>
      </c>
      <c r="BR119" s="75">
        <f t="shared" si="380"/>
        <v>0</v>
      </c>
      <c r="BS119" s="75">
        <f t="shared" si="380"/>
        <v>0</v>
      </c>
      <c r="BT119" s="75">
        <f t="shared" si="380"/>
        <v>0</v>
      </c>
      <c r="BU119" s="75">
        <f t="shared" ref="BU119:DB119" si="381">SUM(BU117:BU118)</f>
        <v>0</v>
      </c>
      <c r="BV119" s="75">
        <f t="shared" si="381"/>
        <v>0</v>
      </c>
      <c r="BW119" s="75">
        <f t="shared" si="381"/>
        <v>0</v>
      </c>
      <c r="BX119" s="75">
        <f t="shared" si="381"/>
        <v>0</v>
      </c>
      <c r="BY119" s="75">
        <f t="shared" si="381"/>
        <v>0</v>
      </c>
      <c r="BZ119" s="75">
        <f t="shared" si="381"/>
        <v>0</v>
      </c>
      <c r="CA119" s="75">
        <f t="shared" si="381"/>
        <v>0</v>
      </c>
      <c r="CB119" s="75">
        <f t="shared" si="381"/>
        <v>0</v>
      </c>
      <c r="CC119" s="75">
        <f t="shared" si="381"/>
        <v>0</v>
      </c>
      <c r="CD119" s="75">
        <f t="shared" si="381"/>
        <v>0</v>
      </c>
      <c r="CE119" s="75">
        <f t="shared" si="381"/>
        <v>0</v>
      </c>
      <c r="CF119" s="75">
        <f t="shared" si="381"/>
        <v>0</v>
      </c>
      <c r="CG119" s="75">
        <f t="shared" si="381"/>
        <v>0</v>
      </c>
      <c r="CH119" s="75">
        <f t="shared" si="381"/>
        <v>0</v>
      </c>
      <c r="CI119" s="75">
        <f t="shared" si="381"/>
        <v>0</v>
      </c>
      <c r="CJ119" s="75">
        <f t="shared" si="381"/>
        <v>0</v>
      </c>
      <c r="CK119" s="75">
        <f t="shared" si="381"/>
        <v>0</v>
      </c>
      <c r="CL119" s="75">
        <f t="shared" si="381"/>
        <v>0</v>
      </c>
      <c r="CM119" s="75">
        <f t="shared" si="381"/>
        <v>0</v>
      </c>
      <c r="CN119" s="75">
        <f t="shared" si="381"/>
        <v>0</v>
      </c>
      <c r="CO119" s="75">
        <f t="shared" si="381"/>
        <v>0</v>
      </c>
      <c r="CP119" s="75">
        <f t="shared" si="381"/>
        <v>0</v>
      </c>
      <c r="CQ119" s="75">
        <f t="shared" si="381"/>
        <v>0</v>
      </c>
      <c r="CR119" s="75">
        <f t="shared" si="381"/>
        <v>0</v>
      </c>
      <c r="CS119" s="75">
        <f t="shared" si="381"/>
        <v>0</v>
      </c>
      <c r="CT119" s="75">
        <f t="shared" si="381"/>
        <v>0</v>
      </c>
      <c r="CU119" s="75">
        <f t="shared" si="381"/>
        <v>0</v>
      </c>
      <c r="CV119" s="75">
        <f t="shared" si="381"/>
        <v>0</v>
      </c>
      <c r="CW119" s="75">
        <f t="shared" si="381"/>
        <v>0</v>
      </c>
      <c r="CX119" s="75">
        <f t="shared" si="381"/>
        <v>0</v>
      </c>
      <c r="CY119" s="75">
        <f t="shared" si="381"/>
        <v>0</v>
      </c>
      <c r="CZ119" s="75">
        <f t="shared" si="381"/>
        <v>0</v>
      </c>
      <c r="DA119" s="75">
        <f t="shared" si="381"/>
        <v>0</v>
      </c>
      <c r="DB119" s="75">
        <f t="shared" si="381"/>
        <v>0</v>
      </c>
    </row>
    <row r="120" spans="3:106">
      <c r="D120" s="75" t="s">
        <v>342</v>
      </c>
      <c r="E120" s="75"/>
      <c r="F120" s="75"/>
      <c r="G120" s="75"/>
      <c r="H120" s="75">
        <f>AVERAGE(H117,H119)</f>
        <v>0</v>
      </c>
      <c r="I120" s="75">
        <f t="shared" ref="I120:BT120" si="382">AVERAGE(I117,I119)</f>
        <v>0</v>
      </c>
      <c r="J120" s="75">
        <f t="shared" si="382"/>
        <v>0</v>
      </c>
      <c r="K120" s="75">
        <f t="shared" si="382"/>
        <v>0</v>
      </c>
      <c r="L120" s="75">
        <f t="shared" si="382"/>
        <v>0</v>
      </c>
      <c r="M120" s="75">
        <f t="shared" si="382"/>
        <v>0</v>
      </c>
      <c r="N120" s="75">
        <f t="shared" si="382"/>
        <v>0</v>
      </c>
      <c r="O120" s="75">
        <f t="shared" si="382"/>
        <v>0</v>
      </c>
      <c r="P120" s="75">
        <f t="shared" si="382"/>
        <v>0</v>
      </c>
      <c r="Q120" s="75">
        <f t="shared" si="382"/>
        <v>0</v>
      </c>
      <c r="R120" s="75">
        <f t="shared" si="382"/>
        <v>0</v>
      </c>
      <c r="S120" s="75">
        <f t="shared" si="382"/>
        <v>0</v>
      </c>
      <c r="T120" s="75">
        <f t="shared" si="382"/>
        <v>0</v>
      </c>
      <c r="U120" s="75">
        <f t="shared" si="382"/>
        <v>0</v>
      </c>
      <c r="V120" s="75">
        <f t="shared" si="382"/>
        <v>0</v>
      </c>
      <c r="W120" s="75">
        <f t="shared" si="382"/>
        <v>0</v>
      </c>
      <c r="X120" s="75">
        <f t="shared" si="382"/>
        <v>0</v>
      </c>
      <c r="Y120" s="75">
        <f t="shared" si="382"/>
        <v>0</v>
      </c>
      <c r="Z120" s="75">
        <f t="shared" si="382"/>
        <v>0</v>
      </c>
      <c r="AA120" s="75">
        <f t="shared" si="382"/>
        <v>0</v>
      </c>
      <c r="AB120" s="75">
        <f t="shared" si="382"/>
        <v>0</v>
      </c>
      <c r="AC120" s="75">
        <f t="shared" si="382"/>
        <v>0</v>
      </c>
      <c r="AD120" s="75">
        <f t="shared" si="382"/>
        <v>0</v>
      </c>
      <c r="AE120" s="75">
        <f t="shared" si="382"/>
        <v>0</v>
      </c>
      <c r="AF120" s="75">
        <f t="shared" si="382"/>
        <v>5000</v>
      </c>
      <c r="AG120" s="75">
        <f t="shared" si="382"/>
        <v>10000</v>
      </c>
      <c r="AH120" s="75">
        <f t="shared" si="382"/>
        <v>10000</v>
      </c>
      <c r="AI120" s="75">
        <f t="shared" si="382"/>
        <v>10000</v>
      </c>
      <c r="AJ120" s="75">
        <f t="shared" si="382"/>
        <v>10000</v>
      </c>
      <c r="AK120" s="75">
        <f t="shared" si="382"/>
        <v>10000</v>
      </c>
      <c r="AL120" s="75">
        <f t="shared" si="382"/>
        <v>10000</v>
      </c>
      <c r="AM120" s="75">
        <f t="shared" si="382"/>
        <v>10000</v>
      </c>
      <c r="AN120" s="75">
        <f t="shared" si="382"/>
        <v>10000</v>
      </c>
      <c r="AO120" s="75">
        <f t="shared" si="382"/>
        <v>10000</v>
      </c>
      <c r="AP120" s="75">
        <f t="shared" si="382"/>
        <v>10000</v>
      </c>
      <c r="AQ120" s="75">
        <f t="shared" si="382"/>
        <v>10000</v>
      </c>
      <c r="AR120" s="75">
        <f t="shared" si="382"/>
        <v>10000</v>
      </c>
      <c r="AS120" s="75">
        <f t="shared" si="382"/>
        <v>10000</v>
      </c>
      <c r="AT120" s="75">
        <f t="shared" si="382"/>
        <v>10000</v>
      </c>
      <c r="AU120" s="75">
        <f t="shared" si="382"/>
        <v>10000</v>
      </c>
      <c r="AV120" s="75">
        <f t="shared" si="382"/>
        <v>10000</v>
      </c>
      <c r="AW120" s="75">
        <f t="shared" si="382"/>
        <v>10000</v>
      </c>
      <c r="AX120" s="75">
        <f t="shared" si="382"/>
        <v>10000</v>
      </c>
      <c r="AY120" s="75">
        <f t="shared" si="382"/>
        <v>10000</v>
      </c>
      <c r="AZ120" s="75">
        <f t="shared" si="382"/>
        <v>10000</v>
      </c>
      <c r="BA120" s="75">
        <f t="shared" si="382"/>
        <v>10000</v>
      </c>
      <c r="BB120" s="75">
        <f t="shared" si="382"/>
        <v>10000</v>
      </c>
      <c r="BC120" s="75">
        <f t="shared" si="382"/>
        <v>10000</v>
      </c>
      <c r="BD120" s="75">
        <f t="shared" si="382"/>
        <v>10000</v>
      </c>
      <c r="BE120" s="75">
        <f t="shared" si="382"/>
        <v>10000</v>
      </c>
      <c r="BF120" s="75">
        <f t="shared" si="382"/>
        <v>10000</v>
      </c>
      <c r="BG120" s="75">
        <f t="shared" si="382"/>
        <v>10000</v>
      </c>
      <c r="BH120" s="75">
        <f t="shared" si="382"/>
        <v>10000</v>
      </c>
      <c r="BI120" s="75">
        <f t="shared" si="382"/>
        <v>10000</v>
      </c>
      <c r="BJ120" s="75">
        <f t="shared" si="382"/>
        <v>10000</v>
      </c>
      <c r="BK120" s="75">
        <f t="shared" si="382"/>
        <v>10000</v>
      </c>
      <c r="BL120" s="75">
        <f t="shared" si="382"/>
        <v>10000</v>
      </c>
      <c r="BM120" s="75">
        <f t="shared" si="382"/>
        <v>10000</v>
      </c>
      <c r="BN120" s="75">
        <f t="shared" si="382"/>
        <v>10000</v>
      </c>
      <c r="BO120" s="75">
        <f t="shared" si="382"/>
        <v>10000</v>
      </c>
      <c r="BP120" s="75">
        <f t="shared" si="382"/>
        <v>5000</v>
      </c>
      <c r="BQ120" s="75">
        <f t="shared" si="382"/>
        <v>0</v>
      </c>
      <c r="BR120" s="75">
        <f t="shared" si="382"/>
        <v>0</v>
      </c>
      <c r="BS120" s="75">
        <f t="shared" si="382"/>
        <v>0</v>
      </c>
      <c r="BT120" s="75">
        <f t="shared" si="382"/>
        <v>0</v>
      </c>
      <c r="BU120" s="75">
        <f t="shared" ref="BU120:DB120" si="383">AVERAGE(BU117,BU119)</f>
        <v>0</v>
      </c>
      <c r="BV120" s="75">
        <f t="shared" si="383"/>
        <v>0</v>
      </c>
      <c r="BW120" s="75">
        <f t="shared" si="383"/>
        <v>0</v>
      </c>
      <c r="BX120" s="75">
        <f t="shared" si="383"/>
        <v>0</v>
      </c>
      <c r="BY120" s="75">
        <f t="shared" si="383"/>
        <v>0</v>
      </c>
      <c r="BZ120" s="75">
        <f t="shared" si="383"/>
        <v>0</v>
      </c>
      <c r="CA120" s="75">
        <f t="shared" si="383"/>
        <v>0</v>
      </c>
      <c r="CB120" s="75">
        <f t="shared" si="383"/>
        <v>0</v>
      </c>
      <c r="CC120" s="75">
        <f t="shared" si="383"/>
        <v>0</v>
      </c>
      <c r="CD120" s="75">
        <f t="shared" si="383"/>
        <v>0</v>
      </c>
      <c r="CE120" s="75">
        <f t="shared" si="383"/>
        <v>0</v>
      </c>
      <c r="CF120" s="75">
        <f t="shared" si="383"/>
        <v>0</v>
      </c>
      <c r="CG120" s="75">
        <f t="shared" si="383"/>
        <v>0</v>
      </c>
      <c r="CH120" s="75">
        <f t="shared" si="383"/>
        <v>0</v>
      </c>
      <c r="CI120" s="75">
        <f t="shared" si="383"/>
        <v>0</v>
      </c>
      <c r="CJ120" s="75">
        <f t="shared" si="383"/>
        <v>0</v>
      </c>
      <c r="CK120" s="75">
        <f t="shared" si="383"/>
        <v>0</v>
      </c>
      <c r="CL120" s="75">
        <f t="shared" si="383"/>
        <v>0</v>
      </c>
      <c r="CM120" s="75">
        <f t="shared" si="383"/>
        <v>0</v>
      </c>
      <c r="CN120" s="75">
        <f t="shared" si="383"/>
        <v>0</v>
      </c>
      <c r="CO120" s="75">
        <f t="shared" si="383"/>
        <v>0</v>
      </c>
      <c r="CP120" s="75">
        <f t="shared" si="383"/>
        <v>0</v>
      </c>
      <c r="CQ120" s="75">
        <f t="shared" si="383"/>
        <v>0</v>
      </c>
      <c r="CR120" s="75">
        <f t="shared" si="383"/>
        <v>0</v>
      </c>
      <c r="CS120" s="75">
        <f t="shared" si="383"/>
        <v>0</v>
      </c>
      <c r="CT120" s="75">
        <f t="shared" si="383"/>
        <v>0</v>
      </c>
      <c r="CU120" s="75">
        <f t="shared" si="383"/>
        <v>0</v>
      </c>
      <c r="CV120" s="75">
        <f t="shared" si="383"/>
        <v>0</v>
      </c>
      <c r="CW120" s="75">
        <f t="shared" si="383"/>
        <v>0</v>
      </c>
      <c r="CX120" s="75">
        <f t="shared" si="383"/>
        <v>0</v>
      </c>
      <c r="CY120" s="75">
        <f t="shared" si="383"/>
        <v>0</v>
      </c>
      <c r="CZ120" s="75">
        <f t="shared" si="383"/>
        <v>0</v>
      </c>
      <c r="DA120" s="75">
        <f t="shared" si="383"/>
        <v>0</v>
      </c>
      <c r="DB120" s="75">
        <f t="shared" si="383"/>
        <v>0</v>
      </c>
    </row>
    <row r="121" spans="3:106">
      <c r="D121" s="75" t="s">
        <v>343</v>
      </c>
      <c r="E121" s="278">
        <f>'A&amp;R'!I59</f>
        <v>6.0499999999999998E-2</v>
      </c>
      <c r="F121" s="75">
        <f>SUM(H121:DB121)</f>
        <v>1815.0000000000007</v>
      </c>
      <c r="G121" s="75"/>
      <c r="H121" s="75">
        <f>H$120*$E$121/12</f>
        <v>0</v>
      </c>
      <c r="I121" s="75">
        <f t="shared" ref="I121:BT121" si="384">I$120*$E$121/12</f>
        <v>0</v>
      </c>
      <c r="J121" s="75">
        <f t="shared" si="384"/>
        <v>0</v>
      </c>
      <c r="K121" s="75">
        <f t="shared" si="384"/>
        <v>0</v>
      </c>
      <c r="L121" s="75">
        <f t="shared" si="384"/>
        <v>0</v>
      </c>
      <c r="M121" s="75">
        <f t="shared" si="384"/>
        <v>0</v>
      </c>
      <c r="N121" s="75">
        <f t="shared" si="384"/>
        <v>0</v>
      </c>
      <c r="O121" s="75">
        <f t="shared" si="384"/>
        <v>0</v>
      </c>
      <c r="P121" s="75">
        <f t="shared" si="384"/>
        <v>0</v>
      </c>
      <c r="Q121" s="75">
        <f t="shared" si="384"/>
        <v>0</v>
      </c>
      <c r="R121" s="75">
        <f t="shared" si="384"/>
        <v>0</v>
      </c>
      <c r="S121" s="75">
        <f t="shared" si="384"/>
        <v>0</v>
      </c>
      <c r="T121" s="75">
        <f t="shared" si="384"/>
        <v>0</v>
      </c>
      <c r="U121" s="75">
        <f t="shared" si="384"/>
        <v>0</v>
      </c>
      <c r="V121" s="75">
        <f t="shared" si="384"/>
        <v>0</v>
      </c>
      <c r="W121" s="75">
        <f t="shared" si="384"/>
        <v>0</v>
      </c>
      <c r="X121" s="75">
        <f t="shared" si="384"/>
        <v>0</v>
      </c>
      <c r="Y121" s="75">
        <f t="shared" si="384"/>
        <v>0</v>
      </c>
      <c r="Z121" s="75">
        <f t="shared" si="384"/>
        <v>0</v>
      </c>
      <c r="AA121" s="75">
        <f t="shared" si="384"/>
        <v>0</v>
      </c>
      <c r="AB121" s="75">
        <f t="shared" si="384"/>
        <v>0</v>
      </c>
      <c r="AC121" s="75">
        <f t="shared" si="384"/>
        <v>0</v>
      </c>
      <c r="AD121" s="75">
        <f t="shared" si="384"/>
        <v>0</v>
      </c>
      <c r="AE121" s="75">
        <f t="shared" si="384"/>
        <v>0</v>
      </c>
      <c r="AF121" s="75">
        <f t="shared" si="384"/>
        <v>25.208333333333332</v>
      </c>
      <c r="AG121" s="75">
        <f t="shared" si="384"/>
        <v>50.416666666666664</v>
      </c>
      <c r="AH121" s="75">
        <f t="shared" si="384"/>
        <v>50.416666666666664</v>
      </c>
      <c r="AI121" s="75">
        <f t="shared" si="384"/>
        <v>50.416666666666664</v>
      </c>
      <c r="AJ121" s="75">
        <f t="shared" si="384"/>
        <v>50.416666666666664</v>
      </c>
      <c r="AK121" s="75">
        <f t="shared" si="384"/>
        <v>50.416666666666664</v>
      </c>
      <c r="AL121" s="75">
        <f t="shared" si="384"/>
        <v>50.416666666666664</v>
      </c>
      <c r="AM121" s="75">
        <f t="shared" si="384"/>
        <v>50.416666666666664</v>
      </c>
      <c r="AN121" s="75">
        <f t="shared" si="384"/>
        <v>50.416666666666664</v>
      </c>
      <c r="AO121" s="75">
        <f t="shared" si="384"/>
        <v>50.416666666666664</v>
      </c>
      <c r="AP121" s="75">
        <f t="shared" si="384"/>
        <v>50.416666666666664</v>
      </c>
      <c r="AQ121" s="75">
        <f t="shared" si="384"/>
        <v>50.416666666666664</v>
      </c>
      <c r="AR121" s="75">
        <f t="shared" si="384"/>
        <v>50.416666666666664</v>
      </c>
      <c r="AS121" s="75">
        <f t="shared" si="384"/>
        <v>50.416666666666664</v>
      </c>
      <c r="AT121" s="75">
        <f t="shared" si="384"/>
        <v>50.416666666666664</v>
      </c>
      <c r="AU121" s="75">
        <f t="shared" si="384"/>
        <v>50.416666666666664</v>
      </c>
      <c r="AV121" s="75">
        <f t="shared" si="384"/>
        <v>50.416666666666664</v>
      </c>
      <c r="AW121" s="75">
        <f t="shared" si="384"/>
        <v>50.416666666666664</v>
      </c>
      <c r="AX121" s="75">
        <f t="shared" si="384"/>
        <v>50.416666666666664</v>
      </c>
      <c r="AY121" s="75">
        <f t="shared" si="384"/>
        <v>50.416666666666664</v>
      </c>
      <c r="AZ121" s="75">
        <f t="shared" si="384"/>
        <v>50.416666666666664</v>
      </c>
      <c r="BA121" s="75">
        <f t="shared" si="384"/>
        <v>50.416666666666664</v>
      </c>
      <c r="BB121" s="75">
        <f t="shared" si="384"/>
        <v>50.416666666666664</v>
      </c>
      <c r="BC121" s="75">
        <f t="shared" si="384"/>
        <v>50.416666666666664</v>
      </c>
      <c r="BD121" s="75">
        <f t="shared" si="384"/>
        <v>50.416666666666664</v>
      </c>
      <c r="BE121" s="75">
        <f t="shared" si="384"/>
        <v>50.416666666666664</v>
      </c>
      <c r="BF121" s="75">
        <f t="shared" si="384"/>
        <v>50.416666666666664</v>
      </c>
      <c r="BG121" s="75">
        <f t="shared" si="384"/>
        <v>50.416666666666664</v>
      </c>
      <c r="BH121" s="75">
        <f t="shared" si="384"/>
        <v>50.416666666666664</v>
      </c>
      <c r="BI121" s="75">
        <f t="shared" si="384"/>
        <v>50.416666666666664</v>
      </c>
      <c r="BJ121" s="75">
        <f t="shared" si="384"/>
        <v>50.416666666666664</v>
      </c>
      <c r="BK121" s="75">
        <f t="shared" si="384"/>
        <v>50.416666666666664</v>
      </c>
      <c r="BL121" s="75">
        <f t="shared" si="384"/>
        <v>50.416666666666664</v>
      </c>
      <c r="BM121" s="75">
        <f t="shared" si="384"/>
        <v>50.416666666666664</v>
      </c>
      <c r="BN121" s="75">
        <f t="shared" si="384"/>
        <v>50.416666666666664</v>
      </c>
      <c r="BO121" s="75">
        <f t="shared" si="384"/>
        <v>50.416666666666664</v>
      </c>
      <c r="BP121" s="75">
        <f t="shared" si="384"/>
        <v>25.208333333333332</v>
      </c>
      <c r="BQ121" s="75">
        <f t="shared" si="384"/>
        <v>0</v>
      </c>
      <c r="BR121" s="75">
        <f t="shared" si="384"/>
        <v>0</v>
      </c>
      <c r="BS121" s="75">
        <f t="shared" si="384"/>
        <v>0</v>
      </c>
      <c r="BT121" s="75">
        <f t="shared" si="384"/>
        <v>0</v>
      </c>
      <c r="BU121" s="75">
        <f t="shared" ref="BU121:DB121" si="385">BU$120*$E$121/12</f>
        <v>0</v>
      </c>
      <c r="BV121" s="75">
        <f t="shared" si="385"/>
        <v>0</v>
      </c>
      <c r="BW121" s="75">
        <f t="shared" si="385"/>
        <v>0</v>
      </c>
      <c r="BX121" s="75">
        <f t="shared" si="385"/>
        <v>0</v>
      </c>
      <c r="BY121" s="75">
        <f t="shared" si="385"/>
        <v>0</v>
      </c>
      <c r="BZ121" s="75">
        <f t="shared" si="385"/>
        <v>0</v>
      </c>
      <c r="CA121" s="75">
        <f t="shared" si="385"/>
        <v>0</v>
      </c>
      <c r="CB121" s="75">
        <f t="shared" si="385"/>
        <v>0</v>
      </c>
      <c r="CC121" s="75">
        <f t="shared" si="385"/>
        <v>0</v>
      </c>
      <c r="CD121" s="75">
        <f t="shared" si="385"/>
        <v>0</v>
      </c>
      <c r="CE121" s="75">
        <f t="shared" si="385"/>
        <v>0</v>
      </c>
      <c r="CF121" s="75">
        <f t="shared" si="385"/>
        <v>0</v>
      </c>
      <c r="CG121" s="75">
        <f t="shared" si="385"/>
        <v>0</v>
      </c>
      <c r="CH121" s="75">
        <f t="shared" si="385"/>
        <v>0</v>
      </c>
      <c r="CI121" s="75">
        <f t="shared" si="385"/>
        <v>0</v>
      </c>
      <c r="CJ121" s="75">
        <f t="shared" si="385"/>
        <v>0</v>
      </c>
      <c r="CK121" s="75">
        <f t="shared" si="385"/>
        <v>0</v>
      </c>
      <c r="CL121" s="75">
        <f t="shared" si="385"/>
        <v>0</v>
      </c>
      <c r="CM121" s="75">
        <f t="shared" si="385"/>
        <v>0</v>
      </c>
      <c r="CN121" s="75">
        <f t="shared" si="385"/>
        <v>0</v>
      </c>
      <c r="CO121" s="75">
        <f t="shared" si="385"/>
        <v>0</v>
      </c>
      <c r="CP121" s="75">
        <f t="shared" si="385"/>
        <v>0</v>
      </c>
      <c r="CQ121" s="75">
        <f t="shared" si="385"/>
        <v>0</v>
      </c>
      <c r="CR121" s="75">
        <f t="shared" si="385"/>
        <v>0</v>
      </c>
      <c r="CS121" s="75">
        <f t="shared" si="385"/>
        <v>0</v>
      </c>
      <c r="CT121" s="75">
        <f t="shared" si="385"/>
        <v>0</v>
      </c>
      <c r="CU121" s="75">
        <f t="shared" si="385"/>
        <v>0</v>
      </c>
      <c r="CV121" s="75">
        <f t="shared" si="385"/>
        <v>0</v>
      </c>
      <c r="CW121" s="75">
        <f t="shared" si="385"/>
        <v>0</v>
      </c>
      <c r="CX121" s="75">
        <f t="shared" si="385"/>
        <v>0</v>
      </c>
      <c r="CY121" s="75">
        <f t="shared" si="385"/>
        <v>0</v>
      </c>
      <c r="CZ121" s="75">
        <f t="shared" si="385"/>
        <v>0</v>
      </c>
      <c r="DA121" s="75">
        <f t="shared" si="385"/>
        <v>0</v>
      </c>
      <c r="DB121" s="75">
        <f t="shared" si="385"/>
        <v>0</v>
      </c>
    </row>
    <row r="122" spans="3:106">
      <c r="D122" s="144" t="s">
        <v>344</v>
      </c>
      <c r="E122" s="144"/>
      <c r="F122" s="144">
        <f>SUM(H122:DB122)</f>
        <v>1815.0000000000007</v>
      </c>
      <c r="G122" s="144"/>
      <c r="H122" s="144">
        <f>(SUM($H$121:H$121)-SUM($G$122:G$122))*H$115</f>
        <v>0</v>
      </c>
      <c r="I122" s="144">
        <f>(SUM($H$121:I$121)-SUM($G$122:H$122))*I$115</f>
        <v>0</v>
      </c>
      <c r="J122" s="144">
        <f>(SUM($H$121:J$121)-SUM($G$122:I$122))*J$115</f>
        <v>0</v>
      </c>
      <c r="K122" s="144">
        <f>(SUM($H$121:K$121)-SUM($G$122:J$122))*K$115</f>
        <v>0</v>
      </c>
      <c r="L122" s="144">
        <f>(SUM($H$121:L$121)-SUM($G$122:K$122))*L$115</f>
        <v>0</v>
      </c>
      <c r="M122" s="144">
        <f>(SUM($H$121:M$121)-SUM($G$122:L$122))*M$115</f>
        <v>0</v>
      </c>
      <c r="N122" s="144">
        <f>(SUM($H$121:N$121)-SUM($G$122:M$122))*N$115</f>
        <v>0</v>
      </c>
      <c r="O122" s="144">
        <f>(SUM($H$121:O$121)-SUM($G$122:N$122))*O$115</f>
        <v>0</v>
      </c>
      <c r="P122" s="144">
        <f>(SUM($H$121:P$121)-SUM($G$122:O$122))*P$115</f>
        <v>0</v>
      </c>
      <c r="Q122" s="144">
        <f>(SUM($H$121:Q$121)-SUM($G$122:P$122))*Q$115</f>
        <v>0</v>
      </c>
      <c r="R122" s="144">
        <f>(SUM($H$121:R$121)-SUM($G$122:Q$122))*R$115</f>
        <v>0</v>
      </c>
      <c r="S122" s="144">
        <f>(SUM($H$121:S$121)-SUM($G$122:R$122))*S$115</f>
        <v>0</v>
      </c>
      <c r="T122" s="144">
        <f>(SUM($H$121:T$121)-SUM($G$122:S$122))*T$115</f>
        <v>0</v>
      </c>
      <c r="U122" s="144">
        <f>(SUM($H$121:U$121)-SUM($G$122:T$122))*U$115</f>
        <v>0</v>
      </c>
      <c r="V122" s="144">
        <f>(SUM($H$121:V$121)-SUM($G$122:U$122))*V$115</f>
        <v>0</v>
      </c>
      <c r="W122" s="144">
        <f>(SUM($H$121:W$121)-SUM($G$122:V$122))*W$115</f>
        <v>0</v>
      </c>
      <c r="X122" s="144">
        <f>(SUM($H$121:X$121)-SUM($G$122:W$122))*X$115</f>
        <v>0</v>
      </c>
      <c r="Y122" s="144">
        <f>(SUM($H$121:Y$121)-SUM($G$122:X$122))*Y$115</f>
        <v>0</v>
      </c>
      <c r="Z122" s="144">
        <f>(SUM($H$121:Z$121)-SUM($G$122:Y$122))*Z$115</f>
        <v>0</v>
      </c>
      <c r="AA122" s="144">
        <f>(SUM($H$121:AA$121)-SUM($G$122:Z$122))*AA$115</f>
        <v>0</v>
      </c>
      <c r="AB122" s="144">
        <f>(SUM($H$121:AB$121)-SUM($G$122:AA$122))*AB$115</f>
        <v>0</v>
      </c>
      <c r="AC122" s="144">
        <f>(SUM($H$121:AC$121)-SUM($G$122:AB$122))*AC$115</f>
        <v>0</v>
      </c>
      <c r="AD122" s="144">
        <f>(SUM($H$121:AD$121)-SUM($G$122:AC$122))*AD$115</f>
        <v>0</v>
      </c>
      <c r="AE122" s="144">
        <f>(SUM($H$121:AE$121)-SUM($G$122:AD$122))*AE$115</f>
        <v>0</v>
      </c>
      <c r="AF122" s="144">
        <f>(SUM($H$121:AF$121)-SUM($G$122:AE$122))*AF$115</f>
        <v>0</v>
      </c>
      <c r="AG122" s="144">
        <f>(SUM($H$121:AG$121)-SUM($G$122:AF$122))*AG$115</f>
        <v>0</v>
      </c>
      <c r="AH122" s="144">
        <f>(SUM($H$121:AH$121)-SUM($G$122:AG$122))*AH$115</f>
        <v>0</v>
      </c>
      <c r="AI122" s="144">
        <f>(SUM($H$121:AI$121)-SUM($G$122:AH$122))*AI$115</f>
        <v>0</v>
      </c>
      <c r="AJ122" s="144">
        <f>(SUM($H$121:AJ$121)-SUM($G$122:AI$122))*AJ$115</f>
        <v>0</v>
      </c>
      <c r="AK122" s="144">
        <f>(SUM($H$121:AK$121)-SUM($G$122:AJ$122))*AK$115</f>
        <v>0</v>
      </c>
      <c r="AL122" s="144">
        <f>(SUM($H$121:AL$121)-SUM($G$122:AK$122))*AL$115</f>
        <v>327.70833333333331</v>
      </c>
      <c r="AM122" s="144">
        <f>(SUM($H$121:AM$121)-SUM($G$122:AL$122))*AM$115</f>
        <v>0</v>
      </c>
      <c r="AN122" s="144">
        <f>(SUM($H$121:AN$121)-SUM($G$122:AM$122))*AN$115</f>
        <v>0</v>
      </c>
      <c r="AO122" s="144">
        <f>(SUM($H$121:AO$121)-SUM($G$122:AN$122))*AO$115</f>
        <v>0</v>
      </c>
      <c r="AP122" s="144">
        <f>(SUM($H$121:AP$121)-SUM($G$122:AO$122))*AP$115</f>
        <v>0</v>
      </c>
      <c r="AQ122" s="144">
        <f>(SUM($H$121:AQ$121)-SUM($G$122:AP$122))*AQ$115</f>
        <v>0</v>
      </c>
      <c r="AR122" s="144">
        <f>(SUM($H$121:AR$121)-SUM($G$122:AQ$122))*AR$115</f>
        <v>302.49999999999994</v>
      </c>
      <c r="AS122" s="144">
        <f>(SUM($H$121:AS$121)-SUM($G$122:AR$122))*AS$115</f>
        <v>0</v>
      </c>
      <c r="AT122" s="144">
        <f>(SUM($H$121:AT$121)-SUM($G$122:AS$122))*AT$115</f>
        <v>0</v>
      </c>
      <c r="AU122" s="144">
        <f>(SUM($H$121:AU$121)-SUM($G$122:AT$122))*AU$115</f>
        <v>0</v>
      </c>
      <c r="AV122" s="144">
        <f>(SUM($H$121:AV$121)-SUM($G$122:AU$122))*AV$115</f>
        <v>0</v>
      </c>
      <c r="AW122" s="144">
        <f>(SUM($H$121:AW$121)-SUM($G$122:AV$122))*AW$115</f>
        <v>0</v>
      </c>
      <c r="AX122" s="144">
        <f>(SUM($H$121:AX$121)-SUM($G$122:AW$122))*AX$115</f>
        <v>302.49999999999977</v>
      </c>
      <c r="AY122" s="144">
        <f>(SUM($H$121:AY$121)-SUM($G$122:AX$122))*AY$115</f>
        <v>0</v>
      </c>
      <c r="AZ122" s="144">
        <f>(SUM($H$121:AZ$121)-SUM($G$122:AY$122))*AZ$115</f>
        <v>0</v>
      </c>
      <c r="BA122" s="144">
        <f>(SUM($H$121:BA$121)-SUM($G$122:AZ$122))*BA$115</f>
        <v>0</v>
      </c>
      <c r="BB122" s="144">
        <f>(SUM($H$121:BB$121)-SUM($G$122:BA$122))*BB$115</f>
        <v>0</v>
      </c>
      <c r="BC122" s="144">
        <f>(SUM($H$121:BC$121)-SUM($G$122:BB$122))*BC$115</f>
        <v>0</v>
      </c>
      <c r="BD122" s="144">
        <f>(SUM($H$121:BD$121)-SUM($G$122:BC$122))*BD$115</f>
        <v>302.50000000000023</v>
      </c>
      <c r="BE122" s="144">
        <f>(SUM($H$121:BE$121)-SUM($G$122:BD$122))*BE$115</f>
        <v>0</v>
      </c>
      <c r="BF122" s="144">
        <f>(SUM($H$121:BF$121)-SUM($G$122:BE$122))*BF$115</f>
        <v>0</v>
      </c>
      <c r="BG122" s="144">
        <f>(SUM($H$121:BG$121)-SUM($G$122:BF$122))*BG$115</f>
        <v>0</v>
      </c>
      <c r="BH122" s="144">
        <f>(SUM($H$121:BH$121)-SUM($G$122:BG$122))*BH$115</f>
        <v>0</v>
      </c>
      <c r="BI122" s="144">
        <f>(SUM($H$121:BI$121)-SUM($G$122:BH$122))*BI$115</f>
        <v>0</v>
      </c>
      <c r="BJ122" s="144">
        <f>(SUM($H$121:BJ$121)-SUM($G$122:BI$122))*BJ$115</f>
        <v>302.50000000000045</v>
      </c>
      <c r="BK122" s="144">
        <f>(SUM($H$121:BK$121)-SUM($G$122:BJ$122))*BK$115</f>
        <v>0</v>
      </c>
      <c r="BL122" s="144">
        <f>(SUM($H$121:BL$121)-SUM($G$122:BK$122))*BL$115</f>
        <v>0</v>
      </c>
      <c r="BM122" s="144">
        <f>(SUM($H$121:BM$121)-SUM($G$122:BL$122))*BM$115</f>
        <v>0</v>
      </c>
      <c r="BN122" s="144">
        <f>(SUM($H$121:BN$121)-SUM($G$122:BM$122))*BN$115</f>
        <v>0</v>
      </c>
      <c r="BO122" s="144">
        <f>(SUM($H$121:BO$121)-SUM($G$122:BN$122))*BO$115</f>
        <v>0</v>
      </c>
      <c r="BP122" s="144">
        <f>(SUM($H$121:BP$121)-SUM($G$122:BO$122))*BP$115</f>
        <v>277.29166666666697</v>
      </c>
      <c r="BQ122" s="144">
        <f>(SUM($H$121:BQ$121)-SUM($G$122:BP$122))*BQ$115</f>
        <v>0</v>
      </c>
      <c r="BR122" s="144">
        <f>(SUM($H$121:BR$121)-SUM($G$122:BQ$122))*BR$115</f>
        <v>0</v>
      </c>
      <c r="BS122" s="144">
        <f>(SUM($H$121:BS$121)-SUM($G$122:BR$122))*BS$115</f>
        <v>0</v>
      </c>
      <c r="BT122" s="144">
        <f>(SUM($H$121:BT$121)-SUM($G$122:BS$122))*BT$115</f>
        <v>0</v>
      </c>
      <c r="BU122" s="144">
        <f>(SUM($H$121:BU$121)-SUM($G$122:BT$122))*BU$115</f>
        <v>0</v>
      </c>
      <c r="BV122" s="144">
        <f>(SUM($H$121:BV$121)-SUM($G$122:BU$122))*BV$115</f>
        <v>0</v>
      </c>
      <c r="BW122" s="144">
        <f>(SUM($H$121:BW$121)-SUM($G$122:BV$122))*BW$115</f>
        <v>0</v>
      </c>
      <c r="BX122" s="144">
        <f>(SUM($H$121:BX$121)-SUM($G$122:BW$122))*BX$115</f>
        <v>0</v>
      </c>
      <c r="BY122" s="144">
        <f>(SUM($H$121:BY$121)-SUM($G$122:BX$122))*BY$115</f>
        <v>0</v>
      </c>
      <c r="BZ122" s="144">
        <f>(SUM($H$121:BZ$121)-SUM($G$122:BY$122))*BZ$115</f>
        <v>0</v>
      </c>
      <c r="CA122" s="144">
        <f>(SUM($H$121:CA$121)-SUM($G$122:BZ$122))*CA$115</f>
        <v>0</v>
      </c>
      <c r="CB122" s="144">
        <f>(SUM($H$121:CB$121)-SUM($G$122:CA$122))*CB$115</f>
        <v>0</v>
      </c>
      <c r="CC122" s="144">
        <f>(SUM($H$121:CC$121)-SUM($G$122:CB$122))*CC$115</f>
        <v>0</v>
      </c>
      <c r="CD122" s="144">
        <f>(SUM($H$121:CD$121)-SUM($G$122:CC$122))*CD$115</f>
        <v>0</v>
      </c>
      <c r="CE122" s="144">
        <f>(SUM($H$121:CE$121)-SUM($G$122:CD$122))*CE$115</f>
        <v>0</v>
      </c>
      <c r="CF122" s="144">
        <f>(SUM($H$121:CF$121)-SUM($G$122:CE$122))*CF$115</f>
        <v>0</v>
      </c>
      <c r="CG122" s="144">
        <f>(SUM($H$121:CG$121)-SUM($G$122:CF$122))*CG$115</f>
        <v>0</v>
      </c>
      <c r="CH122" s="144">
        <f>(SUM($H$121:CH$121)-SUM($G$122:CG$122))*CH$115</f>
        <v>0</v>
      </c>
      <c r="CI122" s="144">
        <f>(SUM($H$121:CI$121)-SUM($G$122:CH$122))*CI$115</f>
        <v>0</v>
      </c>
      <c r="CJ122" s="144">
        <f>(SUM($H$121:CJ$121)-SUM($G$122:CI$122))*CJ$115</f>
        <v>0</v>
      </c>
      <c r="CK122" s="144">
        <f>(SUM($H$121:CK$121)-SUM($G$122:CJ$122))*CK$115</f>
        <v>0</v>
      </c>
      <c r="CL122" s="144">
        <f>(SUM($H$121:CL$121)-SUM($G$122:CK$122))*CL$115</f>
        <v>0</v>
      </c>
      <c r="CM122" s="144">
        <f>(SUM($H$121:CM$121)-SUM($G$122:CL$122))*CM$115</f>
        <v>0</v>
      </c>
      <c r="CN122" s="144">
        <f>(SUM($H$121:CN$121)-SUM($G$122:CM$122))*CN$115</f>
        <v>0</v>
      </c>
      <c r="CO122" s="144">
        <f>(SUM($H$121:CO$121)-SUM($G$122:CN$122))*CO$115</f>
        <v>0</v>
      </c>
      <c r="CP122" s="144">
        <f>(SUM($H$121:CP$121)-SUM($G$122:CO$122))*CP$115</f>
        <v>0</v>
      </c>
      <c r="CQ122" s="144">
        <f>(SUM($H$121:CQ$121)-SUM($G$122:CP$122))*CQ$115</f>
        <v>0</v>
      </c>
      <c r="CR122" s="144">
        <f>(SUM($H$121:CR$121)-SUM($G$122:CQ$122))*CR$115</f>
        <v>0</v>
      </c>
      <c r="CS122" s="144">
        <f>(SUM($H$121:CS$121)-SUM($G$122:CR$122))*CS$115</f>
        <v>0</v>
      </c>
      <c r="CT122" s="144">
        <f>(SUM($H$121:CT$121)-SUM($G$122:CS$122))*CT$115</f>
        <v>0</v>
      </c>
      <c r="CU122" s="144">
        <f>(SUM($H$121:CU$121)-SUM($G$122:CT$122))*CU$115</f>
        <v>0</v>
      </c>
      <c r="CV122" s="144">
        <f>(SUM($H$121:CV$121)-SUM($G$122:CU$122))*CV$115</f>
        <v>0</v>
      </c>
      <c r="CW122" s="144">
        <f>(SUM($H$121:CW$121)-SUM($G$122:CV$122))*CW$115</f>
        <v>0</v>
      </c>
      <c r="CX122" s="144">
        <f>(SUM($H$121:CX$121)-SUM($G$122:CW$122))*CX$115</f>
        <v>0</v>
      </c>
      <c r="CY122" s="144">
        <f>(SUM($H$121:CY$121)-SUM($G$122:CX$122))*CY$115</f>
        <v>0</v>
      </c>
      <c r="CZ122" s="144">
        <f>(SUM($H$121:CZ$121)-SUM($G$122:CY$122))*CZ$115</f>
        <v>0</v>
      </c>
      <c r="DA122" s="144">
        <f>(SUM($H$121:DA$121)-SUM($G$122:CZ$122))*DA$115</f>
        <v>0</v>
      </c>
      <c r="DB122" s="144">
        <f>(SUM($H$121:DB$121)-SUM($G$122:DA$122))*DB$115</f>
        <v>0</v>
      </c>
    </row>
    <row r="124" spans="3:106">
      <c r="C124" s="13" t="s">
        <v>347</v>
      </c>
    </row>
    <row r="125" spans="3:106">
      <c r="D125" s="13" t="s">
        <v>348</v>
      </c>
      <c r="H125" s="13">
        <f t="shared" ref="H125:AM125" ca="1" si="386">H22+H28</f>
        <v>-258513.77317456825</v>
      </c>
      <c r="I125" s="13">
        <f t="shared" ca="1" si="386"/>
        <v>519.96966127371047</v>
      </c>
      <c r="J125" s="13">
        <f t="shared" ca="1" si="386"/>
        <v>845.18321896716873</v>
      </c>
      <c r="K125" s="13">
        <f t="shared" ca="1" si="386"/>
        <v>868.93843743892728</v>
      </c>
      <c r="L125" s="13">
        <f t="shared" ca="1" si="386"/>
        <v>882.5556035014273</v>
      </c>
      <c r="M125" s="13">
        <f t="shared" ca="1" si="386"/>
        <v>928.39161295238989</v>
      </c>
      <c r="N125" s="13">
        <f t="shared" ca="1" si="386"/>
        <v>-2967.585703285813</v>
      </c>
      <c r="O125" s="13">
        <f t="shared" ca="1" si="386"/>
        <v>872.3712527882152</v>
      </c>
      <c r="P125" s="13">
        <f t="shared" ca="1" si="386"/>
        <v>916.22551067154848</v>
      </c>
      <c r="Q125" s="13">
        <f t="shared" ca="1" si="386"/>
        <v>1030.6097055965483</v>
      </c>
      <c r="R125" s="13">
        <f t="shared" ca="1" si="386"/>
        <v>1030.6097055965483</v>
      </c>
      <c r="S125" s="13">
        <f t="shared" ca="1" si="386"/>
        <v>938.22275709654843</v>
      </c>
      <c r="T125" s="13">
        <f t="shared" ca="1" si="386"/>
        <v>-3183.6392156450947</v>
      </c>
      <c r="U125" s="13">
        <f t="shared" ca="1" si="386"/>
        <v>1034.2921728845836</v>
      </c>
      <c r="V125" s="13">
        <f t="shared" ca="1" si="386"/>
        <v>1040.2921728845836</v>
      </c>
      <c r="W125" s="13">
        <f t="shared" ca="1" si="386"/>
        <v>1047.5395702129949</v>
      </c>
      <c r="X125" s="13">
        <f t="shared" ca="1" si="386"/>
        <v>1047.5395702129949</v>
      </c>
      <c r="Y125" s="13">
        <f t="shared" ca="1" si="386"/>
        <v>1052.6736168143616</v>
      </c>
      <c r="Z125" s="13">
        <f t="shared" ca="1" si="386"/>
        <v>-2827.9944106421726</v>
      </c>
      <c r="AA125" s="13">
        <f t="shared" ca="1" si="386"/>
        <v>1061.3990725286117</v>
      </c>
      <c r="AB125" s="13">
        <f t="shared" ca="1" si="386"/>
        <v>1061.3990725286117</v>
      </c>
      <c r="AC125" s="13">
        <f t="shared" ca="1" si="386"/>
        <v>1061.3990725286117</v>
      </c>
      <c r="AD125" s="13">
        <f t="shared" ca="1" si="386"/>
        <v>1061.3990725286117</v>
      </c>
      <c r="AE125" s="13">
        <f t="shared" ca="1" si="386"/>
        <v>1061.3990725286117</v>
      </c>
      <c r="AF125" s="13">
        <f t="shared" ca="1" si="386"/>
        <v>-2825.8437229318833</v>
      </c>
      <c r="AG125" s="13">
        <f t="shared" ca="1" si="386"/>
        <v>1059.620079318431</v>
      </c>
      <c r="AH125" s="13">
        <f t="shared" ca="1" si="386"/>
        <v>816.65208897894126</v>
      </c>
      <c r="AI125" s="13">
        <f t="shared" ca="1" si="386"/>
        <v>970.02510244212044</v>
      </c>
      <c r="AJ125" s="13">
        <f t="shared" ca="1" si="386"/>
        <v>1095.931483380391</v>
      </c>
      <c r="AK125" s="13">
        <f t="shared" ca="1" si="386"/>
        <v>1101.2195513797983</v>
      </c>
      <c r="AL125" s="13">
        <f t="shared" ca="1" si="386"/>
        <v>-2785.6053366816168</v>
      </c>
      <c r="AM125" s="13">
        <f t="shared" ca="1" si="386"/>
        <v>1110.206770765476</v>
      </c>
      <c r="AN125" s="13">
        <f t="shared" ref="AN125:BS125" ca="1" si="387">AN22+AN28</f>
        <v>1110.206770765476</v>
      </c>
      <c r="AO125" s="13">
        <f t="shared" ca="1" si="387"/>
        <v>1110.206770765476</v>
      </c>
      <c r="AP125" s="13">
        <f t="shared" ca="1" si="387"/>
        <v>1110.206770765476</v>
      </c>
      <c r="AQ125" s="13">
        <f t="shared" ca="1" si="387"/>
        <v>1078.1074105406306</v>
      </c>
      <c r="AR125" s="13">
        <f t="shared" ca="1" si="387"/>
        <v>-2756.8501271158079</v>
      </c>
      <c r="AS125" s="13">
        <f t="shared" ca="1" si="387"/>
        <v>1125.6092809321772</v>
      </c>
      <c r="AT125" s="13">
        <f t="shared" ca="1" si="387"/>
        <v>1131.9130309321772</v>
      </c>
      <c r="AU125" s="13">
        <f t="shared" ca="1" si="387"/>
        <v>1139.8241300133736</v>
      </c>
      <c r="AV125" s="13">
        <f t="shared" ca="1" si="387"/>
        <v>1049.0456293568805</v>
      </c>
      <c r="AW125" s="13">
        <f t="shared" ca="1" si="387"/>
        <v>1149.7592880728662</v>
      </c>
      <c r="AX125" s="13">
        <f t="shared" ca="1" si="387"/>
        <v>-2478.8525139176063</v>
      </c>
      <c r="AY125" s="13">
        <f t="shared" ca="1" si="387"/>
        <v>1159.0161240401139</v>
      </c>
      <c r="AZ125" s="13">
        <f t="shared" ca="1" si="387"/>
        <v>1159.0161240401139</v>
      </c>
      <c r="BA125" s="13">
        <f t="shared" ca="1" si="387"/>
        <v>1159.0161240401139</v>
      </c>
      <c r="BB125" s="13">
        <f t="shared" ca="1" si="387"/>
        <v>1159.0161240401139</v>
      </c>
      <c r="BC125" s="13">
        <f t="shared" ca="1" si="387"/>
        <v>1159.0161240401139</v>
      </c>
      <c r="BD125" s="13">
        <f t="shared" ca="1" si="387"/>
        <v>-2532.939983085977</v>
      </c>
      <c r="BE125" s="13">
        <f t="shared" ca="1" si="387"/>
        <v>1182.0715811695691</v>
      </c>
      <c r="BF125" s="13">
        <f t="shared" ca="1" si="387"/>
        <v>1188.532924919569</v>
      </c>
      <c r="BG125" s="13">
        <f t="shared" ca="1" si="387"/>
        <v>1196.6813569732014</v>
      </c>
      <c r="BH125" s="13">
        <f t="shared" ca="1" si="387"/>
        <v>1196.6813569732014</v>
      </c>
      <c r="BI125" s="13">
        <f t="shared" ca="1" si="387"/>
        <v>1202.4261217543758</v>
      </c>
      <c r="BJ125" s="13">
        <f t="shared" ca="1" si="387"/>
        <v>-2426.1310728184849</v>
      </c>
      <c r="BK125" s="13">
        <f t="shared" ca="1" si="387"/>
        <v>1211.9606628006411</v>
      </c>
      <c r="BL125" s="13">
        <f t="shared" ca="1" si="387"/>
        <v>1211.9606628006411</v>
      </c>
      <c r="BM125" s="13">
        <f t="shared" ca="1" si="387"/>
        <v>1211.9606628006411</v>
      </c>
      <c r="BN125" s="13">
        <f t="shared" ca="1" si="387"/>
        <v>1211.9606628006411</v>
      </c>
      <c r="BO125" s="13">
        <f t="shared" ca="1" si="387"/>
        <v>1211.9606628006411</v>
      </c>
      <c r="BP125" s="13">
        <f t="shared" ca="1" si="387"/>
        <v>310489.99089221982</v>
      </c>
      <c r="BQ125" s="13">
        <f t="shared" ca="1" si="387"/>
        <v>0</v>
      </c>
      <c r="BR125" s="13">
        <f t="shared" ca="1" si="387"/>
        <v>0</v>
      </c>
      <c r="BS125" s="13">
        <f t="shared" ca="1" si="387"/>
        <v>0</v>
      </c>
      <c r="BT125" s="13">
        <f t="shared" ref="BT125:DB125" ca="1" si="388">BT22+BT28</f>
        <v>0</v>
      </c>
      <c r="BU125" s="13">
        <f t="shared" ca="1" si="388"/>
        <v>0</v>
      </c>
      <c r="BV125" s="13">
        <f t="shared" ca="1" si="388"/>
        <v>0</v>
      </c>
      <c r="BW125" s="13">
        <f t="shared" ca="1" si="388"/>
        <v>0</v>
      </c>
      <c r="BX125" s="13">
        <f t="shared" ca="1" si="388"/>
        <v>0</v>
      </c>
      <c r="BY125" s="13">
        <f t="shared" ca="1" si="388"/>
        <v>0</v>
      </c>
      <c r="BZ125" s="13">
        <f t="shared" ca="1" si="388"/>
        <v>0</v>
      </c>
      <c r="CA125" s="13">
        <f t="shared" ca="1" si="388"/>
        <v>0</v>
      </c>
      <c r="CB125" s="13">
        <f t="shared" ca="1" si="388"/>
        <v>0</v>
      </c>
      <c r="CC125" s="13">
        <f t="shared" ca="1" si="388"/>
        <v>0</v>
      </c>
      <c r="CD125" s="13">
        <f t="shared" ca="1" si="388"/>
        <v>0</v>
      </c>
      <c r="CE125" s="13">
        <f t="shared" ca="1" si="388"/>
        <v>0</v>
      </c>
      <c r="CF125" s="13">
        <f t="shared" ca="1" si="388"/>
        <v>0</v>
      </c>
      <c r="CG125" s="13">
        <f t="shared" ca="1" si="388"/>
        <v>0</v>
      </c>
      <c r="CH125" s="13">
        <f t="shared" ca="1" si="388"/>
        <v>0</v>
      </c>
      <c r="CI125" s="13">
        <f t="shared" ca="1" si="388"/>
        <v>0</v>
      </c>
      <c r="CJ125" s="13">
        <f t="shared" ca="1" si="388"/>
        <v>0</v>
      </c>
      <c r="CK125" s="13">
        <f t="shared" ca="1" si="388"/>
        <v>0</v>
      </c>
      <c r="CL125" s="13">
        <f t="shared" ca="1" si="388"/>
        <v>0</v>
      </c>
      <c r="CM125" s="13">
        <f t="shared" ca="1" si="388"/>
        <v>0</v>
      </c>
      <c r="CN125" s="13">
        <f t="shared" ca="1" si="388"/>
        <v>0</v>
      </c>
      <c r="CO125" s="13">
        <f t="shared" ca="1" si="388"/>
        <v>0</v>
      </c>
      <c r="CP125" s="13">
        <f t="shared" ca="1" si="388"/>
        <v>0</v>
      </c>
      <c r="CQ125" s="13">
        <f t="shared" ca="1" si="388"/>
        <v>0</v>
      </c>
      <c r="CR125" s="13">
        <f t="shared" ca="1" si="388"/>
        <v>0</v>
      </c>
      <c r="CS125" s="13">
        <f t="shared" ca="1" si="388"/>
        <v>0</v>
      </c>
      <c r="CT125" s="13">
        <f t="shared" ca="1" si="388"/>
        <v>0</v>
      </c>
      <c r="CU125" s="13">
        <f t="shared" ca="1" si="388"/>
        <v>0</v>
      </c>
      <c r="CV125" s="13">
        <f t="shared" ca="1" si="388"/>
        <v>0</v>
      </c>
      <c r="CW125" s="13">
        <f t="shared" ca="1" si="388"/>
        <v>0</v>
      </c>
      <c r="CX125" s="13">
        <f t="shared" ca="1" si="388"/>
        <v>0</v>
      </c>
      <c r="CY125" s="13">
        <f t="shared" ca="1" si="388"/>
        <v>0</v>
      </c>
      <c r="CZ125" s="13">
        <f t="shared" ca="1" si="388"/>
        <v>0</v>
      </c>
      <c r="DA125" s="13">
        <f t="shared" ca="1" si="388"/>
        <v>0</v>
      </c>
      <c r="DB125" s="13">
        <f t="shared" ca="1" si="388"/>
        <v>0</v>
      </c>
    </row>
    <row r="126" spans="3:106">
      <c r="D126" s="13" t="s">
        <v>138</v>
      </c>
      <c r="H126" s="13">
        <f>SUM(H32:H33,H41:H42)</f>
        <v>98000</v>
      </c>
      <c r="I126" s="13">
        <f t="shared" ref="I126:BT126" si="389">SUM(I32:I33,I41:I42)</f>
        <v>0</v>
      </c>
      <c r="J126" s="13">
        <f t="shared" si="389"/>
        <v>0</v>
      </c>
      <c r="K126" s="13">
        <f t="shared" si="389"/>
        <v>0</v>
      </c>
      <c r="L126" s="13">
        <f t="shared" si="389"/>
        <v>0</v>
      </c>
      <c r="M126" s="13">
        <f t="shared" si="389"/>
        <v>0</v>
      </c>
      <c r="N126" s="13">
        <f t="shared" ca="1" si="389"/>
        <v>0</v>
      </c>
      <c r="O126" s="13">
        <f t="shared" si="389"/>
        <v>0</v>
      </c>
      <c r="P126" s="13">
        <f t="shared" si="389"/>
        <v>0</v>
      </c>
      <c r="Q126" s="13">
        <f t="shared" si="389"/>
        <v>0</v>
      </c>
      <c r="R126" s="13">
        <f t="shared" si="389"/>
        <v>0</v>
      </c>
      <c r="S126" s="13">
        <f t="shared" si="389"/>
        <v>0</v>
      </c>
      <c r="T126" s="13">
        <f t="shared" ca="1" si="389"/>
        <v>0</v>
      </c>
      <c r="U126" s="13">
        <f t="shared" si="389"/>
        <v>0</v>
      </c>
      <c r="V126" s="13">
        <f t="shared" si="389"/>
        <v>0</v>
      </c>
      <c r="W126" s="13">
        <f t="shared" si="389"/>
        <v>0</v>
      </c>
      <c r="X126" s="13">
        <f t="shared" si="389"/>
        <v>0</v>
      </c>
      <c r="Y126" s="13">
        <f t="shared" si="389"/>
        <v>0</v>
      </c>
      <c r="Z126" s="13">
        <f t="shared" ca="1" si="389"/>
        <v>0</v>
      </c>
      <c r="AA126" s="13">
        <f t="shared" si="389"/>
        <v>0</v>
      </c>
      <c r="AB126" s="13">
        <f t="shared" si="389"/>
        <v>0</v>
      </c>
      <c r="AC126" s="13">
        <f t="shared" si="389"/>
        <v>0</v>
      </c>
      <c r="AD126" s="13">
        <f t="shared" si="389"/>
        <v>0</v>
      </c>
      <c r="AE126" s="13">
        <f t="shared" si="389"/>
        <v>0</v>
      </c>
      <c r="AF126" s="13">
        <f t="shared" ca="1" si="389"/>
        <v>0</v>
      </c>
      <c r="AG126" s="13">
        <f t="shared" si="389"/>
        <v>0</v>
      </c>
      <c r="AH126" s="13">
        <f t="shared" si="389"/>
        <v>0</v>
      </c>
      <c r="AI126" s="13">
        <f t="shared" si="389"/>
        <v>0</v>
      </c>
      <c r="AJ126" s="13">
        <f t="shared" si="389"/>
        <v>0</v>
      </c>
      <c r="AK126" s="13">
        <f t="shared" si="389"/>
        <v>0</v>
      </c>
      <c r="AL126" s="13">
        <f t="shared" ca="1" si="389"/>
        <v>0</v>
      </c>
      <c r="AM126" s="13">
        <f t="shared" si="389"/>
        <v>0</v>
      </c>
      <c r="AN126" s="13">
        <f t="shared" si="389"/>
        <v>0</v>
      </c>
      <c r="AO126" s="13">
        <f t="shared" si="389"/>
        <v>0</v>
      </c>
      <c r="AP126" s="13">
        <f t="shared" si="389"/>
        <v>0</v>
      </c>
      <c r="AQ126" s="13">
        <f t="shared" si="389"/>
        <v>0</v>
      </c>
      <c r="AR126" s="13">
        <f t="shared" ca="1" si="389"/>
        <v>0</v>
      </c>
      <c r="AS126" s="13">
        <f t="shared" si="389"/>
        <v>0</v>
      </c>
      <c r="AT126" s="13">
        <f t="shared" si="389"/>
        <v>0</v>
      </c>
      <c r="AU126" s="13">
        <f t="shared" si="389"/>
        <v>0</v>
      </c>
      <c r="AV126" s="13">
        <f t="shared" si="389"/>
        <v>0</v>
      </c>
      <c r="AW126" s="13">
        <f t="shared" si="389"/>
        <v>0</v>
      </c>
      <c r="AX126" s="13">
        <f t="shared" ca="1" si="389"/>
        <v>0</v>
      </c>
      <c r="AY126" s="13">
        <f t="shared" si="389"/>
        <v>0</v>
      </c>
      <c r="AZ126" s="13">
        <f t="shared" si="389"/>
        <v>0</v>
      </c>
      <c r="BA126" s="13">
        <f t="shared" si="389"/>
        <v>0</v>
      </c>
      <c r="BB126" s="13">
        <f t="shared" si="389"/>
        <v>0</v>
      </c>
      <c r="BC126" s="13">
        <f t="shared" si="389"/>
        <v>0</v>
      </c>
      <c r="BD126" s="13">
        <f t="shared" ca="1" si="389"/>
        <v>0</v>
      </c>
      <c r="BE126" s="13">
        <f t="shared" si="389"/>
        <v>0</v>
      </c>
      <c r="BF126" s="13">
        <f t="shared" si="389"/>
        <v>0</v>
      </c>
      <c r="BG126" s="13">
        <f t="shared" si="389"/>
        <v>0</v>
      </c>
      <c r="BH126" s="13">
        <f t="shared" si="389"/>
        <v>0</v>
      </c>
      <c r="BI126" s="13">
        <f t="shared" si="389"/>
        <v>0</v>
      </c>
      <c r="BJ126" s="13">
        <f t="shared" ca="1" si="389"/>
        <v>0</v>
      </c>
      <c r="BK126" s="13">
        <f t="shared" si="389"/>
        <v>0</v>
      </c>
      <c r="BL126" s="13">
        <f t="shared" si="389"/>
        <v>0</v>
      </c>
      <c r="BM126" s="13">
        <f t="shared" si="389"/>
        <v>0</v>
      </c>
      <c r="BN126" s="13">
        <f t="shared" si="389"/>
        <v>0</v>
      </c>
      <c r="BO126" s="13">
        <f t="shared" si="389"/>
        <v>0</v>
      </c>
      <c r="BP126" s="13">
        <f t="shared" ca="1" si="389"/>
        <v>-97999.999999999985</v>
      </c>
      <c r="BQ126" s="13">
        <f t="shared" si="389"/>
        <v>0</v>
      </c>
      <c r="BR126" s="13">
        <f t="shared" si="389"/>
        <v>0</v>
      </c>
      <c r="BS126" s="13">
        <f t="shared" si="389"/>
        <v>0</v>
      </c>
      <c r="BT126" s="13">
        <f t="shared" si="389"/>
        <v>0</v>
      </c>
      <c r="BU126" s="13">
        <f t="shared" ref="BU126:DB126" si="390">SUM(BU32:BU33,BU41:BU42)</f>
        <v>0</v>
      </c>
      <c r="BV126" s="13">
        <f t="shared" ca="1" si="390"/>
        <v>0</v>
      </c>
      <c r="BW126" s="13">
        <f t="shared" si="390"/>
        <v>0</v>
      </c>
      <c r="BX126" s="13">
        <f t="shared" si="390"/>
        <v>0</v>
      </c>
      <c r="BY126" s="13">
        <f t="shared" si="390"/>
        <v>0</v>
      </c>
      <c r="BZ126" s="13">
        <f t="shared" si="390"/>
        <v>0</v>
      </c>
      <c r="CA126" s="13">
        <f t="shared" si="390"/>
        <v>0</v>
      </c>
      <c r="CB126" s="13">
        <f t="shared" ca="1" si="390"/>
        <v>0</v>
      </c>
      <c r="CC126" s="13">
        <f t="shared" si="390"/>
        <v>0</v>
      </c>
      <c r="CD126" s="13">
        <f t="shared" si="390"/>
        <v>0</v>
      </c>
      <c r="CE126" s="13">
        <f t="shared" si="390"/>
        <v>0</v>
      </c>
      <c r="CF126" s="13">
        <f t="shared" si="390"/>
        <v>0</v>
      </c>
      <c r="CG126" s="13">
        <f t="shared" si="390"/>
        <v>0</v>
      </c>
      <c r="CH126" s="13">
        <f t="shared" ca="1" si="390"/>
        <v>0</v>
      </c>
      <c r="CI126" s="13">
        <f t="shared" si="390"/>
        <v>0</v>
      </c>
      <c r="CJ126" s="13">
        <f t="shared" si="390"/>
        <v>0</v>
      </c>
      <c r="CK126" s="13">
        <f t="shared" si="390"/>
        <v>0</v>
      </c>
      <c r="CL126" s="13">
        <f t="shared" si="390"/>
        <v>0</v>
      </c>
      <c r="CM126" s="13">
        <f t="shared" si="390"/>
        <v>0</v>
      </c>
      <c r="CN126" s="13">
        <f t="shared" ca="1" si="390"/>
        <v>0</v>
      </c>
      <c r="CO126" s="13">
        <f t="shared" si="390"/>
        <v>0</v>
      </c>
      <c r="CP126" s="13">
        <f t="shared" si="390"/>
        <v>0</v>
      </c>
      <c r="CQ126" s="13">
        <f t="shared" si="390"/>
        <v>0</v>
      </c>
      <c r="CR126" s="13">
        <f t="shared" si="390"/>
        <v>0</v>
      </c>
      <c r="CS126" s="13">
        <f t="shared" si="390"/>
        <v>0</v>
      </c>
      <c r="CT126" s="13">
        <f t="shared" si="390"/>
        <v>0</v>
      </c>
      <c r="CU126" s="13">
        <f t="shared" si="390"/>
        <v>0</v>
      </c>
      <c r="CV126" s="13">
        <f t="shared" si="390"/>
        <v>0</v>
      </c>
      <c r="CW126" s="13">
        <f t="shared" si="390"/>
        <v>0</v>
      </c>
      <c r="CX126" s="13">
        <f t="shared" si="390"/>
        <v>0</v>
      </c>
      <c r="CY126" s="13">
        <f t="shared" si="390"/>
        <v>0</v>
      </c>
      <c r="CZ126" s="13">
        <f t="shared" si="390"/>
        <v>0</v>
      </c>
      <c r="DA126" s="13">
        <f t="shared" si="390"/>
        <v>0</v>
      </c>
      <c r="DB126" s="13">
        <f t="shared" si="390"/>
        <v>0</v>
      </c>
    </row>
    <row r="127" spans="3:106">
      <c r="D127" s="13" t="s">
        <v>147</v>
      </c>
      <c r="H127" s="13">
        <f ca="1">SUM(H35:H39,H44:H48)</f>
        <v>160513.77317456825</v>
      </c>
      <c r="I127" s="13">
        <f t="shared" ref="I127:BT127" ca="1" si="391">SUM(I35:I39,I44:I48)</f>
        <v>1294.67825025</v>
      </c>
      <c r="J127" s="13">
        <f t="shared" ca="1" si="391"/>
        <v>-205.30432999999994</v>
      </c>
      <c r="K127" s="13">
        <f t="shared" ca="1" si="391"/>
        <v>544.68664249999983</v>
      </c>
      <c r="L127" s="13">
        <f t="shared" ca="1" si="391"/>
        <v>0</v>
      </c>
      <c r="M127" s="13">
        <f t="shared" ca="1" si="391"/>
        <v>0</v>
      </c>
      <c r="N127" s="13">
        <f t="shared" ca="1" si="391"/>
        <v>439.93785000000025</v>
      </c>
      <c r="O127" s="13">
        <f t="shared" ca="1" si="391"/>
        <v>385.47054699999899</v>
      </c>
      <c r="P127" s="13">
        <f t="shared" ca="1" si="391"/>
        <v>0</v>
      </c>
      <c r="Q127" s="13">
        <f t="shared" ca="1" si="391"/>
        <v>0</v>
      </c>
      <c r="R127" s="13">
        <f t="shared" ca="1" si="391"/>
        <v>0</v>
      </c>
      <c r="S127" s="13">
        <f t="shared" ca="1" si="391"/>
        <v>0</v>
      </c>
      <c r="T127" s="13">
        <f t="shared" ca="1" si="391"/>
        <v>0</v>
      </c>
      <c r="U127" s="13">
        <f t="shared" ca="1" si="391"/>
        <v>0</v>
      </c>
      <c r="V127" s="13">
        <f t="shared" ca="1" si="391"/>
        <v>0</v>
      </c>
      <c r="W127" s="13">
        <f t="shared" ca="1" si="391"/>
        <v>0</v>
      </c>
      <c r="X127" s="13">
        <f t="shared" ca="1" si="391"/>
        <v>0</v>
      </c>
      <c r="Y127" s="13">
        <f t="shared" ca="1" si="391"/>
        <v>0</v>
      </c>
      <c r="Z127" s="13">
        <f t="shared" ca="1" si="391"/>
        <v>0</v>
      </c>
      <c r="AA127" s="13">
        <f t="shared" ca="1" si="391"/>
        <v>0</v>
      </c>
      <c r="AB127" s="13">
        <f t="shared" ca="1" si="391"/>
        <v>0</v>
      </c>
      <c r="AC127" s="13">
        <f t="shared" ca="1" si="391"/>
        <v>0</v>
      </c>
      <c r="AD127" s="13">
        <f t="shared" ca="1" si="391"/>
        <v>0</v>
      </c>
      <c r="AE127" s="13">
        <f t="shared" ca="1" si="391"/>
        <v>0</v>
      </c>
      <c r="AF127" s="13">
        <f t="shared" ca="1" si="391"/>
        <v>0</v>
      </c>
      <c r="AG127" s="13">
        <f t="shared" ca="1" si="391"/>
        <v>64.866526308787797</v>
      </c>
      <c r="AH127" s="13">
        <f t="shared" ca="1" si="391"/>
        <v>0</v>
      </c>
      <c r="AI127" s="13">
        <f t="shared" ca="1" si="391"/>
        <v>164.54857773007552</v>
      </c>
      <c r="AJ127" s="13">
        <f t="shared" ca="1" si="391"/>
        <v>0</v>
      </c>
      <c r="AK127" s="13">
        <f t="shared" ca="1" si="391"/>
        <v>0</v>
      </c>
      <c r="AL127" s="13">
        <f t="shared" ca="1" si="391"/>
        <v>0</v>
      </c>
      <c r="AM127" s="13">
        <f t="shared" ca="1" si="391"/>
        <v>0</v>
      </c>
      <c r="AN127" s="13">
        <f t="shared" ca="1" si="391"/>
        <v>0</v>
      </c>
      <c r="AO127" s="13">
        <f t="shared" ca="1" si="391"/>
        <v>0</v>
      </c>
      <c r="AP127" s="13">
        <f t="shared" ca="1" si="391"/>
        <v>0</v>
      </c>
      <c r="AQ127" s="13">
        <f t="shared" ca="1" si="391"/>
        <v>0</v>
      </c>
      <c r="AR127" s="13">
        <f t="shared" ca="1" si="391"/>
        <v>94.195716308787269</v>
      </c>
      <c r="AS127" s="13">
        <f t="shared" ca="1" si="391"/>
        <v>0</v>
      </c>
      <c r="AT127" s="13">
        <f t="shared" ca="1" si="391"/>
        <v>0</v>
      </c>
      <c r="AU127" s="13">
        <f t="shared" ca="1" si="391"/>
        <v>0</v>
      </c>
      <c r="AV127" s="13">
        <f t="shared" ca="1" si="391"/>
        <v>0</v>
      </c>
      <c r="AW127" s="13">
        <f t="shared" ca="1" si="391"/>
        <v>105.1738035739545</v>
      </c>
      <c r="AX127" s="13">
        <f t="shared" ca="1" si="391"/>
        <v>0</v>
      </c>
      <c r="AY127" s="13">
        <f t="shared" ca="1" si="391"/>
        <v>0</v>
      </c>
      <c r="AZ127" s="13">
        <f t="shared" ca="1" si="391"/>
        <v>0</v>
      </c>
      <c r="BA127" s="13">
        <f t="shared" ca="1" si="391"/>
        <v>0</v>
      </c>
      <c r="BB127" s="13">
        <f t="shared" ca="1" si="391"/>
        <v>0</v>
      </c>
      <c r="BC127" s="13">
        <f t="shared" ca="1" si="391"/>
        <v>0</v>
      </c>
      <c r="BD127" s="13">
        <f t="shared" ca="1" si="391"/>
        <v>0</v>
      </c>
      <c r="BE127" s="13">
        <f t="shared" ca="1" si="391"/>
        <v>133.46840118117325</v>
      </c>
      <c r="BF127" s="13">
        <f t="shared" ca="1" si="391"/>
        <v>0</v>
      </c>
      <c r="BG127" s="13">
        <f t="shared" ca="1" si="391"/>
        <v>0</v>
      </c>
      <c r="BH127" s="13">
        <f t="shared" ca="1" si="391"/>
        <v>0</v>
      </c>
      <c r="BI127" s="13">
        <f t="shared" ca="1" si="391"/>
        <v>0</v>
      </c>
      <c r="BJ127" s="13">
        <f t="shared" ca="1" si="391"/>
        <v>0</v>
      </c>
      <c r="BK127" s="13">
        <f t="shared" ca="1" si="391"/>
        <v>0</v>
      </c>
      <c r="BL127" s="13">
        <f t="shared" ca="1" si="391"/>
        <v>0</v>
      </c>
      <c r="BM127" s="13">
        <f t="shared" ca="1" si="391"/>
        <v>0</v>
      </c>
      <c r="BN127" s="13">
        <f t="shared" ca="1" si="391"/>
        <v>0</v>
      </c>
      <c r="BO127" s="13">
        <f t="shared" ca="1" si="391"/>
        <v>0</v>
      </c>
      <c r="BP127" s="13">
        <f t="shared" ca="1" si="391"/>
        <v>-163535.49515942103</v>
      </c>
      <c r="BQ127" s="13">
        <f t="shared" ca="1" si="391"/>
        <v>0</v>
      </c>
      <c r="BR127" s="13">
        <f t="shared" ca="1" si="391"/>
        <v>0</v>
      </c>
      <c r="BS127" s="13">
        <f t="shared" ca="1" si="391"/>
        <v>0</v>
      </c>
      <c r="BT127" s="13">
        <f t="shared" ca="1" si="391"/>
        <v>0</v>
      </c>
      <c r="BU127" s="13">
        <f t="shared" ref="BU127:DB127" ca="1" si="392">SUM(BU35:BU39,BU44:BU48)</f>
        <v>0</v>
      </c>
      <c r="BV127" s="13">
        <f t="shared" ca="1" si="392"/>
        <v>0</v>
      </c>
      <c r="BW127" s="13">
        <f t="shared" ca="1" si="392"/>
        <v>0</v>
      </c>
      <c r="BX127" s="13">
        <f t="shared" ca="1" si="392"/>
        <v>0</v>
      </c>
      <c r="BY127" s="13">
        <f t="shared" ca="1" si="392"/>
        <v>0</v>
      </c>
      <c r="BZ127" s="13">
        <f t="shared" ca="1" si="392"/>
        <v>0</v>
      </c>
      <c r="CA127" s="13">
        <f t="shared" ca="1" si="392"/>
        <v>0</v>
      </c>
      <c r="CB127" s="13">
        <f t="shared" ca="1" si="392"/>
        <v>0</v>
      </c>
      <c r="CC127" s="13">
        <f t="shared" ca="1" si="392"/>
        <v>0</v>
      </c>
      <c r="CD127" s="13">
        <f t="shared" ca="1" si="392"/>
        <v>0</v>
      </c>
      <c r="CE127" s="13">
        <f t="shared" ca="1" si="392"/>
        <v>0</v>
      </c>
      <c r="CF127" s="13">
        <f t="shared" ca="1" si="392"/>
        <v>0</v>
      </c>
      <c r="CG127" s="13">
        <f t="shared" ca="1" si="392"/>
        <v>0</v>
      </c>
      <c r="CH127" s="13">
        <f t="shared" ca="1" si="392"/>
        <v>0</v>
      </c>
      <c r="CI127" s="13">
        <f t="shared" ca="1" si="392"/>
        <v>0</v>
      </c>
      <c r="CJ127" s="13">
        <f t="shared" ca="1" si="392"/>
        <v>0</v>
      </c>
      <c r="CK127" s="13">
        <f t="shared" ca="1" si="392"/>
        <v>0</v>
      </c>
      <c r="CL127" s="13">
        <f t="shared" ca="1" si="392"/>
        <v>0</v>
      </c>
      <c r="CM127" s="13">
        <f t="shared" ca="1" si="392"/>
        <v>0</v>
      </c>
      <c r="CN127" s="13">
        <f t="shared" ca="1" si="392"/>
        <v>0</v>
      </c>
      <c r="CO127" s="13">
        <f t="shared" ca="1" si="392"/>
        <v>0</v>
      </c>
      <c r="CP127" s="13">
        <f t="shared" ca="1" si="392"/>
        <v>0</v>
      </c>
      <c r="CQ127" s="13">
        <f t="shared" ca="1" si="392"/>
        <v>0</v>
      </c>
      <c r="CR127" s="13">
        <f t="shared" ca="1" si="392"/>
        <v>0</v>
      </c>
      <c r="CS127" s="13">
        <f t="shared" ca="1" si="392"/>
        <v>0</v>
      </c>
      <c r="CT127" s="13">
        <f t="shared" ca="1" si="392"/>
        <v>0</v>
      </c>
      <c r="CU127" s="13">
        <f t="shared" ca="1" si="392"/>
        <v>0</v>
      </c>
      <c r="CV127" s="13">
        <f t="shared" ca="1" si="392"/>
        <v>0</v>
      </c>
      <c r="CW127" s="13">
        <f t="shared" ca="1" si="392"/>
        <v>0</v>
      </c>
      <c r="CX127" s="13">
        <f t="shared" ca="1" si="392"/>
        <v>0</v>
      </c>
      <c r="CY127" s="13">
        <f t="shared" ca="1" si="392"/>
        <v>0</v>
      </c>
      <c r="CZ127" s="13">
        <f t="shared" ca="1" si="392"/>
        <v>0</v>
      </c>
      <c r="DA127" s="13">
        <f t="shared" ca="1" si="392"/>
        <v>0</v>
      </c>
      <c r="DB127" s="13">
        <f t="shared" ca="1" si="392"/>
        <v>0</v>
      </c>
    </row>
    <row r="128" spans="3:106">
      <c r="D128" s="13" t="s">
        <v>328</v>
      </c>
      <c r="H128" s="13">
        <f>SUM(H51:H52)</f>
        <v>0</v>
      </c>
      <c r="I128" s="13">
        <f t="shared" ref="I128:BT128" si="393">SUM(I51:I52)</f>
        <v>0</v>
      </c>
      <c r="J128" s="13">
        <f t="shared" si="393"/>
        <v>0</v>
      </c>
      <c r="K128" s="13">
        <f t="shared" si="393"/>
        <v>0</v>
      </c>
      <c r="L128" s="13">
        <f t="shared" si="393"/>
        <v>0</v>
      </c>
      <c r="M128" s="13">
        <f t="shared" si="393"/>
        <v>0</v>
      </c>
      <c r="N128" s="13">
        <f t="shared" ca="1" si="393"/>
        <v>-1077.4528308478116</v>
      </c>
      <c r="O128" s="13">
        <f t="shared" si="393"/>
        <v>0</v>
      </c>
      <c r="P128" s="13">
        <f t="shared" si="393"/>
        <v>0</v>
      </c>
      <c r="Q128" s="13">
        <f t="shared" si="393"/>
        <v>0</v>
      </c>
      <c r="R128" s="13">
        <f t="shared" si="393"/>
        <v>0</v>
      </c>
      <c r="S128" s="13">
        <f t="shared" si="393"/>
        <v>0</v>
      </c>
      <c r="T128" s="13">
        <f t="shared" ca="1" si="393"/>
        <v>-1604.3997161043135</v>
      </c>
      <c r="U128" s="13">
        <f t="shared" si="393"/>
        <v>0</v>
      </c>
      <c r="V128" s="13">
        <f t="shared" si="393"/>
        <v>0</v>
      </c>
      <c r="W128" s="13">
        <f t="shared" si="393"/>
        <v>0</v>
      </c>
      <c r="X128" s="13">
        <f t="shared" si="393"/>
        <v>0</v>
      </c>
      <c r="Y128" s="13">
        <f t="shared" si="393"/>
        <v>0</v>
      </c>
      <c r="Z128" s="13">
        <f t="shared" ca="1" si="393"/>
        <v>-2394.342692367346</v>
      </c>
      <c r="AA128" s="13">
        <f t="shared" si="393"/>
        <v>0</v>
      </c>
      <c r="AB128" s="13">
        <f t="shared" si="393"/>
        <v>0</v>
      </c>
      <c r="AC128" s="13">
        <f t="shared" si="393"/>
        <v>0</v>
      </c>
      <c r="AD128" s="13">
        <f t="shared" si="393"/>
        <v>0</v>
      </c>
      <c r="AE128" s="13">
        <f t="shared" si="393"/>
        <v>0</v>
      </c>
      <c r="AF128" s="13">
        <f t="shared" ca="1" si="393"/>
        <v>-2481.1516397111745</v>
      </c>
      <c r="AG128" s="13">
        <f t="shared" si="393"/>
        <v>0</v>
      </c>
      <c r="AH128" s="13">
        <f t="shared" si="393"/>
        <v>0</v>
      </c>
      <c r="AI128" s="13">
        <f t="shared" si="393"/>
        <v>0</v>
      </c>
      <c r="AJ128" s="13">
        <f t="shared" si="393"/>
        <v>0</v>
      </c>
      <c r="AK128" s="13">
        <f t="shared" si="393"/>
        <v>0</v>
      </c>
      <c r="AL128" s="13">
        <f t="shared" ca="1" si="393"/>
        <v>-2257.8429688180636</v>
      </c>
      <c r="AM128" s="13">
        <f t="shared" si="393"/>
        <v>0</v>
      </c>
      <c r="AN128" s="13">
        <f t="shared" si="393"/>
        <v>0</v>
      </c>
      <c r="AO128" s="13">
        <f t="shared" si="393"/>
        <v>0</v>
      </c>
      <c r="AP128" s="13">
        <f t="shared" si="393"/>
        <v>0</v>
      </c>
      <c r="AQ128" s="13">
        <f t="shared" si="393"/>
        <v>0</v>
      </c>
      <c r="AR128" s="13">
        <f t="shared" ca="1" si="393"/>
        <v>-2762.0843664867261</v>
      </c>
      <c r="AS128" s="13">
        <f t="shared" si="393"/>
        <v>0</v>
      </c>
      <c r="AT128" s="13">
        <f t="shared" si="393"/>
        <v>0</v>
      </c>
      <c r="AU128" s="13">
        <f t="shared" si="393"/>
        <v>0</v>
      </c>
      <c r="AV128" s="13">
        <f t="shared" si="393"/>
        <v>0</v>
      </c>
      <c r="AW128" s="13">
        <f t="shared" si="393"/>
        <v>0</v>
      </c>
      <c r="AX128" s="13">
        <f t="shared" ca="1" si="393"/>
        <v>-3117.2988453898661</v>
      </c>
      <c r="AY128" s="13">
        <f t="shared" si="393"/>
        <v>0</v>
      </c>
      <c r="AZ128" s="13">
        <f t="shared" si="393"/>
        <v>0</v>
      </c>
      <c r="BA128" s="13">
        <f t="shared" si="393"/>
        <v>0</v>
      </c>
      <c r="BB128" s="13">
        <f t="shared" si="393"/>
        <v>0</v>
      </c>
      <c r="BC128" s="13">
        <f t="shared" si="393"/>
        <v>0</v>
      </c>
      <c r="BD128" s="13">
        <f t="shared" ca="1" si="393"/>
        <v>-3262.1406371145931</v>
      </c>
      <c r="BE128" s="13">
        <f t="shared" si="393"/>
        <v>0</v>
      </c>
      <c r="BF128" s="13">
        <f t="shared" si="393"/>
        <v>0</v>
      </c>
      <c r="BG128" s="13">
        <f t="shared" si="393"/>
        <v>0</v>
      </c>
      <c r="BH128" s="13">
        <f t="shared" si="393"/>
        <v>0</v>
      </c>
      <c r="BI128" s="13">
        <f t="shared" si="393"/>
        <v>0</v>
      </c>
      <c r="BJ128" s="13">
        <f t="shared" ca="1" si="393"/>
        <v>-3540.2622689714321</v>
      </c>
      <c r="BK128" s="13">
        <f t="shared" si="393"/>
        <v>0</v>
      </c>
      <c r="BL128" s="13">
        <f t="shared" si="393"/>
        <v>0</v>
      </c>
      <c r="BM128" s="13">
        <f t="shared" si="393"/>
        <v>0</v>
      </c>
      <c r="BN128" s="13">
        <f t="shared" si="393"/>
        <v>0</v>
      </c>
      <c r="BO128" s="13">
        <f t="shared" si="393"/>
        <v>0</v>
      </c>
      <c r="BP128" s="13">
        <f t="shared" ca="1" si="393"/>
        <v>-3667.3750888389432</v>
      </c>
      <c r="BQ128" s="13">
        <f t="shared" si="393"/>
        <v>0</v>
      </c>
      <c r="BR128" s="13">
        <f t="shared" si="393"/>
        <v>0</v>
      </c>
      <c r="BS128" s="13">
        <f t="shared" si="393"/>
        <v>0</v>
      </c>
      <c r="BT128" s="13">
        <f t="shared" si="393"/>
        <v>0</v>
      </c>
      <c r="BU128" s="13">
        <f t="shared" ref="BU128:DB128" si="394">SUM(BU51:BU52)</f>
        <v>0</v>
      </c>
      <c r="BV128" s="13">
        <f t="shared" ca="1" si="394"/>
        <v>0</v>
      </c>
      <c r="BW128" s="13">
        <f t="shared" si="394"/>
        <v>0</v>
      </c>
      <c r="BX128" s="13">
        <f t="shared" si="394"/>
        <v>0</v>
      </c>
      <c r="BY128" s="13">
        <f t="shared" si="394"/>
        <v>0</v>
      </c>
      <c r="BZ128" s="13">
        <f t="shared" si="394"/>
        <v>0</v>
      </c>
      <c r="CA128" s="13">
        <f t="shared" si="394"/>
        <v>0</v>
      </c>
      <c r="CB128" s="13">
        <f t="shared" ca="1" si="394"/>
        <v>0</v>
      </c>
      <c r="CC128" s="13">
        <f t="shared" si="394"/>
        <v>0</v>
      </c>
      <c r="CD128" s="13">
        <f t="shared" si="394"/>
        <v>0</v>
      </c>
      <c r="CE128" s="13">
        <f t="shared" si="394"/>
        <v>0</v>
      </c>
      <c r="CF128" s="13">
        <f t="shared" si="394"/>
        <v>0</v>
      </c>
      <c r="CG128" s="13">
        <f t="shared" si="394"/>
        <v>0</v>
      </c>
      <c r="CH128" s="13">
        <f t="shared" ca="1" si="394"/>
        <v>0</v>
      </c>
      <c r="CI128" s="13">
        <f t="shared" si="394"/>
        <v>0</v>
      </c>
      <c r="CJ128" s="13">
        <f t="shared" si="394"/>
        <v>0</v>
      </c>
      <c r="CK128" s="13">
        <f t="shared" si="394"/>
        <v>0</v>
      </c>
      <c r="CL128" s="13">
        <f t="shared" si="394"/>
        <v>0</v>
      </c>
      <c r="CM128" s="13">
        <f t="shared" si="394"/>
        <v>0</v>
      </c>
      <c r="CN128" s="13">
        <f t="shared" ca="1" si="394"/>
        <v>0</v>
      </c>
      <c r="CO128" s="13">
        <f t="shared" si="394"/>
        <v>0</v>
      </c>
      <c r="CP128" s="13">
        <f t="shared" si="394"/>
        <v>0</v>
      </c>
      <c r="CQ128" s="13">
        <f t="shared" si="394"/>
        <v>0</v>
      </c>
      <c r="CR128" s="13">
        <f t="shared" si="394"/>
        <v>0</v>
      </c>
      <c r="CS128" s="13">
        <f t="shared" si="394"/>
        <v>0</v>
      </c>
      <c r="CT128" s="13">
        <f t="shared" si="394"/>
        <v>0</v>
      </c>
      <c r="CU128" s="13">
        <f t="shared" si="394"/>
        <v>0</v>
      </c>
      <c r="CV128" s="13">
        <f t="shared" si="394"/>
        <v>0</v>
      </c>
      <c r="CW128" s="13">
        <f t="shared" si="394"/>
        <v>0</v>
      </c>
      <c r="CX128" s="13">
        <f t="shared" si="394"/>
        <v>0</v>
      </c>
      <c r="CY128" s="13">
        <f t="shared" si="394"/>
        <v>0</v>
      </c>
      <c r="CZ128" s="13">
        <f t="shared" si="394"/>
        <v>0</v>
      </c>
      <c r="DA128" s="13">
        <f t="shared" si="394"/>
        <v>0</v>
      </c>
      <c r="DB128" s="13">
        <f t="shared" si="394"/>
        <v>0</v>
      </c>
    </row>
    <row r="129" spans="3:106">
      <c r="D129" s="13" t="s">
        <v>349</v>
      </c>
      <c r="H129" s="13">
        <f>H59</f>
        <v>0</v>
      </c>
      <c r="I129" s="13">
        <f t="shared" ref="I129:BT129" ca="1" si="395">I59</f>
        <v>0</v>
      </c>
      <c r="J129" s="13">
        <f t="shared" ca="1" si="395"/>
        <v>1814.6479115237105</v>
      </c>
      <c r="K129" s="13">
        <f t="shared" ca="1" si="395"/>
        <v>2454.5268004908794</v>
      </c>
      <c r="L129" s="13">
        <f t="shared" ca="1" si="395"/>
        <v>3868.1518804298066</v>
      </c>
      <c r="M129" s="13">
        <f t="shared" ca="1" si="395"/>
        <v>4750.7074839312336</v>
      </c>
      <c r="N129" s="13">
        <f t="shared" ca="1" si="395"/>
        <v>5679.0990968836231</v>
      </c>
      <c r="O129" s="13">
        <f t="shared" ca="1" si="395"/>
        <v>2073.9984127499988</v>
      </c>
      <c r="P129" s="13">
        <f t="shared" ca="1" si="395"/>
        <v>3331.8402125382131</v>
      </c>
      <c r="Q129" s="13">
        <f t="shared" ca="1" si="395"/>
        <v>4248.0657232097619</v>
      </c>
      <c r="R129" s="13">
        <f t="shared" ca="1" si="395"/>
        <v>5278.6754288063103</v>
      </c>
      <c r="S129" s="13">
        <f t="shared" ca="1" si="395"/>
        <v>6309.2851344028586</v>
      </c>
      <c r="T129" s="13">
        <f t="shared" ca="1" si="395"/>
        <v>7247.5078914994074</v>
      </c>
      <c r="U129" s="13">
        <f t="shared" ca="1" si="395"/>
        <v>2459.4689597499992</v>
      </c>
      <c r="V129" s="13">
        <f t="shared" ca="1" si="395"/>
        <v>3493.7611326345827</v>
      </c>
      <c r="W129" s="13">
        <f t="shared" ca="1" si="395"/>
        <v>4534.0533055191663</v>
      </c>
      <c r="X129" s="13">
        <f t="shared" ca="1" si="395"/>
        <v>5581.5928757321617</v>
      </c>
      <c r="Y129" s="13">
        <f t="shared" ca="1" si="395"/>
        <v>6629.1324459451571</v>
      </c>
      <c r="Z129" s="13">
        <f t="shared" ca="1" si="395"/>
        <v>7681.8060627595187</v>
      </c>
      <c r="AA129" s="13">
        <f t="shared" ca="1" si="395"/>
        <v>2459.4689597500001</v>
      </c>
      <c r="AB129" s="13">
        <f t="shared" ca="1" si="395"/>
        <v>3520.8680322786117</v>
      </c>
      <c r="AC129" s="13">
        <f t="shared" ca="1" si="395"/>
        <v>4582.2671048072234</v>
      </c>
      <c r="AD129" s="13">
        <f t="shared" ca="1" si="395"/>
        <v>5643.6661773358355</v>
      </c>
      <c r="AE129" s="13">
        <f t="shared" ca="1" si="395"/>
        <v>6705.0652498644467</v>
      </c>
      <c r="AF129" s="13">
        <f t="shared" ca="1" si="395"/>
        <v>7766.464322393058</v>
      </c>
      <c r="AG129" s="13">
        <f t="shared" ca="1" si="395"/>
        <v>2459.4689597500001</v>
      </c>
      <c r="AH129" s="13">
        <f t="shared" ca="1" si="395"/>
        <v>3583.9555653772186</v>
      </c>
      <c r="AI129" s="13">
        <f t="shared" ca="1" si="395"/>
        <v>4400.6076543561594</v>
      </c>
      <c r="AJ129" s="13">
        <f t="shared" ca="1" si="395"/>
        <v>5535.1813345283554</v>
      </c>
      <c r="AK129" s="13">
        <f t="shared" ca="1" si="395"/>
        <v>6631.1128179087464</v>
      </c>
      <c r="AL129" s="13">
        <f t="shared" ca="1" si="395"/>
        <v>7732.3323692885442</v>
      </c>
      <c r="AM129" s="13">
        <f t="shared" ca="1" si="395"/>
        <v>2688.8840637888643</v>
      </c>
      <c r="AN129" s="13">
        <f t="shared" ca="1" si="395"/>
        <v>3799.0908345543403</v>
      </c>
      <c r="AO129" s="13">
        <f t="shared" ca="1" si="395"/>
        <v>4909.2976053198163</v>
      </c>
      <c r="AP129" s="13">
        <f t="shared" ca="1" si="395"/>
        <v>6019.5043760852923</v>
      </c>
      <c r="AQ129" s="13">
        <f t="shared" ca="1" si="395"/>
        <v>7129.7111468507683</v>
      </c>
      <c r="AR129" s="13">
        <f t="shared" ca="1" si="395"/>
        <v>8207.8185573913979</v>
      </c>
      <c r="AS129" s="13">
        <f t="shared" ca="1" si="395"/>
        <v>2783.0797800976507</v>
      </c>
      <c r="AT129" s="13">
        <f t="shared" ca="1" si="395"/>
        <v>3908.6890610298278</v>
      </c>
      <c r="AU129" s="13">
        <f t="shared" ca="1" si="395"/>
        <v>5040.602091962005</v>
      </c>
      <c r="AV129" s="13">
        <f t="shared" ca="1" si="395"/>
        <v>6180.4262219753782</v>
      </c>
      <c r="AW129" s="13">
        <f t="shared" ca="1" si="395"/>
        <v>7229.4718513322587</v>
      </c>
      <c r="AX129" s="13">
        <f t="shared" ca="1" si="395"/>
        <v>8484.4049429790794</v>
      </c>
      <c r="AY129" s="13">
        <f t="shared" ca="1" si="395"/>
        <v>2888.253583671607</v>
      </c>
      <c r="AZ129" s="13">
        <f t="shared" ca="1" si="395"/>
        <v>4047.2697077117209</v>
      </c>
      <c r="BA129" s="13">
        <f t="shared" ca="1" si="395"/>
        <v>5206.2858317518348</v>
      </c>
      <c r="BB129" s="13">
        <f t="shared" ca="1" si="395"/>
        <v>6365.3019557919488</v>
      </c>
      <c r="BC129" s="13">
        <f t="shared" ca="1" si="395"/>
        <v>7524.3180798320627</v>
      </c>
      <c r="BD129" s="13">
        <f t="shared" ca="1" si="395"/>
        <v>8683.3342038721767</v>
      </c>
      <c r="BE129" s="13">
        <f t="shared" ca="1" si="395"/>
        <v>2888.253583671607</v>
      </c>
      <c r="BF129" s="13">
        <f t="shared" ca="1" si="395"/>
        <v>4203.7935660223493</v>
      </c>
      <c r="BG129" s="13">
        <f t="shared" ca="1" si="395"/>
        <v>5392.3264909419186</v>
      </c>
      <c r="BH129" s="13">
        <f t="shared" ca="1" si="395"/>
        <v>6589.0078479151198</v>
      </c>
      <c r="BI129" s="13">
        <f t="shared" ca="1" si="395"/>
        <v>7785.689204888321</v>
      </c>
      <c r="BJ129" s="13">
        <f t="shared" ca="1" si="395"/>
        <v>8988.1153266426973</v>
      </c>
      <c r="BK129" s="13">
        <f t="shared" ca="1" si="395"/>
        <v>3021.7219848527802</v>
      </c>
      <c r="BL129" s="13">
        <f t="shared" ca="1" si="395"/>
        <v>4233.6826476534216</v>
      </c>
      <c r="BM129" s="13">
        <f t="shared" ca="1" si="395"/>
        <v>5445.6433104540629</v>
      </c>
      <c r="BN129" s="13">
        <f t="shared" ca="1" si="395"/>
        <v>6657.6039732547042</v>
      </c>
      <c r="BO129" s="13">
        <f t="shared" ca="1" si="395"/>
        <v>7869.5646360553455</v>
      </c>
      <c r="BP129" s="13">
        <f t="shared" ca="1" si="395"/>
        <v>9081.525298855986</v>
      </c>
      <c r="BQ129" s="13">
        <f t="shared" ca="1" si="395"/>
        <v>7.8216544352471828E-11</v>
      </c>
      <c r="BR129" s="13">
        <f t="shared" ca="1" si="395"/>
        <v>7.8216544352471828E-11</v>
      </c>
      <c r="BS129" s="13">
        <f t="shared" ca="1" si="395"/>
        <v>7.8216544352471828E-11</v>
      </c>
      <c r="BT129" s="13">
        <f t="shared" ca="1" si="395"/>
        <v>7.8216544352471828E-11</v>
      </c>
      <c r="BU129" s="13">
        <f t="shared" ref="BU129:DB129" ca="1" si="396">BU59</f>
        <v>7.8216544352471828E-11</v>
      </c>
      <c r="BV129" s="13">
        <f t="shared" ca="1" si="396"/>
        <v>7.8216544352471828E-11</v>
      </c>
      <c r="BW129" s="13">
        <f t="shared" ca="1" si="396"/>
        <v>7.8216544352471828E-11</v>
      </c>
      <c r="BX129" s="13">
        <f t="shared" ca="1" si="396"/>
        <v>7.8216544352471828E-11</v>
      </c>
      <c r="BY129" s="13">
        <f t="shared" ca="1" si="396"/>
        <v>7.8216544352471828E-11</v>
      </c>
      <c r="BZ129" s="13">
        <f t="shared" ca="1" si="396"/>
        <v>7.8216544352471828E-11</v>
      </c>
      <c r="CA129" s="13">
        <f t="shared" ca="1" si="396"/>
        <v>7.8216544352471828E-11</v>
      </c>
      <c r="CB129" s="13">
        <f t="shared" ca="1" si="396"/>
        <v>7.8216544352471828E-11</v>
      </c>
      <c r="CC129" s="13">
        <f t="shared" ca="1" si="396"/>
        <v>7.8216544352471828E-11</v>
      </c>
      <c r="CD129" s="13">
        <f t="shared" ca="1" si="396"/>
        <v>7.8216544352471828E-11</v>
      </c>
      <c r="CE129" s="13">
        <f t="shared" ca="1" si="396"/>
        <v>7.8216544352471828E-11</v>
      </c>
      <c r="CF129" s="13">
        <f t="shared" ca="1" si="396"/>
        <v>7.8216544352471828E-11</v>
      </c>
      <c r="CG129" s="13">
        <f t="shared" ca="1" si="396"/>
        <v>7.8216544352471828E-11</v>
      </c>
      <c r="CH129" s="13">
        <f t="shared" ca="1" si="396"/>
        <v>7.8216544352471828E-11</v>
      </c>
      <c r="CI129" s="13">
        <f t="shared" ca="1" si="396"/>
        <v>7.8216544352471828E-11</v>
      </c>
      <c r="CJ129" s="13">
        <f t="shared" ca="1" si="396"/>
        <v>7.8216544352471828E-11</v>
      </c>
      <c r="CK129" s="13">
        <f t="shared" ca="1" si="396"/>
        <v>7.8216544352471828E-11</v>
      </c>
      <c r="CL129" s="13">
        <f t="shared" ca="1" si="396"/>
        <v>7.8216544352471828E-11</v>
      </c>
      <c r="CM129" s="13">
        <f t="shared" ca="1" si="396"/>
        <v>7.8216544352471828E-11</v>
      </c>
      <c r="CN129" s="13">
        <f t="shared" ca="1" si="396"/>
        <v>7.8216544352471828E-11</v>
      </c>
      <c r="CO129" s="13">
        <f t="shared" ca="1" si="396"/>
        <v>7.8216544352471828E-11</v>
      </c>
      <c r="CP129" s="13">
        <f t="shared" ca="1" si="396"/>
        <v>7.8216544352471828E-11</v>
      </c>
      <c r="CQ129" s="13">
        <f t="shared" ca="1" si="396"/>
        <v>7.8216544352471828E-11</v>
      </c>
      <c r="CR129" s="13">
        <f t="shared" ca="1" si="396"/>
        <v>7.8216544352471828E-11</v>
      </c>
      <c r="CS129" s="13">
        <f t="shared" ca="1" si="396"/>
        <v>7.8216544352471828E-11</v>
      </c>
      <c r="CT129" s="13">
        <f t="shared" ca="1" si="396"/>
        <v>7.8216544352471828E-11</v>
      </c>
      <c r="CU129" s="13">
        <f t="shared" ca="1" si="396"/>
        <v>7.8216544352471828E-11</v>
      </c>
      <c r="CV129" s="13">
        <f t="shared" ca="1" si="396"/>
        <v>7.8216544352471828E-11</v>
      </c>
      <c r="CW129" s="13">
        <f t="shared" ca="1" si="396"/>
        <v>7.8216544352471828E-11</v>
      </c>
      <c r="CX129" s="13">
        <f t="shared" ca="1" si="396"/>
        <v>7.8216544352471828E-11</v>
      </c>
      <c r="CY129" s="13">
        <f t="shared" ca="1" si="396"/>
        <v>7.8216544352471828E-11</v>
      </c>
      <c r="CZ129" s="13">
        <f t="shared" ca="1" si="396"/>
        <v>7.8216544352471828E-11</v>
      </c>
      <c r="DA129" s="13">
        <f t="shared" ca="1" si="396"/>
        <v>7.8216544352471828E-11</v>
      </c>
      <c r="DB129" s="13">
        <f t="shared" ca="1" si="396"/>
        <v>7.8216544352471828E-11</v>
      </c>
    </row>
    <row r="130" spans="3:106">
      <c r="D130" s="76" t="s">
        <v>350</v>
      </c>
      <c r="E130" s="76"/>
      <c r="F130" s="76"/>
      <c r="G130" s="76"/>
      <c r="H130" s="76">
        <f ca="1">SUM(H125:H129)</f>
        <v>0</v>
      </c>
      <c r="I130" s="76">
        <f t="shared" ref="I130:BT130" ca="1" si="397">SUM(I125:I129)</f>
        <v>1814.6479115237105</v>
      </c>
      <c r="J130" s="76">
        <f t="shared" ca="1" si="397"/>
        <v>2454.5268004908794</v>
      </c>
      <c r="K130" s="76">
        <f t="shared" ca="1" si="397"/>
        <v>3868.1518804298066</v>
      </c>
      <c r="L130" s="76">
        <f t="shared" ca="1" si="397"/>
        <v>4750.7074839312336</v>
      </c>
      <c r="M130" s="76">
        <f t="shared" ca="1" si="397"/>
        <v>5679.0990968836231</v>
      </c>
      <c r="N130" s="76">
        <f t="shared" ca="1" si="397"/>
        <v>2073.9984127499988</v>
      </c>
      <c r="O130" s="76">
        <f t="shared" ca="1" si="397"/>
        <v>3331.8402125382131</v>
      </c>
      <c r="P130" s="76">
        <f t="shared" ca="1" si="397"/>
        <v>4248.0657232097619</v>
      </c>
      <c r="Q130" s="76">
        <f t="shared" ca="1" si="397"/>
        <v>5278.6754288063103</v>
      </c>
      <c r="R130" s="76">
        <f t="shared" ca="1" si="397"/>
        <v>6309.2851344028586</v>
      </c>
      <c r="S130" s="76">
        <f t="shared" ca="1" si="397"/>
        <v>7247.5078914994074</v>
      </c>
      <c r="T130" s="76">
        <f t="shared" ca="1" si="397"/>
        <v>2459.4689597499992</v>
      </c>
      <c r="U130" s="76">
        <f t="shared" ca="1" si="397"/>
        <v>3493.7611326345827</v>
      </c>
      <c r="V130" s="76">
        <f t="shared" ca="1" si="397"/>
        <v>4534.0533055191663</v>
      </c>
      <c r="W130" s="76">
        <f t="shared" ca="1" si="397"/>
        <v>5581.5928757321617</v>
      </c>
      <c r="X130" s="76">
        <f t="shared" ca="1" si="397"/>
        <v>6629.1324459451571</v>
      </c>
      <c r="Y130" s="76">
        <f t="shared" ca="1" si="397"/>
        <v>7681.8060627595187</v>
      </c>
      <c r="Z130" s="76">
        <f t="shared" ca="1" si="397"/>
        <v>2459.4689597500001</v>
      </c>
      <c r="AA130" s="76">
        <f t="shared" ca="1" si="397"/>
        <v>3520.8680322786117</v>
      </c>
      <c r="AB130" s="76">
        <f t="shared" ca="1" si="397"/>
        <v>4582.2671048072234</v>
      </c>
      <c r="AC130" s="76">
        <f t="shared" ca="1" si="397"/>
        <v>5643.6661773358355</v>
      </c>
      <c r="AD130" s="76">
        <f t="shared" ca="1" si="397"/>
        <v>6705.0652498644467</v>
      </c>
      <c r="AE130" s="76">
        <f t="shared" ca="1" si="397"/>
        <v>7766.464322393058</v>
      </c>
      <c r="AF130" s="76">
        <f t="shared" ca="1" si="397"/>
        <v>2459.4689597500001</v>
      </c>
      <c r="AG130" s="76">
        <f t="shared" ca="1" si="397"/>
        <v>3583.9555653772186</v>
      </c>
      <c r="AH130" s="76">
        <f t="shared" ca="1" si="397"/>
        <v>4400.6076543561594</v>
      </c>
      <c r="AI130" s="76">
        <f t="shared" ca="1" si="397"/>
        <v>5535.1813345283554</v>
      </c>
      <c r="AJ130" s="76">
        <f t="shared" ca="1" si="397"/>
        <v>6631.1128179087464</v>
      </c>
      <c r="AK130" s="76">
        <f t="shared" ca="1" si="397"/>
        <v>7732.3323692885442</v>
      </c>
      <c r="AL130" s="76">
        <f t="shared" ca="1" si="397"/>
        <v>2688.8840637888643</v>
      </c>
      <c r="AM130" s="76">
        <f t="shared" ca="1" si="397"/>
        <v>3799.0908345543403</v>
      </c>
      <c r="AN130" s="76">
        <f t="shared" ca="1" si="397"/>
        <v>4909.2976053198163</v>
      </c>
      <c r="AO130" s="76">
        <f t="shared" ca="1" si="397"/>
        <v>6019.5043760852923</v>
      </c>
      <c r="AP130" s="76">
        <f t="shared" ca="1" si="397"/>
        <v>7129.7111468507683</v>
      </c>
      <c r="AQ130" s="76">
        <f t="shared" ca="1" si="397"/>
        <v>8207.8185573913979</v>
      </c>
      <c r="AR130" s="76">
        <f t="shared" ca="1" si="397"/>
        <v>2783.0797800976507</v>
      </c>
      <c r="AS130" s="76">
        <f t="shared" ca="1" si="397"/>
        <v>3908.6890610298278</v>
      </c>
      <c r="AT130" s="76">
        <f t="shared" ca="1" si="397"/>
        <v>5040.602091962005</v>
      </c>
      <c r="AU130" s="76">
        <f t="shared" ca="1" si="397"/>
        <v>6180.4262219753782</v>
      </c>
      <c r="AV130" s="76">
        <f t="shared" ca="1" si="397"/>
        <v>7229.4718513322587</v>
      </c>
      <c r="AW130" s="76">
        <f t="shared" ca="1" si="397"/>
        <v>8484.4049429790794</v>
      </c>
      <c r="AX130" s="76">
        <f t="shared" ca="1" si="397"/>
        <v>2888.253583671607</v>
      </c>
      <c r="AY130" s="76">
        <f t="shared" ca="1" si="397"/>
        <v>4047.2697077117209</v>
      </c>
      <c r="AZ130" s="76">
        <f t="shared" ca="1" si="397"/>
        <v>5206.2858317518348</v>
      </c>
      <c r="BA130" s="76">
        <f t="shared" ca="1" si="397"/>
        <v>6365.3019557919488</v>
      </c>
      <c r="BB130" s="76">
        <f t="shared" ca="1" si="397"/>
        <v>7524.3180798320627</v>
      </c>
      <c r="BC130" s="76">
        <f t="shared" ca="1" si="397"/>
        <v>8683.3342038721767</v>
      </c>
      <c r="BD130" s="76">
        <f t="shared" ca="1" si="397"/>
        <v>2888.253583671607</v>
      </c>
      <c r="BE130" s="76">
        <f t="shared" ca="1" si="397"/>
        <v>4203.7935660223493</v>
      </c>
      <c r="BF130" s="76">
        <f t="shared" ca="1" si="397"/>
        <v>5392.3264909419186</v>
      </c>
      <c r="BG130" s="76">
        <f t="shared" ca="1" si="397"/>
        <v>6589.0078479151198</v>
      </c>
      <c r="BH130" s="76">
        <f t="shared" ca="1" si="397"/>
        <v>7785.689204888321</v>
      </c>
      <c r="BI130" s="76">
        <f t="shared" ca="1" si="397"/>
        <v>8988.1153266426973</v>
      </c>
      <c r="BJ130" s="76">
        <f t="shared" ca="1" si="397"/>
        <v>3021.7219848527802</v>
      </c>
      <c r="BK130" s="76">
        <f t="shared" ca="1" si="397"/>
        <v>4233.6826476534216</v>
      </c>
      <c r="BL130" s="76">
        <f t="shared" ca="1" si="397"/>
        <v>5445.6433104540629</v>
      </c>
      <c r="BM130" s="76">
        <f t="shared" ca="1" si="397"/>
        <v>6657.6039732547042</v>
      </c>
      <c r="BN130" s="76">
        <f t="shared" ca="1" si="397"/>
        <v>7869.5646360553455</v>
      </c>
      <c r="BO130" s="76">
        <f t="shared" ca="1" si="397"/>
        <v>9081.525298855986</v>
      </c>
      <c r="BP130" s="76">
        <f t="shared" ca="1" si="397"/>
        <v>54368.645942815841</v>
      </c>
      <c r="BQ130" s="76">
        <f t="shared" ca="1" si="397"/>
        <v>7.8216544352471828E-11</v>
      </c>
      <c r="BR130" s="76">
        <f t="shared" ca="1" si="397"/>
        <v>7.8216544352471828E-11</v>
      </c>
      <c r="BS130" s="76">
        <f t="shared" ca="1" si="397"/>
        <v>7.8216544352471828E-11</v>
      </c>
      <c r="BT130" s="76">
        <f t="shared" ca="1" si="397"/>
        <v>7.8216544352471828E-11</v>
      </c>
      <c r="BU130" s="76">
        <f t="shared" ref="BU130:DB130" ca="1" si="398">SUM(BU125:BU129)</f>
        <v>7.8216544352471828E-11</v>
      </c>
      <c r="BV130" s="76">
        <f t="shared" ca="1" si="398"/>
        <v>7.8216544352471828E-11</v>
      </c>
      <c r="BW130" s="76">
        <f t="shared" ca="1" si="398"/>
        <v>7.8216544352471828E-11</v>
      </c>
      <c r="BX130" s="76">
        <f t="shared" ca="1" si="398"/>
        <v>7.8216544352471828E-11</v>
      </c>
      <c r="BY130" s="76">
        <f t="shared" ca="1" si="398"/>
        <v>7.8216544352471828E-11</v>
      </c>
      <c r="BZ130" s="76">
        <f t="shared" ca="1" si="398"/>
        <v>7.8216544352471828E-11</v>
      </c>
      <c r="CA130" s="76">
        <f t="shared" ca="1" si="398"/>
        <v>7.8216544352471828E-11</v>
      </c>
      <c r="CB130" s="76">
        <f t="shared" ca="1" si="398"/>
        <v>7.8216544352471828E-11</v>
      </c>
      <c r="CC130" s="76">
        <f t="shared" ca="1" si="398"/>
        <v>7.8216544352471828E-11</v>
      </c>
      <c r="CD130" s="76">
        <f t="shared" ca="1" si="398"/>
        <v>7.8216544352471828E-11</v>
      </c>
      <c r="CE130" s="76">
        <f t="shared" ca="1" si="398"/>
        <v>7.8216544352471828E-11</v>
      </c>
      <c r="CF130" s="76">
        <f t="shared" ca="1" si="398"/>
        <v>7.8216544352471828E-11</v>
      </c>
      <c r="CG130" s="76">
        <f t="shared" ca="1" si="398"/>
        <v>7.8216544352471828E-11</v>
      </c>
      <c r="CH130" s="76">
        <f t="shared" ca="1" si="398"/>
        <v>7.8216544352471828E-11</v>
      </c>
      <c r="CI130" s="76">
        <f t="shared" ca="1" si="398"/>
        <v>7.8216544352471828E-11</v>
      </c>
      <c r="CJ130" s="76">
        <f t="shared" ca="1" si="398"/>
        <v>7.8216544352471828E-11</v>
      </c>
      <c r="CK130" s="76">
        <f t="shared" ca="1" si="398"/>
        <v>7.8216544352471828E-11</v>
      </c>
      <c r="CL130" s="76">
        <f t="shared" ca="1" si="398"/>
        <v>7.8216544352471828E-11</v>
      </c>
      <c r="CM130" s="76">
        <f t="shared" ca="1" si="398"/>
        <v>7.8216544352471828E-11</v>
      </c>
      <c r="CN130" s="76">
        <f t="shared" ca="1" si="398"/>
        <v>7.8216544352471828E-11</v>
      </c>
      <c r="CO130" s="76">
        <f t="shared" ca="1" si="398"/>
        <v>7.8216544352471828E-11</v>
      </c>
      <c r="CP130" s="76">
        <f t="shared" ca="1" si="398"/>
        <v>7.8216544352471828E-11</v>
      </c>
      <c r="CQ130" s="76">
        <f t="shared" ca="1" si="398"/>
        <v>7.8216544352471828E-11</v>
      </c>
      <c r="CR130" s="76">
        <f t="shared" ca="1" si="398"/>
        <v>7.8216544352471828E-11</v>
      </c>
      <c r="CS130" s="76">
        <f t="shared" ca="1" si="398"/>
        <v>7.8216544352471828E-11</v>
      </c>
      <c r="CT130" s="76">
        <f t="shared" ca="1" si="398"/>
        <v>7.8216544352471828E-11</v>
      </c>
      <c r="CU130" s="76">
        <f t="shared" ca="1" si="398"/>
        <v>7.8216544352471828E-11</v>
      </c>
      <c r="CV130" s="76">
        <f t="shared" ca="1" si="398"/>
        <v>7.8216544352471828E-11</v>
      </c>
      <c r="CW130" s="76">
        <f t="shared" ca="1" si="398"/>
        <v>7.8216544352471828E-11</v>
      </c>
      <c r="CX130" s="76">
        <f t="shared" ca="1" si="398"/>
        <v>7.8216544352471828E-11</v>
      </c>
      <c r="CY130" s="76">
        <f t="shared" ca="1" si="398"/>
        <v>7.8216544352471828E-11</v>
      </c>
      <c r="CZ130" s="76">
        <f t="shared" ca="1" si="398"/>
        <v>7.8216544352471828E-11</v>
      </c>
      <c r="DA130" s="76">
        <f t="shared" ca="1" si="398"/>
        <v>7.8216544352471828E-11</v>
      </c>
      <c r="DB130" s="76">
        <f t="shared" ca="1" si="398"/>
        <v>7.8216544352471828E-11</v>
      </c>
    </row>
    <row r="132" spans="3:106">
      <c r="D132" s="13" t="s">
        <v>210</v>
      </c>
      <c r="H132" s="13">
        <v>0</v>
      </c>
      <c r="I132" s="13">
        <f ca="1">H134</f>
        <v>0</v>
      </c>
      <c r="J132" s="13">
        <f t="shared" ref="J132:BU132" ca="1" si="399">I134</f>
        <v>0</v>
      </c>
      <c r="K132" s="13">
        <f t="shared" ca="1" si="399"/>
        <v>0</v>
      </c>
      <c r="L132" s="13">
        <f t="shared" ca="1" si="399"/>
        <v>0</v>
      </c>
      <c r="M132" s="13">
        <f t="shared" ca="1" si="399"/>
        <v>0</v>
      </c>
      <c r="N132" s="13">
        <f t="shared" ca="1" si="399"/>
        <v>0</v>
      </c>
      <c r="O132" s="13">
        <f t="shared" ca="1" si="399"/>
        <v>0</v>
      </c>
      <c r="P132" s="13">
        <f t="shared" ca="1" si="399"/>
        <v>0</v>
      </c>
      <c r="Q132" s="13">
        <f t="shared" ca="1" si="399"/>
        <v>0</v>
      </c>
      <c r="R132" s="13">
        <f t="shared" ca="1" si="399"/>
        <v>0</v>
      </c>
      <c r="S132" s="13">
        <f t="shared" ca="1" si="399"/>
        <v>0</v>
      </c>
      <c r="T132" s="13">
        <f t="shared" ca="1" si="399"/>
        <v>0</v>
      </c>
      <c r="U132" s="13">
        <f t="shared" ca="1" si="399"/>
        <v>0</v>
      </c>
      <c r="V132" s="13">
        <f t="shared" ca="1" si="399"/>
        <v>0</v>
      </c>
      <c r="W132" s="13">
        <f t="shared" ca="1" si="399"/>
        <v>0</v>
      </c>
      <c r="X132" s="13">
        <f t="shared" ca="1" si="399"/>
        <v>0</v>
      </c>
      <c r="Y132" s="13">
        <f t="shared" ca="1" si="399"/>
        <v>0</v>
      </c>
      <c r="Z132" s="13">
        <f t="shared" ca="1" si="399"/>
        <v>0</v>
      </c>
      <c r="AA132" s="13">
        <f t="shared" ca="1" si="399"/>
        <v>0</v>
      </c>
      <c r="AB132" s="13">
        <f t="shared" ca="1" si="399"/>
        <v>0</v>
      </c>
      <c r="AC132" s="13">
        <f t="shared" ca="1" si="399"/>
        <v>0</v>
      </c>
      <c r="AD132" s="13">
        <f t="shared" ca="1" si="399"/>
        <v>0</v>
      </c>
      <c r="AE132" s="13">
        <f t="shared" ca="1" si="399"/>
        <v>0</v>
      </c>
      <c r="AF132" s="13">
        <f t="shared" ca="1" si="399"/>
        <v>0</v>
      </c>
      <c r="AG132" s="13">
        <f t="shared" ca="1" si="399"/>
        <v>0</v>
      </c>
      <c r="AH132" s="13">
        <f t="shared" ca="1" si="399"/>
        <v>0</v>
      </c>
      <c r="AI132" s="13">
        <f t="shared" ca="1" si="399"/>
        <v>0</v>
      </c>
      <c r="AJ132" s="13">
        <f t="shared" ca="1" si="399"/>
        <v>0</v>
      </c>
      <c r="AK132" s="13">
        <f t="shared" ca="1" si="399"/>
        <v>0</v>
      </c>
      <c r="AL132" s="13">
        <f t="shared" ca="1" si="399"/>
        <v>0</v>
      </c>
      <c r="AM132" s="13">
        <f t="shared" ca="1" si="399"/>
        <v>0</v>
      </c>
      <c r="AN132" s="13">
        <f t="shared" ca="1" si="399"/>
        <v>0</v>
      </c>
      <c r="AO132" s="13">
        <f t="shared" ca="1" si="399"/>
        <v>0</v>
      </c>
      <c r="AP132" s="13">
        <f t="shared" ca="1" si="399"/>
        <v>0</v>
      </c>
      <c r="AQ132" s="13">
        <f t="shared" ca="1" si="399"/>
        <v>0</v>
      </c>
      <c r="AR132" s="13">
        <f t="shared" ca="1" si="399"/>
        <v>0</v>
      </c>
      <c r="AS132" s="13">
        <f t="shared" ca="1" si="399"/>
        <v>0</v>
      </c>
      <c r="AT132" s="13">
        <f t="shared" ca="1" si="399"/>
        <v>0</v>
      </c>
      <c r="AU132" s="13">
        <f t="shared" ca="1" si="399"/>
        <v>0</v>
      </c>
      <c r="AV132" s="13">
        <f t="shared" ca="1" si="399"/>
        <v>0</v>
      </c>
      <c r="AW132" s="13">
        <f t="shared" ca="1" si="399"/>
        <v>0</v>
      </c>
      <c r="AX132" s="13">
        <f t="shared" ca="1" si="399"/>
        <v>0</v>
      </c>
      <c r="AY132" s="13">
        <f t="shared" ca="1" si="399"/>
        <v>0</v>
      </c>
      <c r="AZ132" s="13">
        <f t="shared" ca="1" si="399"/>
        <v>0</v>
      </c>
      <c r="BA132" s="13">
        <f t="shared" ca="1" si="399"/>
        <v>0</v>
      </c>
      <c r="BB132" s="13">
        <f t="shared" ca="1" si="399"/>
        <v>0</v>
      </c>
      <c r="BC132" s="13">
        <f t="shared" ca="1" si="399"/>
        <v>0</v>
      </c>
      <c r="BD132" s="13">
        <f t="shared" ca="1" si="399"/>
        <v>0</v>
      </c>
      <c r="BE132" s="13">
        <f t="shared" ca="1" si="399"/>
        <v>0</v>
      </c>
      <c r="BF132" s="13">
        <f t="shared" ca="1" si="399"/>
        <v>0</v>
      </c>
      <c r="BG132" s="13">
        <f t="shared" ca="1" si="399"/>
        <v>0</v>
      </c>
      <c r="BH132" s="13">
        <f t="shared" ca="1" si="399"/>
        <v>0</v>
      </c>
      <c r="BI132" s="13">
        <f t="shared" ca="1" si="399"/>
        <v>0</v>
      </c>
      <c r="BJ132" s="13">
        <f t="shared" ca="1" si="399"/>
        <v>0</v>
      </c>
      <c r="BK132" s="13">
        <f t="shared" ca="1" si="399"/>
        <v>0</v>
      </c>
      <c r="BL132" s="13">
        <f t="shared" ca="1" si="399"/>
        <v>0</v>
      </c>
      <c r="BM132" s="13">
        <f t="shared" ca="1" si="399"/>
        <v>0</v>
      </c>
      <c r="BN132" s="13">
        <f t="shared" ca="1" si="399"/>
        <v>0</v>
      </c>
      <c r="BO132" s="13">
        <f t="shared" ca="1" si="399"/>
        <v>0</v>
      </c>
      <c r="BP132" s="13">
        <f t="shared" ca="1" si="399"/>
        <v>0</v>
      </c>
      <c r="BQ132" s="13">
        <f t="shared" ca="1" si="399"/>
        <v>0</v>
      </c>
      <c r="BR132" s="13">
        <f t="shared" ca="1" si="399"/>
        <v>0</v>
      </c>
      <c r="BS132" s="13">
        <f t="shared" ca="1" si="399"/>
        <v>0</v>
      </c>
      <c r="BT132" s="13">
        <f t="shared" ca="1" si="399"/>
        <v>0</v>
      </c>
      <c r="BU132" s="13">
        <f t="shared" ca="1" si="399"/>
        <v>0</v>
      </c>
      <c r="BV132" s="13">
        <f t="shared" ref="BV132:DB132" ca="1" si="400">BU134</f>
        <v>0</v>
      </c>
      <c r="BW132" s="13">
        <f t="shared" ca="1" si="400"/>
        <v>0</v>
      </c>
      <c r="BX132" s="13">
        <f t="shared" ca="1" si="400"/>
        <v>0</v>
      </c>
      <c r="BY132" s="13">
        <f t="shared" ca="1" si="400"/>
        <v>0</v>
      </c>
      <c r="BZ132" s="13">
        <f t="shared" ca="1" si="400"/>
        <v>0</v>
      </c>
      <c r="CA132" s="13">
        <f t="shared" ca="1" si="400"/>
        <v>0</v>
      </c>
      <c r="CB132" s="13">
        <f t="shared" ca="1" si="400"/>
        <v>0</v>
      </c>
      <c r="CC132" s="13">
        <f t="shared" ca="1" si="400"/>
        <v>0</v>
      </c>
      <c r="CD132" s="13">
        <f t="shared" ca="1" si="400"/>
        <v>0</v>
      </c>
      <c r="CE132" s="13">
        <f t="shared" ca="1" si="400"/>
        <v>0</v>
      </c>
      <c r="CF132" s="13">
        <f t="shared" ca="1" si="400"/>
        <v>0</v>
      </c>
      <c r="CG132" s="13">
        <f t="shared" ca="1" si="400"/>
        <v>0</v>
      </c>
      <c r="CH132" s="13">
        <f t="shared" ca="1" si="400"/>
        <v>0</v>
      </c>
      <c r="CI132" s="13">
        <f t="shared" ca="1" si="400"/>
        <v>0</v>
      </c>
      <c r="CJ132" s="13">
        <f t="shared" ca="1" si="400"/>
        <v>0</v>
      </c>
      <c r="CK132" s="13">
        <f t="shared" ca="1" si="400"/>
        <v>0</v>
      </c>
      <c r="CL132" s="13">
        <f t="shared" ca="1" si="400"/>
        <v>0</v>
      </c>
      <c r="CM132" s="13">
        <f t="shared" ca="1" si="400"/>
        <v>0</v>
      </c>
      <c r="CN132" s="13">
        <f t="shared" ca="1" si="400"/>
        <v>0</v>
      </c>
      <c r="CO132" s="13">
        <f t="shared" ca="1" si="400"/>
        <v>0</v>
      </c>
      <c r="CP132" s="13">
        <f t="shared" ca="1" si="400"/>
        <v>0</v>
      </c>
      <c r="CQ132" s="13">
        <f t="shared" ca="1" si="400"/>
        <v>0</v>
      </c>
      <c r="CR132" s="13">
        <f t="shared" ca="1" si="400"/>
        <v>0</v>
      </c>
      <c r="CS132" s="13">
        <f t="shared" ca="1" si="400"/>
        <v>0</v>
      </c>
      <c r="CT132" s="13">
        <f t="shared" ca="1" si="400"/>
        <v>0</v>
      </c>
      <c r="CU132" s="13">
        <f t="shared" ca="1" si="400"/>
        <v>0</v>
      </c>
      <c r="CV132" s="13">
        <f t="shared" ca="1" si="400"/>
        <v>0</v>
      </c>
      <c r="CW132" s="13">
        <f t="shared" ca="1" si="400"/>
        <v>0</v>
      </c>
      <c r="CX132" s="13">
        <f t="shared" ca="1" si="400"/>
        <v>0</v>
      </c>
      <c r="CY132" s="13">
        <f t="shared" ca="1" si="400"/>
        <v>0</v>
      </c>
      <c r="CZ132" s="13">
        <f t="shared" ca="1" si="400"/>
        <v>0</v>
      </c>
      <c r="DA132" s="13">
        <f t="shared" ca="1" si="400"/>
        <v>0</v>
      </c>
      <c r="DB132" s="13">
        <f t="shared" ca="1" si="400"/>
        <v>0</v>
      </c>
    </row>
    <row r="133" spans="3:106">
      <c r="D133" s="73" t="s">
        <v>351</v>
      </c>
      <c r="E133" s="73"/>
      <c r="F133" s="73"/>
      <c r="G133" s="73"/>
      <c r="H133" s="73">
        <f t="shared" ref="H133:AM133" ca="1" si="401">MIN(H130,H132)*-1*(H14&lt;exit)</f>
        <v>0</v>
      </c>
      <c r="I133" s="73">
        <f t="shared" ca="1" si="401"/>
        <v>0</v>
      </c>
      <c r="J133" s="73">
        <f t="shared" ca="1" si="401"/>
        <v>0</v>
      </c>
      <c r="K133" s="73">
        <f t="shared" ca="1" si="401"/>
        <v>0</v>
      </c>
      <c r="L133" s="73">
        <f t="shared" ca="1" si="401"/>
        <v>0</v>
      </c>
      <c r="M133" s="73">
        <f t="shared" ca="1" si="401"/>
        <v>0</v>
      </c>
      <c r="N133" s="73">
        <f t="shared" ca="1" si="401"/>
        <v>0</v>
      </c>
      <c r="O133" s="73">
        <f t="shared" ca="1" si="401"/>
        <v>0</v>
      </c>
      <c r="P133" s="73">
        <f t="shared" ca="1" si="401"/>
        <v>0</v>
      </c>
      <c r="Q133" s="73">
        <f t="shared" ca="1" si="401"/>
        <v>0</v>
      </c>
      <c r="R133" s="73">
        <f t="shared" ca="1" si="401"/>
        <v>0</v>
      </c>
      <c r="S133" s="73">
        <f t="shared" ca="1" si="401"/>
        <v>0</v>
      </c>
      <c r="T133" s="73">
        <f t="shared" ca="1" si="401"/>
        <v>0</v>
      </c>
      <c r="U133" s="73">
        <f t="shared" ca="1" si="401"/>
        <v>0</v>
      </c>
      <c r="V133" s="73">
        <f t="shared" ca="1" si="401"/>
        <v>0</v>
      </c>
      <c r="W133" s="73">
        <f t="shared" ca="1" si="401"/>
        <v>0</v>
      </c>
      <c r="X133" s="73">
        <f t="shared" ca="1" si="401"/>
        <v>0</v>
      </c>
      <c r="Y133" s="73">
        <f t="shared" ca="1" si="401"/>
        <v>0</v>
      </c>
      <c r="Z133" s="73">
        <f t="shared" ca="1" si="401"/>
        <v>0</v>
      </c>
      <c r="AA133" s="73">
        <f t="shared" ca="1" si="401"/>
        <v>0</v>
      </c>
      <c r="AB133" s="73">
        <f t="shared" ca="1" si="401"/>
        <v>0</v>
      </c>
      <c r="AC133" s="73">
        <f t="shared" ca="1" si="401"/>
        <v>0</v>
      </c>
      <c r="AD133" s="73">
        <f t="shared" ca="1" si="401"/>
        <v>0</v>
      </c>
      <c r="AE133" s="73">
        <f t="shared" ca="1" si="401"/>
        <v>0</v>
      </c>
      <c r="AF133" s="73">
        <f t="shared" ca="1" si="401"/>
        <v>0</v>
      </c>
      <c r="AG133" s="73">
        <f t="shared" ca="1" si="401"/>
        <v>0</v>
      </c>
      <c r="AH133" s="73">
        <f t="shared" ca="1" si="401"/>
        <v>0</v>
      </c>
      <c r="AI133" s="73">
        <f t="shared" ca="1" si="401"/>
        <v>0</v>
      </c>
      <c r="AJ133" s="73">
        <f t="shared" ca="1" si="401"/>
        <v>0</v>
      </c>
      <c r="AK133" s="73">
        <f t="shared" ca="1" si="401"/>
        <v>0</v>
      </c>
      <c r="AL133" s="73">
        <f t="shared" ca="1" si="401"/>
        <v>0</v>
      </c>
      <c r="AM133" s="73">
        <f t="shared" ca="1" si="401"/>
        <v>0</v>
      </c>
      <c r="AN133" s="73">
        <f t="shared" ref="AN133:BS133" ca="1" si="402">MIN(AN130,AN132)*-1*(AN14&lt;exit)</f>
        <v>0</v>
      </c>
      <c r="AO133" s="73">
        <f t="shared" ca="1" si="402"/>
        <v>0</v>
      </c>
      <c r="AP133" s="73">
        <f t="shared" ca="1" si="402"/>
        <v>0</v>
      </c>
      <c r="AQ133" s="73">
        <f t="shared" ca="1" si="402"/>
        <v>0</v>
      </c>
      <c r="AR133" s="73">
        <f t="shared" ca="1" si="402"/>
        <v>0</v>
      </c>
      <c r="AS133" s="73">
        <f t="shared" ca="1" si="402"/>
        <v>0</v>
      </c>
      <c r="AT133" s="73">
        <f t="shared" ca="1" si="402"/>
        <v>0</v>
      </c>
      <c r="AU133" s="73">
        <f t="shared" ca="1" si="402"/>
        <v>0</v>
      </c>
      <c r="AV133" s="73">
        <f t="shared" ca="1" si="402"/>
        <v>0</v>
      </c>
      <c r="AW133" s="73">
        <f t="shared" ca="1" si="402"/>
        <v>0</v>
      </c>
      <c r="AX133" s="73">
        <f t="shared" ca="1" si="402"/>
        <v>0</v>
      </c>
      <c r="AY133" s="73">
        <f t="shared" ca="1" si="402"/>
        <v>0</v>
      </c>
      <c r="AZ133" s="73">
        <f t="shared" ca="1" si="402"/>
        <v>0</v>
      </c>
      <c r="BA133" s="73">
        <f t="shared" ca="1" si="402"/>
        <v>0</v>
      </c>
      <c r="BB133" s="73">
        <f t="shared" ca="1" si="402"/>
        <v>0</v>
      </c>
      <c r="BC133" s="73">
        <f t="shared" ca="1" si="402"/>
        <v>0</v>
      </c>
      <c r="BD133" s="73">
        <f t="shared" ca="1" si="402"/>
        <v>0</v>
      </c>
      <c r="BE133" s="73">
        <f t="shared" ca="1" si="402"/>
        <v>0</v>
      </c>
      <c r="BF133" s="73">
        <f t="shared" ca="1" si="402"/>
        <v>0</v>
      </c>
      <c r="BG133" s="73">
        <f t="shared" ca="1" si="402"/>
        <v>0</v>
      </c>
      <c r="BH133" s="73">
        <f t="shared" ca="1" si="402"/>
        <v>0</v>
      </c>
      <c r="BI133" s="73">
        <f t="shared" ca="1" si="402"/>
        <v>0</v>
      </c>
      <c r="BJ133" s="73">
        <f t="shared" ca="1" si="402"/>
        <v>0</v>
      </c>
      <c r="BK133" s="73">
        <f t="shared" ca="1" si="402"/>
        <v>0</v>
      </c>
      <c r="BL133" s="73">
        <f t="shared" ca="1" si="402"/>
        <v>0</v>
      </c>
      <c r="BM133" s="73">
        <f t="shared" ca="1" si="402"/>
        <v>0</v>
      </c>
      <c r="BN133" s="73">
        <f t="shared" ca="1" si="402"/>
        <v>0</v>
      </c>
      <c r="BO133" s="73">
        <f t="shared" ca="1" si="402"/>
        <v>0</v>
      </c>
      <c r="BP133" s="73">
        <f t="shared" ca="1" si="402"/>
        <v>0</v>
      </c>
      <c r="BQ133" s="73">
        <f t="shared" ca="1" si="402"/>
        <v>0</v>
      </c>
      <c r="BR133" s="73">
        <f t="shared" ca="1" si="402"/>
        <v>0</v>
      </c>
      <c r="BS133" s="73">
        <f t="shared" ca="1" si="402"/>
        <v>0</v>
      </c>
      <c r="BT133" s="73">
        <f t="shared" ref="BT133:CY133" ca="1" si="403">MIN(BT130,BT132)*-1*(BT14&lt;exit)</f>
        <v>0</v>
      </c>
      <c r="BU133" s="73">
        <f t="shared" ca="1" si="403"/>
        <v>0</v>
      </c>
      <c r="BV133" s="73">
        <f t="shared" ca="1" si="403"/>
        <v>0</v>
      </c>
      <c r="BW133" s="73">
        <f t="shared" ca="1" si="403"/>
        <v>0</v>
      </c>
      <c r="BX133" s="73">
        <f t="shared" ca="1" si="403"/>
        <v>0</v>
      </c>
      <c r="BY133" s="73">
        <f t="shared" ca="1" si="403"/>
        <v>0</v>
      </c>
      <c r="BZ133" s="73">
        <f t="shared" ca="1" si="403"/>
        <v>0</v>
      </c>
      <c r="CA133" s="73">
        <f t="shared" ca="1" si="403"/>
        <v>0</v>
      </c>
      <c r="CB133" s="73">
        <f t="shared" ca="1" si="403"/>
        <v>0</v>
      </c>
      <c r="CC133" s="73">
        <f t="shared" ca="1" si="403"/>
        <v>0</v>
      </c>
      <c r="CD133" s="73">
        <f t="shared" ca="1" si="403"/>
        <v>0</v>
      </c>
      <c r="CE133" s="73">
        <f t="shared" ca="1" si="403"/>
        <v>0</v>
      </c>
      <c r="CF133" s="73">
        <f t="shared" ca="1" si="403"/>
        <v>0</v>
      </c>
      <c r="CG133" s="73">
        <f t="shared" ca="1" si="403"/>
        <v>0</v>
      </c>
      <c r="CH133" s="73">
        <f t="shared" ca="1" si="403"/>
        <v>0</v>
      </c>
      <c r="CI133" s="73">
        <f t="shared" ca="1" si="403"/>
        <v>0</v>
      </c>
      <c r="CJ133" s="73">
        <f t="shared" ca="1" si="403"/>
        <v>0</v>
      </c>
      <c r="CK133" s="73">
        <f t="shared" ca="1" si="403"/>
        <v>0</v>
      </c>
      <c r="CL133" s="73">
        <f t="shared" ca="1" si="403"/>
        <v>0</v>
      </c>
      <c r="CM133" s="73">
        <f t="shared" ca="1" si="403"/>
        <v>0</v>
      </c>
      <c r="CN133" s="73">
        <f t="shared" ca="1" si="403"/>
        <v>0</v>
      </c>
      <c r="CO133" s="73">
        <f t="shared" ca="1" si="403"/>
        <v>0</v>
      </c>
      <c r="CP133" s="73">
        <f t="shared" ca="1" si="403"/>
        <v>0</v>
      </c>
      <c r="CQ133" s="73">
        <f t="shared" ca="1" si="403"/>
        <v>0</v>
      </c>
      <c r="CR133" s="73">
        <f t="shared" ca="1" si="403"/>
        <v>0</v>
      </c>
      <c r="CS133" s="73">
        <f t="shared" ca="1" si="403"/>
        <v>0</v>
      </c>
      <c r="CT133" s="73">
        <f t="shared" ca="1" si="403"/>
        <v>0</v>
      </c>
      <c r="CU133" s="73">
        <f t="shared" ca="1" si="403"/>
        <v>0</v>
      </c>
      <c r="CV133" s="73">
        <f t="shared" ca="1" si="403"/>
        <v>0</v>
      </c>
      <c r="CW133" s="73">
        <f t="shared" ca="1" si="403"/>
        <v>0</v>
      </c>
      <c r="CX133" s="73">
        <f t="shared" ca="1" si="403"/>
        <v>0</v>
      </c>
      <c r="CY133" s="73">
        <f t="shared" ca="1" si="403"/>
        <v>0</v>
      </c>
      <c r="CZ133" s="73">
        <f t="shared" ref="CZ133:DB133" ca="1" si="404">MIN(CZ130,CZ132)*-1*(CZ14&lt;exit)</f>
        <v>0</v>
      </c>
      <c r="DA133" s="73">
        <f t="shared" ca="1" si="404"/>
        <v>0</v>
      </c>
      <c r="DB133" s="73">
        <f t="shared" ca="1" si="404"/>
        <v>0</v>
      </c>
    </row>
    <row r="134" spans="3:106">
      <c r="D134" s="75" t="s">
        <v>211</v>
      </c>
      <c r="E134" s="294">
        <f ca="1">MAX(H134:DB134)</f>
        <v>0</v>
      </c>
      <c r="F134" s="75"/>
      <c r="G134" s="75"/>
      <c r="H134" s="75">
        <f ca="1">SUM(H132:H133)</f>
        <v>0</v>
      </c>
      <c r="I134" s="75">
        <f ca="1">SUM(I132:I133)</f>
        <v>0</v>
      </c>
      <c r="J134" s="75">
        <f t="shared" ref="J134:BU134" ca="1" si="405">SUM(J132:J133)</f>
        <v>0</v>
      </c>
      <c r="K134" s="75">
        <f t="shared" ca="1" si="405"/>
        <v>0</v>
      </c>
      <c r="L134" s="75">
        <f t="shared" ca="1" si="405"/>
        <v>0</v>
      </c>
      <c r="M134" s="75">
        <f t="shared" ca="1" si="405"/>
        <v>0</v>
      </c>
      <c r="N134" s="75">
        <f t="shared" ca="1" si="405"/>
        <v>0</v>
      </c>
      <c r="O134" s="75">
        <f t="shared" ca="1" si="405"/>
        <v>0</v>
      </c>
      <c r="P134" s="75">
        <f t="shared" ca="1" si="405"/>
        <v>0</v>
      </c>
      <c r="Q134" s="75">
        <f t="shared" ca="1" si="405"/>
        <v>0</v>
      </c>
      <c r="R134" s="75">
        <f t="shared" ca="1" si="405"/>
        <v>0</v>
      </c>
      <c r="S134" s="75">
        <f t="shared" ca="1" si="405"/>
        <v>0</v>
      </c>
      <c r="T134" s="75">
        <f t="shared" ca="1" si="405"/>
        <v>0</v>
      </c>
      <c r="U134" s="75">
        <f t="shared" ca="1" si="405"/>
        <v>0</v>
      </c>
      <c r="V134" s="75">
        <f t="shared" ca="1" si="405"/>
        <v>0</v>
      </c>
      <c r="W134" s="75">
        <f t="shared" ca="1" si="405"/>
        <v>0</v>
      </c>
      <c r="X134" s="75">
        <f t="shared" ca="1" si="405"/>
        <v>0</v>
      </c>
      <c r="Y134" s="75">
        <f t="shared" ca="1" si="405"/>
        <v>0</v>
      </c>
      <c r="Z134" s="75">
        <f t="shared" ca="1" si="405"/>
        <v>0</v>
      </c>
      <c r="AA134" s="75">
        <f t="shared" ca="1" si="405"/>
        <v>0</v>
      </c>
      <c r="AB134" s="75">
        <f t="shared" ca="1" si="405"/>
        <v>0</v>
      </c>
      <c r="AC134" s="75">
        <f t="shared" ca="1" si="405"/>
        <v>0</v>
      </c>
      <c r="AD134" s="75">
        <f t="shared" ca="1" si="405"/>
        <v>0</v>
      </c>
      <c r="AE134" s="75">
        <f t="shared" ca="1" si="405"/>
        <v>0</v>
      </c>
      <c r="AF134" s="75">
        <f t="shared" ca="1" si="405"/>
        <v>0</v>
      </c>
      <c r="AG134" s="75">
        <f t="shared" ca="1" si="405"/>
        <v>0</v>
      </c>
      <c r="AH134" s="75">
        <f t="shared" ca="1" si="405"/>
        <v>0</v>
      </c>
      <c r="AI134" s="75">
        <f t="shared" ca="1" si="405"/>
        <v>0</v>
      </c>
      <c r="AJ134" s="75">
        <f t="shared" ca="1" si="405"/>
        <v>0</v>
      </c>
      <c r="AK134" s="75">
        <f t="shared" ca="1" si="405"/>
        <v>0</v>
      </c>
      <c r="AL134" s="75">
        <f t="shared" ca="1" si="405"/>
        <v>0</v>
      </c>
      <c r="AM134" s="75">
        <f t="shared" ca="1" si="405"/>
        <v>0</v>
      </c>
      <c r="AN134" s="75">
        <f t="shared" ca="1" si="405"/>
        <v>0</v>
      </c>
      <c r="AO134" s="75">
        <f t="shared" ca="1" si="405"/>
        <v>0</v>
      </c>
      <c r="AP134" s="75">
        <f t="shared" ca="1" si="405"/>
        <v>0</v>
      </c>
      <c r="AQ134" s="75">
        <f t="shared" ca="1" si="405"/>
        <v>0</v>
      </c>
      <c r="AR134" s="75">
        <f t="shared" ca="1" si="405"/>
        <v>0</v>
      </c>
      <c r="AS134" s="75">
        <f t="shared" ca="1" si="405"/>
        <v>0</v>
      </c>
      <c r="AT134" s="75">
        <f t="shared" ca="1" si="405"/>
        <v>0</v>
      </c>
      <c r="AU134" s="75">
        <f t="shared" ca="1" si="405"/>
        <v>0</v>
      </c>
      <c r="AV134" s="75">
        <f t="shared" ca="1" si="405"/>
        <v>0</v>
      </c>
      <c r="AW134" s="75">
        <f t="shared" ca="1" si="405"/>
        <v>0</v>
      </c>
      <c r="AX134" s="75">
        <f t="shared" ca="1" si="405"/>
        <v>0</v>
      </c>
      <c r="AY134" s="75">
        <f t="shared" ca="1" si="405"/>
        <v>0</v>
      </c>
      <c r="AZ134" s="75">
        <f t="shared" ca="1" si="405"/>
        <v>0</v>
      </c>
      <c r="BA134" s="75">
        <f t="shared" ca="1" si="405"/>
        <v>0</v>
      </c>
      <c r="BB134" s="75">
        <f t="shared" ca="1" si="405"/>
        <v>0</v>
      </c>
      <c r="BC134" s="75">
        <f t="shared" ca="1" si="405"/>
        <v>0</v>
      </c>
      <c r="BD134" s="75">
        <f t="shared" ca="1" si="405"/>
        <v>0</v>
      </c>
      <c r="BE134" s="75">
        <f t="shared" ca="1" si="405"/>
        <v>0</v>
      </c>
      <c r="BF134" s="75">
        <f t="shared" ca="1" si="405"/>
        <v>0</v>
      </c>
      <c r="BG134" s="75">
        <f t="shared" ca="1" si="405"/>
        <v>0</v>
      </c>
      <c r="BH134" s="75">
        <f t="shared" ca="1" si="405"/>
        <v>0</v>
      </c>
      <c r="BI134" s="75">
        <f t="shared" ca="1" si="405"/>
        <v>0</v>
      </c>
      <c r="BJ134" s="75">
        <f t="shared" ca="1" si="405"/>
        <v>0</v>
      </c>
      <c r="BK134" s="75">
        <f t="shared" ca="1" si="405"/>
        <v>0</v>
      </c>
      <c r="BL134" s="75">
        <f t="shared" ca="1" si="405"/>
        <v>0</v>
      </c>
      <c r="BM134" s="75">
        <f t="shared" ca="1" si="405"/>
        <v>0</v>
      </c>
      <c r="BN134" s="75">
        <f t="shared" ca="1" si="405"/>
        <v>0</v>
      </c>
      <c r="BO134" s="75">
        <f t="shared" ca="1" si="405"/>
        <v>0</v>
      </c>
      <c r="BP134" s="75">
        <f t="shared" ca="1" si="405"/>
        <v>0</v>
      </c>
      <c r="BQ134" s="75">
        <f t="shared" ca="1" si="405"/>
        <v>0</v>
      </c>
      <c r="BR134" s="75">
        <f t="shared" ca="1" si="405"/>
        <v>0</v>
      </c>
      <c r="BS134" s="75">
        <f t="shared" ca="1" si="405"/>
        <v>0</v>
      </c>
      <c r="BT134" s="75">
        <f t="shared" ca="1" si="405"/>
        <v>0</v>
      </c>
      <c r="BU134" s="75">
        <f t="shared" ca="1" si="405"/>
        <v>0</v>
      </c>
      <c r="BV134" s="75">
        <f t="shared" ref="BV134:DB134" ca="1" si="406">SUM(BV132:BV133)</f>
        <v>0</v>
      </c>
      <c r="BW134" s="75">
        <f t="shared" ca="1" si="406"/>
        <v>0</v>
      </c>
      <c r="BX134" s="75">
        <f t="shared" ca="1" si="406"/>
        <v>0</v>
      </c>
      <c r="BY134" s="75">
        <f t="shared" ca="1" si="406"/>
        <v>0</v>
      </c>
      <c r="BZ134" s="75">
        <f t="shared" ca="1" si="406"/>
        <v>0</v>
      </c>
      <c r="CA134" s="75">
        <f t="shared" ca="1" si="406"/>
        <v>0</v>
      </c>
      <c r="CB134" s="75">
        <f t="shared" ca="1" si="406"/>
        <v>0</v>
      </c>
      <c r="CC134" s="75">
        <f t="shared" ca="1" si="406"/>
        <v>0</v>
      </c>
      <c r="CD134" s="75">
        <f t="shared" ca="1" si="406"/>
        <v>0</v>
      </c>
      <c r="CE134" s="75">
        <f t="shared" ca="1" si="406"/>
        <v>0</v>
      </c>
      <c r="CF134" s="75">
        <f t="shared" ca="1" si="406"/>
        <v>0</v>
      </c>
      <c r="CG134" s="75">
        <f t="shared" ca="1" si="406"/>
        <v>0</v>
      </c>
      <c r="CH134" s="75">
        <f t="shared" ca="1" si="406"/>
        <v>0</v>
      </c>
      <c r="CI134" s="75">
        <f t="shared" ca="1" si="406"/>
        <v>0</v>
      </c>
      <c r="CJ134" s="75">
        <f t="shared" ca="1" si="406"/>
        <v>0</v>
      </c>
      <c r="CK134" s="75">
        <f t="shared" ca="1" si="406"/>
        <v>0</v>
      </c>
      <c r="CL134" s="75">
        <f t="shared" ca="1" si="406"/>
        <v>0</v>
      </c>
      <c r="CM134" s="75">
        <f t="shared" ca="1" si="406"/>
        <v>0</v>
      </c>
      <c r="CN134" s="75">
        <f t="shared" ca="1" si="406"/>
        <v>0</v>
      </c>
      <c r="CO134" s="75">
        <f t="shared" ca="1" si="406"/>
        <v>0</v>
      </c>
      <c r="CP134" s="75">
        <f t="shared" ca="1" si="406"/>
        <v>0</v>
      </c>
      <c r="CQ134" s="75">
        <f t="shared" ca="1" si="406"/>
        <v>0</v>
      </c>
      <c r="CR134" s="75">
        <f t="shared" ca="1" si="406"/>
        <v>0</v>
      </c>
      <c r="CS134" s="75">
        <f t="shared" ca="1" si="406"/>
        <v>0</v>
      </c>
      <c r="CT134" s="75">
        <f t="shared" ca="1" si="406"/>
        <v>0</v>
      </c>
      <c r="CU134" s="75">
        <f t="shared" ca="1" si="406"/>
        <v>0</v>
      </c>
      <c r="CV134" s="75">
        <f t="shared" ca="1" si="406"/>
        <v>0</v>
      </c>
      <c r="CW134" s="75">
        <f t="shared" ca="1" si="406"/>
        <v>0</v>
      </c>
      <c r="CX134" s="75">
        <f t="shared" ca="1" si="406"/>
        <v>0</v>
      </c>
      <c r="CY134" s="75">
        <f t="shared" ca="1" si="406"/>
        <v>0</v>
      </c>
      <c r="CZ134" s="75">
        <f t="shared" ca="1" si="406"/>
        <v>0</v>
      </c>
      <c r="DA134" s="75">
        <f t="shared" ca="1" si="406"/>
        <v>0</v>
      </c>
      <c r="DB134" s="75">
        <f t="shared" ca="1" si="406"/>
        <v>0</v>
      </c>
    </row>
    <row r="135" spans="3:106">
      <c r="D135" s="75" t="s">
        <v>342</v>
      </c>
      <c r="E135" s="75"/>
      <c r="F135" s="75"/>
      <c r="G135" s="75"/>
      <c r="H135" s="75">
        <f ca="1">AVERAGE(H132,H134)</f>
        <v>0</v>
      </c>
      <c r="I135" s="75">
        <f t="shared" ref="I135:BT135" ca="1" si="407">AVERAGE(I132,I134)</f>
        <v>0</v>
      </c>
      <c r="J135" s="75">
        <f t="shared" ca="1" si="407"/>
        <v>0</v>
      </c>
      <c r="K135" s="75">
        <f t="shared" ca="1" si="407"/>
        <v>0</v>
      </c>
      <c r="L135" s="75">
        <f t="shared" ca="1" si="407"/>
        <v>0</v>
      </c>
      <c r="M135" s="75">
        <f t="shared" ca="1" si="407"/>
        <v>0</v>
      </c>
      <c r="N135" s="75">
        <f t="shared" ca="1" si="407"/>
        <v>0</v>
      </c>
      <c r="O135" s="75">
        <f t="shared" ca="1" si="407"/>
        <v>0</v>
      </c>
      <c r="P135" s="75">
        <f t="shared" ca="1" si="407"/>
        <v>0</v>
      </c>
      <c r="Q135" s="75">
        <f t="shared" ca="1" si="407"/>
        <v>0</v>
      </c>
      <c r="R135" s="75">
        <f t="shared" ca="1" si="407"/>
        <v>0</v>
      </c>
      <c r="S135" s="75">
        <f t="shared" ca="1" si="407"/>
        <v>0</v>
      </c>
      <c r="T135" s="75">
        <f t="shared" ca="1" si="407"/>
        <v>0</v>
      </c>
      <c r="U135" s="75">
        <f t="shared" ca="1" si="407"/>
        <v>0</v>
      </c>
      <c r="V135" s="75">
        <f t="shared" ca="1" si="407"/>
        <v>0</v>
      </c>
      <c r="W135" s="75">
        <f t="shared" ca="1" si="407"/>
        <v>0</v>
      </c>
      <c r="X135" s="75">
        <f t="shared" ca="1" si="407"/>
        <v>0</v>
      </c>
      <c r="Y135" s="75">
        <f t="shared" ca="1" si="407"/>
        <v>0</v>
      </c>
      <c r="Z135" s="75">
        <f t="shared" ca="1" si="407"/>
        <v>0</v>
      </c>
      <c r="AA135" s="75">
        <f t="shared" ca="1" si="407"/>
        <v>0</v>
      </c>
      <c r="AB135" s="75">
        <f t="shared" ca="1" si="407"/>
        <v>0</v>
      </c>
      <c r="AC135" s="75">
        <f t="shared" ca="1" si="407"/>
        <v>0</v>
      </c>
      <c r="AD135" s="75">
        <f t="shared" ca="1" si="407"/>
        <v>0</v>
      </c>
      <c r="AE135" s="75">
        <f t="shared" ca="1" si="407"/>
        <v>0</v>
      </c>
      <c r="AF135" s="75">
        <f t="shared" ca="1" si="407"/>
        <v>0</v>
      </c>
      <c r="AG135" s="75">
        <f t="shared" ca="1" si="407"/>
        <v>0</v>
      </c>
      <c r="AH135" s="75">
        <f t="shared" ca="1" si="407"/>
        <v>0</v>
      </c>
      <c r="AI135" s="75">
        <f t="shared" ca="1" si="407"/>
        <v>0</v>
      </c>
      <c r="AJ135" s="75">
        <f t="shared" ca="1" si="407"/>
        <v>0</v>
      </c>
      <c r="AK135" s="75">
        <f t="shared" ca="1" si="407"/>
        <v>0</v>
      </c>
      <c r="AL135" s="75">
        <f t="shared" ca="1" si="407"/>
        <v>0</v>
      </c>
      <c r="AM135" s="75">
        <f t="shared" ca="1" si="407"/>
        <v>0</v>
      </c>
      <c r="AN135" s="75">
        <f t="shared" ca="1" si="407"/>
        <v>0</v>
      </c>
      <c r="AO135" s="75">
        <f t="shared" ca="1" si="407"/>
        <v>0</v>
      </c>
      <c r="AP135" s="75">
        <f t="shared" ca="1" si="407"/>
        <v>0</v>
      </c>
      <c r="AQ135" s="75">
        <f t="shared" ca="1" si="407"/>
        <v>0</v>
      </c>
      <c r="AR135" s="75">
        <f t="shared" ca="1" si="407"/>
        <v>0</v>
      </c>
      <c r="AS135" s="75">
        <f t="shared" ca="1" si="407"/>
        <v>0</v>
      </c>
      <c r="AT135" s="75">
        <f t="shared" ca="1" si="407"/>
        <v>0</v>
      </c>
      <c r="AU135" s="75">
        <f t="shared" ca="1" si="407"/>
        <v>0</v>
      </c>
      <c r="AV135" s="75">
        <f t="shared" ca="1" si="407"/>
        <v>0</v>
      </c>
      <c r="AW135" s="75">
        <f t="shared" ca="1" si="407"/>
        <v>0</v>
      </c>
      <c r="AX135" s="75">
        <f t="shared" ca="1" si="407"/>
        <v>0</v>
      </c>
      <c r="AY135" s="75">
        <f t="shared" ca="1" si="407"/>
        <v>0</v>
      </c>
      <c r="AZ135" s="75">
        <f t="shared" ca="1" si="407"/>
        <v>0</v>
      </c>
      <c r="BA135" s="75">
        <f t="shared" ca="1" si="407"/>
        <v>0</v>
      </c>
      <c r="BB135" s="75">
        <f t="shared" ca="1" si="407"/>
        <v>0</v>
      </c>
      <c r="BC135" s="75">
        <f t="shared" ca="1" si="407"/>
        <v>0</v>
      </c>
      <c r="BD135" s="75">
        <f t="shared" ca="1" si="407"/>
        <v>0</v>
      </c>
      <c r="BE135" s="75">
        <f t="shared" ca="1" si="407"/>
        <v>0</v>
      </c>
      <c r="BF135" s="75">
        <f t="shared" ca="1" si="407"/>
        <v>0</v>
      </c>
      <c r="BG135" s="75">
        <f t="shared" ca="1" si="407"/>
        <v>0</v>
      </c>
      <c r="BH135" s="75">
        <f t="shared" ca="1" si="407"/>
        <v>0</v>
      </c>
      <c r="BI135" s="75">
        <f t="shared" ca="1" si="407"/>
        <v>0</v>
      </c>
      <c r="BJ135" s="75">
        <f t="shared" ca="1" si="407"/>
        <v>0</v>
      </c>
      <c r="BK135" s="75">
        <f t="shared" ca="1" si="407"/>
        <v>0</v>
      </c>
      <c r="BL135" s="75">
        <f t="shared" ca="1" si="407"/>
        <v>0</v>
      </c>
      <c r="BM135" s="75">
        <f t="shared" ca="1" si="407"/>
        <v>0</v>
      </c>
      <c r="BN135" s="75">
        <f t="shared" ca="1" si="407"/>
        <v>0</v>
      </c>
      <c r="BO135" s="75">
        <f t="shared" ca="1" si="407"/>
        <v>0</v>
      </c>
      <c r="BP135" s="75">
        <f t="shared" ca="1" si="407"/>
        <v>0</v>
      </c>
      <c r="BQ135" s="75">
        <f t="shared" ca="1" si="407"/>
        <v>0</v>
      </c>
      <c r="BR135" s="75">
        <f t="shared" ca="1" si="407"/>
        <v>0</v>
      </c>
      <c r="BS135" s="75">
        <f t="shared" ca="1" si="407"/>
        <v>0</v>
      </c>
      <c r="BT135" s="75">
        <f t="shared" ca="1" si="407"/>
        <v>0</v>
      </c>
      <c r="BU135" s="75">
        <f t="shared" ref="BU135:DB135" ca="1" si="408">AVERAGE(BU132,BU134)</f>
        <v>0</v>
      </c>
      <c r="BV135" s="75">
        <f t="shared" ca="1" si="408"/>
        <v>0</v>
      </c>
      <c r="BW135" s="75">
        <f t="shared" ca="1" si="408"/>
        <v>0</v>
      </c>
      <c r="BX135" s="75">
        <f t="shared" ca="1" si="408"/>
        <v>0</v>
      </c>
      <c r="BY135" s="75">
        <f t="shared" ca="1" si="408"/>
        <v>0</v>
      </c>
      <c r="BZ135" s="75">
        <f t="shared" ca="1" si="408"/>
        <v>0</v>
      </c>
      <c r="CA135" s="75">
        <f t="shared" ca="1" si="408"/>
        <v>0</v>
      </c>
      <c r="CB135" s="75">
        <f t="shared" ca="1" si="408"/>
        <v>0</v>
      </c>
      <c r="CC135" s="75">
        <f t="shared" ca="1" si="408"/>
        <v>0</v>
      </c>
      <c r="CD135" s="75">
        <f t="shared" ca="1" si="408"/>
        <v>0</v>
      </c>
      <c r="CE135" s="75">
        <f t="shared" ca="1" si="408"/>
        <v>0</v>
      </c>
      <c r="CF135" s="75">
        <f t="shared" ca="1" si="408"/>
        <v>0</v>
      </c>
      <c r="CG135" s="75">
        <f t="shared" ca="1" si="408"/>
        <v>0</v>
      </c>
      <c r="CH135" s="75">
        <f t="shared" ca="1" si="408"/>
        <v>0</v>
      </c>
      <c r="CI135" s="75">
        <f t="shared" ca="1" si="408"/>
        <v>0</v>
      </c>
      <c r="CJ135" s="75">
        <f t="shared" ca="1" si="408"/>
        <v>0</v>
      </c>
      <c r="CK135" s="75">
        <f t="shared" ca="1" si="408"/>
        <v>0</v>
      </c>
      <c r="CL135" s="75">
        <f t="shared" ca="1" si="408"/>
        <v>0</v>
      </c>
      <c r="CM135" s="75">
        <f t="shared" ca="1" si="408"/>
        <v>0</v>
      </c>
      <c r="CN135" s="75">
        <f t="shared" ca="1" si="408"/>
        <v>0</v>
      </c>
      <c r="CO135" s="75">
        <f t="shared" ca="1" si="408"/>
        <v>0</v>
      </c>
      <c r="CP135" s="75">
        <f t="shared" ca="1" si="408"/>
        <v>0</v>
      </c>
      <c r="CQ135" s="75">
        <f t="shared" ca="1" si="408"/>
        <v>0</v>
      </c>
      <c r="CR135" s="75">
        <f t="shared" ca="1" si="408"/>
        <v>0</v>
      </c>
      <c r="CS135" s="75">
        <f t="shared" ca="1" si="408"/>
        <v>0</v>
      </c>
      <c r="CT135" s="75">
        <f t="shared" ca="1" si="408"/>
        <v>0</v>
      </c>
      <c r="CU135" s="75">
        <f t="shared" ca="1" si="408"/>
        <v>0</v>
      </c>
      <c r="CV135" s="75">
        <f t="shared" ca="1" si="408"/>
        <v>0</v>
      </c>
      <c r="CW135" s="75">
        <f t="shared" ca="1" si="408"/>
        <v>0</v>
      </c>
      <c r="CX135" s="75">
        <f t="shared" ca="1" si="408"/>
        <v>0</v>
      </c>
      <c r="CY135" s="75">
        <f t="shared" ca="1" si="408"/>
        <v>0</v>
      </c>
      <c r="CZ135" s="75">
        <f t="shared" ca="1" si="408"/>
        <v>0</v>
      </c>
      <c r="DA135" s="75">
        <f t="shared" ca="1" si="408"/>
        <v>0</v>
      </c>
      <c r="DB135" s="75">
        <f t="shared" ca="1" si="408"/>
        <v>0</v>
      </c>
    </row>
    <row r="136" spans="3:106">
      <c r="D136" s="144" t="s">
        <v>223</v>
      </c>
      <c r="E136" s="293">
        <f>'A&amp;R'!$I$60</f>
        <v>0</v>
      </c>
      <c r="F136" s="144"/>
      <c r="G136" s="144"/>
      <c r="H136" s="144">
        <f ca="1">H135*$E$136/12</f>
        <v>0</v>
      </c>
      <c r="I136" s="144">
        <f t="shared" ref="I136:BT136" ca="1" si="409">I135*$E$136/12</f>
        <v>0</v>
      </c>
      <c r="J136" s="144">
        <f t="shared" ca="1" si="409"/>
        <v>0</v>
      </c>
      <c r="K136" s="144">
        <f t="shared" ca="1" si="409"/>
        <v>0</v>
      </c>
      <c r="L136" s="144">
        <f t="shared" ca="1" si="409"/>
        <v>0</v>
      </c>
      <c r="M136" s="144">
        <f t="shared" ca="1" si="409"/>
        <v>0</v>
      </c>
      <c r="N136" s="144">
        <f t="shared" ca="1" si="409"/>
        <v>0</v>
      </c>
      <c r="O136" s="144">
        <f t="shared" ca="1" si="409"/>
        <v>0</v>
      </c>
      <c r="P136" s="144">
        <f t="shared" ca="1" si="409"/>
        <v>0</v>
      </c>
      <c r="Q136" s="144">
        <f t="shared" ca="1" si="409"/>
        <v>0</v>
      </c>
      <c r="R136" s="144">
        <f t="shared" ca="1" si="409"/>
        <v>0</v>
      </c>
      <c r="S136" s="144">
        <f t="shared" ca="1" si="409"/>
        <v>0</v>
      </c>
      <c r="T136" s="144">
        <f t="shared" ca="1" si="409"/>
        <v>0</v>
      </c>
      <c r="U136" s="144">
        <f t="shared" ca="1" si="409"/>
        <v>0</v>
      </c>
      <c r="V136" s="144">
        <f t="shared" ca="1" si="409"/>
        <v>0</v>
      </c>
      <c r="W136" s="144">
        <f t="shared" ca="1" si="409"/>
        <v>0</v>
      </c>
      <c r="X136" s="144">
        <f t="shared" ca="1" si="409"/>
        <v>0</v>
      </c>
      <c r="Y136" s="144">
        <f t="shared" ca="1" si="409"/>
        <v>0</v>
      </c>
      <c r="Z136" s="144">
        <f t="shared" ca="1" si="409"/>
        <v>0</v>
      </c>
      <c r="AA136" s="144">
        <f t="shared" ca="1" si="409"/>
        <v>0</v>
      </c>
      <c r="AB136" s="144">
        <f t="shared" ca="1" si="409"/>
        <v>0</v>
      </c>
      <c r="AC136" s="144">
        <f t="shared" ca="1" si="409"/>
        <v>0</v>
      </c>
      <c r="AD136" s="144">
        <f t="shared" ca="1" si="409"/>
        <v>0</v>
      </c>
      <c r="AE136" s="144">
        <f t="shared" ca="1" si="409"/>
        <v>0</v>
      </c>
      <c r="AF136" s="144">
        <f t="shared" ca="1" si="409"/>
        <v>0</v>
      </c>
      <c r="AG136" s="144">
        <f t="shared" ca="1" si="409"/>
        <v>0</v>
      </c>
      <c r="AH136" s="144">
        <f t="shared" ca="1" si="409"/>
        <v>0</v>
      </c>
      <c r="AI136" s="144">
        <f t="shared" ca="1" si="409"/>
        <v>0</v>
      </c>
      <c r="AJ136" s="144">
        <f t="shared" ca="1" si="409"/>
        <v>0</v>
      </c>
      <c r="AK136" s="144">
        <f t="shared" ca="1" si="409"/>
        <v>0</v>
      </c>
      <c r="AL136" s="144">
        <f t="shared" ca="1" si="409"/>
        <v>0</v>
      </c>
      <c r="AM136" s="144">
        <f t="shared" ca="1" si="409"/>
        <v>0</v>
      </c>
      <c r="AN136" s="144">
        <f t="shared" ca="1" si="409"/>
        <v>0</v>
      </c>
      <c r="AO136" s="144">
        <f t="shared" ca="1" si="409"/>
        <v>0</v>
      </c>
      <c r="AP136" s="144">
        <f t="shared" ca="1" si="409"/>
        <v>0</v>
      </c>
      <c r="AQ136" s="144">
        <f t="shared" ca="1" si="409"/>
        <v>0</v>
      </c>
      <c r="AR136" s="144">
        <f t="shared" ca="1" si="409"/>
        <v>0</v>
      </c>
      <c r="AS136" s="144">
        <f t="shared" ca="1" si="409"/>
        <v>0</v>
      </c>
      <c r="AT136" s="144">
        <f t="shared" ca="1" si="409"/>
        <v>0</v>
      </c>
      <c r="AU136" s="144">
        <f t="shared" ca="1" si="409"/>
        <v>0</v>
      </c>
      <c r="AV136" s="144">
        <f t="shared" ca="1" si="409"/>
        <v>0</v>
      </c>
      <c r="AW136" s="144">
        <f t="shared" ca="1" si="409"/>
        <v>0</v>
      </c>
      <c r="AX136" s="144">
        <f t="shared" ca="1" si="409"/>
        <v>0</v>
      </c>
      <c r="AY136" s="144">
        <f t="shared" ca="1" si="409"/>
        <v>0</v>
      </c>
      <c r="AZ136" s="144">
        <f t="shared" ca="1" si="409"/>
        <v>0</v>
      </c>
      <c r="BA136" s="144">
        <f t="shared" ca="1" si="409"/>
        <v>0</v>
      </c>
      <c r="BB136" s="144">
        <f t="shared" ca="1" si="409"/>
        <v>0</v>
      </c>
      <c r="BC136" s="144">
        <f t="shared" ca="1" si="409"/>
        <v>0</v>
      </c>
      <c r="BD136" s="144">
        <f t="shared" ca="1" si="409"/>
        <v>0</v>
      </c>
      <c r="BE136" s="144">
        <f t="shared" ca="1" si="409"/>
        <v>0</v>
      </c>
      <c r="BF136" s="144">
        <f t="shared" ca="1" si="409"/>
        <v>0</v>
      </c>
      <c r="BG136" s="144">
        <f t="shared" ca="1" si="409"/>
        <v>0</v>
      </c>
      <c r="BH136" s="144">
        <f t="shared" ca="1" si="409"/>
        <v>0</v>
      </c>
      <c r="BI136" s="144">
        <f t="shared" ca="1" si="409"/>
        <v>0</v>
      </c>
      <c r="BJ136" s="144">
        <f t="shared" ca="1" si="409"/>
        <v>0</v>
      </c>
      <c r="BK136" s="144">
        <f t="shared" ca="1" si="409"/>
        <v>0</v>
      </c>
      <c r="BL136" s="144">
        <f t="shared" ca="1" si="409"/>
        <v>0</v>
      </c>
      <c r="BM136" s="144">
        <f t="shared" ca="1" si="409"/>
        <v>0</v>
      </c>
      <c r="BN136" s="144">
        <f t="shared" ca="1" si="409"/>
        <v>0</v>
      </c>
      <c r="BO136" s="144">
        <f t="shared" ca="1" si="409"/>
        <v>0</v>
      </c>
      <c r="BP136" s="144">
        <f t="shared" ca="1" si="409"/>
        <v>0</v>
      </c>
      <c r="BQ136" s="144">
        <f t="shared" ca="1" si="409"/>
        <v>0</v>
      </c>
      <c r="BR136" s="144">
        <f t="shared" ca="1" si="409"/>
        <v>0</v>
      </c>
      <c r="BS136" s="144">
        <f t="shared" ca="1" si="409"/>
        <v>0</v>
      </c>
      <c r="BT136" s="144">
        <f t="shared" ca="1" si="409"/>
        <v>0</v>
      </c>
      <c r="BU136" s="144">
        <f t="shared" ref="BU136:DB136" ca="1" si="410">BU135*$E$136/12</f>
        <v>0</v>
      </c>
      <c r="BV136" s="144">
        <f t="shared" ca="1" si="410"/>
        <v>0</v>
      </c>
      <c r="BW136" s="144">
        <f t="shared" ca="1" si="410"/>
        <v>0</v>
      </c>
      <c r="BX136" s="144">
        <f t="shared" ca="1" si="410"/>
        <v>0</v>
      </c>
      <c r="BY136" s="144">
        <f t="shared" ca="1" si="410"/>
        <v>0</v>
      </c>
      <c r="BZ136" s="144">
        <f t="shared" ca="1" si="410"/>
        <v>0</v>
      </c>
      <c r="CA136" s="144">
        <f t="shared" ca="1" si="410"/>
        <v>0</v>
      </c>
      <c r="CB136" s="144">
        <f t="shared" ca="1" si="410"/>
        <v>0</v>
      </c>
      <c r="CC136" s="144">
        <f t="shared" ca="1" si="410"/>
        <v>0</v>
      </c>
      <c r="CD136" s="144">
        <f t="shared" ca="1" si="410"/>
        <v>0</v>
      </c>
      <c r="CE136" s="144">
        <f t="shared" ca="1" si="410"/>
        <v>0</v>
      </c>
      <c r="CF136" s="144">
        <f t="shared" ca="1" si="410"/>
        <v>0</v>
      </c>
      <c r="CG136" s="144">
        <f t="shared" ca="1" si="410"/>
        <v>0</v>
      </c>
      <c r="CH136" s="144">
        <f t="shared" ca="1" si="410"/>
        <v>0</v>
      </c>
      <c r="CI136" s="144">
        <f t="shared" ca="1" si="410"/>
        <v>0</v>
      </c>
      <c r="CJ136" s="144">
        <f t="shared" ca="1" si="410"/>
        <v>0</v>
      </c>
      <c r="CK136" s="144">
        <f t="shared" ca="1" si="410"/>
        <v>0</v>
      </c>
      <c r="CL136" s="144">
        <f t="shared" ca="1" si="410"/>
        <v>0</v>
      </c>
      <c r="CM136" s="144">
        <f t="shared" ca="1" si="410"/>
        <v>0</v>
      </c>
      <c r="CN136" s="144">
        <f t="shared" ca="1" si="410"/>
        <v>0</v>
      </c>
      <c r="CO136" s="144">
        <f t="shared" ca="1" si="410"/>
        <v>0</v>
      </c>
      <c r="CP136" s="144">
        <f t="shared" ca="1" si="410"/>
        <v>0</v>
      </c>
      <c r="CQ136" s="144">
        <f t="shared" ca="1" si="410"/>
        <v>0</v>
      </c>
      <c r="CR136" s="144">
        <f t="shared" ca="1" si="410"/>
        <v>0</v>
      </c>
      <c r="CS136" s="144">
        <f t="shared" ca="1" si="410"/>
        <v>0</v>
      </c>
      <c r="CT136" s="144">
        <f t="shared" ca="1" si="410"/>
        <v>0</v>
      </c>
      <c r="CU136" s="144">
        <f t="shared" ca="1" si="410"/>
        <v>0</v>
      </c>
      <c r="CV136" s="144">
        <f t="shared" ca="1" si="410"/>
        <v>0</v>
      </c>
      <c r="CW136" s="144">
        <f t="shared" ca="1" si="410"/>
        <v>0</v>
      </c>
      <c r="CX136" s="144">
        <f t="shared" ca="1" si="410"/>
        <v>0</v>
      </c>
      <c r="CY136" s="144">
        <f t="shared" ca="1" si="410"/>
        <v>0</v>
      </c>
      <c r="CZ136" s="144">
        <f t="shared" ca="1" si="410"/>
        <v>0</v>
      </c>
      <c r="DA136" s="144">
        <f t="shared" ca="1" si="410"/>
        <v>0</v>
      </c>
      <c r="DB136" s="144">
        <f t="shared" ca="1" si="410"/>
        <v>0</v>
      </c>
    </row>
    <row r="138" spans="3:106">
      <c r="C138" s="268" t="s">
        <v>352</v>
      </c>
      <c r="D138" s="268"/>
      <c r="E138" s="268"/>
      <c r="F138" s="268">
        <f ca="1">SUM(H138:DB138)</f>
        <v>34928.030907406122</v>
      </c>
      <c r="G138" s="268"/>
      <c r="H138" s="268">
        <f ca="1">H136+H107+H92+H77+H122</f>
        <v>0</v>
      </c>
      <c r="I138" s="268">
        <f t="shared" ref="I138:BT138" ca="1" si="411">I136+I107+I92+I77+I122</f>
        <v>0</v>
      </c>
      <c r="J138" s="268">
        <f t="shared" ca="1" si="411"/>
        <v>0</v>
      </c>
      <c r="K138" s="268">
        <f t="shared" ca="1" si="411"/>
        <v>0</v>
      </c>
      <c r="L138" s="268">
        <f t="shared" ca="1" si="411"/>
        <v>0</v>
      </c>
      <c r="M138" s="268">
        <f t="shared" ca="1" si="411"/>
        <v>0</v>
      </c>
      <c r="N138" s="268">
        <f t="shared" ca="1" si="411"/>
        <v>3624.1754517382028</v>
      </c>
      <c r="O138" s="268">
        <f t="shared" ca="1" si="411"/>
        <v>0</v>
      </c>
      <c r="P138" s="268">
        <f t="shared" ca="1" si="411"/>
        <v>0</v>
      </c>
      <c r="Q138" s="268">
        <f t="shared" ca="1" si="411"/>
        <v>0</v>
      </c>
      <c r="R138" s="268">
        <f t="shared" ca="1" si="411"/>
        <v>0</v>
      </c>
      <c r="S138" s="268">
        <f t="shared" ca="1" si="411"/>
        <v>0</v>
      </c>
      <c r="T138" s="268">
        <f t="shared" ca="1" si="411"/>
        <v>3597.3837850715372</v>
      </c>
      <c r="U138" s="268">
        <f t="shared" ca="1" si="411"/>
        <v>0</v>
      </c>
      <c r="V138" s="268">
        <f t="shared" ca="1" si="411"/>
        <v>0</v>
      </c>
      <c r="W138" s="268">
        <f t="shared" ca="1" si="411"/>
        <v>0</v>
      </c>
      <c r="X138" s="268">
        <f t="shared" ca="1" si="411"/>
        <v>0</v>
      </c>
      <c r="Y138" s="268">
        <f t="shared" ca="1" si="411"/>
        <v>0</v>
      </c>
      <c r="Z138" s="268">
        <f t="shared" ca="1" si="411"/>
        <v>3597.3837850715345</v>
      </c>
      <c r="AA138" s="268">
        <f t="shared" ca="1" si="411"/>
        <v>0</v>
      </c>
      <c r="AB138" s="268">
        <f t="shared" ca="1" si="411"/>
        <v>0</v>
      </c>
      <c r="AC138" s="268">
        <f t="shared" ca="1" si="411"/>
        <v>0</v>
      </c>
      <c r="AD138" s="268">
        <f t="shared" ca="1" si="411"/>
        <v>0</v>
      </c>
      <c r="AE138" s="268">
        <f t="shared" ca="1" si="411"/>
        <v>0</v>
      </c>
      <c r="AF138" s="268">
        <f t="shared" ca="1" si="411"/>
        <v>3570.5921184048648</v>
      </c>
      <c r="AG138" s="268">
        <f t="shared" ca="1" si="411"/>
        <v>0</v>
      </c>
      <c r="AH138" s="268">
        <f t="shared" ca="1" si="411"/>
        <v>0</v>
      </c>
      <c r="AI138" s="268">
        <f t="shared" ca="1" si="411"/>
        <v>0</v>
      </c>
      <c r="AJ138" s="268">
        <f t="shared" ca="1" si="411"/>
        <v>0</v>
      </c>
      <c r="AK138" s="268">
        <f t="shared" ca="1" si="411"/>
        <v>0</v>
      </c>
      <c r="AL138" s="268">
        <f t="shared" ca="1" si="411"/>
        <v>3603.5921184048652</v>
      </c>
      <c r="AM138" s="268">
        <f t="shared" ca="1" si="411"/>
        <v>0</v>
      </c>
      <c r="AN138" s="268">
        <f t="shared" ca="1" si="411"/>
        <v>0</v>
      </c>
      <c r="AO138" s="268">
        <f t="shared" ca="1" si="411"/>
        <v>0</v>
      </c>
      <c r="AP138" s="268">
        <f t="shared" ca="1" si="411"/>
        <v>0</v>
      </c>
      <c r="AQ138" s="268">
        <f t="shared" ca="1" si="411"/>
        <v>0</v>
      </c>
      <c r="AR138" s="268">
        <f t="shared" ca="1" si="411"/>
        <v>3578.3837850715408</v>
      </c>
      <c r="AS138" s="268">
        <f t="shared" ca="1" si="411"/>
        <v>0</v>
      </c>
      <c r="AT138" s="268">
        <f t="shared" ca="1" si="411"/>
        <v>0</v>
      </c>
      <c r="AU138" s="268">
        <f t="shared" ca="1" si="411"/>
        <v>0</v>
      </c>
      <c r="AV138" s="268">
        <f t="shared" ca="1" si="411"/>
        <v>0</v>
      </c>
      <c r="AW138" s="268">
        <f t="shared" ca="1" si="411"/>
        <v>0</v>
      </c>
      <c r="AX138" s="268">
        <f t="shared" ca="1" si="411"/>
        <v>3345.4320492442266</v>
      </c>
      <c r="AY138" s="268">
        <f t="shared" ca="1" si="411"/>
        <v>0</v>
      </c>
      <c r="AZ138" s="268">
        <f t="shared" ca="1" si="411"/>
        <v>0</v>
      </c>
      <c r="BA138" s="268">
        <f t="shared" ca="1" si="411"/>
        <v>0</v>
      </c>
      <c r="BB138" s="268">
        <f t="shared" ca="1" si="411"/>
        <v>0</v>
      </c>
      <c r="BC138" s="268">
        <f t="shared" ca="1" si="411"/>
        <v>0</v>
      </c>
      <c r="BD138" s="268">
        <f t="shared" ca="1" si="411"/>
        <v>3345.4320492442257</v>
      </c>
      <c r="BE138" s="268">
        <f t="shared" ca="1" si="411"/>
        <v>0</v>
      </c>
      <c r="BF138" s="268">
        <f t="shared" ca="1" si="411"/>
        <v>0</v>
      </c>
      <c r="BG138" s="268">
        <f t="shared" ca="1" si="411"/>
        <v>0</v>
      </c>
      <c r="BH138" s="268">
        <f t="shared" ca="1" si="411"/>
        <v>0</v>
      </c>
      <c r="BI138" s="268">
        <f t="shared" ca="1" si="411"/>
        <v>0</v>
      </c>
      <c r="BJ138" s="268">
        <f t="shared" ca="1" si="411"/>
        <v>3345.4320492442271</v>
      </c>
      <c r="BK138" s="268">
        <f t="shared" ca="1" si="411"/>
        <v>0</v>
      </c>
      <c r="BL138" s="268">
        <f t="shared" ca="1" si="411"/>
        <v>0</v>
      </c>
      <c r="BM138" s="268">
        <f t="shared" ca="1" si="411"/>
        <v>0</v>
      </c>
      <c r="BN138" s="268">
        <f t="shared" ca="1" si="411"/>
        <v>0</v>
      </c>
      <c r="BO138" s="268">
        <f t="shared" ca="1" si="411"/>
        <v>0</v>
      </c>
      <c r="BP138" s="268">
        <f t="shared" ca="1" si="411"/>
        <v>3320.2237159108981</v>
      </c>
      <c r="BQ138" s="268">
        <f t="shared" ca="1" si="411"/>
        <v>0</v>
      </c>
      <c r="BR138" s="268">
        <f t="shared" ca="1" si="411"/>
        <v>0</v>
      </c>
      <c r="BS138" s="268">
        <f t="shared" ca="1" si="411"/>
        <v>0</v>
      </c>
      <c r="BT138" s="268">
        <f t="shared" ca="1" si="411"/>
        <v>0</v>
      </c>
      <c r="BU138" s="268">
        <f t="shared" ref="BU138:DB138" ca="1" si="412">BU136+BU107+BU92+BU77+BU122</f>
        <v>0</v>
      </c>
      <c r="BV138" s="268">
        <f t="shared" ca="1" si="412"/>
        <v>0</v>
      </c>
      <c r="BW138" s="268">
        <f t="shared" ca="1" si="412"/>
        <v>0</v>
      </c>
      <c r="BX138" s="268">
        <f t="shared" ca="1" si="412"/>
        <v>0</v>
      </c>
      <c r="BY138" s="268">
        <f t="shared" ca="1" si="412"/>
        <v>0</v>
      </c>
      <c r="BZ138" s="268">
        <f t="shared" ca="1" si="412"/>
        <v>0</v>
      </c>
      <c r="CA138" s="268">
        <f t="shared" ca="1" si="412"/>
        <v>0</v>
      </c>
      <c r="CB138" s="268">
        <f t="shared" ca="1" si="412"/>
        <v>0</v>
      </c>
      <c r="CC138" s="268">
        <f t="shared" ca="1" si="412"/>
        <v>0</v>
      </c>
      <c r="CD138" s="268">
        <f t="shared" ca="1" si="412"/>
        <v>0</v>
      </c>
      <c r="CE138" s="268">
        <f t="shared" ca="1" si="412"/>
        <v>0</v>
      </c>
      <c r="CF138" s="268">
        <f t="shared" ca="1" si="412"/>
        <v>0</v>
      </c>
      <c r="CG138" s="268">
        <f t="shared" ca="1" si="412"/>
        <v>0</v>
      </c>
      <c r="CH138" s="268">
        <f t="shared" ca="1" si="412"/>
        <v>0</v>
      </c>
      <c r="CI138" s="268">
        <f t="shared" ca="1" si="412"/>
        <v>0</v>
      </c>
      <c r="CJ138" s="268">
        <f t="shared" ca="1" si="412"/>
        <v>0</v>
      </c>
      <c r="CK138" s="268">
        <f t="shared" ca="1" si="412"/>
        <v>0</v>
      </c>
      <c r="CL138" s="268">
        <f t="shared" ca="1" si="412"/>
        <v>0</v>
      </c>
      <c r="CM138" s="268">
        <f t="shared" ca="1" si="412"/>
        <v>0</v>
      </c>
      <c r="CN138" s="268">
        <f t="shared" ca="1" si="412"/>
        <v>0</v>
      </c>
      <c r="CO138" s="268">
        <f t="shared" ca="1" si="412"/>
        <v>0</v>
      </c>
      <c r="CP138" s="268">
        <f t="shared" ca="1" si="412"/>
        <v>0</v>
      </c>
      <c r="CQ138" s="268">
        <f t="shared" ca="1" si="412"/>
        <v>0</v>
      </c>
      <c r="CR138" s="268">
        <f t="shared" ca="1" si="412"/>
        <v>0</v>
      </c>
      <c r="CS138" s="268">
        <f t="shared" ca="1" si="412"/>
        <v>0</v>
      </c>
      <c r="CT138" s="268">
        <f t="shared" ca="1" si="412"/>
        <v>0</v>
      </c>
      <c r="CU138" s="268">
        <f t="shared" ca="1" si="412"/>
        <v>0</v>
      </c>
      <c r="CV138" s="268">
        <f t="shared" ca="1" si="412"/>
        <v>0</v>
      </c>
      <c r="CW138" s="268">
        <f t="shared" ca="1" si="412"/>
        <v>0</v>
      </c>
      <c r="CX138" s="268">
        <f t="shared" ca="1" si="412"/>
        <v>0</v>
      </c>
      <c r="CY138" s="268">
        <f t="shared" ca="1" si="412"/>
        <v>0</v>
      </c>
      <c r="CZ138" s="268">
        <f t="shared" ca="1" si="412"/>
        <v>0</v>
      </c>
      <c r="DA138" s="268">
        <f t="shared" ca="1" si="412"/>
        <v>0</v>
      </c>
      <c r="DB138" s="268">
        <f t="shared" ca="1" si="412"/>
        <v>0</v>
      </c>
    </row>
    <row r="140" spans="3:106" s="63" customFormat="1" outlineLevel="1">
      <c r="C140" s="63" t="s">
        <v>353</v>
      </c>
      <c r="M140" s="63">
        <f ca="1">SUM(H146:DB146)</f>
        <v>36132.789586542633</v>
      </c>
    </row>
    <row r="141" spans="3:106" s="63" customFormat="1" outlineLevel="1">
      <c r="D141" s="63" t="s">
        <v>337</v>
      </c>
      <c r="E141" s="270">
        <f>'A&amp;R'!L52</f>
        <v>4.6333333333333331E-2</v>
      </c>
      <c r="H141" s="63">
        <f t="shared" ref="H141:AM141" ca="1" si="413">H75*$E141/12</f>
        <v>281.07891736107621</v>
      </c>
      <c r="I141" s="63">
        <f ca="1">I75*$E141/12</f>
        <v>562.15783472215242</v>
      </c>
      <c r="J141" s="63">
        <f t="shared" ca="1" si="413"/>
        <v>562.15783472215242</v>
      </c>
      <c r="K141" s="63">
        <f t="shared" ca="1" si="413"/>
        <v>562.15783472215242</v>
      </c>
      <c r="L141" s="63">
        <f t="shared" ca="1" si="413"/>
        <v>562.15783472215242</v>
      </c>
      <c r="M141" s="63">
        <f t="shared" ca="1" si="413"/>
        <v>562.15783472215242</v>
      </c>
      <c r="N141" s="63">
        <f t="shared" ca="1" si="413"/>
        <v>562.15783472215242</v>
      </c>
      <c r="O141" s="63">
        <f t="shared" ca="1" si="413"/>
        <v>562.15783472215242</v>
      </c>
      <c r="P141" s="63">
        <f t="shared" ca="1" si="413"/>
        <v>562.15783472215242</v>
      </c>
      <c r="Q141" s="63">
        <f t="shared" ca="1" si="413"/>
        <v>562.15783472215242</v>
      </c>
      <c r="R141" s="63">
        <f t="shared" ca="1" si="413"/>
        <v>562.15783472215242</v>
      </c>
      <c r="S141" s="63">
        <f t="shared" ca="1" si="413"/>
        <v>562.15783472215242</v>
      </c>
      <c r="T141" s="63">
        <f t="shared" ca="1" si="413"/>
        <v>562.15783472215242</v>
      </c>
      <c r="U141" s="63">
        <f t="shared" ca="1" si="413"/>
        <v>562.15783472215242</v>
      </c>
      <c r="V141" s="63">
        <f t="shared" ca="1" si="413"/>
        <v>562.15783472215242</v>
      </c>
      <c r="W141" s="63">
        <f t="shared" ca="1" si="413"/>
        <v>562.15783472215242</v>
      </c>
      <c r="X141" s="63">
        <f t="shared" ca="1" si="413"/>
        <v>562.15783472215242</v>
      </c>
      <c r="Y141" s="63">
        <f t="shared" ca="1" si="413"/>
        <v>562.15783472215242</v>
      </c>
      <c r="Z141" s="63">
        <f t="shared" ca="1" si="413"/>
        <v>562.15783472215242</v>
      </c>
      <c r="AA141" s="63">
        <f t="shared" ca="1" si="413"/>
        <v>562.15783472215242</v>
      </c>
      <c r="AB141" s="63">
        <f t="shared" ca="1" si="413"/>
        <v>562.15783472215242</v>
      </c>
      <c r="AC141" s="63">
        <f t="shared" ca="1" si="413"/>
        <v>562.15783472215242</v>
      </c>
      <c r="AD141" s="63">
        <f t="shared" ca="1" si="413"/>
        <v>562.15783472215242</v>
      </c>
      <c r="AE141" s="63">
        <f t="shared" ca="1" si="413"/>
        <v>562.15783472215242</v>
      </c>
      <c r="AF141" s="63">
        <f t="shared" ca="1" si="413"/>
        <v>562.15783472215242</v>
      </c>
      <c r="AG141" s="63">
        <f t="shared" ca="1" si="413"/>
        <v>562.15783472215242</v>
      </c>
      <c r="AH141" s="63">
        <f t="shared" ca="1" si="413"/>
        <v>562.15783472215242</v>
      </c>
      <c r="AI141" s="63">
        <f t="shared" ca="1" si="413"/>
        <v>562.15783472215242</v>
      </c>
      <c r="AJ141" s="63">
        <f t="shared" ca="1" si="413"/>
        <v>562.15783472215242</v>
      </c>
      <c r="AK141" s="63">
        <f t="shared" ca="1" si="413"/>
        <v>562.15783472215242</v>
      </c>
      <c r="AL141" s="63">
        <f t="shared" ca="1" si="413"/>
        <v>562.15783472215242</v>
      </c>
      <c r="AM141" s="63">
        <f t="shared" ca="1" si="413"/>
        <v>562.15783472215242</v>
      </c>
      <c r="AN141" s="63">
        <f t="shared" ref="AN141:BS141" ca="1" si="414">AN75*$E141/12</f>
        <v>562.15783472215242</v>
      </c>
      <c r="AO141" s="63">
        <f t="shared" ca="1" si="414"/>
        <v>562.15783472215242</v>
      </c>
      <c r="AP141" s="63">
        <f t="shared" ca="1" si="414"/>
        <v>562.15783472215242</v>
      </c>
      <c r="AQ141" s="63">
        <f t="shared" ca="1" si="414"/>
        <v>562.15783472215242</v>
      </c>
      <c r="AR141" s="63">
        <f t="shared" ca="1" si="414"/>
        <v>281.07891736107621</v>
      </c>
      <c r="AS141" s="63">
        <f t="shared" ca="1" si="414"/>
        <v>0</v>
      </c>
      <c r="AT141" s="63">
        <f t="shared" ca="1" si="414"/>
        <v>0</v>
      </c>
      <c r="AU141" s="63">
        <f t="shared" ca="1" si="414"/>
        <v>0</v>
      </c>
      <c r="AV141" s="63">
        <f t="shared" ca="1" si="414"/>
        <v>0</v>
      </c>
      <c r="AW141" s="63">
        <f t="shared" ca="1" si="414"/>
        <v>0</v>
      </c>
      <c r="AX141" s="63">
        <f t="shared" ca="1" si="414"/>
        <v>0</v>
      </c>
      <c r="AY141" s="63">
        <f t="shared" ca="1" si="414"/>
        <v>0</v>
      </c>
      <c r="AZ141" s="63">
        <f t="shared" ca="1" si="414"/>
        <v>0</v>
      </c>
      <c r="BA141" s="63">
        <f t="shared" ca="1" si="414"/>
        <v>0</v>
      </c>
      <c r="BB141" s="63">
        <f t="shared" ca="1" si="414"/>
        <v>0</v>
      </c>
      <c r="BC141" s="63">
        <f t="shared" ca="1" si="414"/>
        <v>0</v>
      </c>
      <c r="BD141" s="63">
        <f t="shared" ca="1" si="414"/>
        <v>0</v>
      </c>
      <c r="BE141" s="63">
        <f t="shared" ca="1" si="414"/>
        <v>0</v>
      </c>
      <c r="BF141" s="63">
        <f t="shared" ca="1" si="414"/>
        <v>0</v>
      </c>
      <c r="BG141" s="63">
        <f t="shared" ca="1" si="414"/>
        <v>0</v>
      </c>
      <c r="BH141" s="63">
        <f t="shared" ca="1" si="414"/>
        <v>0</v>
      </c>
      <c r="BI141" s="63">
        <f t="shared" ca="1" si="414"/>
        <v>0</v>
      </c>
      <c r="BJ141" s="63">
        <f t="shared" ca="1" si="414"/>
        <v>0</v>
      </c>
      <c r="BK141" s="63">
        <f t="shared" ca="1" si="414"/>
        <v>0</v>
      </c>
      <c r="BL141" s="63">
        <f t="shared" ca="1" si="414"/>
        <v>0</v>
      </c>
      <c r="BM141" s="63">
        <f t="shared" ca="1" si="414"/>
        <v>0</v>
      </c>
      <c r="BN141" s="63">
        <f t="shared" ca="1" si="414"/>
        <v>0</v>
      </c>
      <c r="BO141" s="63">
        <f t="shared" ca="1" si="414"/>
        <v>0</v>
      </c>
      <c r="BP141" s="63">
        <f t="shared" ca="1" si="414"/>
        <v>0</v>
      </c>
      <c r="BQ141" s="63">
        <f t="shared" ca="1" si="414"/>
        <v>0</v>
      </c>
      <c r="BR141" s="63">
        <f t="shared" ca="1" si="414"/>
        <v>0</v>
      </c>
      <c r="BS141" s="63">
        <f t="shared" ca="1" si="414"/>
        <v>0</v>
      </c>
      <c r="BT141" s="63">
        <f t="shared" ref="BT141:DB141" ca="1" si="415">BT75*$E141/12</f>
        <v>0</v>
      </c>
      <c r="BU141" s="63">
        <f t="shared" ca="1" si="415"/>
        <v>0</v>
      </c>
      <c r="BV141" s="63">
        <f t="shared" ca="1" si="415"/>
        <v>0</v>
      </c>
      <c r="BW141" s="63">
        <f t="shared" ca="1" si="415"/>
        <v>0</v>
      </c>
      <c r="BX141" s="63">
        <f t="shared" ca="1" si="415"/>
        <v>0</v>
      </c>
      <c r="BY141" s="63">
        <f t="shared" ca="1" si="415"/>
        <v>0</v>
      </c>
      <c r="BZ141" s="63">
        <f t="shared" ca="1" si="415"/>
        <v>0</v>
      </c>
      <c r="CA141" s="63">
        <f t="shared" ca="1" si="415"/>
        <v>0</v>
      </c>
      <c r="CB141" s="63">
        <f t="shared" ca="1" si="415"/>
        <v>0</v>
      </c>
      <c r="CC141" s="63">
        <f t="shared" ca="1" si="415"/>
        <v>0</v>
      </c>
      <c r="CD141" s="63">
        <f t="shared" ca="1" si="415"/>
        <v>0</v>
      </c>
      <c r="CE141" s="63">
        <f t="shared" ca="1" si="415"/>
        <v>0</v>
      </c>
      <c r="CF141" s="63">
        <f t="shared" ca="1" si="415"/>
        <v>0</v>
      </c>
      <c r="CG141" s="63">
        <f t="shared" ca="1" si="415"/>
        <v>0</v>
      </c>
      <c r="CH141" s="63">
        <f t="shared" ca="1" si="415"/>
        <v>0</v>
      </c>
      <c r="CI141" s="63">
        <f t="shared" ca="1" si="415"/>
        <v>0</v>
      </c>
      <c r="CJ141" s="63">
        <f t="shared" ca="1" si="415"/>
        <v>0</v>
      </c>
      <c r="CK141" s="63">
        <f t="shared" ca="1" si="415"/>
        <v>0</v>
      </c>
      <c r="CL141" s="63">
        <f t="shared" ca="1" si="415"/>
        <v>0</v>
      </c>
      <c r="CM141" s="63">
        <f t="shared" ca="1" si="415"/>
        <v>0</v>
      </c>
      <c r="CN141" s="63">
        <f t="shared" ca="1" si="415"/>
        <v>0</v>
      </c>
      <c r="CO141" s="63">
        <f t="shared" ca="1" si="415"/>
        <v>0</v>
      </c>
      <c r="CP141" s="63">
        <f t="shared" ca="1" si="415"/>
        <v>0</v>
      </c>
      <c r="CQ141" s="63">
        <f t="shared" ca="1" si="415"/>
        <v>0</v>
      </c>
      <c r="CR141" s="63">
        <f t="shared" ca="1" si="415"/>
        <v>0</v>
      </c>
      <c r="CS141" s="63">
        <f t="shared" ca="1" si="415"/>
        <v>0</v>
      </c>
      <c r="CT141" s="63">
        <f t="shared" ca="1" si="415"/>
        <v>0</v>
      </c>
      <c r="CU141" s="63">
        <f t="shared" ca="1" si="415"/>
        <v>0</v>
      </c>
      <c r="CV141" s="63">
        <f t="shared" ca="1" si="415"/>
        <v>0</v>
      </c>
      <c r="CW141" s="63">
        <f t="shared" ca="1" si="415"/>
        <v>0</v>
      </c>
      <c r="CX141" s="63">
        <f t="shared" ca="1" si="415"/>
        <v>0</v>
      </c>
      <c r="CY141" s="63">
        <f t="shared" ca="1" si="415"/>
        <v>0</v>
      </c>
      <c r="CZ141" s="63">
        <f t="shared" ca="1" si="415"/>
        <v>0</v>
      </c>
      <c r="DA141" s="63">
        <f t="shared" ca="1" si="415"/>
        <v>0</v>
      </c>
      <c r="DB141" s="63">
        <f t="shared" ca="1" si="415"/>
        <v>0</v>
      </c>
    </row>
    <row r="142" spans="3:106" s="63" customFormat="1" outlineLevel="1">
      <c r="D142" s="63" t="s">
        <v>345</v>
      </c>
      <c r="E142" s="270">
        <f>'A&amp;R'!L53</f>
        <v>6.4299999999999996E-2</v>
      </c>
      <c r="H142" s="63">
        <f>IF($E$142=" ",0,H90*$E142/12)</f>
        <v>26.791666666666668</v>
      </c>
      <c r="I142" s="63">
        <f t="shared" ref="I142:BT142" si="416">IF($E$142=" ",0,I90*$E142/12)</f>
        <v>53.583333333333336</v>
      </c>
      <c r="J142" s="63">
        <f t="shared" si="416"/>
        <v>53.583333333333336</v>
      </c>
      <c r="K142" s="63">
        <f t="shared" si="416"/>
        <v>53.583333333333336</v>
      </c>
      <c r="L142" s="63">
        <f t="shared" si="416"/>
        <v>53.583333333333336</v>
      </c>
      <c r="M142" s="63">
        <f t="shared" si="416"/>
        <v>53.583333333333336</v>
      </c>
      <c r="N142" s="63">
        <f t="shared" si="416"/>
        <v>53.583333333333336</v>
      </c>
      <c r="O142" s="63">
        <f t="shared" si="416"/>
        <v>53.583333333333336</v>
      </c>
      <c r="P142" s="63">
        <f t="shared" si="416"/>
        <v>53.583333333333336</v>
      </c>
      <c r="Q142" s="63">
        <f t="shared" si="416"/>
        <v>53.583333333333336</v>
      </c>
      <c r="R142" s="63">
        <f t="shared" si="416"/>
        <v>53.583333333333336</v>
      </c>
      <c r="S142" s="63">
        <f t="shared" si="416"/>
        <v>53.583333333333336</v>
      </c>
      <c r="T142" s="63">
        <f t="shared" si="416"/>
        <v>53.583333333333336</v>
      </c>
      <c r="U142" s="63">
        <f t="shared" si="416"/>
        <v>53.583333333333336</v>
      </c>
      <c r="V142" s="63">
        <f t="shared" si="416"/>
        <v>53.583333333333336</v>
      </c>
      <c r="W142" s="63">
        <f t="shared" si="416"/>
        <v>53.583333333333336</v>
      </c>
      <c r="X142" s="63">
        <f t="shared" si="416"/>
        <v>53.583333333333336</v>
      </c>
      <c r="Y142" s="63">
        <f t="shared" si="416"/>
        <v>53.583333333333336</v>
      </c>
      <c r="Z142" s="63">
        <f t="shared" si="416"/>
        <v>53.583333333333336</v>
      </c>
      <c r="AA142" s="63">
        <f t="shared" si="416"/>
        <v>53.583333333333336</v>
      </c>
      <c r="AB142" s="63">
        <f t="shared" si="416"/>
        <v>53.583333333333336</v>
      </c>
      <c r="AC142" s="63">
        <f t="shared" si="416"/>
        <v>53.583333333333336</v>
      </c>
      <c r="AD142" s="63">
        <f t="shared" si="416"/>
        <v>53.583333333333336</v>
      </c>
      <c r="AE142" s="63">
        <f t="shared" si="416"/>
        <v>53.583333333333336</v>
      </c>
      <c r="AF142" s="63">
        <f t="shared" si="416"/>
        <v>26.791666666666668</v>
      </c>
      <c r="AG142" s="63">
        <f t="shared" si="416"/>
        <v>0</v>
      </c>
      <c r="AH142" s="63">
        <f t="shared" si="416"/>
        <v>0</v>
      </c>
      <c r="AI142" s="63">
        <f t="shared" si="416"/>
        <v>0</v>
      </c>
      <c r="AJ142" s="63">
        <f t="shared" si="416"/>
        <v>0</v>
      </c>
      <c r="AK142" s="63">
        <f t="shared" si="416"/>
        <v>0</v>
      </c>
      <c r="AL142" s="63">
        <f t="shared" si="416"/>
        <v>0</v>
      </c>
      <c r="AM142" s="63">
        <f t="shared" si="416"/>
        <v>0</v>
      </c>
      <c r="AN142" s="63">
        <f t="shared" si="416"/>
        <v>0</v>
      </c>
      <c r="AO142" s="63">
        <f t="shared" si="416"/>
        <v>0</v>
      </c>
      <c r="AP142" s="63">
        <f t="shared" si="416"/>
        <v>0</v>
      </c>
      <c r="AQ142" s="63">
        <f t="shared" si="416"/>
        <v>0</v>
      </c>
      <c r="AR142" s="63">
        <f t="shared" si="416"/>
        <v>0</v>
      </c>
      <c r="AS142" s="63">
        <f t="shared" si="416"/>
        <v>0</v>
      </c>
      <c r="AT142" s="63">
        <f t="shared" si="416"/>
        <v>0</v>
      </c>
      <c r="AU142" s="63">
        <f t="shared" si="416"/>
        <v>0</v>
      </c>
      <c r="AV142" s="63">
        <f t="shared" si="416"/>
        <v>0</v>
      </c>
      <c r="AW142" s="63">
        <f t="shared" si="416"/>
        <v>0</v>
      </c>
      <c r="AX142" s="63">
        <f t="shared" si="416"/>
        <v>0</v>
      </c>
      <c r="AY142" s="63">
        <f t="shared" si="416"/>
        <v>0</v>
      </c>
      <c r="AZ142" s="63">
        <f t="shared" si="416"/>
        <v>0</v>
      </c>
      <c r="BA142" s="63">
        <f t="shared" si="416"/>
        <v>0</v>
      </c>
      <c r="BB142" s="63">
        <f t="shared" si="416"/>
        <v>0</v>
      </c>
      <c r="BC142" s="63">
        <f t="shared" si="416"/>
        <v>0</v>
      </c>
      <c r="BD142" s="63">
        <f t="shared" si="416"/>
        <v>0</v>
      </c>
      <c r="BE142" s="63">
        <f t="shared" si="416"/>
        <v>0</v>
      </c>
      <c r="BF142" s="63">
        <f t="shared" si="416"/>
        <v>0</v>
      </c>
      <c r="BG142" s="63">
        <f t="shared" si="416"/>
        <v>0</v>
      </c>
      <c r="BH142" s="63">
        <f t="shared" si="416"/>
        <v>0</v>
      </c>
      <c r="BI142" s="63">
        <f t="shared" si="416"/>
        <v>0</v>
      </c>
      <c r="BJ142" s="63">
        <f t="shared" si="416"/>
        <v>0</v>
      </c>
      <c r="BK142" s="63">
        <f t="shared" si="416"/>
        <v>0</v>
      </c>
      <c r="BL142" s="63">
        <f t="shared" si="416"/>
        <v>0</v>
      </c>
      <c r="BM142" s="63">
        <f t="shared" si="416"/>
        <v>0</v>
      </c>
      <c r="BN142" s="63">
        <f t="shared" si="416"/>
        <v>0</v>
      </c>
      <c r="BO142" s="63">
        <f t="shared" si="416"/>
        <v>0</v>
      </c>
      <c r="BP142" s="63">
        <f t="shared" si="416"/>
        <v>0</v>
      </c>
      <c r="BQ142" s="63">
        <f t="shared" si="416"/>
        <v>0</v>
      </c>
      <c r="BR142" s="63">
        <f t="shared" si="416"/>
        <v>0</v>
      </c>
      <c r="BS142" s="63">
        <f t="shared" si="416"/>
        <v>0</v>
      </c>
      <c r="BT142" s="63">
        <f t="shared" si="416"/>
        <v>0</v>
      </c>
      <c r="BU142" s="63">
        <f t="shared" ref="BU142:DB142" si="417">IF($E$142=" ",0,BU90*$E142/12)</f>
        <v>0</v>
      </c>
      <c r="BV142" s="63">
        <f t="shared" si="417"/>
        <v>0</v>
      </c>
      <c r="BW142" s="63">
        <f t="shared" si="417"/>
        <v>0</v>
      </c>
      <c r="BX142" s="63">
        <f t="shared" si="417"/>
        <v>0</v>
      </c>
      <c r="BY142" s="63">
        <f t="shared" si="417"/>
        <v>0</v>
      </c>
      <c r="BZ142" s="63">
        <f t="shared" si="417"/>
        <v>0</v>
      </c>
      <c r="CA142" s="63">
        <f t="shared" si="417"/>
        <v>0</v>
      </c>
      <c r="CB142" s="63">
        <f t="shared" si="417"/>
        <v>0</v>
      </c>
      <c r="CC142" s="63">
        <f t="shared" si="417"/>
        <v>0</v>
      </c>
      <c r="CD142" s="63">
        <f t="shared" si="417"/>
        <v>0</v>
      </c>
      <c r="CE142" s="63">
        <f t="shared" si="417"/>
        <v>0</v>
      </c>
      <c r="CF142" s="63">
        <f t="shared" si="417"/>
        <v>0</v>
      </c>
      <c r="CG142" s="63">
        <f t="shared" si="417"/>
        <v>0</v>
      </c>
      <c r="CH142" s="63">
        <f t="shared" si="417"/>
        <v>0</v>
      </c>
      <c r="CI142" s="63">
        <f t="shared" si="417"/>
        <v>0</v>
      </c>
      <c r="CJ142" s="63">
        <f t="shared" si="417"/>
        <v>0</v>
      </c>
      <c r="CK142" s="63">
        <f t="shared" si="417"/>
        <v>0</v>
      </c>
      <c r="CL142" s="63">
        <f t="shared" si="417"/>
        <v>0</v>
      </c>
      <c r="CM142" s="63">
        <f t="shared" si="417"/>
        <v>0</v>
      </c>
      <c r="CN142" s="63">
        <f t="shared" si="417"/>
        <v>0</v>
      </c>
      <c r="CO142" s="63">
        <f t="shared" si="417"/>
        <v>0</v>
      </c>
      <c r="CP142" s="63">
        <f t="shared" si="417"/>
        <v>0</v>
      </c>
      <c r="CQ142" s="63">
        <f t="shared" si="417"/>
        <v>0</v>
      </c>
      <c r="CR142" s="63">
        <f t="shared" si="417"/>
        <v>0</v>
      </c>
      <c r="CS142" s="63">
        <f t="shared" si="417"/>
        <v>0</v>
      </c>
      <c r="CT142" s="63">
        <f t="shared" si="417"/>
        <v>0</v>
      </c>
      <c r="CU142" s="63">
        <f t="shared" si="417"/>
        <v>0</v>
      </c>
      <c r="CV142" s="63">
        <f t="shared" si="417"/>
        <v>0</v>
      </c>
      <c r="CW142" s="63">
        <f t="shared" si="417"/>
        <v>0</v>
      </c>
      <c r="CX142" s="63">
        <f t="shared" si="417"/>
        <v>0</v>
      </c>
      <c r="CY142" s="63">
        <f t="shared" si="417"/>
        <v>0</v>
      </c>
      <c r="CZ142" s="63">
        <f t="shared" si="417"/>
        <v>0</v>
      </c>
      <c r="DA142" s="63">
        <f t="shared" si="417"/>
        <v>0</v>
      </c>
      <c r="DB142" s="63">
        <f t="shared" si="417"/>
        <v>0</v>
      </c>
    </row>
    <row r="143" spans="3:106" s="63" customFormat="1" outlineLevel="1">
      <c r="D143" s="63" t="s">
        <v>346</v>
      </c>
      <c r="E143" s="270">
        <f>'A&amp;R'!L58</f>
        <v>4.3799999999999999E-2</v>
      </c>
      <c r="H143" s="63">
        <f ca="1">IF($E$143=" ",0,H105*$E143/12)</f>
        <v>0</v>
      </c>
      <c r="I143" s="63">
        <f t="shared" ref="I143:BT143" ca="1" si="418">IF($E$143=" ",0,I105*$E143/12)</f>
        <v>0</v>
      </c>
      <c r="J143" s="63">
        <f t="shared" ca="1" si="418"/>
        <v>0</v>
      </c>
      <c r="K143" s="63">
        <f t="shared" ca="1" si="418"/>
        <v>0</v>
      </c>
      <c r="L143" s="63">
        <f t="shared" ca="1" si="418"/>
        <v>0</v>
      </c>
      <c r="M143" s="63">
        <f t="shared" ca="1" si="418"/>
        <v>0</v>
      </c>
      <c r="N143" s="63">
        <f t="shared" ca="1" si="418"/>
        <v>0</v>
      </c>
      <c r="O143" s="63">
        <f t="shared" ca="1" si="418"/>
        <v>0</v>
      </c>
      <c r="P143" s="63">
        <f t="shared" ca="1" si="418"/>
        <v>0</v>
      </c>
      <c r="Q143" s="63">
        <f t="shared" ca="1" si="418"/>
        <v>0</v>
      </c>
      <c r="R143" s="63">
        <f t="shared" ca="1" si="418"/>
        <v>0</v>
      </c>
      <c r="S143" s="63">
        <f t="shared" ca="1" si="418"/>
        <v>0</v>
      </c>
      <c r="T143" s="63">
        <f t="shared" ca="1" si="418"/>
        <v>0</v>
      </c>
      <c r="U143" s="63">
        <f t="shared" ca="1" si="418"/>
        <v>0</v>
      </c>
      <c r="V143" s="63">
        <f t="shared" ca="1" si="418"/>
        <v>0</v>
      </c>
      <c r="W143" s="63">
        <f t="shared" ca="1" si="418"/>
        <v>0</v>
      </c>
      <c r="X143" s="63">
        <f t="shared" ca="1" si="418"/>
        <v>0</v>
      </c>
      <c r="Y143" s="63">
        <f t="shared" ca="1" si="418"/>
        <v>0</v>
      </c>
      <c r="Z143" s="63">
        <f t="shared" ca="1" si="418"/>
        <v>0</v>
      </c>
      <c r="AA143" s="63">
        <f t="shared" ca="1" si="418"/>
        <v>0</v>
      </c>
      <c r="AB143" s="63">
        <f t="shared" ca="1" si="418"/>
        <v>0</v>
      </c>
      <c r="AC143" s="63">
        <f t="shared" ca="1" si="418"/>
        <v>0</v>
      </c>
      <c r="AD143" s="63">
        <f t="shared" ca="1" si="418"/>
        <v>0</v>
      </c>
      <c r="AE143" s="63">
        <f t="shared" ca="1" si="418"/>
        <v>0</v>
      </c>
      <c r="AF143" s="63">
        <f t="shared" ca="1" si="418"/>
        <v>0</v>
      </c>
      <c r="AG143" s="63">
        <f t="shared" ca="1" si="418"/>
        <v>0</v>
      </c>
      <c r="AH143" s="63">
        <f t="shared" ca="1" si="418"/>
        <v>0</v>
      </c>
      <c r="AI143" s="63">
        <f t="shared" ca="1" si="418"/>
        <v>0</v>
      </c>
      <c r="AJ143" s="63">
        <f t="shared" ca="1" si="418"/>
        <v>0</v>
      </c>
      <c r="AK143" s="63">
        <f t="shared" ca="1" si="418"/>
        <v>0</v>
      </c>
      <c r="AL143" s="63">
        <f t="shared" ca="1" si="418"/>
        <v>0</v>
      </c>
      <c r="AM143" s="63">
        <f t="shared" ca="1" si="418"/>
        <v>0</v>
      </c>
      <c r="AN143" s="63">
        <f t="shared" ca="1" si="418"/>
        <v>0</v>
      </c>
      <c r="AO143" s="63">
        <f t="shared" ca="1" si="418"/>
        <v>0</v>
      </c>
      <c r="AP143" s="63">
        <f t="shared" ca="1" si="418"/>
        <v>0</v>
      </c>
      <c r="AQ143" s="63">
        <f t="shared" ca="1" si="418"/>
        <v>0</v>
      </c>
      <c r="AR143" s="63">
        <f t="shared" ca="1" si="418"/>
        <v>265.71057367802456</v>
      </c>
      <c r="AS143" s="63">
        <f t="shared" ca="1" si="418"/>
        <v>531.42114735604912</v>
      </c>
      <c r="AT143" s="63">
        <f t="shared" ca="1" si="418"/>
        <v>531.42114735604912</v>
      </c>
      <c r="AU143" s="63">
        <f t="shared" ca="1" si="418"/>
        <v>531.42114735604912</v>
      </c>
      <c r="AV143" s="63">
        <f t="shared" ca="1" si="418"/>
        <v>531.42114735604912</v>
      </c>
      <c r="AW143" s="63">
        <f t="shared" ca="1" si="418"/>
        <v>531.42114735604912</v>
      </c>
      <c r="AX143" s="63">
        <f t="shared" ca="1" si="418"/>
        <v>531.42114735604912</v>
      </c>
      <c r="AY143" s="63">
        <f t="shared" ca="1" si="418"/>
        <v>531.42114735604912</v>
      </c>
      <c r="AZ143" s="63">
        <f t="shared" ca="1" si="418"/>
        <v>531.42114735604912</v>
      </c>
      <c r="BA143" s="63">
        <f t="shared" ca="1" si="418"/>
        <v>531.42114735604912</v>
      </c>
      <c r="BB143" s="63">
        <f t="shared" ca="1" si="418"/>
        <v>531.42114735604912</v>
      </c>
      <c r="BC143" s="63">
        <f t="shared" ca="1" si="418"/>
        <v>531.42114735604912</v>
      </c>
      <c r="BD143" s="63">
        <f t="shared" ca="1" si="418"/>
        <v>531.42114735604912</v>
      </c>
      <c r="BE143" s="63">
        <f t="shared" ca="1" si="418"/>
        <v>531.42114735604912</v>
      </c>
      <c r="BF143" s="63">
        <f t="shared" ca="1" si="418"/>
        <v>531.42114735604912</v>
      </c>
      <c r="BG143" s="63">
        <f t="shared" ca="1" si="418"/>
        <v>531.42114735604912</v>
      </c>
      <c r="BH143" s="63">
        <f t="shared" ca="1" si="418"/>
        <v>531.42114735604912</v>
      </c>
      <c r="BI143" s="63">
        <f t="shared" ca="1" si="418"/>
        <v>531.42114735604912</v>
      </c>
      <c r="BJ143" s="63">
        <f t="shared" ca="1" si="418"/>
        <v>531.42114735604912</v>
      </c>
      <c r="BK143" s="63">
        <f t="shared" ca="1" si="418"/>
        <v>531.42114735604912</v>
      </c>
      <c r="BL143" s="63">
        <f t="shared" ca="1" si="418"/>
        <v>531.42114735604912</v>
      </c>
      <c r="BM143" s="63">
        <f t="shared" ca="1" si="418"/>
        <v>531.42114735604912</v>
      </c>
      <c r="BN143" s="63">
        <f t="shared" ca="1" si="418"/>
        <v>531.42114735604912</v>
      </c>
      <c r="BO143" s="63">
        <f t="shared" ca="1" si="418"/>
        <v>531.42114735604912</v>
      </c>
      <c r="BP143" s="63">
        <f t="shared" ca="1" si="418"/>
        <v>265.71057367802456</v>
      </c>
      <c r="BQ143" s="63">
        <f t="shared" ca="1" si="418"/>
        <v>0</v>
      </c>
      <c r="BR143" s="63">
        <f t="shared" ca="1" si="418"/>
        <v>0</v>
      </c>
      <c r="BS143" s="63">
        <f t="shared" ca="1" si="418"/>
        <v>0</v>
      </c>
      <c r="BT143" s="63">
        <f t="shared" ca="1" si="418"/>
        <v>0</v>
      </c>
      <c r="BU143" s="63">
        <f t="shared" ref="BU143:DB143" ca="1" si="419">IF($E$143=" ",0,BU105*$E143/12)</f>
        <v>0</v>
      </c>
      <c r="BV143" s="63">
        <f t="shared" ca="1" si="419"/>
        <v>0</v>
      </c>
      <c r="BW143" s="63">
        <f t="shared" ca="1" si="419"/>
        <v>0</v>
      </c>
      <c r="BX143" s="63">
        <f t="shared" ca="1" si="419"/>
        <v>0</v>
      </c>
      <c r="BY143" s="63">
        <f t="shared" ca="1" si="419"/>
        <v>0</v>
      </c>
      <c r="BZ143" s="63">
        <f t="shared" ca="1" si="419"/>
        <v>0</v>
      </c>
      <c r="CA143" s="63">
        <f t="shared" ca="1" si="419"/>
        <v>0</v>
      </c>
      <c r="CB143" s="63">
        <f t="shared" ca="1" si="419"/>
        <v>0</v>
      </c>
      <c r="CC143" s="63">
        <f t="shared" ca="1" si="419"/>
        <v>0</v>
      </c>
      <c r="CD143" s="63">
        <f t="shared" ca="1" si="419"/>
        <v>0</v>
      </c>
      <c r="CE143" s="63">
        <f t="shared" ca="1" si="419"/>
        <v>0</v>
      </c>
      <c r="CF143" s="63">
        <f t="shared" ca="1" si="419"/>
        <v>0</v>
      </c>
      <c r="CG143" s="63">
        <f t="shared" ca="1" si="419"/>
        <v>0</v>
      </c>
      <c r="CH143" s="63">
        <f t="shared" ca="1" si="419"/>
        <v>0</v>
      </c>
      <c r="CI143" s="63">
        <f t="shared" ca="1" si="419"/>
        <v>0</v>
      </c>
      <c r="CJ143" s="63">
        <f t="shared" ca="1" si="419"/>
        <v>0</v>
      </c>
      <c r="CK143" s="63">
        <f t="shared" ca="1" si="419"/>
        <v>0</v>
      </c>
      <c r="CL143" s="63">
        <f t="shared" ca="1" si="419"/>
        <v>0</v>
      </c>
      <c r="CM143" s="63">
        <f t="shared" ca="1" si="419"/>
        <v>0</v>
      </c>
      <c r="CN143" s="63">
        <f t="shared" ca="1" si="419"/>
        <v>0</v>
      </c>
      <c r="CO143" s="63">
        <f t="shared" ca="1" si="419"/>
        <v>0</v>
      </c>
      <c r="CP143" s="63">
        <f t="shared" ca="1" si="419"/>
        <v>0</v>
      </c>
      <c r="CQ143" s="63">
        <f t="shared" ca="1" si="419"/>
        <v>0</v>
      </c>
      <c r="CR143" s="63">
        <f t="shared" ca="1" si="419"/>
        <v>0</v>
      </c>
      <c r="CS143" s="63">
        <f t="shared" ca="1" si="419"/>
        <v>0</v>
      </c>
      <c r="CT143" s="63">
        <f t="shared" ca="1" si="419"/>
        <v>0</v>
      </c>
      <c r="CU143" s="63">
        <f t="shared" ca="1" si="419"/>
        <v>0</v>
      </c>
      <c r="CV143" s="63">
        <f t="shared" ca="1" si="419"/>
        <v>0</v>
      </c>
      <c r="CW143" s="63">
        <f t="shared" ca="1" si="419"/>
        <v>0</v>
      </c>
      <c r="CX143" s="63">
        <f t="shared" ca="1" si="419"/>
        <v>0</v>
      </c>
      <c r="CY143" s="63">
        <f t="shared" ca="1" si="419"/>
        <v>0</v>
      </c>
      <c r="CZ143" s="63">
        <f t="shared" ca="1" si="419"/>
        <v>0</v>
      </c>
      <c r="DA143" s="63">
        <f t="shared" ca="1" si="419"/>
        <v>0</v>
      </c>
      <c r="DB143" s="63">
        <f t="shared" ca="1" si="419"/>
        <v>0</v>
      </c>
    </row>
    <row r="144" spans="3:106" s="63" customFormat="1" outlineLevel="1">
      <c r="D144" s="63" t="s">
        <v>365</v>
      </c>
      <c r="E144" s="270">
        <f>'A&amp;R'!L59</f>
        <v>6.183333333333333E-2</v>
      </c>
      <c r="H144" s="63">
        <f>IF($E$144=" ",0,H120*$E144/12)</f>
        <v>0</v>
      </c>
      <c r="I144" s="63">
        <f t="shared" ref="I144:BT144" si="420">IF($E$144=" ",0,I120*$E144/12)</f>
        <v>0</v>
      </c>
      <c r="J144" s="63">
        <f t="shared" si="420"/>
        <v>0</v>
      </c>
      <c r="K144" s="63">
        <f t="shared" si="420"/>
        <v>0</v>
      </c>
      <c r="L144" s="63">
        <f t="shared" si="420"/>
        <v>0</v>
      </c>
      <c r="M144" s="63">
        <f t="shared" si="420"/>
        <v>0</v>
      </c>
      <c r="N144" s="63">
        <f t="shared" si="420"/>
        <v>0</v>
      </c>
      <c r="O144" s="63">
        <f t="shared" si="420"/>
        <v>0</v>
      </c>
      <c r="P144" s="63">
        <f t="shared" si="420"/>
        <v>0</v>
      </c>
      <c r="Q144" s="63">
        <f t="shared" si="420"/>
        <v>0</v>
      </c>
      <c r="R144" s="63">
        <f t="shared" si="420"/>
        <v>0</v>
      </c>
      <c r="S144" s="63">
        <f t="shared" si="420"/>
        <v>0</v>
      </c>
      <c r="T144" s="63">
        <f t="shared" si="420"/>
        <v>0</v>
      </c>
      <c r="U144" s="63">
        <f t="shared" si="420"/>
        <v>0</v>
      </c>
      <c r="V144" s="63">
        <f t="shared" si="420"/>
        <v>0</v>
      </c>
      <c r="W144" s="63">
        <f t="shared" si="420"/>
        <v>0</v>
      </c>
      <c r="X144" s="63">
        <f t="shared" si="420"/>
        <v>0</v>
      </c>
      <c r="Y144" s="63">
        <f t="shared" si="420"/>
        <v>0</v>
      </c>
      <c r="Z144" s="63">
        <f t="shared" si="420"/>
        <v>0</v>
      </c>
      <c r="AA144" s="63">
        <f t="shared" si="420"/>
        <v>0</v>
      </c>
      <c r="AB144" s="63">
        <f t="shared" si="420"/>
        <v>0</v>
      </c>
      <c r="AC144" s="63">
        <f t="shared" si="420"/>
        <v>0</v>
      </c>
      <c r="AD144" s="63">
        <f t="shared" si="420"/>
        <v>0</v>
      </c>
      <c r="AE144" s="63">
        <f t="shared" si="420"/>
        <v>0</v>
      </c>
      <c r="AF144" s="63">
        <f t="shared" si="420"/>
        <v>25.763888888888886</v>
      </c>
      <c r="AG144" s="63">
        <f t="shared" si="420"/>
        <v>51.527777777777771</v>
      </c>
      <c r="AH144" s="63">
        <f t="shared" si="420"/>
        <v>51.527777777777771</v>
      </c>
      <c r="AI144" s="63">
        <f t="shared" si="420"/>
        <v>51.527777777777771</v>
      </c>
      <c r="AJ144" s="63">
        <f t="shared" si="420"/>
        <v>51.527777777777771</v>
      </c>
      <c r="AK144" s="63">
        <f t="shared" si="420"/>
        <v>51.527777777777771</v>
      </c>
      <c r="AL144" s="63">
        <f t="shared" si="420"/>
        <v>51.527777777777771</v>
      </c>
      <c r="AM144" s="63">
        <f t="shared" si="420"/>
        <v>51.527777777777771</v>
      </c>
      <c r="AN144" s="63">
        <f t="shared" si="420"/>
        <v>51.527777777777771</v>
      </c>
      <c r="AO144" s="63">
        <f t="shared" si="420"/>
        <v>51.527777777777771</v>
      </c>
      <c r="AP144" s="63">
        <f t="shared" si="420"/>
        <v>51.527777777777771</v>
      </c>
      <c r="AQ144" s="63">
        <f t="shared" si="420"/>
        <v>51.527777777777771</v>
      </c>
      <c r="AR144" s="63">
        <f t="shared" si="420"/>
        <v>51.527777777777771</v>
      </c>
      <c r="AS144" s="63">
        <f t="shared" si="420"/>
        <v>51.527777777777771</v>
      </c>
      <c r="AT144" s="63">
        <f t="shared" si="420"/>
        <v>51.527777777777771</v>
      </c>
      <c r="AU144" s="63">
        <f t="shared" si="420"/>
        <v>51.527777777777771</v>
      </c>
      <c r="AV144" s="63">
        <f t="shared" si="420"/>
        <v>51.527777777777771</v>
      </c>
      <c r="AW144" s="63">
        <f t="shared" si="420"/>
        <v>51.527777777777771</v>
      </c>
      <c r="AX144" s="63">
        <f t="shared" si="420"/>
        <v>51.527777777777771</v>
      </c>
      <c r="AY144" s="63">
        <f t="shared" si="420"/>
        <v>51.527777777777771</v>
      </c>
      <c r="AZ144" s="63">
        <f t="shared" si="420"/>
        <v>51.527777777777771</v>
      </c>
      <c r="BA144" s="63">
        <f t="shared" si="420"/>
        <v>51.527777777777771</v>
      </c>
      <c r="BB144" s="63">
        <f t="shared" si="420"/>
        <v>51.527777777777771</v>
      </c>
      <c r="BC144" s="63">
        <f t="shared" si="420"/>
        <v>51.527777777777771</v>
      </c>
      <c r="BD144" s="63">
        <f t="shared" si="420"/>
        <v>51.527777777777771</v>
      </c>
      <c r="BE144" s="63">
        <f t="shared" si="420"/>
        <v>51.527777777777771</v>
      </c>
      <c r="BF144" s="63">
        <f t="shared" si="420"/>
        <v>51.527777777777771</v>
      </c>
      <c r="BG144" s="63">
        <f t="shared" si="420"/>
        <v>51.527777777777771</v>
      </c>
      <c r="BH144" s="63">
        <f t="shared" si="420"/>
        <v>51.527777777777771</v>
      </c>
      <c r="BI144" s="63">
        <f t="shared" si="420"/>
        <v>51.527777777777771</v>
      </c>
      <c r="BJ144" s="63">
        <f t="shared" si="420"/>
        <v>51.527777777777771</v>
      </c>
      <c r="BK144" s="63">
        <f t="shared" si="420"/>
        <v>51.527777777777771</v>
      </c>
      <c r="BL144" s="63">
        <f t="shared" si="420"/>
        <v>51.527777777777771</v>
      </c>
      <c r="BM144" s="63">
        <f t="shared" si="420"/>
        <v>51.527777777777771</v>
      </c>
      <c r="BN144" s="63">
        <f t="shared" si="420"/>
        <v>51.527777777777771</v>
      </c>
      <c r="BO144" s="63">
        <f t="shared" si="420"/>
        <v>51.527777777777771</v>
      </c>
      <c r="BP144" s="63">
        <f t="shared" si="420"/>
        <v>25.763888888888886</v>
      </c>
      <c r="BQ144" s="63">
        <f t="shared" si="420"/>
        <v>0</v>
      </c>
      <c r="BR144" s="63">
        <f t="shared" si="420"/>
        <v>0</v>
      </c>
      <c r="BS144" s="63">
        <f t="shared" si="420"/>
        <v>0</v>
      </c>
      <c r="BT144" s="63">
        <f t="shared" si="420"/>
        <v>0</v>
      </c>
      <c r="BU144" s="63">
        <f t="shared" ref="BU144:DB144" si="421">IF($E$144=" ",0,BU120*$E144/12)</f>
        <v>0</v>
      </c>
      <c r="BV144" s="63">
        <f t="shared" si="421"/>
        <v>0</v>
      </c>
      <c r="BW144" s="63">
        <f t="shared" si="421"/>
        <v>0</v>
      </c>
      <c r="BX144" s="63">
        <f t="shared" si="421"/>
        <v>0</v>
      </c>
      <c r="BY144" s="63">
        <f t="shared" si="421"/>
        <v>0</v>
      </c>
      <c r="BZ144" s="63">
        <f t="shared" si="421"/>
        <v>0</v>
      </c>
      <c r="CA144" s="63">
        <f t="shared" si="421"/>
        <v>0</v>
      </c>
      <c r="CB144" s="63">
        <f t="shared" si="421"/>
        <v>0</v>
      </c>
      <c r="CC144" s="63">
        <f t="shared" si="421"/>
        <v>0</v>
      </c>
      <c r="CD144" s="63">
        <f t="shared" si="421"/>
        <v>0</v>
      </c>
      <c r="CE144" s="63">
        <f t="shared" si="421"/>
        <v>0</v>
      </c>
      <c r="CF144" s="63">
        <f t="shared" si="421"/>
        <v>0</v>
      </c>
      <c r="CG144" s="63">
        <f t="shared" si="421"/>
        <v>0</v>
      </c>
      <c r="CH144" s="63">
        <f t="shared" si="421"/>
        <v>0</v>
      </c>
      <c r="CI144" s="63">
        <f t="shared" si="421"/>
        <v>0</v>
      </c>
      <c r="CJ144" s="63">
        <f t="shared" si="421"/>
        <v>0</v>
      </c>
      <c r="CK144" s="63">
        <f t="shared" si="421"/>
        <v>0</v>
      </c>
      <c r="CL144" s="63">
        <f t="shared" si="421"/>
        <v>0</v>
      </c>
      <c r="CM144" s="63">
        <f t="shared" si="421"/>
        <v>0</v>
      </c>
      <c r="CN144" s="63">
        <f t="shared" si="421"/>
        <v>0</v>
      </c>
      <c r="CO144" s="63">
        <f t="shared" si="421"/>
        <v>0</v>
      </c>
      <c r="CP144" s="63">
        <f t="shared" si="421"/>
        <v>0</v>
      </c>
      <c r="CQ144" s="63">
        <f t="shared" si="421"/>
        <v>0</v>
      </c>
      <c r="CR144" s="63">
        <f t="shared" si="421"/>
        <v>0</v>
      </c>
      <c r="CS144" s="63">
        <f t="shared" si="421"/>
        <v>0</v>
      </c>
      <c r="CT144" s="63">
        <f t="shared" si="421"/>
        <v>0</v>
      </c>
      <c r="CU144" s="63">
        <f t="shared" si="421"/>
        <v>0</v>
      </c>
      <c r="CV144" s="63">
        <f t="shared" si="421"/>
        <v>0</v>
      </c>
      <c r="CW144" s="63">
        <f t="shared" si="421"/>
        <v>0</v>
      </c>
      <c r="CX144" s="63">
        <f t="shared" si="421"/>
        <v>0</v>
      </c>
      <c r="CY144" s="63">
        <f t="shared" si="421"/>
        <v>0</v>
      </c>
      <c r="CZ144" s="63">
        <f t="shared" si="421"/>
        <v>0</v>
      </c>
      <c r="DA144" s="63">
        <f t="shared" si="421"/>
        <v>0</v>
      </c>
      <c r="DB144" s="63">
        <f t="shared" si="421"/>
        <v>0</v>
      </c>
    </row>
    <row r="145" spans="3:106" s="63" customFormat="1" outlineLevel="1">
      <c r="D145" s="63" t="s">
        <v>347</v>
      </c>
      <c r="E145" s="270">
        <f>'A&amp;R'!I60</f>
        <v>0</v>
      </c>
      <c r="H145" s="63">
        <f t="shared" ref="H145:AM145" ca="1" si="422">H135*$E145/12</f>
        <v>0</v>
      </c>
      <c r="I145" s="63">
        <f t="shared" ca="1" si="422"/>
        <v>0</v>
      </c>
      <c r="J145" s="63">
        <f t="shared" ca="1" si="422"/>
        <v>0</v>
      </c>
      <c r="K145" s="63">
        <f t="shared" ca="1" si="422"/>
        <v>0</v>
      </c>
      <c r="L145" s="63">
        <f t="shared" ca="1" si="422"/>
        <v>0</v>
      </c>
      <c r="M145" s="63">
        <f t="shared" ca="1" si="422"/>
        <v>0</v>
      </c>
      <c r="N145" s="63">
        <f t="shared" ca="1" si="422"/>
        <v>0</v>
      </c>
      <c r="O145" s="63">
        <f t="shared" ca="1" si="422"/>
        <v>0</v>
      </c>
      <c r="P145" s="63">
        <f t="shared" ca="1" si="422"/>
        <v>0</v>
      </c>
      <c r="Q145" s="63">
        <f t="shared" ca="1" si="422"/>
        <v>0</v>
      </c>
      <c r="R145" s="63">
        <f t="shared" ca="1" si="422"/>
        <v>0</v>
      </c>
      <c r="S145" s="63">
        <f t="shared" ca="1" si="422"/>
        <v>0</v>
      </c>
      <c r="T145" s="63">
        <f t="shared" ca="1" si="422"/>
        <v>0</v>
      </c>
      <c r="U145" s="63">
        <f t="shared" ca="1" si="422"/>
        <v>0</v>
      </c>
      <c r="V145" s="63">
        <f t="shared" ca="1" si="422"/>
        <v>0</v>
      </c>
      <c r="W145" s="63">
        <f t="shared" ca="1" si="422"/>
        <v>0</v>
      </c>
      <c r="X145" s="63">
        <f t="shared" ca="1" si="422"/>
        <v>0</v>
      </c>
      <c r="Y145" s="63">
        <f t="shared" ca="1" si="422"/>
        <v>0</v>
      </c>
      <c r="Z145" s="63">
        <f t="shared" ca="1" si="422"/>
        <v>0</v>
      </c>
      <c r="AA145" s="63">
        <f t="shared" ca="1" si="422"/>
        <v>0</v>
      </c>
      <c r="AB145" s="63">
        <f t="shared" ca="1" si="422"/>
        <v>0</v>
      </c>
      <c r="AC145" s="63">
        <f t="shared" ca="1" si="422"/>
        <v>0</v>
      </c>
      <c r="AD145" s="63">
        <f t="shared" ca="1" si="422"/>
        <v>0</v>
      </c>
      <c r="AE145" s="63">
        <f t="shared" ca="1" si="422"/>
        <v>0</v>
      </c>
      <c r="AF145" s="63">
        <f t="shared" ca="1" si="422"/>
        <v>0</v>
      </c>
      <c r="AG145" s="63">
        <f t="shared" ca="1" si="422"/>
        <v>0</v>
      </c>
      <c r="AH145" s="63">
        <f t="shared" ca="1" si="422"/>
        <v>0</v>
      </c>
      <c r="AI145" s="63">
        <f t="shared" ca="1" si="422"/>
        <v>0</v>
      </c>
      <c r="AJ145" s="63">
        <f t="shared" ca="1" si="422"/>
        <v>0</v>
      </c>
      <c r="AK145" s="63">
        <f t="shared" ca="1" si="422"/>
        <v>0</v>
      </c>
      <c r="AL145" s="63">
        <f t="shared" ca="1" si="422"/>
        <v>0</v>
      </c>
      <c r="AM145" s="63">
        <f t="shared" ca="1" si="422"/>
        <v>0</v>
      </c>
      <c r="AN145" s="63">
        <f t="shared" ref="AN145:BS145" ca="1" si="423">AN135*$E145/12</f>
        <v>0</v>
      </c>
      <c r="AO145" s="63">
        <f t="shared" ca="1" si="423"/>
        <v>0</v>
      </c>
      <c r="AP145" s="63">
        <f t="shared" ca="1" si="423"/>
        <v>0</v>
      </c>
      <c r="AQ145" s="63">
        <f t="shared" ca="1" si="423"/>
        <v>0</v>
      </c>
      <c r="AR145" s="63">
        <f t="shared" ca="1" si="423"/>
        <v>0</v>
      </c>
      <c r="AS145" s="63">
        <f t="shared" ca="1" si="423"/>
        <v>0</v>
      </c>
      <c r="AT145" s="63">
        <f t="shared" ca="1" si="423"/>
        <v>0</v>
      </c>
      <c r="AU145" s="63">
        <f t="shared" ca="1" si="423"/>
        <v>0</v>
      </c>
      <c r="AV145" s="63">
        <f t="shared" ca="1" si="423"/>
        <v>0</v>
      </c>
      <c r="AW145" s="63">
        <f t="shared" ca="1" si="423"/>
        <v>0</v>
      </c>
      <c r="AX145" s="63">
        <f t="shared" ca="1" si="423"/>
        <v>0</v>
      </c>
      <c r="AY145" s="63">
        <f t="shared" ca="1" si="423"/>
        <v>0</v>
      </c>
      <c r="AZ145" s="63">
        <f t="shared" ca="1" si="423"/>
        <v>0</v>
      </c>
      <c r="BA145" s="63">
        <f t="shared" ca="1" si="423"/>
        <v>0</v>
      </c>
      <c r="BB145" s="63">
        <f t="shared" ca="1" si="423"/>
        <v>0</v>
      </c>
      <c r="BC145" s="63">
        <f t="shared" ca="1" si="423"/>
        <v>0</v>
      </c>
      <c r="BD145" s="63">
        <f t="shared" ca="1" si="423"/>
        <v>0</v>
      </c>
      <c r="BE145" s="63">
        <f t="shared" ca="1" si="423"/>
        <v>0</v>
      </c>
      <c r="BF145" s="63">
        <f t="shared" ca="1" si="423"/>
        <v>0</v>
      </c>
      <c r="BG145" s="63">
        <f t="shared" ca="1" si="423"/>
        <v>0</v>
      </c>
      <c r="BH145" s="63">
        <f t="shared" ca="1" si="423"/>
        <v>0</v>
      </c>
      <c r="BI145" s="63">
        <f t="shared" ca="1" si="423"/>
        <v>0</v>
      </c>
      <c r="BJ145" s="63">
        <f t="shared" ca="1" si="423"/>
        <v>0</v>
      </c>
      <c r="BK145" s="63">
        <f t="shared" ca="1" si="423"/>
        <v>0</v>
      </c>
      <c r="BL145" s="63">
        <f t="shared" ca="1" si="423"/>
        <v>0</v>
      </c>
      <c r="BM145" s="63">
        <f t="shared" ca="1" si="423"/>
        <v>0</v>
      </c>
      <c r="BN145" s="63">
        <f t="shared" ca="1" si="423"/>
        <v>0</v>
      </c>
      <c r="BO145" s="63">
        <f t="shared" ca="1" si="423"/>
        <v>0</v>
      </c>
      <c r="BP145" s="63">
        <f t="shared" ca="1" si="423"/>
        <v>0</v>
      </c>
      <c r="BQ145" s="63">
        <f t="shared" ca="1" si="423"/>
        <v>0</v>
      </c>
      <c r="BR145" s="63">
        <f t="shared" ca="1" si="423"/>
        <v>0</v>
      </c>
      <c r="BS145" s="63">
        <f t="shared" ca="1" si="423"/>
        <v>0</v>
      </c>
      <c r="BT145" s="63">
        <f t="shared" ref="BT145:DB145" ca="1" si="424">BT135*$E145/12</f>
        <v>0</v>
      </c>
      <c r="BU145" s="63">
        <f t="shared" ca="1" si="424"/>
        <v>0</v>
      </c>
      <c r="BV145" s="63">
        <f t="shared" ca="1" si="424"/>
        <v>0</v>
      </c>
      <c r="BW145" s="63">
        <f t="shared" ca="1" si="424"/>
        <v>0</v>
      </c>
      <c r="BX145" s="63">
        <f t="shared" ca="1" si="424"/>
        <v>0</v>
      </c>
      <c r="BY145" s="63">
        <f t="shared" ca="1" si="424"/>
        <v>0</v>
      </c>
      <c r="BZ145" s="63">
        <f t="shared" ca="1" si="424"/>
        <v>0</v>
      </c>
      <c r="CA145" s="63">
        <f t="shared" ca="1" si="424"/>
        <v>0</v>
      </c>
      <c r="CB145" s="63">
        <f t="shared" ca="1" si="424"/>
        <v>0</v>
      </c>
      <c r="CC145" s="63">
        <f t="shared" ca="1" si="424"/>
        <v>0</v>
      </c>
      <c r="CD145" s="63">
        <f t="shared" ca="1" si="424"/>
        <v>0</v>
      </c>
      <c r="CE145" s="63">
        <f t="shared" ca="1" si="424"/>
        <v>0</v>
      </c>
      <c r="CF145" s="63">
        <f t="shared" ca="1" si="424"/>
        <v>0</v>
      </c>
      <c r="CG145" s="63">
        <f t="shared" ca="1" si="424"/>
        <v>0</v>
      </c>
      <c r="CH145" s="63">
        <f t="shared" ca="1" si="424"/>
        <v>0</v>
      </c>
      <c r="CI145" s="63">
        <f t="shared" ca="1" si="424"/>
        <v>0</v>
      </c>
      <c r="CJ145" s="63">
        <f t="shared" ca="1" si="424"/>
        <v>0</v>
      </c>
      <c r="CK145" s="63">
        <f t="shared" ca="1" si="424"/>
        <v>0</v>
      </c>
      <c r="CL145" s="63">
        <f t="shared" ca="1" si="424"/>
        <v>0</v>
      </c>
      <c r="CM145" s="63">
        <f t="shared" ca="1" si="424"/>
        <v>0</v>
      </c>
      <c r="CN145" s="63">
        <f t="shared" ca="1" si="424"/>
        <v>0</v>
      </c>
      <c r="CO145" s="63">
        <f t="shared" ca="1" si="424"/>
        <v>0</v>
      </c>
      <c r="CP145" s="63">
        <f t="shared" ca="1" si="424"/>
        <v>0</v>
      </c>
      <c r="CQ145" s="63">
        <f t="shared" ca="1" si="424"/>
        <v>0</v>
      </c>
      <c r="CR145" s="63">
        <f t="shared" ca="1" si="424"/>
        <v>0</v>
      </c>
      <c r="CS145" s="63">
        <f t="shared" ca="1" si="424"/>
        <v>0</v>
      </c>
      <c r="CT145" s="63">
        <f t="shared" ca="1" si="424"/>
        <v>0</v>
      </c>
      <c r="CU145" s="63">
        <f t="shared" ca="1" si="424"/>
        <v>0</v>
      </c>
      <c r="CV145" s="63">
        <f t="shared" ca="1" si="424"/>
        <v>0</v>
      </c>
      <c r="CW145" s="63">
        <f t="shared" ca="1" si="424"/>
        <v>0</v>
      </c>
      <c r="CX145" s="63">
        <f t="shared" ca="1" si="424"/>
        <v>0</v>
      </c>
      <c r="CY145" s="63">
        <f t="shared" ca="1" si="424"/>
        <v>0</v>
      </c>
      <c r="CZ145" s="63">
        <f t="shared" ca="1" si="424"/>
        <v>0</v>
      </c>
      <c r="DA145" s="63">
        <f t="shared" ca="1" si="424"/>
        <v>0</v>
      </c>
      <c r="DB145" s="63">
        <f t="shared" ca="1" si="424"/>
        <v>0</v>
      </c>
    </row>
    <row r="146" spans="3:106" s="63" customFormat="1" outlineLevel="1">
      <c r="D146" s="279" t="s">
        <v>354</v>
      </c>
      <c r="E146" s="279"/>
      <c r="F146" s="279"/>
      <c r="G146" s="279"/>
      <c r="H146" s="279">
        <f t="shared" ref="H146:AM146" ca="1" si="425">SUM(H141:H145)</f>
        <v>307.87058402774289</v>
      </c>
      <c r="I146" s="279">
        <f t="shared" ca="1" si="425"/>
        <v>615.74116805548579</v>
      </c>
      <c r="J146" s="279">
        <f t="shared" ca="1" si="425"/>
        <v>615.74116805548579</v>
      </c>
      <c r="K146" s="279">
        <f t="shared" ca="1" si="425"/>
        <v>615.74116805548579</v>
      </c>
      <c r="L146" s="279">
        <f t="shared" ca="1" si="425"/>
        <v>615.74116805548579</v>
      </c>
      <c r="M146" s="279">
        <f t="shared" ca="1" si="425"/>
        <v>615.74116805548579</v>
      </c>
      <c r="N146" s="279">
        <f t="shared" ca="1" si="425"/>
        <v>615.74116805548579</v>
      </c>
      <c r="O146" s="279">
        <f t="shared" ca="1" si="425"/>
        <v>615.74116805548579</v>
      </c>
      <c r="P146" s="279">
        <f t="shared" ca="1" si="425"/>
        <v>615.74116805548579</v>
      </c>
      <c r="Q146" s="279">
        <f t="shared" ca="1" si="425"/>
        <v>615.74116805548579</v>
      </c>
      <c r="R146" s="279">
        <f t="shared" ca="1" si="425"/>
        <v>615.74116805548579</v>
      </c>
      <c r="S146" s="279">
        <f t="shared" ca="1" si="425"/>
        <v>615.74116805548579</v>
      </c>
      <c r="T146" s="279">
        <f t="shared" ca="1" si="425"/>
        <v>615.74116805548579</v>
      </c>
      <c r="U146" s="279">
        <f t="shared" ca="1" si="425"/>
        <v>615.74116805548579</v>
      </c>
      <c r="V146" s="279">
        <f t="shared" ca="1" si="425"/>
        <v>615.74116805548579</v>
      </c>
      <c r="W146" s="279">
        <f t="shared" ca="1" si="425"/>
        <v>615.74116805548579</v>
      </c>
      <c r="X146" s="279">
        <f t="shared" ca="1" si="425"/>
        <v>615.74116805548579</v>
      </c>
      <c r="Y146" s="279">
        <f t="shared" ca="1" si="425"/>
        <v>615.74116805548579</v>
      </c>
      <c r="Z146" s="279">
        <f t="shared" ca="1" si="425"/>
        <v>615.74116805548579</v>
      </c>
      <c r="AA146" s="279">
        <f t="shared" ca="1" si="425"/>
        <v>615.74116805548579</v>
      </c>
      <c r="AB146" s="279">
        <f t="shared" ca="1" si="425"/>
        <v>615.74116805548579</v>
      </c>
      <c r="AC146" s="279">
        <f t="shared" ca="1" si="425"/>
        <v>615.74116805548579</v>
      </c>
      <c r="AD146" s="279">
        <f t="shared" ca="1" si="425"/>
        <v>615.74116805548579</v>
      </c>
      <c r="AE146" s="279">
        <f t="shared" ca="1" si="425"/>
        <v>615.74116805548579</v>
      </c>
      <c r="AF146" s="279">
        <f t="shared" ca="1" si="425"/>
        <v>614.71339027770796</v>
      </c>
      <c r="AG146" s="279">
        <f t="shared" ca="1" si="425"/>
        <v>613.68561249993013</v>
      </c>
      <c r="AH146" s="279">
        <f t="shared" ca="1" si="425"/>
        <v>613.68561249993013</v>
      </c>
      <c r="AI146" s="279">
        <f t="shared" ca="1" si="425"/>
        <v>613.68561249993013</v>
      </c>
      <c r="AJ146" s="279">
        <f t="shared" ca="1" si="425"/>
        <v>613.68561249993013</v>
      </c>
      <c r="AK146" s="279">
        <f t="shared" ca="1" si="425"/>
        <v>613.68561249993013</v>
      </c>
      <c r="AL146" s="279">
        <f t="shared" ca="1" si="425"/>
        <v>613.68561249993013</v>
      </c>
      <c r="AM146" s="279">
        <f t="shared" ca="1" si="425"/>
        <v>613.68561249993013</v>
      </c>
      <c r="AN146" s="279">
        <f t="shared" ref="AN146:BS146" ca="1" si="426">SUM(AN141:AN145)</f>
        <v>613.68561249993013</v>
      </c>
      <c r="AO146" s="279">
        <f t="shared" ca="1" si="426"/>
        <v>613.68561249993013</v>
      </c>
      <c r="AP146" s="279">
        <f t="shared" ca="1" si="426"/>
        <v>613.68561249993013</v>
      </c>
      <c r="AQ146" s="279">
        <f t="shared" ca="1" si="426"/>
        <v>613.68561249993013</v>
      </c>
      <c r="AR146" s="279">
        <f t="shared" ca="1" si="426"/>
        <v>598.3172688168786</v>
      </c>
      <c r="AS146" s="279">
        <f t="shared" ca="1" si="426"/>
        <v>582.94892513382683</v>
      </c>
      <c r="AT146" s="279">
        <f t="shared" ca="1" si="426"/>
        <v>582.94892513382683</v>
      </c>
      <c r="AU146" s="279">
        <f t="shared" ca="1" si="426"/>
        <v>582.94892513382683</v>
      </c>
      <c r="AV146" s="279">
        <f t="shared" ca="1" si="426"/>
        <v>582.94892513382683</v>
      </c>
      <c r="AW146" s="279">
        <f t="shared" ca="1" si="426"/>
        <v>582.94892513382683</v>
      </c>
      <c r="AX146" s="279">
        <f t="shared" ca="1" si="426"/>
        <v>582.94892513382683</v>
      </c>
      <c r="AY146" s="279">
        <f t="shared" ca="1" si="426"/>
        <v>582.94892513382683</v>
      </c>
      <c r="AZ146" s="279">
        <f t="shared" ca="1" si="426"/>
        <v>582.94892513382683</v>
      </c>
      <c r="BA146" s="279">
        <f t="shared" ca="1" si="426"/>
        <v>582.94892513382683</v>
      </c>
      <c r="BB146" s="279">
        <f t="shared" ca="1" si="426"/>
        <v>582.94892513382683</v>
      </c>
      <c r="BC146" s="279">
        <f t="shared" ca="1" si="426"/>
        <v>582.94892513382683</v>
      </c>
      <c r="BD146" s="279">
        <f t="shared" ca="1" si="426"/>
        <v>582.94892513382683</v>
      </c>
      <c r="BE146" s="279">
        <f t="shared" ca="1" si="426"/>
        <v>582.94892513382683</v>
      </c>
      <c r="BF146" s="279">
        <f t="shared" ca="1" si="426"/>
        <v>582.94892513382683</v>
      </c>
      <c r="BG146" s="279">
        <f t="shared" ca="1" si="426"/>
        <v>582.94892513382683</v>
      </c>
      <c r="BH146" s="279">
        <f t="shared" ca="1" si="426"/>
        <v>582.94892513382683</v>
      </c>
      <c r="BI146" s="279">
        <f t="shared" ca="1" si="426"/>
        <v>582.94892513382683</v>
      </c>
      <c r="BJ146" s="279">
        <f t="shared" ca="1" si="426"/>
        <v>582.94892513382683</v>
      </c>
      <c r="BK146" s="279">
        <f t="shared" ca="1" si="426"/>
        <v>582.94892513382683</v>
      </c>
      <c r="BL146" s="279">
        <f t="shared" ca="1" si="426"/>
        <v>582.94892513382683</v>
      </c>
      <c r="BM146" s="279">
        <f t="shared" ca="1" si="426"/>
        <v>582.94892513382683</v>
      </c>
      <c r="BN146" s="279">
        <f t="shared" ca="1" si="426"/>
        <v>582.94892513382683</v>
      </c>
      <c r="BO146" s="279">
        <f t="shared" ca="1" si="426"/>
        <v>582.94892513382683</v>
      </c>
      <c r="BP146" s="279">
        <f t="shared" ca="1" si="426"/>
        <v>291.47446256691342</v>
      </c>
      <c r="BQ146" s="279">
        <f t="shared" ca="1" si="426"/>
        <v>0</v>
      </c>
      <c r="BR146" s="279">
        <f t="shared" ca="1" si="426"/>
        <v>0</v>
      </c>
      <c r="BS146" s="279">
        <f t="shared" ca="1" si="426"/>
        <v>0</v>
      </c>
      <c r="BT146" s="279">
        <f t="shared" ref="BT146:CY146" ca="1" si="427">SUM(BT141:BT145)</f>
        <v>0</v>
      </c>
      <c r="BU146" s="279">
        <f t="shared" ca="1" si="427"/>
        <v>0</v>
      </c>
      <c r="BV146" s="279">
        <f t="shared" ca="1" si="427"/>
        <v>0</v>
      </c>
      <c r="BW146" s="279">
        <f t="shared" ca="1" si="427"/>
        <v>0</v>
      </c>
      <c r="BX146" s="279">
        <f t="shared" ca="1" si="427"/>
        <v>0</v>
      </c>
      <c r="BY146" s="279">
        <f t="shared" ca="1" si="427"/>
        <v>0</v>
      </c>
      <c r="BZ146" s="279">
        <f t="shared" ca="1" si="427"/>
        <v>0</v>
      </c>
      <c r="CA146" s="279">
        <f t="shared" ca="1" si="427"/>
        <v>0</v>
      </c>
      <c r="CB146" s="279">
        <f t="shared" ca="1" si="427"/>
        <v>0</v>
      </c>
      <c r="CC146" s="279">
        <f t="shared" ca="1" si="427"/>
        <v>0</v>
      </c>
      <c r="CD146" s="279">
        <f t="shared" ca="1" si="427"/>
        <v>0</v>
      </c>
      <c r="CE146" s="279">
        <f t="shared" ca="1" si="427"/>
        <v>0</v>
      </c>
      <c r="CF146" s="279">
        <f t="shared" ca="1" si="427"/>
        <v>0</v>
      </c>
      <c r="CG146" s="279">
        <f t="shared" ca="1" si="427"/>
        <v>0</v>
      </c>
      <c r="CH146" s="279">
        <f t="shared" ca="1" si="427"/>
        <v>0</v>
      </c>
      <c r="CI146" s="279">
        <f t="shared" ca="1" si="427"/>
        <v>0</v>
      </c>
      <c r="CJ146" s="279">
        <f t="shared" ca="1" si="427"/>
        <v>0</v>
      </c>
      <c r="CK146" s="279">
        <f t="shared" ca="1" si="427"/>
        <v>0</v>
      </c>
      <c r="CL146" s="279">
        <f t="shared" ca="1" si="427"/>
        <v>0</v>
      </c>
      <c r="CM146" s="279">
        <f t="shared" ca="1" si="427"/>
        <v>0</v>
      </c>
      <c r="CN146" s="279">
        <f t="shared" ca="1" si="427"/>
        <v>0</v>
      </c>
      <c r="CO146" s="279">
        <f t="shared" ca="1" si="427"/>
        <v>0</v>
      </c>
      <c r="CP146" s="279">
        <f t="shared" ca="1" si="427"/>
        <v>0</v>
      </c>
      <c r="CQ146" s="279">
        <f t="shared" ca="1" si="427"/>
        <v>0</v>
      </c>
      <c r="CR146" s="279">
        <f t="shared" ca="1" si="427"/>
        <v>0</v>
      </c>
      <c r="CS146" s="279">
        <f t="shared" ca="1" si="427"/>
        <v>0</v>
      </c>
      <c r="CT146" s="279">
        <f t="shared" ca="1" si="427"/>
        <v>0</v>
      </c>
      <c r="CU146" s="279">
        <f t="shared" ca="1" si="427"/>
        <v>0</v>
      </c>
      <c r="CV146" s="279">
        <f t="shared" ca="1" si="427"/>
        <v>0</v>
      </c>
      <c r="CW146" s="279">
        <f t="shared" ca="1" si="427"/>
        <v>0</v>
      </c>
      <c r="CX146" s="279">
        <f t="shared" ca="1" si="427"/>
        <v>0</v>
      </c>
      <c r="CY146" s="279">
        <f t="shared" ca="1" si="427"/>
        <v>0</v>
      </c>
      <c r="CZ146" s="279">
        <f t="shared" ref="CZ146:DB146" ca="1" si="428">SUM(CZ141:CZ145)</f>
        <v>0</v>
      </c>
      <c r="DA146" s="279">
        <f t="shared" ca="1" si="428"/>
        <v>0</v>
      </c>
      <c r="DB146" s="279">
        <f t="shared" ca="1" si="428"/>
        <v>0</v>
      </c>
    </row>
    <row r="147" spans="3:106" outlineLevel="1"/>
    <row r="148" spans="3:106">
      <c r="C148" s="2" t="s">
        <v>360</v>
      </c>
    </row>
    <row r="149" spans="3:106" hidden="1" outlineLevel="1">
      <c r="E149" s="272" t="s">
        <v>362</v>
      </c>
      <c r="F149" s="273">
        <f>acq</f>
        <v>45688</v>
      </c>
    </row>
    <row r="150" spans="3:106" hidden="1" outlineLevel="1">
      <c r="E150" s="274" t="s">
        <v>361</v>
      </c>
      <c r="F150" s="275">
        <f>exit</f>
        <v>47514</v>
      </c>
    </row>
    <row r="151" spans="3:106" hidden="1" outlineLevel="1">
      <c r="E151" s="276" t="s">
        <v>152</v>
      </c>
      <c r="F151" s="277">
        <f>'A&amp;R'!K52</f>
        <v>6</v>
      </c>
    </row>
    <row r="152" spans="3:106" s="63" customFormat="1" hidden="1" outlineLevel="1">
      <c r="F152" s="63" t="s">
        <v>338</v>
      </c>
      <c r="H152" s="63">
        <f t="shared" ref="H152:AM152" si="429">(H$14&gt;=$F$149)*(H$14&lt;=$F$150)*1</f>
        <v>1</v>
      </c>
      <c r="I152" s="63">
        <f t="shared" si="429"/>
        <v>1</v>
      </c>
      <c r="J152" s="63">
        <f t="shared" si="429"/>
        <v>1</v>
      </c>
      <c r="K152" s="63">
        <f t="shared" si="429"/>
        <v>1</v>
      </c>
      <c r="L152" s="63">
        <f t="shared" si="429"/>
        <v>1</v>
      </c>
      <c r="M152" s="63">
        <f t="shared" si="429"/>
        <v>1</v>
      </c>
      <c r="N152" s="63">
        <f t="shared" si="429"/>
        <v>1</v>
      </c>
      <c r="O152" s="63">
        <f t="shared" si="429"/>
        <v>1</v>
      </c>
      <c r="P152" s="63">
        <f t="shared" si="429"/>
        <v>1</v>
      </c>
      <c r="Q152" s="63">
        <f t="shared" si="429"/>
        <v>1</v>
      </c>
      <c r="R152" s="63">
        <f t="shared" si="429"/>
        <v>1</v>
      </c>
      <c r="S152" s="63">
        <f t="shared" si="429"/>
        <v>1</v>
      </c>
      <c r="T152" s="63">
        <f t="shared" si="429"/>
        <v>1</v>
      </c>
      <c r="U152" s="63">
        <f t="shared" si="429"/>
        <v>1</v>
      </c>
      <c r="V152" s="63">
        <f t="shared" si="429"/>
        <v>1</v>
      </c>
      <c r="W152" s="63">
        <f t="shared" si="429"/>
        <v>1</v>
      </c>
      <c r="X152" s="63">
        <f t="shared" si="429"/>
        <v>1</v>
      </c>
      <c r="Y152" s="63">
        <f t="shared" si="429"/>
        <v>1</v>
      </c>
      <c r="Z152" s="63">
        <f t="shared" si="429"/>
        <v>1</v>
      </c>
      <c r="AA152" s="63">
        <f t="shared" si="429"/>
        <v>1</v>
      </c>
      <c r="AB152" s="63">
        <f t="shared" si="429"/>
        <v>1</v>
      </c>
      <c r="AC152" s="63">
        <f t="shared" si="429"/>
        <v>1</v>
      </c>
      <c r="AD152" s="63">
        <f t="shared" si="429"/>
        <v>1</v>
      </c>
      <c r="AE152" s="63">
        <f t="shared" si="429"/>
        <v>1</v>
      </c>
      <c r="AF152" s="63">
        <f t="shared" si="429"/>
        <v>1</v>
      </c>
      <c r="AG152" s="63">
        <f t="shared" si="429"/>
        <v>1</v>
      </c>
      <c r="AH152" s="63">
        <f t="shared" si="429"/>
        <v>1</v>
      </c>
      <c r="AI152" s="63">
        <f t="shared" si="429"/>
        <v>1</v>
      </c>
      <c r="AJ152" s="63">
        <f t="shared" si="429"/>
        <v>1</v>
      </c>
      <c r="AK152" s="63">
        <f t="shared" si="429"/>
        <v>1</v>
      </c>
      <c r="AL152" s="63">
        <f t="shared" si="429"/>
        <v>1</v>
      </c>
      <c r="AM152" s="63">
        <f t="shared" si="429"/>
        <v>1</v>
      </c>
      <c r="AN152" s="63">
        <f t="shared" ref="AN152:BS152" si="430">(AN$14&gt;=$F$149)*(AN$14&lt;=$F$150)*1</f>
        <v>1</v>
      </c>
      <c r="AO152" s="63">
        <f t="shared" si="430"/>
        <v>1</v>
      </c>
      <c r="AP152" s="63">
        <f t="shared" si="430"/>
        <v>1</v>
      </c>
      <c r="AQ152" s="63">
        <f t="shared" si="430"/>
        <v>1</v>
      </c>
      <c r="AR152" s="63">
        <f t="shared" si="430"/>
        <v>1</v>
      </c>
      <c r="AS152" s="63">
        <f t="shared" si="430"/>
        <v>1</v>
      </c>
      <c r="AT152" s="63">
        <f t="shared" si="430"/>
        <v>1</v>
      </c>
      <c r="AU152" s="63">
        <f t="shared" si="430"/>
        <v>1</v>
      </c>
      <c r="AV152" s="63">
        <f t="shared" si="430"/>
        <v>1</v>
      </c>
      <c r="AW152" s="63">
        <f t="shared" si="430"/>
        <v>1</v>
      </c>
      <c r="AX152" s="63">
        <f t="shared" si="430"/>
        <v>1</v>
      </c>
      <c r="AY152" s="63">
        <f t="shared" si="430"/>
        <v>1</v>
      </c>
      <c r="AZ152" s="63">
        <f t="shared" si="430"/>
        <v>1</v>
      </c>
      <c r="BA152" s="63">
        <f t="shared" si="430"/>
        <v>1</v>
      </c>
      <c r="BB152" s="63">
        <f t="shared" si="430"/>
        <v>1</v>
      </c>
      <c r="BC152" s="63">
        <f t="shared" si="430"/>
        <v>1</v>
      </c>
      <c r="BD152" s="63">
        <f t="shared" si="430"/>
        <v>1</v>
      </c>
      <c r="BE152" s="63">
        <f t="shared" si="430"/>
        <v>1</v>
      </c>
      <c r="BF152" s="63">
        <f t="shared" si="430"/>
        <v>1</v>
      </c>
      <c r="BG152" s="63">
        <f t="shared" si="430"/>
        <v>1</v>
      </c>
      <c r="BH152" s="63">
        <f t="shared" si="430"/>
        <v>1</v>
      </c>
      <c r="BI152" s="63">
        <f t="shared" si="430"/>
        <v>1</v>
      </c>
      <c r="BJ152" s="63">
        <f t="shared" si="430"/>
        <v>1</v>
      </c>
      <c r="BK152" s="63">
        <f t="shared" si="430"/>
        <v>1</v>
      </c>
      <c r="BL152" s="63">
        <f t="shared" si="430"/>
        <v>1</v>
      </c>
      <c r="BM152" s="63">
        <f t="shared" si="430"/>
        <v>1</v>
      </c>
      <c r="BN152" s="63">
        <f t="shared" si="430"/>
        <v>1</v>
      </c>
      <c r="BO152" s="63">
        <f t="shared" si="430"/>
        <v>1</v>
      </c>
      <c r="BP152" s="63">
        <f t="shared" si="430"/>
        <v>1</v>
      </c>
      <c r="BQ152" s="63">
        <f t="shared" si="430"/>
        <v>0</v>
      </c>
      <c r="BR152" s="63">
        <f t="shared" si="430"/>
        <v>0</v>
      </c>
      <c r="BS152" s="63">
        <f t="shared" si="430"/>
        <v>0</v>
      </c>
      <c r="BT152" s="63">
        <f t="shared" ref="BT152:DB152" si="431">(BT$14&gt;=$F$149)*(BT$14&lt;=$F$150)*1</f>
        <v>0</v>
      </c>
      <c r="BU152" s="63">
        <f t="shared" si="431"/>
        <v>0</v>
      </c>
      <c r="BV152" s="63">
        <f t="shared" si="431"/>
        <v>0</v>
      </c>
      <c r="BW152" s="63">
        <f t="shared" si="431"/>
        <v>0</v>
      </c>
      <c r="BX152" s="63">
        <f t="shared" si="431"/>
        <v>0</v>
      </c>
      <c r="BY152" s="63">
        <f t="shared" si="431"/>
        <v>0</v>
      </c>
      <c r="BZ152" s="63">
        <f t="shared" si="431"/>
        <v>0</v>
      </c>
      <c r="CA152" s="63">
        <f t="shared" si="431"/>
        <v>0</v>
      </c>
      <c r="CB152" s="63">
        <f t="shared" si="431"/>
        <v>0</v>
      </c>
      <c r="CC152" s="63">
        <f t="shared" si="431"/>
        <v>0</v>
      </c>
      <c r="CD152" s="63">
        <f t="shared" si="431"/>
        <v>0</v>
      </c>
      <c r="CE152" s="63">
        <f t="shared" si="431"/>
        <v>0</v>
      </c>
      <c r="CF152" s="63">
        <f t="shared" si="431"/>
        <v>0</v>
      </c>
      <c r="CG152" s="63">
        <f t="shared" si="431"/>
        <v>0</v>
      </c>
      <c r="CH152" s="63">
        <f t="shared" si="431"/>
        <v>0</v>
      </c>
      <c r="CI152" s="63">
        <f t="shared" si="431"/>
        <v>0</v>
      </c>
      <c r="CJ152" s="63">
        <f t="shared" si="431"/>
        <v>0</v>
      </c>
      <c r="CK152" s="63">
        <f t="shared" si="431"/>
        <v>0</v>
      </c>
      <c r="CL152" s="63">
        <f t="shared" si="431"/>
        <v>0</v>
      </c>
      <c r="CM152" s="63">
        <f t="shared" si="431"/>
        <v>0</v>
      </c>
      <c r="CN152" s="63">
        <f t="shared" si="431"/>
        <v>0</v>
      </c>
      <c r="CO152" s="63">
        <f t="shared" si="431"/>
        <v>0</v>
      </c>
      <c r="CP152" s="63">
        <f t="shared" si="431"/>
        <v>0</v>
      </c>
      <c r="CQ152" s="63">
        <f t="shared" si="431"/>
        <v>0</v>
      </c>
      <c r="CR152" s="63">
        <f t="shared" si="431"/>
        <v>0</v>
      </c>
      <c r="CS152" s="63">
        <f t="shared" si="431"/>
        <v>0</v>
      </c>
      <c r="CT152" s="63">
        <f t="shared" si="431"/>
        <v>0</v>
      </c>
      <c r="CU152" s="63">
        <f t="shared" si="431"/>
        <v>0</v>
      </c>
      <c r="CV152" s="63">
        <f t="shared" si="431"/>
        <v>0</v>
      </c>
      <c r="CW152" s="63">
        <f t="shared" si="431"/>
        <v>0</v>
      </c>
      <c r="CX152" s="63">
        <f t="shared" si="431"/>
        <v>0</v>
      </c>
      <c r="CY152" s="63">
        <f t="shared" si="431"/>
        <v>0</v>
      </c>
      <c r="CZ152" s="63">
        <f t="shared" si="431"/>
        <v>0</v>
      </c>
      <c r="DA152" s="63">
        <f t="shared" si="431"/>
        <v>0</v>
      </c>
      <c r="DB152" s="63">
        <f t="shared" si="431"/>
        <v>0</v>
      </c>
    </row>
    <row r="153" spans="3:106" s="63" customFormat="1" hidden="1" outlineLevel="1">
      <c r="F153" s="63" t="s">
        <v>339</v>
      </c>
      <c r="H153" s="63">
        <f>SUM($H$152:H$152)*H$152</f>
        <v>1</v>
      </c>
      <c r="I153" s="63">
        <f>SUM($H$152:I$152)*I$152</f>
        <v>2</v>
      </c>
      <c r="J153" s="63">
        <f>SUM($H$152:J$152)*J$152</f>
        <v>3</v>
      </c>
      <c r="K153" s="63">
        <f>SUM($H$152:K$152)*K$152</f>
        <v>4</v>
      </c>
      <c r="L153" s="63">
        <f>SUM($H$152:L$152)*L$152</f>
        <v>5</v>
      </c>
      <c r="M153" s="63">
        <f>SUM($H$152:M$152)*M$152</f>
        <v>6</v>
      </c>
      <c r="N153" s="63">
        <f>SUM($H$152:N$152)*N$152</f>
        <v>7</v>
      </c>
      <c r="O153" s="63">
        <f>SUM($H$152:O$152)*O$152</f>
        <v>8</v>
      </c>
      <c r="P153" s="63">
        <f>SUM($H$152:P$152)*P$152</f>
        <v>9</v>
      </c>
      <c r="Q153" s="63">
        <f>SUM($H$152:Q$152)*Q$152</f>
        <v>10</v>
      </c>
      <c r="R153" s="63">
        <f>SUM($H$152:R$152)*R$152</f>
        <v>11</v>
      </c>
      <c r="S153" s="63">
        <f>SUM($H$152:S$152)*S$152</f>
        <v>12</v>
      </c>
      <c r="T153" s="63">
        <f>SUM($H$152:T$152)*T$152</f>
        <v>13</v>
      </c>
      <c r="U153" s="63">
        <f>SUM($H$152:U$152)*U$152</f>
        <v>14</v>
      </c>
      <c r="V153" s="63">
        <f>SUM($H$152:V$152)*V$152</f>
        <v>15</v>
      </c>
      <c r="W153" s="63">
        <f>SUM($H$152:W$152)*W$152</f>
        <v>16</v>
      </c>
      <c r="X153" s="63">
        <f>SUM($H$152:X$152)*X$152</f>
        <v>17</v>
      </c>
      <c r="Y153" s="63">
        <f>SUM($H$152:Y$152)*Y$152</f>
        <v>18</v>
      </c>
      <c r="Z153" s="63">
        <f>SUM($H$152:Z$152)*Z$152</f>
        <v>19</v>
      </c>
      <c r="AA153" s="63">
        <f>SUM($H$152:AA$152)*AA$152</f>
        <v>20</v>
      </c>
      <c r="AB153" s="63">
        <f>SUM($H$152:AB$152)*AB$152</f>
        <v>21</v>
      </c>
      <c r="AC153" s="63">
        <f>SUM($H$152:AC$152)*AC$152</f>
        <v>22</v>
      </c>
      <c r="AD153" s="63">
        <f>SUM($H$152:AD$152)*AD$152</f>
        <v>23</v>
      </c>
      <c r="AE153" s="63">
        <f>SUM($H$152:AE$152)*AE$152</f>
        <v>24</v>
      </c>
      <c r="AF153" s="63">
        <f>SUM($H$152:AF$152)*AF$152</f>
        <v>25</v>
      </c>
      <c r="AG153" s="63">
        <f>SUM($H$152:AG$152)*AG$152</f>
        <v>26</v>
      </c>
      <c r="AH153" s="63">
        <f>SUM($H$152:AH$152)*AH$152</f>
        <v>27</v>
      </c>
      <c r="AI153" s="63">
        <f>SUM($H$152:AI$152)*AI$152</f>
        <v>28</v>
      </c>
      <c r="AJ153" s="63">
        <f>SUM($H$152:AJ$152)*AJ$152</f>
        <v>29</v>
      </c>
      <c r="AK153" s="63">
        <f>SUM($H$152:AK$152)*AK$152</f>
        <v>30</v>
      </c>
      <c r="AL153" s="63">
        <f>SUM($H$152:AL$152)*AL$152</f>
        <v>31</v>
      </c>
      <c r="AM153" s="63">
        <f>SUM($H$152:AM$152)*AM$152</f>
        <v>32</v>
      </c>
      <c r="AN153" s="63">
        <f>SUM($H$152:AN$152)*AN$152</f>
        <v>33</v>
      </c>
      <c r="AO153" s="63">
        <f>SUM($H$152:AO$152)*AO$152</f>
        <v>34</v>
      </c>
      <c r="AP153" s="63">
        <f>SUM($H$152:AP$152)*AP$152</f>
        <v>35</v>
      </c>
      <c r="AQ153" s="63">
        <f>SUM($H$152:AQ$152)*AQ$152</f>
        <v>36</v>
      </c>
      <c r="AR153" s="63">
        <f>SUM($H$152:AR$152)*AR$152</f>
        <v>37</v>
      </c>
      <c r="AS153" s="63">
        <f>SUM($H$152:AS$152)*AS$152</f>
        <v>38</v>
      </c>
      <c r="AT153" s="63">
        <f>SUM($H$152:AT$152)*AT$152</f>
        <v>39</v>
      </c>
      <c r="AU153" s="63">
        <f>SUM($H$152:AU$152)*AU$152</f>
        <v>40</v>
      </c>
      <c r="AV153" s="63">
        <f>SUM($H$152:AV$152)*AV$152</f>
        <v>41</v>
      </c>
      <c r="AW153" s="63">
        <f>SUM($H$152:AW$152)*AW$152</f>
        <v>42</v>
      </c>
      <c r="AX153" s="63">
        <f>SUM($H$152:AX$152)*AX$152</f>
        <v>43</v>
      </c>
      <c r="AY153" s="63">
        <f>SUM($H$152:AY$152)*AY$152</f>
        <v>44</v>
      </c>
      <c r="AZ153" s="63">
        <f>SUM($H$152:AZ$152)*AZ$152</f>
        <v>45</v>
      </c>
      <c r="BA153" s="63">
        <f>SUM($H$152:BA$152)*BA$152</f>
        <v>46</v>
      </c>
      <c r="BB153" s="63">
        <f>SUM($H$152:BB$152)*BB$152</f>
        <v>47</v>
      </c>
      <c r="BC153" s="63">
        <f>SUM($H$152:BC$152)*BC$152</f>
        <v>48</v>
      </c>
      <c r="BD153" s="63">
        <f>SUM($H$152:BD$152)*BD$152</f>
        <v>49</v>
      </c>
      <c r="BE153" s="63">
        <f>SUM($H$152:BE$152)*BE$152</f>
        <v>50</v>
      </c>
      <c r="BF153" s="63">
        <f>SUM($H$152:BF$152)*BF$152</f>
        <v>51</v>
      </c>
      <c r="BG153" s="63">
        <f>SUM($H$152:BG$152)*BG$152</f>
        <v>52</v>
      </c>
      <c r="BH153" s="63">
        <f>SUM($H$152:BH$152)*BH$152</f>
        <v>53</v>
      </c>
      <c r="BI153" s="63">
        <f>SUM($H$152:BI$152)*BI$152</f>
        <v>54</v>
      </c>
      <c r="BJ153" s="63">
        <f>SUM($H$152:BJ$152)*BJ$152</f>
        <v>55</v>
      </c>
      <c r="BK153" s="63">
        <f>SUM($H$152:BK$152)*BK$152</f>
        <v>56</v>
      </c>
      <c r="BL153" s="63">
        <f>SUM($H$152:BL$152)*BL$152</f>
        <v>57</v>
      </c>
      <c r="BM153" s="63">
        <f>SUM($H$152:BM$152)*BM$152</f>
        <v>58</v>
      </c>
      <c r="BN153" s="63">
        <f>SUM($H$152:BN$152)*BN$152</f>
        <v>59</v>
      </c>
      <c r="BO153" s="63">
        <f>SUM($H$152:BO$152)*BO$152</f>
        <v>60</v>
      </c>
      <c r="BP153" s="63">
        <f>SUM($H$152:BP$152)*BP$152</f>
        <v>61</v>
      </c>
      <c r="BQ153" s="63">
        <f>SUM($H$152:BQ$152)*BQ$152</f>
        <v>0</v>
      </c>
      <c r="BR153" s="63">
        <f>SUM($H$152:BR$152)*BR$152</f>
        <v>0</v>
      </c>
      <c r="BS153" s="63">
        <f>SUM($H$152:BS$152)*BS$152</f>
        <v>0</v>
      </c>
      <c r="BT153" s="63">
        <f>SUM($H$152:BT$152)*BT$152</f>
        <v>0</v>
      </c>
      <c r="BU153" s="63">
        <f>SUM($H$152:BU$152)*BU$152</f>
        <v>0</v>
      </c>
      <c r="BV153" s="63">
        <f>SUM($H$152:BV$152)*BV$152</f>
        <v>0</v>
      </c>
      <c r="BW153" s="63">
        <f>SUM($H$152:BW$152)*BW$152</f>
        <v>0</v>
      </c>
      <c r="BX153" s="63">
        <f>SUM($H$152:BX$152)*BX$152</f>
        <v>0</v>
      </c>
      <c r="BY153" s="63">
        <f>SUM($H$152:BY$152)*BY$152</f>
        <v>0</v>
      </c>
      <c r="BZ153" s="63">
        <f>SUM($H$152:BZ$152)*BZ$152</f>
        <v>0</v>
      </c>
      <c r="CA153" s="63">
        <f>SUM($H$152:CA$152)*CA$152</f>
        <v>0</v>
      </c>
      <c r="CB153" s="63">
        <f>SUM($H$152:CB$152)*CB$152</f>
        <v>0</v>
      </c>
      <c r="CC153" s="63">
        <f>SUM($H$152:CC$152)*CC$152</f>
        <v>0</v>
      </c>
      <c r="CD153" s="63">
        <f>SUM($H$152:CD$152)*CD$152</f>
        <v>0</v>
      </c>
      <c r="CE153" s="63">
        <f>SUM($H$152:CE$152)*CE$152</f>
        <v>0</v>
      </c>
      <c r="CF153" s="63">
        <f>SUM($H$152:CF$152)*CF$152</f>
        <v>0</v>
      </c>
      <c r="CG153" s="63">
        <f>SUM($H$152:CG$152)*CG$152</f>
        <v>0</v>
      </c>
      <c r="CH153" s="63">
        <f>SUM($H$152:CH$152)*CH$152</f>
        <v>0</v>
      </c>
      <c r="CI153" s="63">
        <f>SUM($H$152:CI$152)*CI$152</f>
        <v>0</v>
      </c>
      <c r="CJ153" s="63">
        <f>SUM($H$152:CJ$152)*CJ$152</f>
        <v>0</v>
      </c>
      <c r="CK153" s="63">
        <f>SUM($H$152:CK$152)*CK$152</f>
        <v>0</v>
      </c>
      <c r="CL153" s="63">
        <f>SUM($H$152:CL$152)*CL$152</f>
        <v>0</v>
      </c>
      <c r="CM153" s="63">
        <f>SUM($H$152:CM$152)*CM$152</f>
        <v>0</v>
      </c>
      <c r="CN153" s="63">
        <f>SUM($H$152:CN$152)*CN$152</f>
        <v>0</v>
      </c>
      <c r="CO153" s="63">
        <f>SUM($H$152:CO$152)*CO$152</f>
        <v>0</v>
      </c>
      <c r="CP153" s="63">
        <f>SUM($H$152:CP$152)*CP$152</f>
        <v>0</v>
      </c>
      <c r="CQ153" s="63">
        <f>SUM($H$152:CQ$152)*CQ$152</f>
        <v>0</v>
      </c>
      <c r="CR153" s="63">
        <f>SUM($H$152:CR$152)*CR$152</f>
        <v>0</v>
      </c>
      <c r="CS153" s="63">
        <f>SUM($H$152:CS$152)*CS$152</f>
        <v>0</v>
      </c>
      <c r="CT153" s="63">
        <f>SUM($H$152:CT$152)*CT$152</f>
        <v>0</v>
      </c>
      <c r="CU153" s="63">
        <f>SUM($H$152:CU$152)*CU$152</f>
        <v>0</v>
      </c>
      <c r="CV153" s="63">
        <f>SUM($H$152:CV$152)*CV$152</f>
        <v>0</v>
      </c>
      <c r="CW153" s="63">
        <f>SUM($H$152:CW$152)*CW$152</f>
        <v>0</v>
      </c>
      <c r="CX153" s="63">
        <f>SUM($H$152:CX$152)*CX$152</f>
        <v>0</v>
      </c>
      <c r="CY153" s="63">
        <f>SUM($H$152:CY$152)*CY$152</f>
        <v>0</v>
      </c>
      <c r="CZ153" s="63">
        <f>SUM($H$152:CZ$152)*CZ$152</f>
        <v>0</v>
      </c>
      <c r="DA153" s="63">
        <f>SUM($H$152:DA$152)*DA$152</f>
        <v>0</v>
      </c>
      <c r="DB153" s="63">
        <f>SUM($H$152:DB$152)*DB$152</f>
        <v>0</v>
      </c>
    </row>
    <row r="154" spans="3:106" s="63" customFormat="1" hidden="1" outlineLevel="1">
      <c r="F154" s="63" t="s">
        <v>340</v>
      </c>
      <c r="I154" s="63">
        <f t="shared" ref="I154:AN154" si="432">MIN(((MOD(H$153,$F$151)=0)*1+(I$14=$F$150)*1)*I$152,1)</f>
        <v>0</v>
      </c>
      <c r="J154" s="63">
        <f t="shared" si="432"/>
        <v>0</v>
      </c>
      <c r="K154" s="63">
        <f t="shared" si="432"/>
        <v>0</v>
      </c>
      <c r="L154" s="63">
        <f t="shared" si="432"/>
        <v>0</v>
      </c>
      <c r="M154" s="63">
        <f t="shared" si="432"/>
        <v>0</v>
      </c>
      <c r="N154" s="63">
        <f t="shared" si="432"/>
        <v>1</v>
      </c>
      <c r="O154" s="63">
        <f t="shared" si="432"/>
        <v>0</v>
      </c>
      <c r="P154" s="63">
        <f t="shared" si="432"/>
        <v>0</v>
      </c>
      <c r="Q154" s="63">
        <f t="shared" si="432"/>
        <v>0</v>
      </c>
      <c r="R154" s="63">
        <f t="shared" si="432"/>
        <v>0</v>
      </c>
      <c r="S154" s="63">
        <f t="shared" si="432"/>
        <v>0</v>
      </c>
      <c r="T154" s="63">
        <f t="shared" si="432"/>
        <v>1</v>
      </c>
      <c r="U154" s="63">
        <f t="shared" si="432"/>
        <v>0</v>
      </c>
      <c r="V154" s="63">
        <f t="shared" si="432"/>
        <v>0</v>
      </c>
      <c r="W154" s="63">
        <f t="shared" si="432"/>
        <v>0</v>
      </c>
      <c r="X154" s="63">
        <f t="shared" si="432"/>
        <v>0</v>
      </c>
      <c r="Y154" s="63">
        <f t="shared" si="432"/>
        <v>0</v>
      </c>
      <c r="Z154" s="63">
        <f t="shared" si="432"/>
        <v>1</v>
      </c>
      <c r="AA154" s="63">
        <f t="shared" si="432"/>
        <v>0</v>
      </c>
      <c r="AB154" s="63">
        <f t="shared" si="432"/>
        <v>0</v>
      </c>
      <c r="AC154" s="63">
        <f t="shared" si="432"/>
        <v>0</v>
      </c>
      <c r="AD154" s="63">
        <f t="shared" si="432"/>
        <v>0</v>
      </c>
      <c r="AE154" s="63">
        <f t="shared" si="432"/>
        <v>0</v>
      </c>
      <c r="AF154" s="63">
        <f t="shared" si="432"/>
        <v>1</v>
      </c>
      <c r="AG154" s="63">
        <f t="shared" si="432"/>
        <v>0</v>
      </c>
      <c r="AH154" s="63">
        <f t="shared" si="432"/>
        <v>0</v>
      </c>
      <c r="AI154" s="63">
        <f t="shared" si="432"/>
        <v>0</v>
      </c>
      <c r="AJ154" s="63">
        <f t="shared" si="432"/>
        <v>0</v>
      </c>
      <c r="AK154" s="63">
        <f t="shared" si="432"/>
        <v>0</v>
      </c>
      <c r="AL154" s="63">
        <f t="shared" si="432"/>
        <v>1</v>
      </c>
      <c r="AM154" s="63">
        <f t="shared" si="432"/>
        <v>0</v>
      </c>
      <c r="AN154" s="63">
        <f t="shared" si="432"/>
        <v>0</v>
      </c>
      <c r="AO154" s="63">
        <f t="shared" ref="AO154:BT154" si="433">MIN(((MOD(AN$153,$F$151)=0)*1+(AO$14=$F$150)*1)*AO$152,1)</f>
        <v>0</v>
      </c>
      <c r="AP154" s="63">
        <f t="shared" si="433"/>
        <v>0</v>
      </c>
      <c r="AQ154" s="63">
        <f t="shared" si="433"/>
        <v>0</v>
      </c>
      <c r="AR154" s="63">
        <f t="shared" si="433"/>
        <v>1</v>
      </c>
      <c r="AS154" s="63">
        <f t="shared" si="433"/>
        <v>0</v>
      </c>
      <c r="AT154" s="63">
        <f t="shared" si="433"/>
        <v>0</v>
      </c>
      <c r="AU154" s="63">
        <f t="shared" si="433"/>
        <v>0</v>
      </c>
      <c r="AV154" s="63">
        <f t="shared" si="433"/>
        <v>0</v>
      </c>
      <c r="AW154" s="63">
        <f t="shared" si="433"/>
        <v>0</v>
      </c>
      <c r="AX154" s="63">
        <f t="shared" si="433"/>
        <v>1</v>
      </c>
      <c r="AY154" s="63">
        <f t="shared" si="433"/>
        <v>0</v>
      </c>
      <c r="AZ154" s="63">
        <f t="shared" si="433"/>
        <v>0</v>
      </c>
      <c r="BA154" s="63">
        <f t="shared" si="433"/>
        <v>0</v>
      </c>
      <c r="BB154" s="63">
        <f t="shared" si="433"/>
        <v>0</v>
      </c>
      <c r="BC154" s="63">
        <f t="shared" si="433"/>
        <v>0</v>
      </c>
      <c r="BD154" s="63">
        <f t="shared" si="433"/>
        <v>1</v>
      </c>
      <c r="BE154" s="63">
        <f t="shared" si="433"/>
        <v>0</v>
      </c>
      <c r="BF154" s="63">
        <f t="shared" si="433"/>
        <v>0</v>
      </c>
      <c r="BG154" s="63">
        <f t="shared" si="433"/>
        <v>0</v>
      </c>
      <c r="BH154" s="63">
        <f t="shared" si="433"/>
        <v>0</v>
      </c>
      <c r="BI154" s="63">
        <f t="shared" si="433"/>
        <v>0</v>
      </c>
      <c r="BJ154" s="63">
        <f t="shared" si="433"/>
        <v>1</v>
      </c>
      <c r="BK154" s="63">
        <f t="shared" si="433"/>
        <v>0</v>
      </c>
      <c r="BL154" s="63">
        <f t="shared" si="433"/>
        <v>0</v>
      </c>
      <c r="BM154" s="63">
        <f t="shared" si="433"/>
        <v>0</v>
      </c>
      <c r="BN154" s="63">
        <f t="shared" si="433"/>
        <v>0</v>
      </c>
      <c r="BO154" s="63">
        <f t="shared" si="433"/>
        <v>0</v>
      </c>
      <c r="BP154" s="63">
        <f t="shared" si="433"/>
        <v>1</v>
      </c>
      <c r="BQ154" s="63">
        <f t="shared" si="433"/>
        <v>0</v>
      </c>
      <c r="BR154" s="63">
        <f t="shared" si="433"/>
        <v>0</v>
      </c>
      <c r="BS154" s="63">
        <f t="shared" si="433"/>
        <v>0</v>
      </c>
      <c r="BT154" s="63">
        <f t="shared" si="433"/>
        <v>0</v>
      </c>
      <c r="BU154" s="63">
        <f t="shared" ref="BU154:DB154" si="434">MIN(((MOD(BT$153,$F$151)=0)*1+(BU$14=$F$150)*1)*BU$152,1)</f>
        <v>0</v>
      </c>
      <c r="BV154" s="63">
        <f t="shared" si="434"/>
        <v>0</v>
      </c>
      <c r="BW154" s="63">
        <f t="shared" si="434"/>
        <v>0</v>
      </c>
      <c r="BX154" s="63">
        <f t="shared" si="434"/>
        <v>0</v>
      </c>
      <c r="BY154" s="63">
        <f t="shared" si="434"/>
        <v>0</v>
      </c>
      <c r="BZ154" s="63">
        <f t="shared" si="434"/>
        <v>0</v>
      </c>
      <c r="CA154" s="63">
        <f t="shared" si="434"/>
        <v>0</v>
      </c>
      <c r="CB154" s="63">
        <f t="shared" si="434"/>
        <v>0</v>
      </c>
      <c r="CC154" s="63">
        <f t="shared" si="434"/>
        <v>0</v>
      </c>
      <c r="CD154" s="63">
        <f t="shared" si="434"/>
        <v>0</v>
      </c>
      <c r="CE154" s="63">
        <f t="shared" si="434"/>
        <v>0</v>
      </c>
      <c r="CF154" s="63">
        <f t="shared" si="434"/>
        <v>0</v>
      </c>
      <c r="CG154" s="63">
        <f t="shared" si="434"/>
        <v>0</v>
      </c>
      <c r="CH154" s="63">
        <f t="shared" si="434"/>
        <v>0</v>
      </c>
      <c r="CI154" s="63">
        <f t="shared" si="434"/>
        <v>0</v>
      </c>
      <c r="CJ154" s="63">
        <f t="shared" si="434"/>
        <v>0</v>
      </c>
      <c r="CK154" s="63">
        <f t="shared" si="434"/>
        <v>0</v>
      </c>
      <c r="CL154" s="63">
        <f t="shared" si="434"/>
        <v>0</v>
      </c>
      <c r="CM154" s="63">
        <f t="shared" si="434"/>
        <v>0</v>
      </c>
      <c r="CN154" s="63">
        <f t="shared" si="434"/>
        <v>0</v>
      </c>
      <c r="CO154" s="63">
        <f t="shared" si="434"/>
        <v>0</v>
      </c>
      <c r="CP154" s="63">
        <f t="shared" si="434"/>
        <v>0</v>
      </c>
      <c r="CQ154" s="63">
        <f t="shared" si="434"/>
        <v>0</v>
      </c>
      <c r="CR154" s="63">
        <f t="shared" si="434"/>
        <v>0</v>
      </c>
      <c r="CS154" s="63">
        <f t="shared" si="434"/>
        <v>0</v>
      </c>
      <c r="CT154" s="63">
        <f t="shared" si="434"/>
        <v>0</v>
      </c>
      <c r="CU154" s="63">
        <f t="shared" si="434"/>
        <v>0</v>
      </c>
      <c r="CV154" s="63">
        <f t="shared" si="434"/>
        <v>0</v>
      </c>
      <c r="CW154" s="63">
        <f t="shared" si="434"/>
        <v>0</v>
      </c>
      <c r="CX154" s="63">
        <f t="shared" si="434"/>
        <v>0</v>
      </c>
      <c r="CY154" s="63">
        <f t="shared" si="434"/>
        <v>0</v>
      </c>
      <c r="CZ154" s="63">
        <f t="shared" si="434"/>
        <v>0</v>
      </c>
      <c r="DA154" s="63">
        <f t="shared" si="434"/>
        <v>0</v>
      </c>
      <c r="DB154" s="63">
        <f t="shared" si="434"/>
        <v>0</v>
      </c>
    </row>
    <row r="155" spans="3:106" collapsed="1">
      <c r="D155" s="13" t="s">
        <v>355</v>
      </c>
      <c r="H155" s="13">
        <f t="shared" ref="H155:AM155" si="435">SUM(H18:H20)</f>
        <v>0</v>
      </c>
      <c r="I155" s="13">
        <f t="shared" si="435"/>
        <v>519.96966127371047</v>
      </c>
      <c r="J155" s="13">
        <f t="shared" si="435"/>
        <v>845.18321896716873</v>
      </c>
      <c r="K155" s="13">
        <f t="shared" si="435"/>
        <v>868.93843743892728</v>
      </c>
      <c r="L155" s="13">
        <f t="shared" si="435"/>
        <v>882.5556035014273</v>
      </c>
      <c r="M155" s="13">
        <f t="shared" si="435"/>
        <v>928.39161295238989</v>
      </c>
      <c r="N155" s="13">
        <f t="shared" si="435"/>
        <v>656.58974845239004</v>
      </c>
      <c r="O155" s="13">
        <f t="shared" si="435"/>
        <v>872.3712527882152</v>
      </c>
      <c r="P155" s="13">
        <f t="shared" si="435"/>
        <v>916.22551067154848</v>
      </c>
      <c r="Q155" s="13">
        <f t="shared" si="435"/>
        <v>1030.6097055965483</v>
      </c>
      <c r="R155" s="13">
        <f t="shared" si="435"/>
        <v>1030.6097055965483</v>
      </c>
      <c r="S155" s="13">
        <f t="shared" si="435"/>
        <v>938.22275709654843</v>
      </c>
      <c r="T155" s="13">
        <f t="shared" si="435"/>
        <v>413.74456942644258</v>
      </c>
      <c r="U155" s="13">
        <f t="shared" si="435"/>
        <v>1034.2921728845836</v>
      </c>
      <c r="V155" s="13">
        <f t="shared" si="435"/>
        <v>1040.2921728845836</v>
      </c>
      <c r="W155" s="13">
        <f t="shared" si="435"/>
        <v>1047.5395702129949</v>
      </c>
      <c r="X155" s="13">
        <f t="shared" si="435"/>
        <v>1047.5395702129949</v>
      </c>
      <c r="Y155" s="13">
        <f t="shared" si="435"/>
        <v>1052.6736168143616</v>
      </c>
      <c r="Z155" s="13">
        <f t="shared" si="435"/>
        <v>769.38937442936162</v>
      </c>
      <c r="AA155" s="13">
        <f t="shared" si="435"/>
        <v>1061.3990725286117</v>
      </c>
      <c r="AB155" s="13">
        <f t="shared" si="435"/>
        <v>1061.3990725286117</v>
      </c>
      <c r="AC155" s="13">
        <f t="shared" si="435"/>
        <v>1061.3990725286117</v>
      </c>
      <c r="AD155" s="13">
        <f t="shared" si="435"/>
        <v>1061.3990725286117</v>
      </c>
      <c r="AE155" s="13">
        <f t="shared" si="435"/>
        <v>1061.3990725286117</v>
      </c>
      <c r="AF155" s="13">
        <f t="shared" si="435"/>
        <v>744.74839547298166</v>
      </c>
      <c r="AG155" s="13">
        <f t="shared" si="435"/>
        <v>1059.620079318431</v>
      </c>
      <c r="AH155" s="13">
        <f t="shared" si="435"/>
        <v>816.65208897894126</v>
      </c>
      <c r="AI155" s="13">
        <f t="shared" si="435"/>
        <v>970.02510244212044</v>
      </c>
      <c r="AJ155" s="13">
        <f t="shared" si="435"/>
        <v>1095.931483380391</v>
      </c>
      <c r="AK155" s="13">
        <f t="shared" si="435"/>
        <v>1101.2195513797983</v>
      </c>
      <c r="AL155" s="13">
        <f t="shared" si="435"/>
        <v>817.98678172324821</v>
      </c>
      <c r="AM155" s="13">
        <f t="shared" si="435"/>
        <v>1110.206770765476</v>
      </c>
      <c r="AN155" s="13">
        <f t="shared" ref="AN155:BS155" si="436">SUM(AN18:AN20)</f>
        <v>1110.206770765476</v>
      </c>
      <c r="AO155" s="13">
        <f t="shared" si="436"/>
        <v>1110.206770765476</v>
      </c>
      <c r="AP155" s="13">
        <f t="shared" si="436"/>
        <v>1110.206770765476</v>
      </c>
      <c r="AQ155" s="13">
        <f t="shared" si="436"/>
        <v>1078.1074105406306</v>
      </c>
      <c r="AR155" s="13">
        <f t="shared" si="436"/>
        <v>821.53365795573291</v>
      </c>
      <c r="AS155" s="13">
        <f t="shared" si="436"/>
        <v>1125.6092809321772</v>
      </c>
      <c r="AT155" s="13">
        <f t="shared" si="436"/>
        <v>1131.9130309321772</v>
      </c>
      <c r="AU155" s="13">
        <f t="shared" si="436"/>
        <v>1139.8241300133736</v>
      </c>
      <c r="AV155" s="13">
        <f t="shared" si="436"/>
        <v>1049.0456293568805</v>
      </c>
      <c r="AW155" s="13">
        <f t="shared" si="436"/>
        <v>1149.7592880728662</v>
      </c>
      <c r="AX155" s="13">
        <f t="shared" si="436"/>
        <v>866.57953532662032</v>
      </c>
      <c r="AY155" s="13">
        <f t="shared" si="436"/>
        <v>1159.0161240401139</v>
      </c>
      <c r="AZ155" s="13">
        <f t="shared" si="436"/>
        <v>1159.0161240401139</v>
      </c>
      <c r="BA155" s="13">
        <f t="shared" si="436"/>
        <v>1159.0161240401139</v>
      </c>
      <c r="BB155" s="13">
        <f t="shared" si="436"/>
        <v>1159.0161240401139</v>
      </c>
      <c r="BC155" s="13">
        <f t="shared" si="436"/>
        <v>1159.0161240401139</v>
      </c>
      <c r="BD155" s="13">
        <f t="shared" si="436"/>
        <v>812.49206615824869</v>
      </c>
      <c r="BE155" s="13">
        <f t="shared" si="436"/>
        <v>1182.0715811695691</v>
      </c>
      <c r="BF155" s="13">
        <f t="shared" si="436"/>
        <v>1188.532924919569</v>
      </c>
      <c r="BG155" s="13">
        <f t="shared" si="436"/>
        <v>1196.6813569732014</v>
      </c>
      <c r="BH155" s="13">
        <f t="shared" si="436"/>
        <v>1196.6813569732014</v>
      </c>
      <c r="BI155" s="13">
        <f t="shared" si="436"/>
        <v>1202.4261217543758</v>
      </c>
      <c r="BJ155" s="13">
        <f t="shared" si="436"/>
        <v>919.30097642574219</v>
      </c>
      <c r="BK155" s="13">
        <f t="shared" si="436"/>
        <v>1211.9606628006411</v>
      </c>
      <c r="BL155" s="13">
        <f t="shared" si="436"/>
        <v>1211.9606628006411</v>
      </c>
      <c r="BM155" s="13">
        <f t="shared" si="436"/>
        <v>1211.9606628006411</v>
      </c>
      <c r="BN155" s="13">
        <f t="shared" si="436"/>
        <v>1211.9606628006411</v>
      </c>
      <c r="BO155" s="13">
        <f t="shared" si="436"/>
        <v>1211.9606628006411</v>
      </c>
      <c r="BP155" s="13">
        <f t="shared" si="436"/>
        <v>927.79549074663578</v>
      </c>
      <c r="BQ155" s="13">
        <f t="shared" si="436"/>
        <v>0</v>
      </c>
      <c r="BR155" s="13">
        <f t="shared" si="436"/>
        <v>0</v>
      </c>
      <c r="BS155" s="13">
        <f t="shared" si="436"/>
        <v>0</v>
      </c>
      <c r="BT155" s="13">
        <f t="shared" ref="BT155:DB155" si="437">SUM(BT18:BT20)</f>
        <v>0</v>
      </c>
      <c r="BU155" s="13">
        <f t="shared" si="437"/>
        <v>0</v>
      </c>
      <c r="BV155" s="13">
        <f t="shared" si="437"/>
        <v>0</v>
      </c>
      <c r="BW155" s="13">
        <f t="shared" si="437"/>
        <v>0</v>
      </c>
      <c r="BX155" s="13">
        <f t="shared" si="437"/>
        <v>0</v>
      </c>
      <c r="BY155" s="13">
        <f t="shared" si="437"/>
        <v>0</v>
      </c>
      <c r="BZ155" s="13">
        <f t="shared" si="437"/>
        <v>0</v>
      </c>
      <c r="CA155" s="13">
        <f t="shared" si="437"/>
        <v>0</v>
      </c>
      <c r="CB155" s="13">
        <f t="shared" si="437"/>
        <v>0</v>
      </c>
      <c r="CC155" s="13">
        <f t="shared" si="437"/>
        <v>0</v>
      </c>
      <c r="CD155" s="13">
        <f t="shared" si="437"/>
        <v>0</v>
      </c>
      <c r="CE155" s="13">
        <f t="shared" si="437"/>
        <v>0</v>
      </c>
      <c r="CF155" s="13">
        <f t="shared" si="437"/>
        <v>0</v>
      </c>
      <c r="CG155" s="13">
        <f t="shared" si="437"/>
        <v>0</v>
      </c>
      <c r="CH155" s="13">
        <f t="shared" si="437"/>
        <v>0</v>
      </c>
      <c r="CI155" s="13">
        <f t="shared" si="437"/>
        <v>0</v>
      </c>
      <c r="CJ155" s="13">
        <f t="shared" si="437"/>
        <v>0</v>
      </c>
      <c r="CK155" s="13">
        <f t="shared" si="437"/>
        <v>0</v>
      </c>
      <c r="CL155" s="13">
        <f t="shared" si="437"/>
        <v>0</v>
      </c>
      <c r="CM155" s="13">
        <f t="shared" si="437"/>
        <v>0</v>
      </c>
      <c r="CN155" s="13">
        <f t="shared" si="437"/>
        <v>0</v>
      </c>
      <c r="CO155" s="13">
        <f t="shared" si="437"/>
        <v>0</v>
      </c>
      <c r="CP155" s="13">
        <f t="shared" si="437"/>
        <v>0</v>
      </c>
      <c r="CQ155" s="13">
        <f t="shared" si="437"/>
        <v>0</v>
      </c>
      <c r="CR155" s="13">
        <f t="shared" si="437"/>
        <v>0</v>
      </c>
      <c r="CS155" s="13">
        <f t="shared" si="437"/>
        <v>0</v>
      </c>
      <c r="CT155" s="13">
        <f t="shared" si="437"/>
        <v>0</v>
      </c>
      <c r="CU155" s="13">
        <f t="shared" si="437"/>
        <v>0</v>
      </c>
      <c r="CV155" s="13">
        <f t="shared" si="437"/>
        <v>0</v>
      </c>
      <c r="CW155" s="13">
        <f t="shared" si="437"/>
        <v>0</v>
      </c>
      <c r="CX155" s="13">
        <f t="shared" si="437"/>
        <v>0</v>
      </c>
      <c r="CY155" s="13">
        <f t="shared" si="437"/>
        <v>0</v>
      </c>
      <c r="CZ155" s="13">
        <f t="shared" si="437"/>
        <v>0</v>
      </c>
      <c r="DA155" s="13">
        <f t="shared" si="437"/>
        <v>0</v>
      </c>
      <c r="DB155" s="13">
        <f t="shared" si="437"/>
        <v>0</v>
      </c>
    </row>
    <row r="156" spans="3:106">
      <c r="D156" s="13" t="s">
        <v>356</v>
      </c>
      <c r="H156" s="13">
        <f>(SUM($H$155:H$155)-SUM($G$156:G$156))*H$154</f>
        <v>0</v>
      </c>
      <c r="I156" s="13">
        <f>(SUM($H$155:I$155)-SUM($G$156:H$156))*I$154</f>
        <v>0</v>
      </c>
      <c r="J156" s="13">
        <f>(SUM($H$155:J$155)-SUM($G$156:I$156))*J$154</f>
        <v>0</v>
      </c>
      <c r="K156" s="13">
        <f>(SUM($H$155:K$155)-SUM($G$156:J$156))*K$154</f>
        <v>0</v>
      </c>
      <c r="L156" s="13">
        <f>(SUM($H$155:L$155)-SUM($G$156:K$156))*L$154</f>
        <v>0</v>
      </c>
      <c r="M156" s="13">
        <f>(SUM($H$155:M$155)-SUM($G$156:L$156))*M$154</f>
        <v>0</v>
      </c>
      <c r="N156" s="13">
        <f>(SUM($H$155:N$155)-SUM($G$156:M$156))*N$154</f>
        <v>4701.6282825860144</v>
      </c>
      <c r="O156" s="13">
        <f>(SUM($H$155:O$155)-SUM($G$156:N$156))*O$154</f>
        <v>0</v>
      </c>
      <c r="P156" s="13">
        <f>(SUM($H$155:P$155)-SUM($G$156:O$156))*P$154</f>
        <v>0</v>
      </c>
      <c r="Q156" s="13">
        <f>(SUM($H$155:Q$155)-SUM($G$156:P$156))*Q$154</f>
        <v>0</v>
      </c>
      <c r="R156" s="13">
        <f>(SUM($H$155:R$155)-SUM($G$156:Q$156))*R$154</f>
        <v>0</v>
      </c>
      <c r="S156" s="13">
        <f>(SUM($H$155:S$155)-SUM($G$156:R$156))*S$154</f>
        <v>0</v>
      </c>
      <c r="T156" s="13">
        <f>(SUM($H$155:T$155)-SUM($G$156:S$156))*T$154</f>
        <v>5201.7835011758507</v>
      </c>
      <c r="U156" s="13">
        <f>(SUM($H$155:U$155)-SUM($G$156:T$156))*U$154</f>
        <v>0</v>
      </c>
      <c r="V156" s="13">
        <f>(SUM($H$155:V$155)-SUM($G$156:U$156))*V$154</f>
        <v>0</v>
      </c>
      <c r="W156" s="13">
        <f>(SUM($H$155:W$155)-SUM($G$156:V$156))*W$154</f>
        <v>0</v>
      </c>
      <c r="X156" s="13">
        <f>(SUM($H$155:X$155)-SUM($G$156:W$156))*X$154</f>
        <v>0</v>
      </c>
      <c r="Y156" s="13">
        <f>(SUM($H$155:Y$155)-SUM($G$156:X$156))*Y$154</f>
        <v>0</v>
      </c>
      <c r="Z156" s="13">
        <f>(SUM($H$155:Z$155)-SUM($G$156:Y$156))*Z$154</f>
        <v>5991.7264774388805</v>
      </c>
      <c r="AA156" s="13">
        <f>(SUM($H$155:AA$155)-SUM($G$156:Z$156))*AA$154</f>
        <v>0</v>
      </c>
      <c r="AB156" s="13">
        <f>(SUM($H$155:AB$155)-SUM($G$156:AA$156))*AB$154</f>
        <v>0</v>
      </c>
      <c r="AC156" s="13">
        <f>(SUM($H$155:AC$155)-SUM($G$156:AB$156))*AC$154</f>
        <v>0</v>
      </c>
      <c r="AD156" s="13">
        <f>(SUM($H$155:AD$155)-SUM($G$156:AC$156))*AD$154</f>
        <v>0</v>
      </c>
      <c r="AE156" s="13">
        <f>(SUM($H$155:AE$155)-SUM($G$156:AD$156))*AE$154</f>
        <v>0</v>
      </c>
      <c r="AF156" s="13">
        <f>(SUM($H$155:AF$155)-SUM($G$156:AE$156))*AF$154</f>
        <v>6051.7437581160466</v>
      </c>
      <c r="AG156" s="13">
        <f>(SUM($H$155:AG$155)-SUM($G$156:AF$156))*AG$154</f>
        <v>0</v>
      </c>
      <c r="AH156" s="13">
        <f>(SUM($H$155:AH$155)-SUM($G$156:AG$156))*AH$154</f>
        <v>0</v>
      </c>
      <c r="AI156" s="13">
        <f>(SUM($H$155:AI$155)-SUM($G$156:AH$156))*AI$154</f>
        <v>0</v>
      </c>
      <c r="AJ156" s="13">
        <f>(SUM($H$155:AJ$155)-SUM($G$156:AI$156))*AJ$154</f>
        <v>0</v>
      </c>
      <c r="AK156" s="13">
        <f>(SUM($H$155:AK$155)-SUM($G$156:AJ$156))*AK$154</f>
        <v>0</v>
      </c>
      <c r="AL156" s="13">
        <f>(SUM($H$155:AL$155)-SUM($G$156:AK$156))*AL$154</f>
        <v>5861.4350872229334</v>
      </c>
      <c r="AM156" s="13">
        <f>(SUM($H$155:AM$155)-SUM($G$156:AL$156))*AM$154</f>
        <v>0</v>
      </c>
      <c r="AN156" s="13">
        <f>(SUM($H$155:AN$155)-SUM($G$156:AM$156))*AN$154</f>
        <v>0</v>
      </c>
      <c r="AO156" s="13">
        <f>(SUM($H$155:AO$155)-SUM($G$156:AN$156))*AO$154</f>
        <v>0</v>
      </c>
      <c r="AP156" s="13">
        <f>(SUM($H$155:AP$155)-SUM($G$156:AO$156))*AP$154</f>
        <v>0</v>
      </c>
      <c r="AQ156" s="13">
        <f>(SUM($H$155:AQ$155)-SUM($G$156:AP$156))*AQ$154</f>
        <v>0</v>
      </c>
      <c r="AR156" s="13">
        <f>(SUM($H$155:AR$155)-SUM($G$156:AQ$156))*AR$154</f>
        <v>6340.4681515582633</v>
      </c>
      <c r="AS156" s="13">
        <f>(SUM($H$155:AS$155)-SUM($G$156:AR$156))*AS$154</f>
        <v>0</v>
      </c>
      <c r="AT156" s="13">
        <f>(SUM($H$155:AT$155)-SUM($G$156:AS$156))*AT$154</f>
        <v>0</v>
      </c>
      <c r="AU156" s="13">
        <f>(SUM($H$155:AU$155)-SUM($G$156:AT$156))*AU$154</f>
        <v>0</v>
      </c>
      <c r="AV156" s="13">
        <f>(SUM($H$155:AV$155)-SUM($G$156:AU$156))*AV$154</f>
        <v>0</v>
      </c>
      <c r="AW156" s="13">
        <f>(SUM($H$155:AW$155)-SUM($G$156:AV$156))*AW$154</f>
        <v>0</v>
      </c>
      <c r="AX156" s="13">
        <f>(SUM($H$155:AX$155)-SUM($G$156:AW$156))*AX$154</f>
        <v>6462.7308946340927</v>
      </c>
      <c r="AY156" s="13">
        <f>(SUM($H$155:AY$155)-SUM($G$156:AX$156))*AY$154</f>
        <v>0</v>
      </c>
      <c r="AZ156" s="13">
        <f>(SUM($H$155:AZ$155)-SUM($G$156:AY$156))*AZ$154</f>
        <v>0</v>
      </c>
      <c r="BA156" s="13">
        <f>(SUM($H$155:BA$155)-SUM($G$156:AZ$156))*BA$154</f>
        <v>0</v>
      </c>
      <c r="BB156" s="13">
        <f>(SUM($H$155:BB$155)-SUM($G$156:BA$156))*BB$154</f>
        <v>0</v>
      </c>
      <c r="BC156" s="13">
        <f>(SUM($H$155:BC$155)-SUM($G$156:BB$156))*BC$154</f>
        <v>0</v>
      </c>
      <c r="BD156" s="13">
        <f>(SUM($H$155:BD$155)-SUM($G$156:BC$156))*BD$154</f>
        <v>6607.5726863588206</v>
      </c>
      <c r="BE156" s="13">
        <f>(SUM($H$155:BE$155)-SUM($G$156:BD$156))*BE$154</f>
        <v>0</v>
      </c>
      <c r="BF156" s="13">
        <f>(SUM($H$155:BF$155)-SUM($G$156:BE$156))*BF$154</f>
        <v>0</v>
      </c>
      <c r="BG156" s="13">
        <f>(SUM($H$155:BG$155)-SUM($G$156:BF$156))*BG$154</f>
        <v>0</v>
      </c>
      <c r="BH156" s="13">
        <f>(SUM($H$155:BH$155)-SUM($G$156:BG$156))*BH$154</f>
        <v>0</v>
      </c>
      <c r="BI156" s="13">
        <f>(SUM($H$155:BI$155)-SUM($G$156:BH$156))*BI$154</f>
        <v>0</v>
      </c>
      <c r="BJ156" s="13">
        <f>(SUM($H$155:BJ$155)-SUM($G$156:BI$156))*BJ$154</f>
        <v>6885.6943182156683</v>
      </c>
      <c r="BK156" s="13">
        <f>(SUM($H$155:BK$155)-SUM($G$156:BJ$156))*BK$154</f>
        <v>0</v>
      </c>
      <c r="BL156" s="13">
        <f>(SUM($H$155:BL$155)-SUM($G$156:BK$156))*BL$154</f>
        <v>0</v>
      </c>
      <c r="BM156" s="13">
        <f>(SUM($H$155:BM$155)-SUM($G$156:BL$156))*BM$154</f>
        <v>0</v>
      </c>
      <c r="BN156" s="13">
        <f>(SUM($H$155:BN$155)-SUM($G$156:BM$156))*BN$154</f>
        <v>0</v>
      </c>
      <c r="BO156" s="13">
        <f>(SUM($H$155:BO$155)-SUM($G$156:BN$156))*BO$154</f>
        <v>0</v>
      </c>
      <c r="BP156" s="13">
        <f>(SUM($H$155:BP$155)-SUM($G$156:BO$156))*BP$154</f>
        <v>6987.598804749854</v>
      </c>
      <c r="BQ156" s="13">
        <f>(SUM($H$155:BQ$155)-SUM($G$156:BP$156))*BQ$154</f>
        <v>0</v>
      </c>
      <c r="BR156" s="13">
        <f>(SUM($H$155:BR$155)-SUM($G$156:BQ$156))*BR$154</f>
        <v>0</v>
      </c>
      <c r="BS156" s="13">
        <f>(SUM($H$155:BS$155)-SUM($G$156:BR$156))*BS$154</f>
        <v>0</v>
      </c>
      <c r="BT156" s="13">
        <f>(SUM($H$155:BT$155)-SUM($G$156:BS$156))*BT$154</f>
        <v>0</v>
      </c>
      <c r="BU156" s="13">
        <f>(SUM($H$155:BU$155)-SUM($G$156:BT$156))*BU$154</f>
        <v>0</v>
      </c>
      <c r="BV156" s="13">
        <f>(SUM($H$155:BV$155)-SUM($G$156:BU$156))*BV$154</f>
        <v>0</v>
      </c>
      <c r="BW156" s="13">
        <f>(SUM($H$155:BW$155)-SUM($G$156:BV$156))*BW$154</f>
        <v>0</v>
      </c>
      <c r="BX156" s="13">
        <f>(SUM($H$155:BX$155)-SUM($G$156:BW$156))*BX$154</f>
        <v>0</v>
      </c>
      <c r="BY156" s="13">
        <f>(SUM($H$155:BY$155)-SUM($G$156:BX$156))*BY$154</f>
        <v>0</v>
      </c>
      <c r="BZ156" s="13">
        <f>(SUM($H$155:BZ$155)-SUM($G$156:BY$156))*BZ$154</f>
        <v>0</v>
      </c>
      <c r="CA156" s="13">
        <f>(SUM($H$155:CA$155)-SUM($G$156:BZ$156))*CA$154</f>
        <v>0</v>
      </c>
      <c r="CB156" s="13">
        <f>(SUM($H$155:CB$155)-SUM($G$156:CA$156))*CB$154</f>
        <v>0</v>
      </c>
      <c r="CC156" s="13">
        <f>(SUM($H$155:CC$155)-SUM($G$156:CB$156))*CC$154</f>
        <v>0</v>
      </c>
      <c r="CD156" s="13">
        <f>(SUM($H$155:CD$155)-SUM($G$156:CC$156))*CD$154</f>
        <v>0</v>
      </c>
      <c r="CE156" s="13">
        <f>(SUM($H$155:CE$155)-SUM($G$156:CD$156))*CE$154</f>
        <v>0</v>
      </c>
      <c r="CF156" s="13">
        <f>(SUM($H$155:CF$155)-SUM($G$156:CE$156))*CF$154</f>
        <v>0</v>
      </c>
      <c r="CG156" s="13">
        <f>(SUM($H$155:CG$155)-SUM($G$156:CF$156))*CG$154</f>
        <v>0</v>
      </c>
      <c r="CH156" s="13">
        <f>(SUM($H$155:CH$155)-SUM($G$156:CG$156))*CH$154</f>
        <v>0</v>
      </c>
      <c r="CI156" s="13">
        <f>(SUM($H$155:CI$155)-SUM($G$156:CH$156))*CI$154</f>
        <v>0</v>
      </c>
      <c r="CJ156" s="13">
        <f>(SUM($H$155:CJ$155)-SUM($G$156:CI$156))*CJ$154</f>
        <v>0</v>
      </c>
      <c r="CK156" s="13">
        <f>(SUM($H$155:CK$155)-SUM($G$156:CJ$156))*CK$154</f>
        <v>0</v>
      </c>
      <c r="CL156" s="13">
        <f>(SUM($H$155:CL$155)-SUM($G$156:CK$156))*CL$154</f>
        <v>0</v>
      </c>
      <c r="CM156" s="13">
        <f>(SUM($H$155:CM$155)-SUM($G$156:CL$156))*CM$154</f>
        <v>0</v>
      </c>
      <c r="CN156" s="13">
        <f>(SUM($H$155:CN$155)-SUM($G$156:CM$156))*CN$154</f>
        <v>0</v>
      </c>
      <c r="CO156" s="13">
        <f>(SUM($H$155:CO$155)-SUM($G$156:CN$156))*CO$154</f>
        <v>0</v>
      </c>
      <c r="CP156" s="13">
        <f>(SUM($H$155:CP$155)-SUM($G$156:CO$156))*CP$154</f>
        <v>0</v>
      </c>
      <c r="CQ156" s="13">
        <f>(SUM($H$155:CQ$155)-SUM($G$156:CP$156))*CQ$154</f>
        <v>0</v>
      </c>
      <c r="CR156" s="13">
        <f>(SUM($H$155:CR$155)-SUM($G$156:CQ$156))*CR$154</f>
        <v>0</v>
      </c>
      <c r="CS156" s="13">
        <f>(SUM($H$155:CS$155)-SUM($G$156:CR$156))*CS$154</f>
        <v>0</v>
      </c>
      <c r="CT156" s="13">
        <f>(SUM($H$155:CT$155)-SUM($G$156:CS$156))*CT$154</f>
        <v>0</v>
      </c>
      <c r="CU156" s="13">
        <f>(SUM($H$155:CU$155)-SUM($G$156:CT$156))*CU$154</f>
        <v>0</v>
      </c>
      <c r="CV156" s="13">
        <f>(SUM($H$155:CV$155)-SUM($G$156:CU$156))*CV$154</f>
        <v>0</v>
      </c>
      <c r="CW156" s="13">
        <f>(SUM($H$155:CW$155)-SUM($G$156:CV$156))*CW$154</f>
        <v>0</v>
      </c>
      <c r="CX156" s="13">
        <f>(SUM($H$155:CX$155)-SUM($G$156:CW$156))*CX$154</f>
        <v>0</v>
      </c>
      <c r="CY156" s="13">
        <f>(SUM($H$155:CY$155)-SUM($G$156:CX$156))*CY$154</f>
        <v>0</v>
      </c>
      <c r="CZ156" s="13">
        <f>(SUM($H$155:CZ$155)-SUM($G$156:CY$156))*CZ$154</f>
        <v>0</v>
      </c>
      <c r="DA156" s="13">
        <f>(SUM($H$155:DA$155)-SUM($G$156:CZ$156))*DA$154</f>
        <v>0</v>
      </c>
      <c r="DB156" s="13">
        <f>(SUM($H$155:DB$155)-SUM($G$156:DA$156))*DB$154</f>
        <v>0</v>
      </c>
    </row>
    <row r="157" spans="3:106">
      <c r="D157" s="13" t="s">
        <v>363</v>
      </c>
      <c r="H157" s="13">
        <f>H77+H92+H107+H122</f>
        <v>0</v>
      </c>
      <c r="I157" s="13">
        <f t="shared" ref="I157:BT157" ca="1" si="438">I77+I92+I107+I122</f>
        <v>0</v>
      </c>
      <c r="J157" s="13">
        <f t="shared" ca="1" si="438"/>
        <v>0</v>
      </c>
      <c r="K157" s="13">
        <f t="shared" ca="1" si="438"/>
        <v>0</v>
      </c>
      <c r="L157" s="13">
        <f t="shared" ca="1" si="438"/>
        <v>0</v>
      </c>
      <c r="M157" s="13">
        <f t="shared" ca="1" si="438"/>
        <v>0</v>
      </c>
      <c r="N157" s="13">
        <f ca="1">N77+N92+N107+N122</f>
        <v>3624.1754517382028</v>
      </c>
      <c r="O157" s="13">
        <f t="shared" ca="1" si="438"/>
        <v>0</v>
      </c>
      <c r="P157" s="13">
        <f t="shared" ca="1" si="438"/>
        <v>0</v>
      </c>
      <c r="Q157" s="13">
        <f t="shared" ca="1" si="438"/>
        <v>0</v>
      </c>
      <c r="R157" s="13">
        <f t="shared" ca="1" si="438"/>
        <v>0</v>
      </c>
      <c r="S157" s="13">
        <f t="shared" ca="1" si="438"/>
        <v>0</v>
      </c>
      <c r="T157" s="13">
        <f t="shared" ca="1" si="438"/>
        <v>3597.3837850715372</v>
      </c>
      <c r="U157" s="13">
        <f t="shared" ca="1" si="438"/>
        <v>0</v>
      </c>
      <c r="V157" s="13">
        <f t="shared" ca="1" si="438"/>
        <v>0</v>
      </c>
      <c r="W157" s="13">
        <f t="shared" ca="1" si="438"/>
        <v>0</v>
      </c>
      <c r="X157" s="13">
        <f t="shared" ca="1" si="438"/>
        <v>0</v>
      </c>
      <c r="Y157" s="13">
        <f t="shared" ca="1" si="438"/>
        <v>0</v>
      </c>
      <c r="Z157" s="13">
        <f t="shared" ca="1" si="438"/>
        <v>3597.3837850715345</v>
      </c>
      <c r="AA157" s="13">
        <f t="shared" ca="1" si="438"/>
        <v>0</v>
      </c>
      <c r="AB157" s="13">
        <f t="shared" ca="1" si="438"/>
        <v>0</v>
      </c>
      <c r="AC157" s="13">
        <f t="shared" ca="1" si="438"/>
        <v>0</v>
      </c>
      <c r="AD157" s="13">
        <f t="shared" ca="1" si="438"/>
        <v>0</v>
      </c>
      <c r="AE157" s="13">
        <f t="shared" ca="1" si="438"/>
        <v>0</v>
      </c>
      <c r="AF157" s="13">
        <f t="shared" ca="1" si="438"/>
        <v>3570.5921184048648</v>
      </c>
      <c r="AG157" s="13">
        <f t="shared" ca="1" si="438"/>
        <v>0</v>
      </c>
      <c r="AH157" s="13">
        <f t="shared" ca="1" si="438"/>
        <v>0</v>
      </c>
      <c r="AI157" s="13">
        <f t="shared" ca="1" si="438"/>
        <v>0</v>
      </c>
      <c r="AJ157" s="13">
        <f t="shared" ca="1" si="438"/>
        <v>0</v>
      </c>
      <c r="AK157" s="13">
        <f t="shared" ca="1" si="438"/>
        <v>0</v>
      </c>
      <c r="AL157" s="13">
        <f t="shared" ca="1" si="438"/>
        <v>3603.5921184048652</v>
      </c>
      <c r="AM157" s="13">
        <f t="shared" ca="1" si="438"/>
        <v>0</v>
      </c>
      <c r="AN157" s="13">
        <f t="shared" ca="1" si="438"/>
        <v>0</v>
      </c>
      <c r="AO157" s="13">
        <f t="shared" ca="1" si="438"/>
        <v>0</v>
      </c>
      <c r="AP157" s="13">
        <f t="shared" ca="1" si="438"/>
        <v>0</v>
      </c>
      <c r="AQ157" s="13">
        <f t="shared" ca="1" si="438"/>
        <v>0</v>
      </c>
      <c r="AR157" s="13">
        <f t="shared" ca="1" si="438"/>
        <v>3578.3837850715408</v>
      </c>
      <c r="AS157" s="13">
        <f t="shared" ca="1" si="438"/>
        <v>0</v>
      </c>
      <c r="AT157" s="13">
        <f t="shared" ca="1" si="438"/>
        <v>0</v>
      </c>
      <c r="AU157" s="13">
        <f t="shared" ca="1" si="438"/>
        <v>0</v>
      </c>
      <c r="AV157" s="13">
        <f t="shared" ca="1" si="438"/>
        <v>0</v>
      </c>
      <c r="AW157" s="13">
        <f t="shared" ca="1" si="438"/>
        <v>0</v>
      </c>
      <c r="AX157" s="13">
        <f t="shared" ca="1" si="438"/>
        <v>3345.4320492442266</v>
      </c>
      <c r="AY157" s="13">
        <f t="shared" ca="1" si="438"/>
        <v>0</v>
      </c>
      <c r="AZ157" s="13">
        <f t="shared" ca="1" si="438"/>
        <v>0</v>
      </c>
      <c r="BA157" s="13">
        <f t="shared" ca="1" si="438"/>
        <v>0</v>
      </c>
      <c r="BB157" s="13">
        <f t="shared" ca="1" si="438"/>
        <v>0</v>
      </c>
      <c r="BC157" s="13">
        <f t="shared" ca="1" si="438"/>
        <v>0</v>
      </c>
      <c r="BD157" s="13">
        <f t="shared" ca="1" si="438"/>
        <v>3345.4320492442257</v>
      </c>
      <c r="BE157" s="13">
        <f t="shared" ca="1" si="438"/>
        <v>0</v>
      </c>
      <c r="BF157" s="13">
        <f t="shared" ca="1" si="438"/>
        <v>0</v>
      </c>
      <c r="BG157" s="13">
        <f t="shared" ca="1" si="438"/>
        <v>0</v>
      </c>
      <c r="BH157" s="13">
        <f t="shared" ca="1" si="438"/>
        <v>0</v>
      </c>
      <c r="BI157" s="13">
        <f t="shared" ca="1" si="438"/>
        <v>0</v>
      </c>
      <c r="BJ157" s="13">
        <f t="shared" ca="1" si="438"/>
        <v>3345.4320492442271</v>
      </c>
      <c r="BK157" s="13">
        <f t="shared" ca="1" si="438"/>
        <v>0</v>
      </c>
      <c r="BL157" s="13">
        <f t="shared" ca="1" si="438"/>
        <v>0</v>
      </c>
      <c r="BM157" s="13">
        <f t="shared" ca="1" si="438"/>
        <v>0</v>
      </c>
      <c r="BN157" s="13">
        <f t="shared" ca="1" si="438"/>
        <v>0</v>
      </c>
      <c r="BO157" s="13">
        <f t="shared" ca="1" si="438"/>
        <v>0</v>
      </c>
      <c r="BP157" s="13">
        <f t="shared" ca="1" si="438"/>
        <v>3320.2237159108981</v>
      </c>
      <c r="BQ157" s="13">
        <f t="shared" ca="1" si="438"/>
        <v>0</v>
      </c>
      <c r="BR157" s="13">
        <f t="shared" ca="1" si="438"/>
        <v>0</v>
      </c>
      <c r="BS157" s="13">
        <f t="shared" ca="1" si="438"/>
        <v>0</v>
      </c>
      <c r="BT157" s="13">
        <f t="shared" ca="1" si="438"/>
        <v>0</v>
      </c>
      <c r="BU157" s="13">
        <f t="shared" ref="BU157:DB157" ca="1" si="439">BU77+BU92+BU107+BU122</f>
        <v>0</v>
      </c>
      <c r="BV157" s="13">
        <f t="shared" ca="1" si="439"/>
        <v>0</v>
      </c>
      <c r="BW157" s="13">
        <f t="shared" ca="1" si="439"/>
        <v>0</v>
      </c>
      <c r="BX157" s="13">
        <f t="shared" ca="1" si="439"/>
        <v>0</v>
      </c>
      <c r="BY157" s="13">
        <f t="shared" ca="1" si="439"/>
        <v>0</v>
      </c>
      <c r="BZ157" s="13">
        <f t="shared" ca="1" si="439"/>
        <v>0</v>
      </c>
      <c r="CA157" s="13">
        <f t="shared" ca="1" si="439"/>
        <v>0</v>
      </c>
      <c r="CB157" s="13">
        <f t="shared" ca="1" si="439"/>
        <v>0</v>
      </c>
      <c r="CC157" s="13">
        <f t="shared" ca="1" si="439"/>
        <v>0</v>
      </c>
      <c r="CD157" s="13">
        <f t="shared" ca="1" si="439"/>
        <v>0</v>
      </c>
      <c r="CE157" s="13">
        <f t="shared" ca="1" si="439"/>
        <v>0</v>
      </c>
      <c r="CF157" s="13">
        <f t="shared" ca="1" si="439"/>
        <v>0</v>
      </c>
      <c r="CG157" s="13">
        <f t="shared" ca="1" si="439"/>
        <v>0</v>
      </c>
      <c r="CH157" s="13">
        <f t="shared" ca="1" si="439"/>
        <v>0</v>
      </c>
      <c r="CI157" s="13">
        <f t="shared" ca="1" si="439"/>
        <v>0</v>
      </c>
      <c r="CJ157" s="13">
        <f t="shared" ca="1" si="439"/>
        <v>0</v>
      </c>
      <c r="CK157" s="13">
        <f t="shared" ca="1" si="439"/>
        <v>0</v>
      </c>
      <c r="CL157" s="13">
        <f t="shared" ca="1" si="439"/>
        <v>0</v>
      </c>
      <c r="CM157" s="13">
        <f t="shared" ca="1" si="439"/>
        <v>0</v>
      </c>
      <c r="CN157" s="13">
        <f t="shared" ca="1" si="439"/>
        <v>0</v>
      </c>
      <c r="CO157" s="13">
        <f t="shared" ca="1" si="439"/>
        <v>0</v>
      </c>
      <c r="CP157" s="13">
        <f t="shared" ca="1" si="439"/>
        <v>0</v>
      </c>
      <c r="CQ157" s="13">
        <f t="shared" ca="1" si="439"/>
        <v>0</v>
      </c>
      <c r="CR157" s="13">
        <f t="shared" ca="1" si="439"/>
        <v>0</v>
      </c>
      <c r="CS157" s="13">
        <f t="shared" ca="1" si="439"/>
        <v>0</v>
      </c>
      <c r="CT157" s="13">
        <f t="shared" ca="1" si="439"/>
        <v>0</v>
      </c>
      <c r="CU157" s="13">
        <f t="shared" ca="1" si="439"/>
        <v>0</v>
      </c>
      <c r="CV157" s="13">
        <f t="shared" ca="1" si="439"/>
        <v>0</v>
      </c>
      <c r="CW157" s="13">
        <f t="shared" ca="1" si="439"/>
        <v>0</v>
      </c>
      <c r="CX157" s="13">
        <f t="shared" ca="1" si="439"/>
        <v>0</v>
      </c>
      <c r="CY157" s="13">
        <f t="shared" ca="1" si="439"/>
        <v>0</v>
      </c>
      <c r="CZ157" s="13">
        <f t="shared" ca="1" si="439"/>
        <v>0</v>
      </c>
      <c r="DA157" s="13">
        <f t="shared" ca="1" si="439"/>
        <v>0</v>
      </c>
      <c r="DB157" s="13">
        <f t="shared" ca="1" si="439"/>
        <v>0</v>
      </c>
    </row>
    <row r="158" spans="3:106">
      <c r="D158" s="144" t="s">
        <v>357</v>
      </c>
      <c r="E158" s="144"/>
      <c r="F158" s="144"/>
      <c r="G158" s="144"/>
      <c r="H158" s="282" t="str">
        <f>IFERROR(H156/H157," ")</f>
        <v xml:space="preserve"> </v>
      </c>
      <c r="I158" s="282" t="str">
        <f t="shared" ref="I158:BT158" ca="1" si="440">IFERROR(I156/I157," ")</f>
        <v xml:space="preserve"> </v>
      </c>
      <c r="J158" s="282" t="str">
        <f t="shared" ca="1" si="440"/>
        <v xml:space="preserve"> </v>
      </c>
      <c r="K158" s="282" t="str">
        <f t="shared" ca="1" si="440"/>
        <v xml:space="preserve"> </v>
      </c>
      <c r="L158" s="282" t="str">
        <f t="shared" ca="1" si="440"/>
        <v xml:space="preserve"> </v>
      </c>
      <c r="M158" s="282" t="str">
        <f t="shared" ca="1" si="440"/>
        <v xml:space="preserve"> </v>
      </c>
      <c r="N158" s="282">
        <f t="shared" ca="1" si="440"/>
        <v>1.2972959905489816</v>
      </c>
      <c r="O158" s="282" t="str">
        <f t="shared" ca="1" si="440"/>
        <v xml:space="preserve"> </v>
      </c>
      <c r="P158" s="282" t="str">
        <f t="shared" ca="1" si="440"/>
        <v xml:space="preserve"> </v>
      </c>
      <c r="Q158" s="282" t="str">
        <f t="shared" ca="1" si="440"/>
        <v xml:space="preserve"> </v>
      </c>
      <c r="R158" s="282" t="str">
        <f t="shared" ca="1" si="440"/>
        <v xml:space="preserve"> </v>
      </c>
      <c r="S158" s="282" t="str">
        <f t="shared" ca="1" si="440"/>
        <v xml:space="preserve"> </v>
      </c>
      <c r="T158" s="282">
        <f t="shared" ca="1" si="440"/>
        <v>1.4459907010095139</v>
      </c>
      <c r="U158" s="282" t="str">
        <f t="shared" ca="1" si="440"/>
        <v xml:space="preserve"> </v>
      </c>
      <c r="V158" s="282" t="str">
        <f t="shared" ca="1" si="440"/>
        <v xml:space="preserve"> </v>
      </c>
      <c r="W158" s="282" t="str">
        <f t="shared" ca="1" si="440"/>
        <v xml:space="preserve"> </v>
      </c>
      <c r="X158" s="282" t="str">
        <f t="shared" ca="1" si="440"/>
        <v xml:space="preserve"> </v>
      </c>
      <c r="Y158" s="282" t="str">
        <f t="shared" ca="1" si="440"/>
        <v xml:space="preserve"> </v>
      </c>
      <c r="Z158" s="282">
        <f t="shared" ca="1" si="440"/>
        <v>1.665578886051418</v>
      </c>
      <c r="AA158" s="282" t="str">
        <f t="shared" ca="1" si="440"/>
        <v xml:space="preserve"> </v>
      </c>
      <c r="AB158" s="282" t="str">
        <f t="shared" ca="1" si="440"/>
        <v xml:space="preserve"> </v>
      </c>
      <c r="AC158" s="282" t="str">
        <f t="shared" ca="1" si="440"/>
        <v xml:space="preserve"> </v>
      </c>
      <c r="AD158" s="282" t="str">
        <f t="shared" ca="1" si="440"/>
        <v xml:space="preserve"> </v>
      </c>
      <c r="AE158" s="282" t="str">
        <f t="shared" ca="1" si="440"/>
        <v xml:space="preserve"> </v>
      </c>
      <c r="AF158" s="282">
        <f t="shared" ca="1" si="440"/>
        <v>1.6948852059920017</v>
      </c>
      <c r="AG158" s="282" t="str">
        <f t="shared" ca="1" si="440"/>
        <v xml:space="preserve"> </v>
      </c>
      <c r="AH158" s="282" t="str">
        <f t="shared" ca="1" si="440"/>
        <v xml:space="preserve"> </v>
      </c>
      <c r="AI158" s="282" t="str">
        <f t="shared" ca="1" si="440"/>
        <v xml:space="preserve"> </v>
      </c>
      <c r="AJ158" s="282" t="str">
        <f t="shared" ca="1" si="440"/>
        <v xml:space="preserve"> </v>
      </c>
      <c r="AK158" s="282" t="str">
        <f t="shared" ca="1" si="440"/>
        <v xml:space="preserve"> </v>
      </c>
      <c r="AL158" s="282">
        <f t="shared" ca="1" si="440"/>
        <v>1.6265534207621437</v>
      </c>
      <c r="AM158" s="282" t="str">
        <f t="shared" ca="1" si="440"/>
        <v xml:space="preserve"> </v>
      </c>
      <c r="AN158" s="282" t="str">
        <f t="shared" ca="1" si="440"/>
        <v xml:space="preserve"> </v>
      </c>
      <c r="AO158" s="282" t="str">
        <f t="shared" ca="1" si="440"/>
        <v xml:space="preserve"> </v>
      </c>
      <c r="AP158" s="282" t="str">
        <f t="shared" ca="1" si="440"/>
        <v xml:space="preserve"> </v>
      </c>
      <c r="AQ158" s="282" t="str">
        <f t="shared" ca="1" si="440"/>
        <v xml:space="preserve"> </v>
      </c>
      <c r="AR158" s="282">
        <f t="shared" ca="1" si="440"/>
        <v>1.7718804165192419</v>
      </c>
      <c r="AS158" s="282" t="str">
        <f t="shared" ca="1" si="440"/>
        <v xml:space="preserve"> </v>
      </c>
      <c r="AT158" s="282" t="str">
        <f t="shared" ca="1" si="440"/>
        <v xml:space="preserve"> </v>
      </c>
      <c r="AU158" s="282" t="str">
        <f t="shared" ca="1" si="440"/>
        <v xml:space="preserve"> </v>
      </c>
      <c r="AV158" s="282" t="str">
        <f t="shared" ca="1" si="440"/>
        <v xml:space="preserve"> </v>
      </c>
      <c r="AW158" s="282" t="str">
        <f t="shared" ca="1" si="440"/>
        <v xml:space="preserve"> </v>
      </c>
      <c r="AX158" s="282">
        <f t="shared" ca="1" si="440"/>
        <v>1.9318075511634145</v>
      </c>
      <c r="AY158" s="282" t="str">
        <f t="shared" ca="1" si="440"/>
        <v xml:space="preserve"> </v>
      </c>
      <c r="AZ158" s="282" t="str">
        <f t="shared" ca="1" si="440"/>
        <v xml:space="preserve"> </v>
      </c>
      <c r="BA158" s="282" t="str">
        <f t="shared" ca="1" si="440"/>
        <v xml:space="preserve"> </v>
      </c>
      <c r="BB158" s="282" t="str">
        <f t="shared" ca="1" si="440"/>
        <v xml:space="preserve"> </v>
      </c>
      <c r="BC158" s="282" t="str">
        <f t="shared" ca="1" si="440"/>
        <v xml:space="preserve"> </v>
      </c>
      <c r="BD158" s="282">
        <f t="shared" ca="1" si="440"/>
        <v>1.9751029430866942</v>
      </c>
      <c r="BE158" s="282" t="str">
        <f t="shared" ca="1" si="440"/>
        <v xml:space="preserve"> </v>
      </c>
      <c r="BF158" s="282" t="str">
        <f t="shared" ca="1" si="440"/>
        <v xml:space="preserve"> </v>
      </c>
      <c r="BG158" s="282" t="str">
        <f t="shared" ca="1" si="440"/>
        <v xml:space="preserve"> </v>
      </c>
      <c r="BH158" s="282" t="str">
        <f t="shared" ca="1" si="440"/>
        <v xml:space="preserve"> </v>
      </c>
      <c r="BI158" s="282" t="str">
        <f t="shared" ca="1" si="440"/>
        <v xml:space="preserve"> </v>
      </c>
      <c r="BJ158" s="282">
        <f t="shared" ca="1" si="440"/>
        <v>2.0582376855543152</v>
      </c>
      <c r="BK158" s="282" t="str">
        <f t="shared" ca="1" si="440"/>
        <v xml:space="preserve"> </v>
      </c>
      <c r="BL158" s="282" t="str">
        <f t="shared" ca="1" si="440"/>
        <v xml:space="preserve"> </v>
      </c>
      <c r="BM158" s="282" t="str">
        <f t="shared" ca="1" si="440"/>
        <v xml:space="preserve"> </v>
      </c>
      <c r="BN158" s="282" t="str">
        <f t="shared" ca="1" si="440"/>
        <v xml:space="preserve"> </v>
      </c>
      <c r="BO158" s="282" t="str">
        <f t="shared" ca="1" si="440"/>
        <v xml:space="preserve"> </v>
      </c>
      <c r="BP158" s="282">
        <f t="shared" ca="1" si="440"/>
        <v>2.1045566210687756</v>
      </c>
      <c r="BQ158" s="282" t="str">
        <f t="shared" ca="1" si="440"/>
        <v xml:space="preserve"> </v>
      </c>
      <c r="BR158" s="282" t="str">
        <f t="shared" ca="1" si="440"/>
        <v xml:space="preserve"> </v>
      </c>
      <c r="BS158" s="282" t="str">
        <f t="shared" ca="1" si="440"/>
        <v xml:space="preserve"> </v>
      </c>
      <c r="BT158" s="282" t="str">
        <f t="shared" ca="1" si="440"/>
        <v xml:space="preserve"> </v>
      </c>
      <c r="BU158" s="282" t="str">
        <f t="shared" ref="BU158:DB158" ca="1" si="441">IFERROR(BU156/BU157," ")</f>
        <v xml:space="preserve"> </v>
      </c>
      <c r="BV158" s="282" t="str">
        <f t="shared" ca="1" si="441"/>
        <v xml:space="preserve"> </v>
      </c>
      <c r="BW158" s="282" t="str">
        <f t="shared" ca="1" si="441"/>
        <v xml:space="preserve"> </v>
      </c>
      <c r="BX158" s="282" t="str">
        <f t="shared" ca="1" si="441"/>
        <v xml:space="preserve"> </v>
      </c>
      <c r="BY158" s="282" t="str">
        <f t="shared" ca="1" si="441"/>
        <v xml:space="preserve"> </v>
      </c>
      <c r="BZ158" s="282" t="str">
        <f t="shared" ca="1" si="441"/>
        <v xml:space="preserve"> </v>
      </c>
      <c r="CA158" s="282" t="str">
        <f t="shared" ca="1" si="441"/>
        <v xml:space="preserve"> </v>
      </c>
      <c r="CB158" s="282" t="str">
        <f t="shared" ca="1" si="441"/>
        <v xml:space="preserve"> </v>
      </c>
      <c r="CC158" s="282" t="str">
        <f t="shared" ca="1" si="441"/>
        <v xml:space="preserve"> </v>
      </c>
      <c r="CD158" s="282" t="str">
        <f t="shared" ca="1" si="441"/>
        <v xml:space="preserve"> </v>
      </c>
      <c r="CE158" s="282" t="str">
        <f t="shared" ca="1" si="441"/>
        <v xml:space="preserve"> </v>
      </c>
      <c r="CF158" s="282" t="str">
        <f t="shared" ca="1" si="441"/>
        <v xml:space="preserve"> </v>
      </c>
      <c r="CG158" s="282" t="str">
        <f t="shared" ca="1" si="441"/>
        <v xml:space="preserve"> </v>
      </c>
      <c r="CH158" s="282" t="str">
        <f t="shared" ca="1" si="441"/>
        <v xml:space="preserve"> </v>
      </c>
      <c r="CI158" s="282" t="str">
        <f t="shared" ca="1" si="441"/>
        <v xml:space="preserve"> </v>
      </c>
      <c r="CJ158" s="282" t="str">
        <f t="shared" ca="1" si="441"/>
        <v xml:space="preserve"> </v>
      </c>
      <c r="CK158" s="282" t="str">
        <f t="shared" ca="1" si="441"/>
        <v xml:space="preserve"> </v>
      </c>
      <c r="CL158" s="282" t="str">
        <f t="shared" ca="1" si="441"/>
        <v xml:space="preserve"> </v>
      </c>
      <c r="CM158" s="282" t="str">
        <f t="shared" ca="1" si="441"/>
        <v xml:space="preserve"> </v>
      </c>
      <c r="CN158" s="282" t="str">
        <f t="shared" ca="1" si="441"/>
        <v xml:space="preserve"> </v>
      </c>
      <c r="CO158" s="282" t="str">
        <f t="shared" ca="1" si="441"/>
        <v xml:space="preserve"> </v>
      </c>
      <c r="CP158" s="282" t="str">
        <f t="shared" ca="1" si="441"/>
        <v xml:space="preserve"> </v>
      </c>
      <c r="CQ158" s="282" t="str">
        <f t="shared" ca="1" si="441"/>
        <v xml:space="preserve"> </v>
      </c>
      <c r="CR158" s="282" t="str">
        <f t="shared" ca="1" si="441"/>
        <v xml:space="preserve"> </v>
      </c>
      <c r="CS158" s="282" t="str">
        <f t="shared" ca="1" si="441"/>
        <v xml:space="preserve"> </v>
      </c>
      <c r="CT158" s="282" t="str">
        <f t="shared" ca="1" si="441"/>
        <v xml:space="preserve"> </v>
      </c>
      <c r="CU158" s="282" t="str">
        <f t="shared" ca="1" si="441"/>
        <v xml:space="preserve"> </v>
      </c>
      <c r="CV158" s="282" t="str">
        <f t="shared" ca="1" si="441"/>
        <v xml:space="preserve"> </v>
      </c>
      <c r="CW158" s="282" t="str">
        <f t="shared" ca="1" si="441"/>
        <v xml:space="preserve"> </v>
      </c>
      <c r="CX158" s="282" t="str">
        <f t="shared" ca="1" si="441"/>
        <v xml:space="preserve"> </v>
      </c>
      <c r="CY158" s="282" t="str">
        <f t="shared" ca="1" si="441"/>
        <v xml:space="preserve"> </v>
      </c>
      <c r="CZ158" s="282" t="str">
        <f t="shared" ca="1" si="441"/>
        <v xml:space="preserve"> </v>
      </c>
      <c r="DA158" s="282" t="str">
        <f t="shared" ca="1" si="441"/>
        <v xml:space="preserve"> </v>
      </c>
      <c r="DB158" s="282" t="str">
        <f t="shared" ca="1" si="441"/>
        <v xml:space="preserve"> </v>
      </c>
    </row>
    <row r="159" spans="3:106">
      <c r="D159" s="246" t="s">
        <v>358</v>
      </c>
      <c r="E159" s="141"/>
      <c r="F159" s="280">
        <f ca="1">AVERAGE(H158:DB158)</f>
        <v>1.7571889421756501</v>
      </c>
    </row>
    <row r="160" spans="3:106">
      <c r="D160" s="248" t="s">
        <v>359</v>
      </c>
      <c r="E160" s="249"/>
      <c r="F160" s="281">
        <f ca="1">MIN(H158:DB158)</f>
        <v>1.2972959905489816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95A6-24DE-544A-BF7A-927A501F1C3A}">
  <dimension ref="A1:W78"/>
  <sheetViews>
    <sheetView showGridLines="0" zoomScale="92" workbookViewId="0">
      <selection activeCell="G5" sqref="G5"/>
    </sheetView>
  </sheetViews>
  <sheetFormatPr baseColWidth="10" defaultRowHeight="15"/>
  <cols>
    <col min="1" max="1" width="3.5" style="13" customWidth="1"/>
    <col min="2" max="2" width="3.83203125" style="13" customWidth="1"/>
    <col min="3" max="3" width="4" style="13" customWidth="1"/>
    <col min="4" max="4" width="4.1640625" style="13" customWidth="1"/>
    <col min="5" max="5" width="5.5" style="13" customWidth="1"/>
    <col min="6" max="8" width="10.83203125" style="13"/>
    <col min="9" max="9" width="4.33203125" style="13" customWidth="1"/>
    <col min="10" max="16384" width="10.83203125" style="13"/>
  </cols>
  <sheetData>
    <row r="1" spans="1:23" s="1" customFormat="1" ht="17" customHeight="1"/>
    <row r="2" spans="1:23" s="1" customFormat="1" ht="17" customHeight="1">
      <c r="B2" s="2" t="s">
        <v>10</v>
      </c>
      <c r="S2" s="3" t="s">
        <v>0</v>
      </c>
      <c r="T2" s="4" t="s">
        <v>1</v>
      </c>
      <c r="U2" s="5" t="s">
        <v>2</v>
      </c>
    </row>
    <row r="3" spans="1:23" s="1" customFormat="1" ht="17" customHeight="1">
      <c r="B3" s="2" t="s">
        <v>11</v>
      </c>
      <c r="S3" s="6" t="s">
        <v>3</v>
      </c>
      <c r="T3" s="7" t="s">
        <v>4</v>
      </c>
      <c r="U3" s="8" t="s">
        <v>5</v>
      </c>
    </row>
    <row r="4" spans="1:23" s="1" customFormat="1" ht="17" customHeight="1">
      <c r="B4" s="14"/>
      <c r="S4" s="9" t="s">
        <v>6</v>
      </c>
      <c r="T4" s="10" t="s">
        <v>7</v>
      </c>
      <c r="U4" s="63" t="s">
        <v>8</v>
      </c>
    </row>
    <row r="5" spans="1:23" s="12" customFormat="1" ht="17" customHeight="1" thickBot="1"/>
    <row r="6" spans="1:23" ht="16" thickTop="1">
      <c r="A6" s="13" t="s">
        <v>9</v>
      </c>
    </row>
    <row r="7" spans="1:23">
      <c r="A7" s="2" t="s">
        <v>266</v>
      </c>
    </row>
    <row r="8" spans="1:23">
      <c r="B8" s="64"/>
      <c r="C8" s="64"/>
      <c r="D8" s="64"/>
      <c r="E8" s="64"/>
      <c r="F8" s="64"/>
      <c r="G8" s="64"/>
      <c r="H8" s="64" t="s">
        <v>94</v>
      </c>
      <c r="I8" s="64"/>
      <c r="J8" s="66">
        <v>1</v>
      </c>
      <c r="K8" s="66">
        <v>2</v>
      </c>
      <c r="L8" s="66">
        <v>3</v>
      </c>
      <c r="M8" s="66">
        <v>4</v>
      </c>
      <c r="N8" s="66">
        <v>5</v>
      </c>
      <c r="O8" s="66">
        <v>6</v>
      </c>
      <c r="P8" s="66">
        <v>7</v>
      </c>
      <c r="Q8" s="66">
        <v>8</v>
      </c>
      <c r="R8" s="66">
        <v>9</v>
      </c>
      <c r="S8" s="66">
        <v>10</v>
      </c>
      <c r="T8" s="66">
        <v>11</v>
      </c>
      <c r="U8" s="66">
        <v>12</v>
      </c>
      <c r="V8" s="66">
        <v>13</v>
      </c>
      <c r="W8" s="66">
        <v>14</v>
      </c>
    </row>
    <row r="9" spans="1:23">
      <c r="B9" s="64"/>
      <c r="C9" s="64"/>
      <c r="D9" s="64"/>
      <c r="E9" s="64"/>
      <c r="F9" s="64"/>
      <c r="G9" s="64"/>
      <c r="H9" s="64" t="s">
        <v>60</v>
      </c>
      <c r="I9" s="64"/>
      <c r="J9" s="65">
        <f>운영수입!T9</f>
        <v>45716</v>
      </c>
      <c r="K9" s="65">
        <f>운영수입!U9</f>
        <v>45900</v>
      </c>
      <c r="L9" s="65">
        <f>운영수입!V9</f>
        <v>46081</v>
      </c>
      <c r="M9" s="65">
        <f>운영수입!W9</f>
        <v>46265</v>
      </c>
      <c r="N9" s="65">
        <f>운영수입!X9</f>
        <v>46446</v>
      </c>
      <c r="O9" s="65">
        <f>운영수입!Y9</f>
        <v>46630</v>
      </c>
      <c r="P9" s="65">
        <f>운영수입!Z9</f>
        <v>46812</v>
      </c>
      <c r="Q9" s="65">
        <f>운영수입!AA9</f>
        <v>46996</v>
      </c>
      <c r="R9" s="65">
        <f>운영수입!AB9</f>
        <v>47177</v>
      </c>
      <c r="S9" s="65">
        <f>운영수입!AC9</f>
        <v>47361</v>
      </c>
      <c r="T9" s="65">
        <f>운영수입!AD9</f>
        <v>47542</v>
      </c>
      <c r="U9" s="65">
        <f>운영수입!AE9</f>
        <v>47726</v>
      </c>
      <c r="V9" s="65">
        <f>운영수입!AF9</f>
        <v>47907</v>
      </c>
      <c r="W9" s="65">
        <f>운영수입!AG9</f>
        <v>48091</v>
      </c>
    </row>
    <row r="10" spans="1:23">
      <c r="B10" s="64"/>
      <c r="C10" s="64"/>
      <c r="D10" s="64"/>
      <c r="E10" s="64"/>
      <c r="F10" s="64"/>
      <c r="G10" s="64"/>
      <c r="H10" s="64" t="s">
        <v>61</v>
      </c>
      <c r="I10" s="64"/>
      <c r="J10" s="65">
        <f>운영수입!T10</f>
        <v>45869</v>
      </c>
      <c r="K10" s="65">
        <f>운영수입!U10</f>
        <v>46053</v>
      </c>
      <c r="L10" s="65">
        <f>운영수입!V10</f>
        <v>46234</v>
      </c>
      <c r="M10" s="65">
        <f>운영수입!W10</f>
        <v>46418</v>
      </c>
      <c r="N10" s="65">
        <f>운영수입!X10</f>
        <v>46599</v>
      </c>
      <c r="O10" s="65">
        <f>운영수입!Y10</f>
        <v>46783</v>
      </c>
      <c r="P10" s="65">
        <f>운영수입!Z10</f>
        <v>46965</v>
      </c>
      <c r="Q10" s="65">
        <f>운영수입!AA10</f>
        <v>47149</v>
      </c>
      <c r="R10" s="65">
        <f>운영수입!AB10</f>
        <v>47330</v>
      </c>
      <c r="S10" s="65">
        <f>운영수입!AC10</f>
        <v>47514</v>
      </c>
      <c r="T10" s="65">
        <f>운영수입!AD10</f>
        <v>47695</v>
      </c>
      <c r="U10" s="65">
        <f>운영수입!AE10</f>
        <v>47879</v>
      </c>
      <c r="V10" s="65">
        <f>운영수입!AF10</f>
        <v>48060</v>
      </c>
      <c r="W10" s="65">
        <f>운영수입!AG10</f>
        <v>48244</v>
      </c>
    </row>
    <row r="11" spans="1:23">
      <c r="B11" s="64"/>
      <c r="C11" s="64"/>
      <c r="D11" s="64"/>
      <c r="E11" s="64"/>
      <c r="F11" s="64"/>
      <c r="G11" s="64"/>
      <c r="H11" s="64" t="s">
        <v>313</v>
      </c>
      <c r="I11" s="64"/>
      <c r="J11" s="265">
        <f t="shared" ref="J11:W11" si="0">period</f>
        <v>6</v>
      </c>
      <c r="K11" s="265">
        <f t="shared" si="0"/>
        <v>6</v>
      </c>
      <c r="L11" s="265">
        <f t="shared" si="0"/>
        <v>6</v>
      </c>
      <c r="M11" s="265">
        <f t="shared" si="0"/>
        <v>6</v>
      </c>
      <c r="N11" s="265">
        <f t="shared" si="0"/>
        <v>6</v>
      </c>
      <c r="O11" s="265">
        <f t="shared" si="0"/>
        <v>6</v>
      </c>
      <c r="P11" s="265">
        <f t="shared" si="0"/>
        <v>6</v>
      </c>
      <c r="Q11" s="265">
        <f t="shared" si="0"/>
        <v>6</v>
      </c>
      <c r="R11" s="265">
        <f t="shared" si="0"/>
        <v>6</v>
      </c>
      <c r="S11" s="265">
        <f t="shared" si="0"/>
        <v>6</v>
      </c>
      <c r="T11" s="265">
        <f t="shared" si="0"/>
        <v>6</v>
      </c>
      <c r="U11" s="265">
        <f t="shared" si="0"/>
        <v>6</v>
      </c>
      <c r="V11" s="265">
        <f t="shared" si="0"/>
        <v>6</v>
      </c>
      <c r="W11" s="265">
        <f t="shared" si="0"/>
        <v>6</v>
      </c>
    </row>
    <row r="12" spans="1:23">
      <c r="B12" s="67"/>
      <c r="C12" s="67"/>
      <c r="D12" s="67"/>
      <c r="E12" s="67"/>
      <c r="F12" s="67"/>
      <c r="G12" s="67"/>
      <c r="H12" s="67" t="s">
        <v>95</v>
      </c>
      <c r="I12" s="67"/>
      <c r="J12" s="68">
        <f>DATEDIF($J$9,J$10,"y")+1</f>
        <v>1</v>
      </c>
      <c r="K12" s="68">
        <f t="shared" ref="K12:W12" si="1">DATEDIF($J$9,K$10,"y")+1</f>
        <v>1</v>
      </c>
      <c r="L12" s="68">
        <f t="shared" si="1"/>
        <v>2</v>
      </c>
      <c r="M12" s="68">
        <f t="shared" si="1"/>
        <v>2</v>
      </c>
      <c r="N12" s="68">
        <f t="shared" si="1"/>
        <v>3</v>
      </c>
      <c r="O12" s="68">
        <f t="shared" si="1"/>
        <v>3</v>
      </c>
      <c r="P12" s="68">
        <f t="shared" si="1"/>
        <v>4</v>
      </c>
      <c r="Q12" s="68">
        <f t="shared" si="1"/>
        <v>4</v>
      </c>
      <c r="R12" s="68">
        <f t="shared" si="1"/>
        <v>5</v>
      </c>
      <c r="S12" s="68">
        <f t="shared" si="1"/>
        <v>5</v>
      </c>
      <c r="T12" s="68">
        <f t="shared" si="1"/>
        <v>6</v>
      </c>
      <c r="U12" s="68">
        <f t="shared" si="1"/>
        <v>6</v>
      </c>
      <c r="V12" s="68">
        <f t="shared" si="1"/>
        <v>7</v>
      </c>
      <c r="W12" s="68">
        <f t="shared" si="1"/>
        <v>7</v>
      </c>
    </row>
    <row r="13" spans="1:23">
      <c r="B13" s="2" t="s">
        <v>314</v>
      </c>
    </row>
    <row r="14" spans="1:23">
      <c r="C14" s="2" t="s">
        <v>315</v>
      </c>
      <c r="H14" s="2">
        <f>SUM(J14:W14)</f>
        <v>81962.917953115742</v>
      </c>
      <c r="I14" s="2"/>
      <c r="J14" s="2">
        <f>SUM(J15:J19)</f>
        <v>6610.9098440860143</v>
      </c>
      <c r="K14" s="2">
        <f t="shared" ref="K14:W14" si="2">SUM(K15:K19)</f>
        <v>7642.1721924983513</v>
      </c>
      <c r="L14" s="2">
        <f t="shared" si="2"/>
        <v>7933.4511943638799</v>
      </c>
      <c r="M14" s="2">
        <f t="shared" si="2"/>
        <v>8025.5678352658852</v>
      </c>
      <c r="N14" s="2">
        <f t="shared" si="2"/>
        <v>8108.9813220414226</v>
      </c>
      <c r="O14" s="2">
        <f t="shared" si="2"/>
        <v>8355.7103466312365</v>
      </c>
      <c r="P14" s="2">
        <f t="shared" si="2"/>
        <v>8579.1058010099132</v>
      </c>
      <c r="Q14" s="2">
        <f t="shared" si="2"/>
        <v>8695.5036625289376</v>
      </c>
      <c r="R14" s="2">
        <f t="shared" si="2"/>
        <v>8954.8056340779694</v>
      </c>
      <c r="S14" s="2">
        <f t="shared" si="2"/>
        <v>9056.7101206121515</v>
      </c>
      <c r="T14" s="2">
        <f t="shared" si="2"/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</row>
    <row r="15" spans="1:23">
      <c r="D15" s="112" t="s">
        <v>316</v>
      </c>
      <c r="E15" s="75"/>
      <c r="F15" s="75"/>
      <c r="G15" s="75"/>
      <c r="H15" s="75">
        <f>SUM(J15:W15)</f>
        <v>42367.537150880758</v>
      </c>
      <c r="I15" s="75"/>
      <c r="J15" s="75">
        <f>SUMIF(운영수입!$S$15:$DM$15,배당!J$8,운영수입!$S$18:$DM$18)</f>
        <v>3169.9218792365036</v>
      </c>
      <c r="K15" s="75">
        <f>SUMIF(운영수입!$S$15:$DM$15,배당!K$8,운영수입!$S$18:$DM$18)</f>
        <v>3858.6941695835335</v>
      </c>
      <c r="L15" s="75">
        <f>SUMIF(운영수입!$S$15:$DM$15,배당!L$8,운영수입!$S$18:$DM$18)</f>
        <v>4078.7961174158754</v>
      </c>
      <c r="M15" s="75">
        <f>SUMIF(운영수입!$S$15:$DM$15,배당!M$8,운영수입!$S$18:$DM$18)</f>
        <v>4137.440601063623</v>
      </c>
      <c r="N15" s="75">
        <f>SUMIF(운영수입!$S$15:$DM$15,배당!N$8,운영수입!$S$18:$DM$18)</f>
        <v>4129.8756522304047</v>
      </c>
      <c r="O15" s="75">
        <f>SUMIF(운영수입!$S$15:$DM$15,배당!O$8,운영수입!$S$18:$DM$18)</f>
        <v>4337.1839180680645</v>
      </c>
      <c r="P15" s="75">
        <f>SUMIF(운영수입!$S$15:$DM$15,배당!P$8,운영수입!$S$18:$DM$18)</f>
        <v>4484.7959549283387</v>
      </c>
      <c r="Q15" s="75">
        <f>SUMIF(운영수입!$S$15:$DM$15,배당!Q$8,운영수입!$S$18:$DM$18)</f>
        <v>4580.652193507588</v>
      </c>
      <c r="R15" s="75">
        <f>SUMIF(운영수입!$S$15:$DM$15,배당!R$8,운영수입!$S$18:$DM$18)</f>
        <v>4762.2275514926441</v>
      </c>
      <c r="S15" s="75">
        <f>SUMIF(운영수입!$S$15:$DM$15,배당!S$8,운영수입!$S$18:$DM$18)</f>
        <v>4827.9491133541833</v>
      </c>
      <c r="T15" s="75">
        <f>SUMIF(운영수입!$S$15:$DM$15,배당!T$8,운영수입!$S$18:$DM$18)</f>
        <v>0</v>
      </c>
      <c r="U15" s="75">
        <f>SUMIF(운영수입!$S$15:$DM$15,배당!U$8,운영수입!$S$18:$DM$18)</f>
        <v>0</v>
      </c>
      <c r="V15" s="75">
        <f>SUMIF(운영수입!$S$15:$DM$15,배당!V$8,운영수입!$S$18:$DM$18)</f>
        <v>0</v>
      </c>
      <c r="W15" s="75">
        <f>SUMIF(운영수입!$S$15:$DM$15,배당!W$8,운영수입!$S$18:$DM$18)</f>
        <v>0</v>
      </c>
    </row>
    <row r="16" spans="1:23">
      <c r="D16" s="112" t="s">
        <v>200</v>
      </c>
      <c r="E16" s="75"/>
      <c r="F16" s="75"/>
      <c r="G16" s="75"/>
      <c r="H16" s="75">
        <f t="shared" ref="H16:H18" si="3">SUM(J16:W16)</f>
        <v>21242.108226077289</v>
      </c>
      <c r="I16" s="75"/>
      <c r="J16" s="75">
        <f>SUMIF(운영수입!$S$15:$DM$15,배당!J$8,운영수입!$S$65:$DM$65)</f>
        <v>1909.9620848495106</v>
      </c>
      <c r="K16" s="75">
        <f>SUMIF(운영수입!$S$15:$DM$15,배당!K$8,운영수입!$S$65:$DM$65)</f>
        <v>2012.4521429148181</v>
      </c>
      <c r="L16" s="75">
        <f>SUMIF(운영수입!$S$15:$DM$15,배당!L$8,운영수입!$S$65:$DM$65)</f>
        <v>2045.3535499480051</v>
      </c>
      <c r="M16" s="75">
        <f>SUMIF(운영수입!$S$15:$DM$15,배당!M$8,운영수입!$S$65:$DM$65)</f>
        <v>2072.8257072022625</v>
      </c>
      <c r="N16" s="75">
        <f>SUMIF(운영수입!$S$15:$DM$15,배당!N$8,운영수입!$S$65:$DM$65)</f>
        <v>2124.5716046360185</v>
      </c>
      <c r="O16" s="75">
        <f>SUMIF(운영수입!$S$15:$DM$15,배당!O$8,운영수입!$S$65:$DM$65)</f>
        <v>2157.8423633881721</v>
      </c>
      <c r="P16" s="75">
        <f>SUMIF(운영수입!$S$15:$DM$15,배당!P$8,운영수입!$S$65:$DM$65)</f>
        <v>2193.4124292772012</v>
      </c>
      <c r="Q16" s="75">
        <f>SUMIF(운영수입!$S$15:$DM$15,배당!Q$8,운영수입!$S$65:$DM$65)</f>
        <v>2207.650302216975</v>
      </c>
      <c r="R16" s="75">
        <f>SUMIF(운영수입!$S$15:$DM$15,배당!R$8,운영수입!$S$65:$DM$65)</f>
        <v>2244.1582303608416</v>
      </c>
      <c r="S16" s="75">
        <f>SUMIF(운영수입!$S$15:$DM$15,배당!S$8,운영수입!$S$65:$DM$65)</f>
        <v>2273.8798112834843</v>
      </c>
      <c r="T16" s="75">
        <f>SUMIF(운영수입!$S$15:$DM$15,배당!T$8,운영수입!$S$65:$DM$65)</f>
        <v>0</v>
      </c>
      <c r="U16" s="75">
        <f>SUMIF(운영수입!$S$15:$DM$15,배당!U$8,운영수입!$S$65:$DM$65)</f>
        <v>0</v>
      </c>
      <c r="V16" s="75">
        <f>SUMIF(운영수입!$S$15:$DM$15,배당!V$8,운영수입!$S$65:$DM$65)</f>
        <v>0</v>
      </c>
      <c r="W16" s="75">
        <f>SUMIF(운영수입!$S$15:$DM$15,배당!W$8,운영수입!$S$65:$DM$65)</f>
        <v>0</v>
      </c>
    </row>
    <row r="17" spans="3:23">
      <c r="D17" s="112" t="s">
        <v>317</v>
      </c>
      <c r="E17" s="75"/>
      <c r="F17" s="75"/>
      <c r="G17" s="75"/>
      <c r="H17" s="75">
        <f t="shared" si="3"/>
        <v>2523.0376874999997</v>
      </c>
      <c r="I17" s="75"/>
      <c r="J17" s="75">
        <f>SUMIF(운영수입!$S$15:$DM$15,배당!J$8,운영수입!$S$170:$DM$170)</f>
        <v>240</v>
      </c>
      <c r="K17" s="75">
        <f>SUMIF(운영수입!$S$15:$DM$15,배당!K$8,운영수입!$S$170:$DM$170)</f>
        <v>240</v>
      </c>
      <c r="L17" s="75">
        <f>SUMIF(운영수입!$S$15:$DM$15,배당!L$8,운영수입!$S$170:$DM$170)</f>
        <v>246</v>
      </c>
      <c r="M17" s="75">
        <f>SUMIF(운영수입!$S$15:$DM$15,배당!M$8,운영수입!$S$170:$DM$170)</f>
        <v>246</v>
      </c>
      <c r="N17" s="75">
        <f>SUMIF(운영수입!$S$15:$DM$15,배당!N$8,운영수입!$S$170:$DM$170)</f>
        <v>252.15</v>
      </c>
      <c r="O17" s="75">
        <f>SUMIF(운영수입!$S$15:$DM$15,배당!O$8,운영수입!$S$170:$DM$170)</f>
        <v>252.15</v>
      </c>
      <c r="P17" s="75">
        <f>SUMIF(운영수입!$S$15:$DM$15,배당!P$8,운영수입!$S$170:$DM$170)</f>
        <v>258.45374999999996</v>
      </c>
      <c r="Q17" s="75">
        <f>SUMIF(운영수입!$S$15:$DM$15,배당!Q$8,운영수입!$S$170:$DM$170)</f>
        <v>258.45374999999996</v>
      </c>
      <c r="R17" s="75">
        <f>SUMIF(운영수입!$S$15:$DM$15,배당!R$8,운영수입!$S$170:$DM$170)</f>
        <v>264.91509374999993</v>
      </c>
      <c r="S17" s="75">
        <f>SUMIF(운영수입!$S$15:$DM$15,배당!S$8,운영수입!$S$170:$DM$170)</f>
        <v>264.91509374999993</v>
      </c>
      <c r="T17" s="75">
        <f>SUMIF(운영수입!$S$15:$DM$15,배당!T$8,운영수입!$S$170:$DM$170)</f>
        <v>0</v>
      </c>
      <c r="U17" s="75">
        <f>SUMIF(운영수입!$S$15:$DM$15,배당!U$8,운영수입!$S$170:$DM$170)</f>
        <v>0</v>
      </c>
      <c r="V17" s="75">
        <f>SUMIF(운영수입!$S$15:$DM$15,배당!V$8,운영수입!$S$170:$DM$170)</f>
        <v>0</v>
      </c>
      <c r="W17" s="75">
        <f>SUMIF(운영수입!$S$15:$DM$15,배당!W$8,운영수입!$S$170:$DM$170)</f>
        <v>0</v>
      </c>
    </row>
    <row r="18" spans="3:23">
      <c r="D18" s="112" t="s">
        <v>318</v>
      </c>
      <c r="E18" s="75"/>
      <c r="F18" s="75"/>
      <c r="G18" s="75"/>
      <c r="H18" s="75">
        <f t="shared" si="3"/>
        <v>956.92385740771874</v>
      </c>
      <c r="I18" s="75"/>
      <c r="J18" s="75">
        <f>SUMIF(운영수입!$S$15:$DM$15,배당!J$8,운영수입!$S$175:$DM$175)</f>
        <v>91.025880000000001</v>
      </c>
      <c r="K18" s="75">
        <f>SUMIF(운영수입!$S$15:$DM$15,배당!K$8,운영수입!$S$175:$DM$175)</f>
        <v>91.025880000000001</v>
      </c>
      <c r="L18" s="75">
        <f>SUMIF(운영수입!$S$15:$DM$15,배당!L$8,운영수입!$S$175:$DM$175)</f>
        <v>93.301526999999993</v>
      </c>
      <c r="M18" s="75">
        <f>SUMIF(운영수입!$S$15:$DM$15,배당!M$8,운영수입!$S$175:$DM$175)</f>
        <v>93.301526999999993</v>
      </c>
      <c r="N18" s="75">
        <f>SUMIF(운영수입!$S$15:$DM$15,배당!N$8,운영수입!$S$175:$DM$175)</f>
        <v>95.634065174999989</v>
      </c>
      <c r="O18" s="75">
        <f>SUMIF(운영수입!$S$15:$DM$15,배당!O$8,운영수입!$S$175:$DM$175)</f>
        <v>95.634065174999989</v>
      </c>
      <c r="P18" s="75">
        <f>SUMIF(운영수입!$S$15:$DM$15,배당!P$8,운영수입!$S$175:$DM$175)</f>
        <v>98.024916804374996</v>
      </c>
      <c r="Q18" s="75">
        <f>SUMIF(운영수입!$S$15:$DM$15,배당!Q$8,운영수입!$S$175:$DM$175)</f>
        <v>98.024916804374996</v>
      </c>
      <c r="R18" s="75">
        <f>SUMIF(운영수입!$S$15:$DM$15,배당!R$8,운영수입!$S$175:$DM$175)</f>
        <v>100.47553972448435</v>
      </c>
      <c r="S18" s="75">
        <f>SUMIF(운영수입!$S$15:$DM$15,배당!S$8,운영수입!$S$175:$DM$175)</f>
        <v>100.47553972448435</v>
      </c>
      <c r="T18" s="75">
        <f>SUMIF(운영수입!$S$15:$DM$15,배당!T$8,운영수입!$S$175:$DM$175)</f>
        <v>0</v>
      </c>
      <c r="U18" s="75">
        <f>SUMIF(운영수입!$S$15:$DM$15,배당!U$8,운영수입!$S$175:$DM$175)</f>
        <v>0</v>
      </c>
      <c r="V18" s="75">
        <f>SUMIF(운영수입!$S$15:$DM$15,배당!V$8,운영수입!$S$175:$DM$175)</f>
        <v>0</v>
      </c>
      <c r="W18" s="75">
        <f>SUMIF(운영수입!$S$15:$DM$15,배당!W$8,운영수입!$S$175:$DM$175)</f>
        <v>0</v>
      </c>
    </row>
    <row r="19" spans="3:23">
      <c r="C19" s="271"/>
      <c r="D19" s="112" t="s">
        <v>482</v>
      </c>
      <c r="E19" s="75"/>
      <c r="F19" s="75"/>
      <c r="G19" s="75"/>
      <c r="H19" s="75">
        <f t="shared" ref="H19" si="4">SUM(J19:W19)</f>
        <v>14873.311031249998</v>
      </c>
      <c r="I19" s="75"/>
      <c r="J19" s="75">
        <f>SUMIF(운영수입!$S$15:$DM$15,배당!J$8,운영수입!$S$180:$DM$180)</f>
        <v>1200</v>
      </c>
      <c r="K19" s="75">
        <f>SUMIF(운영수입!$S$15:$DM$15,배당!K$8,운영수입!$S$180:$DM$180)</f>
        <v>1440</v>
      </c>
      <c r="L19" s="75">
        <f>SUMIF(운영수입!$S$15:$DM$15,배당!L$8,운영수입!$S$180:$DM$180)</f>
        <v>1470</v>
      </c>
      <c r="M19" s="75">
        <f>SUMIF(운영수입!$S$15:$DM$15,배당!M$8,운영수입!$S$180:$DM$180)</f>
        <v>1475.9999999999998</v>
      </c>
      <c r="N19" s="75">
        <f>SUMIF(운영수입!$S$15:$DM$15,배당!N$8,운영수입!$S$180:$DM$180)</f>
        <v>1506.75</v>
      </c>
      <c r="O19" s="75">
        <f>SUMIF(운영수입!$S$15:$DM$15,배당!O$8,운영수입!$S$180:$DM$180)</f>
        <v>1512.9</v>
      </c>
      <c r="P19" s="75">
        <f>SUMIF(운영수입!$S$15:$DM$15,배당!P$8,운영수입!$S$180:$DM$180)</f>
        <v>1544.4187499999996</v>
      </c>
      <c r="Q19" s="75">
        <f>SUMIF(운영수입!$S$15:$DM$15,배당!Q$8,운영수입!$S$180:$DM$180)</f>
        <v>1550.7224999999996</v>
      </c>
      <c r="R19" s="75">
        <f>SUMIF(운영수입!$S$15:$DM$15,배당!R$8,운영수입!$S$180:$DM$180)</f>
        <v>1583.0292187499995</v>
      </c>
      <c r="S19" s="75">
        <f>SUMIF(운영수입!$S$15:$DM$15,배당!S$8,운영수입!$S$180:$DM$180)</f>
        <v>1589.4905624999994</v>
      </c>
      <c r="T19" s="75">
        <f>SUMIF(운영수입!$S$15:$DM$15,배당!T$8,운영수입!$S$180:$DM$180)</f>
        <v>0</v>
      </c>
      <c r="U19" s="75">
        <f>SUMIF(운영수입!$S$15:$DM$15,배당!U$8,운영수입!$S$180:$DM$180)</f>
        <v>0</v>
      </c>
      <c r="V19" s="75">
        <f>SUMIF(운영수입!$S$15:$DM$15,배당!V$8,운영수입!$S$180:$DM$180)</f>
        <v>0</v>
      </c>
      <c r="W19" s="75">
        <f>SUMIF(운영수입!$S$15:$DM$15,배당!W$8,운영수입!$S$180:$DM$180)</f>
        <v>0</v>
      </c>
    </row>
    <row r="20" spans="3:23">
      <c r="C20" s="2" t="s">
        <v>319</v>
      </c>
      <c r="H20" s="2">
        <f>SUM(J20:W20)</f>
        <v>20870.535991059369</v>
      </c>
      <c r="I20" s="2"/>
      <c r="J20" s="2">
        <f>SUM(J21:J32)</f>
        <v>1909.2815615</v>
      </c>
      <c r="K20" s="2">
        <f t="shared" ref="K20:W20" si="5">SUM(K21:K32)</f>
        <v>2440.3886913225001</v>
      </c>
      <c r="L20" s="2">
        <f t="shared" si="5"/>
        <v>1941.7247169249999</v>
      </c>
      <c r="M20" s="2">
        <f t="shared" si="5"/>
        <v>1973.8240771498456</v>
      </c>
      <c r="N20" s="2">
        <f t="shared" si="5"/>
        <v>2247.5462348184938</v>
      </c>
      <c r="O20" s="2">
        <f t="shared" si="5"/>
        <v>2015.2421950729699</v>
      </c>
      <c r="P20" s="2">
        <f t="shared" si="5"/>
        <v>2116.3749063758205</v>
      </c>
      <c r="Q20" s="2">
        <f t="shared" si="5"/>
        <v>2087.9309761701193</v>
      </c>
      <c r="R20" s="2">
        <f t="shared" si="5"/>
        <v>2069.1113158623102</v>
      </c>
      <c r="S20" s="2">
        <f t="shared" si="5"/>
        <v>2069.1113158623102</v>
      </c>
      <c r="T20" s="2">
        <f t="shared" si="5"/>
        <v>0</v>
      </c>
      <c r="U20" s="2">
        <f t="shared" si="5"/>
        <v>0</v>
      </c>
      <c r="V20" s="2">
        <f t="shared" si="5"/>
        <v>0</v>
      </c>
      <c r="W20" s="2">
        <f t="shared" si="5"/>
        <v>0</v>
      </c>
    </row>
    <row r="21" spans="3:23" ht="17">
      <c r="D21" s="112" t="str">
        <f>'A&amp;R'!U11</f>
        <v>PM Fee</v>
      </c>
      <c r="E21" s="75"/>
      <c r="F21" s="75"/>
      <c r="G21" s="75"/>
      <c r="H21" s="75">
        <f>SUM(J21:W21)</f>
        <v>430.61573583347331</v>
      </c>
      <c r="I21" s="75"/>
      <c r="J21" s="75">
        <f>SUMIF(운영비용!$H$15:$DB$15,배당!J$8,운영비용!$H$20:$DB$20)</f>
        <v>40.961645999999995</v>
      </c>
      <c r="K21" s="75">
        <f>SUMIF(운영비용!$H$15:$DB$15,배당!K$8,운영비용!$H$20:$DB$20)</f>
        <v>40.961645999999995</v>
      </c>
      <c r="L21" s="75">
        <f>SUMIF(운영비용!$H$15:$DB$15,배당!L$8,운영비용!$H$20:$DB$20)</f>
        <v>41.98568714999999</v>
      </c>
      <c r="M21" s="266">
        <f>SUMIF(운영비용!$H$15:$DB$15,배당!M$8,운영비용!$H$20:$DB$20)</f>
        <v>41.98568714999999</v>
      </c>
      <c r="N21" s="75">
        <f>SUMIF(운영비용!$H$15:$DB$15,배당!N$8,운영비용!$H$20:$DB$20)</f>
        <v>43.035329328749988</v>
      </c>
      <c r="O21" s="75">
        <f>SUMIF(운영비용!$H$15:$DB$15,배당!O$8,운영비용!$H$20:$DB$20)</f>
        <v>43.035329328749988</v>
      </c>
      <c r="P21" s="75">
        <f>SUMIF(운영비용!$H$15:$DB$15,배당!P$8,운영비용!$H$20:$DB$20)</f>
        <v>44.111212561968749</v>
      </c>
      <c r="Q21" s="75">
        <f>SUMIF(운영비용!$H$15:$DB$15,배당!Q$8,운영비용!$H$20:$DB$20)</f>
        <v>44.111212561968749</v>
      </c>
      <c r="R21" s="75">
        <f>SUMIF(운영비용!$H$15:$DB$15,배당!R$8,운영비용!$H$20:$DB$20)</f>
        <v>45.213992876017954</v>
      </c>
      <c r="S21" s="75">
        <f>SUMIF(운영비용!$H$15:$DB$15,배당!S$8,운영비용!$H$20:$DB$20)</f>
        <v>45.213992876017954</v>
      </c>
      <c r="T21" s="75">
        <f>SUMIF(운영비용!$H$15:$DB$15,배당!T$8,운영비용!$H$20:$DB$20)</f>
        <v>0</v>
      </c>
      <c r="U21" s="75">
        <f>SUMIF(운영비용!$H$15:$DB$15,배당!U$8,운영비용!$H$20:$DB$20)</f>
        <v>0</v>
      </c>
      <c r="V21" s="75">
        <f>SUMIF(운영비용!$H$15:$DB$15,배당!V$8,운영비용!$H$20:$DB$20)</f>
        <v>0</v>
      </c>
      <c r="W21" s="75">
        <f>SUMIF(운영비용!$H$15:$DB$15,배당!W$8,운영비용!$H$20:$DB$20)</f>
        <v>0</v>
      </c>
    </row>
    <row r="22" spans="3:23">
      <c r="D22" s="112" t="str">
        <f>'A&amp;R'!U12</f>
        <v>FM Fee</v>
      </c>
      <c r="E22" s="75"/>
      <c r="F22" s="75"/>
      <c r="G22" s="75"/>
      <c r="H22" s="75">
        <f t="shared" ref="H22:H32" si="6">SUM(J22:W22)</f>
        <v>5263.0812157424525</v>
      </c>
      <c r="I22" s="75"/>
      <c r="J22" s="75">
        <f>SUMIF(운영비용!$H$15:$DB$15,배당!J$8,운영비용!$H$25:$DB$25)</f>
        <v>500.64233999999993</v>
      </c>
      <c r="K22" s="75">
        <f>SUMIF(운영비용!$H$15:$DB$15,배당!K$8,운영비용!$H$25:$DB$25)</f>
        <v>500.64233999999993</v>
      </c>
      <c r="L22" s="75">
        <f>SUMIF(운영비용!$H$15:$DB$15,배당!L$8,운영비용!$H$25:$DB$25)</f>
        <v>513.15839849999986</v>
      </c>
      <c r="M22" s="75">
        <f>SUMIF(운영비용!$H$15:$DB$15,배당!M$8,운영비용!$H$25:$DB$25)</f>
        <v>513.15839849999986</v>
      </c>
      <c r="N22" s="75">
        <f>SUMIF(운영비용!$H$15:$DB$15,배당!N$8,운영비용!$H$25:$DB$25)</f>
        <v>525.98735846249997</v>
      </c>
      <c r="O22" s="75">
        <f>SUMIF(운영비용!$H$15:$DB$15,배당!O$8,운영비용!$H$25:$DB$25)</f>
        <v>525.98735846249997</v>
      </c>
      <c r="P22" s="75">
        <f>SUMIF(운영비용!$H$15:$DB$15,배당!P$8,운영비용!$H$25:$DB$25)</f>
        <v>539.13704242406232</v>
      </c>
      <c r="Q22" s="75">
        <f>SUMIF(운영비용!$H$15:$DB$15,배당!Q$8,운영비용!$H$25:$DB$25)</f>
        <v>539.13704242406232</v>
      </c>
      <c r="R22" s="75">
        <f>SUMIF(운영비용!$H$15:$DB$15,배당!R$8,운영비용!$H$25:$DB$25)</f>
        <v>552.61546848466389</v>
      </c>
      <c r="S22" s="75">
        <f>SUMIF(운영비용!$H$15:$DB$15,배당!S$8,운영비용!$H$25:$DB$25)</f>
        <v>552.61546848466389</v>
      </c>
      <c r="T22" s="75">
        <f>SUMIF(운영비용!$H$15:$DB$15,배당!T$8,운영비용!$H$25:$DB$25)</f>
        <v>0</v>
      </c>
      <c r="U22" s="75">
        <f>SUMIF(운영비용!$H$15:$DB$15,배당!U$8,운영비용!$H$25:$DB$25)</f>
        <v>0</v>
      </c>
      <c r="V22" s="75">
        <f>SUMIF(운영비용!$H$15:$DB$15,배당!V$8,운영비용!$H$25:$DB$25)</f>
        <v>0</v>
      </c>
      <c r="W22" s="75">
        <f>SUMIF(운영비용!$H$15:$DB$15,배당!W$8,운영비용!$H$25:$DB$25)</f>
        <v>0</v>
      </c>
    </row>
    <row r="23" spans="3:23">
      <c r="D23" s="112" t="str">
        <f>'A&amp;R'!U13</f>
        <v>수도광열비</v>
      </c>
      <c r="E23" s="75"/>
      <c r="F23" s="75"/>
      <c r="G23" s="75"/>
      <c r="H23" s="75">
        <f t="shared" si="6"/>
        <v>3827.695429630875</v>
      </c>
      <c r="I23" s="75"/>
      <c r="J23" s="75">
        <f>SUMIF(운영비용!$H$15:$DB$15,배당!J$8,운영비용!$H$30:$DB$30)</f>
        <v>364.10352</v>
      </c>
      <c r="K23" s="75">
        <f>SUMIF(운영비용!$H$15:$DB$15,배당!K$8,운영비용!$H$30:$DB$30)</f>
        <v>364.10352</v>
      </c>
      <c r="L23" s="75">
        <f>SUMIF(운영비용!$H$15:$DB$15,배당!L$8,운영비용!$H$30:$DB$30)</f>
        <v>373.20610799999997</v>
      </c>
      <c r="M23" s="75">
        <f>SUMIF(운영비용!$H$15:$DB$15,배당!M$8,운영비용!$H$30:$DB$30)</f>
        <v>373.20610799999997</v>
      </c>
      <c r="N23" s="75">
        <f>SUMIF(운영비용!$H$15:$DB$15,배당!N$8,운영비용!$H$30:$DB$30)</f>
        <v>382.53626069999996</v>
      </c>
      <c r="O23" s="75">
        <f>SUMIF(운영비용!$H$15:$DB$15,배당!O$8,운영비용!$H$30:$DB$30)</f>
        <v>382.53626069999996</v>
      </c>
      <c r="P23" s="75">
        <f>SUMIF(운영비용!$H$15:$DB$15,배당!P$8,운영비용!$H$30:$DB$30)</f>
        <v>392.09966721749998</v>
      </c>
      <c r="Q23" s="75">
        <f>SUMIF(운영비용!$H$15:$DB$15,배당!Q$8,운영비용!$H$30:$DB$30)</f>
        <v>392.09966721749998</v>
      </c>
      <c r="R23" s="75">
        <f>SUMIF(운영비용!$H$15:$DB$15,배당!R$8,운영비용!$H$30:$DB$30)</f>
        <v>401.9021588979374</v>
      </c>
      <c r="S23" s="75">
        <f>SUMIF(운영비용!$H$15:$DB$15,배당!S$8,운영비용!$H$30:$DB$30)</f>
        <v>401.9021588979374</v>
      </c>
      <c r="T23" s="75">
        <f>SUMIF(운영비용!$H$15:$DB$15,배당!T$8,운영비용!$H$30:$DB$30)</f>
        <v>0</v>
      </c>
      <c r="U23" s="75">
        <f>SUMIF(운영비용!$H$15:$DB$15,배당!U$8,운영비용!$H$30:$DB$30)</f>
        <v>0</v>
      </c>
      <c r="V23" s="75">
        <f>SUMIF(운영비용!$H$15:$DB$15,배당!V$8,운영비용!$H$30:$DB$30)</f>
        <v>0</v>
      </c>
      <c r="W23" s="75">
        <f>SUMIF(운영비용!$H$15:$DB$15,배당!W$8,운영비용!$H$30:$DB$30)</f>
        <v>0</v>
      </c>
    </row>
    <row r="24" spans="3:23" ht="17">
      <c r="D24" s="112" t="str">
        <f>'A&amp;R'!U14</f>
        <v>유지관리비</v>
      </c>
      <c r="E24" s="75"/>
      <c r="F24" s="266"/>
      <c r="G24" s="75"/>
      <c r="H24" s="75">
        <f t="shared" si="6"/>
        <v>1180.1964898244555</v>
      </c>
      <c r="I24" s="75"/>
      <c r="J24" s="75">
        <f>SUMIF(운영비용!$H$15:$DB$15,배당!J$8,운영비용!$H$35:$DB$35)</f>
        <v>119.4714675</v>
      </c>
      <c r="K24" s="75">
        <f>SUMIF(운영비용!$H$15:$DB$15,배당!K$8,운영비용!$H$35:$DB$35)</f>
        <v>111.506703</v>
      </c>
      <c r="L24" s="75">
        <f>SUMIF(운영비용!$H$15:$DB$15,배당!L$8,운영비용!$H$35:$DB$35)</f>
        <v>114.294370575</v>
      </c>
      <c r="M24" s="75">
        <f>SUMIF(운영비용!$H$15:$DB$15,배당!M$8,운영비용!$H$35:$DB$35)</f>
        <v>114.294370575</v>
      </c>
      <c r="N24" s="75">
        <f>SUMIF(운영비용!$H$15:$DB$15,배당!N$8,운영비용!$H$35:$DB$35)</f>
        <v>117.15172983937499</v>
      </c>
      <c r="O24" s="75">
        <f>SUMIF(운영비용!$H$15:$DB$15,배당!O$8,운영비용!$H$35:$DB$35)</f>
        <v>117.15172983937499</v>
      </c>
      <c r="P24" s="75">
        <f>SUMIF(운영비용!$H$15:$DB$15,배당!P$8,운영비용!$H$35:$DB$35)</f>
        <v>120.08052308535937</v>
      </c>
      <c r="Q24" s="75">
        <f>SUMIF(운영비용!$H$15:$DB$15,배당!Q$8,운영비용!$H$35:$DB$35)</f>
        <v>120.08052308535937</v>
      </c>
      <c r="R24" s="75">
        <f>SUMIF(운영비용!$H$15:$DB$15,배당!R$8,운영비용!$H$35:$DB$35)</f>
        <v>123.08253616249333</v>
      </c>
      <c r="S24" s="75">
        <f>SUMIF(운영비용!$H$15:$DB$15,배당!S$8,운영비용!$H$35:$DB$35)</f>
        <v>123.08253616249333</v>
      </c>
      <c r="T24" s="75">
        <f>SUMIF(운영비용!$H$15:$DB$15,배당!T$8,운영비용!$H$35:$DB$35)</f>
        <v>0</v>
      </c>
      <c r="U24" s="75">
        <f>SUMIF(운영비용!$H$15:$DB$15,배당!U$8,운영비용!$H$35:$DB$35)</f>
        <v>0</v>
      </c>
      <c r="V24" s="75">
        <f>SUMIF(운영비용!$H$15:$DB$15,배당!V$8,운영비용!$H$35:$DB$35)</f>
        <v>0</v>
      </c>
      <c r="W24" s="75">
        <f>SUMIF(운영비용!$H$15:$DB$15,배당!W$8,운영비용!$H$35:$DB$35)</f>
        <v>0</v>
      </c>
    </row>
    <row r="25" spans="3:23">
      <c r="D25" s="112" t="str">
        <f>'A&amp;R'!U15</f>
        <v>보험료</v>
      </c>
      <c r="E25" s="75"/>
      <c r="F25" s="75"/>
      <c r="G25" s="75"/>
      <c r="H25" s="75">
        <f t="shared" si="6"/>
        <v>95.692385740771869</v>
      </c>
      <c r="I25" s="75"/>
      <c r="J25" s="75">
        <f>SUMIF(운영비용!$H$15:$DB$15,배당!J$8,운영비용!$H$40:$DB$40)</f>
        <v>9.1025880000000008</v>
      </c>
      <c r="K25" s="75">
        <f>SUMIF(운영비용!$H$15:$DB$15,배당!K$8,운영비용!$H$40:$DB$40)</f>
        <v>9.1025880000000008</v>
      </c>
      <c r="L25" s="75">
        <f>SUMIF(운영비용!$H$15:$DB$15,배당!L$8,운영비용!$H$40:$DB$40)</f>
        <v>9.3301526999999993</v>
      </c>
      <c r="M25" s="75">
        <f>SUMIF(운영비용!$H$15:$DB$15,배당!M$8,운영비용!$H$40:$DB$40)</f>
        <v>9.3301526999999993</v>
      </c>
      <c r="N25" s="75">
        <f>SUMIF(운영비용!$H$15:$DB$15,배당!N$8,운영비용!$H$40:$DB$40)</f>
        <v>9.5634065174999972</v>
      </c>
      <c r="O25" s="75">
        <f>SUMIF(운영비용!$H$15:$DB$15,배당!O$8,운영비용!$H$40:$DB$40)</f>
        <v>9.5634065174999972</v>
      </c>
      <c r="P25" s="75">
        <f>SUMIF(운영비용!$H$15:$DB$15,배당!P$8,운영비용!$H$40:$DB$40)</f>
        <v>9.8024916804374982</v>
      </c>
      <c r="Q25" s="75">
        <f>SUMIF(운영비용!$H$15:$DB$15,배당!Q$8,운영비용!$H$40:$DB$40)</f>
        <v>9.8024916804374982</v>
      </c>
      <c r="R25" s="75">
        <f>SUMIF(운영비용!$H$15:$DB$15,배당!R$8,운영비용!$H$40:$DB$40)</f>
        <v>10.047553972448435</v>
      </c>
      <c r="S25" s="75">
        <f>SUMIF(운영비용!$H$15:$DB$15,배당!S$8,운영비용!$H$40:$DB$40)</f>
        <v>10.047553972448435</v>
      </c>
      <c r="T25" s="75">
        <f>SUMIF(운영비용!$H$15:$DB$15,배당!T$8,운영비용!$H$40:$DB$40)</f>
        <v>0</v>
      </c>
      <c r="U25" s="75">
        <f>SUMIF(운영비용!$H$15:$DB$15,배당!U$8,운영비용!$H$40:$DB$40)</f>
        <v>0</v>
      </c>
      <c r="V25" s="75">
        <f>SUMIF(운영비용!$H$15:$DB$15,배당!V$8,운영비용!$H$40:$DB$40)</f>
        <v>0</v>
      </c>
      <c r="W25" s="75">
        <f>SUMIF(운영비용!$H$15:$DB$15,배당!W$8,운영비용!$H$40:$DB$40)</f>
        <v>0</v>
      </c>
    </row>
    <row r="26" spans="3:23">
      <c r="D26" s="112" t="str">
        <f>'A&amp;R'!U16</f>
        <v>제세공과금</v>
      </c>
      <c r="E26" s="75"/>
      <c r="F26" s="75"/>
      <c r="G26" s="75"/>
      <c r="H26" s="75">
        <f t="shared" si="6"/>
        <v>6202.4676484375004</v>
      </c>
      <c r="I26" s="75"/>
      <c r="J26" s="75">
        <f>SUMIF(운영비용!$H$15:$DB$15,배당!J$8,운영비용!$H$45:$DB$45)</f>
        <v>590</v>
      </c>
      <c r="K26" s="75">
        <f>SUMIF(운영비용!$H$15:$DB$15,배당!K$8,운영비용!$H$45:$DB$45)</f>
        <v>590</v>
      </c>
      <c r="L26" s="75">
        <f>SUMIF(운영비용!$H$15:$DB$15,배당!L$8,운영비용!$H$45:$DB$45)</f>
        <v>604.74999999999989</v>
      </c>
      <c r="M26" s="75">
        <f>SUMIF(운영비용!$H$15:$DB$15,배당!M$8,운영비용!$H$45:$DB$45)</f>
        <v>604.74999999999989</v>
      </c>
      <c r="N26" s="75">
        <f>SUMIF(운영비용!$H$15:$DB$15,배당!N$8,운영비용!$H$45:$DB$45)</f>
        <v>619.86874999999998</v>
      </c>
      <c r="O26" s="75">
        <f>SUMIF(운영비용!$H$15:$DB$15,배당!O$8,운영비용!$H$45:$DB$45)</f>
        <v>619.86874999999998</v>
      </c>
      <c r="P26" s="75">
        <f>SUMIF(운영비용!$H$15:$DB$15,배당!P$8,운영비용!$H$45:$DB$45)</f>
        <v>635.36546874999988</v>
      </c>
      <c r="Q26" s="75">
        <f>SUMIF(운영비용!$H$15:$DB$15,배당!Q$8,운영비용!$H$45:$DB$45)</f>
        <v>635.36546874999988</v>
      </c>
      <c r="R26" s="75">
        <f>SUMIF(운영비용!$H$15:$DB$15,배당!R$8,운영비용!$H$45:$DB$45)</f>
        <v>651.24960546874979</v>
      </c>
      <c r="S26" s="75">
        <f>SUMIF(운영비용!$H$15:$DB$15,배당!S$8,운영비용!$H$45:$DB$45)</f>
        <v>651.24960546874979</v>
      </c>
      <c r="T26" s="75">
        <f>SUMIF(운영비용!$H$15:$DB$15,배당!T$8,운영비용!$H$45:$DB$45)</f>
        <v>0</v>
      </c>
      <c r="U26" s="75">
        <f>SUMIF(운영비용!$H$15:$DB$15,배당!U$8,운영비용!$H$45:$DB$45)</f>
        <v>0</v>
      </c>
      <c r="V26" s="75">
        <f>SUMIF(운영비용!$H$15:$DB$15,배당!V$8,운영비용!$H$45:$DB$45)</f>
        <v>0</v>
      </c>
      <c r="W26" s="75">
        <f>SUMIF(운영비용!$H$15:$DB$15,배당!W$8,운영비용!$H$45:$DB$45)</f>
        <v>0</v>
      </c>
    </row>
    <row r="27" spans="3:23">
      <c r="D27" s="112" t="str">
        <f>운영비용!C103</f>
        <v>Leasing 비용</v>
      </c>
      <c r="E27" s="75"/>
      <c r="F27" s="75"/>
      <c r="G27" s="75"/>
      <c r="H27" s="75">
        <f t="shared" si="6"/>
        <v>1020.7870858498441</v>
      </c>
      <c r="I27" s="75"/>
      <c r="J27" s="75">
        <f>SUMIF(운영비용!$H$15:$DB$15,배당!J$8,운영비용!$H$103:$DB$103)</f>
        <v>0</v>
      </c>
      <c r="K27" s="75">
        <f>SUMIF(운영비용!$H$15:$DB$15,배당!K$8,운영비용!$H$103:$DB$103)</f>
        <v>539.07189432250004</v>
      </c>
      <c r="L27" s="75">
        <f>SUMIF(운영비용!$H$15:$DB$15,배당!L$8,운영비용!$H$103:$DB$103)</f>
        <v>0</v>
      </c>
      <c r="M27" s="75">
        <f>SUMIF(운영비용!$H$15:$DB$15,배당!M$8,운영비용!$H$103:$DB$103)</f>
        <v>32.09936022484537</v>
      </c>
      <c r="N27" s="75">
        <f>SUMIF(운영비용!$H$15:$DB$15,배당!N$8,운영비용!$H$103:$DB$103)</f>
        <v>264.40339997036835</v>
      </c>
      <c r="O27" s="75">
        <f>SUMIF(운영비용!$H$15:$DB$15,배당!O$8,운영비용!$H$103:$DB$103)</f>
        <v>32.09936022484537</v>
      </c>
      <c r="P27" s="75">
        <f>SUMIF(운영비용!$H$15:$DB$15,배당!P$8,운영비용!$H$103:$DB$103)</f>
        <v>90.778500656493108</v>
      </c>
      <c r="Q27" s="75">
        <f>SUMIF(운영비용!$H$15:$DB$15,배당!Q$8,운영비용!$H$103:$DB$103)</f>
        <v>62.334570450791922</v>
      </c>
      <c r="R27" s="75">
        <f>SUMIF(운영비용!$H$15:$DB$15,배당!R$8,운영비용!$H$103:$DB$103)</f>
        <v>0</v>
      </c>
      <c r="S27" s="75">
        <f>SUMIF(운영비용!$H$15:$DB$15,배당!S$8,운영비용!$H$103:$DB$103)</f>
        <v>0</v>
      </c>
      <c r="T27" s="75">
        <f>SUMIF(운영비용!$H$15:$DB$15,배당!T$8,운영비용!$H$103:$DB$103)</f>
        <v>0</v>
      </c>
      <c r="U27" s="75">
        <f>SUMIF(운영비용!$H$15:$DB$15,배당!U$8,운영비용!$H$103:$DB$103)</f>
        <v>0</v>
      </c>
      <c r="V27" s="75">
        <f>SUMIF(운영비용!$H$15:$DB$15,배당!V$8,운영비용!$H$103:$DB$103)</f>
        <v>0</v>
      </c>
      <c r="W27" s="75">
        <f>SUMIF(운영비용!$H$15:$DB$15,배당!W$8,운영비용!$H$103:$DB$103)</f>
        <v>0</v>
      </c>
    </row>
    <row r="28" spans="3:23">
      <c r="D28" s="112" t="str">
        <f>'A&amp;R'!U20</f>
        <v>집합투자업자 운용보수</v>
      </c>
      <c r="E28" s="75"/>
      <c r="F28" s="75"/>
      <c r="G28" s="75"/>
      <c r="H28" s="75">
        <f t="shared" si="6"/>
        <v>1999.9999999999982</v>
      </c>
      <c r="I28" s="75"/>
      <c r="J28" s="75">
        <f>SUMIF(펀드비용!$H$16:$DB$16,배당!J$8,펀드비용!$H$20:$DB$20)</f>
        <v>200.00000000000003</v>
      </c>
      <c r="K28" s="75">
        <f>SUMIF(펀드비용!$H$16:$DB$16,배당!K$8,펀드비용!$H$20:$DB$20)</f>
        <v>199.99999999999991</v>
      </c>
      <c r="L28" s="75">
        <f>SUMIF(펀드비용!$H$16:$DB$16,배당!L$8,펀드비용!$H$20:$DB$20)</f>
        <v>200.00000000000006</v>
      </c>
      <c r="M28" s="75">
        <f>SUMIF(펀드비용!$H$16:$DB$16,배당!M$8,펀드비용!$H$20:$DB$20)</f>
        <v>200.00000000000023</v>
      </c>
      <c r="N28" s="75">
        <f>SUMIF(펀드비용!$H$16:$DB$16,배당!N$8,펀드비용!$H$20:$DB$20)</f>
        <v>200.00000000000023</v>
      </c>
      <c r="O28" s="75">
        <f>SUMIF(펀드비용!$H$16:$DB$16,배당!O$8,펀드비용!$H$20:$DB$20)</f>
        <v>199.99999999999955</v>
      </c>
      <c r="P28" s="75">
        <f>SUMIF(펀드비용!$H$16:$DB$16,배당!P$8,펀드비용!$H$20:$DB$20)</f>
        <v>199.99999999999955</v>
      </c>
      <c r="Q28" s="75">
        <f>SUMIF(펀드비용!$H$16:$DB$16,배당!Q$8,펀드비용!$H$20:$DB$20)</f>
        <v>199.99999999999955</v>
      </c>
      <c r="R28" s="75">
        <f>SUMIF(펀드비용!$H$16:$DB$16,배당!R$8,펀드비용!$H$20:$DB$20)</f>
        <v>199.99999999999955</v>
      </c>
      <c r="S28" s="75">
        <f>SUMIF(펀드비용!$H$16:$DB$16,배당!S$8,펀드비용!$H$20:$DB$20)</f>
        <v>199.99999999999955</v>
      </c>
      <c r="T28" s="75">
        <f>SUMIF(펀드비용!$H$16:$DB$16,배당!T$8,펀드비용!$H$20:$DB$20)</f>
        <v>0</v>
      </c>
      <c r="U28" s="75">
        <f>SUMIF(펀드비용!$H$16:$DB$16,배당!U$8,펀드비용!$H$20:$DB$20)</f>
        <v>0</v>
      </c>
      <c r="V28" s="75">
        <f>SUMIF(펀드비용!$H$16:$DB$16,배당!V$8,펀드비용!$H$20:$DB$20)</f>
        <v>0</v>
      </c>
      <c r="W28" s="75">
        <f>SUMIF(펀드비용!$H$16:$DB$16,배당!W$8,펀드비용!$H$20:$DB$20)</f>
        <v>0</v>
      </c>
    </row>
    <row r="29" spans="3:23">
      <c r="D29" s="112" t="str">
        <f>'A&amp;R'!U21</f>
        <v>신탁업자 자산수탁 보수</v>
      </c>
      <c r="E29" s="75"/>
      <c r="F29" s="75"/>
      <c r="G29" s="75"/>
      <c r="H29" s="75">
        <f t="shared" si="6"/>
        <v>300</v>
      </c>
      <c r="I29" s="75"/>
      <c r="J29" s="75">
        <f>SUMIF(펀드비용!$H$16:$DB$16,배당!J$8,펀드비용!$H$24:$DB$24)</f>
        <v>30</v>
      </c>
      <c r="K29" s="75">
        <f>SUMIF(펀드비용!$H$16:$DB$16,배당!K$8,펀드비용!$H$24:$DB$24)</f>
        <v>30</v>
      </c>
      <c r="L29" s="75">
        <f>SUMIF(펀드비용!$H$16:$DB$16,배당!L$8,펀드비용!$H$24:$DB$24)</f>
        <v>30</v>
      </c>
      <c r="M29" s="75">
        <f>SUMIF(펀드비용!$H$16:$DB$16,배당!M$8,펀드비용!$H$24:$DB$24)</f>
        <v>30</v>
      </c>
      <c r="N29" s="75">
        <f>SUMIF(펀드비용!$H$16:$DB$16,배당!N$8,펀드비용!$H$24:$DB$24)</f>
        <v>30</v>
      </c>
      <c r="O29" s="75">
        <f>SUMIF(펀드비용!$H$16:$DB$16,배당!O$8,펀드비용!$H$24:$DB$24)</f>
        <v>30</v>
      </c>
      <c r="P29" s="75">
        <f>SUMIF(펀드비용!$H$16:$DB$16,배당!P$8,펀드비용!$H$24:$DB$24)</f>
        <v>30</v>
      </c>
      <c r="Q29" s="75">
        <f>SUMIF(펀드비용!$H$16:$DB$16,배당!Q$8,펀드비용!$H$24:$DB$24)</f>
        <v>30</v>
      </c>
      <c r="R29" s="75">
        <f>SUMIF(펀드비용!$H$16:$DB$16,배당!R$8,펀드비용!$H$24:$DB$24)</f>
        <v>30</v>
      </c>
      <c r="S29" s="75">
        <f>SUMIF(펀드비용!$H$16:$DB$16,배당!S$8,펀드비용!$H$24:$DB$24)</f>
        <v>30</v>
      </c>
      <c r="T29" s="75">
        <f>SUMIF(펀드비용!$H$16:$DB$16,배당!T$8,펀드비용!$H$24:$DB$24)</f>
        <v>0</v>
      </c>
      <c r="U29" s="75">
        <f>SUMIF(펀드비용!$H$16:$DB$16,배당!U$8,펀드비용!$H$24:$DB$24)</f>
        <v>0</v>
      </c>
      <c r="V29" s="75">
        <f>SUMIF(펀드비용!$H$16:$DB$16,배당!V$8,펀드비용!$H$24:$DB$24)</f>
        <v>0</v>
      </c>
      <c r="W29" s="75">
        <f>SUMIF(펀드비용!$H$16:$DB$16,배당!W$8,펀드비용!$H$24:$DB$24)</f>
        <v>0</v>
      </c>
    </row>
    <row r="30" spans="3:23">
      <c r="D30" s="112" t="str">
        <f>'A&amp;R'!U22</f>
        <v>투자매매/중개업자 판매보수</v>
      </c>
      <c r="E30" s="75"/>
      <c r="F30" s="75"/>
      <c r="G30" s="75"/>
      <c r="H30" s="75">
        <f t="shared" si="6"/>
        <v>200.00000000000014</v>
      </c>
      <c r="I30" s="75"/>
      <c r="J30" s="75">
        <f>SUMIF(펀드비용!$H$16:$DB$16,배당!J$8,펀드비용!$H$28:$DB$28)</f>
        <v>20</v>
      </c>
      <c r="K30" s="75">
        <f>SUMIF(펀드비용!$H$16:$DB$16,배당!K$8,펀드비용!$H$28:$DB$28)</f>
        <v>20</v>
      </c>
      <c r="L30" s="75">
        <f>SUMIF(펀드비용!$H$16:$DB$16,배당!L$8,펀드비용!$H$28:$DB$28)</f>
        <v>20.000000000000014</v>
      </c>
      <c r="M30" s="75">
        <f>SUMIF(펀드비용!$H$16:$DB$16,배당!M$8,펀드비용!$H$28:$DB$28)</f>
        <v>19.999999999999986</v>
      </c>
      <c r="N30" s="75">
        <f>SUMIF(펀드비용!$H$16:$DB$16,배당!N$8,펀드비용!$H$28:$DB$28)</f>
        <v>19.999999999999972</v>
      </c>
      <c r="O30" s="75">
        <f>SUMIF(펀드비용!$H$16:$DB$16,배당!O$8,펀드비용!$H$28:$DB$28)</f>
        <v>19.999999999999972</v>
      </c>
      <c r="P30" s="75">
        <f>SUMIF(펀드비용!$H$16:$DB$16,배당!P$8,펀드비용!$H$28:$DB$28)</f>
        <v>20.000000000000028</v>
      </c>
      <c r="Q30" s="75">
        <f>SUMIF(펀드비용!$H$16:$DB$16,배당!Q$8,펀드비용!$H$28:$DB$28)</f>
        <v>20.000000000000057</v>
      </c>
      <c r="R30" s="75">
        <f>SUMIF(펀드비용!$H$16:$DB$16,배당!R$8,펀드비용!$H$28:$DB$28)</f>
        <v>20.000000000000057</v>
      </c>
      <c r="S30" s="75">
        <f>SUMIF(펀드비용!$H$16:$DB$16,배당!S$8,펀드비용!$H$28:$DB$28)</f>
        <v>20.000000000000057</v>
      </c>
      <c r="T30" s="75">
        <f>SUMIF(펀드비용!$H$16:$DB$16,배당!T$8,펀드비용!$H$28:$DB$28)</f>
        <v>0</v>
      </c>
      <c r="U30" s="75">
        <f>SUMIF(펀드비용!$H$16:$DB$16,배당!U$8,펀드비용!$H$28:$DB$28)</f>
        <v>0</v>
      </c>
      <c r="V30" s="75">
        <f>SUMIF(펀드비용!$H$16:$DB$16,배당!V$8,펀드비용!$H$28:$DB$28)</f>
        <v>0</v>
      </c>
      <c r="W30" s="75">
        <f>SUMIF(펀드비용!$H$16:$DB$16,배당!W$8,펀드비용!$H$28:$DB$28)</f>
        <v>0</v>
      </c>
    </row>
    <row r="31" spans="3:23">
      <c r="D31" s="112" t="str">
        <f>'A&amp;R'!U23</f>
        <v>일반사무관리회사 업무보수</v>
      </c>
      <c r="E31" s="75"/>
      <c r="F31" s="75"/>
      <c r="G31" s="75"/>
      <c r="H31" s="75">
        <f t="shared" si="6"/>
        <v>124.99999999999989</v>
      </c>
      <c r="I31" s="75"/>
      <c r="J31" s="75">
        <f>SUMIF(펀드비용!$H$16:$DB$16,배당!J$8,펀드비용!$H$32:$DB$32)</f>
        <v>12.500000000000002</v>
      </c>
      <c r="K31" s="75">
        <f>SUMIF(펀드비용!$H$16:$DB$16,배당!K$8,펀드비용!$H$32:$DB$32)</f>
        <v>12.499999999999995</v>
      </c>
      <c r="L31" s="75">
        <f>SUMIF(펀드비용!$H$16:$DB$16,배당!L$8,펀드비용!$H$32:$DB$32)</f>
        <v>12.500000000000004</v>
      </c>
      <c r="M31" s="75">
        <f>SUMIF(펀드비용!$H$16:$DB$16,배당!M$8,펀드비용!$H$32:$DB$32)</f>
        <v>12.500000000000014</v>
      </c>
      <c r="N31" s="75">
        <f>SUMIF(펀드비용!$H$16:$DB$16,배당!N$8,펀드비용!$H$32:$DB$32)</f>
        <v>12.500000000000014</v>
      </c>
      <c r="O31" s="75">
        <f>SUMIF(펀드비용!$H$16:$DB$16,배당!O$8,펀드비용!$H$32:$DB$32)</f>
        <v>12.499999999999972</v>
      </c>
      <c r="P31" s="75">
        <f>SUMIF(펀드비용!$H$16:$DB$16,배당!P$8,펀드비용!$H$32:$DB$32)</f>
        <v>12.499999999999972</v>
      </c>
      <c r="Q31" s="75">
        <f>SUMIF(펀드비용!$H$16:$DB$16,배당!Q$8,펀드비용!$H$32:$DB$32)</f>
        <v>12.499999999999972</v>
      </c>
      <c r="R31" s="75">
        <f>SUMIF(펀드비용!$H$16:$DB$16,배당!R$8,펀드비용!$H$32:$DB$32)</f>
        <v>12.499999999999972</v>
      </c>
      <c r="S31" s="75">
        <f>SUMIF(펀드비용!$H$16:$DB$16,배당!S$8,펀드비용!$H$32:$DB$32)</f>
        <v>12.499999999999972</v>
      </c>
      <c r="T31" s="75">
        <f>SUMIF(펀드비용!$H$16:$DB$16,배당!T$8,펀드비용!$H$32:$DB$32)</f>
        <v>0</v>
      </c>
      <c r="U31" s="75">
        <f>SUMIF(펀드비용!$H$16:$DB$16,배당!U$8,펀드비용!$H$32:$DB$32)</f>
        <v>0</v>
      </c>
      <c r="V31" s="75">
        <f>SUMIF(펀드비용!$H$16:$DB$16,배당!V$8,펀드비용!$H$32:$DB$32)</f>
        <v>0</v>
      </c>
      <c r="W31" s="75">
        <f>SUMIF(펀드비용!$H$16:$DB$16,배당!W$8,펀드비용!$H$32:$DB$32)</f>
        <v>0</v>
      </c>
    </row>
    <row r="32" spans="3:23">
      <c r="D32" s="91" t="str">
        <f>'A&amp;R'!U24</f>
        <v>Other Fees (Acc./Tax/etc.)</v>
      </c>
      <c r="E32" s="76"/>
      <c r="F32" s="76"/>
      <c r="G32" s="76"/>
      <c r="H32" s="76">
        <f t="shared" si="6"/>
        <v>225</v>
      </c>
      <c r="I32" s="76"/>
      <c r="J32" s="76">
        <f>SUMIF(펀드비용!$H$16:$DB$16,배당!J$8,펀드비용!$H$36:$DB$36)</f>
        <v>22.5</v>
      </c>
      <c r="K32" s="76">
        <f>SUMIF(펀드비용!$H$16:$DB$16,배당!K$8,펀드비용!$H$36:$DB$36)</f>
        <v>22.5</v>
      </c>
      <c r="L32" s="76">
        <f>SUMIF(펀드비용!$H$16:$DB$16,배당!L$8,펀드비용!$H$36:$DB$36)</f>
        <v>22.5</v>
      </c>
      <c r="M32" s="76">
        <f>SUMIF(펀드비용!$H$16:$DB$16,배당!M$8,펀드비용!$H$36:$DB$36)</f>
        <v>22.5</v>
      </c>
      <c r="N32" s="76">
        <f>SUMIF(펀드비용!$H$16:$DB$16,배당!N$8,펀드비용!$H$36:$DB$36)</f>
        <v>22.5</v>
      </c>
      <c r="O32" s="76">
        <f>SUMIF(펀드비용!$H$16:$DB$16,배당!O$8,펀드비용!$H$36:$DB$36)</f>
        <v>22.5</v>
      </c>
      <c r="P32" s="76">
        <f>SUMIF(펀드비용!$H$16:$DB$16,배당!P$8,펀드비용!$H$36:$DB$36)</f>
        <v>22.5</v>
      </c>
      <c r="Q32" s="76">
        <f>SUMIF(펀드비용!$H$16:$DB$16,배당!Q$8,펀드비용!$H$36:$DB$36)</f>
        <v>22.5</v>
      </c>
      <c r="R32" s="76">
        <f>SUMIF(펀드비용!$H$16:$DB$16,배당!R$8,펀드비용!$H$36:$DB$36)</f>
        <v>22.5</v>
      </c>
      <c r="S32" s="76">
        <f>SUMIF(펀드비용!$H$16:$DB$16,배당!S$8,펀드비용!$H$36:$DB$36)</f>
        <v>22.5</v>
      </c>
      <c r="T32" s="76">
        <f>SUMIF(펀드비용!$H$16:$DB$16,배당!T$8,펀드비용!$H$36:$DB$36)</f>
        <v>0</v>
      </c>
      <c r="U32" s="76">
        <f>SUMIF(펀드비용!$H$16:$DB$16,배당!U$8,펀드비용!$H$36:$DB$36)</f>
        <v>0</v>
      </c>
      <c r="V32" s="76">
        <f>SUMIF(펀드비용!$H$16:$DB$16,배당!V$8,펀드비용!$H$36:$DB$36)</f>
        <v>0</v>
      </c>
      <c r="W32" s="76">
        <f>SUMIF(펀드비용!$H$16:$DB$16,배당!W$8,펀드비용!$H$36:$DB$36)</f>
        <v>0</v>
      </c>
    </row>
    <row r="33" spans="2:23" s="2" customFormat="1">
      <c r="C33" s="288" t="s">
        <v>367</v>
      </c>
      <c r="D33" s="288"/>
      <c r="E33" s="288"/>
      <c r="F33" s="288"/>
      <c r="G33" s="288"/>
      <c r="H33" s="288">
        <f>SUM(J33:W33)</f>
        <v>61092.381962056395</v>
      </c>
      <c r="I33" s="288"/>
      <c r="J33" s="288">
        <f>J14-J20</f>
        <v>4701.6282825860144</v>
      </c>
      <c r="K33" s="288">
        <f t="shared" ref="K33:W33" si="7">K14-K20</f>
        <v>5201.7835011758507</v>
      </c>
      <c r="L33" s="288">
        <f t="shared" si="7"/>
        <v>5991.7264774388805</v>
      </c>
      <c r="M33" s="288">
        <f t="shared" si="7"/>
        <v>6051.7437581160393</v>
      </c>
      <c r="N33" s="288">
        <f t="shared" si="7"/>
        <v>5861.4350872229288</v>
      </c>
      <c r="O33" s="288">
        <f t="shared" si="7"/>
        <v>6340.468151558267</v>
      </c>
      <c r="P33" s="288">
        <f t="shared" si="7"/>
        <v>6462.7308946340927</v>
      </c>
      <c r="Q33" s="288">
        <f t="shared" si="7"/>
        <v>6607.5726863588188</v>
      </c>
      <c r="R33" s="288">
        <f t="shared" si="7"/>
        <v>6885.6943182156592</v>
      </c>
      <c r="S33" s="288">
        <f t="shared" si="7"/>
        <v>6987.5988047498413</v>
      </c>
      <c r="T33" s="288">
        <f t="shared" si="7"/>
        <v>0</v>
      </c>
      <c r="U33" s="288">
        <f t="shared" si="7"/>
        <v>0</v>
      </c>
      <c r="V33" s="288">
        <f t="shared" si="7"/>
        <v>0</v>
      </c>
      <c r="W33" s="288">
        <f t="shared" si="7"/>
        <v>0</v>
      </c>
    </row>
    <row r="34" spans="2:23">
      <c r="C34" s="13" t="s">
        <v>469</v>
      </c>
      <c r="H34" s="13">
        <f ca="1">SUM(J34:W34)</f>
        <v>34928.030907406122</v>
      </c>
      <c r="J34" s="13">
        <f ca="1">SUMIF(현금흐름!$15:$15,배당!J$8,현금흐름!$138:$138)</f>
        <v>3624.1754517382028</v>
      </c>
      <c r="K34" s="13">
        <f ca="1">SUMIF(현금흐름!$15:$15,배당!K$8,현금흐름!$138:$138)</f>
        <v>3597.3837850715372</v>
      </c>
      <c r="L34" s="13">
        <f ca="1">SUMIF(현금흐름!$15:$15,배당!L$8,현금흐름!$138:$138)</f>
        <v>3597.3837850715345</v>
      </c>
      <c r="M34" s="13">
        <f ca="1">SUMIF(현금흐름!$15:$15,배당!M$8,현금흐름!$138:$138)</f>
        <v>3570.5921184048648</v>
      </c>
      <c r="N34" s="13">
        <f ca="1">SUMIF(현금흐름!$15:$15,배당!N$8,현금흐름!$138:$138)</f>
        <v>3603.5921184048652</v>
      </c>
      <c r="O34" s="13">
        <f ca="1">SUMIF(현금흐름!$15:$15,배당!O$8,현금흐름!$138:$138)</f>
        <v>3578.3837850715408</v>
      </c>
      <c r="P34" s="13">
        <f ca="1">SUMIF(현금흐름!$15:$15,배당!P$8,현금흐름!$138:$138)</f>
        <v>3345.4320492442266</v>
      </c>
      <c r="Q34" s="13">
        <f ca="1">SUMIF(현금흐름!$15:$15,배당!Q$8,현금흐름!$138:$138)</f>
        <v>3345.4320492442257</v>
      </c>
      <c r="R34" s="13">
        <f ca="1">SUMIF(현금흐름!$15:$15,배당!R$8,현금흐름!$138:$138)</f>
        <v>3345.4320492442271</v>
      </c>
      <c r="S34" s="13">
        <f ca="1">SUMIF(현금흐름!$15:$15,배당!S$8,현금흐름!$138:$138)</f>
        <v>3320.2237159108981</v>
      </c>
      <c r="T34" s="13">
        <f ca="1">SUMIF(현금흐름!$15:$15,배당!T$8,현금흐름!$138:$138)</f>
        <v>0</v>
      </c>
      <c r="U34" s="13">
        <f ca="1">SUMIF(현금흐름!$15:$15,배당!U$8,현금흐름!$138:$138)</f>
        <v>0</v>
      </c>
      <c r="V34" s="13">
        <f ca="1">SUMIF(현금흐름!$15:$15,배당!V$8,현금흐름!$138:$138)</f>
        <v>0</v>
      </c>
      <c r="W34" s="13">
        <f ca="1">SUMIF(현금흐름!$15:$15,배당!W$8,현금흐름!$138:$138)</f>
        <v>0</v>
      </c>
    </row>
    <row r="35" spans="2:23">
      <c r="C35" s="13" t="s">
        <v>368</v>
      </c>
    </row>
    <row r="36" spans="2:23">
      <c r="C36" s="144" t="s">
        <v>369</v>
      </c>
      <c r="D36" s="144"/>
      <c r="E36" s="144"/>
      <c r="F36" s="144"/>
      <c r="G36" s="144"/>
      <c r="H36" s="144">
        <f ca="1">SUM(J36:W36)</f>
        <v>26164.351054650273</v>
      </c>
      <c r="I36" s="144"/>
      <c r="J36" s="144">
        <f ca="1">J33-J34-J35</f>
        <v>1077.4528308478116</v>
      </c>
      <c r="K36" s="144">
        <f t="shared" ref="K36:W36" ca="1" si="8">K33-K34-K35</f>
        <v>1604.3997161043135</v>
      </c>
      <c r="L36" s="144">
        <f t="shared" ca="1" si="8"/>
        <v>2394.342692367346</v>
      </c>
      <c r="M36" s="144">
        <f t="shared" ca="1" si="8"/>
        <v>2481.1516397111745</v>
      </c>
      <c r="N36" s="144">
        <f t="shared" ca="1" si="8"/>
        <v>2257.8429688180636</v>
      </c>
      <c r="O36" s="144">
        <f t="shared" ca="1" si="8"/>
        <v>2762.0843664867261</v>
      </c>
      <c r="P36" s="144">
        <f t="shared" ca="1" si="8"/>
        <v>3117.2988453898661</v>
      </c>
      <c r="Q36" s="144">
        <f t="shared" ca="1" si="8"/>
        <v>3262.1406371145931</v>
      </c>
      <c r="R36" s="144">
        <f t="shared" ca="1" si="8"/>
        <v>3540.2622689714321</v>
      </c>
      <c r="S36" s="144">
        <f t="shared" ca="1" si="8"/>
        <v>3667.3750888389432</v>
      </c>
      <c r="T36" s="144">
        <f t="shared" ca="1" si="8"/>
        <v>0</v>
      </c>
      <c r="U36" s="144">
        <f t="shared" ca="1" si="8"/>
        <v>0</v>
      </c>
      <c r="V36" s="144">
        <f t="shared" ca="1" si="8"/>
        <v>0</v>
      </c>
      <c r="W36" s="144">
        <f t="shared" ca="1" si="8"/>
        <v>0</v>
      </c>
    </row>
    <row r="38" spans="2:23">
      <c r="B38" s="2" t="s">
        <v>370</v>
      </c>
    </row>
    <row r="39" spans="2:23">
      <c r="C39" s="144" t="s">
        <v>371</v>
      </c>
      <c r="D39" s="144"/>
      <c r="E39" s="144"/>
      <c r="F39" s="144"/>
      <c r="G39" s="144"/>
      <c r="H39" s="144"/>
      <c r="I39" s="144"/>
      <c r="J39" s="144">
        <f ca="1">(J36&gt;0)*J36</f>
        <v>1077.4528308478116</v>
      </c>
      <c r="K39" s="144">
        <f t="shared" ref="K39:W39" ca="1" si="9">(K36&gt;0)*K36</f>
        <v>1604.3997161043135</v>
      </c>
      <c r="L39" s="144">
        <f t="shared" ca="1" si="9"/>
        <v>2394.342692367346</v>
      </c>
      <c r="M39" s="144">
        <f t="shared" ca="1" si="9"/>
        <v>2481.1516397111745</v>
      </c>
      <c r="N39" s="144">
        <f t="shared" ca="1" si="9"/>
        <v>2257.8429688180636</v>
      </c>
      <c r="O39" s="144">
        <f t="shared" ca="1" si="9"/>
        <v>2762.0843664867261</v>
      </c>
      <c r="P39" s="144">
        <f t="shared" ca="1" si="9"/>
        <v>3117.2988453898661</v>
      </c>
      <c r="Q39" s="144">
        <f t="shared" ca="1" si="9"/>
        <v>3262.1406371145931</v>
      </c>
      <c r="R39" s="144">
        <f t="shared" ca="1" si="9"/>
        <v>3540.2622689714321</v>
      </c>
      <c r="S39" s="144">
        <f t="shared" ca="1" si="9"/>
        <v>3667.3750888389432</v>
      </c>
      <c r="T39" s="144">
        <f t="shared" ca="1" si="9"/>
        <v>0</v>
      </c>
      <c r="U39" s="144">
        <f t="shared" ca="1" si="9"/>
        <v>0</v>
      </c>
      <c r="V39" s="144">
        <f t="shared" ca="1" si="9"/>
        <v>0</v>
      </c>
      <c r="W39" s="144">
        <f t="shared" ca="1" si="9"/>
        <v>0</v>
      </c>
    </row>
    <row r="40" spans="2:23">
      <c r="C40" s="2" t="s">
        <v>372</v>
      </c>
    </row>
    <row r="41" spans="2:23">
      <c r="D41" s="13" t="s">
        <v>373</v>
      </c>
      <c r="G41" s="63">
        <f>'A&amp;R'!E48</f>
        <v>51500</v>
      </c>
      <c r="H41" s="270">
        <f>'A&amp;R'!G48</f>
        <v>6.5000000000000002E-2</v>
      </c>
      <c r="J41" s="13">
        <f t="shared" ref="J41:W41" si="10">(J$9&lt;exit)*(($G$41*$H$41)*(J$11/12)+I$43)</f>
        <v>1673.75</v>
      </c>
      <c r="K41" s="13">
        <f t="shared" ca="1" si="10"/>
        <v>2270.0471691521884</v>
      </c>
      <c r="L41" s="13">
        <f t="shared" ca="1" si="10"/>
        <v>2339.3974530478749</v>
      </c>
      <c r="M41" s="13">
        <f t="shared" ca="1" si="10"/>
        <v>1673.75</v>
      </c>
      <c r="N41" s="13">
        <f t="shared" ca="1" si="10"/>
        <v>1673.75</v>
      </c>
      <c r="O41" s="13">
        <f t="shared" ca="1" si="10"/>
        <v>1673.75</v>
      </c>
      <c r="P41" s="13">
        <f t="shared" ca="1" si="10"/>
        <v>1673.75</v>
      </c>
      <c r="Q41" s="13">
        <f t="shared" ca="1" si="10"/>
        <v>1673.75</v>
      </c>
      <c r="R41" s="13">
        <f t="shared" ca="1" si="10"/>
        <v>1673.75</v>
      </c>
      <c r="S41" s="13">
        <f t="shared" ca="1" si="10"/>
        <v>1673.75</v>
      </c>
      <c r="T41" s="13">
        <f t="shared" ca="1" si="10"/>
        <v>0</v>
      </c>
      <c r="U41" s="13">
        <f t="shared" ca="1" si="10"/>
        <v>0</v>
      </c>
      <c r="V41" s="13">
        <f t="shared" ca="1" si="10"/>
        <v>0</v>
      </c>
      <c r="W41" s="13">
        <f t="shared" ca="1" si="10"/>
        <v>0</v>
      </c>
    </row>
    <row r="42" spans="2:23">
      <c r="D42" s="13" t="s">
        <v>374</v>
      </c>
      <c r="J42" s="13">
        <f ca="1">MIN(J39,J41)</f>
        <v>1077.4528308478116</v>
      </c>
      <c r="K42" s="13">
        <f t="shared" ref="K42:W42" ca="1" si="11">MIN(K39,K41)</f>
        <v>1604.3997161043135</v>
      </c>
      <c r="L42" s="13">
        <f t="shared" ca="1" si="11"/>
        <v>2339.3974530478749</v>
      </c>
      <c r="M42" s="13">
        <f t="shared" ca="1" si="11"/>
        <v>1673.75</v>
      </c>
      <c r="N42" s="13">
        <f t="shared" ca="1" si="11"/>
        <v>1673.75</v>
      </c>
      <c r="O42" s="13">
        <f t="shared" ca="1" si="11"/>
        <v>1673.75</v>
      </c>
      <c r="P42" s="13">
        <f t="shared" ca="1" si="11"/>
        <v>1673.75</v>
      </c>
      <c r="Q42" s="13">
        <f t="shared" ca="1" si="11"/>
        <v>1673.75</v>
      </c>
      <c r="R42" s="13">
        <f t="shared" ca="1" si="11"/>
        <v>1673.75</v>
      </c>
      <c r="S42" s="13">
        <f t="shared" ca="1" si="11"/>
        <v>1673.75</v>
      </c>
      <c r="T42" s="13">
        <f t="shared" ca="1" si="11"/>
        <v>0</v>
      </c>
      <c r="U42" s="13">
        <f t="shared" ca="1" si="11"/>
        <v>0</v>
      </c>
      <c r="V42" s="13">
        <f t="shared" ca="1" si="11"/>
        <v>0</v>
      </c>
      <c r="W42" s="13">
        <f t="shared" ca="1" si="11"/>
        <v>0</v>
      </c>
    </row>
    <row r="43" spans="2:23">
      <c r="D43" s="13" t="s">
        <v>375</v>
      </c>
      <c r="J43" s="13">
        <f ca="1">J41-J42</f>
        <v>596.29716915218842</v>
      </c>
      <c r="K43" s="13">
        <f t="shared" ref="K43:W43" ca="1" si="12">K41-K42</f>
        <v>665.64745304787493</v>
      </c>
      <c r="L43" s="13">
        <f t="shared" ca="1" si="12"/>
        <v>0</v>
      </c>
      <c r="M43" s="13">
        <f t="shared" ca="1" si="12"/>
        <v>0</v>
      </c>
      <c r="N43" s="13">
        <f t="shared" ca="1" si="12"/>
        <v>0</v>
      </c>
      <c r="O43" s="13">
        <f t="shared" ca="1" si="12"/>
        <v>0</v>
      </c>
      <c r="P43" s="13">
        <f t="shared" ca="1" si="12"/>
        <v>0</v>
      </c>
      <c r="Q43" s="13">
        <f t="shared" ca="1" si="12"/>
        <v>0</v>
      </c>
      <c r="R43" s="13">
        <f t="shared" ca="1" si="12"/>
        <v>0</v>
      </c>
      <c r="S43" s="13">
        <f t="shared" ca="1" si="12"/>
        <v>0</v>
      </c>
      <c r="T43" s="13">
        <f t="shared" ca="1" si="12"/>
        <v>0</v>
      </c>
      <c r="U43" s="13">
        <f t="shared" ca="1" si="12"/>
        <v>0</v>
      </c>
      <c r="V43" s="13">
        <f t="shared" ca="1" si="12"/>
        <v>0</v>
      </c>
      <c r="W43" s="13">
        <f t="shared" ca="1" si="12"/>
        <v>0</v>
      </c>
    </row>
    <row r="44" spans="2:23">
      <c r="D44" s="144" t="s">
        <v>378</v>
      </c>
      <c r="E44" s="144"/>
      <c r="F44" s="144"/>
      <c r="G44" s="144"/>
      <c r="H44" s="144"/>
      <c r="I44" s="144"/>
      <c r="J44" s="144">
        <f ca="1">J42</f>
        <v>1077.4528308478116</v>
      </c>
      <c r="K44" s="144">
        <f t="shared" ref="K44:W44" ca="1" si="13">K42</f>
        <v>1604.3997161043135</v>
      </c>
      <c r="L44" s="144">
        <f t="shared" ca="1" si="13"/>
        <v>2339.3974530478749</v>
      </c>
      <c r="M44" s="144">
        <f t="shared" ca="1" si="13"/>
        <v>1673.75</v>
      </c>
      <c r="N44" s="144">
        <f t="shared" ca="1" si="13"/>
        <v>1673.75</v>
      </c>
      <c r="O44" s="144">
        <f t="shared" ca="1" si="13"/>
        <v>1673.75</v>
      </c>
      <c r="P44" s="144">
        <f t="shared" ca="1" si="13"/>
        <v>1673.75</v>
      </c>
      <c r="Q44" s="144">
        <f t="shared" ca="1" si="13"/>
        <v>1673.75</v>
      </c>
      <c r="R44" s="144">
        <f t="shared" ca="1" si="13"/>
        <v>1673.75</v>
      </c>
      <c r="S44" s="144">
        <f t="shared" ca="1" si="13"/>
        <v>1673.75</v>
      </c>
      <c r="T44" s="144">
        <f t="shared" ca="1" si="13"/>
        <v>0</v>
      </c>
      <c r="U44" s="144">
        <f t="shared" ca="1" si="13"/>
        <v>0</v>
      </c>
      <c r="V44" s="144">
        <f t="shared" ca="1" si="13"/>
        <v>0</v>
      </c>
      <c r="W44" s="144">
        <f t="shared" ca="1" si="13"/>
        <v>0</v>
      </c>
    </row>
    <row r="46" spans="2:23">
      <c r="C46" s="2" t="s">
        <v>376</v>
      </c>
    </row>
    <row r="47" spans="2:23">
      <c r="D47" s="13" t="s">
        <v>377</v>
      </c>
      <c r="J47" s="13">
        <f t="shared" ref="J47:W47" ca="1" si="14">J39-J44</f>
        <v>0</v>
      </c>
      <c r="K47" s="13">
        <f t="shared" ca="1" si="14"/>
        <v>0</v>
      </c>
      <c r="L47" s="13">
        <f t="shared" ca="1" si="14"/>
        <v>54.945239319471057</v>
      </c>
      <c r="M47" s="13">
        <f t="shared" ca="1" si="14"/>
        <v>807.40163971117454</v>
      </c>
      <c r="N47" s="13">
        <f t="shared" ca="1" si="14"/>
        <v>584.09296881806358</v>
      </c>
      <c r="O47" s="13">
        <f t="shared" ca="1" si="14"/>
        <v>1088.3343664867261</v>
      </c>
      <c r="P47" s="13">
        <f t="shared" ca="1" si="14"/>
        <v>1443.5488453898661</v>
      </c>
      <c r="Q47" s="13">
        <f t="shared" ca="1" si="14"/>
        <v>1588.3906371145931</v>
      </c>
      <c r="R47" s="13">
        <f t="shared" ca="1" si="14"/>
        <v>1866.5122689714321</v>
      </c>
      <c r="S47" s="13">
        <f t="shared" ca="1" si="14"/>
        <v>1993.6250888389432</v>
      </c>
      <c r="T47" s="13">
        <f t="shared" ca="1" si="14"/>
        <v>0</v>
      </c>
      <c r="U47" s="13">
        <f t="shared" ca="1" si="14"/>
        <v>0</v>
      </c>
      <c r="V47" s="13">
        <f t="shared" ca="1" si="14"/>
        <v>0</v>
      </c>
      <c r="W47" s="13">
        <f t="shared" ca="1" si="14"/>
        <v>0</v>
      </c>
    </row>
    <row r="48" spans="2:23">
      <c r="D48" s="144" t="s">
        <v>379</v>
      </c>
      <c r="E48" s="144"/>
      <c r="F48" s="144"/>
      <c r="G48" s="144"/>
      <c r="H48" s="144"/>
      <c r="I48" s="144"/>
      <c r="J48" s="144">
        <f ca="1">J47</f>
        <v>0</v>
      </c>
      <c r="K48" s="144">
        <f t="shared" ref="K48:W48" ca="1" si="15">K47</f>
        <v>0</v>
      </c>
      <c r="L48" s="144">
        <f t="shared" ca="1" si="15"/>
        <v>54.945239319471057</v>
      </c>
      <c r="M48" s="144">
        <f t="shared" ca="1" si="15"/>
        <v>807.40163971117454</v>
      </c>
      <c r="N48" s="144">
        <f t="shared" ca="1" si="15"/>
        <v>584.09296881806358</v>
      </c>
      <c r="O48" s="144">
        <f t="shared" ca="1" si="15"/>
        <v>1088.3343664867261</v>
      </c>
      <c r="P48" s="144">
        <f t="shared" ca="1" si="15"/>
        <v>1443.5488453898661</v>
      </c>
      <c r="Q48" s="144">
        <f t="shared" ca="1" si="15"/>
        <v>1588.3906371145931</v>
      </c>
      <c r="R48" s="144">
        <f t="shared" ca="1" si="15"/>
        <v>1866.5122689714321</v>
      </c>
      <c r="S48" s="144">
        <f t="shared" ca="1" si="15"/>
        <v>1993.6250888389432</v>
      </c>
      <c r="T48" s="144">
        <f t="shared" ca="1" si="15"/>
        <v>0</v>
      </c>
      <c r="U48" s="144">
        <f t="shared" ca="1" si="15"/>
        <v>0</v>
      </c>
      <c r="V48" s="144">
        <f t="shared" ca="1" si="15"/>
        <v>0</v>
      </c>
      <c r="W48" s="144">
        <f t="shared" ca="1" si="15"/>
        <v>0</v>
      </c>
    </row>
    <row r="50" spans="2:23">
      <c r="B50" s="2" t="s">
        <v>380</v>
      </c>
    </row>
    <row r="51" spans="2:23">
      <c r="C51" s="13" t="s">
        <v>381</v>
      </c>
      <c r="F51" s="13" t="s">
        <v>382</v>
      </c>
    </row>
    <row r="52" spans="2:23">
      <c r="C52" s="13" t="s">
        <v>383</v>
      </c>
      <c r="G52" s="13">
        <f ca="1">SUMIF(현금흐름!$14:$14,exit,현금흐름!$61:$61)</f>
        <v>152368.64594281581</v>
      </c>
      <c r="H52" s="13" t="s">
        <v>38</v>
      </c>
    </row>
    <row r="53" spans="2:23">
      <c r="C53" s="289"/>
      <c r="D53" s="289"/>
      <c r="E53" s="289"/>
      <c r="F53" s="289"/>
      <c r="G53" s="289"/>
      <c r="H53" s="289"/>
      <c r="I53" s="289"/>
      <c r="J53" s="290">
        <f t="shared" ref="J53:W53" si="16">J10</f>
        <v>45869</v>
      </c>
      <c r="K53" s="290">
        <f t="shared" si="16"/>
        <v>46053</v>
      </c>
      <c r="L53" s="290">
        <f t="shared" si="16"/>
        <v>46234</v>
      </c>
      <c r="M53" s="290">
        <f t="shared" si="16"/>
        <v>46418</v>
      </c>
      <c r="N53" s="290">
        <f t="shared" si="16"/>
        <v>46599</v>
      </c>
      <c r="O53" s="290">
        <f t="shared" si="16"/>
        <v>46783</v>
      </c>
      <c r="P53" s="290">
        <f t="shared" si="16"/>
        <v>46965</v>
      </c>
      <c r="Q53" s="290">
        <f t="shared" si="16"/>
        <v>47149</v>
      </c>
      <c r="R53" s="290">
        <f t="shared" si="16"/>
        <v>47330</v>
      </c>
      <c r="S53" s="290">
        <f t="shared" si="16"/>
        <v>47514</v>
      </c>
      <c r="T53" s="290">
        <f t="shared" si="16"/>
        <v>47695</v>
      </c>
      <c r="U53" s="290">
        <f t="shared" si="16"/>
        <v>47879</v>
      </c>
      <c r="V53" s="290">
        <f t="shared" si="16"/>
        <v>48060</v>
      </c>
      <c r="W53" s="290">
        <f t="shared" si="16"/>
        <v>48244</v>
      </c>
    </row>
    <row r="54" spans="2:23">
      <c r="C54" s="13" t="s">
        <v>384</v>
      </c>
      <c r="J54" s="13">
        <f t="shared" ref="J54:W54" ca="1" si="17">(J53=exit)*$G$52</f>
        <v>0</v>
      </c>
      <c r="K54" s="13">
        <f t="shared" ca="1" si="17"/>
        <v>0</v>
      </c>
      <c r="L54" s="13">
        <f t="shared" ca="1" si="17"/>
        <v>0</v>
      </c>
      <c r="M54" s="13">
        <f t="shared" ca="1" si="17"/>
        <v>0</v>
      </c>
      <c r="N54" s="13">
        <f t="shared" ca="1" si="17"/>
        <v>0</v>
      </c>
      <c r="O54" s="13">
        <f t="shared" ca="1" si="17"/>
        <v>0</v>
      </c>
      <c r="P54" s="13">
        <f t="shared" ca="1" si="17"/>
        <v>0</v>
      </c>
      <c r="Q54" s="13">
        <f t="shared" ca="1" si="17"/>
        <v>0</v>
      </c>
      <c r="R54" s="13">
        <f t="shared" ca="1" si="17"/>
        <v>0</v>
      </c>
      <c r="S54" s="13">
        <f t="shared" ca="1" si="17"/>
        <v>152368.64594281581</v>
      </c>
      <c r="T54" s="13">
        <f t="shared" ca="1" si="17"/>
        <v>0</v>
      </c>
      <c r="U54" s="13">
        <f t="shared" ca="1" si="17"/>
        <v>0</v>
      </c>
      <c r="V54" s="13">
        <f t="shared" ca="1" si="17"/>
        <v>0</v>
      </c>
      <c r="W54" s="13">
        <f t="shared" ca="1" si="17"/>
        <v>0</v>
      </c>
    </row>
    <row r="55" spans="2:23">
      <c r="C55" s="13" t="s">
        <v>385</v>
      </c>
    </row>
    <row r="56" spans="2:23">
      <c r="D56" s="13" t="s">
        <v>386</v>
      </c>
      <c r="J56" s="13">
        <f t="shared" ref="J56:W56" ca="1" si="18">(J53=exit)*J43</f>
        <v>0</v>
      </c>
      <c r="K56" s="13">
        <f t="shared" ca="1" si="18"/>
        <v>0</v>
      </c>
      <c r="L56" s="13">
        <f t="shared" ca="1" si="18"/>
        <v>0</v>
      </c>
      <c r="M56" s="13">
        <f t="shared" ca="1" si="18"/>
        <v>0</v>
      </c>
      <c r="N56" s="13">
        <f t="shared" ca="1" si="18"/>
        <v>0</v>
      </c>
      <c r="O56" s="13">
        <f t="shared" ca="1" si="18"/>
        <v>0</v>
      </c>
      <c r="P56" s="13">
        <f t="shared" ca="1" si="18"/>
        <v>0</v>
      </c>
      <c r="Q56" s="13">
        <f t="shared" ca="1" si="18"/>
        <v>0</v>
      </c>
      <c r="R56" s="13">
        <f t="shared" ca="1" si="18"/>
        <v>0</v>
      </c>
      <c r="S56" s="13">
        <f t="shared" ca="1" si="18"/>
        <v>0</v>
      </c>
      <c r="T56" s="13">
        <f t="shared" ca="1" si="18"/>
        <v>0</v>
      </c>
      <c r="U56" s="13">
        <f t="shared" ca="1" si="18"/>
        <v>0</v>
      </c>
      <c r="V56" s="13">
        <f t="shared" ca="1" si="18"/>
        <v>0</v>
      </c>
      <c r="W56" s="13">
        <f t="shared" ca="1" si="18"/>
        <v>0</v>
      </c>
    </row>
    <row r="57" spans="2:23">
      <c r="D57" s="291" t="s">
        <v>387</v>
      </c>
      <c r="E57" s="291"/>
      <c r="F57" s="291"/>
      <c r="G57" s="291"/>
      <c r="H57" s="291"/>
      <c r="I57" s="291"/>
      <c r="J57" s="291">
        <f ca="1">MIN(J54,J56)</f>
        <v>0</v>
      </c>
      <c r="K57" s="291">
        <f t="shared" ref="K57:W57" ca="1" si="19">MIN(K54,K56)</f>
        <v>0</v>
      </c>
      <c r="L57" s="291">
        <f t="shared" ca="1" si="19"/>
        <v>0</v>
      </c>
      <c r="M57" s="291">
        <f t="shared" ca="1" si="19"/>
        <v>0</v>
      </c>
      <c r="N57" s="291">
        <f t="shared" ca="1" si="19"/>
        <v>0</v>
      </c>
      <c r="O57" s="291">
        <f t="shared" ca="1" si="19"/>
        <v>0</v>
      </c>
      <c r="P57" s="291">
        <f t="shared" ca="1" si="19"/>
        <v>0</v>
      </c>
      <c r="Q57" s="291">
        <f t="shared" ca="1" si="19"/>
        <v>0</v>
      </c>
      <c r="R57" s="291">
        <f t="shared" ca="1" si="19"/>
        <v>0</v>
      </c>
      <c r="S57" s="291">
        <f t="shared" ca="1" si="19"/>
        <v>0</v>
      </c>
      <c r="T57" s="291">
        <f t="shared" ca="1" si="19"/>
        <v>0</v>
      </c>
      <c r="U57" s="291">
        <f t="shared" ca="1" si="19"/>
        <v>0</v>
      </c>
      <c r="V57" s="291">
        <f t="shared" ca="1" si="19"/>
        <v>0</v>
      </c>
      <c r="W57" s="291">
        <f t="shared" ca="1" si="19"/>
        <v>0</v>
      </c>
    </row>
    <row r="58" spans="2:23">
      <c r="C58" s="13" t="s">
        <v>388</v>
      </c>
    </row>
    <row r="59" spans="2:23">
      <c r="D59" s="13" t="s">
        <v>389</v>
      </c>
      <c r="J59" s="13">
        <f ca="1">J54-J57</f>
        <v>0</v>
      </c>
      <c r="K59" s="13">
        <f t="shared" ref="K59:W59" ca="1" si="20">K54-K57</f>
        <v>0</v>
      </c>
      <c r="L59" s="13">
        <f t="shared" ca="1" si="20"/>
        <v>0</v>
      </c>
      <c r="M59" s="13">
        <f t="shared" ca="1" si="20"/>
        <v>0</v>
      </c>
      <c r="N59" s="13">
        <f t="shared" ca="1" si="20"/>
        <v>0</v>
      </c>
      <c r="O59" s="13">
        <f t="shared" ca="1" si="20"/>
        <v>0</v>
      </c>
      <c r="P59" s="13">
        <f t="shared" ca="1" si="20"/>
        <v>0</v>
      </c>
      <c r="Q59" s="13">
        <f t="shared" ca="1" si="20"/>
        <v>0</v>
      </c>
      <c r="R59" s="13">
        <f t="shared" ca="1" si="20"/>
        <v>0</v>
      </c>
      <c r="S59" s="13">
        <f t="shared" ca="1" si="20"/>
        <v>152368.64594281581</v>
      </c>
      <c r="T59" s="13">
        <f t="shared" ca="1" si="20"/>
        <v>0</v>
      </c>
      <c r="U59" s="13">
        <f t="shared" ca="1" si="20"/>
        <v>0</v>
      </c>
      <c r="V59" s="13">
        <f t="shared" ca="1" si="20"/>
        <v>0</v>
      </c>
      <c r="W59" s="13">
        <f t="shared" ca="1" si="20"/>
        <v>0</v>
      </c>
    </row>
    <row r="60" spans="2:23">
      <c r="D60" s="13" t="s">
        <v>390</v>
      </c>
      <c r="G60" s="63">
        <f ca="1">'A&amp;R'!AG103</f>
        <v>5436.864594281582</v>
      </c>
      <c r="J60" s="13">
        <f t="shared" ref="J60:W60" ca="1" si="21">(J53=exit)*$G$60</f>
        <v>0</v>
      </c>
      <c r="K60" s="13">
        <f t="shared" ca="1" si="21"/>
        <v>0</v>
      </c>
      <c r="L60" s="13">
        <f t="shared" ca="1" si="21"/>
        <v>0</v>
      </c>
      <c r="M60" s="13">
        <f t="shared" ca="1" si="21"/>
        <v>0</v>
      </c>
      <c r="N60" s="13">
        <f t="shared" ca="1" si="21"/>
        <v>0</v>
      </c>
      <c r="O60" s="13">
        <f t="shared" ca="1" si="21"/>
        <v>0</v>
      </c>
      <c r="P60" s="13">
        <f t="shared" ca="1" si="21"/>
        <v>0</v>
      </c>
      <c r="Q60" s="13">
        <f t="shared" ca="1" si="21"/>
        <v>0</v>
      </c>
      <c r="R60" s="13">
        <f t="shared" ca="1" si="21"/>
        <v>0</v>
      </c>
      <c r="S60" s="13">
        <f t="shared" ca="1" si="21"/>
        <v>5436.864594281582</v>
      </c>
      <c r="T60" s="13">
        <f t="shared" ca="1" si="21"/>
        <v>0</v>
      </c>
      <c r="U60" s="13">
        <f t="shared" ca="1" si="21"/>
        <v>0</v>
      </c>
      <c r="V60" s="13">
        <f t="shared" ca="1" si="21"/>
        <v>0</v>
      </c>
      <c r="W60" s="13">
        <f t="shared" ca="1" si="21"/>
        <v>0</v>
      </c>
    </row>
    <row r="61" spans="2:23">
      <c r="D61" s="291" t="s">
        <v>391</v>
      </c>
      <c r="E61" s="291"/>
      <c r="F61" s="291"/>
      <c r="G61" s="291"/>
      <c r="H61" s="291"/>
      <c r="I61" s="291"/>
      <c r="J61" s="291">
        <f ca="1">MIN(J59,J60)</f>
        <v>0</v>
      </c>
      <c r="K61" s="291">
        <f t="shared" ref="K61:W61" ca="1" si="22">MIN(K59,K60)</f>
        <v>0</v>
      </c>
      <c r="L61" s="291">
        <f t="shared" ca="1" si="22"/>
        <v>0</v>
      </c>
      <c r="M61" s="291">
        <f t="shared" ca="1" si="22"/>
        <v>0</v>
      </c>
      <c r="N61" s="291">
        <f t="shared" ca="1" si="22"/>
        <v>0</v>
      </c>
      <c r="O61" s="291">
        <f t="shared" ca="1" si="22"/>
        <v>0</v>
      </c>
      <c r="P61" s="291">
        <f t="shared" ca="1" si="22"/>
        <v>0</v>
      </c>
      <c r="Q61" s="291">
        <f t="shared" ca="1" si="22"/>
        <v>0</v>
      </c>
      <c r="R61" s="291">
        <f t="shared" ca="1" si="22"/>
        <v>0</v>
      </c>
      <c r="S61" s="291">
        <f t="shared" ca="1" si="22"/>
        <v>5436.864594281582</v>
      </c>
      <c r="T61" s="291">
        <f t="shared" ca="1" si="22"/>
        <v>0</v>
      </c>
      <c r="U61" s="291">
        <f t="shared" ca="1" si="22"/>
        <v>0</v>
      </c>
      <c r="V61" s="291">
        <f t="shared" ca="1" si="22"/>
        <v>0</v>
      </c>
      <c r="W61" s="291">
        <f t="shared" ca="1" si="22"/>
        <v>0</v>
      </c>
    </row>
    <row r="62" spans="2:23">
      <c r="C62" s="13" t="s">
        <v>392</v>
      </c>
    </row>
    <row r="63" spans="2:23">
      <c r="D63" s="13" t="s">
        <v>393</v>
      </c>
      <c r="J63" s="13">
        <f ca="1">J59-J61</f>
        <v>0</v>
      </c>
      <c r="K63" s="13">
        <f t="shared" ref="K63:W63" ca="1" si="23">K59-K61</f>
        <v>0</v>
      </c>
      <c r="L63" s="13">
        <f t="shared" ca="1" si="23"/>
        <v>0</v>
      </c>
      <c r="M63" s="13">
        <f t="shared" ca="1" si="23"/>
        <v>0</v>
      </c>
      <c r="N63" s="13">
        <f t="shared" ca="1" si="23"/>
        <v>0</v>
      </c>
      <c r="O63" s="13">
        <f t="shared" ca="1" si="23"/>
        <v>0</v>
      </c>
      <c r="P63" s="13">
        <f t="shared" ca="1" si="23"/>
        <v>0</v>
      </c>
      <c r="Q63" s="13">
        <f t="shared" ca="1" si="23"/>
        <v>0</v>
      </c>
      <c r="R63" s="13">
        <f t="shared" ca="1" si="23"/>
        <v>0</v>
      </c>
      <c r="S63" s="13">
        <f t="shared" ca="1" si="23"/>
        <v>146931.78134853422</v>
      </c>
      <c r="T63" s="13">
        <f t="shared" ca="1" si="23"/>
        <v>0</v>
      </c>
      <c r="U63" s="13">
        <f t="shared" ca="1" si="23"/>
        <v>0</v>
      </c>
      <c r="V63" s="13">
        <f t="shared" ca="1" si="23"/>
        <v>0</v>
      </c>
      <c r="W63" s="13">
        <f t="shared" ca="1" si="23"/>
        <v>0</v>
      </c>
    </row>
    <row r="64" spans="2:23">
      <c r="D64" s="13" t="s">
        <v>394</v>
      </c>
      <c r="G64" s="63">
        <f>'A&amp;R'!E48</f>
        <v>51500</v>
      </c>
      <c r="J64" s="13">
        <f t="shared" ref="J64:W64" si="24">(J53=exit)*$G$64</f>
        <v>0</v>
      </c>
      <c r="K64" s="13">
        <f t="shared" si="24"/>
        <v>0</v>
      </c>
      <c r="L64" s="13">
        <f t="shared" si="24"/>
        <v>0</v>
      </c>
      <c r="M64" s="13">
        <f t="shared" si="24"/>
        <v>0</v>
      </c>
      <c r="N64" s="13">
        <f t="shared" si="24"/>
        <v>0</v>
      </c>
      <c r="O64" s="13">
        <f t="shared" si="24"/>
        <v>0</v>
      </c>
      <c r="P64" s="13">
        <f t="shared" si="24"/>
        <v>0</v>
      </c>
      <c r="Q64" s="13">
        <f t="shared" si="24"/>
        <v>0</v>
      </c>
      <c r="R64" s="13">
        <f t="shared" si="24"/>
        <v>0</v>
      </c>
      <c r="S64" s="13">
        <f t="shared" si="24"/>
        <v>51500</v>
      </c>
      <c r="T64" s="13">
        <f t="shared" si="24"/>
        <v>0</v>
      </c>
      <c r="U64" s="13">
        <f t="shared" si="24"/>
        <v>0</v>
      </c>
      <c r="V64" s="13">
        <f t="shared" si="24"/>
        <v>0</v>
      </c>
      <c r="W64" s="13">
        <f t="shared" si="24"/>
        <v>0</v>
      </c>
    </row>
    <row r="65" spans="3:23">
      <c r="D65" s="291" t="s">
        <v>395</v>
      </c>
      <c r="E65" s="291"/>
      <c r="F65" s="291"/>
      <c r="G65" s="291"/>
      <c r="H65" s="291"/>
      <c r="I65" s="291"/>
      <c r="J65" s="291">
        <f ca="1">MIN(J63,J64)</f>
        <v>0</v>
      </c>
      <c r="K65" s="291">
        <f t="shared" ref="K65:W65" ca="1" si="25">MIN(K63,K64)</f>
        <v>0</v>
      </c>
      <c r="L65" s="291">
        <f t="shared" ca="1" si="25"/>
        <v>0</v>
      </c>
      <c r="M65" s="291">
        <f t="shared" ca="1" si="25"/>
        <v>0</v>
      </c>
      <c r="N65" s="291">
        <f t="shared" ca="1" si="25"/>
        <v>0</v>
      </c>
      <c r="O65" s="291">
        <f t="shared" ca="1" si="25"/>
        <v>0</v>
      </c>
      <c r="P65" s="291">
        <f t="shared" ca="1" si="25"/>
        <v>0</v>
      </c>
      <c r="Q65" s="291">
        <f t="shared" ca="1" si="25"/>
        <v>0</v>
      </c>
      <c r="R65" s="291">
        <f t="shared" ca="1" si="25"/>
        <v>0</v>
      </c>
      <c r="S65" s="291">
        <f t="shared" ca="1" si="25"/>
        <v>51500</v>
      </c>
      <c r="T65" s="291">
        <f t="shared" ca="1" si="25"/>
        <v>0</v>
      </c>
      <c r="U65" s="291">
        <f t="shared" ca="1" si="25"/>
        <v>0</v>
      </c>
      <c r="V65" s="291">
        <f t="shared" ca="1" si="25"/>
        <v>0</v>
      </c>
      <c r="W65" s="291">
        <f t="shared" ca="1" si="25"/>
        <v>0</v>
      </c>
    </row>
    <row r="66" spans="3:23">
      <c r="C66" s="13" t="s">
        <v>396</v>
      </c>
    </row>
    <row r="67" spans="3:23">
      <c r="D67" s="13" t="s">
        <v>389</v>
      </c>
      <c r="J67" s="13">
        <f ca="1">J63-J65</f>
        <v>0</v>
      </c>
      <c r="K67" s="13">
        <f t="shared" ref="K67:W67" ca="1" si="26">K63-K65</f>
        <v>0</v>
      </c>
      <c r="L67" s="13">
        <f t="shared" ca="1" si="26"/>
        <v>0</v>
      </c>
      <c r="M67" s="13">
        <f t="shared" ca="1" si="26"/>
        <v>0</v>
      </c>
      <c r="N67" s="13">
        <f t="shared" ca="1" si="26"/>
        <v>0</v>
      </c>
      <c r="O67" s="13">
        <f t="shared" ca="1" si="26"/>
        <v>0</v>
      </c>
      <c r="P67" s="13">
        <f t="shared" ca="1" si="26"/>
        <v>0</v>
      </c>
      <c r="Q67" s="13">
        <f t="shared" ca="1" si="26"/>
        <v>0</v>
      </c>
      <c r="R67" s="13">
        <f t="shared" ca="1" si="26"/>
        <v>0</v>
      </c>
      <c r="S67" s="13">
        <f t="shared" ca="1" si="26"/>
        <v>95431.781348534219</v>
      </c>
      <c r="T67" s="13">
        <f t="shared" ca="1" si="26"/>
        <v>0</v>
      </c>
      <c r="U67" s="13">
        <f t="shared" ca="1" si="26"/>
        <v>0</v>
      </c>
      <c r="V67" s="13">
        <f t="shared" ca="1" si="26"/>
        <v>0</v>
      </c>
      <c r="W67" s="13">
        <f t="shared" ca="1" si="26"/>
        <v>0</v>
      </c>
    </row>
    <row r="68" spans="3:23">
      <c r="D68" s="13" t="s">
        <v>390</v>
      </c>
      <c r="G68" s="63">
        <f ca="1">'A&amp;R'!AG104</f>
        <v>48931.781348534234</v>
      </c>
      <c r="J68" s="13">
        <f t="shared" ref="J68:W68" ca="1" si="27">(J53=exit)*$G$68</f>
        <v>0</v>
      </c>
      <c r="K68" s="13">
        <f t="shared" ca="1" si="27"/>
        <v>0</v>
      </c>
      <c r="L68" s="13">
        <f t="shared" ca="1" si="27"/>
        <v>0</v>
      </c>
      <c r="M68" s="13">
        <f t="shared" ca="1" si="27"/>
        <v>0</v>
      </c>
      <c r="N68" s="13">
        <f t="shared" ca="1" si="27"/>
        <v>0</v>
      </c>
      <c r="O68" s="13">
        <f t="shared" ca="1" si="27"/>
        <v>0</v>
      </c>
      <c r="P68" s="13">
        <f t="shared" ca="1" si="27"/>
        <v>0</v>
      </c>
      <c r="Q68" s="13">
        <f t="shared" ca="1" si="27"/>
        <v>0</v>
      </c>
      <c r="R68" s="13">
        <f t="shared" ca="1" si="27"/>
        <v>0</v>
      </c>
      <c r="S68" s="13">
        <f t="shared" ca="1" si="27"/>
        <v>48931.781348534234</v>
      </c>
      <c r="T68" s="13">
        <f t="shared" ca="1" si="27"/>
        <v>0</v>
      </c>
      <c r="U68" s="13">
        <f t="shared" ca="1" si="27"/>
        <v>0</v>
      </c>
      <c r="V68" s="13">
        <f t="shared" ca="1" si="27"/>
        <v>0</v>
      </c>
      <c r="W68" s="13">
        <f t="shared" ca="1" si="27"/>
        <v>0</v>
      </c>
    </row>
    <row r="69" spans="3:23">
      <c r="D69" s="291" t="s">
        <v>397</v>
      </c>
      <c r="E69" s="291"/>
      <c r="F69" s="291"/>
      <c r="G69" s="291"/>
      <c r="H69" s="291"/>
      <c r="I69" s="291"/>
      <c r="J69" s="291">
        <f ca="1">MIN(J67,J68)</f>
        <v>0</v>
      </c>
      <c r="K69" s="291">
        <f t="shared" ref="K69:W69" ca="1" si="28">MIN(K67,K68)</f>
        <v>0</v>
      </c>
      <c r="L69" s="291">
        <f t="shared" ca="1" si="28"/>
        <v>0</v>
      </c>
      <c r="M69" s="291">
        <f t="shared" ca="1" si="28"/>
        <v>0</v>
      </c>
      <c r="N69" s="291">
        <f t="shared" ca="1" si="28"/>
        <v>0</v>
      </c>
      <c r="O69" s="291">
        <f t="shared" ca="1" si="28"/>
        <v>0</v>
      </c>
      <c r="P69" s="291">
        <f t="shared" ca="1" si="28"/>
        <v>0</v>
      </c>
      <c r="Q69" s="291">
        <f t="shared" ca="1" si="28"/>
        <v>0</v>
      </c>
      <c r="R69" s="291">
        <f t="shared" ca="1" si="28"/>
        <v>0</v>
      </c>
      <c r="S69" s="291">
        <f t="shared" ca="1" si="28"/>
        <v>48931.781348534234</v>
      </c>
      <c r="T69" s="291">
        <f t="shared" ca="1" si="28"/>
        <v>0</v>
      </c>
      <c r="U69" s="291">
        <f t="shared" ca="1" si="28"/>
        <v>0</v>
      </c>
      <c r="V69" s="291">
        <f t="shared" ca="1" si="28"/>
        <v>0</v>
      </c>
      <c r="W69" s="291">
        <f t="shared" ca="1" si="28"/>
        <v>0</v>
      </c>
    </row>
    <row r="70" spans="3:23">
      <c r="C70" s="13" t="s">
        <v>398</v>
      </c>
    </row>
    <row r="71" spans="3:23">
      <c r="D71" s="13" t="s">
        <v>399</v>
      </c>
      <c r="J71" s="13">
        <f ca="1">J67-J69</f>
        <v>0</v>
      </c>
      <c r="K71" s="13">
        <f t="shared" ref="K71:W71" ca="1" si="29">K67-K69</f>
        <v>0</v>
      </c>
      <c r="L71" s="13">
        <f t="shared" ca="1" si="29"/>
        <v>0</v>
      </c>
      <c r="M71" s="13">
        <f t="shared" ca="1" si="29"/>
        <v>0</v>
      </c>
      <c r="N71" s="13">
        <f t="shared" ca="1" si="29"/>
        <v>0</v>
      </c>
      <c r="O71" s="13">
        <f t="shared" ca="1" si="29"/>
        <v>0</v>
      </c>
      <c r="P71" s="13">
        <f t="shared" ca="1" si="29"/>
        <v>0</v>
      </c>
      <c r="Q71" s="13">
        <f t="shared" ca="1" si="29"/>
        <v>0</v>
      </c>
      <c r="R71" s="13">
        <f t="shared" ca="1" si="29"/>
        <v>0</v>
      </c>
      <c r="S71" s="13">
        <f t="shared" ca="1" si="29"/>
        <v>46499.999999999985</v>
      </c>
      <c r="T71" s="13">
        <f t="shared" ca="1" si="29"/>
        <v>0</v>
      </c>
      <c r="U71" s="13">
        <f t="shared" ca="1" si="29"/>
        <v>0</v>
      </c>
      <c r="V71" s="13">
        <f t="shared" ca="1" si="29"/>
        <v>0</v>
      </c>
      <c r="W71" s="13">
        <f t="shared" ca="1" si="29"/>
        <v>0</v>
      </c>
    </row>
    <row r="72" spans="3:23">
      <c r="D72" s="291" t="s">
        <v>400</v>
      </c>
      <c r="E72" s="291"/>
      <c r="F72" s="291"/>
      <c r="G72" s="291"/>
      <c r="H72" s="291"/>
      <c r="I72" s="291"/>
      <c r="J72" s="291">
        <f ca="1">J71</f>
        <v>0</v>
      </c>
      <c r="K72" s="291">
        <f t="shared" ref="K72:W72" ca="1" si="30">K71</f>
        <v>0</v>
      </c>
      <c r="L72" s="291">
        <f t="shared" ca="1" si="30"/>
        <v>0</v>
      </c>
      <c r="M72" s="291">
        <f t="shared" ca="1" si="30"/>
        <v>0</v>
      </c>
      <c r="N72" s="291">
        <f t="shared" ca="1" si="30"/>
        <v>0</v>
      </c>
      <c r="O72" s="291">
        <f t="shared" ca="1" si="30"/>
        <v>0</v>
      </c>
      <c r="P72" s="291">
        <f t="shared" ca="1" si="30"/>
        <v>0</v>
      </c>
      <c r="Q72" s="291">
        <f t="shared" ca="1" si="30"/>
        <v>0</v>
      </c>
      <c r="R72" s="291">
        <f t="shared" ca="1" si="30"/>
        <v>0</v>
      </c>
      <c r="S72" s="291">
        <f t="shared" ca="1" si="30"/>
        <v>46499.999999999985</v>
      </c>
      <c r="T72" s="291">
        <f t="shared" ca="1" si="30"/>
        <v>0</v>
      </c>
      <c r="U72" s="291">
        <f t="shared" ca="1" si="30"/>
        <v>0</v>
      </c>
      <c r="V72" s="291">
        <f t="shared" ca="1" si="30"/>
        <v>0</v>
      </c>
      <c r="W72" s="291">
        <f t="shared" ca="1" si="30"/>
        <v>0</v>
      </c>
    </row>
    <row r="74" spans="3:23">
      <c r="D74" s="292" t="s">
        <v>401</v>
      </c>
      <c r="E74" s="292"/>
      <c r="F74" s="292"/>
      <c r="G74" s="292"/>
      <c r="H74" s="292"/>
      <c r="I74" s="292"/>
      <c r="J74" s="292">
        <f ca="1">J57+J61</f>
        <v>0</v>
      </c>
      <c r="K74" s="292">
        <f t="shared" ref="K74:W74" ca="1" si="31">K57+K61</f>
        <v>0</v>
      </c>
      <c r="L74" s="292">
        <f t="shared" ca="1" si="31"/>
        <v>0</v>
      </c>
      <c r="M74" s="292">
        <f t="shared" ca="1" si="31"/>
        <v>0</v>
      </c>
      <c r="N74" s="292">
        <f t="shared" ca="1" si="31"/>
        <v>0</v>
      </c>
      <c r="O74" s="292">
        <f t="shared" ca="1" si="31"/>
        <v>0</v>
      </c>
      <c r="P74" s="292">
        <f t="shared" ca="1" si="31"/>
        <v>0</v>
      </c>
      <c r="Q74" s="292">
        <f t="shared" ca="1" si="31"/>
        <v>0</v>
      </c>
      <c r="R74" s="292">
        <f t="shared" ca="1" si="31"/>
        <v>0</v>
      </c>
      <c r="S74" s="292">
        <f t="shared" ca="1" si="31"/>
        <v>5436.864594281582</v>
      </c>
      <c r="T74" s="292">
        <f t="shared" ca="1" si="31"/>
        <v>0</v>
      </c>
      <c r="U74" s="292">
        <f t="shared" ca="1" si="31"/>
        <v>0</v>
      </c>
      <c r="V74" s="292">
        <f t="shared" ca="1" si="31"/>
        <v>0</v>
      </c>
      <c r="W74" s="292">
        <f t="shared" ca="1" si="31"/>
        <v>0</v>
      </c>
    </row>
    <row r="75" spans="3:23">
      <c r="D75" s="292" t="s">
        <v>402</v>
      </c>
      <c r="E75" s="292"/>
      <c r="F75" s="292"/>
      <c r="G75" s="292"/>
      <c r="H75" s="292"/>
      <c r="I75" s="292"/>
      <c r="J75" s="292">
        <f ca="1">J69</f>
        <v>0</v>
      </c>
      <c r="K75" s="292">
        <f t="shared" ref="K75:W75" ca="1" si="32">K69</f>
        <v>0</v>
      </c>
      <c r="L75" s="292">
        <f t="shared" ca="1" si="32"/>
        <v>0</v>
      </c>
      <c r="M75" s="292">
        <f t="shared" ca="1" si="32"/>
        <v>0</v>
      </c>
      <c r="N75" s="292">
        <f t="shared" ca="1" si="32"/>
        <v>0</v>
      </c>
      <c r="O75" s="292">
        <f t="shared" ca="1" si="32"/>
        <v>0</v>
      </c>
      <c r="P75" s="292">
        <f t="shared" ca="1" si="32"/>
        <v>0</v>
      </c>
      <c r="Q75" s="292">
        <f t="shared" ca="1" si="32"/>
        <v>0</v>
      </c>
      <c r="R75" s="292">
        <f t="shared" ca="1" si="32"/>
        <v>0</v>
      </c>
      <c r="S75" s="292">
        <f t="shared" ca="1" si="32"/>
        <v>48931.781348534234</v>
      </c>
      <c r="T75" s="292">
        <f t="shared" ca="1" si="32"/>
        <v>0</v>
      </c>
      <c r="U75" s="292">
        <f t="shared" ca="1" si="32"/>
        <v>0</v>
      </c>
      <c r="V75" s="292">
        <f t="shared" ca="1" si="32"/>
        <v>0</v>
      </c>
      <c r="W75" s="292">
        <f t="shared" ca="1" si="32"/>
        <v>0</v>
      </c>
    </row>
    <row r="77" spans="3:23">
      <c r="D77" s="292" t="s">
        <v>395</v>
      </c>
      <c r="E77" s="292"/>
      <c r="F77" s="292"/>
      <c r="G77" s="292"/>
      <c r="H77" s="292"/>
      <c r="I77" s="292"/>
      <c r="J77" s="292">
        <f ca="1">J65</f>
        <v>0</v>
      </c>
      <c r="K77" s="292">
        <f t="shared" ref="K77:W77" ca="1" si="33">K65</f>
        <v>0</v>
      </c>
      <c r="L77" s="292">
        <f t="shared" ca="1" si="33"/>
        <v>0</v>
      </c>
      <c r="M77" s="292">
        <f t="shared" ca="1" si="33"/>
        <v>0</v>
      </c>
      <c r="N77" s="292">
        <f t="shared" ca="1" si="33"/>
        <v>0</v>
      </c>
      <c r="O77" s="292">
        <f t="shared" ca="1" si="33"/>
        <v>0</v>
      </c>
      <c r="P77" s="292">
        <f t="shared" ca="1" si="33"/>
        <v>0</v>
      </c>
      <c r="Q77" s="292">
        <f t="shared" ca="1" si="33"/>
        <v>0</v>
      </c>
      <c r="R77" s="292">
        <f t="shared" ca="1" si="33"/>
        <v>0</v>
      </c>
      <c r="S77" s="292">
        <f t="shared" ca="1" si="33"/>
        <v>51500</v>
      </c>
      <c r="T77" s="292">
        <f t="shared" ca="1" si="33"/>
        <v>0</v>
      </c>
      <c r="U77" s="292">
        <f t="shared" ca="1" si="33"/>
        <v>0</v>
      </c>
      <c r="V77" s="292">
        <f t="shared" ca="1" si="33"/>
        <v>0</v>
      </c>
      <c r="W77" s="292">
        <f t="shared" ca="1" si="33"/>
        <v>0</v>
      </c>
    </row>
    <row r="78" spans="3:23">
      <c r="D78" s="292" t="s">
        <v>403</v>
      </c>
      <c r="E78" s="292"/>
      <c r="F78" s="292"/>
      <c r="G78" s="292"/>
      <c r="H78" s="292"/>
      <c r="I78" s="292"/>
      <c r="J78" s="292">
        <f ca="1">J72</f>
        <v>0</v>
      </c>
      <c r="K78" s="292">
        <f t="shared" ref="K78:W78" ca="1" si="34">K72</f>
        <v>0</v>
      </c>
      <c r="L78" s="292">
        <f t="shared" ca="1" si="34"/>
        <v>0</v>
      </c>
      <c r="M78" s="292">
        <f t="shared" ca="1" si="34"/>
        <v>0</v>
      </c>
      <c r="N78" s="292">
        <f t="shared" ca="1" si="34"/>
        <v>0</v>
      </c>
      <c r="O78" s="292">
        <f t="shared" ca="1" si="34"/>
        <v>0</v>
      </c>
      <c r="P78" s="292">
        <f t="shared" ca="1" si="34"/>
        <v>0</v>
      </c>
      <c r="Q78" s="292">
        <f t="shared" ca="1" si="34"/>
        <v>0</v>
      </c>
      <c r="R78" s="292">
        <f t="shared" ca="1" si="34"/>
        <v>0</v>
      </c>
      <c r="S78" s="292">
        <f t="shared" ca="1" si="34"/>
        <v>46499.999999999985</v>
      </c>
      <c r="T78" s="292">
        <f t="shared" ca="1" si="34"/>
        <v>0</v>
      </c>
      <c r="U78" s="292">
        <f t="shared" ca="1" si="34"/>
        <v>0</v>
      </c>
      <c r="V78" s="292">
        <f t="shared" ca="1" si="34"/>
        <v>0</v>
      </c>
      <c r="W78" s="292">
        <f t="shared" ca="1" si="34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8434-9E32-554C-B120-567EE499BEC5}">
  <dimension ref="A1:U23"/>
  <sheetViews>
    <sheetView showGridLines="0" zoomScale="92" workbookViewId="0">
      <selection activeCell="G26" sqref="G26"/>
    </sheetView>
  </sheetViews>
  <sheetFormatPr baseColWidth="10" defaultRowHeight="15"/>
  <cols>
    <col min="1" max="1" width="3.5" style="13" customWidth="1"/>
    <col min="2" max="3" width="10.83203125" style="13"/>
    <col min="4" max="4" width="12.1640625" style="13" bestFit="1" customWidth="1"/>
    <col min="5" max="16384" width="10.83203125" style="13"/>
  </cols>
  <sheetData>
    <row r="1" spans="1:21" s="1" customFormat="1" ht="17" customHeight="1"/>
    <row r="2" spans="1:21" s="1" customFormat="1" ht="17" customHeight="1">
      <c r="B2" s="2" t="s">
        <v>10</v>
      </c>
      <c r="S2" s="3" t="s">
        <v>0</v>
      </c>
      <c r="T2" s="4" t="s">
        <v>1</v>
      </c>
      <c r="U2" s="5" t="s">
        <v>2</v>
      </c>
    </row>
    <row r="3" spans="1:21" s="1" customFormat="1" ht="17" customHeight="1">
      <c r="B3" s="2" t="s">
        <v>11</v>
      </c>
      <c r="S3" s="6" t="s">
        <v>3</v>
      </c>
      <c r="T3" s="7" t="s">
        <v>4</v>
      </c>
      <c r="U3" s="8" t="s">
        <v>5</v>
      </c>
    </row>
    <row r="4" spans="1:21" s="1" customFormat="1" ht="17" customHeight="1">
      <c r="B4" s="14"/>
      <c r="S4" s="9" t="s">
        <v>6</v>
      </c>
      <c r="T4" s="10" t="s">
        <v>7</v>
      </c>
      <c r="U4" s="63" t="s">
        <v>8</v>
      </c>
    </row>
    <row r="5" spans="1:21" s="12" customFormat="1" ht="17" customHeight="1" thickBot="1"/>
    <row r="6" spans="1:21" ht="16" thickTop="1">
      <c r="A6" s="13" t="s">
        <v>9</v>
      </c>
    </row>
    <row r="7" spans="1:21">
      <c r="A7" s="2" t="s">
        <v>312</v>
      </c>
    </row>
    <row r="8" spans="1:21">
      <c r="M8" s="56"/>
      <c r="N8" s="56"/>
      <c r="O8" s="56"/>
    </row>
    <row r="18" spans="6:15">
      <c r="M18" s="56"/>
      <c r="N18" s="56"/>
      <c r="O18" s="56"/>
    </row>
    <row r="20" spans="6:15" ht="17">
      <c r="M20" s="20"/>
    </row>
    <row r="23" spans="6:15" ht="17">
      <c r="F23" s="20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A7A8-84F8-C14C-8228-606BC738640A}">
  <dimension ref="A1:U23"/>
  <sheetViews>
    <sheetView showGridLines="0" zoomScale="92" workbookViewId="0">
      <selection activeCell="E19" sqref="E19"/>
    </sheetView>
  </sheetViews>
  <sheetFormatPr baseColWidth="10" defaultRowHeight="15"/>
  <cols>
    <col min="1" max="1" width="3.5" style="13" customWidth="1"/>
    <col min="2" max="3" width="10.83203125" style="13"/>
    <col min="4" max="4" width="12.1640625" style="13" bestFit="1" customWidth="1"/>
    <col min="5" max="16384" width="10.83203125" style="13"/>
  </cols>
  <sheetData>
    <row r="1" spans="1:21" s="1" customFormat="1" ht="17" customHeight="1"/>
    <row r="2" spans="1:21" s="1" customFormat="1" ht="17" customHeight="1">
      <c r="B2" s="2" t="s">
        <v>10</v>
      </c>
      <c r="S2" s="3" t="s">
        <v>0</v>
      </c>
      <c r="T2" s="4" t="s">
        <v>1</v>
      </c>
      <c r="U2" s="5" t="s">
        <v>2</v>
      </c>
    </row>
    <row r="3" spans="1:21" s="1" customFormat="1" ht="17" customHeight="1">
      <c r="B3" s="2" t="s">
        <v>11</v>
      </c>
      <c r="S3" s="6" t="s">
        <v>3</v>
      </c>
      <c r="T3" s="7" t="s">
        <v>4</v>
      </c>
      <c r="U3" s="8" t="s">
        <v>5</v>
      </c>
    </row>
    <row r="4" spans="1:21" s="1" customFormat="1" ht="17" customHeight="1">
      <c r="B4" s="14"/>
      <c r="S4" s="9" t="s">
        <v>6</v>
      </c>
      <c r="T4" s="10" t="s">
        <v>7</v>
      </c>
      <c r="U4" s="11" t="s">
        <v>8</v>
      </c>
    </row>
    <row r="5" spans="1:21" s="12" customFormat="1" ht="17" customHeight="1" thickBot="1"/>
    <row r="6" spans="1:21" ht="16" thickTop="1">
      <c r="A6" s="13" t="s">
        <v>9</v>
      </c>
    </row>
    <row r="7" spans="1:21">
      <c r="A7" s="2" t="s">
        <v>87</v>
      </c>
    </row>
    <row r="8" spans="1:21">
      <c r="M8" s="56"/>
      <c r="N8" s="56"/>
      <c r="O8" s="56"/>
    </row>
    <row r="18" spans="6:15">
      <c r="M18" s="56"/>
      <c r="N18" s="56"/>
      <c r="O18" s="56"/>
    </row>
    <row r="20" spans="6:15" ht="17">
      <c r="M20" s="20"/>
    </row>
    <row r="23" spans="6:15" ht="17">
      <c r="F23" s="20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A&amp;R</vt:lpstr>
      <vt:lpstr>Rentroll</vt:lpstr>
      <vt:lpstr>Index</vt:lpstr>
      <vt:lpstr>운영수입</vt:lpstr>
      <vt:lpstr>운영비용</vt:lpstr>
      <vt:lpstr>펀드비용</vt:lpstr>
      <vt:lpstr>현금흐름</vt:lpstr>
      <vt:lpstr>배당</vt:lpstr>
      <vt:lpstr>민감도분석</vt:lpstr>
      <vt:lpstr>Index (7)</vt:lpstr>
      <vt:lpstr>acq</vt:lpstr>
      <vt:lpstr>Cir</vt:lpstr>
      <vt:lpstr>exit</vt:lpstr>
      <vt:lpstr>period</vt:lpstr>
      <vt:lpstr>py</vt:lpstr>
      <vt:lpstr>start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안태환</dc:creator>
  <cp:lastModifiedBy>안태환</cp:lastModifiedBy>
  <dcterms:created xsi:type="dcterms:W3CDTF">2024-10-28T13:08:55Z</dcterms:created>
  <dcterms:modified xsi:type="dcterms:W3CDTF">2026-08-21T04:18:36Z</dcterms:modified>
</cp:coreProperties>
</file>